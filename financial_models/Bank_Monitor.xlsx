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944044B-277E-4DEB-A9DD-3E1EC9CBF60F}" xr6:coauthVersionLast="47" xr6:coauthVersionMax="47" xr10:uidLastSave="{00000000-0000-0000-0000-000000000000}"/>
  <bookViews>
    <workbookView xWindow="-28920" yWindow="6150" windowWidth="29040" windowHeight="15720" xr2:uid="{00000000-000D-0000-FFFF-FFFF00000000}"/>
  </bookViews>
  <sheets>
    <sheet name="Assumptions" sheetId="13" r:id="rId1"/>
    <sheet name="_CN_" sheetId="14" r:id="rId2"/>
  </sheets>
  <definedNames>
    <definedName name="AuraStyleDefaultsReset" hidden="1">#N/A</definedName>
    <definedName name="g">Assumptions!$D$4</definedName>
    <definedName name="k">Assumptions!$D$3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S7" i="14" l="1"/>
  <c r="T7" i="14" s="1"/>
  <c r="S8" i="14"/>
  <c r="T8" i="14" s="1"/>
  <c r="S9" i="14"/>
  <c r="T9" i="14" s="1"/>
  <c r="S10" i="14"/>
  <c r="T10" i="14" s="1"/>
  <c r="S11" i="14"/>
  <c r="T11" i="14" s="1"/>
  <c r="S6" i="14"/>
  <c r="T6" i="14" s="1"/>
  <c r="Y11" i="14"/>
  <c r="R11" i="14"/>
  <c r="Y10" i="14"/>
  <c r="R10" i="14"/>
  <c r="Y9" i="14"/>
  <c r="R9" i="14"/>
  <c r="Y8" i="14"/>
  <c r="R8" i="14"/>
  <c r="Y7" i="14"/>
  <c r="Y6" i="14"/>
  <c r="R6" i="14"/>
  <c r="R7" i="14"/>
</calcChain>
</file>

<file path=xl/sharedStrings.xml><?xml version="1.0" encoding="utf-8"?>
<sst xmlns="http://schemas.openxmlformats.org/spreadsheetml/2006/main" count="114" uniqueCount="96">
  <si>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</si>
  <si>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</si>
  <si>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</si>
  <si>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</si>
  <si>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</si>
  <si>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</si>
  <si>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</si>
  <si>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</si>
  <si>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</si>
  <si>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</si>
  <si>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</si>
  <si>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</si>
  <si>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成本收入比</t>
  </si>
  <si>
    <t>Core Philosophy</t>
  </si>
  <si>
    <t>Calculation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</si>
  <si>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</si>
  <si>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</si>
  <si>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</si>
  <si>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</si>
  <si>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</si>
  <si>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</si>
  <si>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</si>
  <si>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Cost-to-Income Ratio</t>
  </si>
  <si>
    <t>Net Interest Income / Interest - Earnings</t>
  </si>
  <si>
    <t>Operating Expenses / Operating Income</t>
  </si>
  <si>
    <t>公司名称</t>
  </si>
  <si>
    <t>每股净资产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</si>
  <si>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</si>
  <si>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</si>
  <si>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</si>
  <si>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</si>
  <si>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</si>
  <si>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</si>
  <si>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</si>
  <si>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listed in China</t>
  </si>
  <si>
    <t>YYYY-MM-DD</t>
  </si>
  <si>
    <t>From latest balance sheet (2 Decimal)</t>
  </si>
  <si>
    <t>上一财年每股股息</t>
  </si>
  <si>
    <t>Last FY Dividend
per share</t>
  </si>
  <si>
    <t>From last Financial year</t>
  </si>
  <si>
    <t>派息率</t>
  </si>
  <si>
    <t>Payout Ratio</t>
  </si>
  <si>
    <t>Dividend/Earnings</t>
  </si>
  <si>
    <t>Fair P/TBV ≈ (ROTCE – g) ÷ (k – g)</t>
  </si>
  <si>
    <t>TBV is Tangible Common Equity.</t>
  </si>
  <si>
    <t>Tangible Common Equity per Share</t>
  </si>
  <si>
    <t>Common Equity per share</t>
  </si>
  <si>
    <t>ROTCE = Core Net income ÷ Tangible common equity (goodwill &amp; intangibles stripped out).</t>
  </si>
  <si>
    <t>Core net income is predictable, high-quality earnings from core operations (e.g., deposits and lending) rather than fluctuating trading activities,</t>
  </si>
  <si>
    <t>ROTCE</t>
  </si>
  <si>
    <t>Total Assets/Total Equity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</si>
  <si>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</si>
  <si>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</si>
  <si>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</si>
  <si>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</si>
  <si>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</si>
  <si>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</si>
  <si>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</si>
  <si>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</si>
  <si>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</si>
  <si>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</si>
  <si>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</si>
  <si>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</si>
  <si>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</si>
  <si>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</si>
  <si>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</si>
  <si>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</si>
  <si>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</si>
  <si>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Profitability &amp; Efficiency</t>
  </si>
  <si>
    <t>Per Share Metrics</t>
  </si>
  <si>
    <t>Last FY EPS</t>
  </si>
  <si>
    <t>Last FY Core EPS</t>
  </si>
  <si>
    <t>上一个财年EPS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</si>
  <si>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</si>
  <si>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</si>
  <si>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</si>
  <si>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</si>
  <si>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</si>
  <si>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</si>
  <si>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</si>
  <si>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隐含公允市净率</t>
  </si>
  <si>
    <t>隐含公允股价</t>
  </si>
  <si>
    <t>股息率</t>
  </si>
  <si>
    <t>Dividend Yield</t>
  </si>
  <si>
    <t>Cost of Equity (k)</t>
  </si>
  <si>
    <t>Inflation rate as proxy for long term Growth</t>
  </si>
  <si>
    <t>Remarks</t>
  </si>
  <si>
    <t>Financial Year End
(MM/DD)</t>
  </si>
  <si>
    <t>End Date of Last Statement
(YYYY/MM/DD)</t>
  </si>
  <si>
    <t>12/31</t>
  </si>
  <si>
    <t>Lastest Price</t>
  </si>
  <si>
    <t>Fair Price 
in Trading Currency</t>
  </si>
  <si>
    <t>Market</t>
  </si>
  <si>
    <t>主要上市地代码</t>
  </si>
  <si>
    <t>Primary Listing Symbol</t>
  </si>
  <si>
    <t>Long-term Growth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</si>
</sst>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;@"/>
    <numFmt numFmtId="165" formatCode="#,##0.0000"/>
    <numFmt numFmtId="166" formatCode="#,##0.000"/>
  </numFmts>
  <fonts count="6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 vertical="top" wrapText="1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0" fontId="0" fillId="3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5" borderId="2" xfId="0" applyFill="1" applyBorder="1" applyAlignment="1">
      <alignment horizontal="center" vertical="top" wrapText="1"/>
    </xf>
    <xf numFmtId="0" fontId="0" fillId="5" borderId="3" xfId="0" applyFill="1" applyBorder="1" applyAlignment="1">
      <alignment horizontal="center" vertical="top" wrapText="1"/>
    </xf>
    <xf numFmtId="0" fontId="0" fillId="6" borderId="1" xfId="0" applyFill="1" applyBorder="1" applyAlignment="1">
      <alignment horizontal="center" vertical="top" wrapText="1"/>
    </xf>
    <xf numFmtId="49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0" fontId="5" fillId="0" borderId="1" xfId="0" applyNumberFormat="1" applyFont="1" applyBorder="1"/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0000FF"/>
      <color rgb="FFFF0000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dimension ref="B2:E21"/>
  <sheetViews>
    <sheetView tabSelected="1" workbookViewId="0">
      <selection activeCell="B5" sqref="B5:E7"/>
    </sheetView>
  </sheetViews>
  <sheetFormatPr defaultColWidth="8.796875" defaultRowHeight="14.25" x14ac:dyDescent="0.45"/>
  <cols>
    <col min="2" max="3" width="20.6640625" customWidth="1"/>
    <col min="5" max="5" width="36.33203125" customWidth="1"/>
  </cols>
  <sheetData>
    <row r="2" spans="2:5" x14ac:dyDescent="0.45">
      <c r="B2" s="5" t="s">
        <v>1</v>
      </c>
      <c r="C2" s="5" t="s">
        <v>14</v>
      </c>
      <c r="D2" s="5" t="s">
        <v>2</v>
      </c>
      <c r="E2" s="5" t="s">
        <v>86</v>
      </c>
    </row>
    <row r="3" spans="2:5" x14ac:dyDescent="0.45">
      <c r="B3" s="1" t="s">
        <v>84</v>
      </c>
      <c r="C3" s="1"/>
      <c r="D3" s="24">
        <v>7.2499999999999995E-2</v>
      </c>
      <c r="E3" s="1"/>
    </row>
    <row r="4" spans="2:5" x14ac:dyDescent="0.45">
      <c r="B4" s="1" t="s">
        <v>95</v>
      </c>
      <c r="C4" s="1"/>
      <c r="D4" s="24">
        <v>0.02</v>
      </c>
      <c r="E4" s="1" t="s">
        <v>85</v>
      </c>
    </row>
    <row r="5" spans="2:5" x14ac:dyDescent="0.45">
      <c r="B5" s="1"/>
      <c r="C5" s="1"/>
      <c r="D5" s="24"/>
      <c r="E5" s="1"/>
    </row>
    <row r="6" spans="2:5" x14ac:dyDescent="0.45">
      <c r="B6" s="1"/>
      <c r="C6" s="1"/>
      <c r="D6" s="24"/>
      <c r="E6" s="1"/>
    </row>
    <row r="7" spans="2:5" x14ac:dyDescent="0.45">
      <c r="B7" s="1"/>
      <c r="C7" s="1"/>
      <c r="D7" s="24"/>
      <c r="E7" s="1"/>
    </row>
    <row r="9" spans="2:5" x14ac:dyDescent="0.45">
      <c r="B9" t="s">
        <v>13</v>
      </c>
    </row>
    <row r="10" spans="2:5" x14ac:dyDescent="0.45">
      <c r="B10" t="s">
        <v>43</v>
      </c>
    </row>
    <row r="12" spans="2:5" x14ac:dyDescent="0.45">
      <c r="B12" t="s">
        <v>47</v>
      </c>
    </row>
    <row r="13" spans="2:5" x14ac:dyDescent="0.45">
      <c r="B13" t="s">
        <v>44</v>
      </c>
    </row>
    <row r="14" spans="2:5" x14ac:dyDescent="0.45">
      <c r="B14" t="s">
        <v>48</v>
      </c>
    </row>
    <row r="16" spans="2:5" x14ac:dyDescent="0.45">
      <c r="B16" t="s">
        <v>51</v>
      </c>
    </row>
    <row r="17" spans="2:2" x14ac:dyDescent="0.45">
      <c r="B17" t="s">
        <v>52</v>
      </c>
    </row>
    <row r="19" spans="2:2" x14ac:dyDescent="0.45">
      <c r="B19" t="s">
        <v>56</v>
      </c>
    </row>
    <row r="20" spans="2:2" x14ac:dyDescent="0.45">
      <c r="B20" t="s">
        <v>53</v>
      </c>
    </row>
    <row r="21" spans="2:2" x14ac:dyDescent="0.45">
      <c r="B21" t="s">
        <v>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dimension ref="B2:Y11"/>
  <sheetViews>
    <sheetView topLeftCell="M1" zoomScaleNormal="100" workbookViewId="0">
      <selection activeCell="N38" sqref="N38"/>
    </sheetView>
  </sheetViews>
  <sheetFormatPr defaultColWidth="8.796875" defaultRowHeight="14.25" x14ac:dyDescent="0.45"/>
  <cols>
    <col min="1" max="1" width="2.6640625" customWidth="1"/>
    <col min="2" max="18" width="18.6640625" customWidth="1"/>
    <col min="19" max="25" width="18.796875" customWidth="1"/>
  </cols>
  <sheetData>
    <row r="2" spans="2:25" ht="71.25" x14ac:dyDescent="0.45">
      <c r="B2" s="2" t="s">
        <v>34</v>
      </c>
      <c r="C2" s="2" t="s">
        <v>17</v>
      </c>
      <c r="D2" s="2" t="s">
        <v>18</v>
      </c>
      <c r="E2" s="3" t="s">
        <v>35</v>
      </c>
      <c r="F2" s="3" t="s">
        <v>35</v>
      </c>
      <c r="G2" s="2" t="s">
        <v>23</v>
      </c>
      <c r="H2" s="2" t="s">
        <v>24</v>
      </c>
      <c r="I2" s="2" t="s">
        <v>58</v>
      </c>
      <c r="J2" s="2" t="s">
        <v>19</v>
      </c>
      <c r="K2" s="2" t="s">
        <v>50</v>
      </c>
      <c r="L2" s="2" t="s">
        <v>57</v>
      </c>
      <c r="M2" s="2" t="s">
        <v>36</v>
      </c>
      <c r="N2" s="2"/>
      <c r="O2" s="2" t="s">
        <v>15</v>
      </c>
      <c r="P2" s="2" t="s">
        <v>15</v>
      </c>
      <c r="Q2" s="2" t="s">
        <v>39</v>
      </c>
      <c r="R2" s="2" t="s">
        <v>42</v>
      </c>
      <c r="S2" s="2" t="s">
        <v>59</v>
      </c>
      <c r="T2" s="2" t="s">
        <v>61</v>
      </c>
      <c r="U2" s="2"/>
      <c r="V2" s="2"/>
      <c r="W2" s="2"/>
      <c r="X2" s="2"/>
      <c r="Y2" s="2"/>
    </row>
    <row r="3" spans="2:25" ht="15" customHeight="1" x14ac:dyDescent="0.45">
      <c r="B3" s="11" t="s">
        <v>67</v>
      </c>
      <c r="C3" s="11"/>
      <c r="D3" s="11"/>
      <c r="E3" s="11"/>
      <c r="F3" s="11"/>
      <c r="G3" s="12" t="s">
        <v>68</v>
      </c>
      <c r="H3" s="12"/>
      <c r="I3" s="12"/>
      <c r="J3" s="12"/>
      <c r="K3" s="12"/>
      <c r="L3" s="12"/>
      <c r="M3" s="13" t="s">
        <v>69</v>
      </c>
      <c r="N3" s="14"/>
      <c r="O3" s="14"/>
      <c r="P3" s="14"/>
      <c r="Q3" s="14"/>
      <c r="R3" s="14"/>
      <c r="S3" s="15" t="s">
        <v>79</v>
      </c>
      <c r="T3" s="15"/>
      <c r="U3" s="7"/>
      <c r="V3" s="7"/>
      <c r="W3" s="12" t="s">
        <v>92</v>
      </c>
      <c r="X3" s="12"/>
      <c r="Y3" s="12"/>
    </row>
    <row r="4" spans="2:25" ht="42.75" x14ac:dyDescent="0.45">
      <c r="B4" s="4" t="s">
        <v>94</v>
      </c>
      <c r="C4" s="4" t="s">
        <v>0</v>
      </c>
      <c r="D4" s="4" t="s">
        <v>16</v>
      </c>
      <c r="E4" s="4" t="s">
        <v>87</v>
      </c>
      <c r="F4" s="4" t="s">
        <v>88</v>
      </c>
      <c r="G4" s="4" t="s">
        <v>21</v>
      </c>
      <c r="H4" s="4" t="s">
        <v>22</v>
      </c>
      <c r="I4" s="4" t="s">
        <v>49</v>
      </c>
      <c r="J4" s="4" t="s">
        <v>20</v>
      </c>
      <c r="K4" s="4" t="s">
        <v>55</v>
      </c>
      <c r="L4" s="4" t="s">
        <v>75</v>
      </c>
      <c r="M4" s="4" t="s">
        <v>46</v>
      </c>
      <c r="N4" s="4" t="s">
        <v>45</v>
      </c>
      <c r="O4" s="4" t="s">
        <v>70</v>
      </c>
      <c r="P4" s="4" t="s">
        <v>71</v>
      </c>
      <c r="Q4" s="4" t="s">
        <v>38</v>
      </c>
      <c r="R4" s="4" t="s">
        <v>41</v>
      </c>
      <c r="S4" s="4" t="s">
        <v>60</v>
      </c>
      <c r="T4" s="4" t="s">
        <v>91</v>
      </c>
      <c r="U4" s="4"/>
      <c r="V4" s="4"/>
      <c r="W4" s="4" t="s">
        <v>90</v>
      </c>
      <c r="X4" s="4" t="s">
        <v>33</v>
      </c>
      <c r="Y4" s="4" t="s">
        <v>83</v>
      </c>
    </row>
    <row r="5" spans="2:25" x14ac:dyDescent="0.45">
      <c r="B5" s="5" t="s">
        <v>93</v>
      </c>
      <c r="C5" s="5" t="s">
        <v>25</v>
      </c>
      <c r="D5" s="5" t="s">
        <v>64</v>
      </c>
      <c r="E5" s="5" t="s">
        <v>63</v>
      </c>
      <c r="F5" s="5" t="s">
        <v>62</v>
      </c>
      <c r="G5" s="5" t="s">
        <v>11</v>
      </c>
      <c r="H5" s="5" t="s">
        <v>12</v>
      </c>
      <c r="I5" s="5" t="s">
        <v>78</v>
      </c>
      <c r="J5" s="5" t="s">
        <v>10</v>
      </c>
      <c r="K5" s="5" t="s">
        <v>77</v>
      </c>
      <c r="L5" s="5" t="s">
        <v>76</v>
      </c>
      <c r="M5" s="5" t="s">
        <v>26</v>
      </c>
      <c r="N5" s="5" t="s">
        <v>74</v>
      </c>
      <c r="O5" s="6" t="s">
        <v>72</v>
      </c>
      <c r="P5" s="6" t="s">
        <v>73</v>
      </c>
      <c r="Q5" s="6" t="s">
        <v>37</v>
      </c>
      <c r="R5" s="6" t="s">
        <v>40</v>
      </c>
      <c r="S5" s="6" t="s">
        <v>80</v>
      </c>
      <c r="T5" s="6" t="s">
        <v>81</v>
      </c>
      <c r="U5" s="6"/>
      <c r="V5" s="6"/>
      <c r="W5" s="6" t="s">
        <v>65</v>
      </c>
      <c r="X5" s="6" t="s">
        <v>66</v>
      </c>
      <c r="Y5" s="6" t="s">
        <v>82</v>
      </c>
    </row>
    <row r="6" spans="2:25" x14ac:dyDescent="0.45">
      <c r="B6" s="18" t="s">
        <v>27</v>
      </c>
      <c r="C6" s="18" t="s">
        <v>4</v>
      </c>
      <c r="D6" s="19" t="s">
        <v>3</v>
      </c>
      <c r="E6" s="16" t="s">
        <v>89</v>
      </c>
      <c r="F6" s="17">
        <v>45930</v>
      </c>
      <c r="G6" s="20">
        <v>1.2800000000000001E-2</v>
      </c>
      <c r="H6" s="20">
        <v>0.26550000000000001</v>
      </c>
      <c r="I6" s="20">
        <v>9.2999999999999999E-2</v>
      </c>
      <c r="J6" s="21">
        <v>1.6E-2</v>
      </c>
      <c r="K6" s="22">
        <v>12.49</v>
      </c>
      <c r="L6" s="20">
        <v>0.44519999999999998</v>
      </c>
      <c r="M6" s="22">
        <v>11.7</v>
      </c>
      <c r="N6" s="22">
        <v>11.7</v>
      </c>
      <c r="O6" s="22">
        <v>0.99</v>
      </c>
      <c r="P6" s="22">
        <v>0.94</v>
      </c>
      <c r="Q6" s="19">
        <v>0.308</v>
      </c>
      <c r="R6" s="9">
        <f>Q6/O6</f>
        <v>0.31111111111111112</v>
      </c>
      <c r="S6" s="10">
        <f>(I6-g)/(k-g)</f>
        <v>1.3904761904761906</v>
      </c>
      <c r="T6" s="10">
        <f>N6*S6</f>
        <v>16.26857142857143</v>
      </c>
      <c r="U6" s="10"/>
      <c r="V6" s="10"/>
      <c r="W6" s="10">
        <v>7.43</v>
      </c>
      <c r="X6" s="10" t="s">
        <v>3</v>
      </c>
      <c r="Y6" s="8">
        <f>Q6/W6</f>
        <v>4.1453566621803502E-2</v>
      </c>
    </row>
    <row r="7" spans="2:25" x14ac:dyDescent="0.45">
      <c r="B7" s="18" t="s">
        <v>28</v>
      </c>
      <c r="C7" s="18" t="s">
        <v>5</v>
      </c>
      <c r="D7" s="19" t="s">
        <v>3</v>
      </c>
      <c r="E7" s="16" t="s">
        <v>89</v>
      </c>
      <c r="F7" s="17">
        <v>45930</v>
      </c>
      <c r="G7" s="20">
        <v>1.3599999999999999E-2</v>
      </c>
      <c r="H7" s="20">
        <v>0.25530000000000003</v>
      </c>
      <c r="I7" s="20">
        <v>0.1032</v>
      </c>
      <c r="J7" s="21">
        <v>1.7399999999999999E-2</v>
      </c>
      <c r="K7" s="22">
        <v>12.86</v>
      </c>
      <c r="L7" s="20">
        <v>0.4612</v>
      </c>
      <c r="M7" s="22">
        <v>13.5</v>
      </c>
      <c r="N7" s="22">
        <v>13.5</v>
      </c>
      <c r="O7" s="22">
        <v>1.3</v>
      </c>
      <c r="P7" s="22">
        <v>1.29</v>
      </c>
      <c r="Q7" s="19">
        <v>0.38700000000000001</v>
      </c>
      <c r="R7" s="9">
        <f t="shared" ref="R7:R11" si="0">Q7/O7</f>
        <v>0.2976923076923077</v>
      </c>
      <c r="S7" s="10">
        <f>(I7-g)/(k-g)</f>
        <v>1.584761904761905</v>
      </c>
      <c r="T7" s="10">
        <f t="shared" ref="T7:T11" si="1">N7*S7</f>
        <v>21.394285714285719</v>
      </c>
      <c r="U7" s="10"/>
      <c r="V7" s="10"/>
      <c r="W7" s="10">
        <v>8.91</v>
      </c>
      <c r="X7" s="10" t="s">
        <v>3</v>
      </c>
      <c r="Y7" s="8">
        <f>Q7/W7</f>
        <v>4.3434343434343436E-2</v>
      </c>
    </row>
    <row r="8" spans="2:25" x14ac:dyDescent="0.45">
      <c r="B8" s="18" t="s">
        <v>29</v>
      </c>
      <c r="C8" s="18" t="s">
        <v>6</v>
      </c>
      <c r="D8" s="19" t="s">
        <v>3</v>
      </c>
      <c r="E8" s="16" t="s">
        <v>89</v>
      </c>
      <c r="F8" s="17">
        <v>45930</v>
      </c>
      <c r="G8" s="20">
        <v>1.2999999999999999E-2</v>
      </c>
      <c r="H8" s="20">
        <v>0.29139999999999999</v>
      </c>
      <c r="I8" s="20">
        <v>0.1047</v>
      </c>
      <c r="J8" s="21">
        <v>1.5900000000000001E-2</v>
      </c>
      <c r="K8" s="22">
        <v>16.38</v>
      </c>
      <c r="L8" s="20">
        <v>0.40100000000000002</v>
      </c>
      <c r="M8" s="22">
        <v>8.59</v>
      </c>
      <c r="N8" s="22">
        <v>8.59</v>
      </c>
      <c r="O8" s="22">
        <v>0.78</v>
      </c>
      <c r="P8" s="22">
        <v>0.7</v>
      </c>
      <c r="Q8" s="19">
        <v>0.23799999999999999</v>
      </c>
      <c r="R8" s="9">
        <f t="shared" si="0"/>
        <v>0.3051282051282051</v>
      </c>
      <c r="S8" s="10">
        <f>(I8-g)/(k-g)</f>
        <v>1.6133333333333335</v>
      </c>
      <c r="T8" s="10">
        <f t="shared" si="1"/>
        <v>13.858533333333334</v>
      </c>
      <c r="U8" s="10"/>
      <c r="V8" s="10"/>
      <c r="W8" s="10">
        <v>6.96</v>
      </c>
      <c r="X8" s="10" t="s">
        <v>3</v>
      </c>
      <c r="Y8" s="8">
        <f>Q8/W8</f>
        <v>3.4195402298850576E-2</v>
      </c>
    </row>
    <row r="9" spans="2:25" x14ac:dyDescent="0.45">
      <c r="B9" s="18" t="s">
        <v>30</v>
      </c>
      <c r="C9" s="18" t="s">
        <v>7</v>
      </c>
      <c r="D9" s="19" t="s">
        <v>3</v>
      </c>
      <c r="E9" s="16" t="s">
        <v>89</v>
      </c>
      <c r="F9" s="17">
        <v>45930</v>
      </c>
      <c r="G9" s="20">
        <v>1.26E-2</v>
      </c>
      <c r="H9" s="20">
        <v>0.27</v>
      </c>
      <c r="I9" s="20">
        <v>0.09</v>
      </c>
      <c r="J9" s="21">
        <v>1.6E-2</v>
      </c>
      <c r="K9" s="22">
        <v>12.5</v>
      </c>
      <c r="L9" s="20">
        <v>0.38500000000000001</v>
      </c>
      <c r="M9" s="22">
        <v>9.1199999999999992</v>
      </c>
      <c r="N9" s="22">
        <v>9.1199999999999992</v>
      </c>
      <c r="O9" s="22">
        <v>0.75</v>
      </c>
      <c r="P9" s="22">
        <v>0.72</v>
      </c>
      <c r="Q9" s="19">
        <v>0.22900000000000001</v>
      </c>
      <c r="R9" s="9">
        <f t="shared" si="0"/>
        <v>0.30533333333333335</v>
      </c>
      <c r="S9" s="10">
        <f>(I9-g)/(k-g)</f>
        <v>1.3333333333333335</v>
      </c>
      <c r="T9" s="10">
        <f t="shared" si="1"/>
        <v>12.16</v>
      </c>
      <c r="U9" s="10"/>
      <c r="V9" s="10"/>
      <c r="W9" s="10">
        <v>5.38</v>
      </c>
      <c r="X9" s="10" t="s">
        <v>3</v>
      </c>
      <c r="Y9" s="8">
        <f>Q9/W9</f>
        <v>4.2565055762081784E-2</v>
      </c>
    </row>
    <row r="10" spans="2:25" x14ac:dyDescent="0.45">
      <c r="B10" s="18" t="s">
        <v>31</v>
      </c>
      <c r="C10" s="18" t="s">
        <v>8</v>
      </c>
      <c r="D10" s="19" t="s">
        <v>3</v>
      </c>
      <c r="E10" s="16" t="s">
        <v>89</v>
      </c>
      <c r="F10" s="17">
        <v>45930</v>
      </c>
      <c r="G10" s="20">
        <v>1.7000000000000001E-2</v>
      </c>
      <c r="H10" s="20">
        <v>0.3</v>
      </c>
      <c r="I10" s="20">
        <v>8.7400000000000005E-2</v>
      </c>
      <c r="J10" s="21">
        <v>1.5599999999999999E-2</v>
      </c>
      <c r="K10" s="22">
        <v>12.64</v>
      </c>
      <c r="L10" s="20">
        <v>0.47599999999999998</v>
      </c>
      <c r="M10" s="22">
        <v>36.89</v>
      </c>
      <c r="N10" s="22">
        <v>36.89</v>
      </c>
      <c r="O10" s="22">
        <v>3.21</v>
      </c>
      <c r="P10" s="22">
        <v>3.21</v>
      </c>
      <c r="Q10" s="23">
        <v>1.06</v>
      </c>
      <c r="R10" s="9">
        <f t="shared" si="0"/>
        <v>0.33021806853582558</v>
      </c>
      <c r="S10" s="10">
        <f>(I10-g)/(k-g)</f>
        <v>1.283809523809524</v>
      </c>
      <c r="T10" s="10">
        <f t="shared" si="1"/>
        <v>47.359733333333338</v>
      </c>
      <c r="U10" s="10"/>
      <c r="V10" s="10"/>
      <c r="W10" s="10">
        <v>20.09</v>
      </c>
      <c r="X10" s="10" t="s">
        <v>3</v>
      </c>
      <c r="Y10" s="8">
        <f>Q10/W10</f>
        <v>5.2762568442010951E-2</v>
      </c>
    </row>
    <row r="11" spans="2:25" x14ac:dyDescent="0.45">
      <c r="B11" s="18" t="s">
        <v>32</v>
      </c>
      <c r="C11" s="18" t="s">
        <v>9</v>
      </c>
      <c r="D11" s="19" t="s">
        <v>3</v>
      </c>
      <c r="E11" s="16" t="s">
        <v>89</v>
      </c>
      <c r="F11" s="17">
        <v>45930</v>
      </c>
      <c r="G11" s="20">
        <v>1.4E-2</v>
      </c>
      <c r="H11" s="20">
        <v>0.32</v>
      </c>
      <c r="I11" s="20">
        <v>7.9600000000000004E-2</v>
      </c>
      <c r="J11" s="21">
        <v>1.9400000000000001E-2</v>
      </c>
      <c r="K11" s="22">
        <v>16.3</v>
      </c>
      <c r="L11" s="20">
        <v>0.252</v>
      </c>
      <c r="M11" s="22">
        <v>8.44</v>
      </c>
      <c r="N11" s="22">
        <v>8.44</v>
      </c>
      <c r="O11" s="22">
        <v>0.76</v>
      </c>
      <c r="P11" s="22">
        <v>0.76</v>
      </c>
      <c r="Q11" s="23">
        <v>0.24</v>
      </c>
      <c r="R11" s="9">
        <f t="shared" si="0"/>
        <v>0.31578947368421051</v>
      </c>
      <c r="S11" s="10">
        <f>(I11-g)/(k-g)</f>
        <v>1.1352380952380954</v>
      </c>
      <c r="T11" s="10">
        <f t="shared" si="1"/>
        <v>9.5814095238095245</v>
      </c>
      <c r="U11" s="10"/>
      <c r="V11" s="10"/>
      <c r="W11" s="10">
        <v>5.17</v>
      </c>
      <c r="X11" s="10" t="s">
        <v>3</v>
      </c>
      <c r="Y11" s="8">
        <f>Q11/W11</f>
        <v>4.6421663442940041E-2</v>
      </c>
    </row>
  </sheetData>
  <mergeCells count="5">
    <mergeCell ref="B3:F3"/>
    <mergeCell ref="G3:L3"/>
    <mergeCell ref="M3:R3"/>
    <mergeCell ref="S3:T3"/>
    <mergeCell ref="W3:Y3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2</vt:i4>
      </vt:variant>
    </vt:vector>
  </HeadingPairs>
  <TitlesOfParts>
    <vt:vector size="4" baseType="lpstr">
      <vt:lpstr>Assumptions</vt:lpstr>
      <vt:lpstr>_CN_</vt:lpstr>
      <vt:lpstr>g</vt:lpstr>
      <vt:lpstr>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2026-01-22T09:13:14Z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