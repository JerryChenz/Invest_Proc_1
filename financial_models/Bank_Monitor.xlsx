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amanl/PycharmProjects/Invest_Proc/financial_models/"/>
    </mc:Choice>
  </mc:AlternateContent>
  <xr:revisionPtr revIDLastSave="0" documentId="13_ncr:1_{45EC0899-CF6A-5D48-B850-CAE5C38F363B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Assumptions" sheetId="13" r:id="rId1"/>
    <sheet name="_CN_" sheetId="14" r:id="rId2"/>
    <sheet name="Data" sheetId="17" r:id="rId3"/>
    <sheet name="R" sheetId="12" r:id="rId4"/>
    <sheet name="Sheet5" sheetId="16" r:id="rId5"/>
  </sheets>
  <definedNames>
    <definedName name="AuraStyleDefaultsReset" hidden="1">#N/A</definedName>
    <definedName name="benchmark">#REF!</definedName>
    <definedName name="Cash_Yield">#REF!</definedName>
    <definedName name="WW3f877d8e32714ec8a8180854ed7f8276_634328481945590045" hidden="1">#REF!</definedName>
    <definedName name="WW3f877d8e32714ec8a8180854ed7f8276_634328482352282765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1" i="14" l="1"/>
  <c r="R11" i="14"/>
  <c r="U10" i="14"/>
  <c r="R10" i="14"/>
  <c r="U9" i="17"/>
  <c r="R9" i="17"/>
  <c r="U8" i="17"/>
  <c r="R8" i="17"/>
  <c r="U7" i="17"/>
  <c r="R7" i="17"/>
  <c r="U6" i="17"/>
  <c r="R6" i="17"/>
  <c r="U9" i="14"/>
  <c r="R9" i="14"/>
  <c r="U8" i="14"/>
  <c r="R8" i="14"/>
  <c r="U7" i="14"/>
  <c r="U6" i="14"/>
  <c r="R6" i="14"/>
  <c r="R7" i="14"/>
</calcChain>
</file>

<file path=xl/sharedStrings.xml><?xml version="1.0" encoding="utf-8"?>
<sst xmlns="http://schemas.openxmlformats.org/spreadsheetml/2006/main" count="356" uniqueCount="141">
  <si>
    <t>Name</t>
  </si>
  <si>
    <t>Symbol</t>
  </si>
  <si>
    <t>ROE</t>
  </si>
  <si>
    <t>Parameter</t>
  </si>
  <si>
    <t>Value</t>
  </si>
  <si>
    <t>CNY</t>
  </si>
  <si>
    <t>工商银行</t>
  </si>
  <si>
    <t>建设银行</t>
  </si>
  <si>
    <t>农业银行</t>
  </si>
  <si>
    <t>中国银行</t>
  </si>
  <si>
    <t>兴业银行</t>
  </si>
  <si>
    <t>邮政储蓄银行</t>
  </si>
  <si>
    <t>总资产周转率</t>
  </si>
  <si>
    <t>净息差</t>
  </si>
  <si>
    <t>成本收入比</t>
  </si>
  <si>
    <t>Capital Ratio</t>
  </si>
  <si>
    <t>Terminal Growth (g₂)</t>
  </si>
  <si>
    <t>High Growth (g₁)</t>
  </si>
  <si>
    <t>High Growth Period</t>
  </si>
  <si>
    <t>Core Philosophy</t>
  </si>
  <si>
    <t>Calculation</t>
  </si>
  <si>
    <t>Equity / Assets</t>
  </si>
  <si>
    <t>Last FY Net Income</t>
  </si>
  <si>
    <t>Normalized Net Income</t>
  </si>
  <si>
    <t>Last reported Capital Ratio</t>
  </si>
  <si>
    <t>From last FY report</t>
  </si>
  <si>
    <t>ROA</t>
  </si>
  <si>
    <t>Net Income / Assets</t>
  </si>
  <si>
    <t>ROA × Leverage</t>
  </si>
  <si>
    <t>Leverage</t>
  </si>
  <si>
    <t>1/Capital Ratio</t>
  </si>
  <si>
    <t>Stock Price</t>
  </si>
  <si>
    <t>Total Equity per share</t>
  </si>
  <si>
    <t>Total outstanding Shares</t>
  </si>
  <si>
    <t>Report Currency</t>
  </si>
  <si>
    <t>Latest price + currency sign</t>
  </si>
  <si>
    <t>Official Chinese name</t>
  </si>
  <si>
    <t>From latest filings</t>
  </si>
  <si>
    <t>Currency used in financial statements</t>
  </si>
  <si>
    <t>From latest balance sheet</t>
  </si>
  <si>
    <t>Adjusted from past FY data</t>
  </si>
  <si>
    <t>Revenue/Total Assets</t>
  </si>
  <si>
    <t>Total Asset Turnover</t>
  </si>
  <si>
    <t>Net Interest Margin</t>
  </si>
  <si>
    <t>Cost-to-Income Ratio</t>
  </si>
  <si>
    <t>Net Interest Income / Interest - Earnings</t>
  </si>
  <si>
    <t>Operating Expenses / Operating Income</t>
  </si>
  <si>
    <t>股票代码</t>
  </si>
  <si>
    <t>公司名称</t>
  </si>
  <si>
    <t>股价</t>
  </si>
  <si>
    <t>总流通股数</t>
  </si>
  <si>
    <t>报告货币</t>
  </si>
  <si>
    <t>每股净资产</t>
  </si>
  <si>
    <t>最近资本充足率</t>
  </si>
  <si>
    <t>杠杆率</t>
  </si>
  <si>
    <t>上一财年净利润</t>
  </si>
  <si>
    <t>正常化净利润</t>
  </si>
  <si>
    <t>HK:1398 / SH:601398</t>
  </si>
  <si>
    <t>HK:939 / SH:601939</t>
  </si>
  <si>
    <t>HK:1288 / SH:601288</t>
  </si>
  <si>
    <t>HK:3988 / SH:601988</t>
  </si>
  <si>
    <t>SH:601166</t>
  </si>
  <si>
    <t>HK:1658 / SH:601658</t>
  </si>
  <si>
    <t>Trading Currency</t>
  </si>
  <si>
    <t>listed in HK</t>
  </si>
  <si>
    <t>股价货币</t>
  </si>
  <si>
    <t>listed in China</t>
  </si>
  <si>
    <t>报告年度</t>
  </si>
  <si>
    <t>Financial Year End</t>
  </si>
  <si>
    <t>上一份报告结束日期</t>
  </si>
  <si>
    <t>ROA × (1/Capital Ratio)</t>
  </si>
  <si>
    <t>End Date of Last Statement</t>
  </si>
  <si>
    <t>YYYY-MM-DD</t>
  </si>
  <si>
    <t>Currency in which the stock is quoted</t>
  </si>
  <si>
    <t>Latest price (2 Decimal)</t>
  </si>
  <si>
    <t>From latest balance sheet (2 Decimal)</t>
  </si>
  <si>
    <t>上一财年每股净利润</t>
  </si>
  <si>
    <t>上一财年每股股息</t>
  </si>
  <si>
    <t>Last FY Earnings
per share</t>
  </si>
  <si>
    <t>Last FY Dividend
per share</t>
  </si>
  <si>
    <t>From last Financial year</t>
  </si>
  <si>
    <t>派息率</t>
  </si>
  <si>
    <t>Payout Ratio</t>
  </si>
  <si>
    <t>Dividend/Earnings</t>
  </si>
  <si>
    <t>市值</t>
  </si>
  <si>
    <t>Market Capitalization</t>
  </si>
  <si>
    <t>Price * Total outstanding shares</t>
  </si>
  <si>
    <t>CET1 Ratio</t>
  </si>
  <si>
    <t>A Key prudential ratio</t>
  </si>
  <si>
    <t>核心一级资本充足率</t>
  </si>
  <si>
    <t>Fair P/TBV ≈ (ROTCE – g) ÷ (k – g)</t>
  </si>
  <si>
    <t>TBV is Tangible Common Equity.</t>
  </si>
  <si>
    <t>Tangible Common Equity per Share</t>
  </si>
  <si>
    <t>Common Equity per share</t>
  </si>
  <si>
    <t>ROTCE = Core Net income ÷ Tangible common equity (goodwill &amp; intangibles stripped out).</t>
  </si>
  <si>
    <t>Core net income is predictable, high-quality earnings from core operations (e.g., deposits and lending) rather than fluctuating trading activities,</t>
  </si>
  <si>
    <t>ROTCE</t>
  </si>
  <si>
    <t>Total Assets/Total Equity</t>
  </si>
  <si>
    <t>DuPont for ROTCE</t>
  </si>
  <si>
    <t>ROTCE = Net Profit Margin × Asset Turnover × Tangible Equity Multiplier</t>
  </si>
  <si>
    <t>Asset Turnover = Total Revenue / Total Assets</t>
  </si>
  <si>
    <t>Tangible Equity Multiplier = Total Assets / Tangible Common Equity</t>
  </si>
  <si>
    <t>Tangible Equity Multiplier</t>
  </si>
  <si>
    <t>Net Profit Margin = Core Net Income attributable to common shareholders / Total Revenue</t>
  </si>
  <si>
    <t>Core Net Income attributable to common shareholders / Total Revenue</t>
  </si>
  <si>
    <t>Core Net income attributable to common shareholders ÷ Tangible common equity</t>
  </si>
  <si>
    <t>(ROTCE – g) ÷ (k – g)</t>
  </si>
  <si>
    <t>Fair TBV Multiple</t>
  </si>
  <si>
    <t>TBV * Fair TBV Multiple</t>
  </si>
  <si>
    <t>最新财报的截止日期</t>
  </si>
  <si>
    <t>财年结束日期</t>
  </si>
  <si>
    <t>财务报告使用的货币</t>
  </si>
  <si>
    <t>最新股价</t>
  </si>
  <si>
    <t>交易货币</t>
  </si>
  <si>
    <t>Company Info.</t>
  </si>
  <si>
    <t>Profitability &amp; Efficiency</t>
  </si>
  <si>
    <t>Per Share Metrics</t>
  </si>
  <si>
    <t>Last FY EPS</t>
  </si>
  <si>
    <t>Last FY Core EPS</t>
  </si>
  <si>
    <t>上一个财年EPS</t>
  </si>
  <si>
    <t>上一个财年核心EPS</t>
  </si>
  <si>
    <t>每股有形净资产</t>
  </si>
  <si>
    <t>Core Net Income Margin</t>
  </si>
  <si>
    <t>核心净利率</t>
  </si>
  <si>
    <t>有形权益乘数</t>
  </si>
  <si>
    <t>有形普通股回报率</t>
  </si>
  <si>
    <t>Valuation</t>
  </si>
  <si>
    <t>隐含公允市净率</t>
  </si>
  <si>
    <t>隐含公允股价</t>
  </si>
  <si>
    <t>股息率</t>
  </si>
  <si>
    <t>Dividend Yield</t>
  </si>
  <si>
    <t>Cost of Equity (k)</t>
  </si>
  <si>
    <t>g</t>
  </si>
  <si>
    <t>Inflation rate as proxy for long term Growth</t>
  </si>
  <si>
    <t>Remarks</t>
  </si>
  <si>
    <t>Financial Year End
(MM/DD)</t>
  </si>
  <si>
    <t>End Date of Last Statement
(YYYY/MM/DD)</t>
  </si>
  <si>
    <t>12/31</t>
  </si>
  <si>
    <t>Lastest Price</t>
  </si>
  <si>
    <t>Fair Price 
in Trading Currency</t>
  </si>
  <si>
    <t>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</si>
</sst>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7" formatCode="yyyy/mm/dd;@"/>
    <numFmt numFmtId="168" formatCode="#,##0.0000"/>
    <numFmt numFmtId="170" formatCode="#,##0.000"/>
  </numFmts>
  <fonts count="4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24">
    <xf numFmtId="0" fontId="0" fillId="0" borderId="0" xfId="0"/>
    <xf numFmtId="0" fontId="0" fillId="0" borderId="1" xfId="0" applyBorder="1"/>
    <xf numFmtId="0" fontId="3" fillId="0" borderId="1" xfId="0" applyFont="1" applyBorder="1"/>
    <xf numFmtId="10" fontId="0" fillId="0" borderId="1" xfId="0" applyNumberFormat="1" applyBorder="1"/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9" fontId="0" fillId="0" borderId="1" xfId="0" applyNumberFormat="1" applyBorder="1"/>
    <xf numFmtId="0" fontId="0" fillId="5" borderId="2" xfId="0" applyFill="1" applyBorder="1" applyAlignment="1">
      <alignment horizontal="center" vertical="top" wrapText="1"/>
    </xf>
    <xf numFmtId="0" fontId="0" fillId="5" borderId="3" xfId="0" applyFill="1" applyBorder="1" applyAlignment="1">
      <alignment horizontal="center" vertical="top" wrapText="1"/>
    </xf>
    <xf numFmtId="0" fontId="0" fillId="3" borderId="1" xfId="0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top" wrapText="1"/>
    </xf>
    <xf numFmtId="0" fontId="0" fillId="6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170" fontId="0" fillId="0" borderId="1" xfId="0" applyNumberFormat="1" applyBorder="1" applyAlignment="1">
      <alignment horizontal="center"/>
    </xf>
  </cellXfs>
  <cellStyles count="3">
    <cellStyle name="Normal" xfId="0" builtinId="0"/>
    <cellStyle name="Normal 2" xfId="1" xr:uid="{00000000-0005-0000-0000-000001000000}"/>
    <cellStyle name="常规 2" xfId="2" xr:uid="{32ADA8AA-F280-4250-ABBF-7E6B9CB799DC}"/>
  </cellStyles>
  <dxfs count="0"/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2ED91-59EB-437C-A4C2-C114238F9C2A}">
  <dimension ref="B2:E19"/>
  <sheetViews>
    <sheetView workbookViewId="0">
      <selection activeCell="D2" sqref="D2"/>
    </sheetView>
  </sheetViews>
  <sheetFormatPr baseColWidth="10" defaultColWidth="8.83203125" defaultRowHeight="15" x14ac:dyDescent="0.2"/>
  <cols>
    <col min="2" max="3" width="20.6640625" customWidth="1"/>
    <col min="5" max="5" width="36.33203125" customWidth="1"/>
  </cols>
  <sheetData>
    <row r="2" spans="2:5" x14ac:dyDescent="0.2">
      <c r="B2" s="8" t="s">
        <v>3</v>
      </c>
      <c r="C2" s="8" t="s">
        <v>20</v>
      </c>
      <c r="D2" s="8" t="s">
        <v>4</v>
      </c>
      <c r="E2" s="8" t="s">
        <v>134</v>
      </c>
    </row>
    <row r="3" spans="2:5" x14ac:dyDescent="0.2">
      <c r="B3" s="1" t="s">
        <v>15</v>
      </c>
      <c r="C3" s="1" t="s">
        <v>21</v>
      </c>
      <c r="D3" s="3">
        <v>8.5000000000000006E-2</v>
      </c>
      <c r="E3" s="1"/>
    </row>
    <row r="4" spans="2:5" x14ac:dyDescent="0.2">
      <c r="B4" s="1" t="s">
        <v>131</v>
      </c>
      <c r="C4" s="1"/>
      <c r="D4" s="3">
        <v>7.2499999999999995E-2</v>
      </c>
      <c r="E4" s="1"/>
    </row>
    <row r="5" spans="2:5" x14ac:dyDescent="0.2">
      <c r="B5" s="1" t="s">
        <v>132</v>
      </c>
      <c r="C5" s="1"/>
      <c r="D5" s="10">
        <v>0.02</v>
      </c>
      <c r="E5" s="1" t="s">
        <v>133</v>
      </c>
    </row>
    <row r="7" spans="2:5" x14ac:dyDescent="0.2">
      <c r="B7" t="s">
        <v>19</v>
      </c>
    </row>
    <row r="8" spans="2:5" x14ac:dyDescent="0.2">
      <c r="B8" t="s">
        <v>90</v>
      </c>
    </row>
    <row r="10" spans="2:5" x14ac:dyDescent="0.2">
      <c r="B10" t="s">
        <v>94</v>
      </c>
    </row>
    <row r="11" spans="2:5" x14ac:dyDescent="0.2">
      <c r="B11" t="s">
        <v>91</v>
      </c>
    </row>
    <row r="12" spans="2:5" x14ac:dyDescent="0.2">
      <c r="B12" t="s">
        <v>95</v>
      </c>
    </row>
    <row r="14" spans="2:5" x14ac:dyDescent="0.2">
      <c r="B14" t="s">
        <v>98</v>
      </c>
    </row>
    <row r="15" spans="2:5" x14ac:dyDescent="0.2">
      <c r="B15" t="s">
        <v>99</v>
      </c>
    </row>
    <row r="17" spans="2:2" x14ac:dyDescent="0.2">
      <c r="B17" t="s">
        <v>103</v>
      </c>
    </row>
    <row r="18" spans="2:2" x14ac:dyDescent="0.2">
      <c r="B18" t="s">
        <v>100</v>
      </c>
    </row>
    <row r="19" spans="2:2" x14ac:dyDescent="0.2">
      <c r="B19" t="s">
        <v>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8AA2-48F2-4368-B9E3-BA821DC1A767}">
  <dimension ref="B2:W11"/>
  <sheetViews>
    <sheetView tabSelected="1" topLeftCell="Q2" zoomScaleNormal="100" workbookViewId="0">
      <selection activeCell="V7" sqref="V7"/>
    </sheetView>
  </sheetViews>
  <sheetFormatPr baseColWidth="10" defaultColWidth="8.83203125" defaultRowHeight="15" x14ac:dyDescent="0.2"/>
  <cols>
    <col min="1" max="1" width="2.6640625" customWidth="1"/>
    <col min="2" max="21" width="18.6640625" customWidth="1"/>
    <col min="22" max="23" width="18.83203125" customWidth="1"/>
  </cols>
  <sheetData>
    <row r="2" spans="2:23" ht="80" x14ac:dyDescent="0.2">
      <c r="B2" s="4" t="s">
        <v>66</v>
      </c>
      <c r="C2" s="4" t="s">
        <v>36</v>
      </c>
      <c r="D2" s="4" t="s">
        <v>38</v>
      </c>
      <c r="E2" s="5" t="s">
        <v>72</v>
      </c>
      <c r="F2" s="5" t="s">
        <v>72</v>
      </c>
      <c r="G2" s="4" t="s">
        <v>45</v>
      </c>
      <c r="H2" s="4" t="s">
        <v>46</v>
      </c>
      <c r="I2" s="4" t="s">
        <v>105</v>
      </c>
      <c r="J2" s="4" t="s">
        <v>41</v>
      </c>
      <c r="K2" s="4" t="s">
        <v>97</v>
      </c>
      <c r="L2" s="4" t="s">
        <v>104</v>
      </c>
      <c r="M2" s="4" t="s">
        <v>75</v>
      </c>
      <c r="N2" s="4"/>
      <c r="O2" s="4" t="s">
        <v>25</v>
      </c>
      <c r="P2" s="4" t="s">
        <v>25</v>
      </c>
      <c r="Q2" s="4" t="s">
        <v>80</v>
      </c>
      <c r="R2" s="4" t="s">
        <v>83</v>
      </c>
      <c r="S2" s="4"/>
      <c r="T2" s="4"/>
      <c r="U2" s="4"/>
      <c r="V2" s="4" t="s">
        <v>106</v>
      </c>
      <c r="W2" s="4" t="s">
        <v>108</v>
      </c>
    </row>
    <row r="3" spans="2:23" ht="15" customHeight="1" x14ac:dyDescent="0.2">
      <c r="B3" s="13" t="s">
        <v>114</v>
      </c>
      <c r="C3" s="13"/>
      <c r="D3" s="13"/>
      <c r="E3" s="13"/>
      <c r="F3" s="13"/>
      <c r="G3" s="14" t="s">
        <v>115</v>
      </c>
      <c r="H3" s="14"/>
      <c r="I3" s="14"/>
      <c r="J3" s="14"/>
      <c r="K3" s="14"/>
      <c r="L3" s="14"/>
      <c r="M3" s="11" t="s">
        <v>116</v>
      </c>
      <c r="N3" s="12"/>
      <c r="O3" s="12"/>
      <c r="P3" s="12"/>
      <c r="Q3" s="12"/>
      <c r="R3" s="12"/>
      <c r="S3" s="14" t="s">
        <v>140</v>
      </c>
      <c r="T3" s="14"/>
      <c r="U3" s="14"/>
      <c r="V3" s="15" t="s">
        <v>126</v>
      </c>
      <c r="W3" s="15"/>
    </row>
    <row r="4" spans="2:23" ht="48" x14ac:dyDescent="0.2">
      <c r="B4" s="6" t="s">
        <v>1</v>
      </c>
      <c r="C4" s="6" t="s">
        <v>0</v>
      </c>
      <c r="D4" s="6" t="s">
        <v>34</v>
      </c>
      <c r="E4" s="6" t="s">
        <v>135</v>
      </c>
      <c r="F4" s="6" t="s">
        <v>136</v>
      </c>
      <c r="G4" s="6" t="s">
        <v>43</v>
      </c>
      <c r="H4" s="6" t="s">
        <v>44</v>
      </c>
      <c r="I4" s="6" t="s">
        <v>96</v>
      </c>
      <c r="J4" s="6" t="s">
        <v>42</v>
      </c>
      <c r="K4" s="6" t="s">
        <v>102</v>
      </c>
      <c r="L4" s="6" t="s">
        <v>122</v>
      </c>
      <c r="M4" s="6" t="s">
        <v>93</v>
      </c>
      <c r="N4" s="6" t="s">
        <v>92</v>
      </c>
      <c r="O4" s="6" t="s">
        <v>117</v>
      </c>
      <c r="P4" s="6" t="s">
        <v>118</v>
      </c>
      <c r="Q4" s="6" t="s">
        <v>79</v>
      </c>
      <c r="R4" s="6" t="s">
        <v>82</v>
      </c>
      <c r="S4" s="6" t="s">
        <v>138</v>
      </c>
      <c r="T4" s="6" t="s">
        <v>63</v>
      </c>
      <c r="U4" s="6" t="s">
        <v>130</v>
      </c>
      <c r="V4" s="6" t="s">
        <v>107</v>
      </c>
      <c r="W4" s="6" t="s">
        <v>139</v>
      </c>
    </row>
    <row r="5" spans="2:23" ht="16" x14ac:dyDescent="0.2">
      <c r="B5" s="8" t="s">
        <v>47</v>
      </c>
      <c r="C5" s="8" t="s">
        <v>48</v>
      </c>
      <c r="D5" s="8" t="s">
        <v>111</v>
      </c>
      <c r="E5" s="8" t="s">
        <v>110</v>
      </c>
      <c r="F5" s="8" t="s">
        <v>109</v>
      </c>
      <c r="G5" s="8" t="s">
        <v>13</v>
      </c>
      <c r="H5" s="8" t="s">
        <v>14</v>
      </c>
      <c r="I5" s="8" t="s">
        <v>125</v>
      </c>
      <c r="J5" s="8" t="s">
        <v>12</v>
      </c>
      <c r="K5" s="8" t="s">
        <v>124</v>
      </c>
      <c r="L5" s="8" t="s">
        <v>123</v>
      </c>
      <c r="M5" s="8" t="s">
        <v>52</v>
      </c>
      <c r="N5" s="8" t="s">
        <v>121</v>
      </c>
      <c r="O5" s="9" t="s">
        <v>119</v>
      </c>
      <c r="P5" s="9" t="s">
        <v>120</v>
      </c>
      <c r="Q5" s="9" t="s">
        <v>77</v>
      </c>
      <c r="R5" s="9" t="s">
        <v>81</v>
      </c>
      <c r="S5" s="9" t="s">
        <v>112</v>
      </c>
      <c r="T5" s="9" t="s">
        <v>113</v>
      </c>
      <c r="U5" s="9" t="s">
        <v>129</v>
      </c>
      <c r="V5" s="9" t="s">
        <v>127</v>
      </c>
      <c r="W5" s="9" t="s">
        <v>128</v>
      </c>
    </row>
    <row r="6" spans="2:23" x14ac:dyDescent="0.2">
      <c r="B6" s="1" t="s">
        <v>57</v>
      </c>
      <c r="C6" s="1" t="s">
        <v>6</v>
      </c>
      <c r="D6" s="16" t="s">
        <v>5</v>
      </c>
      <c r="E6" s="17" t="s">
        <v>137</v>
      </c>
      <c r="F6" s="18">
        <v>45930</v>
      </c>
      <c r="G6" s="19">
        <v>1.2800000000000001E-2</v>
      </c>
      <c r="H6" s="19">
        <v>0.26550000000000001</v>
      </c>
      <c r="I6" s="19">
        <v>9.2999999999999999E-2</v>
      </c>
      <c r="J6" s="21">
        <v>1.6E-2</v>
      </c>
      <c r="K6" s="22">
        <v>12.49</v>
      </c>
      <c r="L6" s="19">
        <v>0.44519999999999998</v>
      </c>
      <c r="M6" s="22">
        <v>11.7</v>
      </c>
      <c r="N6" s="22">
        <v>11.7</v>
      </c>
      <c r="O6" s="22">
        <v>0.99</v>
      </c>
      <c r="P6" s="22">
        <v>0.94</v>
      </c>
      <c r="Q6" s="16">
        <v>0.308</v>
      </c>
      <c r="R6" s="20">
        <f>Q6/O6</f>
        <v>0.31111111111111112</v>
      </c>
      <c r="S6" s="22">
        <v>7.43</v>
      </c>
      <c r="T6" s="22" t="s">
        <v>5</v>
      </c>
      <c r="U6" s="19">
        <f>Q6/S6</f>
        <v>4.1453566621803502E-2</v>
      </c>
      <c r="V6" s="16">
        <v>1.26</v>
      </c>
      <c r="W6" s="22">
        <v>14.74</v>
      </c>
    </row>
    <row r="7" spans="2:23" x14ac:dyDescent="0.2">
      <c r="B7" s="1" t="s">
        <v>58</v>
      </c>
      <c r="C7" s="1" t="s">
        <v>7</v>
      </c>
      <c r="D7" s="16" t="s">
        <v>5</v>
      </c>
      <c r="E7" s="17" t="s">
        <v>137</v>
      </c>
      <c r="F7" s="18">
        <v>45930</v>
      </c>
      <c r="G7" s="19">
        <v>1.3599999999999999E-2</v>
      </c>
      <c r="H7" s="19">
        <v>0.25530000000000003</v>
      </c>
      <c r="I7" s="19">
        <v>0.1032</v>
      </c>
      <c r="J7" s="21">
        <v>1.7399999999999999E-2</v>
      </c>
      <c r="K7" s="22">
        <v>12.86</v>
      </c>
      <c r="L7" s="19">
        <v>0.4612</v>
      </c>
      <c r="M7" s="22">
        <v>13.5</v>
      </c>
      <c r="N7" s="22">
        <v>13.5</v>
      </c>
      <c r="O7" s="22">
        <v>1.3</v>
      </c>
      <c r="P7" s="22">
        <v>1.29</v>
      </c>
      <c r="Q7" s="16">
        <v>0.38700000000000001</v>
      </c>
      <c r="R7" s="20">
        <f t="shared" ref="R7:R11" si="0">Q7/O7</f>
        <v>0.2976923076923077</v>
      </c>
      <c r="S7" s="22">
        <v>8.91</v>
      </c>
      <c r="T7" s="22" t="s">
        <v>5</v>
      </c>
      <c r="U7" s="19">
        <f>Q7/S7</f>
        <v>4.3434343434343436E-2</v>
      </c>
      <c r="V7" s="16">
        <v>1.46</v>
      </c>
      <c r="W7" s="22">
        <v>19.71</v>
      </c>
    </row>
    <row r="8" spans="2:23" x14ac:dyDescent="0.2">
      <c r="B8" s="1" t="s">
        <v>59</v>
      </c>
      <c r="C8" s="1" t="s">
        <v>8</v>
      </c>
      <c r="D8" s="16" t="s">
        <v>5</v>
      </c>
      <c r="E8" s="17" t="s">
        <v>137</v>
      </c>
      <c r="F8" s="18">
        <v>45930</v>
      </c>
      <c r="G8" s="19">
        <v>1.2999999999999999E-2</v>
      </c>
      <c r="H8" s="19">
        <v>0.29139999999999999</v>
      </c>
      <c r="I8" s="19">
        <v>0.1047</v>
      </c>
      <c r="J8" s="21">
        <v>1.5900000000000001E-2</v>
      </c>
      <c r="K8" s="22">
        <v>16.38</v>
      </c>
      <c r="L8" s="19">
        <v>0.40100000000000002</v>
      </c>
      <c r="M8" s="22">
        <v>8.59</v>
      </c>
      <c r="N8" s="22">
        <v>8.59</v>
      </c>
      <c r="O8" s="22">
        <v>0.78</v>
      </c>
      <c r="P8" s="22">
        <v>0.7</v>
      </c>
      <c r="Q8" s="16">
        <v>0.23799999999999999</v>
      </c>
      <c r="R8" s="20">
        <f t="shared" si="0"/>
        <v>0.3051282051282051</v>
      </c>
      <c r="S8" s="22">
        <v>6.96</v>
      </c>
      <c r="T8" s="22" t="s">
        <v>5</v>
      </c>
      <c r="U8" s="19">
        <f>Q8/S8</f>
        <v>3.4195402298850576E-2</v>
      </c>
      <c r="V8" s="16">
        <v>1.49</v>
      </c>
      <c r="W8" s="22">
        <v>12.8</v>
      </c>
    </row>
    <row r="9" spans="2:23" x14ac:dyDescent="0.2">
      <c r="B9" s="1" t="s">
        <v>60</v>
      </c>
      <c r="C9" s="1" t="s">
        <v>9</v>
      </c>
      <c r="D9" s="16" t="s">
        <v>5</v>
      </c>
      <c r="E9" s="17" t="s">
        <v>137</v>
      </c>
      <c r="F9" s="18">
        <v>45930</v>
      </c>
      <c r="G9" s="19">
        <v>1.26E-2</v>
      </c>
      <c r="H9" s="19">
        <v>0.27</v>
      </c>
      <c r="I9" s="19">
        <v>0.09</v>
      </c>
      <c r="J9" s="21">
        <v>1.6E-2</v>
      </c>
      <c r="K9" s="22">
        <v>12.5</v>
      </c>
      <c r="L9" s="19">
        <v>0.38500000000000001</v>
      </c>
      <c r="M9" s="22">
        <v>9.1199999999999992</v>
      </c>
      <c r="N9" s="22">
        <v>9.1199999999999992</v>
      </c>
      <c r="O9" s="22">
        <v>0.75</v>
      </c>
      <c r="P9" s="22">
        <v>0.72</v>
      </c>
      <c r="Q9" s="16">
        <v>0.22900000000000001</v>
      </c>
      <c r="R9" s="20">
        <f t="shared" si="0"/>
        <v>0.30533333333333335</v>
      </c>
      <c r="S9" s="22">
        <v>5.38</v>
      </c>
      <c r="T9" s="22" t="s">
        <v>5</v>
      </c>
      <c r="U9" s="19">
        <f>Q9/S9</f>
        <v>4.2565055762081784E-2</v>
      </c>
      <c r="V9" s="22">
        <v>1.2</v>
      </c>
      <c r="W9" s="22">
        <v>10.94</v>
      </c>
    </row>
    <row r="10" spans="2:23" x14ac:dyDescent="0.2">
      <c r="B10" s="1" t="s">
        <v>61</v>
      </c>
      <c r="C10" s="1" t="s">
        <v>10</v>
      </c>
      <c r="D10" s="16" t="s">
        <v>5</v>
      </c>
      <c r="E10" s="17" t="s">
        <v>137</v>
      </c>
      <c r="F10" s="18">
        <v>45930</v>
      </c>
      <c r="G10" s="19">
        <v>1.7000000000000001E-2</v>
      </c>
      <c r="H10" s="19">
        <v>0.3</v>
      </c>
      <c r="I10" s="19">
        <v>8.7400000000000005E-2</v>
      </c>
      <c r="J10" s="21">
        <v>1.5599999999999999E-2</v>
      </c>
      <c r="K10" s="22">
        <v>12.64</v>
      </c>
      <c r="L10" s="19">
        <v>0.47599999999999998</v>
      </c>
      <c r="M10" s="22">
        <v>36.89</v>
      </c>
      <c r="N10" s="22">
        <v>36.89</v>
      </c>
      <c r="O10" s="22">
        <v>3.21</v>
      </c>
      <c r="P10" s="22">
        <v>3.21</v>
      </c>
      <c r="Q10" s="23">
        <v>1.06</v>
      </c>
      <c r="R10" s="20">
        <f t="shared" si="0"/>
        <v>0.33021806853582558</v>
      </c>
      <c r="S10" s="22">
        <v>20.09</v>
      </c>
      <c r="T10" s="22" t="s">
        <v>5</v>
      </c>
      <c r="U10" s="19">
        <f>Q10/S10</f>
        <v>5.2762568442010951E-2</v>
      </c>
      <c r="V10" s="22">
        <v>1.1499999999999999</v>
      </c>
      <c r="W10" s="22">
        <v>42.35</v>
      </c>
    </row>
    <row r="11" spans="2:23" x14ac:dyDescent="0.2">
      <c r="B11" s="1" t="s">
        <v>62</v>
      </c>
      <c r="C11" s="1" t="s">
        <v>11</v>
      </c>
      <c r="D11" s="16" t="s">
        <v>5</v>
      </c>
      <c r="E11" s="17" t="s">
        <v>137</v>
      </c>
      <c r="F11" s="18">
        <v>45930</v>
      </c>
      <c r="G11" s="19">
        <v>1.4E-2</v>
      </c>
      <c r="H11" s="19">
        <v>0.32</v>
      </c>
      <c r="I11" s="19">
        <v>7.9600000000000004E-2</v>
      </c>
      <c r="J11" s="21">
        <v>1.9400000000000001E-2</v>
      </c>
      <c r="K11" s="22">
        <v>16.3</v>
      </c>
      <c r="L11" s="19">
        <v>0.252</v>
      </c>
      <c r="M11" s="22">
        <v>8.44</v>
      </c>
      <c r="N11" s="22">
        <v>8.44</v>
      </c>
      <c r="O11" s="22">
        <v>0.76</v>
      </c>
      <c r="P11" s="22">
        <v>0.76</v>
      </c>
      <c r="Q11" s="23">
        <v>0.24</v>
      </c>
      <c r="R11" s="20">
        <f t="shared" si="0"/>
        <v>0.31578947368421051</v>
      </c>
      <c r="S11" s="22">
        <v>5.17</v>
      </c>
      <c r="T11" s="22" t="s">
        <v>5</v>
      </c>
      <c r="U11" s="19">
        <f>Q11/S11</f>
        <v>4.6421663442940041E-2</v>
      </c>
      <c r="V11" s="22">
        <v>0.99</v>
      </c>
      <c r="W11" s="22">
        <v>8.36</v>
      </c>
    </row>
  </sheetData>
  <mergeCells count="5">
    <mergeCell ref="B3:F3"/>
    <mergeCell ref="G3:L3"/>
    <mergeCell ref="M3:R3"/>
    <mergeCell ref="V3:W3"/>
    <mergeCell ref="S3:U3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40EE-867B-1444-82F3-2AF6ED01C016}">
  <dimension ref="B2:W11"/>
  <sheetViews>
    <sheetView topLeftCell="C1" zoomScaleNormal="100" workbookViewId="0">
      <selection activeCell="H10" sqref="H10"/>
    </sheetView>
  </sheetViews>
  <sheetFormatPr baseColWidth="10" defaultColWidth="8.83203125" defaultRowHeight="15" x14ac:dyDescent="0.2"/>
  <cols>
    <col min="1" max="1" width="2.6640625" customWidth="1"/>
    <col min="2" max="21" width="18.6640625" customWidth="1"/>
    <col min="22" max="23" width="18.83203125" customWidth="1"/>
  </cols>
  <sheetData>
    <row r="2" spans="2:23" ht="80" x14ac:dyDescent="0.2">
      <c r="B2" s="4" t="s">
        <v>66</v>
      </c>
      <c r="C2" s="4" t="s">
        <v>36</v>
      </c>
      <c r="D2" s="4" t="s">
        <v>38</v>
      </c>
      <c r="E2" s="5" t="s">
        <v>72</v>
      </c>
      <c r="F2" s="5" t="s">
        <v>72</v>
      </c>
      <c r="G2" s="4" t="s">
        <v>45</v>
      </c>
      <c r="H2" s="4" t="s">
        <v>46</v>
      </c>
      <c r="I2" s="4" t="s">
        <v>105</v>
      </c>
      <c r="J2" s="4" t="s">
        <v>41</v>
      </c>
      <c r="K2" s="4" t="s">
        <v>97</v>
      </c>
      <c r="L2" s="4" t="s">
        <v>104</v>
      </c>
      <c r="M2" s="4" t="s">
        <v>75</v>
      </c>
      <c r="N2" s="4"/>
      <c r="O2" s="4" t="s">
        <v>25</v>
      </c>
      <c r="P2" s="4" t="s">
        <v>25</v>
      </c>
      <c r="Q2" s="4" t="s">
        <v>80</v>
      </c>
      <c r="R2" s="4" t="s">
        <v>83</v>
      </c>
      <c r="S2" s="4"/>
      <c r="T2" s="4"/>
      <c r="U2" s="4"/>
      <c r="V2" s="4" t="s">
        <v>106</v>
      </c>
      <c r="W2" s="4" t="s">
        <v>108</v>
      </c>
    </row>
    <row r="3" spans="2:23" ht="15" customHeight="1" x14ac:dyDescent="0.2">
      <c r="B3" s="13" t="s">
        <v>114</v>
      </c>
      <c r="C3" s="13"/>
      <c r="D3" s="13"/>
      <c r="E3" s="13"/>
      <c r="F3" s="13"/>
      <c r="G3" s="14" t="s">
        <v>115</v>
      </c>
      <c r="H3" s="14"/>
      <c r="I3" s="14"/>
      <c r="J3" s="14"/>
      <c r="K3" s="14"/>
      <c r="L3" s="14"/>
      <c r="M3" s="11" t="s">
        <v>116</v>
      </c>
      <c r="N3" s="12"/>
      <c r="O3" s="12"/>
      <c r="P3" s="12"/>
      <c r="Q3" s="12"/>
      <c r="R3" s="12"/>
      <c r="S3" s="14" t="s">
        <v>140</v>
      </c>
      <c r="T3" s="14"/>
      <c r="U3" s="14"/>
      <c r="V3" s="15" t="s">
        <v>126</v>
      </c>
      <c r="W3" s="15"/>
    </row>
    <row r="4" spans="2:23" ht="48" x14ac:dyDescent="0.2">
      <c r="B4" s="6" t="s">
        <v>1</v>
      </c>
      <c r="C4" s="6" t="s">
        <v>0</v>
      </c>
      <c r="D4" s="6" t="s">
        <v>34</v>
      </c>
      <c r="E4" s="6" t="s">
        <v>135</v>
      </c>
      <c r="F4" s="6" t="s">
        <v>136</v>
      </c>
      <c r="G4" s="6" t="s">
        <v>43</v>
      </c>
      <c r="H4" s="6" t="s">
        <v>44</v>
      </c>
      <c r="I4" s="6" t="s">
        <v>96</v>
      </c>
      <c r="J4" s="6" t="s">
        <v>42</v>
      </c>
      <c r="K4" s="6" t="s">
        <v>102</v>
      </c>
      <c r="L4" s="6" t="s">
        <v>122</v>
      </c>
      <c r="M4" s="6" t="s">
        <v>93</v>
      </c>
      <c r="N4" s="6" t="s">
        <v>92</v>
      </c>
      <c r="O4" s="6" t="s">
        <v>117</v>
      </c>
      <c r="P4" s="6" t="s">
        <v>118</v>
      </c>
      <c r="Q4" s="6" t="s">
        <v>79</v>
      </c>
      <c r="R4" s="6" t="s">
        <v>82</v>
      </c>
      <c r="S4" s="6" t="s">
        <v>138</v>
      </c>
      <c r="T4" s="6" t="s">
        <v>63</v>
      </c>
      <c r="U4" s="6" t="s">
        <v>130</v>
      </c>
      <c r="V4" s="6" t="s">
        <v>107</v>
      </c>
      <c r="W4" s="6" t="s">
        <v>139</v>
      </c>
    </row>
    <row r="5" spans="2:23" ht="16" x14ac:dyDescent="0.2">
      <c r="B5" s="8" t="s">
        <v>47</v>
      </c>
      <c r="C5" s="8" t="s">
        <v>48</v>
      </c>
      <c r="D5" s="8" t="s">
        <v>111</v>
      </c>
      <c r="E5" s="8" t="s">
        <v>110</v>
      </c>
      <c r="F5" s="8" t="s">
        <v>109</v>
      </c>
      <c r="G5" s="8" t="s">
        <v>13</v>
      </c>
      <c r="H5" s="8" t="s">
        <v>14</v>
      </c>
      <c r="I5" s="8" t="s">
        <v>125</v>
      </c>
      <c r="J5" s="8" t="s">
        <v>12</v>
      </c>
      <c r="K5" s="8" t="s">
        <v>124</v>
      </c>
      <c r="L5" s="8" t="s">
        <v>123</v>
      </c>
      <c r="M5" s="8" t="s">
        <v>52</v>
      </c>
      <c r="N5" s="8" t="s">
        <v>121</v>
      </c>
      <c r="O5" s="9" t="s">
        <v>119</v>
      </c>
      <c r="P5" s="9" t="s">
        <v>120</v>
      </c>
      <c r="Q5" s="9" t="s">
        <v>77</v>
      </c>
      <c r="R5" s="9" t="s">
        <v>81</v>
      </c>
      <c r="S5" s="9" t="s">
        <v>112</v>
      </c>
      <c r="T5" s="9" t="s">
        <v>113</v>
      </c>
      <c r="U5" s="9" t="s">
        <v>129</v>
      </c>
      <c r="V5" s="9" t="s">
        <v>127</v>
      </c>
      <c r="W5" s="9" t="s">
        <v>128</v>
      </c>
    </row>
    <row r="6" spans="2:23" x14ac:dyDescent="0.2">
      <c r="B6" s="1" t="s">
        <v>57</v>
      </c>
      <c r="C6" s="1" t="s">
        <v>6</v>
      </c>
      <c r="D6" s="16" t="s">
        <v>5</v>
      </c>
      <c r="E6" s="17" t="s">
        <v>137</v>
      </c>
      <c r="F6" s="18">
        <v>45930</v>
      </c>
      <c r="G6" s="19">
        <v>1.2800000000000001E-2</v>
      </c>
      <c r="H6" s="19">
        <v>0.26550000000000001</v>
      </c>
      <c r="I6" s="19">
        <v>9.2999999999999999E-2</v>
      </c>
      <c r="J6" s="21">
        <v>1.6E-2</v>
      </c>
      <c r="K6" s="22">
        <v>12.49</v>
      </c>
      <c r="L6" s="19">
        <v>0.44519999999999998</v>
      </c>
      <c r="M6" s="22">
        <v>11.7</v>
      </c>
      <c r="N6" s="22">
        <v>11.7</v>
      </c>
      <c r="O6" s="22">
        <v>0.99</v>
      </c>
      <c r="P6" s="22">
        <v>0.94</v>
      </c>
      <c r="Q6" s="16">
        <v>0.308</v>
      </c>
      <c r="R6" s="20">
        <f>Q6/O6</f>
        <v>0.31111111111111112</v>
      </c>
      <c r="S6" s="22">
        <v>7.43</v>
      </c>
      <c r="T6" s="22" t="s">
        <v>5</v>
      </c>
      <c r="U6" s="19">
        <f>Q6/S6</f>
        <v>4.1453566621803502E-2</v>
      </c>
      <c r="V6" s="16">
        <v>1.26</v>
      </c>
      <c r="W6" s="22">
        <v>14.74</v>
      </c>
    </row>
    <row r="7" spans="2:23" x14ac:dyDescent="0.2">
      <c r="B7" s="1" t="s">
        <v>58</v>
      </c>
      <c r="C7" s="1" t="s">
        <v>7</v>
      </c>
      <c r="D7" s="16" t="s">
        <v>5</v>
      </c>
      <c r="E7" s="17" t="s">
        <v>137</v>
      </c>
      <c r="F7" s="18">
        <v>45930</v>
      </c>
      <c r="G7" s="19">
        <v>1.3599999999999999E-2</v>
      </c>
      <c r="H7" s="19">
        <v>0.25530000000000003</v>
      </c>
      <c r="I7" s="19">
        <v>0.1032</v>
      </c>
      <c r="J7" s="21">
        <v>1.7399999999999999E-2</v>
      </c>
      <c r="K7" s="22">
        <v>12.86</v>
      </c>
      <c r="L7" s="19">
        <v>0.4612</v>
      </c>
      <c r="M7" s="22">
        <v>13.5</v>
      </c>
      <c r="N7" s="22">
        <v>13.5</v>
      </c>
      <c r="O7" s="22">
        <v>1.3</v>
      </c>
      <c r="P7" s="22">
        <v>1.29</v>
      </c>
      <c r="Q7" s="16">
        <v>0.38700000000000001</v>
      </c>
      <c r="R7" s="20">
        <f t="shared" ref="R7:R9" si="0">Q7/O7</f>
        <v>0.2976923076923077</v>
      </c>
      <c r="S7" s="22">
        <v>8.91</v>
      </c>
      <c r="T7" s="22" t="s">
        <v>5</v>
      </c>
      <c r="U7" s="19">
        <f>Q7/S7</f>
        <v>4.3434343434343436E-2</v>
      </c>
      <c r="V7" s="16">
        <v>1.46</v>
      </c>
      <c r="W7" s="22">
        <v>19.71</v>
      </c>
    </row>
    <row r="8" spans="2:23" x14ac:dyDescent="0.2">
      <c r="B8" s="1" t="s">
        <v>59</v>
      </c>
      <c r="C8" s="1" t="s">
        <v>8</v>
      </c>
      <c r="D8" s="16" t="s">
        <v>5</v>
      </c>
      <c r="E8" s="17" t="s">
        <v>137</v>
      </c>
      <c r="F8" s="18">
        <v>45930</v>
      </c>
      <c r="G8" s="19">
        <v>1.2999999999999999E-2</v>
      </c>
      <c r="H8" s="19">
        <v>0.29139999999999999</v>
      </c>
      <c r="I8" s="19">
        <v>0.1047</v>
      </c>
      <c r="J8" s="21">
        <v>1.5900000000000001E-2</v>
      </c>
      <c r="K8" s="22">
        <v>16.38</v>
      </c>
      <c r="L8" s="19">
        <v>0.40100000000000002</v>
      </c>
      <c r="M8" s="22">
        <v>8.59</v>
      </c>
      <c r="N8" s="22">
        <v>8.59</v>
      </c>
      <c r="O8" s="22">
        <v>0.78</v>
      </c>
      <c r="P8" s="22">
        <v>0.7</v>
      </c>
      <c r="Q8" s="16">
        <v>0.23799999999999999</v>
      </c>
      <c r="R8" s="20">
        <f t="shared" si="0"/>
        <v>0.3051282051282051</v>
      </c>
      <c r="S8" s="22">
        <v>6.96</v>
      </c>
      <c r="T8" s="22" t="s">
        <v>5</v>
      </c>
      <c r="U8" s="19">
        <f>Q8/S8</f>
        <v>3.4195402298850576E-2</v>
      </c>
      <c r="V8" s="16">
        <v>1.49</v>
      </c>
      <c r="W8" s="22">
        <v>12.8</v>
      </c>
    </row>
    <row r="9" spans="2:23" x14ac:dyDescent="0.2">
      <c r="B9" s="1" t="s">
        <v>60</v>
      </c>
      <c r="C9" s="1" t="s">
        <v>9</v>
      </c>
      <c r="D9" s="16" t="s">
        <v>5</v>
      </c>
      <c r="E9" s="17" t="s">
        <v>137</v>
      </c>
      <c r="F9" s="18">
        <v>45930</v>
      </c>
      <c r="G9" s="19">
        <v>1.26E-2</v>
      </c>
      <c r="H9" s="19">
        <v>0.27</v>
      </c>
      <c r="I9" s="19">
        <v>0.09</v>
      </c>
      <c r="J9" s="21">
        <v>1.6E-2</v>
      </c>
      <c r="K9" s="22">
        <v>12.5</v>
      </c>
      <c r="L9" s="19">
        <v>0.38500000000000001</v>
      </c>
      <c r="M9" s="22">
        <v>9.1199999999999992</v>
      </c>
      <c r="N9" s="22">
        <v>9.1199999999999992</v>
      </c>
      <c r="O9" s="22">
        <v>0.75</v>
      </c>
      <c r="P9" s="22">
        <v>0.72</v>
      </c>
      <c r="Q9" s="16">
        <v>0.22900000000000001</v>
      </c>
      <c r="R9" s="20">
        <f t="shared" si="0"/>
        <v>0.30533333333333335</v>
      </c>
      <c r="S9" s="22">
        <v>5.38</v>
      </c>
      <c r="T9" s="22" t="s">
        <v>5</v>
      </c>
      <c r="U9" s="19">
        <f>Q9/S9</f>
        <v>4.2565055762081784E-2</v>
      </c>
      <c r="V9" s="16">
        <v>1.2</v>
      </c>
      <c r="W9" s="22">
        <v>10.94</v>
      </c>
    </row>
    <row r="10" spans="2:23" x14ac:dyDescent="0.2">
      <c r="B10" s="1" t="s">
        <v>61</v>
      </c>
      <c r="C10" s="1" t="s">
        <v>10</v>
      </c>
      <c r="D10" s="16" t="s">
        <v>5</v>
      </c>
      <c r="E10" s="17" t="s">
        <v>137</v>
      </c>
      <c r="F10" s="18">
        <v>45930</v>
      </c>
      <c r="G10" s="16"/>
      <c r="H10" s="16"/>
      <c r="I10" s="16"/>
      <c r="J10" s="21"/>
      <c r="K10" s="22"/>
      <c r="L10" s="19"/>
      <c r="M10" s="22"/>
      <c r="N10" s="22"/>
      <c r="O10" s="22"/>
      <c r="P10" s="22"/>
      <c r="Q10" s="16"/>
      <c r="R10" s="20"/>
      <c r="S10" s="22"/>
      <c r="T10" s="22" t="s">
        <v>5</v>
      </c>
      <c r="U10" s="16"/>
      <c r="V10" s="16"/>
      <c r="W10" s="22"/>
    </row>
    <row r="11" spans="2:23" x14ac:dyDescent="0.2">
      <c r="B11" s="1" t="s">
        <v>62</v>
      </c>
      <c r="C11" s="1" t="s">
        <v>11</v>
      </c>
      <c r="D11" s="16" t="s">
        <v>5</v>
      </c>
      <c r="E11" s="17" t="s">
        <v>137</v>
      </c>
      <c r="F11" s="18">
        <v>45930</v>
      </c>
      <c r="G11" s="16"/>
      <c r="H11" s="16"/>
      <c r="I11" s="16"/>
      <c r="J11" s="21"/>
      <c r="K11" s="22"/>
      <c r="L11" s="19"/>
      <c r="M11" s="22"/>
      <c r="N11" s="22"/>
      <c r="O11" s="22"/>
      <c r="P11" s="22"/>
      <c r="Q11" s="16"/>
      <c r="R11" s="20"/>
      <c r="S11" s="22"/>
      <c r="T11" s="22" t="s">
        <v>5</v>
      </c>
      <c r="U11" s="16"/>
      <c r="V11" s="16"/>
      <c r="W11" s="22"/>
    </row>
  </sheetData>
  <mergeCells count="5">
    <mergeCell ref="B3:F3"/>
    <mergeCell ref="G3:L3"/>
    <mergeCell ref="M3:R3"/>
    <mergeCell ref="S3:U3"/>
    <mergeCell ref="V3:W3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42D8-FD59-4EBD-B3EE-552DD1A594AB}">
  <dimension ref="B2:L21"/>
  <sheetViews>
    <sheetView topLeftCell="D1" workbookViewId="0">
      <selection activeCell="F38" sqref="F38"/>
    </sheetView>
  </sheetViews>
  <sheetFormatPr baseColWidth="10" defaultColWidth="8.83203125" defaultRowHeight="15" x14ac:dyDescent="0.2"/>
  <cols>
    <col min="1" max="1" width="2.6640625" customWidth="1"/>
    <col min="2" max="2" width="32.6640625" bestFit="1" customWidth="1"/>
    <col min="3" max="4" width="22.6640625" customWidth="1"/>
    <col min="5" max="12" width="18.6640625" customWidth="1"/>
  </cols>
  <sheetData>
    <row r="2" spans="2:12" x14ac:dyDescent="0.2">
      <c r="B2" s="1" t="s">
        <v>64</v>
      </c>
      <c r="C2" s="2" t="s">
        <v>1</v>
      </c>
      <c r="D2" s="2" t="s">
        <v>47</v>
      </c>
      <c r="E2" s="1" t="s">
        <v>57</v>
      </c>
      <c r="F2" s="1" t="s">
        <v>58</v>
      </c>
      <c r="G2" s="1" t="s">
        <v>59</v>
      </c>
      <c r="H2" s="1" t="s">
        <v>60</v>
      </c>
      <c r="I2" s="1" t="s">
        <v>61</v>
      </c>
      <c r="J2" s="1" t="s">
        <v>62</v>
      </c>
      <c r="K2" s="1"/>
      <c r="L2" s="1"/>
    </row>
    <row r="3" spans="2:12" x14ac:dyDescent="0.2">
      <c r="B3" s="1" t="s">
        <v>36</v>
      </c>
      <c r="C3" s="2" t="s">
        <v>0</v>
      </c>
      <c r="D3" s="2" t="s">
        <v>48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/>
      <c r="L3" s="1"/>
    </row>
    <row r="4" spans="2:12" x14ac:dyDescent="0.2">
      <c r="B4" s="1"/>
      <c r="C4" s="2" t="s">
        <v>63</v>
      </c>
      <c r="D4" s="2"/>
      <c r="E4" s="1"/>
      <c r="F4" s="1"/>
      <c r="G4" s="1"/>
      <c r="H4" s="1"/>
      <c r="I4" s="1"/>
      <c r="J4" s="1"/>
      <c r="K4" s="1"/>
      <c r="L4" s="1"/>
    </row>
    <row r="5" spans="2:12" x14ac:dyDescent="0.2">
      <c r="B5" s="1" t="s">
        <v>35</v>
      </c>
      <c r="C5" s="2" t="s">
        <v>31</v>
      </c>
      <c r="D5" s="2" t="s">
        <v>49</v>
      </c>
      <c r="E5" s="1"/>
      <c r="F5" s="1"/>
      <c r="G5" s="1"/>
      <c r="H5" s="1"/>
      <c r="I5" s="1"/>
      <c r="J5" s="1"/>
      <c r="K5" s="1"/>
      <c r="L5" s="1"/>
    </row>
    <row r="6" spans="2:12" x14ac:dyDescent="0.2">
      <c r="B6" s="1" t="s">
        <v>37</v>
      </c>
      <c r="C6" s="2" t="s">
        <v>33</v>
      </c>
      <c r="D6" s="2" t="s">
        <v>50</v>
      </c>
      <c r="E6" s="1"/>
      <c r="F6" s="1"/>
      <c r="G6" s="1"/>
      <c r="H6" s="1"/>
      <c r="I6" s="1"/>
      <c r="J6" s="1"/>
      <c r="K6" s="1"/>
      <c r="L6" s="1"/>
    </row>
    <row r="7" spans="2:12" x14ac:dyDescent="0.2">
      <c r="B7" s="1" t="s">
        <v>38</v>
      </c>
      <c r="C7" s="2" t="s">
        <v>34</v>
      </c>
      <c r="D7" s="2" t="s">
        <v>51</v>
      </c>
      <c r="E7" s="1"/>
      <c r="F7" s="1"/>
      <c r="G7" s="1"/>
      <c r="H7" s="1"/>
      <c r="I7" s="1"/>
      <c r="J7" s="1"/>
      <c r="K7" s="1"/>
      <c r="L7" s="1"/>
    </row>
    <row r="8" spans="2:12" x14ac:dyDescent="0.2">
      <c r="B8" s="1" t="s">
        <v>39</v>
      </c>
      <c r="C8" s="2" t="s">
        <v>32</v>
      </c>
      <c r="D8" s="2" t="s">
        <v>52</v>
      </c>
      <c r="E8" s="1"/>
      <c r="F8" s="1"/>
      <c r="G8" s="1"/>
      <c r="H8" s="1"/>
      <c r="I8" s="1"/>
      <c r="J8" s="1"/>
      <c r="K8" s="1"/>
      <c r="L8" s="1"/>
    </row>
    <row r="9" spans="2:12" x14ac:dyDescent="0.2">
      <c r="B9" s="1" t="s">
        <v>39</v>
      </c>
      <c r="C9" s="2" t="s">
        <v>24</v>
      </c>
      <c r="D9" s="2" t="s">
        <v>53</v>
      </c>
      <c r="E9" s="1"/>
      <c r="F9" s="1"/>
      <c r="G9" s="1"/>
      <c r="H9" s="1"/>
      <c r="I9" s="1"/>
      <c r="J9" s="1"/>
      <c r="K9" s="1"/>
      <c r="L9" s="1"/>
    </row>
    <row r="10" spans="2:12" x14ac:dyDescent="0.2">
      <c r="B10" s="1" t="s">
        <v>30</v>
      </c>
      <c r="C10" s="2" t="s">
        <v>29</v>
      </c>
      <c r="D10" s="2" t="s">
        <v>54</v>
      </c>
      <c r="E10" s="1"/>
      <c r="F10" s="1"/>
      <c r="G10" s="1"/>
      <c r="H10" s="1"/>
      <c r="I10" s="1"/>
      <c r="J10" s="1"/>
      <c r="K10" s="1"/>
      <c r="L10" s="1"/>
    </row>
    <row r="11" spans="2:12" x14ac:dyDescent="0.2">
      <c r="B11" s="1" t="s">
        <v>27</v>
      </c>
      <c r="C11" s="2" t="s">
        <v>26</v>
      </c>
      <c r="D11" s="2" t="s">
        <v>26</v>
      </c>
      <c r="E11" s="1"/>
      <c r="F11" s="1"/>
      <c r="G11" s="1"/>
      <c r="H11" s="1"/>
      <c r="I11" s="1"/>
      <c r="J11" s="1"/>
      <c r="K11" s="1"/>
      <c r="L11" s="1"/>
    </row>
    <row r="12" spans="2:12" x14ac:dyDescent="0.2">
      <c r="B12" s="1" t="s">
        <v>28</v>
      </c>
      <c r="C12" s="2" t="s">
        <v>2</v>
      </c>
      <c r="D12" s="2" t="s">
        <v>2</v>
      </c>
      <c r="E12" s="1"/>
      <c r="F12" s="1"/>
      <c r="G12" s="1"/>
      <c r="H12" s="1"/>
      <c r="I12" s="1"/>
      <c r="J12" s="1"/>
      <c r="K12" s="1"/>
      <c r="L12" s="1"/>
    </row>
    <row r="13" spans="2:12" x14ac:dyDescent="0.2">
      <c r="B13" s="1" t="s">
        <v>25</v>
      </c>
      <c r="C13" s="2" t="s">
        <v>22</v>
      </c>
      <c r="D13" s="2" t="s">
        <v>55</v>
      </c>
      <c r="E13" s="1"/>
      <c r="F13" s="1"/>
      <c r="G13" s="1"/>
      <c r="H13" s="1"/>
      <c r="I13" s="1"/>
      <c r="J13" s="1"/>
      <c r="K13" s="1"/>
      <c r="L13" s="1"/>
    </row>
    <row r="14" spans="2:12" x14ac:dyDescent="0.2">
      <c r="B14" s="1" t="s">
        <v>40</v>
      </c>
      <c r="C14" s="2" t="s">
        <v>23</v>
      </c>
      <c r="D14" s="2" t="s">
        <v>56</v>
      </c>
      <c r="E14" s="1"/>
      <c r="F14" s="1"/>
      <c r="G14" s="1"/>
      <c r="H14" s="1"/>
      <c r="I14" s="1"/>
      <c r="J14" s="1"/>
      <c r="K14" s="1"/>
      <c r="L14" s="1"/>
    </row>
    <row r="15" spans="2:12" x14ac:dyDescent="0.2">
      <c r="B15" s="1" t="s">
        <v>41</v>
      </c>
      <c r="C15" s="2" t="s">
        <v>42</v>
      </c>
      <c r="D15" s="2" t="s">
        <v>12</v>
      </c>
      <c r="E15" s="1"/>
      <c r="F15" s="1"/>
      <c r="G15" s="1"/>
      <c r="H15" s="1"/>
      <c r="I15" s="1"/>
      <c r="J15" s="1"/>
      <c r="K15" s="1"/>
      <c r="L15" s="1"/>
    </row>
    <row r="16" spans="2:12" x14ac:dyDescent="0.2">
      <c r="B16" s="1" t="s">
        <v>45</v>
      </c>
      <c r="C16" s="2" t="s">
        <v>43</v>
      </c>
      <c r="D16" s="2" t="s">
        <v>13</v>
      </c>
      <c r="E16" s="1"/>
      <c r="F16" s="1"/>
      <c r="G16" s="1"/>
      <c r="H16" s="1"/>
      <c r="I16" s="1"/>
      <c r="J16" s="1"/>
      <c r="K16" s="1"/>
      <c r="L16" s="1"/>
    </row>
    <row r="17" spans="2:12" x14ac:dyDescent="0.2">
      <c r="B17" s="1" t="s">
        <v>46</v>
      </c>
      <c r="C17" s="2" t="s">
        <v>44</v>
      </c>
      <c r="D17" s="2" t="s">
        <v>14</v>
      </c>
      <c r="E17" s="1"/>
      <c r="F17" s="1"/>
      <c r="G17" s="1"/>
      <c r="H17" s="1"/>
      <c r="I17" s="1"/>
      <c r="J17" s="1"/>
      <c r="K17" s="1"/>
      <c r="L17" s="1"/>
    </row>
    <row r="18" spans="2:12" x14ac:dyDescent="0.2">
      <c r="B18" s="1"/>
      <c r="C18" s="1" t="s">
        <v>17</v>
      </c>
      <c r="D18" s="2"/>
      <c r="E18" s="1"/>
      <c r="F18" s="1"/>
      <c r="G18" s="1"/>
      <c r="H18" s="1"/>
      <c r="I18" s="1"/>
      <c r="J18" s="1"/>
      <c r="K18" s="1"/>
      <c r="L18" s="1"/>
    </row>
    <row r="19" spans="2:12" x14ac:dyDescent="0.2">
      <c r="B19" s="1"/>
      <c r="C19" s="1" t="s">
        <v>16</v>
      </c>
      <c r="D19" s="2"/>
      <c r="E19" s="1"/>
      <c r="F19" s="1"/>
      <c r="G19" s="1"/>
      <c r="H19" s="1"/>
      <c r="I19" s="1"/>
      <c r="J19" s="1"/>
      <c r="K19" s="1"/>
      <c r="L19" s="1"/>
    </row>
    <row r="20" spans="2:12" x14ac:dyDescent="0.2">
      <c r="B20" s="1"/>
      <c r="C20" s="1" t="s">
        <v>16</v>
      </c>
      <c r="D20" s="2"/>
      <c r="E20" s="1"/>
      <c r="F20" s="1"/>
      <c r="G20" s="1"/>
      <c r="H20" s="1"/>
      <c r="I20" s="1"/>
      <c r="J20" s="1"/>
      <c r="K20" s="1"/>
      <c r="L20" s="1"/>
    </row>
    <row r="21" spans="2:12" x14ac:dyDescent="0.2">
      <c r="B21" s="1"/>
      <c r="C21" s="1" t="s">
        <v>18</v>
      </c>
      <c r="D21" s="2"/>
      <c r="E21" s="1"/>
      <c r="F21" s="1"/>
      <c r="G21" s="1"/>
      <c r="H21" s="1"/>
      <c r="I21" s="1"/>
      <c r="J21" s="1"/>
      <c r="K21" s="1"/>
      <c r="L21" s="1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76F13-239D-4B57-808C-A408C5C0333E}">
  <dimension ref="B2:J20"/>
  <sheetViews>
    <sheetView topLeftCell="B1" workbookViewId="0">
      <selection activeCell="E16" sqref="E16"/>
    </sheetView>
  </sheetViews>
  <sheetFormatPr baseColWidth="10" defaultColWidth="8.83203125" defaultRowHeight="15" x14ac:dyDescent="0.2"/>
  <cols>
    <col min="1" max="1" width="2.6640625" customWidth="1"/>
    <col min="2" max="4" width="15.6640625" customWidth="1"/>
    <col min="5" max="10" width="18.6640625" customWidth="1"/>
  </cols>
  <sheetData>
    <row r="2" spans="2:10" ht="16" x14ac:dyDescent="0.2">
      <c r="B2" s="4" t="s">
        <v>66</v>
      </c>
      <c r="C2" s="6" t="s">
        <v>1</v>
      </c>
      <c r="D2" s="6" t="s">
        <v>47</v>
      </c>
      <c r="E2" s="1" t="s">
        <v>57</v>
      </c>
      <c r="F2" s="1" t="s">
        <v>58</v>
      </c>
      <c r="G2" s="1" t="s">
        <v>59</v>
      </c>
      <c r="H2" s="1" t="s">
        <v>60</v>
      </c>
      <c r="I2" s="1" t="s">
        <v>61</v>
      </c>
      <c r="J2" s="1" t="s">
        <v>62</v>
      </c>
    </row>
    <row r="3" spans="2:10" ht="32" x14ac:dyDescent="0.2">
      <c r="B3" s="4" t="s">
        <v>36</v>
      </c>
      <c r="C3" s="6" t="s">
        <v>0</v>
      </c>
      <c r="D3" s="6" t="s">
        <v>48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</row>
    <row r="4" spans="2:10" ht="32" x14ac:dyDescent="0.2">
      <c r="B4" s="4" t="s">
        <v>73</v>
      </c>
      <c r="C4" s="6" t="s">
        <v>63</v>
      </c>
      <c r="D4" s="6" t="s">
        <v>65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</row>
    <row r="5" spans="2:10" ht="32" x14ac:dyDescent="0.2">
      <c r="B5" s="4" t="s">
        <v>74</v>
      </c>
      <c r="C5" s="6" t="s">
        <v>31</v>
      </c>
      <c r="D5" s="6" t="s">
        <v>49</v>
      </c>
      <c r="E5" s="1"/>
      <c r="F5" s="1"/>
      <c r="G5" s="1"/>
      <c r="H5" s="1"/>
      <c r="I5" s="1"/>
      <c r="J5" s="1"/>
    </row>
    <row r="6" spans="2:10" ht="32" x14ac:dyDescent="0.2">
      <c r="B6" s="4" t="s">
        <v>86</v>
      </c>
      <c r="C6" s="6" t="s">
        <v>85</v>
      </c>
      <c r="D6" s="6" t="s">
        <v>84</v>
      </c>
      <c r="E6" s="1"/>
      <c r="F6" s="1"/>
      <c r="G6" s="1"/>
      <c r="H6" s="1"/>
      <c r="I6" s="1"/>
      <c r="J6" s="1"/>
    </row>
    <row r="7" spans="2:10" ht="16" x14ac:dyDescent="0.2">
      <c r="B7" s="5" t="s">
        <v>72</v>
      </c>
      <c r="C7" s="7" t="s">
        <v>68</v>
      </c>
      <c r="D7" s="6" t="s">
        <v>67</v>
      </c>
      <c r="E7" s="1"/>
      <c r="F7" s="1"/>
      <c r="G7" s="1"/>
      <c r="H7" s="1"/>
      <c r="I7" s="1"/>
      <c r="J7" s="1"/>
    </row>
    <row r="8" spans="2:10" ht="32" x14ac:dyDescent="0.2">
      <c r="B8" s="5" t="s">
        <v>72</v>
      </c>
      <c r="C8" s="6" t="s">
        <v>71</v>
      </c>
      <c r="D8" s="6" t="s">
        <v>69</v>
      </c>
      <c r="E8" s="1"/>
      <c r="F8" s="1"/>
      <c r="G8" s="1"/>
      <c r="H8" s="1"/>
      <c r="I8" s="1"/>
      <c r="J8" s="1"/>
    </row>
    <row r="9" spans="2:10" ht="48" x14ac:dyDescent="0.2">
      <c r="B9" s="4" t="s">
        <v>38</v>
      </c>
      <c r="C9" s="6" t="s">
        <v>34</v>
      </c>
      <c r="D9" s="6" t="s">
        <v>51</v>
      </c>
      <c r="E9" s="1" t="s">
        <v>5</v>
      </c>
      <c r="F9" s="1" t="s">
        <v>5</v>
      </c>
      <c r="G9" s="1" t="s">
        <v>5</v>
      </c>
      <c r="H9" s="1" t="s">
        <v>5</v>
      </c>
      <c r="I9" s="1" t="s">
        <v>5</v>
      </c>
      <c r="J9" s="1" t="s">
        <v>5</v>
      </c>
    </row>
    <row r="10" spans="2:10" ht="48" x14ac:dyDescent="0.2">
      <c r="B10" s="4" t="s">
        <v>75</v>
      </c>
      <c r="C10" s="6" t="s">
        <v>32</v>
      </c>
      <c r="D10" s="6" t="s">
        <v>52</v>
      </c>
      <c r="E10" s="1"/>
      <c r="F10" s="1"/>
      <c r="G10" s="1"/>
      <c r="H10" s="1"/>
      <c r="I10" s="1"/>
      <c r="J10" s="1"/>
    </row>
    <row r="11" spans="2:10" ht="32" x14ac:dyDescent="0.2">
      <c r="B11" s="4" t="s">
        <v>25</v>
      </c>
      <c r="C11" s="6" t="s">
        <v>78</v>
      </c>
      <c r="D11" s="6" t="s">
        <v>76</v>
      </c>
      <c r="E11" s="1"/>
      <c r="F11" s="1"/>
      <c r="G11" s="1"/>
      <c r="H11" s="1"/>
      <c r="I11" s="1"/>
      <c r="J11" s="1"/>
    </row>
    <row r="12" spans="2:10" ht="32" x14ac:dyDescent="0.2">
      <c r="B12" s="4" t="s">
        <v>80</v>
      </c>
      <c r="C12" s="6" t="s">
        <v>79</v>
      </c>
      <c r="D12" s="6" t="s">
        <v>77</v>
      </c>
      <c r="E12" s="1"/>
      <c r="F12" s="1"/>
      <c r="G12" s="1"/>
      <c r="H12" s="1"/>
      <c r="I12" s="1"/>
      <c r="J12" s="1"/>
    </row>
    <row r="13" spans="2:10" ht="16" x14ac:dyDescent="0.2">
      <c r="B13" s="4" t="s">
        <v>83</v>
      </c>
      <c r="C13" s="6" t="s">
        <v>82</v>
      </c>
      <c r="D13" s="6" t="s">
        <v>81</v>
      </c>
      <c r="E13" s="1"/>
      <c r="F13" s="1"/>
      <c r="G13" s="1"/>
      <c r="H13" s="1"/>
      <c r="I13" s="1"/>
      <c r="J13" s="1"/>
    </row>
    <row r="14" spans="2:10" ht="32" x14ac:dyDescent="0.2">
      <c r="B14" s="4" t="s">
        <v>88</v>
      </c>
      <c r="C14" s="6" t="s">
        <v>87</v>
      </c>
      <c r="D14" s="6" t="s">
        <v>89</v>
      </c>
      <c r="E14" s="1"/>
      <c r="F14" s="1"/>
      <c r="G14" s="1"/>
      <c r="H14" s="1"/>
      <c r="I14" s="1"/>
      <c r="J14" s="1"/>
    </row>
    <row r="15" spans="2:10" ht="32" x14ac:dyDescent="0.2">
      <c r="B15" s="4" t="s">
        <v>39</v>
      </c>
      <c r="C15" s="6" t="s">
        <v>24</v>
      </c>
      <c r="D15" s="6" t="s">
        <v>53</v>
      </c>
      <c r="E15" s="3"/>
      <c r="F15" s="3"/>
      <c r="G15" s="3"/>
      <c r="H15" s="3"/>
      <c r="I15" s="3"/>
      <c r="J15" s="3"/>
    </row>
    <row r="16" spans="2:10" ht="16" x14ac:dyDescent="0.2">
      <c r="B16" s="4" t="s">
        <v>27</v>
      </c>
      <c r="C16" s="6" t="s">
        <v>26</v>
      </c>
      <c r="D16" s="6" t="s">
        <v>26</v>
      </c>
      <c r="E16" s="1"/>
      <c r="F16" s="1"/>
      <c r="G16" s="1"/>
      <c r="H16" s="1"/>
      <c r="I16" s="1"/>
      <c r="J16" s="1"/>
    </row>
    <row r="17" spans="2:10" ht="32" x14ac:dyDescent="0.2">
      <c r="B17" s="4" t="s">
        <v>70</v>
      </c>
      <c r="C17" s="6" t="s">
        <v>2</v>
      </c>
      <c r="D17" s="6" t="s">
        <v>2</v>
      </c>
      <c r="E17" s="1"/>
      <c r="F17" s="1"/>
      <c r="G17" s="1"/>
      <c r="H17" s="1"/>
      <c r="I17" s="1"/>
      <c r="J17" s="1"/>
    </row>
    <row r="18" spans="2:10" ht="32" x14ac:dyDescent="0.2">
      <c r="B18" s="4" t="s">
        <v>41</v>
      </c>
      <c r="C18" s="6" t="s">
        <v>42</v>
      </c>
      <c r="D18" s="6" t="s">
        <v>12</v>
      </c>
      <c r="E18" s="1"/>
      <c r="F18" s="1"/>
      <c r="G18" s="1"/>
      <c r="H18" s="1"/>
      <c r="I18" s="1"/>
      <c r="J18" s="1"/>
    </row>
    <row r="19" spans="2:10" ht="48" x14ac:dyDescent="0.2">
      <c r="B19" s="4" t="s">
        <v>45</v>
      </c>
      <c r="C19" s="6" t="s">
        <v>43</v>
      </c>
      <c r="D19" s="6" t="s">
        <v>13</v>
      </c>
      <c r="E19" s="1"/>
      <c r="F19" s="1"/>
      <c r="G19" s="1"/>
      <c r="H19" s="1"/>
      <c r="I19" s="1"/>
      <c r="J19" s="1"/>
    </row>
    <row r="20" spans="2:10" ht="32" x14ac:dyDescent="0.2">
      <c r="B20" s="4" t="s">
        <v>46</v>
      </c>
      <c r="C20" s="6" t="s">
        <v>44</v>
      </c>
      <c r="D20" s="6" t="s">
        <v>14</v>
      </c>
      <c r="E20" s="1"/>
      <c r="F20" s="1"/>
      <c r="G20" s="1"/>
      <c r="H20" s="1"/>
      <c r="I20" s="1"/>
      <c r="J2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_CN_</vt:lpstr>
      <vt:lpstr>Data</vt:lpstr>
      <vt:lpstr>R</vt:lpstr>
      <vt:lpstr>Sheet5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2760</cp:lastModifiedBy>
  <cp:revision/>
  <cp:lastPrinted>2025-10-06T03:58:48Z</cp:lastPrinted>
  <dcterms:created xsi:type="dcterms:W3CDTF">2022-12-06T06:37:33Z</dcterms:created>
  <dcterms:modified xsi:type="dcterms:W3CDTF">2026-01-21T15:17:21Z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