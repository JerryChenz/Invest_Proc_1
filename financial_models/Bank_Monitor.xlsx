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08AFF37-8D61-428D-A983-8C1EE74FBCDD}" xr6:coauthVersionLast="47" xr6:coauthVersionMax="47" xr10:uidLastSave="{00000000-0000-0000-0000-000000000000}"/>
  <bookViews>
    <workbookView xWindow="1260" yWindow="1770" windowWidth="14520" windowHeight="786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AW7" i="14" l="1"/>
  <c r="AW8" i="14"/>
  <c r="AW9" i="14"/>
  <c r="AW10" i="14"/>
  <c r="AW11" i="14"/>
  <c r="AW12" i="14"/>
  <c r="AW6" i="14"/>
  <c r="AV7" i="14"/>
  <c r="AN7" i="14" s="1"/>
  <c r="AV8" i="14"/>
  <c r="AN8" i="14" s="1"/>
  <c r="AV9" i="14"/>
  <c r="AV10" i="14"/>
  <c r="AV11" i="14"/>
  <c r="AV12" i="14"/>
  <c r="AT12" i="14" s="1"/>
  <c r="AV6" i="14"/>
  <c r="AU7" i="14"/>
  <c r="AU8" i="14"/>
  <c r="AU9" i="14"/>
  <c r="AU10" i="14"/>
  <c r="AU11" i="14"/>
  <c r="AU12" i="14"/>
  <c r="AU6" i="14"/>
  <c r="AT9" i="14"/>
  <c r="AT10" i="14"/>
  <c r="AO9" i="14"/>
  <c r="AN10" i="14"/>
  <c r="AO10" i="14"/>
  <c r="AP10" i="14"/>
  <c r="AM9" i="14"/>
  <c r="AM10" i="14"/>
  <c r="AN9" i="14"/>
  <c r="K12" i="14"/>
  <c r="K11" i="14"/>
  <c r="K10" i="14"/>
  <c r="S10" i="14" s="1"/>
  <c r="K9" i="14"/>
  <c r="S9" i="14" s="1"/>
  <c r="K8" i="14"/>
  <c r="K7" i="14"/>
  <c r="K6" i="14"/>
  <c r="L12" i="14"/>
  <c r="L11" i="14"/>
  <c r="L10" i="14"/>
  <c r="L9" i="14"/>
  <c r="L8" i="14"/>
  <c r="L7" i="14"/>
  <c r="L6" i="14"/>
  <c r="S6" i="14"/>
  <c r="S8" i="14"/>
  <c r="R9" i="14"/>
  <c r="R6" i="14"/>
  <c r="R7" i="14"/>
  <c r="R8" i="14"/>
  <c r="R10" i="14"/>
  <c r="R11" i="14"/>
  <c r="R12" i="14"/>
  <c r="Q11" i="14"/>
  <c r="J11" i="14"/>
  <c r="I11" i="14"/>
  <c r="V11" i="14" s="1"/>
  <c r="J10" i="14"/>
  <c r="I10" i="14"/>
  <c r="V10" i="14" s="1"/>
  <c r="Q9" i="14"/>
  <c r="J9" i="14"/>
  <c r="I9" i="14"/>
  <c r="Q8" i="14"/>
  <c r="J8" i="14"/>
  <c r="I8" i="14"/>
  <c r="Q7" i="14"/>
  <c r="J7" i="14"/>
  <c r="I7" i="14"/>
  <c r="V7" i="14" s="1"/>
  <c r="Q6" i="14"/>
  <c r="J6" i="14"/>
  <c r="I6" i="14"/>
  <c r="I12" i="14"/>
  <c r="V12" i="14" s="1"/>
  <c r="AJ12" i="14"/>
  <c r="AK12" i="14" s="1"/>
  <c r="AL12" i="14"/>
  <c r="J12" i="14"/>
  <c r="AJ7" i="14"/>
  <c r="AK7" i="14" s="1"/>
  <c r="AJ8" i="14"/>
  <c r="AK8" i="14" s="1"/>
  <c r="AJ9" i="14"/>
  <c r="AK9" i="14" s="1"/>
  <c r="AJ10" i="14"/>
  <c r="AK10" i="14" s="1"/>
  <c r="AJ11" i="14"/>
  <c r="AK11" i="14" s="1"/>
  <c r="AJ6" i="14"/>
  <c r="AK6" i="14" s="1"/>
  <c r="AN12" i="14" l="1"/>
  <c r="AP12" i="14"/>
  <c r="AM12" i="14"/>
  <c r="AN11" i="14"/>
  <c r="AO11" i="14"/>
  <c r="AT11" i="14"/>
  <c r="AP11" i="14"/>
  <c r="AM11" i="14"/>
  <c r="AM8" i="14"/>
  <c r="AT8" i="14"/>
  <c r="AM7" i="14"/>
  <c r="AP7" i="14"/>
  <c r="AT7" i="14"/>
  <c r="AO7" i="14"/>
  <c r="AO12" i="14"/>
  <c r="AP9" i="14"/>
  <c r="AP8" i="14"/>
  <c r="AO8" i="14"/>
  <c r="AO6" i="14"/>
  <c r="AP6" i="14"/>
  <c r="AM6" i="14"/>
  <c r="AN6" i="14"/>
  <c r="AT6" i="14"/>
  <c r="P7" i="14"/>
  <c r="W7" i="14" s="1"/>
  <c r="P12" i="14"/>
  <c r="W12" i="14" s="1"/>
  <c r="P6" i="14"/>
  <c r="W6" i="14" s="1"/>
  <c r="P8" i="14"/>
  <c r="W8" i="14" s="1"/>
  <c r="P9" i="14"/>
  <c r="P10" i="14"/>
  <c r="W10" i="14" s="1"/>
  <c r="P11" i="14"/>
  <c r="W11" i="14" s="1"/>
  <c r="U12" i="14"/>
  <c r="S11" i="14"/>
  <c r="T7" i="14"/>
  <c r="AA7" i="14" s="1"/>
  <c r="S7" i="14"/>
  <c r="S12" i="14"/>
  <c r="W9" i="14"/>
  <c r="U11" i="14"/>
  <c r="U10" i="14"/>
  <c r="U9" i="14"/>
  <c r="V9" i="14"/>
  <c r="U8" i="14"/>
  <c r="V8" i="14"/>
  <c r="U7" i="14"/>
  <c r="U6" i="14"/>
  <c r="V6" i="14"/>
  <c r="X12" i="14"/>
  <c r="X6" i="14"/>
  <c r="X10" i="14"/>
  <c r="X9" i="14"/>
  <c r="X8" i="14"/>
  <c r="X7" i="14"/>
  <c r="X11" i="14"/>
  <c r="AL11" i="14"/>
  <c r="AL10" i="14"/>
  <c r="AL9" i="14"/>
  <c r="AL8" i="14"/>
  <c r="AL7" i="14"/>
  <c r="AL6" i="14"/>
  <c r="Y7" i="14" l="1"/>
  <c r="Z7" i="14" s="1"/>
  <c r="AB7" i="14"/>
  <c r="AC7" i="14" s="1"/>
  <c r="T6" i="14"/>
  <c r="AA6" i="14" s="1"/>
  <c r="AB6" i="14" s="1"/>
  <c r="Y6" i="14"/>
  <c r="Z6" i="14" s="1"/>
  <c r="T9" i="14"/>
  <c r="AA9" i="14" s="1"/>
  <c r="AB9" i="14" s="1"/>
  <c r="AF9" i="14" s="1"/>
  <c r="Y11" i="14"/>
  <c r="Z11" i="14" s="1"/>
  <c r="T11" i="14"/>
  <c r="AA11" i="14" s="1"/>
  <c r="AB11" i="14" s="1"/>
  <c r="Y8" i="14"/>
  <c r="Z8" i="14" s="1"/>
  <c r="T8" i="14"/>
  <c r="AA8" i="14" s="1"/>
  <c r="AB8" i="14" s="1"/>
  <c r="Y9" i="14"/>
  <c r="Z9" i="14" s="1"/>
  <c r="Y10" i="14"/>
  <c r="Z10" i="14" s="1"/>
  <c r="T10" i="14"/>
  <c r="AA10" i="14" s="1"/>
  <c r="AB10" i="14" s="1"/>
  <c r="Y12" i="14"/>
  <c r="Z12" i="14" s="1"/>
  <c r="T12" i="14"/>
  <c r="AA12" i="14" s="1"/>
  <c r="AB12" i="14" s="1"/>
  <c r="AF12" i="14" s="1"/>
  <c r="AD7" i="14" l="1"/>
  <c r="AF7" i="14"/>
  <c r="AE7" i="14"/>
  <c r="AC9" i="14"/>
  <c r="AD9" i="14"/>
  <c r="AE9" i="14"/>
  <c r="AC11" i="14"/>
  <c r="AE11" i="14"/>
  <c r="AF11" i="14"/>
  <c r="AC8" i="14"/>
  <c r="AE8" i="14"/>
  <c r="AF8" i="14"/>
  <c r="AD8" i="14"/>
  <c r="AD11" i="14"/>
  <c r="AC10" i="14"/>
  <c r="AE10" i="14"/>
  <c r="AD10" i="14"/>
  <c r="AF10" i="14"/>
  <c r="AE12" i="14"/>
  <c r="AD12" i="14"/>
  <c r="AC12" i="14"/>
  <c r="AC6" i="14"/>
  <c r="AF6" i="14"/>
  <c r="AD6" i="14"/>
  <c r="AE6" i="14"/>
</calcChain>
</file>

<file path=xl/sharedStrings.xml><?xml version="1.0" encoding="utf-8"?>
<sst xmlns="http://schemas.openxmlformats.org/spreadsheetml/2006/main" count="210" uniqueCount="162">
  <si>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</si>
  <si>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</si>
  <si>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</si>
  <si>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</si>
  <si>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</si>
  <si>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</si>
  <si>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</si>
  <si>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</si>
  <si>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</si>
  <si>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</si>
  <si>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</si>
  <si>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</si>
  <si>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</si>
  <si>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</si>
  <si>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</si>
  <si>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</si>
  <si>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</si>
  <si>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</si>
  <si>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</si>
  <si>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</si>
  <si>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</si>
  <si>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</si>
  <si>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</si>
  <si>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</si>
  <si>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</si>
  <si>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</si>
  <si>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</si>
  <si>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</si>
  <si>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</si>
  <si>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</si>
  <si>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</si>
  <si>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</si>
  <si>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</si>
  <si>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</si>
  <si>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</si>
  <si>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</si>
  <si>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</si>
  <si>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</si>
  <si>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</si>
  <si>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</si>
  <si>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</si>
  <si>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</si>
  <si>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</si>
  <si>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</si>
  <si>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</si>
  <si>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</si>
  <si>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</si>
  <si>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</si>
  <si>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</si>
  <si>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</si>
  <si>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</si>
  <si>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</si>
  <si>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</si>
  <si>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</si>
  <si>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</si>
  <si>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</si>
  <si>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</si>
  <si>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</si>
  <si>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</si>
  <si>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</si>
  <si>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</si>
  <si>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</si>
  <si>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</si>
  <si>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</si>
  <si>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</si>
  <si>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</si>
  <si>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</si>
  <si>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</si>
  <si>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</si>
  <si>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</si>
  <si>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</si>
  <si>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</si>
  <si>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</si>
  <si>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</si>
  <si>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</si>
  <si>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</si>
  <si>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</si>
  <si>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</si>
  <si>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</si>
  <si>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</si>
  <si>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</si>
  <si>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</si>
  <si>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</si>
  <si>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</si>
  <si>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</si>
  <si>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</si>
  <si>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</si>
  <si>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</si>
  <si>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</si>
  <si>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</si>
  <si>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</si>
  <si>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</si>
  <si>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</si>
  <si>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</si>
  <si>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</si>
  <si>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</si>
  <si>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总资产</t>
  </si>
  <si>
    <t>股数</t>
  </si>
  <si>
    <t>Total Assets
(in Millions)</t>
  </si>
  <si>
    <t>Tangible Common Equity (TBV)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</si>
  <si>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</si>
  <si>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</si>
  <si>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</si>
  <si>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</si>
  <si>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</si>
  <si>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</si>
  <si>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</si>
  <si>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</si>
  <si>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</si>
  <si>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</si>
  <si>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</si>
  <si>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</si>
  <si>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</si>
  <si>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</si>
  <si>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</si>
  <si>
    <t>HK:3968 / SH:600036</t>
  </si>
  <si>
    <t>招商银行</t>
  </si>
  <si>
    <t>存款负债比率</t>
  </si>
  <si>
    <t>Scaling Factor</t>
  </si>
  <si>
    <t>Loan-to-Deposit Ratio</t>
  </si>
  <si>
    <t>Total Loan/Total Deposit</t>
  </si>
  <si>
    <t>淨息差=（銀行全部利息收入-銀行全部利息支出）÷全部生息資產</t>
  </si>
  <si>
    <t>核心收入</t>
  </si>
  <si>
    <t>Core Revenue
(in Millions)</t>
  </si>
  <si>
    <t>运营支出</t>
  </si>
  <si>
    <t>Operating Expense</t>
  </si>
  <si>
    <t>法定税率</t>
  </si>
  <si>
    <t>Marginal Tax Rate</t>
  </si>
  <si>
    <t>Implied Payout Ratio</t>
  </si>
  <si>
    <t>暗含派息率</t>
  </si>
  <si>
    <t>Implied Cost-to-Income Ratio</t>
  </si>
  <si>
    <t>暗含成本收入比</t>
  </si>
  <si>
    <t>Balance Sheet</t>
  </si>
  <si>
    <t>Income Statement</t>
  </si>
  <si>
    <t>Indicators</t>
  </si>
  <si>
    <t>Per Share Indicators</t>
  </si>
  <si>
    <t>Last FY shareholders' Net Income (in Millions)</t>
  </si>
  <si>
    <t>账面归母净利润</t>
  </si>
  <si>
    <t>核心归母净利润</t>
  </si>
  <si>
    <t>Core net income is predictable, high-quality earnings from core operations (e.g., deposits and lending). Income trading activities is halved</t>
  </si>
  <si>
    <t>次要收入</t>
  </si>
  <si>
    <t>Non-Core Revenue
(in Millions)</t>
  </si>
  <si>
    <t>From the Last Annual Report
净利差+净手续费</t>
  </si>
  <si>
    <t>Primary Market</t>
  </si>
  <si>
    <t>601398.SS</t>
  </si>
  <si>
    <t>601939.SS</t>
  </si>
  <si>
    <t>601288.SS</t>
  </si>
  <si>
    <t>601988.SS</t>
  </si>
  <si>
    <t>601166.SS</t>
  </si>
  <si>
    <t>601658.SS</t>
  </si>
  <si>
    <t>600036.SS</t>
  </si>
  <si>
    <t>Primary Market 
Stock Symbol</t>
  </si>
  <si>
    <t>Secondary Market 
Stock Symbol</t>
  </si>
  <si>
    <t>0939.HK</t>
  </si>
  <si>
    <t>1398.HK</t>
  </si>
  <si>
    <t>1288.HK</t>
  </si>
  <si>
    <t>3988.HK</t>
  </si>
  <si>
    <t>1658.HK</t>
  </si>
  <si>
    <t>3968.HK</t>
  </si>
  <si>
    <t>Secondary Market</t>
  </si>
  <si>
    <t>Market Difference</t>
  </si>
  <si>
    <t>市场溢价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</si>
</sst>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#,##0.0000"/>
    <numFmt numFmtId="166" formatCode="#,##0.000"/>
    <numFmt numFmtId="167" formatCode="#,##0&quot;yrs&quot;"/>
    <numFmt numFmtId="168" formatCode="0.0%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6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3" fontId="7" fillId="0" borderId="1" xfId="0" applyNumberFormat="1" applyFont="1" applyBorder="1"/>
    <xf numFmtId="168" fontId="5" fillId="0" borderId="1" xfId="0" applyNumberFormat="1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3" fillId="8" borderId="4" xfId="0" applyFont="1" applyFill="1" applyBorder="1" applyAlignment="1">
      <alignment horizontal="center"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 applyAlignment="1">
      <alignment horizontal="left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sheetPr>
    <pageSetUpPr fitToPage="1"/>
  </sheetPr>
  <dimension ref="B2:D30"/>
  <sheetViews>
    <sheetView workbookViewId="0">
      <selection activeCell="D17" sqref="D17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1.1328125" bestFit="1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67</v>
      </c>
    </row>
    <row r="3" spans="2:4" x14ac:dyDescent="0.45">
      <c r="B3" s="1" t="s">
        <v>84</v>
      </c>
      <c r="C3" s="13">
        <v>0.08</v>
      </c>
      <c r="D3" s="1"/>
    </row>
    <row r="4" spans="2:4" x14ac:dyDescent="0.45">
      <c r="B4" s="1" t="s">
        <v>74</v>
      </c>
      <c r="C4" s="13">
        <v>0.02</v>
      </c>
      <c r="D4" s="1" t="s">
        <v>66</v>
      </c>
    </row>
    <row r="5" spans="2:4" x14ac:dyDescent="0.45">
      <c r="B5" s="1" t="s">
        <v>75</v>
      </c>
      <c r="C5" s="14">
        <v>3</v>
      </c>
      <c r="D5" s="1"/>
    </row>
    <row r="6" spans="2:4" x14ac:dyDescent="0.45">
      <c r="B6" s="1" t="s">
        <v>76</v>
      </c>
      <c r="C6" s="13">
        <v>0.29465259038036606</v>
      </c>
      <c r="D6" s="1"/>
    </row>
    <row r="7" spans="2:4" x14ac:dyDescent="0.45">
      <c r="B7" s="1" t="s">
        <v>77</v>
      </c>
      <c r="C7" s="13">
        <v>0.20075184365903009</v>
      </c>
      <c r="D7" s="1"/>
    </row>
    <row r="8" spans="2:4" x14ac:dyDescent="0.45">
      <c r="B8" s="1" t="s">
        <v>78</v>
      </c>
      <c r="C8" s="13">
        <v>0.1174</v>
      </c>
      <c r="D8" s="1"/>
    </row>
    <row r="9" spans="2:4" x14ac:dyDescent="0.45">
      <c r="B9" s="1" t="s">
        <v>83</v>
      </c>
      <c r="C9" s="13">
        <v>7.2499999999999995E-2</v>
      </c>
      <c r="D9" s="1"/>
    </row>
    <row r="11" spans="2:4" x14ac:dyDescent="0.45">
      <c r="B11" s="4" t="s">
        <v>108</v>
      </c>
      <c r="C11" s="4" t="s">
        <v>2</v>
      </c>
      <c r="D11" s="4" t="s">
        <v>67</v>
      </c>
    </row>
    <row r="12" spans="2:4" x14ac:dyDescent="0.45">
      <c r="B12" s="1" t="s">
        <v>109</v>
      </c>
      <c r="C12" s="40">
        <v>7.8</v>
      </c>
      <c r="D12" s="1"/>
    </row>
    <row r="13" spans="2:4" x14ac:dyDescent="0.45">
      <c r="B13" s="1" t="s">
        <v>110</v>
      </c>
      <c r="C13" s="40">
        <v>0.89</v>
      </c>
      <c r="D13" s="1"/>
    </row>
    <row r="14" spans="2:4" x14ac:dyDescent="0.45">
      <c r="B14" s="1" t="s">
        <v>118</v>
      </c>
      <c r="C14" s="51">
        <v>1000000</v>
      </c>
      <c r="D14" s="1"/>
    </row>
    <row r="15" spans="2:4" x14ac:dyDescent="0.45">
      <c r="B15" s="1"/>
      <c r="C15" s="39"/>
      <c r="D15" s="1"/>
    </row>
    <row r="18" spans="2:2" x14ac:dyDescent="0.45">
      <c r="B18" s="16" t="s">
        <v>12</v>
      </c>
    </row>
    <row r="19" spans="2:2" x14ac:dyDescent="0.45">
      <c r="B19" t="s">
        <v>34</v>
      </c>
    </row>
    <row r="21" spans="2:2" x14ac:dyDescent="0.45">
      <c r="B21" t="s">
        <v>37</v>
      </c>
    </row>
    <row r="22" spans="2:2" x14ac:dyDescent="0.45">
      <c r="B22" t="s">
        <v>35</v>
      </c>
    </row>
    <row r="23" spans="2:2" x14ac:dyDescent="0.45">
      <c r="B23" t="s">
        <v>139</v>
      </c>
    </row>
    <row r="25" spans="2:2" x14ac:dyDescent="0.45">
      <c r="B25" s="17" t="s">
        <v>39</v>
      </c>
    </row>
    <row r="26" spans="2:2" x14ac:dyDescent="0.45">
      <c r="B26" t="s">
        <v>40</v>
      </c>
    </row>
    <row r="28" spans="2:2" x14ac:dyDescent="0.45">
      <c r="B28" t="s">
        <v>44</v>
      </c>
    </row>
    <row r="29" spans="2:2" x14ac:dyDescent="0.45">
      <c r="B29" t="s">
        <v>41</v>
      </c>
    </row>
    <row r="30" spans="2:2" x14ac:dyDescent="0.45">
      <c r="B30" t="s">
        <v>42</v>
      </c>
    </row>
  </sheetData>
  <pageMargins left="0.25" right="0.25" top="0.75" bottom="0.75" header="0.3" footer="0.3"/>
  <pageSetup paperSize="9" scale="8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W12"/>
  <sheetViews>
    <sheetView showGridLines="0" tabSelected="1" zoomScaleNormal="100" workbookViewId="0">
      <pane xSplit="3" ySplit="5" topLeftCell="AL6" activePane="bottomRight" state="frozen"/>
      <selection pane="topRight" activeCell="D1" sqref="D1"/>
      <selection pane="bottomLeft" activeCell="A6" sqref="A6"/>
      <selection pane="bottomRight" activeCell="S23" sqref="S23"/>
    </sheetView>
  </sheetViews>
  <sheetFormatPr defaultColWidth="8.796875" defaultRowHeight="14.25" outlineLevelCol="1" x14ac:dyDescent="0.45"/>
  <cols>
    <col min="1" max="1" width="2.6640625" customWidth="1"/>
    <col min="2" max="3" width="18.6640625" customWidth="1"/>
    <col min="4" max="9" width="18.6640625" hidden="1" customWidth="1" outlineLevel="1"/>
    <col min="10" max="10" width="18.6640625" customWidth="1" collapsed="1"/>
    <col min="11" max="17" width="18.6640625" hidden="1" customWidth="1" outlineLevel="1"/>
    <col min="18" max="18" width="18.6640625" customWidth="1" collapsed="1"/>
    <col min="19" max="23" width="18.6640625" customWidth="1"/>
    <col min="24" max="26" width="18.6640625" hidden="1" customWidth="1" outlineLevel="1"/>
    <col min="27" max="27" width="18.796875" customWidth="1" collapsed="1"/>
    <col min="28" max="32" width="18.796875" customWidth="1"/>
    <col min="33" max="35" width="16.59765625" customWidth="1"/>
    <col min="36" max="37" width="16.59765625" hidden="1" customWidth="1"/>
    <col min="38" max="49" width="16.59765625" customWidth="1"/>
  </cols>
  <sheetData>
    <row r="2" spans="2:49" ht="71.25" x14ac:dyDescent="0.45">
      <c r="B2" s="2" t="s">
        <v>103</v>
      </c>
      <c r="C2" s="2" t="s">
        <v>15</v>
      </c>
      <c r="D2" s="2" t="s">
        <v>16</v>
      </c>
      <c r="E2" s="3" t="s">
        <v>29</v>
      </c>
      <c r="F2" s="3" t="s">
        <v>29</v>
      </c>
      <c r="G2" s="2" t="s">
        <v>104</v>
      </c>
      <c r="H2" s="2" t="s">
        <v>101</v>
      </c>
      <c r="I2" s="2" t="s">
        <v>101</v>
      </c>
      <c r="J2" s="2" t="s">
        <v>120</v>
      </c>
      <c r="K2" s="2" t="s">
        <v>142</v>
      </c>
      <c r="L2" s="2"/>
      <c r="M2" s="2"/>
      <c r="N2" s="2"/>
      <c r="O2" s="2"/>
      <c r="P2" s="2" t="s">
        <v>102</v>
      </c>
      <c r="Q2" s="2" t="s">
        <v>114</v>
      </c>
      <c r="R2" s="2" t="s">
        <v>121</v>
      </c>
      <c r="S2" s="2" t="s">
        <v>20</v>
      </c>
      <c r="T2" s="2" t="s">
        <v>46</v>
      </c>
      <c r="U2" s="2" t="s">
        <v>17</v>
      </c>
      <c r="V2" s="2" t="s">
        <v>106</v>
      </c>
      <c r="W2" s="2" t="s">
        <v>45</v>
      </c>
      <c r="X2" s="2" t="s">
        <v>30</v>
      </c>
      <c r="Y2" s="2" t="s">
        <v>13</v>
      </c>
      <c r="Z2" s="2" t="s">
        <v>33</v>
      </c>
      <c r="AA2" s="2" t="s">
        <v>47</v>
      </c>
      <c r="AB2" s="2" t="s">
        <v>49</v>
      </c>
      <c r="AC2" s="15"/>
      <c r="AD2" s="15"/>
      <c r="AE2" s="15"/>
      <c r="AF2" s="15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</row>
    <row r="3" spans="2:49" ht="15" customHeight="1" x14ac:dyDescent="0.45">
      <c r="B3" s="44" t="s">
        <v>55</v>
      </c>
      <c r="C3" s="45"/>
      <c r="D3" s="46"/>
      <c r="E3" s="47" t="s">
        <v>132</v>
      </c>
      <c r="F3" s="48"/>
      <c r="G3" s="48"/>
      <c r="H3" s="48"/>
      <c r="I3" s="48"/>
      <c r="J3" s="54"/>
      <c r="K3" s="56" t="s">
        <v>133</v>
      </c>
      <c r="L3" s="56"/>
      <c r="M3" s="56"/>
      <c r="N3" s="56"/>
      <c r="O3" s="56"/>
      <c r="P3" s="56"/>
      <c r="Q3" s="56"/>
      <c r="R3" s="55" t="s">
        <v>134</v>
      </c>
      <c r="S3" s="49"/>
      <c r="T3" s="49"/>
      <c r="U3" s="49"/>
      <c r="V3" s="49"/>
      <c r="W3" s="50"/>
      <c r="X3" s="41" t="s">
        <v>135</v>
      </c>
      <c r="Y3" s="41"/>
      <c r="Z3" s="41"/>
      <c r="AA3" s="42" t="s">
        <v>62</v>
      </c>
      <c r="AB3" s="42"/>
      <c r="AC3" s="27" t="s">
        <v>79</v>
      </c>
      <c r="AD3" s="27" t="s">
        <v>80</v>
      </c>
      <c r="AE3" s="27" t="s">
        <v>81</v>
      </c>
      <c r="AF3" s="27" t="s">
        <v>82</v>
      </c>
      <c r="AG3" s="43" t="s">
        <v>143</v>
      </c>
      <c r="AH3" s="43"/>
      <c r="AI3" s="43"/>
      <c r="AJ3" s="43"/>
      <c r="AK3" s="43"/>
      <c r="AL3" s="43"/>
      <c r="AM3" s="27" t="s">
        <v>79</v>
      </c>
      <c r="AN3" s="27" t="s">
        <v>80</v>
      </c>
      <c r="AO3" s="27" t="s">
        <v>81</v>
      </c>
      <c r="AP3" s="27" t="s">
        <v>82</v>
      </c>
      <c r="AQ3" s="43" t="s">
        <v>159</v>
      </c>
      <c r="AR3" s="43"/>
      <c r="AS3" s="43"/>
      <c r="AT3" s="43"/>
      <c r="AU3" s="43"/>
      <c r="AV3" s="43"/>
      <c r="AW3" s="43"/>
    </row>
    <row r="4" spans="2:49" ht="42.75" x14ac:dyDescent="0.45">
      <c r="B4" s="32" t="s">
        <v>73</v>
      </c>
      <c r="C4" s="32" t="s">
        <v>0</v>
      </c>
      <c r="D4" s="32" t="s">
        <v>14</v>
      </c>
      <c r="E4" s="30" t="s">
        <v>68</v>
      </c>
      <c r="F4" s="30" t="s">
        <v>69</v>
      </c>
      <c r="G4" s="30" t="s">
        <v>105</v>
      </c>
      <c r="H4" s="30" t="s">
        <v>98</v>
      </c>
      <c r="I4" s="30" t="s">
        <v>99</v>
      </c>
      <c r="J4" s="30" t="s">
        <v>119</v>
      </c>
      <c r="K4" s="57" t="s">
        <v>123</v>
      </c>
      <c r="L4" s="57" t="s">
        <v>141</v>
      </c>
      <c r="M4" s="57" t="s">
        <v>125</v>
      </c>
      <c r="N4" s="57" t="s">
        <v>127</v>
      </c>
      <c r="O4" s="57" t="s">
        <v>136</v>
      </c>
      <c r="P4" s="57" t="s">
        <v>100</v>
      </c>
      <c r="Q4" s="57" t="s">
        <v>32</v>
      </c>
      <c r="R4" s="28" t="s">
        <v>19</v>
      </c>
      <c r="S4" s="28" t="s">
        <v>130</v>
      </c>
      <c r="T4" s="28" t="s">
        <v>38</v>
      </c>
      <c r="U4" s="28" t="s">
        <v>18</v>
      </c>
      <c r="V4" s="28" t="s">
        <v>43</v>
      </c>
      <c r="W4" s="28" t="s">
        <v>58</v>
      </c>
      <c r="X4" s="24" t="s">
        <v>36</v>
      </c>
      <c r="Y4" s="24" t="s">
        <v>94</v>
      </c>
      <c r="Z4" s="24" t="s">
        <v>128</v>
      </c>
      <c r="AA4" s="22" t="s">
        <v>48</v>
      </c>
      <c r="AB4" s="22" t="s">
        <v>71</v>
      </c>
      <c r="AC4" s="18" t="s">
        <v>90</v>
      </c>
      <c r="AD4" s="18" t="s">
        <v>91</v>
      </c>
      <c r="AE4" s="18" t="s">
        <v>92</v>
      </c>
      <c r="AF4" s="18" t="s">
        <v>93</v>
      </c>
      <c r="AG4" s="20" t="s">
        <v>151</v>
      </c>
      <c r="AH4" s="20" t="s">
        <v>89</v>
      </c>
      <c r="AI4" s="20" t="s">
        <v>28</v>
      </c>
      <c r="AJ4" s="20" t="s">
        <v>111</v>
      </c>
      <c r="AK4" s="20" t="s">
        <v>112</v>
      </c>
      <c r="AL4" s="20" t="s">
        <v>65</v>
      </c>
      <c r="AM4" s="18" t="s">
        <v>90</v>
      </c>
      <c r="AN4" s="18" t="s">
        <v>91</v>
      </c>
      <c r="AO4" s="18" t="s">
        <v>92</v>
      </c>
      <c r="AP4" s="18" t="s">
        <v>93</v>
      </c>
      <c r="AQ4" s="20" t="s">
        <v>152</v>
      </c>
      <c r="AR4" s="20" t="s">
        <v>89</v>
      </c>
      <c r="AS4" s="20" t="s">
        <v>28</v>
      </c>
      <c r="AT4" s="20" t="s">
        <v>160</v>
      </c>
      <c r="AU4" s="20" t="s">
        <v>111</v>
      </c>
      <c r="AV4" s="20" t="s">
        <v>112</v>
      </c>
      <c r="AW4" s="20" t="s">
        <v>65</v>
      </c>
    </row>
    <row r="5" spans="2:49" x14ac:dyDescent="0.45">
      <c r="B5" s="33" t="s">
        <v>72</v>
      </c>
      <c r="C5" s="33" t="s">
        <v>21</v>
      </c>
      <c r="D5" s="33" t="s">
        <v>52</v>
      </c>
      <c r="E5" s="31" t="s">
        <v>51</v>
      </c>
      <c r="F5" s="31" t="s">
        <v>50</v>
      </c>
      <c r="G5" s="31" t="s">
        <v>97</v>
      </c>
      <c r="H5" s="31" t="s">
        <v>96</v>
      </c>
      <c r="I5" s="31" t="s">
        <v>95</v>
      </c>
      <c r="J5" s="31" t="s">
        <v>117</v>
      </c>
      <c r="K5" s="58" t="s">
        <v>122</v>
      </c>
      <c r="L5" s="58" t="s">
        <v>140</v>
      </c>
      <c r="M5" s="58" t="s">
        <v>124</v>
      </c>
      <c r="N5" s="58" t="s">
        <v>126</v>
      </c>
      <c r="O5" s="58" t="s">
        <v>137</v>
      </c>
      <c r="P5" s="58" t="s">
        <v>138</v>
      </c>
      <c r="Q5" s="58" t="s">
        <v>31</v>
      </c>
      <c r="R5" s="29" t="s">
        <v>11</v>
      </c>
      <c r="S5" s="29" t="s">
        <v>131</v>
      </c>
      <c r="T5" s="29" t="s">
        <v>61</v>
      </c>
      <c r="U5" s="29" t="s">
        <v>10</v>
      </c>
      <c r="V5" s="29" t="s">
        <v>60</v>
      </c>
      <c r="W5" s="29" t="s">
        <v>59</v>
      </c>
      <c r="X5" s="25" t="s">
        <v>57</v>
      </c>
      <c r="Y5" s="26" t="s">
        <v>56</v>
      </c>
      <c r="Z5" s="26" t="s">
        <v>129</v>
      </c>
      <c r="AA5" s="23" t="s">
        <v>113</v>
      </c>
      <c r="AB5" s="23" t="s">
        <v>63</v>
      </c>
      <c r="AC5" s="19" t="s">
        <v>85</v>
      </c>
      <c r="AD5" s="19" t="s">
        <v>86</v>
      </c>
      <c r="AE5" s="19" t="s">
        <v>87</v>
      </c>
      <c r="AF5" s="19" t="s">
        <v>88</v>
      </c>
      <c r="AG5" s="21"/>
      <c r="AH5" s="21" t="s">
        <v>53</v>
      </c>
      <c r="AI5" s="21" t="s">
        <v>54</v>
      </c>
      <c r="AJ5" s="21"/>
      <c r="AK5" s="21"/>
      <c r="AL5" s="21" t="s">
        <v>64</v>
      </c>
      <c r="AM5" s="19" t="s">
        <v>85</v>
      </c>
      <c r="AN5" s="19" t="s">
        <v>86</v>
      </c>
      <c r="AO5" s="19" t="s">
        <v>87</v>
      </c>
      <c r="AP5" s="19" t="s">
        <v>88</v>
      </c>
      <c r="AQ5" s="21"/>
      <c r="AR5" s="21" t="s">
        <v>53</v>
      </c>
      <c r="AS5" s="21" t="s">
        <v>54</v>
      </c>
      <c r="AT5" s="21" t="s">
        <v>161</v>
      </c>
      <c r="AU5" s="21"/>
      <c r="AV5" s="21"/>
      <c r="AW5" s="21" t="s">
        <v>64</v>
      </c>
    </row>
    <row r="6" spans="2:49" x14ac:dyDescent="0.45">
      <c r="B6" s="61" t="s">
        <v>22</v>
      </c>
      <c r="C6" s="61" t="s">
        <v>4</v>
      </c>
      <c r="D6" s="10" t="s">
        <v>3</v>
      </c>
      <c r="E6" s="8" t="s">
        <v>70</v>
      </c>
      <c r="F6" s="9">
        <v>45838</v>
      </c>
      <c r="G6" s="37">
        <v>356406257089</v>
      </c>
      <c r="H6" s="37">
        <v>52317931</v>
      </c>
      <c r="I6" s="37">
        <f>4114692-23118-19420-59031</f>
        <v>4013123</v>
      </c>
      <c r="J6" s="52">
        <f>36904556/48179055</f>
        <v>0.76598754375734435</v>
      </c>
      <c r="K6" s="60">
        <f>637405+109397</f>
        <v>746802</v>
      </c>
      <c r="L6" s="60">
        <f>28762+40930</f>
        <v>69692</v>
      </c>
      <c r="M6" s="37">
        <v>-400918</v>
      </c>
      <c r="N6" s="53">
        <v>0.25</v>
      </c>
      <c r="O6" s="37">
        <v>366946</v>
      </c>
      <c r="P6" s="59">
        <f>(K6+L6/2+M6)*(1-N6)</f>
        <v>285547.5</v>
      </c>
      <c r="Q6" s="38">
        <f>0.1646+0.1434</f>
        <v>0.308</v>
      </c>
      <c r="R6" s="11">
        <f>637405/27613781</f>
        <v>2.3082858519085089E-2</v>
      </c>
      <c r="S6" s="34">
        <f t="shared" ref="S6:S11" si="0">-M6/K6</f>
        <v>0.53684644658155711</v>
      </c>
      <c r="T6" s="34">
        <f>P6/I6</f>
        <v>7.115343835710991E-2</v>
      </c>
      <c r="U6" s="35">
        <f>K6/H6</f>
        <v>1.4274303010950491E-2</v>
      </c>
      <c r="V6" s="36">
        <f>H6/I6</f>
        <v>13.036712555284252</v>
      </c>
      <c r="W6" s="34">
        <f>P6/K6</f>
        <v>0.38236038468027672</v>
      </c>
      <c r="X6" s="36">
        <f>I6/(G6/1000000)*$AK6</f>
        <v>11.259967860210329</v>
      </c>
      <c r="Y6" s="36">
        <f>P6/(G6/1000000)*$AK6</f>
        <v>0.8011854290445144</v>
      </c>
      <c r="Z6" s="6">
        <f>Q6/Y6</f>
        <v>0.38443035636246864</v>
      </c>
      <c r="AA6" s="7">
        <f>(T6-g)/(k-g)</f>
        <v>0.85255730595183177</v>
      </c>
      <c r="AB6" s="7">
        <f>X6*AA6</f>
        <v>9.5997678640051305</v>
      </c>
      <c r="AC6" s="7">
        <f>PV(Target_return,Holding_Period,-Q6,-AB6)</f>
        <v>4.9874504439696281</v>
      </c>
      <c r="AD6" s="7">
        <f>PV(Entry_yield,Holding_Period,-Q6,-AB6)</f>
        <v>6.1930254837762826</v>
      </c>
      <c r="AE6" s="7">
        <f>PV(Benchmark_yield,Holding_Period,-Q6,-AB6)</f>
        <v>7.623815149844293</v>
      </c>
      <c r="AF6" s="7">
        <f>PV(Base_Cost_of_Equity,Holding_Period,-Q6,-AB6)</f>
        <v>8.5862102417703685</v>
      </c>
      <c r="AG6" s="62" t="s">
        <v>144</v>
      </c>
      <c r="AH6" s="12">
        <v>7.26</v>
      </c>
      <c r="AI6" s="12" t="s">
        <v>3</v>
      </c>
      <c r="AJ6" s="7" t="str">
        <f>AI6&amp;D6</f>
        <v>CNYCNY</v>
      </c>
      <c r="AK6" s="7">
        <f>IFERROR(VLOOKUP(AJ6,Assumptions!B$12:C$13,2,FALSE),1)</f>
        <v>1</v>
      </c>
      <c r="AL6" s="5">
        <f>Q6/AH6</f>
        <v>4.2424242424242427E-2</v>
      </c>
      <c r="AM6" s="7">
        <f>IF($AQ6="","na",AC6/$AV6)</f>
        <v>5.6038769033366611</v>
      </c>
      <c r="AN6" s="7">
        <f t="shared" ref="AN6:AP12" si="1">IF($AQ6="","na",AD6/$AV6)</f>
        <v>6.9584555997486319</v>
      </c>
      <c r="AO6" s="7">
        <f t="shared" si="1"/>
        <v>8.5660844380272962</v>
      </c>
      <c r="AP6" s="7">
        <f t="shared" si="1"/>
        <v>9.6474272379442336</v>
      </c>
      <c r="AQ6" s="62" t="s">
        <v>154</v>
      </c>
      <c r="AR6" s="12">
        <v>6.23</v>
      </c>
      <c r="AS6" s="12" t="s">
        <v>107</v>
      </c>
      <c r="AT6" s="34">
        <f>IF($AQ6="","na",AR6/(AH6/AV6)-1)</f>
        <v>-0.2362672176308539</v>
      </c>
      <c r="AU6" s="7" t="str">
        <f>IF($AQ6="","na",AS6&amp;D6)</f>
        <v>HKDCNY</v>
      </c>
      <c r="AV6" s="7">
        <f>IF($AQ6="","na",IFERROR(VLOOKUP(AU6,Assumptions!B$12:C$13,2,FALSE),1))</f>
        <v>0.89</v>
      </c>
      <c r="AW6" s="5">
        <f>IF($AQ6="","na",(Q6/AV6)/AR6)</f>
        <v>5.5548541850776408E-2</v>
      </c>
    </row>
    <row r="7" spans="2:49" x14ac:dyDescent="0.45">
      <c r="B7" s="61" t="s">
        <v>23</v>
      </c>
      <c r="C7" s="61" t="s">
        <v>5</v>
      </c>
      <c r="D7" s="10" t="s">
        <v>3</v>
      </c>
      <c r="E7" s="8" t="s">
        <v>70</v>
      </c>
      <c r="F7" s="9">
        <v>45838</v>
      </c>
      <c r="G7" s="37">
        <v>261600381459</v>
      </c>
      <c r="H7" s="37">
        <v>44432848</v>
      </c>
      <c r="I7" s="37">
        <f>3563298-4942-2461</f>
        <v>3555895</v>
      </c>
      <c r="J7" s="52">
        <f>30469491/40847989</f>
        <v>0.74592389358506728</v>
      </c>
      <c r="K7" s="60">
        <f>589882+104928</f>
        <v>694810</v>
      </c>
      <c r="L7" s="60">
        <f>21210+21417</f>
        <v>42627</v>
      </c>
      <c r="M7" s="37">
        <v>-365879</v>
      </c>
      <c r="N7" s="53">
        <v>0.25</v>
      </c>
      <c r="O7" s="37">
        <v>335577</v>
      </c>
      <c r="P7" s="59">
        <f t="shared" ref="P7:P12" si="2">(K7+L7/2+M7)*(1-N7)</f>
        <v>262683.375</v>
      </c>
      <c r="Q7" s="38">
        <f>0.206+0.197</f>
        <v>0.40300000000000002</v>
      </c>
      <c r="R7" s="11">
        <f>589882/25040400</f>
        <v>2.3557211546141436E-2</v>
      </c>
      <c r="S7" s="34">
        <f t="shared" si="0"/>
        <v>0.52658856378002616</v>
      </c>
      <c r="T7" s="34">
        <f>P7/I7</f>
        <v>7.3872646689511365E-2</v>
      </c>
      <c r="U7" s="35">
        <f>K7/H7</f>
        <v>1.5637305085642945E-2</v>
      </c>
      <c r="V7" s="36">
        <f>H7/I7</f>
        <v>12.495545565884257</v>
      </c>
      <c r="W7" s="34">
        <f>P7/K7</f>
        <v>0.37806504655949108</v>
      </c>
      <c r="X7" s="36">
        <f>I7/(G7/1000000)*$AK7</f>
        <v>13.592850974329741</v>
      </c>
      <c r="Y7" s="36">
        <f>P7/(G7/1000000)*$AK7</f>
        <v>1.0041398775298411</v>
      </c>
      <c r="Z7" s="6">
        <f>Q7/Y7</f>
        <v>0.40133850772998869</v>
      </c>
      <c r="AA7" s="7">
        <f>(T7-g)/(k-g)</f>
        <v>0.89787744482518939</v>
      </c>
      <c r="AB7" s="7">
        <f>X7*AA7</f>
        <v>12.204714300720774</v>
      </c>
      <c r="AC7" s="7">
        <f>PV(Target_return,Holding_Period,-Q7,-AB7)</f>
        <v>6.3617224896519993</v>
      </c>
      <c r="AD7" s="7">
        <f>PV(Entry_yield,Holding_Period,-Q7,-AB7)</f>
        <v>7.8975680604798519</v>
      </c>
      <c r="AE7" s="7">
        <f>PV(Benchmark_yield,Holding_Period,-Q7,-AB7)</f>
        <v>9.7201348785712796</v>
      </c>
      <c r="AF7" s="7">
        <f>PV(Base_Cost_of_Equity,Holding_Period,-Q7,-AB7)</f>
        <v>10.945962753461778</v>
      </c>
      <c r="AG7" s="62" t="s">
        <v>145</v>
      </c>
      <c r="AH7" s="12">
        <v>8.68</v>
      </c>
      <c r="AI7" s="12" t="s">
        <v>3</v>
      </c>
      <c r="AJ7" s="7" t="str">
        <f>AI7&amp;D7</f>
        <v>CNYCNY</v>
      </c>
      <c r="AK7" s="7">
        <f>IFERROR(VLOOKUP(AJ7,Assumptions!B$12:C$13,2,FALSE),1)</f>
        <v>1</v>
      </c>
      <c r="AL7" s="5">
        <f>Q7/AH7</f>
        <v>4.642857142857143E-2</v>
      </c>
      <c r="AM7" s="7">
        <f t="shared" ref="AM7:AM12" si="3">IF($AQ7="","na",AC7/$AV7)</f>
        <v>7.148002797361797</v>
      </c>
      <c r="AN7" s="7">
        <f t="shared" si="1"/>
        <v>8.8736719780672484</v>
      </c>
      <c r="AO7" s="7">
        <f t="shared" si="1"/>
        <v>10.921499863563236</v>
      </c>
      <c r="AP7" s="7">
        <f t="shared" si="1"/>
        <v>12.298834554451435</v>
      </c>
      <c r="AQ7" s="62" t="s">
        <v>153</v>
      </c>
      <c r="AR7" s="12">
        <v>7.65</v>
      </c>
      <c r="AS7" s="12" t="s">
        <v>107</v>
      </c>
      <c r="AT7" s="34">
        <f t="shared" ref="AT7:AT12" si="4">IF($AQ7="","na",AR7/(AH7/AV7)-1)</f>
        <v>-0.21561059907834101</v>
      </c>
      <c r="AU7" s="7" t="str">
        <f t="shared" ref="AU7:AU12" si="5">IF($AQ7="","na",AS7&amp;D7)</f>
        <v>HKDCNY</v>
      </c>
      <c r="AV7" s="7">
        <f>IF($AQ7="","na",IFERROR(VLOOKUP(AU7,Assumptions!B$12:C$13,2,FALSE),1))</f>
        <v>0.89</v>
      </c>
      <c r="AW7" s="5">
        <f t="shared" ref="AW7:AW12" si="6">IF($AQ7="","na",(Q7/AV7)/AR7)</f>
        <v>5.9190717485496071E-2</v>
      </c>
    </row>
    <row r="8" spans="2:49" x14ac:dyDescent="0.45">
      <c r="B8" s="61" t="s">
        <v>24</v>
      </c>
      <c r="C8" s="61" t="s">
        <v>6</v>
      </c>
      <c r="D8" s="10" t="s">
        <v>3</v>
      </c>
      <c r="E8" s="8" t="s">
        <v>70</v>
      </c>
      <c r="F8" s="9">
        <v>45838</v>
      </c>
      <c r="G8" s="37">
        <v>349983033873</v>
      </c>
      <c r="H8" s="37">
        <v>46855878</v>
      </c>
      <c r="I8" s="37">
        <f>3143100-28563-1381-300488</f>
        <v>2812668</v>
      </c>
      <c r="J8" s="52">
        <f>31900486/43706637</f>
        <v>0.72987738681427261</v>
      </c>
      <c r="K8" s="60">
        <f>580692+75567</f>
        <v>656259</v>
      </c>
      <c r="L8" s="60">
        <f>7943+31139</f>
        <v>39082</v>
      </c>
      <c r="M8" s="37">
        <v>-390774</v>
      </c>
      <c r="N8" s="53">
        <v>0.25</v>
      </c>
      <c r="O8" s="37">
        <v>282083</v>
      </c>
      <c r="P8" s="59">
        <f t="shared" si="2"/>
        <v>213769.5</v>
      </c>
      <c r="Q8" s="38">
        <f>0.1255+0.1164</f>
        <v>0.2419</v>
      </c>
      <c r="R8" s="11">
        <f>580692/23977013</f>
        <v>2.4218696465652331E-2</v>
      </c>
      <c r="S8" s="34">
        <f t="shared" si="0"/>
        <v>0.59545697659003538</v>
      </c>
      <c r="T8" s="34">
        <f>P8/I8</f>
        <v>7.6002393457030831E-2</v>
      </c>
      <c r="U8" s="35">
        <f>K8/H8</f>
        <v>1.400590551307138E-2</v>
      </c>
      <c r="V8" s="36">
        <f>H8/I8</f>
        <v>16.658872643340771</v>
      </c>
      <c r="W8" s="34">
        <f>P8/K8</f>
        <v>0.32573953271497991</v>
      </c>
      <c r="X8" s="36">
        <f>I8/(G8/1000000)*$AK8</f>
        <v>8.0365838562924345</v>
      </c>
      <c r="Y8" s="36">
        <f>P8/(G8/1000000)*$AK8</f>
        <v>0.61079960829635971</v>
      </c>
      <c r="Z8" s="6">
        <f>Q8/Y8</f>
        <v>0.39603823695091539</v>
      </c>
      <c r="AA8" s="7">
        <f>(T8-g)/(k-g)</f>
        <v>0.93337322428384717</v>
      </c>
      <c r="AB8" s="7">
        <f>X8*AA8</f>
        <v>7.5011321861751838</v>
      </c>
      <c r="AC8" s="7">
        <f>PV(Target_return,Holding_Period,-Q8,-AB8)</f>
        <v>3.8993840391989112</v>
      </c>
      <c r="AD8" s="7">
        <f>PV(Entry_yield,Holding_Period,-Q8,-AB8)</f>
        <v>4.8417424890972054</v>
      </c>
      <c r="AE8" s="7">
        <f>PV(Benchmark_yield,Holding_Period,-Q8,-AB8)</f>
        <v>5.9601231499834695</v>
      </c>
      <c r="AF8" s="7">
        <f>PV(Base_Cost_of_Equity,Holding_Period,-Q8,-AB8)</f>
        <v>6.712372290957056</v>
      </c>
      <c r="AG8" s="62" t="s">
        <v>146</v>
      </c>
      <c r="AH8" s="12">
        <v>6.88</v>
      </c>
      <c r="AI8" s="12" t="s">
        <v>3</v>
      </c>
      <c r="AJ8" s="7" t="str">
        <f>AI8&amp;D8</f>
        <v>CNYCNY</v>
      </c>
      <c r="AK8" s="7">
        <f>IFERROR(VLOOKUP(AJ8,Assumptions!B$12:C$13,2,FALSE),1)</f>
        <v>1</v>
      </c>
      <c r="AL8" s="5">
        <f>Q8/AH8</f>
        <v>3.5159883720930235E-2</v>
      </c>
      <c r="AM8" s="7">
        <f t="shared" si="3"/>
        <v>4.3813303811223721</v>
      </c>
      <c r="AN8" s="7">
        <f t="shared" si="1"/>
        <v>5.4401601001092192</v>
      </c>
      <c r="AO8" s="7">
        <f t="shared" si="1"/>
        <v>6.6967675842510896</v>
      </c>
      <c r="AP8" s="7">
        <f t="shared" si="1"/>
        <v>7.5419913381539958</v>
      </c>
      <c r="AQ8" s="62" t="s">
        <v>155</v>
      </c>
      <c r="AR8" s="12">
        <v>5.39</v>
      </c>
      <c r="AS8" s="12" t="s">
        <v>107</v>
      </c>
      <c r="AT8" s="34">
        <f t="shared" si="4"/>
        <v>-0.30274709302325575</v>
      </c>
      <c r="AU8" s="7" t="str">
        <f t="shared" si="5"/>
        <v>HKDCNY</v>
      </c>
      <c r="AV8" s="7">
        <f>IF($AQ8="","na",IFERROR(VLOOKUP(AU8,Assumptions!B$12:C$13,2,FALSE),1))</f>
        <v>0.89</v>
      </c>
      <c r="AW8" s="5">
        <f t="shared" si="6"/>
        <v>5.0426299222446902E-2</v>
      </c>
    </row>
    <row r="9" spans="2:49" x14ac:dyDescent="0.45">
      <c r="B9" s="61" t="s">
        <v>25</v>
      </c>
      <c r="C9" s="61" t="s">
        <v>7</v>
      </c>
      <c r="D9" s="10" t="s">
        <v>3</v>
      </c>
      <c r="E9" s="8" t="s">
        <v>70</v>
      </c>
      <c r="F9" s="9">
        <v>45838</v>
      </c>
      <c r="G9" s="37">
        <v>322212411814</v>
      </c>
      <c r="H9" s="37">
        <v>36790613</v>
      </c>
      <c r="I9" s="37">
        <f>2987590-29158-2795-395040</f>
        <v>2560597</v>
      </c>
      <c r="J9" s="52">
        <f>25638312/33664948</f>
        <v>0.76157289772139258</v>
      </c>
      <c r="K9" s="60">
        <f>448934+76590</f>
        <v>525524</v>
      </c>
      <c r="L9" s="60">
        <f>52049+41453</f>
        <v>93502</v>
      </c>
      <c r="M9" s="37">
        <v>-337627</v>
      </c>
      <c r="N9" s="53">
        <v>0.25</v>
      </c>
      <c r="O9" s="37">
        <v>252719</v>
      </c>
      <c r="P9" s="59">
        <f t="shared" si="2"/>
        <v>175986</v>
      </c>
      <c r="Q9" s="38">
        <f>0.1216+0.1208</f>
        <v>0.2424</v>
      </c>
      <c r="R9" s="11">
        <f>448934/21055282</f>
        <v>2.1321680707007393E-2</v>
      </c>
      <c r="S9" s="34">
        <f t="shared" si="0"/>
        <v>0.64245781353468157</v>
      </c>
      <c r="T9" s="34">
        <f>P9/I9</f>
        <v>6.8728503548195985E-2</v>
      </c>
      <c r="U9" s="35">
        <f>K9/H9</f>
        <v>1.4284187110445809E-2</v>
      </c>
      <c r="V9" s="36">
        <f>H9/I9</f>
        <v>14.367982544695632</v>
      </c>
      <c r="W9" s="34">
        <f>P9/K9</f>
        <v>0.33487718924349791</v>
      </c>
      <c r="X9" s="36">
        <f>I9/(G9/1000000)*$AK9</f>
        <v>7.9469222975747051</v>
      </c>
      <c r="Y9" s="36">
        <f>P9/(G9/1000000)*$AK9</f>
        <v>0.54618007732610097</v>
      </c>
      <c r="Z9" s="6">
        <f>Q9/Y9</f>
        <v>0.44380967022214041</v>
      </c>
      <c r="AA9" s="7">
        <f>(T9-g)/(k-g)</f>
        <v>0.81214172580326638</v>
      </c>
      <c r="AB9" s="7">
        <f>X9*AA9</f>
        <v>6.45402718957678</v>
      </c>
      <c r="AC9" s="7">
        <f>PV(Target_return,Holding_Period,-Q9,-AB9)</f>
        <v>3.4177621001950751</v>
      </c>
      <c r="AD9" s="7">
        <f>PV(Entry_yield,Holding_Period,-Q9,-AB9)</f>
        <v>4.2379685002558771</v>
      </c>
      <c r="AE9" s="7">
        <f>PV(Benchmark_yield,Holding_Period,-Q9,-AB9)</f>
        <v>5.2108060626568031</v>
      </c>
      <c r="AF9" s="7">
        <f>PV(Base_Cost_of_Equity,Holding_Period,-Q9,-AB9)</f>
        <v>5.864892240591038</v>
      </c>
      <c r="AG9" s="62" t="s">
        <v>147</v>
      </c>
      <c r="AH9" s="12">
        <v>5.34</v>
      </c>
      <c r="AI9" s="12" t="s">
        <v>3</v>
      </c>
      <c r="AJ9" s="7" t="str">
        <f>AI9&amp;D9</f>
        <v>CNYCNY</v>
      </c>
      <c r="AK9" s="7">
        <f>IFERROR(VLOOKUP(AJ9,Assumptions!B$12:C$13,2,FALSE),1)</f>
        <v>1</v>
      </c>
      <c r="AL9" s="5">
        <f>Q9/AH9</f>
        <v>4.5393258426966294E-2</v>
      </c>
      <c r="AM9" s="7">
        <f t="shared" si="3"/>
        <v>3.8401821350506462</v>
      </c>
      <c r="AN9" s="7">
        <f t="shared" si="1"/>
        <v>4.7617623598380643</v>
      </c>
      <c r="AO9" s="7">
        <f t="shared" si="1"/>
        <v>5.8548382726480934</v>
      </c>
      <c r="AP9" s="7">
        <f t="shared" si="1"/>
        <v>6.5897665624618407</v>
      </c>
      <c r="AQ9" s="62" t="s">
        <v>156</v>
      </c>
      <c r="AR9" s="12">
        <v>4.47</v>
      </c>
      <c r="AS9" s="12" t="s">
        <v>107</v>
      </c>
      <c r="AT9" s="34">
        <f t="shared" si="4"/>
        <v>-0.255</v>
      </c>
      <c r="AU9" s="7" t="str">
        <f t="shared" si="5"/>
        <v>HKDCNY</v>
      </c>
      <c r="AV9" s="7">
        <f>IF($AQ9="","na",IFERROR(VLOOKUP(AU9,Assumptions!B$12:C$13,2,FALSE),1))</f>
        <v>0.89</v>
      </c>
      <c r="AW9" s="5">
        <f t="shared" si="6"/>
        <v>6.0930548224115838E-2</v>
      </c>
    </row>
    <row r="10" spans="2:49" x14ac:dyDescent="0.45">
      <c r="B10" s="61" t="s">
        <v>26</v>
      </c>
      <c r="C10" s="61" t="s">
        <v>8</v>
      </c>
      <c r="D10" s="10" t="s">
        <v>3</v>
      </c>
      <c r="E10" s="8" t="s">
        <v>70</v>
      </c>
      <c r="F10" s="9">
        <v>45838</v>
      </c>
      <c r="G10" s="37">
        <v>21162855196</v>
      </c>
      <c r="H10" s="37">
        <v>10614376</v>
      </c>
      <c r="I10" s="37">
        <f>881747-1054-532-78891</f>
        <v>801270</v>
      </c>
      <c r="J10" s="52">
        <f>5964497/9720864</f>
        <v>0.6135768384374064</v>
      </c>
      <c r="K10" s="60">
        <f>148107+24096+661</f>
        <v>172864</v>
      </c>
      <c r="L10" s="60">
        <f>503+36202</f>
        <v>36705</v>
      </c>
      <c r="M10" s="37">
        <v>-125029</v>
      </c>
      <c r="N10" s="53">
        <v>0.25</v>
      </c>
      <c r="O10" s="37">
        <v>77205</v>
      </c>
      <c r="P10" s="59">
        <f t="shared" si="2"/>
        <v>49640.625</v>
      </c>
      <c r="Q10" s="38">
        <v>1.06</v>
      </c>
      <c r="R10" s="11">
        <f>148107/5608859</f>
        <v>2.6405905372197804E-2</v>
      </c>
      <c r="S10" s="34">
        <f t="shared" si="0"/>
        <v>0.72327957238059981</v>
      </c>
      <c r="T10" s="34">
        <f>P10/I10</f>
        <v>6.195243176457374E-2</v>
      </c>
      <c r="U10" s="35">
        <f>K10/H10</f>
        <v>1.6285837245637425E-2</v>
      </c>
      <c r="V10" s="36">
        <f>H10/I10</f>
        <v>13.246940481984849</v>
      </c>
      <c r="W10" s="34">
        <f>P10/K10</f>
        <v>0.28716577772121438</v>
      </c>
      <c r="X10" s="36">
        <f>I10/(G10/1000000)*$AK10</f>
        <v>37.862093398033004</v>
      </c>
      <c r="Y10" s="36">
        <f>P10/(G10/1000000)*$AK10</f>
        <v>2.3456487577055571</v>
      </c>
      <c r="Z10" s="6">
        <f>Q10/Y10</f>
        <v>0.45190056546951218</v>
      </c>
      <c r="AA10" s="7">
        <f>(T10-g)/(k-g)</f>
        <v>0.69920719607622894</v>
      </c>
      <c r="AB10" s="7">
        <f>X10*AA10</f>
        <v>26.473448162414957</v>
      </c>
      <c r="AC10" s="7">
        <f>PV(Target_return,Holding_Period,-Q10,-AB10)</f>
        <v>14.139388367642148</v>
      </c>
      <c r="AD10" s="7">
        <f>PV(Entry_yield,Holding_Period,-Q10,-AB10)</f>
        <v>17.521766588388239</v>
      </c>
      <c r="AE10" s="7">
        <f>PV(Benchmark_yield,Holding_Period,-Q10,-AB10)</f>
        <v>21.532478422844516</v>
      </c>
      <c r="AF10" s="7">
        <f>PV(Base_Cost_of_Equity,Holding_Period,-Q10,-AB10)</f>
        <v>24.228568841811072</v>
      </c>
      <c r="AG10" s="62" t="s">
        <v>148</v>
      </c>
      <c r="AH10" s="12">
        <v>18.989999999999998</v>
      </c>
      <c r="AI10" s="12" t="s">
        <v>3</v>
      </c>
      <c r="AJ10" s="7" t="str">
        <f>AI10&amp;D10</f>
        <v>CNYCNY</v>
      </c>
      <c r="AK10" s="7">
        <f>IFERROR(VLOOKUP(AJ10,Assumptions!B$12:C$13,2,FALSE),1)</f>
        <v>1</v>
      </c>
      <c r="AL10" s="5">
        <f>Q10/AH10</f>
        <v>5.5818852027382841E-2</v>
      </c>
      <c r="AM10" s="7" t="str">
        <f t="shared" si="3"/>
        <v>na</v>
      </c>
      <c r="AN10" s="7" t="str">
        <f t="shared" si="1"/>
        <v>na</v>
      </c>
      <c r="AO10" s="7" t="str">
        <f t="shared" si="1"/>
        <v>na</v>
      </c>
      <c r="AP10" s="7" t="str">
        <f t="shared" si="1"/>
        <v>na</v>
      </c>
      <c r="AQ10" s="62"/>
      <c r="AR10" s="12"/>
      <c r="AS10" s="12"/>
      <c r="AT10" s="34" t="str">
        <f t="shared" si="4"/>
        <v>na</v>
      </c>
      <c r="AU10" s="7" t="str">
        <f t="shared" si="5"/>
        <v>na</v>
      </c>
      <c r="AV10" s="7" t="str">
        <f>IF($AQ10="","na",IFERROR(VLOOKUP(AU10,Assumptions!B$12:C$13,2,FALSE),1))</f>
        <v>na</v>
      </c>
      <c r="AW10" s="5" t="str">
        <f t="shared" si="6"/>
        <v>na</v>
      </c>
    </row>
    <row r="11" spans="2:49" x14ac:dyDescent="0.45">
      <c r="B11" s="61" t="s">
        <v>27</v>
      </c>
      <c r="C11" s="61" t="s">
        <v>9</v>
      </c>
      <c r="D11" s="10" t="s">
        <v>3</v>
      </c>
      <c r="E11" s="8" t="s">
        <v>70</v>
      </c>
      <c r="F11" s="9">
        <v>45838</v>
      </c>
      <c r="G11" s="37">
        <v>120095053492</v>
      </c>
      <c r="H11" s="37">
        <v>18190521</v>
      </c>
      <c r="I11" s="37">
        <f>1138639-7832</f>
        <v>1130807</v>
      </c>
      <c r="J11" s="52">
        <f>16108809/17049715</f>
        <v>0.94481397489635455</v>
      </c>
      <c r="K11" s="60">
        <f>286123+25282</f>
        <v>311405</v>
      </c>
      <c r="L11" s="60">
        <f>917+31715</f>
        <v>32632</v>
      </c>
      <c r="M11" s="37">
        <v>-255176</v>
      </c>
      <c r="N11" s="53">
        <v>0.25</v>
      </c>
      <c r="O11" s="37">
        <v>86479</v>
      </c>
      <c r="P11" s="59">
        <f t="shared" si="2"/>
        <v>54408.75</v>
      </c>
      <c r="Q11" s="38">
        <f>0.1139 +0.1477</f>
        <v>0.2616</v>
      </c>
      <c r="R11" s="11">
        <f>286123/8684144</f>
        <v>3.2947749369425475E-2</v>
      </c>
      <c r="S11" s="34">
        <f t="shared" si="0"/>
        <v>0.81943449848268335</v>
      </c>
      <c r="T11" s="34">
        <f>P11/I11</f>
        <v>4.8114974527041304E-2</v>
      </c>
      <c r="U11" s="35">
        <f>K11/H11</f>
        <v>1.7119080866347919E-2</v>
      </c>
      <c r="V11" s="36">
        <f>H11/I11</f>
        <v>16.086318001215062</v>
      </c>
      <c r="W11" s="34">
        <f>P11/K11</f>
        <v>0.17472021964965237</v>
      </c>
      <c r="X11" s="36">
        <f>I11/(G11/1000000)*$AK11</f>
        <v>9.4159331889162896</v>
      </c>
      <c r="Y11" s="36">
        <f>P11/(G11/1000000)*$AK11</f>
        <v>0.45304738553303009</v>
      </c>
      <c r="Z11" s="6">
        <f>Q11/Y11</f>
        <v>0.57742304304927428</v>
      </c>
      <c r="AA11" s="7">
        <f>(T11-g)/(k-g)</f>
        <v>0.46858290878402176</v>
      </c>
      <c r="AB11" s="7">
        <f>X11*AA11</f>
        <v>4.4121453625784044</v>
      </c>
      <c r="AC11" s="7">
        <f>PV(Target_return,Holding_Period,-Q11,-AB11)</f>
        <v>2.5119358831760321</v>
      </c>
      <c r="AD11" s="7">
        <f>PV(Entry_yield,Holding_Period,-Q11,-AB11)</f>
        <v>3.0989390499793994</v>
      </c>
      <c r="AE11" s="7">
        <f>PV(Benchmark_yield,Holding_Period,-Q11,-AB11)</f>
        <v>3.7935880218656868</v>
      </c>
      <c r="AF11" s="7">
        <f>PV(Base_Cost_of_Equity,Holding_Period,-Q11,-AB11)</f>
        <v>4.259894726825121</v>
      </c>
      <c r="AG11" s="62" t="s">
        <v>149</v>
      </c>
      <c r="AH11" s="12">
        <v>5.17</v>
      </c>
      <c r="AI11" s="12" t="s">
        <v>3</v>
      </c>
      <c r="AJ11" s="7" t="str">
        <f>AI11&amp;D11</f>
        <v>CNYCNY</v>
      </c>
      <c r="AK11" s="7">
        <f>IFERROR(VLOOKUP(AJ11,Assumptions!B$12:C$13,2,FALSE),1)</f>
        <v>1</v>
      </c>
      <c r="AL11" s="5">
        <f>Q11/AH11</f>
        <v>5.0599613152804646E-2</v>
      </c>
      <c r="AM11" s="7">
        <f t="shared" si="3"/>
        <v>2.8223998687371146</v>
      </c>
      <c r="AN11" s="7">
        <f t="shared" si="1"/>
        <v>3.4819539887408983</v>
      </c>
      <c r="AO11" s="7">
        <f t="shared" si="1"/>
        <v>4.2624584515344797</v>
      </c>
      <c r="AP11" s="7">
        <f t="shared" si="1"/>
        <v>4.7863985694664279</v>
      </c>
      <c r="AQ11" s="62" t="s">
        <v>157</v>
      </c>
      <c r="AR11" s="12">
        <v>5</v>
      </c>
      <c r="AS11" s="12" t="s">
        <v>107</v>
      </c>
      <c r="AT11" s="34">
        <f t="shared" si="4"/>
        <v>-0.13926499032882012</v>
      </c>
      <c r="AU11" s="7" t="str">
        <f t="shared" si="5"/>
        <v>HKDCNY</v>
      </c>
      <c r="AV11" s="7">
        <f>IF($AQ11="","na",IFERROR(VLOOKUP(AU11,Assumptions!B$12:C$13,2,FALSE),1))</f>
        <v>0.89</v>
      </c>
      <c r="AW11" s="5">
        <f t="shared" si="6"/>
        <v>5.8786516853932581E-2</v>
      </c>
    </row>
    <row r="12" spans="2:49" x14ac:dyDescent="0.45">
      <c r="B12" s="61" t="s">
        <v>115</v>
      </c>
      <c r="C12" s="61" t="s">
        <v>116</v>
      </c>
      <c r="D12" s="10" t="s">
        <v>3</v>
      </c>
      <c r="E12" s="8" t="s">
        <v>70</v>
      </c>
      <c r="F12" s="9">
        <v>45838</v>
      </c>
      <c r="G12" s="37">
        <v>25219845601</v>
      </c>
      <c r="H12" s="37">
        <v>12657151</v>
      </c>
      <c r="I12" s="37">
        <f>1289233-6153-9954-47907</f>
        <v>1225219</v>
      </c>
      <c r="J12" s="52">
        <f>9509526/11360291</f>
        <v>0.83708471904460902</v>
      </c>
      <c r="K12" s="60">
        <f>211277+72094</f>
        <v>283371</v>
      </c>
      <c r="L12" s="60">
        <f>14126+29880</f>
        <v>44006</v>
      </c>
      <c r="M12" s="37">
        <v>-158469</v>
      </c>
      <c r="N12" s="53">
        <v>0.25</v>
      </c>
      <c r="O12" s="37">
        <v>149559</v>
      </c>
      <c r="P12" s="59">
        <f t="shared" si="2"/>
        <v>110178.75</v>
      </c>
      <c r="Q12" s="38">
        <v>2</v>
      </c>
      <c r="R12" s="11">
        <f>211277/6300684</f>
        <v>3.3532391086428075E-2</v>
      </c>
      <c r="S12" s="34">
        <f>-M12/K12</f>
        <v>0.55922800851180965</v>
      </c>
      <c r="T12" s="34">
        <f>P12/I12</f>
        <v>8.9925760211031658E-2</v>
      </c>
      <c r="U12" s="35">
        <f>K12/H12</f>
        <v>2.2388213587718121E-2</v>
      </c>
      <c r="V12" s="36">
        <f>H12/I12</f>
        <v>10.33052131904582</v>
      </c>
      <c r="W12" s="34">
        <f t="shared" ref="W12" si="7">P12/K12</f>
        <v>0.38881448701525562</v>
      </c>
      <c r="X12" s="36">
        <f>I12/(G12/1000000)*$AK12</f>
        <v>48.581542463979972</v>
      </c>
      <c r="Y12" s="36">
        <f>P12/(G12/1000000)*$AK12</f>
        <v>4.368732138297915</v>
      </c>
      <c r="Z12" s="6">
        <f>Q12/Y12</f>
        <v>0.45779872436381791</v>
      </c>
      <c r="AA12" s="7">
        <f>(T12-g)/(k-g)</f>
        <v>1.1654293368505275</v>
      </c>
      <c r="AB12" s="7">
        <f>X12*AA12</f>
        <v>56.618354816971923</v>
      </c>
      <c r="AC12" s="7">
        <f>PV(Target_return,Holding_Period,-Q12,-AB12)</f>
        <v>29.75111090197689</v>
      </c>
      <c r="AD12" s="7">
        <f>PV(Entry_yield,Holding_Period,-Q12,-AB12)</f>
        <v>36.911750749106794</v>
      </c>
      <c r="AE12" s="7">
        <f>PV(Benchmark_yield,Holding_Period,-Q12,-AB12)</f>
        <v>45.407000502341631</v>
      </c>
      <c r="AF12" s="7">
        <f>PV(Base_Cost_of_Equity,Holding_Period,-Q12,-AB12)</f>
        <v>51.11974717559962</v>
      </c>
      <c r="AG12" s="62" t="s">
        <v>150</v>
      </c>
      <c r="AH12" s="12">
        <v>38.049999999999997</v>
      </c>
      <c r="AI12" s="12" t="s">
        <v>3</v>
      </c>
      <c r="AJ12" s="7" t="str">
        <f>AI12&amp;D12</f>
        <v>CNYCNY</v>
      </c>
      <c r="AK12" s="7">
        <f>IFERROR(VLOOKUP(AJ12,Assumptions!B$12:C$13,2,FALSE),1)</f>
        <v>1</v>
      </c>
      <c r="AL12" s="5">
        <f>Q12/AH12</f>
        <v>5.2562417871222081E-2</v>
      </c>
      <c r="AM12" s="7">
        <f t="shared" si="3"/>
        <v>33.428214496603246</v>
      </c>
      <c r="AN12" s="7">
        <f t="shared" si="1"/>
        <v>41.473877246187406</v>
      </c>
      <c r="AO12" s="7">
        <f t="shared" si="1"/>
        <v>51.019101688024307</v>
      </c>
      <c r="AP12" s="7">
        <f t="shared" si="1"/>
        <v>57.437918174831033</v>
      </c>
      <c r="AQ12" s="62" t="s">
        <v>158</v>
      </c>
      <c r="AR12" s="12">
        <v>46.48</v>
      </c>
      <c r="AS12" s="12" t="s">
        <v>107</v>
      </c>
      <c r="AT12" s="34">
        <f t="shared" si="4"/>
        <v>8.7180026281209022E-2</v>
      </c>
      <c r="AU12" s="7" t="str">
        <f t="shared" si="5"/>
        <v>HKDCNY</v>
      </c>
      <c r="AV12" s="7">
        <f>IF($AQ12="","na",IFERROR(VLOOKUP(AU12,Assumptions!B$12:C$13,2,FALSE),1))</f>
        <v>0.89</v>
      </c>
      <c r="AW12" s="5">
        <f t="shared" si="6"/>
        <v>4.8347483030033465E-2</v>
      </c>
    </row>
  </sheetData>
  <dataConsolidate/>
  <mergeCells count="8">
    <mergeCell ref="AQ3:AW3"/>
    <mergeCell ref="X3:Z3"/>
    <mergeCell ref="AA3:AB3"/>
    <mergeCell ref="AG3:AL3"/>
    <mergeCell ref="B3:D3"/>
    <mergeCell ref="E3:J3"/>
    <mergeCell ref="K3:Q3"/>
    <mergeCell ref="R3:W3"/>
  </mergeCells>
  <pageMargins left="0.25" right="0.25" top="0.75" bottom="0.75" header="0.3" footer="0.3"/>
  <pageSetup paperSize="9" scale="2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2026-01-26T06:07:49Z</cp:lastPrinted>
  <dcterms:created xsi:type="dcterms:W3CDTF">2022-12-06T06:37:33Z</dcterms:created>
  <dcterms:modified xsi:type="dcterms:W3CDTF">2026-01-26T07:38:54Z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