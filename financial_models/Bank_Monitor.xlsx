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rry\PycharmProjects\Invest_Proc\financial_models\"/>
    </mc:Choice>
  </mc:AlternateContent>
  <xr:revisionPtr revIDLastSave="0" documentId="13_ncr:1_{D0FF9D08-A2B1-44E9-AA16-CAAAB78307D3}" xr6:coauthVersionLast="47" xr6:coauthVersionMax="47" xr10:uidLastSave="{00000000-0000-0000-0000-000000000000}"/>
  <bookViews>
    <workbookView xWindow="-28920" yWindow="6150" windowWidth="29040" windowHeight="15720" activeTab="1" xr2:uid="{00000000-000D-0000-FFFF-FFFF00000000}"/>
  </bookViews>
  <sheets>
    <sheet name="Assumptions" sheetId="13" r:id="rId1"/>
    <sheet name="Model" sheetId="14" r:id="rId2"/>
  </sheets>
  <definedNames>
    <definedName name="AuraStyleDefaultsReset" hidden="1">#N/A</definedName>
    <definedName name="Base_Cost_of_Equity">Assumptions!$C$9</definedName>
    <definedName name="Benchmark_yield">Assumptions!$C$8</definedName>
    <definedName name="Entry_yield">Assumptions!$C$7</definedName>
    <definedName name="g">Assumptions!$C$4</definedName>
    <definedName name="HKDCNY">Assumptions!$C$13</definedName>
    <definedName name="HKDUSD">Assumptions!$C$12</definedName>
    <definedName name="Holding_Period">Assumptions!$C$5</definedName>
    <definedName name="k">Assumptions!$C$3</definedName>
    <definedName name="Target_return">Assumptions!$C$6</definedName>
    <definedName name="WW3f877d8e32714ec8a8180854ed7f8276_634328481945590045" hidden="1">#REF!</definedName>
    <definedName name="WW3f877d8e32714ec8a8180854ed7f8276_634328482352282765" hidden="1">#REF!</definedName>
  </definedNames>
  <calcPr calcId="191029"/>
</workbook>
</file>

<file path=xl/calcChain.xml><?xml version="1.0" encoding="utf-8"?>
<calcChain xmlns="http://schemas.openxmlformats.org/spreadsheetml/2006/main">
  <c r="U6" i="14" l="1"/>
  <c r="U7" i="14"/>
  <c r="V7" i="14" s="1"/>
  <c r="U8" i="14"/>
  <c r="V8" i="14" s="1"/>
  <c r="U9" i="14"/>
  <c r="U10" i="14"/>
  <c r="V10" i="14" s="1"/>
  <c r="U11" i="14"/>
  <c r="U12" i="14"/>
  <c r="T6" i="14"/>
  <c r="T7" i="14"/>
  <c r="T8" i="14"/>
  <c r="T9" i="14"/>
  <c r="T10" i="14"/>
  <c r="T11" i="14"/>
  <c r="T12" i="14"/>
  <c r="AF7" i="14"/>
  <c r="AF8" i="14"/>
  <c r="AF9" i="14"/>
  <c r="AF10" i="14"/>
  <c r="AF11" i="14"/>
  <c r="AF12" i="14"/>
  <c r="AF6" i="14"/>
  <c r="AE12" i="14"/>
  <c r="AE7" i="14"/>
  <c r="AE8" i="14"/>
  <c r="AE9" i="14"/>
  <c r="AE10" i="14"/>
  <c r="AE11" i="14"/>
  <c r="AE6" i="14"/>
  <c r="L12" i="14"/>
  <c r="AG12" i="14" s="1"/>
  <c r="V9" i="14"/>
  <c r="V11" i="14"/>
  <c r="V6" i="14"/>
  <c r="S7" i="14"/>
  <c r="S8" i="14"/>
  <c r="S9" i="14"/>
  <c r="S10" i="14"/>
  <c r="S11" i="14"/>
  <c r="S12" i="14"/>
  <c r="S6" i="14"/>
  <c r="R7" i="14"/>
  <c r="R8" i="14"/>
  <c r="R9" i="14"/>
  <c r="R10" i="14"/>
  <c r="R11" i="14"/>
  <c r="R12" i="14"/>
  <c r="R6" i="14"/>
  <c r="Q7" i="14"/>
  <c r="Q8" i="14"/>
  <c r="Q9" i="14"/>
  <c r="Q10" i="14"/>
  <c r="Q11" i="14"/>
  <c r="Q12" i="14"/>
  <c r="Q6" i="14"/>
  <c r="P6" i="14"/>
  <c r="P7" i="14"/>
  <c r="W7" i="14" s="1"/>
  <c r="X7" i="14" s="1"/>
  <c r="P8" i="14"/>
  <c r="W8" i="14" s="1"/>
  <c r="X8" i="14" s="1"/>
  <c r="Y8" i="14" s="1"/>
  <c r="P10" i="14"/>
  <c r="W10" i="14" s="1"/>
  <c r="P11" i="14"/>
  <c r="W11" i="14" s="1"/>
  <c r="X11" i="14" s="1"/>
  <c r="P12" i="14"/>
  <c r="W12" i="14" s="1"/>
  <c r="P9" i="14"/>
  <c r="W9" i="14" s="1"/>
  <c r="X10" i="14" l="1"/>
  <c r="X9" i="14"/>
  <c r="AA9" i="14" s="1"/>
  <c r="V12" i="14"/>
  <c r="X12" i="14"/>
  <c r="Z12" i="14" s="1"/>
  <c r="Y12" i="14"/>
  <c r="AA11" i="14"/>
  <c r="AB11" i="14"/>
  <c r="Y11" i="14"/>
  <c r="Z11" i="14"/>
  <c r="Y7" i="14"/>
  <c r="Z7" i="14"/>
  <c r="AA7" i="14"/>
  <c r="AB7" i="14"/>
  <c r="Y10" i="14"/>
  <c r="Z10" i="14"/>
  <c r="AA10" i="14"/>
  <c r="AB10" i="14"/>
  <c r="AB8" i="14"/>
  <c r="AA8" i="14"/>
  <c r="Z8" i="14"/>
  <c r="Z9" i="14"/>
  <c r="Y9" i="14"/>
  <c r="AB9" i="14"/>
  <c r="AG11" i="14"/>
  <c r="AG10" i="14"/>
  <c r="AG9" i="14"/>
  <c r="AG8" i="14"/>
  <c r="AG7" i="14"/>
  <c r="AG6" i="14"/>
  <c r="AB12" i="14" l="1"/>
  <c r="AA12" i="14"/>
  <c r="W6" i="14"/>
  <c r="X6" i="14" s="1"/>
  <c r="Y6" i="14" l="1"/>
  <c r="AB6" i="14"/>
  <c r="Z6" i="14"/>
  <c r="AA6" i="14"/>
</calcChain>
</file>

<file path=xl/sharedStrings.xml><?xml version="1.0" encoding="utf-8"?>
<sst xmlns="http://schemas.openxmlformats.org/spreadsheetml/2006/main" count="154" uniqueCount="132">
  <si>
    <t>Name</t>
  </si>
  <si>
    <t>Parameter</t>
  </si>
  <si>
    <t>Value</t>
  </si>
  <si>
    <t>CNY</t>
  </si>
  <si>
    <t>工商银行</t>
  </si>
  <si>
    <t>建设银行</t>
  </si>
  <si>
    <t>农业银行</t>
  </si>
  <si>
    <t>中国银行</t>
  </si>
  <si>
    <t>兴业银行</t>
  </si>
  <si>
    <t>邮政储蓄银行</t>
  </si>
  <si>
    <t>总资产周转率</t>
  </si>
  <si>
    <t>净息差</t>
  </si>
  <si>
    <t>成本收入比</t>
  </si>
  <si>
    <t>Core Philosophy</t>
  </si>
  <si>
    <t>From last FY report</t>
  </si>
  <si>
    <t>Report Currency</t>
  </si>
  <si>
    <t>Official Chinese name</t>
  </si>
  <si>
    <t>Currency used in financial statements</t>
  </si>
  <si>
    <t>Revenue/Total Assets</t>
  </si>
  <si>
    <t>Total Asset Turnover</t>
  </si>
  <si>
    <t>Net Interest Margin</t>
  </si>
  <si>
    <t>Cost-to-Income Ratio</t>
  </si>
  <si>
    <t>Net Interest Income / Interest - Earnings</t>
  </si>
  <si>
    <t>Operating Expenses / Operating Income</t>
  </si>
  <si>
    <t>公司名称</t>
  </si>
  <si>
    <t>HK:1398 / SH:601398</t>
  </si>
  <si>
    <t>HK:939 / SH:601939</t>
  </si>
  <si>
    <t>HK:1288 / SH:601288</t>
  </si>
  <si>
    <t>HK:3988 / SH:601988</t>
  </si>
  <si>
    <t>SH:601166</t>
  </si>
  <si>
    <t>HK:1658 / SH:601658</t>
  </si>
  <si>
    <t>Trading Currency</t>
  </si>
  <si>
    <t>YYYY-MM-DD</t>
  </si>
  <si>
    <t>From latest balance sheet (2 Decimal)</t>
  </si>
  <si>
    <t>上一财年每股股息</t>
  </si>
  <si>
    <t>Last FY Dividend
per share</t>
  </si>
  <si>
    <t>派息率</t>
  </si>
  <si>
    <t>Payout Ratio</t>
  </si>
  <si>
    <t>Dividend/Earnings</t>
  </si>
  <si>
    <t>Fair P/TBV ≈ (ROTCE – g) ÷ (k – g)</t>
  </si>
  <si>
    <t>TBV is Tangible Common Equity.</t>
  </si>
  <si>
    <t>Tangible Common Equity per Share</t>
  </si>
  <si>
    <t>ROTCE = Core Net income ÷ Tangible common equity (goodwill &amp; intangibles stripped out).</t>
  </si>
  <si>
    <t>Core net income is predictable, high-quality earnings from core operations (e.g., deposits and lending) rather than fluctuating trading activities,</t>
  </si>
  <si>
    <t>ROTCE</t>
  </si>
  <si>
    <t>DuPont for ROTCE</t>
  </si>
  <si>
    <t>ROTCE = Net Profit Margin × Asset Turnover × Tangible Equity Multiplier</t>
  </si>
  <si>
    <t>Asset Turnover = Total Revenue / Total Assets</t>
  </si>
  <si>
    <t>Tangible Equity Multiplier = Total Assets / Tangible Common Equity</t>
  </si>
  <si>
    <t>Tangible Equity Multiplier</t>
  </si>
  <si>
    <t>Net Profit Margin = Core Net Income attributable to common shareholders / Total Revenue</t>
  </si>
  <si>
    <t>Core Net Income attributable to common shareholders / Total Revenue</t>
  </si>
  <si>
    <t>Core Net income attributable to common shareholders ÷ Tangible common equity</t>
  </si>
  <si>
    <t>(ROTCE – g) ÷ (k – g)</t>
  </si>
  <si>
    <t>Fair TBV Multiple</t>
  </si>
  <si>
    <t>TBV * Fair TBV Multiple</t>
  </si>
  <si>
    <t>最新财报的截止日期</t>
  </si>
  <si>
    <t>财年结束日期</t>
  </si>
  <si>
    <t>财务报告使用的货币</t>
  </si>
  <si>
    <t>最新股价</t>
  </si>
  <si>
    <t>交易货币</t>
  </si>
  <si>
    <t>Company Info.</t>
  </si>
  <si>
    <t>上一个财年核心EPS</t>
  </si>
  <si>
    <t>每股有形净资产</t>
  </si>
  <si>
    <t>Core Net Income Margin</t>
  </si>
  <si>
    <t>核心净利率</t>
  </si>
  <si>
    <t>有形权益乘数</t>
  </si>
  <si>
    <t>有形普通股回报率</t>
  </si>
  <si>
    <t>Valuation</t>
  </si>
  <si>
    <t>隐含公允股价</t>
  </si>
  <si>
    <t>股息率</t>
  </si>
  <si>
    <t>Dividend Yield</t>
  </si>
  <si>
    <t>Inflation rate as proxy for long term Growth</t>
  </si>
  <si>
    <t>Remarks</t>
  </si>
  <si>
    <t>Financial Year End
(MM/DD)</t>
  </si>
  <si>
    <t>End Date of Last Statement
(YYYY/MM/DD)</t>
  </si>
  <si>
    <t>12/31</t>
  </si>
  <si>
    <t>Fair Price 
in Trading Currency</t>
  </si>
  <si>
    <t>Market</t>
  </si>
  <si>
    <t>主要上市地代码</t>
  </si>
  <si>
    <t>Primary Listing Symbol</t>
  </si>
  <si>
    <t>Long-term Growth (g)</t>
  </si>
  <si>
    <t>Holding Period</t>
  </si>
  <si>
    <t>Target return</t>
  </si>
  <si>
    <t>Entry yield</t>
  </si>
  <si>
    <t>Benchmark yield</t>
  </si>
  <si>
    <t>@ Target Return</t>
  </si>
  <si>
    <t>@Entry yield</t>
  </si>
  <si>
    <t>@Benchmark yield</t>
  </si>
  <si>
    <t>@Base equity cost</t>
  </si>
  <si>
    <t>Base Cost of Equity</t>
  </si>
  <si>
    <t>Bank Cost of Equity (k)</t>
  </si>
  <si>
    <t>目标价</t>
  </si>
  <si>
    <t>买入价</t>
  </si>
  <si>
    <t>卖出价</t>
  </si>
  <si>
    <t>退出价</t>
  </si>
  <si>
    <t>Lastest Market Price</t>
  </si>
  <si>
    <t>Target Price</t>
  </si>
  <si>
    <t>Entry Price</t>
  </si>
  <si>
    <t>Sell Price</t>
  </si>
  <si>
    <t>Exit Price</t>
  </si>
  <si>
    <t>Last FY Core shareholders' EPS</t>
  </si>
  <si>
    <t>有形净资产</t>
  </si>
  <si>
    <t>核心净利润</t>
  </si>
  <si>
    <t>收入</t>
  </si>
  <si>
    <t>总资产</t>
  </si>
  <si>
    <t>CET1</t>
  </si>
  <si>
    <t>普通股一级资本比率</t>
  </si>
  <si>
    <t>Data</t>
  </si>
  <si>
    <t>Profibilities and Efficiency</t>
  </si>
  <si>
    <t>股数</t>
  </si>
  <si>
    <t>HSBC</t>
  </si>
  <si>
    <t>HK:0005</t>
  </si>
  <si>
    <t>USD</t>
  </si>
  <si>
    <t>Total Assets
(in Millions)</t>
  </si>
  <si>
    <t>Tangible Common Equity (TBV)
(in Millions)</t>
  </si>
  <si>
    <t>Revenue
(in Millions)</t>
  </si>
  <si>
    <t>Last FY Core shareholders' Net Income (in Millions)</t>
  </si>
  <si>
    <t>From End Date of Last Statement</t>
  </si>
  <si>
    <t>From the Last Annual Report</t>
  </si>
  <si>
    <t>Listing Symbol</t>
  </si>
  <si>
    <t>Latest</t>
  </si>
  <si>
    <t>Latest Share Outstanding</t>
  </si>
  <si>
    <t>Total Assets/TBV</t>
  </si>
  <si>
    <t>HKD</t>
  </si>
  <si>
    <t>Forex</t>
  </si>
  <si>
    <t>HKDUSD</t>
  </si>
  <si>
    <t>HKDCNY</t>
  </si>
  <si>
    <t>Forex Pair</t>
  </si>
  <si>
    <t>Forex Rate</t>
  </si>
  <si>
    <t>公允市净率倍数</t>
  </si>
  <si>
    <t>From last Financial year (in trading currency)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</si>
</sst>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#,##0.0000"/>
    <numFmt numFmtId="166" formatCode="#,##0.000"/>
    <numFmt numFmtId="167" formatCode="#,##0&quot;yrs&quot;"/>
  </numFmts>
  <fonts count="8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2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>
      <alignment vertical="center"/>
    </xf>
  </cellStyleXfs>
  <cellXfs count="53">
    <xf numFmtId="0" fontId="0" fillId="0" borderId="0" xfId="0"/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3" fillId="2" borderId="1" xfId="0" applyFont="1" applyFill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0" fillId="0" borderId="1" xfId="0" applyNumberFormat="1" applyBorder="1" applyAlignment="1">
      <alignment horizontal="center"/>
    </xf>
    <xf numFmtId="4" fontId="0" fillId="0" borderId="1" xfId="0" applyNumberFormat="1" applyBorder="1" applyAlignment="1">
      <alignment horizontal="center"/>
    </xf>
    <xf numFmtId="49" fontId="5" fillId="0" borderId="1" xfId="0" applyNumberFormat="1" applyFont="1" applyBorder="1" applyAlignment="1">
      <alignment horizontal="center"/>
    </xf>
    <xf numFmtId="164" fontId="5" fillId="0" borderId="1" xfId="0" applyNumberFormat="1" applyFont="1" applyBorder="1" applyAlignment="1">
      <alignment horizontal="center"/>
    </xf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10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10" fontId="4" fillId="0" borderId="1" xfId="0" applyNumberFormat="1" applyFont="1" applyBorder="1"/>
    <xf numFmtId="167" fontId="4" fillId="0" borderId="1" xfId="0" applyNumberFormat="1" applyFont="1" applyBorder="1"/>
    <xf numFmtId="10" fontId="0" fillId="0" borderId="1" xfId="0" applyNumberFormat="1" applyBorder="1" applyAlignment="1">
      <alignment vertical="top" wrapText="1"/>
    </xf>
    <xf numFmtId="0" fontId="3" fillId="0" borderId="0" xfId="0" applyFont="1"/>
    <xf numFmtId="0" fontId="6" fillId="0" borderId="0" xfId="0" applyFont="1"/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wrapText="1"/>
    </xf>
    <xf numFmtId="0" fontId="3" fillId="5" borderId="1" xfId="0" quotePrefix="1" applyFont="1" applyFill="1" applyBorder="1" applyAlignment="1">
      <alignment horizontal="center" vertical="top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/>
    </xf>
    <xf numFmtId="0" fontId="3" fillId="8" borderId="3" xfId="0" applyFont="1" applyFill="1" applyBorder="1" applyAlignment="1">
      <alignment horizontal="center" vertical="top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/>
    </xf>
    <xf numFmtId="10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4" fontId="7" fillId="0" borderId="1" xfId="0" applyNumberFormat="1" applyFont="1" applyBorder="1" applyAlignment="1">
      <alignment horizontal="center"/>
    </xf>
    <xf numFmtId="0" fontId="3" fillId="3" borderId="3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 wrapText="1"/>
    </xf>
    <xf numFmtId="0" fontId="3" fillId="9" borderId="2" xfId="0" applyFont="1" applyFill="1" applyBorder="1" applyAlignment="1">
      <alignment horizontal="center" vertical="top" wrapText="1"/>
    </xf>
    <xf numFmtId="0" fontId="3" fillId="9" borderId="3" xfId="0" applyFont="1" applyFill="1" applyBorder="1" applyAlignment="1">
      <alignment horizontal="center" vertical="top" wrapText="1"/>
    </xf>
    <xf numFmtId="0" fontId="3" fillId="9" borderId="4" xfId="0" applyFont="1" applyFill="1" applyBorder="1" applyAlignment="1">
      <alignment horizontal="center" vertical="top" wrapText="1"/>
    </xf>
    <xf numFmtId="0" fontId="3" fillId="8" borderId="2" xfId="0" applyFont="1" applyFill="1" applyBorder="1" applyAlignment="1">
      <alignment horizontal="center" vertical="top" wrapText="1"/>
    </xf>
    <xf numFmtId="0" fontId="3" fillId="8" borderId="3" xfId="0" applyFont="1" applyFill="1" applyBorder="1" applyAlignment="1">
      <alignment horizontal="center" vertical="top" wrapText="1"/>
    </xf>
    <xf numFmtId="0" fontId="3" fillId="7" borderId="3" xfId="0" applyFont="1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top" wrapText="1"/>
    </xf>
    <xf numFmtId="3" fontId="5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4" fontId="4" fillId="0" borderId="1" xfId="0" applyNumberFormat="1" applyFont="1" applyBorder="1"/>
    <xf numFmtId="4" fontId="5" fillId="0" borderId="1" xfId="0" applyNumberFormat="1" applyFont="1" applyBorder="1"/>
  </cellXfs>
  <cellStyles count="3">
    <cellStyle name="Normal 2" xfId="1" xr:uid="{00000000-0005-0000-0000-000001000000}"/>
    <cellStyle name="常规" xfId="0" builtinId="0"/>
    <cellStyle name="常规 2" xfId="2" xr:uid="{32ADA8AA-F280-4250-ABBF-7E6B9CB799DC}"/>
  </cellStyles>
  <dxfs count="0"/>
  <tableStyles count="0" defaultTableStyle="TableStyleMedium2" defaultPivotStyle="PivotStyleLight16"/>
  <colors>
    <mruColors>
      <color rgb="FF0000FF"/>
      <color rgb="FFFF0000"/>
      <color rgb="FF00FF00"/>
      <color rgb="FFB6D7A8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2ED91-59EB-437C-A4C2-C114238F9C2A}">
  <dimension ref="B2:D30"/>
  <sheetViews>
    <sheetView workbookViewId="0">
      <selection activeCell="E25" sqref="E25"/>
    </sheetView>
  </sheetViews>
  <sheetFormatPr defaultColWidth="8.796875" defaultRowHeight="14.25" x14ac:dyDescent="0.45"/>
  <cols>
    <col min="1" max="1" width="2.59765625" customWidth="1"/>
    <col min="2" max="2" width="20.6640625" customWidth="1"/>
    <col min="3" max="3" width="10.796875" customWidth="1"/>
    <col min="4" max="4" width="71.19921875" customWidth="1"/>
  </cols>
  <sheetData>
    <row r="2" spans="2:4" x14ac:dyDescent="0.45">
      <c r="B2" s="4" t="s">
        <v>1</v>
      </c>
      <c r="C2" s="4" t="s">
        <v>2</v>
      </c>
      <c r="D2" s="4" t="s">
        <v>73</v>
      </c>
    </row>
    <row r="3" spans="2:4" x14ac:dyDescent="0.45">
      <c r="B3" s="1" t="s">
        <v>91</v>
      </c>
      <c r="C3" s="14">
        <v>0.1</v>
      </c>
      <c r="D3" s="1"/>
    </row>
    <row r="4" spans="2:4" x14ac:dyDescent="0.45">
      <c r="B4" s="1" t="s">
        <v>81</v>
      </c>
      <c r="C4" s="14">
        <v>0.02</v>
      </c>
      <c r="D4" s="1" t="s">
        <v>72</v>
      </c>
    </row>
    <row r="5" spans="2:4" x14ac:dyDescent="0.45">
      <c r="B5" s="1" t="s">
        <v>82</v>
      </c>
      <c r="C5" s="15">
        <v>3</v>
      </c>
      <c r="D5" s="1"/>
    </row>
    <row r="6" spans="2:4" x14ac:dyDescent="0.45">
      <c r="B6" s="1" t="s">
        <v>83</v>
      </c>
      <c r="C6" s="14">
        <v>0.29465259038036606</v>
      </c>
      <c r="D6" s="1"/>
    </row>
    <row r="7" spans="2:4" x14ac:dyDescent="0.45">
      <c r="B7" s="1" t="s">
        <v>84</v>
      </c>
      <c r="C7" s="14">
        <v>0.20075184365903009</v>
      </c>
      <c r="D7" s="1"/>
    </row>
    <row r="8" spans="2:4" x14ac:dyDescent="0.45">
      <c r="B8" s="1" t="s">
        <v>85</v>
      </c>
      <c r="C8" s="14">
        <v>0.1174</v>
      </c>
      <c r="D8" s="1"/>
    </row>
    <row r="9" spans="2:4" x14ac:dyDescent="0.45">
      <c r="B9" s="1" t="s">
        <v>90</v>
      </c>
      <c r="C9" s="14">
        <v>7.2499999999999995E-2</v>
      </c>
      <c r="D9" s="1"/>
    </row>
    <row r="11" spans="2:4" x14ac:dyDescent="0.45">
      <c r="B11" s="4" t="s">
        <v>125</v>
      </c>
      <c r="C11" s="4" t="s">
        <v>2</v>
      </c>
      <c r="D11" s="4" t="s">
        <v>73</v>
      </c>
    </row>
    <row r="12" spans="2:4" x14ac:dyDescent="0.45">
      <c r="B12" s="1" t="s">
        <v>126</v>
      </c>
      <c r="C12" s="52">
        <v>7.8</v>
      </c>
      <c r="D12" s="1"/>
    </row>
    <row r="13" spans="2:4" x14ac:dyDescent="0.45">
      <c r="B13" s="1" t="s">
        <v>127</v>
      </c>
      <c r="C13" s="52">
        <v>0.89</v>
      </c>
      <c r="D13" s="1"/>
    </row>
    <row r="14" spans="2:4" x14ac:dyDescent="0.45">
      <c r="B14" s="1"/>
      <c r="C14" s="51"/>
      <c r="D14" s="1"/>
    </row>
    <row r="15" spans="2:4" x14ac:dyDescent="0.45">
      <c r="B15" s="1"/>
      <c r="C15" s="51"/>
      <c r="D15" s="1"/>
    </row>
    <row r="18" spans="2:2" x14ac:dyDescent="0.45">
      <c r="B18" s="17" t="s">
        <v>13</v>
      </c>
    </row>
    <row r="19" spans="2:2" x14ac:dyDescent="0.45">
      <c r="B19" t="s">
        <v>39</v>
      </c>
    </row>
    <row r="21" spans="2:2" x14ac:dyDescent="0.45">
      <c r="B21" t="s">
        <v>42</v>
      </c>
    </row>
    <row r="22" spans="2:2" x14ac:dyDescent="0.45">
      <c r="B22" t="s">
        <v>40</v>
      </c>
    </row>
    <row r="23" spans="2:2" x14ac:dyDescent="0.45">
      <c r="B23" t="s">
        <v>43</v>
      </c>
    </row>
    <row r="25" spans="2:2" x14ac:dyDescent="0.45">
      <c r="B25" s="18" t="s">
        <v>45</v>
      </c>
    </row>
    <row r="26" spans="2:2" x14ac:dyDescent="0.45">
      <c r="B26" t="s">
        <v>46</v>
      </c>
    </row>
    <row r="28" spans="2:2" x14ac:dyDescent="0.45">
      <c r="B28" t="s">
        <v>50</v>
      </c>
    </row>
    <row r="29" spans="2:2" x14ac:dyDescent="0.45">
      <c r="B29" t="s">
        <v>47</v>
      </c>
    </row>
    <row r="30" spans="2:2" x14ac:dyDescent="0.45">
      <c r="B30" t="s">
        <v>48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6E8AA2-48F2-4368-B9E3-BA821DC1A767}">
  <sheetPr>
    <pageSetUpPr fitToPage="1"/>
  </sheetPr>
  <dimension ref="B2:AG12"/>
  <sheetViews>
    <sheetView tabSelected="1" zoomScaleNormal="100" workbookViewId="0">
      <pane xSplit="3" ySplit="5" topLeftCell="T6" activePane="bottomRight" state="frozen"/>
      <selection pane="topRight" activeCell="D1" sqref="D1"/>
      <selection pane="bottomLeft" activeCell="A6" sqref="A6"/>
      <selection pane="bottomRight" activeCell="U12" sqref="U12"/>
    </sheetView>
  </sheetViews>
  <sheetFormatPr defaultColWidth="8.796875" defaultRowHeight="14.25" outlineLevelCol="1" x14ac:dyDescent="0.45"/>
  <cols>
    <col min="1" max="1" width="2.6640625" customWidth="1"/>
    <col min="2" max="4" width="18.6640625" customWidth="1"/>
    <col min="5" max="12" width="18.6640625" hidden="1" customWidth="1" outlineLevel="1"/>
    <col min="13" max="13" width="18.6640625" hidden="1" customWidth="1" outlineLevel="1" collapsed="1"/>
    <col min="14" max="19" width="18.6640625" hidden="1" customWidth="1" outlineLevel="1"/>
    <col min="20" max="20" width="18.6640625" customWidth="1" collapsed="1"/>
    <col min="21" max="22" width="18.6640625" customWidth="1"/>
    <col min="23" max="30" width="18.796875" customWidth="1"/>
    <col min="31" max="32" width="18.796875" hidden="1" customWidth="1"/>
    <col min="33" max="33" width="18.796875" customWidth="1"/>
  </cols>
  <sheetData>
    <row r="2" spans="2:33" ht="71.25" x14ac:dyDescent="0.45">
      <c r="B2" s="2" t="s">
        <v>120</v>
      </c>
      <c r="C2" s="2" t="s">
        <v>16</v>
      </c>
      <c r="D2" s="2" t="s">
        <v>17</v>
      </c>
      <c r="E2" s="3" t="s">
        <v>32</v>
      </c>
      <c r="F2" s="3" t="s">
        <v>32</v>
      </c>
      <c r="G2" s="2" t="s">
        <v>118</v>
      </c>
      <c r="H2" s="2" t="s">
        <v>118</v>
      </c>
      <c r="I2" s="2" t="s">
        <v>119</v>
      </c>
      <c r="J2" s="2" t="s">
        <v>119</v>
      </c>
      <c r="K2" s="2" t="s">
        <v>121</v>
      </c>
      <c r="L2" s="2" t="s">
        <v>131</v>
      </c>
      <c r="M2" s="2"/>
      <c r="N2" s="2" t="s">
        <v>22</v>
      </c>
      <c r="O2" s="2" t="s">
        <v>23</v>
      </c>
      <c r="P2" s="2" t="s">
        <v>52</v>
      </c>
      <c r="Q2" s="2" t="s">
        <v>18</v>
      </c>
      <c r="R2" s="2" t="s">
        <v>123</v>
      </c>
      <c r="S2" s="2" t="s">
        <v>51</v>
      </c>
      <c r="T2" s="2" t="s">
        <v>33</v>
      </c>
      <c r="U2" s="2" t="s">
        <v>14</v>
      </c>
      <c r="V2" s="2" t="s">
        <v>38</v>
      </c>
      <c r="W2" s="2" t="s">
        <v>53</v>
      </c>
      <c r="X2" s="2" t="s">
        <v>55</v>
      </c>
      <c r="Y2" s="16"/>
      <c r="Z2" s="16"/>
      <c r="AA2" s="16"/>
      <c r="AB2" s="16"/>
      <c r="AC2" s="2"/>
      <c r="AD2" s="2"/>
      <c r="AE2" s="2"/>
      <c r="AF2" s="2"/>
      <c r="AG2" s="2"/>
    </row>
    <row r="3" spans="2:33" ht="15" customHeight="1" x14ac:dyDescent="0.45">
      <c r="B3" s="42" t="s">
        <v>61</v>
      </c>
      <c r="C3" s="43"/>
      <c r="D3" s="44"/>
      <c r="E3" s="45" t="s">
        <v>108</v>
      </c>
      <c r="F3" s="46"/>
      <c r="G3" s="46"/>
      <c r="H3" s="46"/>
      <c r="I3" s="46"/>
      <c r="J3" s="46"/>
      <c r="K3" s="46"/>
      <c r="L3" s="31"/>
      <c r="M3" s="47" t="s">
        <v>109</v>
      </c>
      <c r="N3" s="47"/>
      <c r="O3" s="47"/>
      <c r="P3" s="47"/>
      <c r="Q3" s="47"/>
      <c r="R3" s="47"/>
      <c r="S3" s="48"/>
      <c r="T3" s="39"/>
      <c r="U3" s="39"/>
      <c r="V3" s="39"/>
      <c r="W3" s="40" t="s">
        <v>68</v>
      </c>
      <c r="X3" s="40"/>
      <c r="Y3" s="28" t="s">
        <v>86</v>
      </c>
      <c r="Z3" s="28" t="s">
        <v>87</v>
      </c>
      <c r="AA3" s="28" t="s">
        <v>88</v>
      </c>
      <c r="AB3" s="28" t="s">
        <v>89</v>
      </c>
      <c r="AC3" s="41" t="s">
        <v>78</v>
      </c>
      <c r="AD3" s="41"/>
      <c r="AE3" s="41"/>
      <c r="AF3" s="41"/>
      <c r="AG3" s="41"/>
    </row>
    <row r="4" spans="2:33" ht="42.75" x14ac:dyDescent="0.45">
      <c r="B4" s="34" t="s">
        <v>80</v>
      </c>
      <c r="C4" s="34" t="s">
        <v>0</v>
      </c>
      <c r="D4" s="34" t="s">
        <v>15</v>
      </c>
      <c r="E4" s="32" t="s">
        <v>74</v>
      </c>
      <c r="F4" s="32" t="s">
        <v>75</v>
      </c>
      <c r="G4" s="32" t="s">
        <v>114</v>
      </c>
      <c r="H4" s="32" t="s">
        <v>115</v>
      </c>
      <c r="I4" s="32" t="s">
        <v>116</v>
      </c>
      <c r="J4" s="32" t="s">
        <v>117</v>
      </c>
      <c r="K4" s="32" t="s">
        <v>122</v>
      </c>
      <c r="L4" s="32" t="s">
        <v>35</v>
      </c>
      <c r="M4" s="29" t="s">
        <v>106</v>
      </c>
      <c r="N4" s="29" t="s">
        <v>20</v>
      </c>
      <c r="O4" s="29" t="s">
        <v>21</v>
      </c>
      <c r="P4" s="29" t="s">
        <v>44</v>
      </c>
      <c r="Q4" s="29" t="s">
        <v>19</v>
      </c>
      <c r="R4" s="29" t="s">
        <v>49</v>
      </c>
      <c r="S4" s="29" t="s">
        <v>64</v>
      </c>
      <c r="T4" s="25" t="s">
        <v>41</v>
      </c>
      <c r="U4" s="25" t="s">
        <v>101</v>
      </c>
      <c r="V4" s="25" t="s">
        <v>37</v>
      </c>
      <c r="W4" s="23" t="s">
        <v>54</v>
      </c>
      <c r="X4" s="23" t="s">
        <v>77</v>
      </c>
      <c r="Y4" s="19" t="s">
        <v>97</v>
      </c>
      <c r="Z4" s="19" t="s">
        <v>98</v>
      </c>
      <c r="AA4" s="19" t="s">
        <v>99</v>
      </c>
      <c r="AB4" s="19" t="s">
        <v>100</v>
      </c>
      <c r="AC4" s="21" t="s">
        <v>96</v>
      </c>
      <c r="AD4" s="21" t="s">
        <v>31</v>
      </c>
      <c r="AE4" s="21" t="s">
        <v>128</v>
      </c>
      <c r="AF4" s="21" t="s">
        <v>129</v>
      </c>
      <c r="AG4" s="21" t="s">
        <v>71</v>
      </c>
    </row>
    <row r="5" spans="2:33" x14ac:dyDescent="0.45">
      <c r="B5" s="35" t="s">
        <v>79</v>
      </c>
      <c r="C5" s="35" t="s">
        <v>24</v>
      </c>
      <c r="D5" s="35" t="s">
        <v>58</v>
      </c>
      <c r="E5" s="33" t="s">
        <v>57</v>
      </c>
      <c r="F5" s="33" t="s">
        <v>56</v>
      </c>
      <c r="G5" s="33" t="s">
        <v>105</v>
      </c>
      <c r="H5" s="33" t="s">
        <v>102</v>
      </c>
      <c r="I5" s="33" t="s">
        <v>104</v>
      </c>
      <c r="J5" s="33" t="s">
        <v>103</v>
      </c>
      <c r="K5" s="33" t="s">
        <v>110</v>
      </c>
      <c r="L5" s="33" t="s">
        <v>34</v>
      </c>
      <c r="M5" s="30" t="s">
        <v>107</v>
      </c>
      <c r="N5" s="30" t="s">
        <v>11</v>
      </c>
      <c r="O5" s="30" t="s">
        <v>12</v>
      </c>
      <c r="P5" s="30" t="s">
        <v>67</v>
      </c>
      <c r="Q5" s="30" t="s">
        <v>10</v>
      </c>
      <c r="R5" s="30" t="s">
        <v>66</v>
      </c>
      <c r="S5" s="30" t="s">
        <v>65</v>
      </c>
      <c r="T5" s="26" t="s">
        <v>63</v>
      </c>
      <c r="U5" s="27" t="s">
        <v>62</v>
      </c>
      <c r="V5" s="27" t="s">
        <v>36</v>
      </c>
      <c r="W5" s="24" t="s">
        <v>130</v>
      </c>
      <c r="X5" s="24" t="s">
        <v>69</v>
      </c>
      <c r="Y5" s="20" t="s">
        <v>92</v>
      </c>
      <c r="Z5" s="20" t="s">
        <v>93</v>
      </c>
      <c r="AA5" s="20" t="s">
        <v>94</v>
      </c>
      <c r="AB5" s="20" t="s">
        <v>95</v>
      </c>
      <c r="AC5" s="22" t="s">
        <v>59</v>
      </c>
      <c r="AD5" s="22" t="s">
        <v>60</v>
      </c>
      <c r="AE5" s="22"/>
      <c r="AF5" s="22"/>
      <c r="AG5" s="22" t="s">
        <v>70</v>
      </c>
    </row>
    <row r="6" spans="2:33" x14ac:dyDescent="0.45">
      <c r="B6" s="10" t="s">
        <v>25</v>
      </c>
      <c r="C6" s="10" t="s">
        <v>4</v>
      </c>
      <c r="D6" s="11" t="s">
        <v>3</v>
      </c>
      <c r="E6" s="8" t="s">
        <v>76</v>
      </c>
      <c r="F6" s="9">
        <v>45838</v>
      </c>
      <c r="G6" s="49">
        <v>48821746</v>
      </c>
      <c r="H6" s="49">
        <v>3969841</v>
      </c>
      <c r="I6" s="49">
        <v>820000</v>
      </c>
      <c r="J6" s="49">
        <v>366900</v>
      </c>
      <c r="K6" s="49">
        <v>356406000000</v>
      </c>
      <c r="L6" s="11">
        <v>0.308</v>
      </c>
      <c r="M6" s="12">
        <v>0.14099999999999999</v>
      </c>
      <c r="N6" s="12">
        <v>1.55E-2</v>
      </c>
      <c r="O6" s="12">
        <v>0.25269999999999998</v>
      </c>
      <c r="P6" s="36">
        <f t="shared" ref="P6:P8" si="0">J6/H6</f>
        <v>9.2421837549665084E-2</v>
      </c>
      <c r="Q6" s="37">
        <f>I6/G6</f>
        <v>1.679579423480676E-2</v>
      </c>
      <c r="R6" s="38">
        <f>G6/H6</f>
        <v>12.298161563649527</v>
      </c>
      <c r="S6" s="36">
        <f>J6/I6</f>
        <v>0.44743902439024391</v>
      </c>
      <c r="T6" s="38">
        <f t="shared" ref="T6:T11" si="1">H6/(K6/1000000)*$AF6</f>
        <v>11.138535827118512</v>
      </c>
      <c r="U6" s="38">
        <f t="shared" ref="U6:U11" si="2">J6/(K6/1000000)*$AF6</f>
        <v>1.0294439487550715</v>
      </c>
      <c r="V6" s="6">
        <f>L6/U6</f>
        <v>0.29919064595257561</v>
      </c>
      <c r="W6" s="7">
        <f>(P6-g)/(k-g)</f>
        <v>0.90527296937081347</v>
      </c>
      <c r="X6" s="7">
        <f>T6*W6</f>
        <v>10.083415402658765</v>
      </c>
      <c r="Y6" s="7">
        <f>PV(Target_return,Holding_Period,-L6,-X6)</f>
        <v>5.2103294940404279</v>
      </c>
      <c r="Z6" s="7">
        <f>PV(Entry_yield,Holding_Period,-L6,-X6)</f>
        <v>6.4723886829985986</v>
      </c>
      <c r="AA6" s="7">
        <f>PV(Benchmark_yield,Holding_Period,-L6,-X6)</f>
        <v>7.9704745497303149</v>
      </c>
      <c r="AB6" s="7">
        <f>PV(Base_Cost_of_Equity,Holding_Period,-L6,-X6)</f>
        <v>8.9782562888960111</v>
      </c>
      <c r="AC6" s="13">
        <v>7.43</v>
      </c>
      <c r="AD6" s="7" t="s">
        <v>3</v>
      </c>
      <c r="AE6" s="7" t="str">
        <f>AD6&amp;D6</f>
        <v>CNYCNY</v>
      </c>
      <c r="AF6" s="7">
        <f>IFERROR(VLOOKUP(AE6,Assumptions!B$12:C$13,2),1)</f>
        <v>1</v>
      </c>
      <c r="AG6" s="5">
        <f>L6/AC6</f>
        <v>4.1453566621803502E-2</v>
      </c>
    </row>
    <row r="7" spans="2:33" x14ac:dyDescent="0.45">
      <c r="B7" s="10" t="s">
        <v>26</v>
      </c>
      <c r="C7" s="10" t="s">
        <v>5</v>
      </c>
      <c r="D7" s="11" t="s">
        <v>3</v>
      </c>
      <c r="E7" s="8" t="s">
        <v>76</v>
      </c>
      <c r="F7" s="9">
        <v>45838</v>
      </c>
      <c r="G7" s="49">
        <v>40571149</v>
      </c>
      <c r="H7" s="49">
        <v>3322127</v>
      </c>
      <c r="I7" s="49">
        <v>728570</v>
      </c>
      <c r="J7" s="49">
        <v>335577</v>
      </c>
      <c r="K7" s="49">
        <v>250011000000</v>
      </c>
      <c r="L7" s="11">
        <v>0.38700000000000001</v>
      </c>
      <c r="M7" s="12">
        <v>0.14480000000000001</v>
      </c>
      <c r="N7" s="12">
        <v>1.5100000000000001E-2</v>
      </c>
      <c r="O7" s="12">
        <v>0.29580000000000001</v>
      </c>
      <c r="P7" s="36">
        <f t="shared" si="0"/>
        <v>0.10101269457790145</v>
      </c>
      <c r="Q7" s="37">
        <f t="shared" ref="Q7:Q12" si="3">I7/G7</f>
        <v>1.7957835012264504E-2</v>
      </c>
      <c r="R7" s="38">
        <f t="shared" ref="R7:R12" si="4">G7/H7</f>
        <v>12.212401572847757</v>
      </c>
      <c r="S7" s="36">
        <f t="shared" ref="S7:S12" si="5">J7/I7</f>
        <v>0.4605967854838931</v>
      </c>
      <c r="T7" s="38">
        <f t="shared" si="1"/>
        <v>13.28792333137342</v>
      </c>
      <c r="U7" s="38">
        <f t="shared" si="2"/>
        <v>1.3422489410465939</v>
      </c>
      <c r="V7" s="6">
        <f>L7/U7</f>
        <v>0.28832207511241836</v>
      </c>
      <c r="W7" s="7">
        <f>(P7-g)/(k-g)</f>
        <v>1.012658682223768</v>
      </c>
      <c r="X7" s="7">
        <f>T7*W7</f>
        <v>13.45613093023907</v>
      </c>
      <c r="Y7" s="7">
        <f>PV(Target_return,Holding_Period,-L7,-X7)</f>
        <v>6.9091345554564931</v>
      </c>
      <c r="Z7" s="7">
        <f>PV(Entry_yield,Holding_Period,-L7,-X7)</f>
        <v>8.5867439277312272</v>
      </c>
      <c r="AA7" s="7">
        <f>PV(Benchmark_yield,Holding_Period,-L7,-X7)</f>
        <v>10.578499103755053</v>
      </c>
      <c r="AB7" s="7">
        <f>PV(Base_Cost_of_Equity,Holding_Period,-L7,-X7)</f>
        <v>11.918566568712924</v>
      </c>
      <c r="AC7" s="13">
        <v>8.91</v>
      </c>
      <c r="AD7" s="7" t="s">
        <v>3</v>
      </c>
      <c r="AE7" s="7" t="str">
        <f t="shared" ref="AE7:AE12" si="6">AD7&amp;D7</f>
        <v>CNYCNY</v>
      </c>
      <c r="AF7" s="7">
        <f>IFERROR(VLOOKUP(AE7,Assumptions!B$12:C$13,2),1)</f>
        <v>1</v>
      </c>
      <c r="AG7" s="5">
        <f>L7/AC7</f>
        <v>4.3434343434343436E-2</v>
      </c>
    </row>
    <row r="8" spans="2:33" x14ac:dyDescent="0.45">
      <c r="B8" s="10" t="s">
        <v>27</v>
      </c>
      <c r="C8" s="10" t="s">
        <v>6</v>
      </c>
      <c r="D8" s="11" t="s">
        <v>3</v>
      </c>
      <c r="E8" s="8" t="s">
        <v>76</v>
      </c>
      <c r="F8" s="9">
        <v>45838</v>
      </c>
      <c r="G8" s="49">
        <v>43238135</v>
      </c>
      <c r="H8" s="49">
        <v>3090808</v>
      </c>
      <c r="I8" s="49">
        <v>711416</v>
      </c>
      <c r="J8" s="49">
        <v>282671</v>
      </c>
      <c r="K8" s="49">
        <v>349983000000</v>
      </c>
      <c r="L8" s="11">
        <v>0.23799999999999999</v>
      </c>
      <c r="M8" s="12">
        <v>0.1163</v>
      </c>
      <c r="N8" s="12">
        <v>1.4200000000000001E-2</v>
      </c>
      <c r="O8" s="12">
        <v>0.34399999999999997</v>
      </c>
      <c r="P8" s="36">
        <f t="shared" si="0"/>
        <v>9.1455373481626814E-2</v>
      </c>
      <c r="Q8" s="37">
        <f t="shared" si="3"/>
        <v>1.6453438613853257E-2</v>
      </c>
      <c r="R8" s="38">
        <f t="shared" si="4"/>
        <v>13.989265913638116</v>
      </c>
      <c r="S8" s="36">
        <f t="shared" si="5"/>
        <v>0.39733573605316719</v>
      </c>
      <c r="T8" s="38">
        <f t="shared" si="1"/>
        <v>8.831308949291822</v>
      </c>
      <c r="U8" s="38">
        <f t="shared" si="2"/>
        <v>0.80767065828911688</v>
      </c>
      <c r="V8" s="6">
        <f>L8/U8</f>
        <v>0.2946745651304874</v>
      </c>
      <c r="W8" s="7">
        <f>(P8-g)/(k-g)</f>
        <v>0.89319216852033512</v>
      </c>
      <c r="X8" s="7">
        <f>T8*W8</f>
        <v>7.8880559912910044</v>
      </c>
      <c r="Y8" s="7">
        <f>PV(Target_return,Holding_Period,-L8,-X8)</f>
        <v>4.0705535190271149</v>
      </c>
      <c r="Z8" s="7">
        <f>PV(Entry_yield,Holding_Period,-L8,-X8)</f>
        <v>5.0570307683545934</v>
      </c>
      <c r="AA8" s="7">
        <f>PV(Benchmark_yield,Holding_Period,-L8,-X8)</f>
        <v>6.2280456564139071</v>
      </c>
      <c r="AB8" s="7">
        <f>PV(Base_Cost_of_Equity,Holding_Period,-L8,-X8)</f>
        <v>7.0158255458485144</v>
      </c>
      <c r="AC8" s="13">
        <v>6.96</v>
      </c>
      <c r="AD8" s="7" t="s">
        <v>3</v>
      </c>
      <c r="AE8" s="7" t="str">
        <f t="shared" si="6"/>
        <v>CNYCNY</v>
      </c>
      <c r="AF8" s="7">
        <f>IFERROR(VLOOKUP(AE8,Assumptions!B$12:C$13,2),1)</f>
        <v>1</v>
      </c>
      <c r="AG8" s="5">
        <f>L8/AC8</f>
        <v>3.4195402298850576E-2</v>
      </c>
    </row>
    <row r="9" spans="2:33" x14ac:dyDescent="0.45">
      <c r="B9" s="10" t="s">
        <v>28</v>
      </c>
      <c r="C9" s="10" t="s">
        <v>7</v>
      </c>
      <c r="D9" s="11" t="s">
        <v>3</v>
      </c>
      <c r="E9" s="8" t="s">
        <v>76</v>
      </c>
      <c r="F9" s="9">
        <v>45838</v>
      </c>
      <c r="G9" s="49">
        <v>35061299</v>
      </c>
      <c r="H9" s="49">
        <v>2816231</v>
      </c>
      <c r="I9" s="49">
        <v>632771</v>
      </c>
      <c r="J9" s="49">
        <v>252700</v>
      </c>
      <c r="K9" s="49">
        <v>294388000000</v>
      </c>
      <c r="L9" s="11">
        <v>0.22900000000000001</v>
      </c>
      <c r="M9" s="12">
        <v>0.122</v>
      </c>
      <c r="N9" s="12">
        <v>1.4E-2</v>
      </c>
      <c r="O9" s="12">
        <v>0.28770000000000001</v>
      </c>
      <c r="P9" s="36">
        <f>J9/H9</f>
        <v>8.9729855256901872E-2</v>
      </c>
      <c r="Q9" s="37">
        <f t="shared" si="3"/>
        <v>1.8047562926861323E-2</v>
      </c>
      <c r="R9" s="38">
        <f t="shared" si="4"/>
        <v>12.449724117091247</v>
      </c>
      <c r="S9" s="36">
        <f t="shared" si="5"/>
        <v>0.39935458483400788</v>
      </c>
      <c r="T9" s="38">
        <f t="shared" si="1"/>
        <v>9.5663919724988791</v>
      </c>
      <c r="U9" s="38">
        <f t="shared" si="2"/>
        <v>0.85839096702311235</v>
      </c>
      <c r="V9" s="6">
        <f>L9/U9</f>
        <v>0.26677820340324498</v>
      </c>
      <c r="W9" s="7">
        <f>(P9-g)/(k-g)</f>
        <v>0.87162319071127337</v>
      </c>
      <c r="X9" s="7">
        <f>T9*W9</f>
        <v>8.3382890946641854</v>
      </c>
      <c r="Y9" s="7">
        <f>PV(Target_return,Holding_Period,-L9,-X9)</f>
        <v>4.2615655476408243</v>
      </c>
      <c r="Z9" s="7">
        <f>PV(Entry_yield,Holding_Period,-L9,-X9)</f>
        <v>5.2981571752107932</v>
      </c>
      <c r="AA9" s="7">
        <f>PV(Benchmark_yield,Holding_Period,-L9,-X9)</f>
        <v>6.5290414844024953</v>
      </c>
      <c r="AB9" s="7">
        <f>PV(Base_Cost_of_Equity,Holding_Period,-L9,-X9)</f>
        <v>7.3572743812635029</v>
      </c>
      <c r="AC9" s="13">
        <v>5.38</v>
      </c>
      <c r="AD9" s="7" t="s">
        <v>3</v>
      </c>
      <c r="AE9" s="7" t="str">
        <f t="shared" si="6"/>
        <v>CNYCNY</v>
      </c>
      <c r="AF9" s="7">
        <f>IFERROR(VLOOKUP(AE9,Assumptions!B$12:C$13,2),1)</f>
        <v>1</v>
      </c>
      <c r="AG9" s="5">
        <f>L9/AC9</f>
        <v>4.2565055762081784E-2</v>
      </c>
    </row>
    <row r="10" spans="2:33" x14ac:dyDescent="0.45">
      <c r="B10" s="10" t="s">
        <v>29</v>
      </c>
      <c r="C10" s="10" t="s">
        <v>8</v>
      </c>
      <c r="D10" s="11" t="s">
        <v>3</v>
      </c>
      <c r="E10" s="8" t="s">
        <v>76</v>
      </c>
      <c r="F10" s="9">
        <v>45838</v>
      </c>
      <c r="G10" s="49">
        <v>10510731</v>
      </c>
      <c r="H10" s="49">
        <v>766132</v>
      </c>
      <c r="I10" s="49">
        <v>212226</v>
      </c>
      <c r="J10" s="49">
        <v>77205</v>
      </c>
      <c r="K10" s="49">
        <v>20774000000</v>
      </c>
      <c r="L10" s="50">
        <v>1.06</v>
      </c>
      <c r="M10" s="12">
        <v>9.7500000000000003E-2</v>
      </c>
      <c r="N10" s="12">
        <v>1.72E-2</v>
      </c>
      <c r="O10" s="12">
        <v>0.47599999999999998</v>
      </c>
      <c r="P10" s="36">
        <f t="shared" ref="P10:P12" si="7">J10/H10</f>
        <v>0.10077245174460799</v>
      </c>
      <c r="Q10" s="37">
        <f t="shared" si="3"/>
        <v>2.0191364425557079E-2</v>
      </c>
      <c r="R10" s="38">
        <f t="shared" si="4"/>
        <v>13.719216792928634</v>
      </c>
      <c r="S10" s="36">
        <f t="shared" si="5"/>
        <v>0.36378671793276979</v>
      </c>
      <c r="T10" s="38">
        <f t="shared" si="1"/>
        <v>36.879368441320885</v>
      </c>
      <c r="U10" s="38">
        <f t="shared" si="2"/>
        <v>3.716424376624627</v>
      </c>
      <c r="V10" s="6">
        <f>L10/U10</f>
        <v>0.28522038728061655</v>
      </c>
      <c r="W10" s="7">
        <f>(P10-g)/(k-g)</f>
        <v>1.0096556468075997</v>
      </c>
      <c r="X10" s="7">
        <f>T10*W10</f>
        <v>37.235462597477614</v>
      </c>
      <c r="Y10" s="7">
        <f>PV(Target_return,Holding_Period,-L10,-X10)</f>
        <v>19.098842024353051</v>
      </c>
      <c r="Z10" s="7">
        <f>PV(Entry_yield,Holding_Period,-L10,-X10)</f>
        <v>23.738092615861252</v>
      </c>
      <c r="AA10" s="7">
        <f>PV(Benchmark_yield,Holding_Period,-L10,-X10)</f>
        <v>29.246264118951007</v>
      </c>
      <c r="AB10" s="7">
        <f>PV(Base_Cost_of_Equity,Holding_Period,-L10,-X10)</f>
        <v>32.952287833787608</v>
      </c>
      <c r="AC10" s="13">
        <v>20.09</v>
      </c>
      <c r="AD10" s="7" t="s">
        <v>3</v>
      </c>
      <c r="AE10" s="7" t="str">
        <f t="shared" si="6"/>
        <v>CNYCNY</v>
      </c>
      <c r="AF10" s="7">
        <f>IFERROR(VLOOKUP(AE10,Assumptions!B$12:C$13,2),1)</f>
        <v>1</v>
      </c>
      <c r="AG10" s="5">
        <f>L10/AC10</f>
        <v>5.2762568442010951E-2</v>
      </c>
    </row>
    <row r="11" spans="2:33" x14ac:dyDescent="0.45">
      <c r="B11" s="10" t="s">
        <v>30</v>
      </c>
      <c r="C11" s="10" t="s">
        <v>9</v>
      </c>
      <c r="D11" s="11" t="s">
        <v>3</v>
      </c>
      <c r="E11" s="8" t="s">
        <v>76</v>
      </c>
      <c r="F11" s="9">
        <v>45838</v>
      </c>
      <c r="G11" s="49">
        <v>17084910</v>
      </c>
      <c r="H11" s="49">
        <v>1023006</v>
      </c>
      <c r="I11" s="49">
        <v>349133</v>
      </c>
      <c r="J11" s="49">
        <v>86479</v>
      </c>
      <c r="K11" s="49">
        <v>99161000000</v>
      </c>
      <c r="L11" s="50">
        <v>0.24</v>
      </c>
      <c r="M11" s="12">
        <v>9.4799999999999995E-2</v>
      </c>
      <c r="N11" s="12">
        <v>1.8700000000000001E-2</v>
      </c>
      <c r="O11" s="12">
        <v>0.252</v>
      </c>
      <c r="P11" s="36">
        <f t="shared" si="7"/>
        <v>8.4534206055487462E-2</v>
      </c>
      <c r="Q11" s="37">
        <f t="shared" si="3"/>
        <v>2.0435167642088838E-2</v>
      </c>
      <c r="R11" s="38">
        <f t="shared" si="4"/>
        <v>16.7006938375728</v>
      </c>
      <c r="S11" s="36">
        <f t="shared" si="5"/>
        <v>0.24769643660152435</v>
      </c>
      <c r="T11" s="38">
        <f t="shared" si="1"/>
        <v>10.316616411694113</v>
      </c>
      <c r="U11" s="38">
        <f t="shared" si="2"/>
        <v>0.87210697754157385</v>
      </c>
      <c r="V11" s="6">
        <f>L11/U11</f>
        <v>0.27519559661883231</v>
      </c>
      <c r="W11" s="7">
        <f>(P11-g)/(k-g)</f>
        <v>0.80667757569359322</v>
      </c>
      <c r="X11" s="7">
        <f>T11*W11</f>
        <v>8.3221831163461442</v>
      </c>
      <c r="Y11" s="7">
        <f>PV(Target_return,Holding_Period,-L11,-X11)</f>
        <v>4.2742718051540534</v>
      </c>
      <c r="Z11" s="7">
        <f>PV(Entry_yield,Holding_Period,-L11,-X11)</f>
        <v>5.3119981264614875</v>
      </c>
      <c r="AA11" s="7">
        <f>PV(Benchmark_yield,Holding_Period,-L11,-X11)</f>
        <v>6.5440359914386921</v>
      </c>
      <c r="AB11" s="7">
        <f>PV(Base_Cost_of_Equity,Holding_Period,-L11,-X11)</f>
        <v>7.3729549577050042</v>
      </c>
      <c r="AC11" s="13">
        <v>5.17</v>
      </c>
      <c r="AD11" s="7" t="s">
        <v>3</v>
      </c>
      <c r="AE11" s="7" t="str">
        <f t="shared" si="6"/>
        <v>CNYCNY</v>
      </c>
      <c r="AF11" s="7">
        <f>IFERROR(VLOOKUP(AE11,Assumptions!B$12:C$13,2),1)</f>
        <v>1</v>
      </c>
      <c r="AG11" s="5">
        <f>L11/AC11</f>
        <v>4.6421663442940041E-2</v>
      </c>
    </row>
    <row r="12" spans="2:33" x14ac:dyDescent="0.45">
      <c r="B12" s="10" t="s">
        <v>112</v>
      </c>
      <c r="C12" s="10" t="s">
        <v>111</v>
      </c>
      <c r="D12" s="11" t="s">
        <v>113</v>
      </c>
      <c r="E12" s="8" t="s">
        <v>76</v>
      </c>
      <c r="F12" s="9">
        <v>45838</v>
      </c>
      <c r="G12" s="49">
        <v>3017048</v>
      </c>
      <c r="H12" s="49">
        <v>154295</v>
      </c>
      <c r="I12" s="49">
        <v>51910</v>
      </c>
      <c r="J12" s="49">
        <v>23730</v>
      </c>
      <c r="K12" s="49">
        <v>17918000000</v>
      </c>
      <c r="L12" s="50">
        <f>0.780688+0.779073+0.777313+2.791007</f>
        <v>5.1280809999999999</v>
      </c>
      <c r="M12" s="12">
        <v>0.14899999999999999</v>
      </c>
      <c r="N12" s="12">
        <v>1.4500000000000001E-2</v>
      </c>
      <c r="O12" s="12">
        <v>0.52300000000000002</v>
      </c>
      <c r="P12" s="36">
        <f t="shared" si="7"/>
        <v>0.15379629929680158</v>
      </c>
      <c r="Q12" s="37">
        <f t="shared" si="3"/>
        <v>1.7205559871768694E-2</v>
      </c>
      <c r="R12" s="38">
        <f t="shared" si="4"/>
        <v>19.553763893839722</v>
      </c>
      <c r="S12" s="36">
        <f t="shared" si="5"/>
        <v>0.45713735311115394</v>
      </c>
      <c r="T12" s="38">
        <f>H12/(K12/1000000)*$AF12</f>
        <v>67.167150351601748</v>
      </c>
      <c r="U12" s="38">
        <f>J12/(K12/1000000)*$AF12</f>
        <v>10.330059158388213</v>
      </c>
      <c r="V12" s="6">
        <f>L12/U12</f>
        <v>0.49642319771575522</v>
      </c>
      <c r="W12" s="7">
        <f>(P12-g)/(k-g)</f>
        <v>1.6724537412100198</v>
      </c>
      <c r="X12" s="7">
        <f>T12*W12</f>
        <v>112.33395189195224</v>
      </c>
      <c r="Y12" s="7">
        <f>PV(Target_return,Holding_Period,-L12,-X12)</f>
        <v>61.150425207160808</v>
      </c>
      <c r="Z12" s="7">
        <f>PV(Entry_yield,Holding_Period,-L12,-X12)</f>
        <v>75.675539859823033</v>
      </c>
      <c r="AA12" s="7">
        <f>PV(Benchmark_yield,Holding_Period,-L12,-X12)</f>
        <v>92.888551757648202</v>
      </c>
      <c r="AB12" s="7">
        <f>PV(Base_Cost_of_Equity,Holding_Period,-L12,-X12)</f>
        <v>104.45468726004771</v>
      </c>
      <c r="AC12" s="13">
        <v>130</v>
      </c>
      <c r="AD12" s="7" t="s">
        <v>124</v>
      </c>
      <c r="AE12" s="7" t="str">
        <f t="shared" si="6"/>
        <v>HKDUSD</v>
      </c>
      <c r="AF12" s="7">
        <f>IFERROR(VLOOKUP(AE12,Assumptions!B$12:C$13,2),1)</f>
        <v>7.8</v>
      </c>
      <c r="AG12" s="5">
        <f>L12/AC12</f>
        <v>3.9446776923076923E-2</v>
      </c>
    </row>
  </sheetData>
  <dataConsolidate/>
  <mergeCells count="6">
    <mergeCell ref="T3:V3"/>
    <mergeCell ref="W3:X3"/>
    <mergeCell ref="AC3:AG3"/>
    <mergeCell ref="B3:D3"/>
    <mergeCell ref="E3:K3"/>
    <mergeCell ref="M3:S3"/>
  </mergeCells>
  <pageMargins left="0.25" right="0.25" top="0.75" bottom="0.75" header="0.3" footer="0.3"/>
  <pageSetup paperSize="9" scale="50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命名范围</vt:lpstr>
      </vt:variant>
      <vt:variant>
        <vt:i4>9</vt:i4>
      </vt:variant>
    </vt:vector>
  </HeadingPairs>
  <TitlesOfParts>
    <vt:vector size="11" baseType="lpstr">
      <vt:lpstr>Assumptions</vt:lpstr>
      <vt:lpstr>Model</vt:lpstr>
      <vt:lpstr>Base_Cost_of_Equity</vt:lpstr>
      <vt:lpstr>Benchmark_yield</vt:lpstr>
      <vt:lpstr>Entry_yield</vt:lpstr>
      <vt:lpstr>g</vt:lpstr>
      <vt:lpstr>HKDCNY</vt:lpstr>
      <vt:lpstr>HKDUSD</vt:lpstr>
      <vt:lpstr>Holding_Period</vt:lpstr>
      <vt:lpstr>k</vt:lpstr>
      <vt:lpstr>Target_return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Jerry.chen</dc:creator>
  <cp:keywords/>
  <dc:description/>
  <cp:lastModifiedBy>Jerry Chen</cp:lastModifiedBy>
  <cp:revision/>
  <cp:lastPrinted>2026-01-23T02:55:14Z</cp:lastPrinted>
  <dcterms:created xsi:type="dcterms:W3CDTF">2022-12-06T06:37:33Z</dcterms:created>
  <dcterms:modified xsi:type="dcterms:W3CDTF">2026-01-23T02:55:28Z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f64dec8e</vt:lpwstr>
  </property>
</Properties>
</file>