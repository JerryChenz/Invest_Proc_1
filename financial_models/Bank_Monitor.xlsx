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7770292-F970-4AA4-8488-3B55C8DAB788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Assumptions" sheetId="13" r:id="rId1"/>
    <sheet name="Model" sheetId="14" r:id="rId2"/>
  </sheets>
  <definedNames>
    <definedName name="AuraStyleDefaultsReset" hidden="1">#N/A</definedName>
    <definedName name="Base_Cost_of_Equity">Assumptions!$C$9</definedName>
    <definedName name="Benchmark_yield">Assumptions!$C$8</definedName>
    <definedName name="Entry_yield">Assumptions!$C$7</definedName>
    <definedName name="g">Assumptions!$C$4</definedName>
    <definedName name="Holding_Period">Assumptions!$C$5</definedName>
    <definedName name="k">Assumptions!$C$3</definedName>
    <definedName name="Target_return">Assumptions!$C$6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Y8" i="14" l="1"/>
  <c r="Z8" i="14" s="1"/>
  <c r="AA8" i="14" s="1"/>
  <c r="AG11" i="14"/>
  <c r="X11" i="14"/>
  <c r="AG10" i="14"/>
  <c r="X10" i="14"/>
  <c r="AG9" i="14"/>
  <c r="X9" i="14"/>
  <c r="AG8" i="14"/>
  <c r="X8" i="14"/>
  <c r="AG7" i="14"/>
  <c r="AG6" i="14"/>
  <c r="X6" i="14"/>
  <c r="X7" i="14"/>
  <c r="AD8" i="14" l="1"/>
  <c r="Y6" i="14"/>
  <c r="Z6" i="14" s="1"/>
  <c r="Y7" i="14"/>
  <c r="Z7" i="14" s="1"/>
  <c r="AC7" i="14" s="1"/>
  <c r="Y11" i="14"/>
  <c r="Z11" i="14" s="1"/>
  <c r="Y10" i="14"/>
  <c r="Z10" i="14" s="1"/>
  <c r="Y9" i="14"/>
  <c r="Z9" i="14" s="1"/>
  <c r="AB8" i="14"/>
  <c r="AC8" i="14"/>
  <c r="AA10" i="14" l="1"/>
  <c r="AD10" i="14"/>
  <c r="AB9" i="14"/>
  <c r="AD9" i="14"/>
  <c r="AA11" i="14"/>
  <c r="AD11" i="14"/>
  <c r="AA7" i="14"/>
  <c r="AD7" i="14"/>
  <c r="AA6" i="14"/>
  <c r="AD6" i="14"/>
  <c r="AC10" i="14"/>
  <c r="AB11" i="14"/>
  <c r="AC11" i="14"/>
  <c r="AB10" i="14"/>
  <c r="AB7" i="14"/>
  <c r="AB6" i="14"/>
  <c r="AC6" i="14"/>
  <c r="AA9" i="14"/>
  <c r="AC9" i="14"/>
</calcChain>
</file>

<file path=xl/sharedStrings.xml><?xml version="1.0" encoding="utf-8"?>
<sst xmlns="http://schemas.openxmlformats.org/spreadsheetml/2006/main" count="143" uniqueCount="125">
  <si>
    <t>Name</t>
  </si>
  <si>
    <t>Parameter</t>
  </si>
  <si>
    <t>Value</t>
  </si>
  <si>
    <t>CNY</t>
  </si>
  <si>
    <t>工商银行</t>
  </si>
  <si>
    <t>建设银行</t>
  </si>
  <si>
    <t>农业银行</t>
  </si>
  <si>
    <t>中国银行</t>
  </si>
  <si>
    <t>兴业银行</t>
  </si>
  <si>
    <t>邮政储蓄银行</t>
  </si>
  <si>
    <t>总资产周转率</t>
  </si>
  <si>
    <t>净息差</t>
  </si>
  <si>
    <t>成本收入比</t>
  </si>
  <si>
    <t>Core Philosophy</t>
  </si>
  <si>
    <t>From last FY report</t>
  </si>
  <si>
    <t>Report Currency</t>
  </si>
  <si>
    <t>Official Chinese name</t>
  </si>
  <si>
    <t>Currency used in financial statements</t>
  </si>
  <si>
    <t>Revenue/Total Assets</t>
  </si>
  <si>
    <t>Total Asset Turnover</t>
  </si>
  <si>
    <t>Net Interest Margin</t>
  </si>
  <si>
    <t>Cost-to-Income Ratio</t>
  </si>
  <si>
    <t>Net Interest Income / Interest - Earnings</t>
  </si>
  <si>
    <t>Operating Expenses / Operating Income</t>
  </si>
  <si>
    <t>公司名称</t>
  </si>
  <si>
    <t>每股净资产</t>
  </si>
  <si>
    <t>HK:1398 / SH:601398</t>
  </si>
  <si>
    <t>HK:939 / SH:601939</t>
  </si>
  <si>
    <t>HK:1288 / SH:601288</t>
  </si>
  <si>
    <t>HK:3988 / SH:601988</t>
  </si>
  <si>
    <t>SH:601166</t>
  </si>
  <si>
    <t>HK:1658 / SH:601658</t>
  </si>
  <si>
    <t>Trading Currency</t>
  </si>
  <si>
    <t>listed in China</t>
  </si>
  <si>
    <t>YYYY-MM-DD</t>
  </si>
  <si>
    <t>From latest balance sheet (2 Decimal)</t>
  </si>
  <si>
    <t>上一财年每股股息</t>
  </si>
  <si>
    <t>Last FY Dividend
per share</t>
  </si>
  <si>
    <t>From last Financial year</t>
  </si>
  <si>
    <t>派息率</t>
  </si>
  <si>
    <t>Payout Ratio</t>
  </si>
  <si>
    <t>Dividend/Earnings</t>
  </si>
  <si>
    <t>Fair P/TBV ≈ (ROTCE – g) ÷ (k – g)</t>
  </si>
  <si>
    <t>TBV is Tangible Common Equity.</t>
  </si>
  <si>
    <t>Tangible Common Equity per Share</t>
  </si>
  <si>
    <t>Common Equity per share</t>
  </si>
  <si>
    <t>ROTCE = Core Net income ÷ Tangible common equity (goodwill &amp; intangibles stripped out).</t>
  </si>
  <si>
    <t>Core net income is predictable, high-quality earnings from core operations (e.g., deposits and lending) rather than fluctuating trading activities,</t>
  </si>
  <si>
    <t>ROTCE</t>
  </si>
  <si>
    <t>Total Assets/Total Equity</t>
  </si>
  <si>
    <t>DuPont for ROTCE</t>
  </si>
  <si>
    <t>ROTCE = Net Profit Margin × Asset Turnover × Tangible Equity Multiplier</t>
  </si>
  <si>
    <t>Asset Turnover = Total Revenue / Total Assets</t>
  </si>
  <si>
    <t>Tangible Equity Multiplier = Total Assets / Tangible Common Equity</t>
  </si>
  <si>
    <t>Tangible Equity Multiplier</t>
  </si>
  <si>
    <t>Net Profit Margin = Core Net Income attributable to common shareholders / Total Revenue</t>
  </si>
  <si>
    <t>Core Net Income attributable to common shareholders / Total Revenue</t>
  </si>
  <si>
    <t>Core Net income attributable to common shareholders ÷ Tangible common equity</t>
  </si>
  <si>
    <t>(ROTCE – g) ÷ (k – g)</t>
  </si>
  <si>
    <t>Fair TBV Multiple</t>
  </si>
  <si>
    <t>TBV * Fair TBV Multiple</t>
  </si>
  <si>
    <t>最新财报的截止日期</t>
  </si>
  <si>
    <t>财年结束日期</t>
  </si>
  <si>
    <t>财务报告使用的货币</t>
  </si>
  <si>
    <t>最新股价</t>
  </si>
  <si>
    <t>交易货币</t>
  </si>
  <si>
    <t>Company Info.</t>
  </si>
  <si>
    <t>Per Share Metrics</t>
  </si>
  <si>
    <t>上一个财年EPS</t>
  </si>
  <si>
    <t>上一个财年核心EPS</t>
  </si>
  <si>
    <t>每股有形净资产</t>
  </si>
  <si>
    <t>Core Net Income Margin</t>
  </si>
  <si>
    <t>核心净利率</t>
  </si>
  <si>
    <t>有形权益乘数</t>
  </si>
  <si>
    <t>有形普通股回报率</t>
  </si>
  <si>
    <t>Valuation</t>
  </si>
  <si>
    <t>隐含公允市净率</t>
  </si>
  <si>
    <t>隐含公允股价</t>
  </si>
  <si>
    <t>股息率</t>
  </si>
  <si>
    <t>Dividend Yield</t>
  </si>
  <si>
    <t>Inflation rate as proxy for long term Growth</t>
  </si>
  <si>
    <t>Remarks</t>
  </si>
  <si>
    <t>Financial Year End
(MM/DD)</t>
  </si>
  <si>
    <t>End Date of Last Statement
(YYYY/MM/DD)</t>
  </si>
  <si>
    <t>12/31</t>
  </si>
  <si>
    <t>Fair Price 
in Trading Currency</t>
  </si>
  <si>
    <t>Market</t>
  </si>
  <si>
    <t>主要上市地代码</t>
  </si>
  <si>
    <t>Primary Listing Symbol</t>
  </si>
  <si>
    <t>Long-term Growth (g)</t>
  </si>
  <si>
    <t>Holding Period</t>
  </si>
  <si>
    <t>Target return</t>
  </si>
  <si>
    <t>Entry yield</t>
  </si>
  <si>
    <t>Benchmark yield</t>
  </si>
  <si>
    <t>@ Target Return</t>
  </si>
  <si>
    <t>@Entry yield</t>
  </si>
  <si>
    <t>@Benchmark yield</t>
  </si>
  <si>
    <t>@Base equity cost</t>
  </si>
  <si>
    <t>Base Cost of Equity</t>
  </si>
  <si>
    <t>Bank Cost of Equity (k)</t>
  </si>
  <si>
    <t>目标价</t>
  </si>
  <si>
    <t>买入价</t>
  </si>
  <si>
    <t>卖出价</t>
  </si>
  <si>
    <t>退出价</t>
  </si>
  <si>
    <t>Lastest Market Price</t>
  </si>
  <si>
    <t>Target Price</t>
  </si>
  <si>
    <t>Entry Price</t>
  </si>
  <si>
    <t>Sell Price</t>
  </si>
  <si>
    <t>Exit Price</t>
  </si>
  <si>
    <t>Last FY Core shareholders' EPS</t>
  </si>
  <si>
    <t>Last FY 
shareholders' EPS</t>
  </si>
  <si>
    <t>有形净资产</t>
  </si>
  <si>
    <t>核心净利润</t>
  </si>
  <si>
    <t>Last FY Core shareholders' Net Income</t>
  </si>
  <si>
    <t>收入</t>
  </si>
  <si>
    <t>Revenue</t>
  </si>
  <si>
    <t>Total Assets</t>
  </si>
  <si>
    <t>总资产</t>
  </si>
  <si>
    <t>Tangible Common Equity (TBV)</t>
  </si>
  <si>
    <t>CET1</t>
  </si>
  <si>
    <t>普通股一级资本比率</t>
  </si>
  <si>
    <t>Data</t>
  </si>
  <si>
    <t>Profibilities and Efficiency</t>
  </si>
  <si>
    <t>Share Outstanding</t>
  </si>
  <si>
    <t>股数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</si>
</sst>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;[Red]\-&quot;$&quot;#,##0.00"/>
    <numFmt numFmtId="164" formatCode="yyyy/mm/dd;@"/>
    <numFmt numFmtId="165" formatCode="#,##0.0000"/>
    <numFmt numFmtId="166" formatCode="#,##0.000"/>
    <numFmt numFmtId="167" formatCode="#,##0&quot;yrs&quot;"/>
  </numFmts>
  <fonts count="8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2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53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4" fontId="5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167" fontId="4" fillId="0" borderId="1" xfId="0" applyNumberFormat="1" applyFont="1" applyBorder="1"/>
    <xf numFmtId="10" fontId="0" fillId="0" borderId="1" xfId="0" applyNumberFormat="1" applyBorder="1" applyAlignment="1">
      <alignment vertical="top" wrapText="1"/>
    </xf>
    <xf numFmtId="0" fontId="3" fillId="0" borderId="0" xfId="0" applyFont="1"/>
    <xf numFmtId="8" fontId="0" fillId="0" borderId="0" xfId="0" applyNumberFormat="1"/>
    <xf numFmtId="9" fontId="0" fillId="0" borderId="0" xfId="0" applyNumberFormat="1"/>
    <xf numFmtId="0" fontId="6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3" borderId="2" xfId="0" applyFont="1" applyFill="1" applyBorder="1" applyAlignment="1">
      <alignment horizontal="center" vertical="top" wrapText="1"/>
    </xf>
    <xf numFmtId="0" fontId="3" fillId="3" borderId="3" xfId="0" applyFont="1" applyFill="1" applyBorder="1" applyAlignment="1">
      <alignment horizontal="center" vertical="top" wrapText="1"/>
    </xf>
    <xf numFmtId="0" fontId="3" fillId="4" borderId="1" xfId="0" applyFont="1" applyFill="1" applyBorder="1" applyAlignment="1">
      <alignment horizontal="center" vertical="top" wrapText="1"/>
    </xf>
    <xf numFmtId="0" fontId="3" fillId="5" borderId="1" xfId="0" quotePrefix="1" applyFont="1" applyFill="1" applyBorder="1" applyAlignment="1">
      <alignment horizontal="center" vertical="top" wrapText="1"/>
    </xf>
    <xf numFmtId="0" fontId="3" fillId="6" borderId="1" xfId="0" applyFont="1" applyFill="1" applyBorder="1" applyAlignment="1">
      <alignment horizontal="center" vertical="top" wrapText="1"/>
    </xf>
    <xf numFmtId="0" fontId="3" fillId="7" borderId="3" xfId="0" applyFont="1" applyFill="1" applyBorder="1" applyAlignment="1">
      <alignment horizontal="center" vertical="top" wrapText="1"/>
    </xf>
    <xf numFmtId="0" fontId="3" fillId="7" borderId="4" xfId="0" applyFont="1" applyFill="1" applyBorder="1" applyAlignment="1">
      <alignment horizontal="center" vertical="top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 vertical="top" wrapText="1"/>
    </xf>
    <xf numFmtId="0" fontId="3" fillId="8" borderId="3" xfId="0" applyFont="1" applyFill="1" applyBorder="1" applyAlignment="1">
      <alignment horizontal="center" vertical="top" wrapText="1"/>
    </xf>
    <xf numFmtId="0" fontId="3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/>
    </xf>
    <xf numFmtId="10" fontId="7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6" fontId="7" fillId="0" borderId="1" xfId="0" applyNumberFormat="1" applyFont="1" applyBorder="1" applyAlignment="1">
      <alignment horizontal="center"/>
    </xf>
    <xf numFmtId="0" fontId="3" fillId="9" borderId="2" xfId="0" applyFont="1" applyFill="1" applyBorder="1" applyAlignment="1">
      <alignment horizontal="center" vertical="top" wrapText="1"/>
    </xf>
    <xf numFmtId="0" fontId="3" fillId="9" borderId="3" xfId="0" applyFont="1" applyFill="1" applyBorder="1" applyAlignment="1">
      <alignment horizontal="center" vertical="top" wrapText="1"/>
    </xf>
    <xf numFmtId="0" fontId="3" fillId="9" borderId="4" xfId="0" applyFont="1" applyFill="1" applyBorder="1" applyAlignment="1">
      <alignment horizontal="center" vertical="top" wrapText="1"/>
    </xf>
  </cellXfs>
  <cellStyles count="3">
    <cellStyle name="Normal 2" xfId="1" xr:uid="{00000000-0005-0000-0000-000001000000}"/>
    <cellStyle name="常规" xfId="0" builtinId="0"/>
    <cellStyle name="常规 2" xfId="2" xr:uid="{32ADA8AA-F280-4250-ABBF-7E6B9CB799DC}"/>
  </cellStyles>
  <dxfs count="0"/>
  <tableStyles count="0" defaultTableStyle="TableStyleMedium2" defaultPivotStyle="PivotStyleLight16"/>
  <colors>
    <mruColors>
      <color rgb="FF0000FF"/>
      <color rgb="FFFF0000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2ED91-59EB-437C-A4C2-C114238F9C2A}">
  <dimension ref="B2:D24"/>
  <sheetViews>
    <sheetView workbookViewId="0">
      <selection activeCell="B25" sqref="B25"/>
    </sheetView>
  </sheetViews>
  <sheetFormatPr defaultColWidth="8.796875" defaultRowHeight="14.25" x14ac:dyDescent="0.45"/>
  <cols>
    <col min="1" max="1" width="2.59765625" customWidth="1"/>
    <col min="2" max="2" width="20.6640625" customWidth="1"/>
    <col min="3" max="3" width="10.796875" customWidth="1"/>
    <col min="4" max="4" width="71.19921875" customWidth="1"/>
  </cols>
  <sheetData>
    <row r="2" spans="2:4" x14ac:dyDescent="0.45">
      <c r="B2" s="4" t="s">
        <v>1</v>
      </c>
      <c r="C2" s="4" t="s">
        <v>2</v>
      </c>
      <c r="D2" s="4" t="s">
        <v>81</v>
      </c>
    </row>
    <row r="3" spans="2:4" x14ac:dyDescent="0.45">
      <c r="B3" s="1" t="s">
        <v>99</v>
      </c>
      <c r="C3" s="14">
        <v>0.1</v>
      </c>
      <c r="D3" s="1"/>
    </row>
    <row r="4" spans="2:4" x14ac:dyDescent="0.45">
      <c r="B4" s="1" t="s">
        <v>89</v>
      </c>
      <c r="C4" s="14">
        <v>0.02</v>
      </c>
      <c r="D4" s="1" t="s">
        <v>80</v>
      </c>
    </row>
    <row r="5" spans="2:4" x14ac:dyDescent="0.45">
      <c r="B5" s="1" t="s">
        <v>90</v>
      </c>
      <c r="C5" s="15">
        <v>3</v>
      </c>
      <c r="D5" s="1"/>
    </row>
    <row r="6" spans="2:4" x14ac:dyDescent="0.45">
      <c r="B6" s="1" t="s">
        <v>91</v>
      </c>
      <c r="C6" s="14">
        <v>0.29465259038036606</v>
      </c>
      <c r="D6" s="1"/>
    </row>
    <row r="7" spans="2:4" x14ac:dyDescent="0.45">
      <c r="B7" s="1" t="s">
        <v>92</v>
      </c>
      <c r="C7" s="14">
        <v>0.20075184365903009</v>
      </c>
      <c r="D7" s="1"/>
    </row>
    <row r="8" spans="2:4" x14ac:dyDescent="0.45">
      <c r="B8" s="1" t="s">
        <v>93</v>
      </c>
      <c r="C8" s="14">
        <v>0.1174</v>
      </c>
      <c r="D8" s="1"/>
    </row>
    <row r="9" spans="2:4" x14ac:dyDescent="0.45">
      <c r="B9" s="1" t="s">
        <v>98</v>
      </c>
      <c r="C9" s="14">
        <v>7.2499999999999995E-2</v>
      </c>
      <c r="D9" s="1"/>
    </row>
    <row r="12" spans="2:4" x14ac:dyDescent="0.45">
      <c r="B12" s="17" t="s">
        <v>13</v>
      </c>
    </row>
    <row r="13" spans="2:4" x14ac:dyDescent="0.45">
      <c r="B13" t="s">
        <v>42</v>
      </c>
    </row>
    <row r="15" spans="2:4" x14ac:dyDescent="0.45">
      <c r="B15" t="s">
        <v>46</v>
      </c>
    </row>
    <row r="16" spans="2:4" x14ac:dyDescent="0.45">
      <c r="B16" t="s">
        <v>43</v>
      </c>
    </row>
    <row r="17" spans="2:2" x14ac:dyDescent="0.45">
      <c r="B17" t="s">
        <v>47</v>
      </c>
    </row>
    <row r="19" spans="2:2" x14ac:dyDescent="0.45">
      <c r="B19" s="20" t="s">
        <v>50</v>
      </c>
    </row>
    <row r="20" spans="2:2" x14ac:dyDescent="0.45">
      <c r="B20" t="s">
        <v>51</v>
      </c>
    </row>
    <row r="22" spans="2:2" x14ac:dyDescent="0.45">
      <c r="B22" t="s">
        <v>55</v>
      </c>
    </row>
    <row r="23" spans="2:2" x14ac:dyDescent="0.45">
      <c r="B23" t="s">
        <v>52</v>
      </c>
    </row>
    <row r="24" spans="2:2" x14ac:dyDescent="0.45">
      <c r="B24" t="s">
        <v>53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8AA2-48F2-4368-B9E3-BA821DC1A767}">
  <dimension ref="B2:AG12"/>
  <sheetViews>
    <sheetView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B4" sqref="B4"/>
    </sheetView>
  </sheetViews>
  <sheetFormatPr defaultColWidth="8.796875" defaultRowHeight="14.25" outlineLevelCol="1" x14ac:dyDescent="0.45"/>
  <cols>
    <col min="1" max="1" width="2.6640625" customWidth="1"/>
    <col min="2" max="4" width="18.6640625" customWidth="1"/>
    <col min="5" max="11" width="18.6640625" hidden="1" customWidth="1" outlineLevel="1"/>
    <col min="12" max="12" width="18.6640625" customWidth="1" collapsed="1"/>
    <col min="13" max="18" width="18.6640625" customWidth="1"/>
    <col min="19" max="24" width="18.6640625" hidden="1" customWidth="1" outlineLevel="1"/>
    <col min="25" max="25" width="18.796875" customWidth="1" collapsed="1"/>
    <col min="26" max="33" width="18.796875" customWidth="1"/>
  </cols>
  <sheetData>
    <row r="2" spans="2:33" ht="71.25" x14ac:dyDescent="0.45">
      <c r="B2" s="2" t="s">
        <v>33</v>
      </c>
      <c r="C2" s="2" t="s">
        <v>16</v>
      </c>
      <c r="D2" s="2" t="s">
        <v>17</v>
      </c>
      <c r="E2" s="3" t="s">
        <v>34</v>
      </c>
      <c r="F2" s="3" t="s">
        <v>34</v>
      </c>
      <c r="G2" s="2"/>
      <c r="H2" s="2"/>
      <c r="I2" s="2"/>
      <c r="J2" s="2"/>
      <c r="K2" s="2"/>
      <c r="L2" s="2"/>
      <c r="M2" s="2" t="s">
        <v>22</v>
      </c>
      <c r="N2" s="2" t="s">
        <v>23</v>
      </c>
      <c r="O2" s="2" t="s">
        <v>57</v>
      </c>
      <c r="P2" s="2" t="s">
        <v>18</v>
      </c>
      <c r="Q2" s="2" t="s">
        <v>49</v>
      </c>
      <c r="R2" s="2" t="s">
        <v>56</v>
      </c>
      <c r="S2" s="2" t="s">
        <v>35</v>
      </c>
      <c r="T2" s="2"/>
      <c r="U2" s="2" t="s">
        <v>14</v>
      </c>
      <c r="V2" s="2" t="s">
        <v>14</v>
      </c>
      <c r="W2" s="2" t="s">
        <v>38</v>
      </c>
      <c r="X2" s="2" t="s">
        <v>41</v>
      </c>
      <c r="Y2" s="2" t="s">
        <v>58</v>
      </c>
      <c r="Z2" s="2" t="s">
        <v>60</v>
      </c>
      <c r="AA2" s="16"/>
      <c r="AB2" s="16"/>
      <c r="AC2" s="16"/>
      <c r="AD2" s="16"/>
      <c r="AE2" s="2"/>
      <c r="AF2" s="2"/>
      <c r="AG2" s="2"/>
    </row>
    <row r="3" spans="2:33" ht="15" customHeight="1" x14ac:dyDescent="0.45">
      <c r="B3" s="50" t="s">
        <v>66</v>
      </c>
      <c r="C3" s="51"/>
      <c r="D3" s="52"/>
      <c r="E3" s="39" t="s">
        <v>121</v>
      </c>
      <c r="F3" s="40"/>
      <c r="G3" s="40"/>
      <c r="H3" s="40"/>
      <c r="I3" s="40"/>
      <c r="J3" s="40"/>
      <c r="K3" s="40"/>
      <c r="L3" s="35" t="s">
        <v>122</v>
      </c>
      <c r="M3" s="35"/>
      <c r="N3" s="35"/>
      <c r="O3" s="35"/>
      <c r="P3" s="35"/>
      <c r="Q3" s="35"/>
      <c r="R3" s="36"/>
      <c r="S3" s="30" t="s">
        <v>67</v>
      </c>
      <c r="T3" s="31"/>
      <c r="U3" s="31"/>
      <c r="V3" s="31"/>
      <c r="W3" s="31"/>
      <c r="X3" s="31"/>
      <c r="Y3" s="32" t="s">
        <v>75</v>
      </c>
      <c r="Z3" s="32"/>
      <c r="AA3" s="33" t="s">
        <v>94</v>
      </c>
      <c r="AB3" s="33" t="s">
        <v>95</v>
      </c>
      <c r="AC3" s="33" t="s">
        <v>96</v>
      </c>
      <c r="AD3" s="33" t="s">
        <v>97</v>
      </c>
      <c r="AE3" s="34" t="s">
        <v>86</v>
      </c>
      <c r="AF3" s="34"/>
      <c r="AG3" s="34"/>
    </row>
    <row r="4" spans="2:33" ht="42.75" x14ac:dyDescent="0.45">
      <c r="B4" s="43" t="s">
        <v>88</v>
      </c>
      <c r="C4" s="43" t="s">
        <v>0</v>
      </c>
      <c r="D4" s="43" t="s">
        <v>15</v>
      </c>
      <c r="E4" s="41" t="s">
        <v>82</v>
      </c>
      <c r="F4" s="41" t="s">
        <v>83</v>
      </c>
      <c r="G4" s="41" t="s">
        <v>116</v>
      </c>
      <c r="H4" s="41" t="s">
        <v>118</v>
      </c>
      <c r="I4" s="41" t="s">
        <v>115</v>
      </c>
      <c r="J4" s="41" t="s">
        <v>113</v>
      </c>
      <c r="K4" s="41" t="s">
        <v>123</v>
      </c>
      <c r="L4" s="37" t="s">
        <v>119</v>
      </c>
      <c r="M4" s="37" t="s">
        <v>20</v>
      </c>
      <c r="N4" s="37" t="s">
        <v>21</v>
      </c>
      <c r="O4" s="37" t="s">
        <v>48</v>
      </c>
      <c r="P4" s="37" t="s">
        <v>19</v>
      </c>
      <c r="Q4" s="37" t="s">
        <v>54</v>
      </c>
      <c r="R4" s="37" t="s">
        <v>71</v>
      </c>
      <c r="S4" s="27" t="s">
        <v>45</v>
      </c>
      <c r="T4" s="27" t="s">
        <v>44</v>
      </c>
      <c r="U4" s="27" t="s">
        <v>110</v>
      </c>
      <c r="V4" s="27" t="s">
        <v>109</v>
      </c>
      <c r="W4" s="27" t="s">
        <v>37</v>
      </c>
      <c r="X4" s="27" t="s">
        <v>40</v>
      </c>
      <c r="Y4" s="25" t="s">
        <v>59</v>
      </c>
      <c r="Z4" s="25" t="s">
        <v>85</v>
      </c>
      <c r="AA4" s="21" t="s">
        <v>105</v>
      </c>
      <c r="AB4" s="21" t="s">
        <v>106</v>
      </c>
      <c r="AC4" s="21" t="s">
        <v>107</v>
      </c>
      <c r="AD4" s="21" t="s">
        <v>108</v>
      </c>
      <c r="AE4" s="23" t="s">
        <v>104</v>
      </c>
      <c r="AF4" s="23" t="s">
        <v>32</v>
      </c>
      <c r="AG4" s="23" t="s">
        <v>79</v>
      </c>
    </row>
    <row r="5" spans="2:33" x14ac:dyDescent="0.45">
      <c r="B5" s="44" t="s">
        <v>87</v>
      </c>
      <c r="C5" s="44" t="s">
        <v>24</v>
      </c>
      <c r="D5" s="44" t="s">
        <v>63</v>
      </c>
      <c r="E5" s="42" t="s">
        <v>62</v>
      </c>
      <c r="F5" s="42" t="s">
        <v>61</v>
      </c>
      <c r="G5" s="42" t="s">
        <v>117</v>
      </c>
      <c r="H5" s="42" t="s">
        <v>111</v>
      </c>
      <c r="I5" s="42" t="s">
        <v>114</v>
      </c>
      <c r="J5" s="42" t="s">
        <v>112</v>
      </c>
      <c r="K5" s="42" t="s">
        <v>124</v>
      </c>
      <c r="L5" s="38" t="s">
        <v>120</v>
      </c>
      <c r="M5" s="38" t="s">
        <v>11</v>
      </c>
      <c r="N5" s="38" t="s">
        <v>12</v>
      </c>
      <c r="O5" s="38" t="s">
        <v>74</v>
      </c>
      <c r="P5" s="38" t="s">
        <v>10</v>
      </c>
      <c r="Q5" s="38" t="s">
        <v>73</v>
      </c>
      <c r="R5" s="38" t="s">
        <v>72</v>
      </c>
      <c r="S5" s="28" t="s">
        <v>25</v>
      </c>
      <c r="T5" s="28" t="s">
        <v>70</v>
      </c>
      <c r="U5" s="29" t="s">
        <v>68</v>
      </c>
      <c r="V5" s="29" t="s">
        <v>69</v>
      </c>
      <c r="W5" s="29" t="s">
        <v>36</v>
      </c>
      <c r="X5" s="29" t="s">
        <v>39</v>
      </c>
      <c r="Y5" s="26" t="s">
        <v>76</v>
      </c>
      <c r="Z5" s="26" t="s">
        <v>77</v>
      </c>
      <c r="AA5" s="22" t="s">
        <v>100</v>
      </c>
      <c r="AB5" s="22" t="s">
        <v>101</v>
      </c>
      <c r="AC5" s="22" t="s">
        <v>102</v>
      </c>
      <c r="AD5" s="22" t="s">
        <v>103</v>
      </c>
      <c r="AE5" s="24" t="s">
        <v>64</v>
      </c>
      <c r="AF5" s="24" t="s">
        <v>65</v>
      </c>
      <c r="AG5" s="24" t="s">
        <v>78</v>
      </c>
    </row>
    <row r="6" spans="2:33" x14ac:dyDescent="0.45">
      <c r="B6" s="10" t="s">
        <v>26</v>
      </c>
      <c r="C6" s="10" t="s">
        <v>4</v>
      </c>
      <c r="D6" s="11" t="s">
        <v>3</v>
      </c>
      <c r="E6" s="8" t="s">
        <v>84</v>
      </c>
      <c r="F6" s="9">
        <v>45930</v>
      </c>
      <c r="G6" s="12"/>
      <c r="H6" s="12"/>
      <c r="I6" s="12"/>
      <c r="J6" s="12"/>
      <c r="K6" s="12"/>
      <c r="L6" s="12"/>
      <c r="M6" s="12">
        <v>1.2800000000000001E-2</v>
      </c>
      <c r="N6" s="12">
        <v>0.26550000000000001</v>
      </c>
      <c r="O6" s="45">
        <v>9.2999999999999999E-2</v>
      </c>
      <c r="P6" s="46">
        <v>1.6E-2</v>
      </c>
      <c r="Q6" s="47">
        <v>12.49</v>
      </c>
      <c r="R6" s="45">
        <v>0.44519999999999998</v>
      </c>
      <c r="S6" s="47">
        <v>11.7</v>
      </c>
      <c r="T6" s="47">
        <v>11.7</v>
      </c>
      <c r="U6" s="47">
        <v>0.99</v>
      </c>
      <c r="V6" s="47">
        <v>0.94</v>
      </c>
      <c r="W6" s="48">
        <v>0.308</v>
      </c>
      <c r="X6" s="6">
        <f>W6/U6</f>
        <v>0.31111111111111112</v>
      </c>
      <c r="Y6" s="7">
        <f>(O6-g)/(k-g)</f>
        <v>0.91249999999999998</v>
      </c>
      <c r="Z6" s="7">
        <f>T6*Y6</f>
        <v>10.67625</v>
      </c>
      <c r="AA6" s="7">
        <f>PV(Target_return,Holding_Period,-W6,-Z6)</f>
        <v>5.4835251610179547</v>
      </c>
      <c r="AB6" s="7">
        <f>PV(Entry_yield,Holding_Period,-W6,-Z6)</f>
        <v>6.8148202193689871</v>
      </c>
      <c r="AC6" s="7">
        <f>PV(Benchmark_yield,Holding_Period,-W6,-Z6)</f>
        <v>8.3953949087133903</v>
      </c>
      <c r="AD6" s="7">
        <f>PV(Base_Cost_of_Equity,Holding_Period,-W6,-Z6)</f>
        <v>9.4588096710841096</v>
      </c>
      <c r="AE6" s="13">
        <v>7.43</v>
      </c>
      <c r="AF6" s="7" t="s">
        <v>3</v>
      </c>
      <c r="AG6" s="5">
        <f>W6/AE6</f>
        <v>4.1453566621803502E-2</v>
      </c>
    </row>
    <row r="7" spans="2:33" x14ac:dyDescent="0.45">
      <c r="B7" s="10" t="s">
        <v>27</v>
      </c>
      <c r="C7" s="10" t="s">
        <v>5</v>
      </c>
      <c r="D7" s="11" t="s">
        <v>3</v>
      </c>
      <c r="E7" s="8" t="s">
        <v>84</v>
      </c>
      <c r="F7" s="9">
        <v>45930</v>
      </c>
      <c r="G7" s="12"/>
      <c r="H7" s="12"/>
      <c r="I7" s="12"/>
      <c r="J7" s="12"/>
      <c r="K7" s="12"/>
      <c r="L7" s="12"/>
      <c r="M7" s="12">
        <v>1.3599999999999999E-2</v>
      </c>
      <c r="N7" s="12">
        <v>0.25530000000000003</v>
      </c>
      <c r="O7" s="45">
        <v>0.1032</v>
      </c>
      <c r="P7" s="46">
        <v>1.7399999999999999E-2</v>
      </c>
      <c r="Q7" s="47">
        <v>12.86</v>
      </c>
      <c r="R7" s="45">
        <v>0.4612</v>
      </c>
      <c r="S7" s="47">
        <v>13.5</v>
      </c>
      <c r="T7" s="47">
        <v>13.5</v>
      </c>
      <c r="U7" s="47">
        <v>1.3</v>
      </c>
      <c r="V7" s="47">
        <v>1.29</v>
      </c>
      <c r="W7" s="48">
        <v>0.38700000000000001</v>
      </c>
      <c r="X7" s="6">
        <f t="shared" ref="X7:X11" si="0">W7/U7</f>
        <v>0.2976923076923077</v>
      </c>
      <c r="Y7" s="7">
        <f>(O7-g)/(k-g)</f>
        <v>1.04</v>
      </c>
      <c r="Z7" s="7">
        <f>T7*Y7</f>
        <v>14.040000000000001</v>
      </c>
      <c r="AA7" s="7">
        <f>PV(Target_return,Holding_Period,-W7,-Z7)</f>
        <v>7.1781986429039275</v>
      </c>
      <c r="AB7" s="7">
        <f>PV(Entry_yield,Holding_Period,-W7,-Z7)</f>
        <v>8.9239968200119097</v>
      </c>
      <c r="AC7" s="7">
        <f>PV(Benchmark_yield,Holding_Period,-W7,-Z7)</f>
        <v>10.996993327666086</v>
      </c>
      <c r="AD7" s="7">
        <f>PV(Base_Cost_of_Equity,Holding_Period,-W7,-Z7)</f>
        <v>12.391852469176545</v>
      </c>
      <c r="AE7" s="13">
        <v>8.91</v>
      </c>
      <c r="AF7" s="7" t="s">
        <v>3</v>
      </c>
      <c r="AG7" s="5">
        <f>W7/AE7</f>
        <v>4.3434343434343436E-2</v>
      </c>
    </row>
    <row r="8" spans="2:33" x14ac:dyDescent="0.45">
      <c r="B8" s="10" t="s">
        <v>28</v>
      </c>
      <c r="C8" s="10" t="s">
        <v>6</v>
      </c>
      <c r="D8" s="11" t="s">
        <v>3</v>
      </c>
      <c r="E8" s="8" t="s">
        <v>84</v>
      </c>
      <c r="F8" s="9">
        <v>45930</v>
      </c>
      <c r="G8" s="12"/>
      <c r="H8" s="12"/>
      <c r="I8" s="12"/>
      <c r="J8" s="12"/>
      <c r="K8" s="12"/>
      <c r="L8" s="12"/>
      <c r="M8" s="12">
        <v>1.2999999999999999E-2</v>
      </c>
      <c r="N8" s="12">
        <v>0.29139999999999999</v>
      </c>
      <c r="O8" s="45">
        <v>0.1047</v>
      </c>
      <c r="P8" s="46">
        <v>1.5900000000000001E-2</v>
      </c>
      <c r="Q8" s="47">
        <v>16.38</v>
      </c>
      <c r="R8" s="45">
        <v>0.40100000000000002</v>
      </c>
      <c r="S8" s="47">
        <v>8.59</v>
      </c>
      <c r="T8" s="47">
        <v>8.59</v>
      </c>
      <c r="U8" s="47">
        <v>0.78</v>
      </c>
      <c r="V8" s="47">
        <v>0.7</v>
      </c>
      <c r="W8" s="48">
        <v>0.23799999999999999</v>
      </c>
      <c r="X8" s="6">
        <f t="shared" si="0"/>
        <v>0.3051282051282051</v>
      </c>
      <c r="Y8" s="7">
        <f>(O8-g)/(k-g)</f>
        <v>1.0587499999999999</v>
      </c>
      <c r="Z8" s="7">
        <f>T8*Y8</f>
        <v>9.0946624999999983</v>
      </c>
      <c r="AA8" s="7">
        <f>PV(Target_return,Holding_Period,-W8,-Z8)</f>
        <v>4.6265933847916285</v>
      </c>
      <c r="AB8" s="7">
        <f>PV(Entry_yield,Holding_Period,-W8,-Z8)</f>
        <v>5.7539875964897522</v>
      </c>
      <c r="AC8" s="7">
        <f>PV(Benchmark_yield,Holding_Period,-W8,-Z8)</f>
        <v>7.0928934118103841</v>
      </c>
      <c r="AD8" s="7">
        <f>PV(Base_Cost_of_Equity,Holding_Period,-W8,-Z8)</f>
        <v>7.9939041555159687</v>
      </c>
      <c r="AE8" s="13">
        <v>6.96</v>
      </c>
      <c r="AF8" s="7" t="s">
        <v>3</v>
      </c>
      <c r="AG8" s="5">
        <f>W8/AE8</f>
        <v>3.4195402298850576E-2</v>
      </c>
    </row>
    <row r="9" spans="2:33" x14ac:dyDescent="0.45">
      <c r="B9" s="10" t="s">
        <v>29</v>
      </c>
      <c r="C9" s="10" t="s">
        <v>7</v>
      </c>
      <c r="D9" s="11" t="s">
        <v>3</v>
      </c>
      <c r="E9" s="8" t="s">
        <v>84</v>
      </c>
      <c r="F9" s="9">
        <v>45930</v>
      </c>
      <c r="G9" s="12"/>
      <c r="H9" s="12"/>
      <c r="I9" s="12"/>
      <c r="J9" s="12"/>
      <c r="K9" s="12"/>
      <c r="L9" s="12"/>
      <c r="M9" s="12">
        <v>1.26E-2</v>
      </c>
      <c r="N9" s="12">
        <v>0.27</v>
      </c>
      <c r="O9" s="45">
        <v>0.09</v>
      </c>
      <c r="P9" s="46">
        <v>1.6E-2</v>
      </c>
      <c r="Q9" s="47">
        <v>12.5</v>
      </c>
      <c r="R9" s="45">
        <v>0.38500000000000001</v>
      </c>
      <c r="S9" s="47">
        <v>9.1199999999999992</v>
      </c>
      <c r="T9" s="47">
        <v>9.1199999999999992</v>
      </c>
      <c r="U9" s="47">
        <v>0.75</v>
      </c>
      <c r="V9" s="47">
        <v>0.72</v>
      </c>
      <c r="W9" s="48">
        <v>0.22900000000000001</v>
      </c>
      <c r="X9" s="6">
        <f t="shared" si="0"/>
        <v>0.30533333333333335</v>
      </c>
      <c r="Y9" s="7">
        <f>(O9-g)/(k-g)</f>
        <v>0.87499999999999989</v>
      </c>
      <c r="Z9" s="7">
        <f>T9*Y9</f>
        <v>7.9799999999999986</v>
      </c>
      <c r="AA9" s="7">
        <f>PV(Target_return,Holding_Period,-W9,-Z9)</f>
        <v>4.0964553657679277</v>
      </c>
      <c r="AB9" s="7">
        <f>PV(Entry_yield,Holding_Period,-W9,-Z9)</f>
        <v>5.0912031855130682</v>
      </c>
      <c r="AC9" s="7">
        <f>PV(Benchmark_yield,Holding_Period,-W9,-Z9)</f>
        <v>6.2722340520980744</v>
      </c>
      <c r="AD9" s="7">
        <f>PV(Base_Cost_of_Equity,Holding_Period,-W9,-Z9)</f>
        <v>7.0668442393416715</v>
      </c>
      <c r="AE9" s="13">
        <v>5.38</v>
      </c>
      <c r="AF9" s="7" t="s">
        <v>3</v>
      </c>
      <c r="AG9" s="5">
        <f>W9/AE9</f>
        <v>4.2565055762081784E-2</v>
      </c>
    </row>
    <row r="10" spans="2:33" x14ac:dyDescent="0.45">
      <c r="B10" s="10" t="s">
        <v>30</v>
      </c>
      <c r="C10" s="10" t="s">
        <v>8</v>
      </c>
      <c r="D10" s="11" t="s">
        <v>3</v>
      </c>
      <c r="E10" s="8" t="s">
        <v>84</v>
      </c>
      <c r="F10" s="9">
        <v>45930</v>
      </c>
      <c r="G10" s="12"/>
      <c r="H10" s="12"/>
      <c r="I10" s="12"/>
      <c r="J10" s="12"/>
      <c r="K10" s="12"/>
      <c r="L10" s="12"/>
      <c r="M10" s="12">
        <v>1.7000000000000001E-2</v>
      </c>
      <c r="N10" s="12">
        <v>0.3</v>
      </c>
      <c r="O10" s="45">
        <v>8.7400000000000005E-2</v>
      </c>
      <c r="P10" s="46">
        <v>1.5599999999999999E-2</v>
      </c>
      <c r="Q10" s="47">
        <v>12.64</v>
      </c>
      <c r="R10" s="45">
        <v>0.47599999999999998</v>
      </c>
      <c r="S10" s="47">
        <v>36.89</v>
      </c>
      <c r="T10" s="47">
        <v>36.89</v>
      </c>
      <c r="U10" s="47">
        <v>3.21</v>
      </c>
      <c r="V10" s="47">
        <v>3.21</v>
      </c>
      <c r="W10" s="49">
        <v>1.06</v>
      </c>
      <c r="X10" s="6">
        <f t="shared" si="0"/>
        <v>0.33021806853582558</v>
      </c>
      <c r="Y10" s="7">
        <f>(O10-g)/(k-g)</f>
        <v>0.84250000000000003</v>
      </c>
      <c r="Z10" s="7">
        <f>T10*Y10</f>
        <v>31.079825000000003</v>
      </c>
      <c r="AA10" s="7">
        <f>PV(Target_return,Holding_Period,-W10,-Z10)</f>
        <v>16.262142670676731</v>
      </c>
      <c r="AB10" s="7">
        <f>PV(Entry_yield,Holding_Period,-W10,-Z10)</f>
        <v>20.182489671469853</v>
      </c>
      <c r="AC10" s="7">
        <f>PV(Benchmark_yield,Holding_Period,-W10,-Z10)</f>
        <v>24.834146895326256</v>
      </c>
      <c r="AD10" s="7">
        <f>PV(Base_Cost_of_Equity,Holding_Period,-W10,-Z10)</f>
        <v>27.962510785925137</v>
      </c>
      <c r="AE10" s="13">
        <v>20.09</v>
      </c>
      <c r="AF10" s="7" t="s">
        <v>3</v>
      </c>
      <c r="AG10" s="5">
        <f>W10/AE10</f>
        <v>5.2762568442010951E-2</v>
      </c>
    </row>
    <row r="11" spans="2:33" x14ac:dyDescent="0.45">
      <c r="B11" s="10" t="s">
        <v>31</v>
      </c>
      <c r="C11" s="10" t="s">
        <v>9</v>
      </c>
      <c r="D11" s="11" t="s">
        <v>3</v>
      </c>
      <c r="E11" s="8" t="s">
        <v>84</v>
      </c>
      <c r="F11" s="9">
        <v>45930</v>
      </c>
      <c r="G11" s="12"/>
      <c r="H11" s="12"/>
      <c r="I11" s="12"/>
      <c r="J11" s="12"/>
      <c r="K11" s="12"/>
      <c r="L11" s="12"/>
      <c r="M11" s="12">
        <v>1.4E-2</v>
      </c>
      <c r="N11" s="12">
        <v>0.32</v>
      </c>
      <c r="O11" s="45">
        <v>7.9600000000000004E-2</v>
      </c>
      <c r="P11" s="46">
        <v>1.9400000000000001E-2</v>
      </c>
      <c r="Q11" s="47">
        <v>16.3</v>
      </c>
      <c r="R11" s="45">
        <v>0.252</v>
      </c>
      <c r="S11" s="47">
        <v>8.44</v>
      </c>
      <c r="T11" s="47">
        <v>8.44</v>
      </c>
      <c r="U11" s="47">
        <v>0.76</v>
      </c>
      <c r="V11" s="47">
        <v>0.76</v>
      </c>
      <c r="W11" s="49">
        <v>0.24</v>
      </c>
      <c r="X11" s="6">
        <f t="shared" si="0"/>
        <v>0.31578947368421051</v>
      </c>
      <c r="Y11" s="7">
        <f>(O11-g)/(k-g)</f>
        <v>0.745</v>
      </c>
      <c r="Z11" s="7">
        <f>T11*Y11</f>
        <v>6.2877999999999998</v>
      </c>
      <c r="AA11" s="7">
        <f>PV(Target_return,Holding_Period,-W11,-Z11)</f>
        <v>3.3367680649023743</v>
      </c>
      <c r="AB11" s="7">
        <f>PV(Entry_yield,Holding_Period,-W11,-Z11)</f>
        <v>4.136903185611728</v>
      </c>
      <c r="AC11" s="7">
        <f>PV(Benchmark_yield,Holding_Period,-W11,-Z11)</f>
        <v>5.0858707494237514</v>
      </c>
      <c r="AD11" s="7">
        <f>PV(Base_Cost_of_Equity,Holding_Period,-W11,-Z11)</f>
        <v>5.7238783153986832</v>
      </c>
      <c r="AE11" s="13">
        <v>5.17</v>
      </c>
      <c r="AF11" s="7" t="s">
        <v>3</v>
      </c>
      <c r="AG11" s="5">
        <f>W11/AE11</f>
        <v>4.6421663442940041E-2</v>
      </c>
    </row>
    <row r="12" spans="2:33" x14ac:dyDescent="0.45">
      <c r="X12" s="19"/>
      <c r="AA12" s="18"/>
      <c r="AB12" s="18"/>
      <c r="AC12" s="18"/>
      <c r="AD12" s="18"/>
    </row>
  </sheetData>
  <dataConsolidate/>
  <mergeCells count="6">
    <mergeCell ref="S3:X3"/>
    <mergeCell ref="Y3:Z3"/>
    <mergeCell ref="AE3:AG3"/>
    <mergeCell ref="B3:D3"/>
    <mergeCell ref="E3:K3"/>
    <mergeCell ref="L3:R3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命名范围</vt:lpstr>
      </vt:variant>
      <vt:variant>
        <vt:i4>7</vt:i4>
      </vt:variant>
    </vt:vector>
  </HeadingPairs>
  <TitlesOfParts>
    <vt:vector size="9" baseType="lpstr">
      <vt:lpstr>Assumptions</vt:lpstr>
      <vt:lpstr>Model</vt:lpstr>
      <vt:lpstr>Base_Cost_of_Equity</vt:lpstr>
      <vt:lpstr>Benchmark_yield</vt:lpstr>
      <vt:lpstr>Entry_yield</vt:lpstr>
      <vt:lpstr>g</vt:lpstr>
      <vt:lpstr>Holding_Period</vt:lpstr>
      <vt:lpstr>k</vt:lpstr>
      <vt:lpstr>Target_return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2026-01-22T10:41:45Z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