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howObjects="none" codeName="ThisWorkbook"/>
  <mc:AlternateContent xmlns:mc="http://schemas.openxmlformats.org/markup-compatibility/2006">
    <mc:Choice Requires="x15">
      <x15ac:absPath xmlns:x15ac="http://schemas.microsoft.com/office/spreadsheetml/2010/11/ac" url="C:\Users\jerry\PycharmProjects\Invest_Proc\financial_models\templates\"/>
    </mc:Choice>
  </mc:AlternateContent>
  <xr:revisionPtr revIDLastSave="0" documentId="13_ncr:1_{4E3957E4-B8F9-4521-9B3D-8D765B566547}" xr6:coauthVersionLast="47" xr6:coauthVersionMax="47" xr10:uidLastSave="{00000000-0000-0000-0000-000000000000}"/>
  <bookViews>
    <workbookView xWindow="-98" yWindow="-98" windowWidth="17115" windowHeight="10755" activeTab="2" xr2:uid="{00000000-000D-0000-FFFF-FFFF00000000}"/>
  </bookViews>
  <sheets>
    <sheet name="Thesis" sheetId="6" r:id="rId1"/>
    <sheet name="Data" sheetId="4" r:id="rId2"/>
    <sheet name="Normalized_FCF" sheetId="2" r:id="rId3"/>
    <sheet name="DDM" sheetId="8" r:id="rId4"/>
    <sheet name="Scenarios" sheetId="9" r:id="rId5"/>
  </sheets>
  <definedNames>
    <definedName name="_xlnm._FilterDatabase" localSheetId="3" hidden="1">DDM!$B$82:$R$82</definedName>
    <definedName name="Common_Shares">Thesis!$C$9</definedName>
    <definedName name="dividend_tax_rate">Normalized_FCF!$C$96</definedName>
    <definedName name="Equity_Cost">Thesis!$E$25</definedName>
    <definedName name="Exchange_Rate">Thesis!$E$16</definedName>
    <definedName name="FV_adjustments">DDM!$G$9</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D4" i="9" l="1"/>
  <c r="O21" i="8"/>
  <c r="H6" i="2"/>
  <c r="I6" i="2"/>
  <c r="J6" i="2"/>
  <c r="K6" i="2"/>
  <c r="L6" i="2"/>
  <c r="M6" i="2"/>
  <c r="N6" i="2"/>
  <c r="O6" i="2"/>
  <c r="P6" i="2"/>
  <c r="Q6" i="2"/>
  <c r="C6" i="2"/>
  <c r="G6" i="2"/>
  <c r="G25" i="2"/>
  <c r="G24" i="2"/>
  <c r="G23" i="2"/>
  <c r="C5" i="2"/>
  <c r="B24" i="2"/>
  <c r="B25" i="2"/>
  <c r="B23" i="2"/>
  <c r="D47" i="4"/>
  <c r="E47" i="4"/>
  <c r="F47" i="4"/>
  <c r="G47" i="4"/>
  <c r="H47" i="4"/>
  <c r="I47" i="4"/>
  <c r="J47" i="4"/>
  <c r="K47" i="4"/>
  <c r="L47" i="4"/>
  <c r="M47" i="4"/>
  <c r="C47" i="4"/>
  <c r="A73" i="8"/>
  <c r="A75" i="8"/>
  <c r="D52" i="8"/>
  <c r="C9" i="8" l="1"/>
  <c r="G23" i="9"/>
  <c r="G24" i="9"/>
  <c r="G30" i="9"/>
  <c r="G29" i="9"/>
  <c r="C57" i="9"/>
  <c r="F33" i="9"/>
  <c r="E65" i="9"/>
  <c r="E61" i="9"/>
  <c r="D33" i="9"/>
  <c r="D25" i="9"/>
  <c r="B87" i="8"/>
  <c r="B83" i="8"/>
  <c r="E28" i="9"/>
  <c r="B85" i="8"/>
  <c r="B86" i="8"/>
  <c r="B84" i="8"/>
  <c r="D30" i="9"/>
  <c r="D29" i="9"/>
  <c r="E21" i="9"/>
  <c r="D10" i="8"/>
  <c r="I10" i="8"/>
  <c r="H3" i="2"/>
  <c r="C17" i="8" l="1"/>
  <c r="C41" i="9" s="1"/>
  <c r="G17" i="8" s="1"/>
  <c r="O12" i="8"/>
  <c r="B94" i="2"/>
  <c r="B93" i="2"/>
  <c r="G4" i="8"/>
  <c r="D38" i="4" l="1"/>
  <c r="E38" i="4"/>
  <c r="F38" i="4"/>
  <c r="D39" i="4"/>
  <c r="E39" i="4"/>
  <c r="F39" i="4"/>
  <c r="F40" i="4" l="1"/>
  <c r="E40" i="4"/>
  <c r="D40" i="4"/>
  <c r="B19" i="6"/>
  <c r="F62" i="9"/>
  <c r="F66" i="9"/>
  <c r="C10" i="6"/>
  <c r="C7" i="8" l="1"/>
  <c r="F63" i="9"/>
  <c r="F67" i="9" l="1"/>
  <c r="C3" i="2"/>
  <c r="C3" i="8"/>
  <c r="C6" i="9" s="1"/>
  <c r="C45" i="9"/>
  <c r="M66" i="4"/>
  <c r="M67" i="4"/>
  <c r="M68" i="4"/>
  <c r="M69" i="4"/>
  <c r="D61" i="4"/>
  <c r="E61" i="4"/>
  <c r="F61" i="4"/>
  <c r="G61" i="4"/>
  <c r="H61" i="4"/>
  <c r="I61" i="4"/>
  <c r="J61" i="4"/>
  <c r="K61" i="4"/>
  <c r="L61" i="4"/>
  <c r="M61" i="4"/>
  <c r="C61" i="4"/>
  <c r="E88" i="2"/>
  <c r="E89" i="2"/>
  <c r="E19" i="6" l="1"/>
  <c r="C52" i="9"/>
  <c r="D47" i="9"/>
  <c r="D35" i="9"/>
  <c r="D34" i="9"/>
  <c r="C34" i="9" l="1"/>
  <c r="B126" i="2"/>
  <c r="G87" i="8"/>
  <c r="G83" i="8"/>
  <c r="B84" i="2"/>
  <c r="I11" i="8" s="1"/>
  <c r="G85" i="8" l="1"/>
  <c r="G86" i="8"/>
  <c r="Q101" i="2" l="1"/>
  <c r="D22" i="9" l="1"/>
  <c r="D55" i="4"/>
  <c r="H63" i="2" s="1"/>
  <c r="E55" i="4"/>
  <c r="I63" i="2" s="1"/>
  <c r="F55" i="4"/>
  <c r="J63" i="2" s="1"/>
  <c r="G55" i="4"/>
  <c r="K63" i="2" s="1"/>
  <c r="H55" i="4"/>
  <c r="L63" i="2" s="1"/>
  <c r="I55" i="4"/>
  <c r="M63" i="2" s="1"/>
  <c r="J55" i="4"/>
  <c r="N63" i="2" s="1"/>
  <c r="K55" i="4"/>
  <c r="O63" i="2" s="1"/>
  <c r="L55" i="4"/>
  <c r="P63" i="2" s="1"/>
  <c r="M55" i="4"/>
  <c r="Q63" i="2" s="1"/>
  <c r="C55" i="4"/>
  <c r="G63" i="2" s="1"/>
  <c r="G71" i="2" s="1"/>
  <c r="M56" i="4"/>
  <c r="Q65" i="2" s="1"/>
  <c r="D54" i="4"/>
  <c r="H61" i="2" s="1"/>
  <c r="E54" i="4"/>
  <c r="I61" i="2" s="1"/>
  <c r="F54" i="4"/>
  <c r="J61" i="2" s="1"/>
  <c r="G54" i="4"/>
  <c r="K61" i="2" s="1"/>
  <c r="H54" i="4"/>
  <c r="L61" i="2" s="1"/>
  <c r="I54" i="4"/>
  <c r="M61" i="2" s="1"/>
  <c r="J54" i="4"/>
  <c r="N61" i="2" s="1"/>
  <c r="K54" i="4"/>
  <c r="O61" i="2" s="1"/>
  <c r="L54" i="4"/>
  <c r="P61" i="2" s="1"/>
  <c r="M54" i="4"/>
  <c r="Q61" i="2" s="1"/>
  <c r="C54" i="4"/>
  <c r="G61" i="2" s="1"/>
  <c r="M46" i="4"/>
  <c r="B24" i="4"/>
  <c r="G69" i="2" l="1"/>
  <c r="C69" i="2" s="1"/>
  <c r="C61" i="2" s="1"/>
  <c r="D58" i="9"/>
  <c r="D36" i="9"/>
  <c r="D11" i="8"/>
  <c r="D8" i="8"/>
  <c r="C83" i="8"/>
  <c r="F22" i="9"/>
  <c r="G22" i="9" s="1"/>
  <c r="E53" i="4"/>
  <c r="I62" i="2" s="1"/>
  <c r="F53" i="4"/>
  <c r="J62" i="2" s="1"/>
  <c r="G53" i="4"/>
  <c r="K62" i="2" s="1"/>
  <c r="H53" i="4"/>
  <c r="L62" i="2" s="1"/>
  <c r="I53" i="4"/>
  <c r="M62" i="2" s="1"/>
  <c r="J53" i="4"/>
  <c r="N62" i="2" s="1"/>
  <c r="K53" i="4"/>
  <c r="O62" i="2" s="1"/>
  <c r="L53" i="4"/>
  <c r="P62" i="2" s="1"/>
  <c r="M53" i="4"/>
  <c r="Q62" i="2" s="1"/>
  <c r="D53" i="4"/>
  <c r="H62" i="2" s="1"/>
  <c r="C53" i="4"/>
  <c r="G62" i="2" s="1"/>
  <c r="C71" i="2"/>
  <c r="C63" i="2" s="1"/>
  <c r="G84" i="8" l="1"/>
  <c r="D83" i="8"/>
  <c r="G56" i="8"/>
  <c r="G69" i="8" s="1"/>
  <c r="G70" i="2"/>
  <c r="C70" i="2" l="1"/>
  <c r="C62" i="2" s="1"/>
  <c r="C86" i="8"/>
  <c r="D24" i="9"/>
  <c r="D87" i="8"/>
  <c r="D23" i="9"/>
  <c r="C85" i="8"/>
  <c r="C87" i="8"/>
  <c r="D84" i="8"/>
  <c r="C84" i="8"/>
  <c r="C16" i="8"/>
  <c r="B52" i="8" s="1"/>
  <c r="Q100" i="2"/>
  <c r="A80" i="8"/>
  <c r="A79" i="8"/>
  <c r="D86" i="8" l="1"/>
  <c r="D85" i="8"/>
  <c r="C64" i="2"/>
  <c r="C66" i="2" s="1"/>
  <c r="D56" i="8"/>
  <c r="B56" i="8"/>
  <c r="B69" i="8" s="1"/>
  <c r="C56" i="8"/>
  <c r="F56" i="8"/>
  <c r="L52" i="8"/>
  <c r="L23" i="8"/>
  <c r="L29" i="8"/>
  <c r="L28" i="8"/>
  <c r="L40" i="8"/>
  <c r="L39" i="8"/>
  <c r="L22" i="8"/>
  <c r="L44" i="8"/>
  <c r="L30" i="8"/>
  <c r="L48" i="8"/>
  <c r="L38" i="8"/>
  <c r="L47" i="8"/>
  <c r="L36" i="8"/>
  <c r="L46" i="8"/>
  <c r="L32" i="8"/>
  <c r="L37" i="8"/>
  <c r="L45" i="8"/>
  <c r="L31" i="8"/>
  <c r="L51" i="8"/>
  <c r="L43" i="8"/>
  <c r="L35" i="8"/>
  <c r="L27" i="8"/>
  <c r="L50" i="8"/>
  <c r="L42" i="8"/>
  <c r="L34" i="8"/>
  <c r="L26" i="8"/>
  <c r="L49" i="8"/>
  <c r="L41" i="8"/>
  <c r="L33" i="8"/>
  <c r="L25" i="8"/>
  <c r="L24" i="8"/>
  <c r="C9" i="2" l="1"/>
  <c r="O9" i="8" s="1"/>
  <c r="D69" i="8"/>
  <c r="F69" i="8"/>
  <c r="A76" i="8"/>
  <c r="A77" i="8"/>
  <c r="A78" i="8"/>
  <c r="A71" i="8"/>
  <c r="D4" i="8"/>
  <c r="I62" i="4" l="1"/>
  <c r="M93" i="2" s="1"/>
  <c r="J62" i="4"/>
  <c r="N93" i="2" s="1"/>
  <c r="K62" i="4"/>
  <c r="O93" i="2" s="1"/>
  <c r="L62" i="4"/>
  <c r="P93" i="2" s="1"/>
  <c r="M62" i="4"/>
  <c r="Q93" i="2" s="1"/>
  <c r="M73" i="4" l="1"/>
  <c r="E76" i="4"/>
  <c r="I30" i="2" s="1"/>
  <c r="F76" i="4"/>
  <c r="J30" i="2" s="1"/>
  <c r="G76" i="4"/>
  <c r="K30" i="2" s="1"/>
  <c r="H76" i="4"/>
  <c r="L30" i="2" s="1"/>
  <c r="I76" i="4"/>
  <c r="M30" i="2" s="1"/>
  <c r="J76" i="4"/>
  <c r="N30" i="2" s="1"/>
  <c r="K76" i="4"/>
  <c r="O30" i="2" s="1"/>
  <c r="L76" i="4"/>
  <c r="P30" i="2" s="1"/>
  <c r="M76" i="4"/>
  <c r="Q30" i="2" s="1"/>
  <c r="E77" i="4"/>
  <c r="I31" i="2" s="1"/>
  <c r="F77" i="4"/>
  <c r="J31" i="2" s="1"/>
  <c r="G77" i="4"/>
  <c r="K31" i="2" s="1"/>
  <c r="H77" i="4"/>
  <c r="L31" i="2" s="1"/>
  <c r="I77" i="4"/>
  <c r="M31" i="2" s="1"/>
  <c r="J77" i="4"/>
  <c r="N31" i="2" s="1"/>
  <c r="K77" i="4"/>
  <c r="O31" i="2" s="1"/>
  <c r="L77" i="4"/>
  <c r="P31" i="2" s="1"/>
  <c r="M77" i="4"/>
  <c r="Q31" i="2" s="1"/>
  <c r="C76" i="4"/>
  <c r="D76" i="4"/>
  <c r="H30" i="2" s="1"/>
  <c r="C74" i="4"/>
  <c r="C75" i="4"/>
  <c r="M65" i="4"/>
  <c r="B69" i="4"/>
  <c r="B67" i="4"/>
  <c r="B65" i="4"/>
  <c r="E15" i="6"/>
  <c r="D1" i="4"/>
  <c r="B9" i="8" l="1"/>
  <c r="D9" i="8"/>
  <c r="K73" i="4"/>
  <c r="L73" i="4"/>
  <c r="J73" i="4"/>
  <c r="I73" i="4"/>
  <c r="H73" i="4"/>
  <c r="F73" i="4"/>
  <c r="E73" i="4"/>
  <c r="G73" i="4"/>
  <c r="C48" i="4" l="1"/>
  <c r="G12" i="2" s="1"/>
  <c r="C49" i="4"/>
  <c r="C50" i="4"/>
  <c r="G13" i="2" s="1"/>
  <c r="D48" i="4"/>
  <c r="H12" i="2" s="1"/>
  <c r="E48" i="4"/>
  <c r="I12" i="2" s="1"/>
  <c r="F48" i="4"/>
  <c r="J12" i="2" s="1"/>
  <c r="G48" i="4"/>
  <c r="K12" i="2" s="1"/>
  <c r="H48" i="4"/>
  <c r="L12" i="2" s="1"/>
  <c r="I48" i="4"/>
  <c r="M12" i="2" s="1"/>
  <c r="J48" i="4"/>
  <c r="N12" i="2" s="1"/>
  <c r="K48" i="4"/>
  <c r="O12" i="2" s="1"/>
  <c r="L48" i="4"/>
  <c r="P12" i="2" s="1"/>
  <c r="M48" i="4"/>
  <c r="Q12" i="2" s="1"/>
  <c r="H50" i="2"/>
  <c r="I50" i="2"/>
  <c r="J50" i="2"/>
  <c r="K50" i="2"/>
  <c r="L50" i="2"/>
  <c r="M50" i="2"/>
  <c r="N50" i="2"/>
  <c r="O50" i="2"/>
  <c r="P50" i="2"/>
  <c r="Q50" i="2"/>
  <c r="H52" i="2"/>
  <c r="I52" i="2"/>
  <c r="J52" i="2"/>
  <c r="K52" i="2"/>
  <c r="L52" i="2"/>
  <c r="M52" i="2"/>
  <c r="N52" i="2"/>
  <c r="O52" i="2"/>
  <c r="P52" i="2"/>
  <c r="Q52" i="2"/>
  <c r="G52" i="2"/>
  <c r="Q16" i="2"/>
  <c r="D60" i="4"/>
  <c r="E60" i="4"/>
  <c r="F60" i="4"/>
  <c r="G60" i="4"/>
  <c r="H60" i="4"/>
  <c r="I60" i="4"/>
  <c r="J60" i="4"/>
  <c r="K60" i="4"/>
  <c r="L60" i="4"/>
  <c r="M60" i="4"/>
  <c r="C60" i="4"/>
  <c r="D59" i="4"/>
  <c r="E59" i="4"/>
  <c r="F59" i="4"/>
  <c r="G59" i="4"/>
  <c r="H59" i="4"/>
  <c r="I59" i="4"/>
  <c r="J59" i="4"/>
  <c r="K59" i="4"/>
  <c r="L59" i="4"/>
  <c r="M59" i="4"/>
  <c r="Q15" i="2" s="1"/>
  <c r="C59" i="4"/>
  <c r="D49" i="4"/>
  <c r="E49" i="4"/>
  <c r="F49" i="4"/>
  <c r="G49" i="4"/>
  <c r="H49" i="4"/>
  <c r="I49" i="4"/>
  <c r="J49" i="4"/>
  <c r="K49" i="4"/>
  <c r="L49" i="4"/>
  <c r="M49" i="4"/>
  <c r="D50" i="4"/>
  <c r="H13" i="2" s="1"/>
  <c r="E50" i="4"/>
  <c r="I13" i="2" s="1"/>
  <c r="F50" i="4"/>
  <c r="J13" i="2" s="1"/>
  <c r="G50" i="4"/>
  <c r="K13" i="2" s="1"/>
  <c r="H50" i="4"/>
  <c r="L13" i="2" s="1"/>
  <c r="I50" i="4"/>
  <c r="M13" i="2" s="1"/>
  <c r="J50" i="4"/>
  <c r="N13" i="2" s="1"/>
  <c r="K50" i="4"/>
  <c r="O13" i="2" s="1"/>
  <c r="L50" i="4"/>
  <c r="P13" i="2" s="1"/>
  <c r="M50" i="4"/>
  <c r="Q13" i="2" s="1"/>
  <c r="D44" i="4"/>
  <c r="H25" i="2" s="1"/>
  <c r="E44" i="4"/>
  <c r="I25" i="2" s="1"/>
  <c r="F44" i="4"/>
  <c r="J25" i="2" s="1"/>
  <c r="G44" i="4"/>
  <c r="K25" i="2" s="1"/>
  <c r="H44" i="4"/>
  <c r="L25" i="2" s="1"/>
  <c r="I44" i="4"/>
  <c r="M25" i="2" s="1"/>
  <c r="J44" i="4"/>
  <c r="N25" i="2" s="1"/>
  <c r="K44" i="4"/>
  <c r="O25" i="2" s="1"/>
  <c r="L44" i="4"/>
  <c r="P25" i="2" s="1"/>
  <c r="M44" i="4"/>
  <c r="Q25" i="2" s="1"/>
  <c r="C44" i="4"/>
  <c r="D42" i="4"/>
  <c r="H24" i="2" s="1"/>
  <c r="E42" i="4"/>
  <c r="I24" i="2" s="1"/>
  <c r="F42" i="4"/>
  <c r="J24" i="2" s="1"/>
  <c r="G42" i="4"/>
  <c r="K24" i="2" s="1"/>
  <c r="H42" i="4"/>
  <c r="L24" i="2" s="1"/>
  <c r="I42" i="4"/>
  <c r="M24" i="2" s="1"/>
  <c r="J42" i="4"/>
  <c r="N24" i="2" s="1"/>
  <c r="K42" i="4"/>
  <c r="O24" i="2" s="1"/>
  <c r="L42" i="4"/>
  <c r="P24" i="2" s="1"/>
  <c r="M42" i="4"/>
  <c r="Q24" i="2" s="1"/>
  <c r="C42" i="4"/>
  <c r="D41" i="4"/>
  <c r="E41" i="4"/>
  <c r="F41" i="4"/>
  <c r="G41" i="4"/>
  <c r="H41" i="4"/>
  <c r="I41" i="4"/>
  <c r="J41" i="4"/>
  <c r="K41" i="4"/>
  <c r="L41" i="4"/>
  <c r="M41" i="4"/>
  <c r="C41" i="4"/>
  <c r="H23" i="2"/>
  <c r="I23" i="2"/>
  <c r="J23" i="2"/>
  <c r="G39" i="4"/>
  <c r="K23" i="2" s="1"/>
  <c r="H39" i="4"/>
  <c r="L23" i="2" s="1"/>
  <c r="I39" i="4"/>
  <c r="M23" i="2" s="1"/>
  <c r="J39" i="4"/>
  <c r="N23" i="2" s="1"/>
  <c r="K39" i="4"/>
  <c r="O23" i="2" s="1"/>
  <c r="L39" i="4"/>
  <c r="P23" i="2" s="1"/>
  <c r="M39" i="4"/>
  <c r="Q23" i="2" s="1"/>
  <c r="C39" i="4"/>
  <c r="M45" i="4"/>
  <c r="D62" i="4"/>
  <c r="H93" i="2" s="1"/>
  <c r="E62" i="4"/>
  <c r="I93" i="2" s="1"/>
  <c r="F62" i="4"/>
  <c r="J93" i="2" s="1"/>
  <c r="G62" i="4"/>
  <c r="K93" i="2" s="1"/>
  <c r="H62" i="4"/>
  <c r="L93" i="2" s="1"/>
  <c r="C62" i="4"/>
  <c r="G93" i="2" s="1"/>
  <c r="C93" i="2" s="1"/>
  <c r="C33" i="9" s="1"/>
  <c r="C58" i="9" s="1"/>
  <c r="G30" i="2"/>
  <c r="E74" i="4"/>
  <c r="F74" i="4"/>
  <c r="G74" i="4"/>
  <c r="H74" i="4"/>
  <c r="E75" i="4"/>
  <c r="F75" i="4"/>
  <c r="G75" i="4"/>
  <c r="H75" i="4"/>
  <c r="D75" i="4"/>
  <c r="D77" i="4"/>
  <c r="H31" i="2" s="1"/>
  <c r="D74" i="4"/>
  <c r="G50" i="2" l="1"/>
  <c r="C62" i="9"/>
  <c r="C66" i="9"/>
  <c r="C63" i="9"/>
  <c r="C67" i="9"/>
  <c r="C97" i="2"/>
  <c r="P15" i="2"/>
  <c r="P16" i="2"/>
  <c r="N15" i="2"/>
  <c r="N16" i="2"/>
  <c r="M15" i="2"/>
  <c r="M16" i="2"/>
  <c r="L15" i="2"/>
  <c r="L16" i="2"/>
  <c r="K15" i="2"/>
  <c r="K16" i="2"/>
  <c r="I15" i="2"/>
  <c r="I16" i="2"/>
  <c r="H15" i="2"/>
  <c r="H16" i="2"/>
  <c r="O15" i="2"/>
  <c r="O16" i="2"/>
  <c r="G15" i="2"/>
  <c r="G16" i="2"/>
  <c r="J15" i="2"/>
  <c r="J16" i="2"/>
  <c r="C72" i="2"/>
  <c r="D73" i="4"/>
  <c r="I43" i="4"/>
  <c r="J43" i="4"/>
  <c r="K43" i="4"/>
  <c r="L43" i="4"/>
  <c r="M43" i="4"/>
  <c r="D43" i="4"/>
  <c r="G38" i="4"/>
  <c r="H38" i="4"/>
  <c r="I38" i="4"/>
  <c r="J38" i="4"/>
  <c r="K38" i="4"/>
  <c r="L38" i="4"/>
  <c r="M38" i="4"/>
  <c r="C38" i="4"/>
  <c r="C94" i="2" l="1"/>
  <c r="G69" i="4"/>
  <c r="I69" i="4"/>
  <c r="F69" i="4"/>
  <c r="E69" i="4"/>
  <c r="D69" i="4"/>
  <c r="J69" i="4"/>
  <c r="H69" i="4"/>
  <c r="L66" i="4"/>
  <c r="L67" i="4"/>
  <c r="L69" i="4"/>
  <c r="L68" i="4"/>
  <c r="K69" i="4"/>
  <c r="C69" i="4"/>
  <c r="C15" i="2"/>
  <c r="L65" i="4"/>
  <c r="D65" i="4"/>
  <c r="K65" i="4"/>
  <c r="C65" i="4"/>
  <c r="J65" i="4"/>
  <c r="I65" i="4"/>
  <c r="E65" i="4"/>
  <c r="H65" i="4"/>
  <c r="G65" i="4"/>
  <c r="F65" i="4"/>
  <c r="J4" i="2"/>
  <c r="Q4" i="2"/>
  <c r="P4" i="2"/>
  <c r="I4" i="2"/>
  <c r="G4" i="2"/>
  <c r="C4" i="2" s="1"/>
  <c r="H4" i="2"/>
  <c r="L4" i="2"/>
  <c r="K4" i="2"/>
  <c r="K40" i="4"/>
  <c r="K45" i="4" s="1"/>
  <c r="K46" i="4" s="1"/>
  <c r="K56" i="4" s="1"/>
  <c r="O65" i="2" s="1"/>
  <c r="O4" i="2"/>
  <c r="J40" i="4"/>
  <c r="J45" i="4" s="1"/>
  <c r="J46" i="4" s="1"/>
  <c r="J56" i="4" s="1"/>
  <c r="N65" i="2" s="1"/>
  <c r="N4" i="2"/>
  <c r="I40" i="4"/>
  <c r="I45" i="4" s="1"/>
  <c r="I46" i="4" s="1"/>
  <c r="I56" i="4" s="1"/>
  <c r="M65" i="2" s="1"/>
  <c r="M4" i="2"/>
  <c r="H43" i="4"/>
  <c r="G40" i="4"/>
  <c r="G45" i="4" s="1"/>
  <c r="G46" i="4" s="1"/>
  <c r="E43" i="4"/>
  <c r="G43" i="4"/>
  <c r="H40" i="4"/>
  <c r="H45" i="4" s="1"/>
  <c r="C43" i="4"/>
  <c r="F43" i="4"/>
  <c r="C40" i="4"/>
  <c r="C45" i="4" s="1"/>
  <c r="D45" i="4"/>
  <c r="D46" i="4" s="1"/>
  <c r="F45" i="4"/>
  <c r="F46" i="4" s="1"/>
  <c r="L40" i="4"/>
  <c r="L45" i="4" s="1"/>
  <c r="L46" i="4" s="1"/>
  <c r="L56" i="4" s="1"/>
  <c r="P65" i="2" s="1"/>
  <c r="E45" i="4"/>
  <c r="M40" i="4"/>
  <c r="Q120" i="2" l="1"/>
  <c r="Q119" i="2"/>
  <c r="I40" i="2"/>
  <c r="I43" i="2" s="1"/>
  <c r="I26" i="2"/>
  <c r="G40" i="2"/>
  <c r="C40" i="2" s="1"/>
  <c r="G26" i="2"/>
  <c r="K40" i="2"/>
  <c r="K26" i="2"/>
  <c r="Q40" i="2"/>
  <c r="Q7" i="2" s="1"/>
  <c r="Q26" i="2"/>
  <c r="Q5" i="2" s="1"/>
  <c r="P101" i="2" s="1"/>
  <c r="J40" i="2"/>
  <c r="J43" i="2" s="1"/>
  <c r="J26" i="2"/>
  <c r="L40" i="2"/>
  <c r="L43" i="2" s="1"/>
  <c r="L26" i="2"/>
  <c r="N26" i="2"/>
  <c r="N5" i="2" s="1"/>
  <c r="N40" i="2"/>
  <c r="N7" i="2" s="1"/>
  <c r="N78" i="2" s="1"/>
  <c r="P26" i="2"/>
  <c r="P5" i="2" s="1"/>
  <c r="P40" i="2"/>
  <c r="P7" i="2" s="1"/>
  <c r="P78" i="2" s="1"/>
  <c r="O26" i="2"/>
  <c r="O5" i="2" s="1"/>
  <c r="O40" i="2"/>
  <c r="O7" i="2" s="1"/>
  <c r="O78" i="2" s="1"/>
  <c r="M26" i="2"/>
  <c r="M5" i="2" s="1"/>
  <c r="M40" i="2"/>
  <c r="M7" i="2" s="1"/>
  <c r="M78" i="2" s="1"/>
  <c r="H26" i="2"/>
  <c r="H40" i="2"/>
  <c r="H43" i="2" s="1"/>
  <c r="Q95" i="2"/>
  <c r="Q97" i="2"/>
  <c r="G97" i="2"/>
  <c r="F68" i="4"/>
  <c r="M97" i="2"/>
  <c r="N97" i="2"/>
  <c r="P97" i="2"/>
  <c r="O97" i="2"/>
  <c r="L97" i="2"/>
  <c r="J97" i="2"/>
  <c r="I97" i="2"/>
  <c r="K97" i="2"/>
  <c r="H97" i="2"/>
  <c r="Q122" i="2"/>
  <c r="G94" i="2"/>
  <c r="Q128" i="2"/>
  <c r="Q51" i="2"/>
  <c r="Q94" i="2"/>
  <c r="E67" i="4"/>
  <c r="J68" i="4"/>
  <c r="K67" i="4"/>
  <c r="K68" i="4"/>
  <c r="G67" i="4"/>
  <c r="F67" i="4"/>
  <c r="M128" i="2"/>
  <c r="M94" i="2"/>
  <c r="I68" i="4"/>
  <c r="N128" i="2"/>
  <c r="N94" i="2"/>
  <c r="P128" i="2"/>
  <c r="P94" i="2"/>
  <c r="J66" i="4"/>
  <c r="F66" i="4"/>
  <c r="G66" i="4"/>
  <c r="O128" i="2"/>
  <c r="O94" i="2"/>
  <c r="I66" i="4"/>
  <c r="H67" i="4"/>
  <c r="J67" i="4"/>
  <c r="L128" i="2"/>
  <c r="L94" i="2"/>
  <c r="K66" i="4"/>
  <c r="H66" i="4"/>
  <c r="I67" i="4"/>
  <c r="D67" i="4"/>
  <c r="C67" i="4"/>
  <c r="D66" i="4"/>
  <c r="I94" i="2"/>
  <c r="K128" i="2"/>
  <c r="K94" i="2"/>
  <c r="J94" i="2"/>
  <c r="H94" i="2"/>
  <c r="E66" i="4"/>
  <c r="C66" i="4"/>
  <c r="C77" i="4"/>
  <c r="C73" i="4" s="1"/>
  <c r="G115" i="2"/>
  <c r="G128" i="2"/>
  <c r="H115" i="2"/>
  <c r="H128" i="2"/>
  <c r="J115" i="2"/>
  <c r="J128" i="2"/>
  <c r="I115" i="2"/>
  <c r="I128" i="2"/>
  <c r="K115" i="2"/>
  <c r="M115" i="2"/>
  <c r="L115" i="2"/>
  <c r="N115" i="2"/>
  <c r="P115" i="2"/>
  <c r="O115" i="2"/>
  <c r="Q115" i="2"/>
  <c r="Q116" i="2"/>
  <c r="Q19" i="2"/>
  <c r="Q53" i="2"/>
  <c r="Q10" i="2" s="1"/>
  <c r="Q82" i="2"/>
  <c r="Q46" i="2"/>
  <c r="C12" i="9"/>
  <c r="H29" i="2"/>
  <c r="H120" i="2" s="1"/>
  <c r="P29" i="2"/>
  <c r="P121" i="2" s="1"/>
  <c r="M29" i="2"/>
  <c r="M120" i="2" s="1"/>
  <c r="N29" i="2"/>
  <c r="N120" i="2" s="1"/>
  <c r="Q58" i="2"/>
  <c r="Q126" i="2"/>
  <c r="Q127" i="2"/>
  <c r="Q29" i="2"/>
  <c r="K29" i="2"/>
  <c r="K120" i="2" s="1"/>
  <c r="I29" i="2"/>
  <c r="I120" i="2" s="1"/>
  <c r="O29" i="2"/>
  <c r="O121" i="2" s="1"/>
  <c r="J29" i="2"/>
  <c r="J120" i="2" s="1"/>
  <c r="L29" i="2"/>
  <c r="L120" i="2" s="1"/>
  <c r="G112" i="2"/>
  <c r="N111" i="2"/>
  <c r="N110" i="2"/>
  <c r="O111" i="2"/>
  <c r="O110" i="2"/>
  <c r="J110" i="2"/>
  <c r="J111" i="2"/>
  <c r="M111" i="2"/>
  <c r="M110" i="2"/>
  <c r="H110" i="2"/>
  <c r="H111" i="2"/>
  <c r="I110" i="2"/>
  <c r="I111" i="2"/>
  <c r="P110" i="2"/>
  <c r="P111" i="2"/>
  <c r="Q8" i="2"/>
  <c r="K111" i="2"/>
  <c r="K110" i="2"/>
  <c r="L110" i="2"/>
  <c r="L111" i="2"/>
  <c r="H64" i="2"/>
  <c r="H9" i="2" s="1"/>
  <c r="G64" i="2"/>
  <c r="I64" i="2"/>
  <c r="I9" i="2" s="1"/>
  <c r="Q64" i="2"/>
  <c r="Q9" i="2" s="1"/>
  <c r="Q66" i="2"/>
  <c r="M64" i="2"/>
  <c r="P64" i="2"/>
  <c r="P9" i="2" s="1"/>
  <c r="P80" i="2" s="1"/>
  <c r="J64" i="2"/>
  <c r="J9" i="2" s="1"/>
  <c r="N64" i="2"/>
  <c r="K64" i="2"/>
  <c r="K9" i="2" s="1"/>
  <c r="O64" i="2"/>
  <c r="O9" i="2" s="1"/>
  <c r="O80" i="2" s="1"/>
  <c r="L64" i="2"/>
  <c r="L9" i="2" s="1"/>
  <c r="F56" i="4"/>
  <c r="J65" i="2" s="1"/>
  <c r="D56" i="4"/>
  <c r="H65" i="2" s="1"/>
  <c r="G56" i="4"/>
  <c r="H46" i="4"/>
  <c r="E46" i="4"/>
  <c r="C46" i="4"/>
  <c r="Q11" i="2"/>
  <c r="Q14" i="2"/>
  <c r="C31" i="2"/>
  <c r="G56" i="2"/>
  <c r="M100" i="2"/>
  <c r="O100" i="2"/>
  <c r="P100" i="2"/>
  <c r="N100" i="2"/>
  <c r="L100" i="2"/>
  <c r="G100" i="2"/>
  <c r="I100" i="2"/>
  <c r="C29" i="2"/>
  <c r="K100" i="2"/>
  <c r="H100" i="2"/>
  <c r="J100" i="2"/>
  <c r="Q121" i="2"/>
  <c r="Q110" i="2"/>
  <c r="Q111" i="2"/>
  <c r="K83" i="2"/>
  <c r="Q80" i="2"/>
  <c r="P84" i="2"/>
  <c r="G87" i="2"/>
  <c r="G110" i="2"/>
  <c r="G111" i="2"/>
  <c r="L84" i="2"/>
  <c r="J86" i="2"/>
  <c r="P86" i="2"/>
  <c r="Q86" i="2"/>
  <c r="Q84" i="2"/>
  <c r="Q78" i="2"/>
  <c r="Q90" i="2"/>
  <c r="I83" i="2"/>
  <c r="Q85" i="2"/>
  <c r="Q81" i="2"/>
  <c r="Q83" i="2"/>
  <c r="Q76" i="2"/>
  <c r="Q79" i="2"/>
  <c r="Q43" i="2"/>
  <c r="Q77" i="2"/>
  <c r="Q87" i="2"/>
  <c r="H83" i="2"/>
  <c r="H84" i="2"/>
  <c r="H86" i="2"/>
  <c r="H87" i="2"/>
  <c r="I87" i="2"/>
  <c r="I86" i="2"/>
  <c r="I84" i="2"/>
  <c r="L87" i="2"/>
  <c r="J84" i="2"/>
  <c r="J87" i="2"/>
  <c r="J83" i="2"/>
  <c r="L83" i="2"/>
  <c r="L86" i="2"/>
  <c r="G84" i="2"/>
  <c r="G86" i="2"/>
  <c r="G83" i="2"/>
  <c r="K86" i="2"/>
  <c r="P83" i="2"/>
  <c r="K84" i="2"/>
  <c r="P87" i="2"/>
  <c r="K87" i="2"/>
  <c r="B1" i="4"/>
  <c r="O87" i="2"/>
  <c r="O86" i="2"/>
  <c r="O84" i="2"/>
  <c r="M87" i="2"/>
  <c r="M84" i="2"/>
  <c r="M86" i="2"/>
  <c r="N87" i="2"/>
  <c r="N84" i="2"/>
  <c r="N86" i="2"/>
  <c r="M83" i="2"/>
  <c r="N83" i="2"/>
  <c r="O83" i="2"/>
  <c r="G43" i="2" l="1"/>
  <c r="C120" i="2"/>
  <c r="O120" i="2"/>
  <c r="P120" i="2"/>
  <c r="O4" i="8"/>
  <c r="O77" i="2"/>
  <c r="O8" i="2"/>
  <c r="H56" i="4"/>
  <c r="L65" i="2" s="1"/>
  <c r="G68" i="4"/>
  <c r="H68" i="4"/>
  <c r="O43" i="2"/>
  <c r="O66" i="2"/>
  <c r="O76" i="2"/>
  <c r="C56" i="4"/>
  <c r="G65" i="2" s="1"/>
  <c r="G66" i="2" s="1"/>
  <c r="C68" i="4"/>
  <c r="E56" i="4"/>
  <c r="I65" i="2" s="1"/>
  <c r="E68" i="4"/>
  <c r="D68" i="4"/>
  <c r="G31" i="2"/>
  <c r="G29" i="2" s="1"/>
  <c r="P43" i="2"/>
  <c r="P66" i="2"/>
  <c r="P76" i="2"/>
  <c r="C52" i="2"/>
  <c r="C112" i="2"/>
  <c r="C17" i="2"/>
  <c r="M66" i="2"/>
  <c r="M9" i="2"/>
  <c r="N66" i="2"/>
  <c r="N9" i="2"/>
  <c r="G72" i="2"/>
  <c r="G9" i="2"/>
  <c r="N76" i="2"/>
  <c r="M8" i="2"/>
  <c r="C100" i="2"/>
  <c r="J66" i="2"/>
  <c r="J80" i="2" s="1"/>
  <c r="H66" i="2"/>
  <c r="H80" i="2" s="1"/>
  <c r="N43" i="2"/>
  <c r="N121" i="2"/>
  <c r="M121" i="2"/>
  <c r="M43" i="2"/>
  <c r="N8" i="2"/>
  <c r="M76" i="2"/>
  <c r="K65" i="2"/>
  <c r="C121" i="2"/>
  <c r="L121" i="2"/>
  <c r="J121" i="2"/>
  <c r="H121" i="2"/>
  <c r="K121" i="2"/>
  <c r="I121" i="2"/>
  <c r="H5" i="2"/>
  <c r="I5" i="2"/>
  <c r="C110" i="2"/>
  <c r="C111" i="2"/>
  <c r="K5" i="2"/>
  <c r="J7" i="2"/>
  <c r="J78" i="2" s="1"/>
  <c r="C86" i="2"/>
  <c r="L5" i="2"/>
  <c r="G7" i="2"/>
  <c r="G78" i="2" s="1"/>
  <c r="J5" i="2"/>
  <c r="L7" i="2"/>
  <c r="L78" i="2" s="1"/>
  <c r="H7" i="2"/>
  <c r="H78" i="2" s="1"/>
  <c r="G5" i="2"/>
  <c r="K7" i="2"/>
  <c r="K78" i="2" s="1"/>
  <c r="K43" i="2"/>
  <c r="I7" i="2"/>
  <c r="I78" i="2" s="1"/>
  <c r="C7" i="2"/>
  <c r="O7" i="8" s="1"/>
  <c r="G34" i="2" l="1"/>
  <c r="G35" i="2"/>
  <c r="G36" i="2"/>
  <c r="G76" i="2"/>
  <c r="C87" i="2"/>
  <c r="C19" i="8" s="1"/>
  <c r="G121" i="2"/>
  <c r="G120" i="2"/>
  <c r="M77" i="2"/>
  <c r="O58" i="2"/>
  <c r="O79" i="2"/>
  <c r="M58" i="2"/>
  <c r="M80" i="2"/>
  <c r="P77" i="2"/>
  <c r="P8" i="2"/>
  <c r="N80" i="2"/>
  <c r="N58" i="2"/>
  <c r="K76" i="2"/>
  <c r="I76" i="2"/>
  <c r="H76" i="2"/>
  <c r="J76" i="2"/>
  <c r="L76" i="2"/>
  <c r="L66" i="2"/>
  <c r="L80" i="2" s="1"/>
  <c r="K66" i="2"/>
  <c r="K80" i="2" s="1"/>
  <c r="I66" i="2"/>
  <c r="I80" i="2" s="1"/>
  <c r="N77" i="2"/>
  <c r="C80" i="2"/>
  <c r="H8" i="2"/>
  <c r="K8" i="2"/>
  <c r="I8" i="2"/>
  <c r="L8" i="2"/>
  <c r="J8" i="2"/>
  <c r="C78" i="2"/>
  <c r="C43" i="2"/>
  <c r="C16" i="2" l="1"/>
  <c r="L58" i="2"/>
  <c r="P58" i="2"/>
  <c r="P79" i="2"/>
  <c r="I58" i="2"/>
  <c r="H58" i="2"/>
  <c r="J58" i="2"/>
  <c r="K58" i="2"/>
  <c r="G80" i="2"/>
  <c r="L77" i="2"/>
  <c r="I77" i="2"/>
  <c r="H77" i="2"/>
  <c r="K77" i="2"/>
  <c r="J77" i="2"/>
  <c r="C30" i="2"/>
  <c r="C84" i="2" l="1"/>
  <c r="O11" i="8" s="1"/>
  <c r="C13" i="2" l="1"/>
  <c r="G1" i="2"/>
  <c r="A42" i="8" l="1"/>
  <c r="F47" i="8"/>
  <c r="F45" i="8"/>
  <c r="A46" i="8"/>
  <c r="F49" i="8"/>
  <c r="A45" i="8"/>
  <c r="F44" i="8"/>
  <c r="F43" i="8"/>
  <c r="A48" i="8"/>
  <c r="A49" i="8"/>
  <c r="F42" i="8"/>
  <c r="A51" i="8"/>
  <c r="F46" i="8"/>
  <c r="F50" i="8"/>
  <c r="A43" i="8"/>
  <c r="A47" i="8"/>
  <c r="A44" i="8"/>
  <c r="F48" i="8"/>
  <c r="A50" i="8"/>
  <c r="F51" i="8"/>
  <c r="A37" i="8"/>
  <c r="A40" i="8"/>
  <c r="A41" i="8"/>
  <c r="F39" i="8"/>
  <c r="F41" i="8"/>
  <c r="F38" i="8"/>
  <c r="A39" i="8"/>
  <c r="F40" i="8"/>
  <c r="F37" i="8"/>
  <c r="A38" i="8"/>
  <c r="A34" i="8"/>
  <c r="F34" i="8"/>
  <c r="A35" i="8"/>
  <c r="F32" i="8"/>
  <c r="F36" i="8"/>
  <c r="A36" i="8"/>
  <c r="F33" i="8"/>
  <c r="F35" i="8"/>
  <c r="A33" i="8"/>
  <c r="A32" i="8"/>
  <c r="F30" i="8"/>
  <c r="F27" i="8"/>
  <c r="F28" i="8"/>
  <c r="F31" i="8"/>
  <c r="A30" i="8"/>
  <c r="F29" i="8"/>
  <c r="A27" i="8"/>
  <c r="A29" i="8"/>
  <c r="A31" i="8"/>
  <c r="A28" i="8"/>
  <c r="H1" i="2"/>
  <c r="E1" i="4"/>
  <c r="F1" i="4" s="1"/>
  <c r="G1" i="4" s="1"/>
  <c r="H1" i="4" s="1"/>
  <c r="I1" i="4" s="1"/>
  <c r="J1" i="4" s="1"/>
  <c r="K1" i="4" s="1"/>
  <c r="L1" i="4" s="1"/>
  <c r="M1" i="4" s="1"/>
  <c r="D47" i="8" l="1"/>
  <c r="I47" i="8"/>
  <c r="I43" i="8"/>
  <c r="D43" i="8"/>
  <c r="D45" i="8"/>
  <c r="I45" i="8"/>
  <c r="D51" i="8"/>
  <c r="I51" i="8"/>
  <c r="I46" i="8"/>
  <c r="D46" i="8"/>
  <c r="D50" i="8"/>
  <c r="I50" i="8"/>
  <c r="D49" i="8"/>
  <c r="I49" i="8"/>
  <c r="D44" i="8"/>
  <c r="I44" i="8"/>
  <c r="D48" i="8"/>
  <c r="I48" i="8"/>
  <c r="I42" i="8"/>
  <c r="D42" i="8"/>
  <c r="D39" i="8"/>
  <c r="I39" i="8"/>
  <c r="I41" i="8"/>
  <c r="D41" i="8"/>
  <c r="D38" i="8"/>
  <c r="I38" i="8"/>
  <c r="D40" i="8"/>
  <c r="I40" i="8"/>
  <c r="I37" i="8"/>
  <c r="D37" i="8"/>
  <c r="D36" i="8"/>
  <c r="I36" i="8"/>
  <c r="D35" i="8"/>
  <c r="I35" i="8"/>
  <c r="I32" i="8"/>
  <c r="D32" i="8"/>
  <c r="I33" i="8"/>
  <c r="D33" i="8"/>
  <c r="D34" i="8"/>
  <c r="I34" i="8"/>
  <c r="D29" i="8"/>
  <c r="I29" i="8"/>
  <c r="I30" i="8"/>
  <c r="D30" i="8"/>
  <c r="I27" i="8"/>
  <c r="D27" i="8"/>
  <c r="I28" i="8"/>
  <c r="D28" i="8"/>
  <c r="I31" i="8"/>
  <c r="D31" i="8"/>
  <c r="Q118" i="2" l="1"/>
  <c r="G32" i="8" l="1"/>
  <c r="G33" i="8" s="1"/>
  <c r="G34" i="8" s="1"/>
  <c r="G35" i="8" s="1"/>
  <c r="G36" i="8" s="1"/>
  <c r="G37" i="8" s="1"/>
  <c r="G38" i="8" s="1"/>
  <c r="G39" i="8" s="1"/>
  <c r="G40" i="8" s="1"/>
  <c r="G41" i="8" s="1"/>
  <c r="G42" i="8" s="1"/>
  <c r="G43" i="8" s="1"/>
  <c r="G44" i="8" s="1"/>
  <c r="G45" i="8" s="1"/>
  <c r="G46" i="8" s="1"/>
  <c r="G47" i="8" s="1"/>
  <c r="G48" i="8" s="1"/>
  <c r="G49" i="8" s="1"/>
  <c r="G50" i="8" s="1"/>
  <c r="G51" i="8" s="1"/>
  <c r="L51" i="2"/>
  <c r="L53" i="2" s="1"/>
  <c r="L10" i="2" s="1"/>
  <c r="K51" i="2"/>
  <c r="K53" i="2" s="1"/>
  <c r="K10" i="2" s="1"/>
  <c r="K46" i="2" s="1"/>
  <c r="M51" i="2"/>
  <c r="M53" i="2" s="1"/>
  <c r="M10" i="2" s="1"/>
  <c r="P51" i="2"/>
  <c r="P53" i="2" s="1"/>
  <c r="P10" i="2" s="1"/>
  <c r="O51" i="2"/>
  <c r="O53" i="2" s="1"/>
  <c r="O10" i="2" s="1"/>
  <c r="N51" i="2"/>
  <c r="N53" i="2" s="1"/>
  <c r="N10" i="2" s="1"/>
  <c r="J51" i="2"/>
  <c r="J53" i="2" s="1"/>
  <c r="J10" i="2" s="1"/>
  <c r="H51" i="2"/>
  <c r="H53" i="2" s="1"/>
  <c r="H10" i="2" s="1"/>
  <c r="I51" i="2"/>
  <c r="I53" i="2" s="1"/>
  <c r="I10" i="2" s="1"/>
  <c r="C27" i="8" l="1"/>
  <c r="I81" i="2"/>
  <c r="H81" i="2"/>
  <c r="J81" i="2"/>
  <c r="O81" i="2"/>
  <c r="O11" i="2"/>
  <c r="O122" i="2" s="1"/>
  <c r="O118" i="2" s="1"/>
  <c r="O46" i="2"/>
  <c r="L81" i="2"/>
  <c r="L46" i="2"/>
  <c r="K81" i="2"/>
  <c r="P81" i="2"/>
  <c r="P11" i="2"/>
  <c r="P122" i="2" s="1"/>
  <c r="P118" i="2" s="1"/>
  <c r="P46" i="2"/>
  <c r="M81" i="2"/>
  <c r="M46" i="2"/>
  <c r="J46" i="2"/>
  <c r="H46" i="2"/>
  <c r="I46" i="2"/>
  <c r="N81" i="2"/>
  <c r="N46" i="2"/>
  <c r="B1" i="2"/>
  <c r="C28" i="8" l="1"/>
  <c r="O82" i="2"/>
  <c r="O119" i="2" s="1"/>
  <c r="O14" i="2"/>
  <c r="P82" i="2"/>
  <c r="P119" i="2" s="1"/>
  <c r="P14" i="2"/>
  <c r="O101" i="2"/>
  <c r="G57" i="2"/>
  <c r="C29" i="8" l="1"/>
  <c r="O85" i="2"/>
  <c r="O19" i="2"/>
  <c r="O95" i="2" s="1"/>
  <c r="O126" i="2"/>
  <c r="O127" i="2" s="1"/>
  <c r="P85" i="2"/>
  <c r="P19" i="2"/>
  <c r="P95" i="2" s="1"/>
  <c r="P126" i="2"/>
  <c r="P127" i="2" s="1"/>
  <c r="C50" i="2"/>
  <c r="C30" i="8" l="1"/>
  <c r="O116" i="2"/>
  <c r="O90" i="2"/>
  <c r="P116" i="2"/>
  <c r="P90" i="2"/>
  <c r="I1" i="2"/>
  <c r="H27" i="8" l="1"/>
  <c r="H28" i="8"/>
  <c r="H29" i="8"/>
  <c r="H30" i="8"/>
  <c r="C31" i="8"/>
  <c r="C32" i="8" s="1"/>
  <c r="J1" i="2"/>
  <c r="K1" i="2" s="1"/>
  <c r="L1" i="2" s="1"/>
  <c r="M1" i="2" s="1"/>
  <c r="N1" i="2" s="1"/>
  <c r="O1" i="2" s="1"/>
  <c r="P1" i="2" s="1"/>
  <c r="Q1" i="2" s="1"/>
  <c r="H32" i="8" l="1"/>
  <c r="C33" i="8"/>
  <c r="H31" i="8"/>
  <c r="H33" i="8" l="1"/>
  <c r="C34" i="8"/>
  <c r="H34" i="8" l="1"/>
  <c r="C35" i="8"/>
  <c r="H35" i="8" l="1"/>
  <c r="C36" i="8"/>
  <c r="C37" i="8" s="1"/>
  <c r="C69" i="8"/>
  <c r="H37" i="8" l="1"/>
  <c r="C38" i="8"/>
  <c r="H36" i="8"/>
  <c r="H38" i="8" l="1"/>
  <c r="C39" i="8"/>
  <c r="H39" i="8" l="1"/>
  <c r="C40" i="8"/>
  <c r="H40" i="8" l="1"/>
  <c r="C41" i="8"/>
  <c r="C42" i="8" s="1"/>
  <c r="H79" i="2"/>
  <c r="H11" i="2"/>
  <c r="C43" i="8" l="1"/>
  <c r="H42" i="8"/>
  <c r="H41" i="8"/>
  <c r="H122" i="2"/>
  <c r="H118" i="2" s="1"/>
  <c r="H14" i="2"/>
  <c r="H19" i="2" s="1"/>
  <c r="H95" i="2" s="1"/>
  <c r="H82" i="2"/>
  <c r="H119" i="2" s="1"/>
  <c r="H43" i="8" l="1"/>
  <c r="C44" i="8"/>
  <c r="H116" i="2"/>
  <c r="H126" i="2"/>
  <c r="H127" i="2" s="1"/>
  <c r="H85" i="2"/>
  <c r="H44" i="8" l="1"/>
  <c r="C45" i="8"/>
  <c r="G101" i="2"/>
  <c r="H90" i="2"/>
  <c r="C46" i="8" l="1"/>
  <c r="H45" i="8"/>
  <c r="J79" i="2"/>
  <c r="I79" i="2"/>
  <c r="N79" i="2"/>
  <c r="L79" i="2"/>
  <c r="J11" i="2"/>
  <c r="M79" i="2"/>
  <c r="L11" i="2"/>
  <c r="L122" i="2" s="1"/>
  <c r="L118" i="2" s="1"/>
  <c r="K11" i="2"/>
  <c r="N11" i="2"/>
  <c r="M11" i="2"/>
  <c r="M122" i="2" s="1"/>
  <c r="M118" i="2" s="1"/>
  <c r="I11" i="2"/>
  <c r="K79" i="2"/>
  <c r="H46" i="8" l="1"/>
  <c r="C47" i="8"/>
  <c r="K14" i="2"/>
  <c r="K19" i="2" s="1"/>
  <c r="K95" i="2" s="1"/>
  <c r="K122" i="2"/>
  <c r="K118" i="2" s="1"/>
  <c r="N101" i="2"/>
  <c r="N122" i="2"/>
  <c r="N118" i="2" s="1"/>
  <c r="I122" i="2"/>
  <c r="I118" i="2" s="1"/>
  <c r="J122" i="2"/>
  <c r="J118" i="2" s="1"/>
  <c r="K82" i="2"/>
  <c r="K119" i="2" s="1"/>
  <c r="K101" i="2"/>
  <c r="L101" i="2"/>
  <c r="M101" i="2"/>
  <c r="I101" i="2"/>
  <c r="H101" i="2"/>
  <c r="J101" i="2"/>
  <c r="I14" i="2"/>
  <c r="I19" i="2" s="1"/>
  <c r="I95" i="2" s="1"/>
  <c r="I82" i="2"/>
  <c r="I119" i="2" s="1"/>
  <c r="N14" i="2"/>
  <c r="N19" i="2" s="1"/>
  <c r="N95" i="2" s="1"/>
  <c r="N82" i="2"/>
  <c r="N119" i="2" s="1"/>
  <c r="L14" i="2"/>
  <c r="L82" i="2"/>
  <c r="L119" i="2" s="1"/>
  <c r="J14" i="2"/>
  <c r="J19" i="2" s="1"/>
  <c r="J95" i="2" s="1"/>
  <c r="J82" i="2"/>
  <c r="J119" i="2" s="1"/>
  <c r="M14" i="2"/>
  <c r="M82" i="2"/>
  <c r="M119" i="2" s="1"/>
  <c r="K85" i="2" l="1"/>
  <c r="K126" i="2"/>
  <c r="K127" i="2" s="1"/>
  <c r="K116" i="2"/>
  <c r="C48" i="8"/>
  <c r="H47" i="8"/>
  <c r="N85" i="2"/>
  <c r="L126" i="2"/>
  <c r="L127" i="2" s="1"/>
  <c r="L19" i="2"/>
  <c r="N116" i="2"/>
  <c r="I116" i="2"/>
  <c r="J116" i="2"/>
  <c r="M126" i="2"/>
  <c r="M127" i="2" s="1"/>
  <c r="M19" i="2"/>
  <c r="M95" i="2" s="1"/>
  <c r="I126" i="2"/>
  <c r="I127" i="2" s="1"/>
  <c r="J85" i="2"/>
  <c r="N126" i="2"/>
  <c r="N127" i="2" s="1"/>
  <c r="M85" i="2"/>
  <c r="I90" i="2"/>
  <c r="I85" i="2"/>
  <c r="J126" i="2"/>
  <c r="J127" i="2" s="1"/>
  <c r="K90" i="2"/>
  <c r="L85" i="2"/>
  <c r="N90" i="2"/>
  <c r="C49" i="8" l="1"/>
  <c r="H48" i="8"/>
  <c r="L90" i="2"/>
  <c r="L95" i="2"/>
  <c r="M116" i="2"/>
  <c r="L116" i="2"/>
  <c r="M90" i="2"/>
  <c r="J90" i="2"/>
  <c r="C50" i="8" l="1"/>
  <c r="H49" i="8"/>
  <c r="H50" i="8" l="1"/>
  <c r="C51" i="8"/>
  <c r="H51" i="8" l="1"/>
  <c r="M47" i="8" l="1"/>
  <c r="M50" i="8"/>
  <c r="M44" i="8"/>
  <c r="M48" i="8"/>
  <c r="M45" i="8"/>
  <c r="M46" i="8"/>
  <c r="M51" i="8"/>
  <c r="M49" i="8"/>
  <c r="M42" i="8"/>
  <c r="M43" i="8"/>
  <c r="M37" i="8"/>
  <c r="M40" i="8"/>
  <c r="M41" i="8"/>
  <c r="M39" i="8"/>
  <c r="M38" i="8"/>
  <c r="M31" i="8"/>
  <c r="M36" i="8"/>
  <c r="M29" i="8"/>
  <c r="M32" i="8"/>
  <c r="M30" i="8"/>
  <c r="M33" i="8"/>
  <c r="M35" i="8"/>
  <c r="M27" i="8"/>
  <c r="M28" i="8"/>
  <c r="M34" i="8"/>
  <c r="G28" i="8" l="1"/>
  <c r="G29" i="8"/>
  <c r="G30" i="8"/>
  <c r="G31" i="8"/>
  <c r="G27" i="8"/>
  <c r="C18" i="8" l="1"/>
  <c r="F22" i="8" s="1"/>
  <c r="C76" i="2"/>
  <c r="C40" i="9" l="1"/>
  <c r="G18" i="8" s="1"/>
  <c r="G15" i="8" s="1"/>
  <c r="C51" i="2"/>
  <c r="C53" i="2" s="1"/>
  <c r="C10" i="2" s="1"/>
  <c r="F52" i="8" l="1"/>
  <c r="G51" i="2"/>
  <c r="G53" i="2" s="1"/>
  <c r="G10" i="2" s="1"/>
  <c r="B39" i="9"/>
  <c r="B14" i="6" s="1"/>
  <c r="G19" i="8"/>
  <c r="I52" i="8" s="1"/>
  <c r="G16" i="8"/>
  <c r="F16" i="8"/>
  <c r="C81" i="2"/>
  <c r="O10" i="8"/>
  <c r="O8" i="8" s="1"/>
  <c r="G73" i="8"/>
  <c r="G79" i="8"/>
  <c r="D77" i="8"/>
  <c r="C76" i="8"/>
  <c r="F73" i="8"/>
  <c r="B77" i="8"/>
  <c r="G74" i="8"/>
  <c r="B80" i="8"/>
  <c r="D76" i="8"/>
  <c r="C71" i="8"/>
  <c r="F86" i="8" s="1"/>
  <c r="E24" i="9" s="1"/>
  <c r="D71" i="8"/>
  <c r="F85" i="8" s="1"/>
  <c r="E23" i="9" s="1"/>
  <c r="F79" i="8"/>
  <c r="C77" i="8"/>
  <c r="D75" i="8"/>
  <c r="C75" i="8"/>
  <c r="F75" i="8"/>
  <c r="G75" i="8"/>
  <c r="D74" i="8"/>
  <c r="F71" i="8"/>
  <c r="F84" i="8" s="1"/>
  <c r="E22" i="9" s="1"/>
  <c r="B79" i="8"/>
  <c r="G77" i="8"/>
  <c r="G76" i="8"/>
  <c r="C73" i="8"/>
  <c r="C72" i="8"/>
  <c r="D79" i="8"/>
  <c r="G72" i="8"/>
  <c r="B78" i="8"/>
  <c r="F72" i="8"/>
  <c r="B71" i="8"/>
  <c r="F87" i="8" s="1"/>
  <c r="E30" i="9" s="1"/>
  <c r="F77" i="8"/>
  <c r="C79" i="8"/>
  <c r="F74" i="8"/>
  <c r="B74" i="8"/>
  <c r="C74" i="8"/>
  <c r="D73" i="8"/>
  <c r="C80" i="8"/>
  <c r="B76" i="8"/>
  <c r="G78" i="8"/>
  <c r="B75" i="8"/>
  <c r="G80" i="8"/>
  <c r="D78" i="8"/>
  <c r="B73" i="8"/>
  <c r="G71" i="8"/>
  <c r="F83" i="8" s="1"/>
  <c r="E29" i="9" s="1"/>
  <c r="F78" i="8"/>
  <c r="F76" i="8"/>
  <c r="D80" i="8"/>
  <c r="C78" i="8"/>
  <c r="F80" i="8"/>
  <c r="D72" i="8"/>
  <c r="B72" i="8"/>
  <c r="G81" i="2" l="1"/>
  <c r="C36" i="9"/>
  <c r="C25" i="9"/>
  <c r="F26" i="8"/>
  <c r="A24" i="8"/>
  <c r="A26" i="8"/>
  <c r="A23" i="8"/>
  <c r="F24" i="8"/>
  <c r="A25" i="8"/>
  <c r="A22" i="8"/>
  <c r="F23" i="8"/>
  <c r="F25" i="8"/>
  <c r="D22" i="8" l="1"/>
  <c r="D63" i="9"/>
  <c r="E63" i="9" s="1"/>
  <c r="G63" i="9" s="1"/>
  <c r="D66" i="9"/>
  <c r="E66" i="9" s="1"/>
  <c r="D62" i="9"/>
  <c r="E62" i="9" s="1"/>
  <c r="G62" i="9" s="1"/>
  <c r="D67" i="9"/>
  <c r="E67" i="9" s="1"/>
  <c r="G67" i="9" s="1"/>
  <c r="F34" i="9"/>
  <c r="D25" i="8"/>
  <c r="D24" i="8"/>
  <c r="D23" i="8"/>
  <c r="D26" i="8"/>
  <c r="F53" i="9"/>
  <c r="C53" i="9" s="1"/>
  <c r="C22" i="8" l="1"/>
  <c r="G52" i="8"/>
  <c r="C23" i="8" l="1"/>
  <c r="C24" i="8" l="1"/>
  <c r="M22" i="8"/>
  <c r="C25" i="8" l="1"/>
  <c r="M23" i="8"/>
  <c r="M24" i="8" l="1"/>
  <c r="C26" i="8"/>
  <c r="C52" i="8" l="1"/>
  <c r="H52" i="8" s="1"/>
  <c r="M25" i="8"/>
  <c r="M26" i="8" l="1"/>
  <c r="M52" i="8"/>
  <c r="M53" i="8" s="1"/>
  <c r="A56" i="8" l="1"/>
  <c r="O19" i="8" l="1"/>
  <c r="C47" i="9" s="1"/>
  <c r="G66" i="9" s="1"/>
  <c r="C10" i="8"/>
  <c r="C11" i="8" s="1"/>
  <c r="G77" i="2"/>
  <c r="G8" i="2"/>
  <c r="C13" i="9" s="1"/>
  <c r="F70" i="8" l="1"/>
  <c r="B70" i="8"/>
  <c r="D70" i="8"/>
  <c r="C70" i="8"/>
  <c r="G70" i="8"/>
  <c r="C35" i="9"/>
  <c r="C7" i="9"/>
  <c r="G11" i="2"/>
  <c r="G58" i="2"/>
  <c r="G46" i="2"/>
  <c r="G79" i="2"/>
  <c r="F35" i="9" l="1"/>
  <c r="C50" i="9"/>
  <c r="C51" i="9" s="1"/>
  <c r="G82" i="2"/>
  <c r="G119" i="2" s="1"/>
  <c r="G14" i="2"/>
  <c r="G122" i="2"/>
  <c r="G118" i="2" s="1"/>
  <c r="G19" i="2" l="1"/>
  <c r="G126" i="2"/>
  <c r="G127" i="2" s="1"/>
  <c r="G85" i="2"/>
  <c r="G90" i="2" l="1"/>
  <c r="G116" i="2"/>
  <c r="G95" i="2"/>
  <c r="C8" i="9"/>
  <c r="C14" i="9"/>
  <c r="C77" i="2"/>
  <c r="C8" i="2"/>
  <c r="C11" i="2" s="1"/>
  <c r="C101" i="2" l="1"/>
  <c r="C82" i="2"/>
  <c r="C119" i="2" s="1"/>
  <c r="C122" i="2"/>
  <c r="C14" i="2"/>
  <c r="C12" i="2"/>
  <c r="C83" i="2" s="1"/>
  <c r="C79" i="2"/>
  <c r="C58" i="2"/>
  <c r="C85" i="2" l="1"/>
  <c r="C126" i="2"/>
  <c r="C19" i="2"/>
  <c r="C4" i="8" l="1"/>
  <c r="C9" i="9"/>
  <c r="C127" i="2"/>
  <c r="C90" i="2"/>
  <c r="C95" i="2"/>
</calcChain>
</file>

<file path=xl/sharedStrings.xml><?xml version="1.0" encoding="utf-8"?>
<sst xmlns="http://schemas.openxmlformats.org/spreadsheetml/2006/main" count="361" uniqueCount="266">
  <si>
    <t>Sales</t>
  </si>
  <si>
    <t>Total Assets</t>
  </si>
  <si>
    <t>Income Statement</t>
    <phoneticPr fontId="2" type="noConversion"/>
  </si>
  <si>
    <t>Balance Sheet</t>
    <phoneticPr fontId="2" type="noConversion"/>
  </si>
  <si>
    <t>Total Equity</t>
    <phoneticPr fontId="2" type="noConversion"/>
  </si>
  <si>
    <t>Dividend per share</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</si>
  <si>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</si>
  <si>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</si>
  <si>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</si>
  <si>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</si>
  <si>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</si>
  <si>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</si>
  <si>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</si>
  <si>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</si>
  <si>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</si>
  <si>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</si>
  <si>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</si>
  <si>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</si>
  <si>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</si>
  <si>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</si>
  <si>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OPEX</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</si>
  <si>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</si>
  <si>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</si>
  <si>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</si>
  <si>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</si>
  <si>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</si>
  <si>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</si>
  <si>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</si>
  <si>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</si>
  <si>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</si>
  <si>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</si>
  <si>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Net Interest Income</t>
    <phoneticPr fontId="2" type="noConversion"/>
  </si>
  <si>
    <t>Properties held for sale</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</si>
  <si>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</si>
  <si>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</si>
  <si>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</si>
  <si>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</si>
  <si>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</si>
  <si>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</si>
  <si>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</si>
  <si>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</si>
  <si>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</si>
  <si>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Pre-tax Profit/Interest Expense</t>
    <phoneticPr fontId="2" type="noConversion"/>
  </si>
  <si>
    <t>Total Assets/Equity</t>
    <phoneticPr fontId="2" type="noConversion"/>
  </si>
  <si>
    <t>Latest</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</si>
  <si>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</si>
  <si>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</si>
  <si>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</si>
  <si>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</si>
  <si>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</si>
  <si>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5" type="noConversion"/>
  </si>
  <si>
    <t>HGP</t>
    <phoneticPr fontId="2" type="noConversion"/>
  </si>
  <si>
    <t>Value per share</t>
    <phoneticPr fontId="2" type="noConversion"/>
  </si>
  <si>
    <t>Scenarios</t>
    <phoneticPr fontId="25" type="noConversion"/>
  </si>
  <si>
    <t>PV(Dividends)</t>
    <phoneticPr fontId="2" type="noConversion"/>
  </si>
  <si>
    <t>PV(Equity Value)</t>
    <phoneticPr fontId="2" type="noConversion"/>
  </si>
  <si>
    <t>/Equity Cost of Capital</t>
    <phoneticPr fontId="2" type="noConversion"/>
  </si>
  <si>
    <t>Inputs</t>
    <phoneticPr fontId="25"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</si>
  <si>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</si>
  <si>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</si>
  <si>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</si>
  <si>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</si>
  <si>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</si>
  <si>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</si>
  <si>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Total FCFE</t>
    <phoneticPr fontId="2" type="noConversion"/>
  </si>
  <si>
    <t>Sales</t>
    <phoneticPr fontId="2" type="noConversion"/>
  </si>
  <si>
    <t>Current Situation</t>
    <phoneticPr fontId="2" type="noConversion"/>
  </si>
  <si>
    <t>Past Years Selected</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</si>
  <si>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</si>
  <si>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</si>
  <si>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</si>
  <si>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</si>
  <si>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</si>
  <si>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</si>
  <si>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</si>
  <si>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</si>
  <si>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</si>
  <si>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</si>
  <si>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</si>
  <si>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</si>
  <si>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</si>
  <si>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</si>
  <si>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</si>
  <si>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</si>
  <si>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</si>
  <si>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Stable Non-Operating EBIT</t>
    <phoneticPr fontId="2" type="noConversion"/>
  </si>
  <si>
    <t>Total Non-Operating EBIT</t>
    <phoneticPr fontId="2" type="noConversion"/>
  </si>
  <si>
    <t>Operating Cost Structure</t>
    <phoneticPr fontId="2" type="noConversion"/>
  </si>
  <si>
    <t>Fixed Costs % of Sales</t>
    <phoneticPr fontId="2" type="noConversion"/>
  </si>
  <si>
    <t>Tax % of  Pre-tax Profit</t>
    <phoneticPr fontId="2" type="noConversion"/>
  </si>
  <si>
    <t>Non-operating Income</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</si>
  <si>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</si>
  <si>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</si>
  <si>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</si>
  <si>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</si>
  <si>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</si>
  <si>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</si>
  <si>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</si>
  <si>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</si>
  <si>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</si>
  <si>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</si>
  <si>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</si>
  <si>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</si>
  <si>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NCI’s Share of Profits</t>
    <phoneticPr fontId="2" type="noConversion"/>
  </si>
  <si>
    <t>Executive Summary</t>
    <phoneticPr fontId="2" type="noConversion"/>
  </si>
  <si>
    <t>FCFE/Market Cap</t>
    <phoneticPr fontId="2" type="noConversion"/>
  </si>
  <si>
    <t>EBIT</t>
    <phoneticPr fontId="2" type="noConversion"/>
  </si>
  <si>
    <t>Market Price</t>
    <phoneticPr fontId="2" type="noConversion"/>
  </si>
  <si>
    <t>Asset Play</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</si>
  <si>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</si>
  <si>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</si>
  <si>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</si>
  <si>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</si>
  <si>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</si>
  <si>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</si>
  <si>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</si>
  <si>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</si>
  <si>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</si>
  <si>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</si>
  <si>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N</t>
    <phoneticPr fontId="2" type="noConversion"/>
  </si>
  <si>
    <t>WCInv is by default excluded</t>
  </si>
  <si>
    <t>Net borrowing is excluded</t>
  </si>
  <si>
    <t>Assume 0</t>
  </si>
  <si>
    <t>From Interest Income</t>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</si>
  <si>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</si>
  <si>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</si>
  <si>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</si>
  <si>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</si>
  <si>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Type of Company</t>
    <phoneticPr fontId="2" type="noConversion"/>
  </si>
  <si>
    <t>Historical Average or D&amp;A</t>
    <phoneticPr fontId="2" type="noConversion"/>
  </si>
  <si>
    <t>CFO</t>
    <phoneticPr fontId="2" type="noConversion"/>
  </si>
  <si>
    <t>CFF</t>
    <phoneticPr fontId="2" type="noConversion"/>
  </si>
  <si>
    <t>CFI</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</si>
  <si>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</si>
  <si>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</si>
  <si>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</si>
  <si>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</si>
  <si>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</si>
  <si>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</si>
  <si>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Target Price</t>
  </si>
  <si>
    <t>Entry Price</t>
  </si>
  <si>
    <t>Sell Price</t>
  </si>
  <si>
    <t>Exit Price</t>
  </si>
  <si>
    <t>Holding Period</t>
  </si>
  <si>
    <t>Business Model Risk Premium:</t>
  </si>
  <si>
    <t>Management Risk Premium:</t>
  </si>
  <si>
    <t>YoY CAGR</t>
  </si>
  <si>
    <t>INT</t>
  </si>
  <si>
    <t>Dividend after tax Yield</t>
  </si>
  <si>
    <t>Dividend tax rate</t>
  </si>
  <si>
    <t>After-tax Dividend per share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</si>
  <si>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</si>
  <si>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</si>
  <si>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</si>
  <si>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</si>
  <si>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</si>
  <si>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</si>
  <si>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</si>
  <si>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</si>
  <si>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</si>
  <si>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</si>
  <si>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t>HGR</t>
  </si>
  <si>
    <t>Normalized FCFE</t>
  </si>
  <si>
    <t>Revenues</t>
  </si>
  <si>
    <t>Contribution Margin</t>
  </si>
  <si>
    <t>Fixed Costs</t>
  </si>
  <si>
    <t>G&amp;A and other Opex</t>
  </si>
  <si>
    <t>Tax rate</t>
  </si>
  <si>
    <t>Maintenance Capex</t>
  </si>
  <si>
    <t>Stage</t>
  </si>
  <si>
    <t>High Growth Rate_II</t>
  </si>
  <si>
    <t>Contribution Margin_II</t>
  </si>
  <si>
    <t>Try obtain this number by reverse engineering.</t>
  </si>
  <si>
    <t>CNS_01</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</si>
  <si>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</si>
  <si>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</si>
  <si>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</si>
  <si>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</si>
  <si>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</si>
  <si>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</si>
  <si>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</si>
  <si>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</si>
  <si>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</si>
  <si>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</si>
  <si>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</si>
  <si>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</si>
  <si>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</si>
  <si>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</si>
  <si>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</si>
  <si>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</si>
  <si>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High g Period (HGP)</t>
  </si>
  <si>
    <t>High g Rate (HGR)</t>
  </si>
  <si>
    <t>D&amp;A - maint. Capx</t>
  </si>
  <si>
    <t>Value per share</t>
  </si>
  <si>
    <t>Equity Value</t>
  </si>
  <si>
    <t>Value</t>
  </si>
  <si>
    <t>Terminal g Rate:</t>
  </si>
  <si>
    <t>No-g Model Value per share</t>
  </si>
  <si>
    <t>g Model Value per share</t>
  </si>
  <si>
    <t>Scenarios</t>
  </si>
  <si>
    <t>Base</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</si>
  <si>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</si>
  <si>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</si>
  <si>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</si>
  <si>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</si>
  <si>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</si>
  <si>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</si>
  <si>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</si>
  <si>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</si>
  <si>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</si>
  <si>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</si>
  <si>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</si>
  <si>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</si>
  <si>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</si>
  <si>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</si>
  <si>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</si>
  <si>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</si>
  <si>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</si>
  <si>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</si>
  <si>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</si>
  <si>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</si>
  <si>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Results</t>
  </si>
  <si>
    <t>Y</t>
  </si>
  <si>
    <t>Implied Annual Return:</t>
  </si>
  <si>
    <t>Disc. Factor</t>
  </si>
  <si>
    <t>Terminal Growth Rate (g)</t>
  </si>
  <si>
    <t>Company:</t>
  </si>
  <si>
    <t>Portfolio:</t>
  </si>
  <si>
    <t>Last Updated:</t>
  </si>
  <si>
    <t>Selected:</t>
  </si>
  <si>
    <t>CNY</t>
  </si>
  <si>
    <t>Prompt for fundamental Analysis</t>
  </si>
  <si>
    <t>accepts 5-10, 15, 20, 25, or 30</t>
  </si>
  <si>
    <t>兴业银行</t>
  </si>
  <si>
    <t>601166.SS</t>
  </si>
  <si>
    <t>Payout Ratio</t>
  </si>
  <si>
    <t>Interest Income</t>
  </si>
  <si>
    <t>Interest Expense</t>
  </si>
  <si>
    <t>Net Revenue from AUM</t>
  </si>
  <si>
    <t>Net Revenue from Services</t>
  </si>
  <si>
    <t>Total Revenue</t>
  </si>
  <si>
    <t>Revenue Structure</t>
  </si>
  <si>
    <t>Return on Assets</t>
  </si>
  <si>
    <t>Cash</t>
  </si>
  <si>
    <t>Securities</t>
  </si>
  <si>
    <t>Interest bearing debt</t>
  </si>
  <si>
    <t>Share of JV or associate Results</t>
  </si>
  <si>
    <t>JV or associate investments</t>
  </si>
  <si>
    <t>After-tax Profit</t>
  </si>
  <si>
    <t>*Payout Ratio</t>
  </si>
  <si>
    <t>+ Additional Equity</t>
  </si>
  <si>
    <t>Baseline DDM Valuation</t>
  </si>
  <si>
    <t>Baseline DDM</t>
  </si>
  <si>
    <t>Growth DDM Valuation</t>
  </si>
  <si>
    <t>Service Rev. Yield</t>
  </si>
  <si>
    <t>Asset Man. Yield</t>
  </si>
  <si>
    <t>Forecasted AUM</t>
  </si>
  <si>
    <t>Total Net Revenue</t>
  </si>
  <si>
    <t>Rev. Growth Rate</t>
  </si>
  <si>
    <t>Fixed Cost</t>
  </si>
  <si>
    <t>After-tax profit</t>
  </si>
  <si>
    <t>payout ratio</t>
  </si>
  <si>
    <t>Dividend</t>
  </si>
  <si>
    <t>FCFE</t>
  </si>
  <si>
    <t>PV of Dividend/TV</t>
  </si>
  <si>
    <t>PV of DDM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</si>
</sst>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_);\(#,##0\);0;@"/>
  </numFmts>
  <fonts count="45">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b/>
      <sz val="10"/>
      <name val="Microsoft YaHei"/>
      <family val="2"/>
      <charset val="134"/>
    </font>
    <font>
      <b/>
      <u/>
      <sz val="9"/>
      <name val="Arial"/>
      <family val="2"/>
      <scheme val="major"/>
    </font>
    <font>
      <u/>
      <sz val="9"/>
      <color rgb="FF000000"/>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i/>
      <u/>
      <sz val="9"/>
      <name val="Arial"/>
      <family val="2"/>
      <scheme val="major"/>
    </font>
    <font>
      <b/>
      <u/>
      <sz val="10"/>
      <color rgb="FF000000"/>
      <name val="Arial"/>
      <family val="2"/>
      <scheme val="minor"/>
    </font>
    <font>
      <b/>
      <i/>
      <sz val="9"/>
      <name val="Arial"/>
      <family val="2"/>
      <scheme val="major"/>
    </font>
    <font>
      <b/>
      <i/>
      <sz val="9"/>
      <color rgb="FF000000"/>
      <name val="Arial"/>
      <family val="2"/>
      <scheme val="major"/>
    </font>
    <font>
      <sz val="10"/>
      <color theme="0"/>
      <name val="Arial"/>
      <family val="2"/>
      <scheme val="major"/>
    </font>
    <font>
      <i/>
      <u/>
      <sz val="10"/>
      <color rgb="FF000000"/>
      <name val="Arial"/>
      <family val="2"/>
      <scheme val="min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u/>
      <sz val="10"/>
      <name val="Arial"/>
      <family val="2"/>
      <scheme val="minor"/>
    </font>
    <font>
      <b/>
      <sz val="9"/>
      <color rgb="FF0000FF"/>
      <name val="Microsoft YaHei"/>
      <family val="2"/>
    </font>
    <font>
      <i/>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2">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s>
  <cellStyleXfs count="2">
    <xf numFmtId="0" fontId="0" fillId="0" borderId="0"/>
    <xf numFmtId="0" fontId="41" fillId="0" borderId="1"/>
  </cellStyleXfs>
  <cellXfs count="272">
    <xf numFmtId="0" fontId="0" fillId="0" borderId="0" xfId="0"/>
    <xf numFmtId="0" fontId="3" fillId="0" borderId="0" xfId="0" applyFont="1"/>
    <xf numFmtId="0" fontId="3" fillId="0" borderId="1" xfId="0" applyFont="1" applyBorder="1"/>
    <xf numFmtId="0" fontId="4" fillId="0" borderId="1" xfId="0" applyFont="1" applyBorder="1"/>
    <xf numFmtId="0" fontId="5" fillId="0" borderId="1" xfId="0" applyFont="1" applyBorder="1"/>
    <xf numFmtId="0" fontId="7" fillId="0" borderId="1" xfId="0" applyFont="1" applyBorder="1"/>
    <xf numFmtId="10" fontId="7"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9" fillId="0" borderId="1" xfId="0" applyFont="1" applyBorder="1"/>
    <xf numFmtId="0" fontId="5" fillId="2" borderId="1" xfId="0" applyFont="1" applyFill="1" applyBorder="1"/>
    <xf numFmtId="0" fontId="5" fillId="0" borderId="1" xfId="0" applyFont="1" applyBorder="1" applyAlignment="1">
      <alignment horizontal="right"/>
    </xf>
    <xf numFmtId="3" fontId="6" fillId="0" borderId="1" xfId="0" applyNumberFormat="1" applyFont="1" applyBorder="1" applyAlignment="1">
      <alignment horizontal="right"/>
    </xf>
    <xf numFmtId="166" fontId="5" fillId="0" borderId="1" xfId="0" applyNumberFormat="1" applyFont="1" applyBorder="1" applyAlignment="1">
      <alignment horizontal="right"/>
    </xf>
    <xf numFmtId="0" fontId="9" fillId="0" borderId="2" xfId="0" applyFont="1" applyBorder="1"/>
    <xf numFmtId="0" fontId="8" fillId="0" borderId="0" xfId="0" applyFont="1"/>
    <xf numFmtId="10" fontId="3" fillId="0" borderId="1" xfId="0" applyNumberFormat="1" applyFont="1" applyBorder="1"/>
    <xf numFmtId="0" fontId="5" fillId="0" borderId="1" xfId="0" applyFont="1" applyBorder="1" applyAlignment="1">
      <alignment horizontal="left"/>
    </xf>
    <xf numFmtId="0" fontId="7" fillId="0" borderId="1" xfId="0" applyFont="1" applyBorder="1" applyAlignment="1">
      <alignment horizontal="left" wrapText="1"/>
    </xf>
    <xf numFmtId="0" fontId="7" fillId="0" borderId="1" xfId="0" quotePrefix="1" applyFont="1" applyBorder="1" applyAlignment="1">
      <alignment horizontal="left" wrapText="1"/>
    </xf>
    <xf numFmtId="0" fontId="7" fillId="0" borderId="0" xfId="0" quotePrefix="1" applyFont="1" applyAlignment="1">
      <alignment horizontal="left"/>
    </xf>
    <xf numFmtId="0" fontId="10" fillId="0" borderId="1" xfId="0" applyFont="1" applyBorder="1" applyAlignment="1">
      <alignment horizontal="left" wrapText="1" indent="1"/>
    </xf>
    <xf numFmtId="10" fontId="4" fillId="0" borderId="1" xfId="0" applyNumberFormat="1" applyFont="1" applyBorder="1" applyAlignment="1">
      <alignment horizontal="right"/>
    </xf>
    <xf numFmtId="0" fontId="10" fillId="0" borderId="1" xfId="0" quotePrefix="1" applyFont="1" applyBorder="1" applyAlignment="1">
      <alignment horizontal="left" wrapText="1" indent="1"/>
    </xf>
    <xf numFmtId="0" fontId="7" fillId="0" borderId="1" xfId="0" applyFont="1" applyBorder="1" applyAlignment="1">
      <alignment horizontal="left"/>
    </xf>
    <xf numFmtId="3" fontId="7" fillId="0" borderId="1" xfId="0" applyNumberFormat="1" applyFont="1" applyBorder="1" applyAlignment="1">
      <alignment horizontal="left"/>
    </xf>
    <xf numFmtId="165" fontId="7" fillId="0" borderId="1" xfId="0" applyNumberFormat="1" applyFont="1" applyBorder="1" applyAlignment="1">
      <alignment horizontal="left"/>
    </xf>
    <xf numFmtId="0" fontId="15" fillId="3" borderId="0" xfId="0" applyFont="1" applyFill="1"/>
    <xf numFmtId="168" fontId="8" fillId="4" borderId="1" xfId="0" applyNumberFormat="1" applyFont="1" applyFill="1" applyBorder="1" applyAlignment="1">
      <alignment horizontal="center"/>
    </xf>
    <xf numFmtId="168" fontId="10" fillId="0" borderId="1" xfId="0" applyNumberFormat="1" applyFont="1" applyBorder="1" applyAlignment="1">
      <alignment horizontal="center"/>
    </xf>
    <xf numFmtId="169" fontId="6" fillId="0" borderId="1" xfId="0" applyNumberFormat="1" applyFont="1" applyBorder="1" applyAlignment="1">
      <alignment horizontal="right"/>
    </xf>
    <xf numFmtId="0" fontId="7" fillId="0" borderId="1" xfId="0" quotePrefix="1" applyFont="1" applyBorder="1" applyAlignment="1">
      <alignment horizontal="left"/>
    </xf>
    <xf numFmtId="0" fontId="10" fillId="0" borderId="1" xfId="0" applyFont="1" applyBorder="1" applyAlignment="1">
      <alignment horizontal="left" indent="1"/>
    </xf>
    <xf numFmtId="167" fontId="3" fillId="0" borderId="1" xfId="0" applyNumberFormat="1" applyFont="1" applyBorder="1" applyAlignment="1">
      <alignment horizontal="right"/>
    </xf>
    <xf numFmtId="0" fontId="10" fillId="0" borderId="1" xfId="0" quotePrefix="1" applyFont="1" applyBorder="1" applyAlignment="1">
      <alignment horizontal="left" indent="1"/>
    </xf>
    <xf numFmtId="0" fontId="10" fillId="0" borderId="2" xfId="0" applyFont="1" applyBorder="1"/>
    <xf numFmtId="0" fontId="7" fillId="0" borderId="2" xfId="0" applyFont="1" applyBorder="1"/>
    <xf numFmtId="0" fontId="6" fillId="0" borderId="1" xfId="0" applyFont="1" applyBorder="1" applyAlignment="1">
      <alignment horizontal="left"/>
    </xf>
    <xf numFmtId="49" fontId="6" fillId="0" borderId="1" xfId="0" applyNumberFormat="1" applyFont="1" applyBorder="1" applyAlignment="1">
      <alignment horizontal="left"/>
    </xf>
    <xf numFmtId="4" fontId="6" fillId="0" borderId="1" xfId="0" applyNumberFormat="1" applyFont="1" applyBorder="1" applyAlignment="1">
      <alignment horizontal="left"/>
    </xf>
    <xf numFmtId="3" fontId="6" fillId="0" borderId="1" xfId="0" applyNumberFormat="1" applyFont="1" applyBorder="1" applyAlignment="1">
      <alignment horizontal="left"/>
    </xf>
    <xf numFmtId="0" fontId="10" fillId="0" borderId="1" xfId="0" applyFont="1" applyBorder="1" applyAlignment="1">
      <alignment horizontal="center" wrapText="1"/>
    </xf>
    <xf numFmtId="0" fontId="15" fillId="3" borderId="1" xfId="0" applyFont="1" applyFill="1" applyBorder="1"/>
    <xf numFmtId="0" fontId="10" fillId="0" borderId="1" xfId="0" applyFont="1" applyBorder="1" applyAlignment="1">
      <alignment horizontal="left"/>
    </xf>
    <xf numFmtId="0" fontId="15" fillId="0" borderId="1" xfId="0" applyFont="1" applyBorder="1"/>
    <xf numFmtId="37" fontId="7" fillId="0" borderId="1" xfId="0" applyNumberFormat="1" applyFont="1" applyBorder="1" applyAlignment="1">
      <alignment horizontal="left" wrapText="1"/>
    </xf>
    <xf numFmtId="37" fontId="7" fillId="0" borderId="1" xfId="0" quotePrefix="1" applyNumberFormat="1" applyFont="1" applyBorder="1" applyAlignment="1">
      <alignment horizontal="left" wrapText="1"/>
    </xf>
    <xf numFmtId="37" fontId="10" fillId="0" borderId="1" xfId="0" applyNumberFormat="1" applyFont="1" applyBorder="1" applyAlignment="1">
      <alignment horizontal="left" wrapText="1" indent="1"/>
    </xf>
    <xf numFmtId="37" fontId="7" fillId="0" borderId="1" xfId="0" quotePrefix="1" applyNumberFormat="1" applyFont="1" applyBorder="1" applyAlignment="1">
      <alignment horizontal="left"/>
    </xf>
    <xf numFmtId="37" fontId="10" fillId="0" borderId="1" xfId="0" applyNumberFormat="1" applyFont="1" applyBorder="1" applyAlignment="1">
      <alignment horizontal="left" indent="1"/>
    </xf>
    <xf numFmtId="0" fontId="7" fillId="0" borderId="1" xfId="0" quotePrefix="1" applyFont="1" applyBorder="1" applyAlignment="1">
      <alignment wrapText="1"/>
    </xf>
    <xf numFmtId="0" fontId="10" fillId="0" borderId="2" xfId="0" quotePrefix="1" applyFont="1" applyBorder="1" applyAlignment="1">
      <alignment horizontal="left" wrapText="1"/>
    </xf>
    <xf numFmtId="10" fontId="10" fillId="0" borderId="1" xfId="0" applyNumberFormat="1" applyFont="1" applyBorder="1" applyAlignment="1">
      <alignment horizontal="right"/>
    </xf>
    <xf numFmtId="0" fontId="18" fillId="0" borderId="1" xfId="0" applyFont="1" applyBorder="1"/>
    <xf numFmtId="0" fontId="6" fillId="0" borderId="1" xfId="0" quotePrefix="1" applyFont="1" applyBorder="1" applyAlignment="1">
      <alignment horizontal="left" wrapText="1"/>
    </xf>
    <xf numFmtId="0" fontId="13" fillId="0" borderId="1" xfId="0" quotePrefix="1" applyFont="1" applyBorder="1" applyAlignment="1">
      <alignment horizontal="left" indent="1"/>
    </xf>
    <xf numFmtId="0" fontId="9" fillId="0" borderId="1" xfId="0" applyFont="1" applyBorder="1" applyAlignment="1">
      <alignment horizontal="left" indent="1"/>
    </xf>
    <xf numFmtId="10" fontId="9" fillId="0" borderId="1" xfId="0" applyNumberFormat="1" applyFont="1" applyBorder="1"/>
    <xf numFmtId="0" fontId="17" fillId="0" borderId="1" xfId="0" quotePrefix="1" applyFont="1" applyBorder="1"/>
    <xf numFmtId="171" fontId="7" fillId="0" borderId="1" xfId="0" applyNumberFormat="1" applyFont="1" applyBorder="1" applyAlignment="1">
      <alignment horizontal="right"/>
    </xf>
    <xf numFmtId="170" fontId="3" fillId="0" borderId="1" xfId="0" applyNumberFormat="1" applyFont="1" applyBorder="1"/>
    <xf numFmtId="0" fontId="10" fillId="0" borderId="1" xfId="0" quotePrefix="1" applyFont="1" applyBorder="1" applyAlignment="1">
      <alignment horizontal="left" wrapText="1"/>
    </xf>
    <xf numFmtId="37" fontId="3" fillId="0" borderId="0" xfId="0" applyNumberFormat="1" applyFont="1"/>
    <xf numFmtId="10" fontId="7" fillId="0" borderId="1" xfId="0" quotePrefix="1" applyNumberFormat="1" applyFont="1" applyBorder="1" applyAlignment="1">
      <alignment wrapText="1"/>
    </xf>
    <xf numFmtId="10" fontId="10" fillId="0" borderId="1" xfId="0" quotePrefix="1" applyNumberFormat="1" applyFont="1" applyBorder="1" applyAlignment="1">
      <alignment wrapText="1"/>
    </xf>
    <xf numFmtId="0" fontId="9" fillId="0" borderId="0" xfId="0" applyFont="1" applyAlignment="1">
      <alignment horizontal="left" indent="1"/>
    </xf>
    <xf numFmtId="10" fontId="12" fillId="0" borderId="1" xfId="0" applyNumberFormat="1" applyFont="1" applyBorder="1" applyAlignment="1">
      <alignment horizontal="right"/>
    </xf>
    <xf numFmtId="10" fontId="12" fillId="0" borderId="1" xfId="0" quotePrefix="1" applyNumberFormat="1" applyFont="1" applyBorder="1" applyAlignment="1">
      <alignment horizontal="right" wrapText="1"/>
    </xf>
    <xf numFmtId="10" fontId="12" fillId="0" borderId="1" xfId="0" quotePrefix="1" applyNumberFormat="1" applyFont="1" applyBorder="1" applyAlignment="1">
      <alignment wrapText="1"/>
    </xf>
    <xf numFmtId="0" fontId="11" fillId="0" borderId="2" xfId="0" applyFont="1" applyBorder="1" applyAlignment="1">
      <alignment horizontal="left"/>
    </xf>
    <xf numFmtId="0" fontId="17" fillId="0" borderId="1" xfId="0" applyFont="1" applyBorder="1"/>
    <xf numFmtId="10" fontId="3" fillId="0" borderId="0" xfId="0" applyNumberFormat="1" applyFont="1"/>
    <xf numFmtId="0" fontId="13" fillId="0" borderId="1" xfId="0" applyFont="1" applyBorder="1" applyAlignment="1">
      <alignment horizontal="left" wrapText="1" indent="1"/>
    </xf>
    <xf numFmtId="10" fontId="7" fillId="0" borderId="1" xfId="0" applyNumberFormat="1" applyFont="1" applyBorder="1" applyAlignment="1">
      <alignment horizontal="right" wrapText="1"/>
    </xf>
    <xf numFmtId="0" fontId="19" fillId="0" borderId="1" xfId="0" quotePrefix="1" applyFont="1" applyBorder="1" applyAlignment="1">
      <alignment horizontal="left" wrapText="1"/>
    </xf>
    <xf numFmtId="0" fontId="20" fillId="0" borderId="1" xfId="0" applyFont="1" applyBorder="1" applyAlignment="1">
      <alignment horizontal="right"/>
    </xf>
    <xf numFmtId="0" fontId="1" fillId="0" borderId="0" xfId="0" applyFont="1"/>
    <xf numFmtId="10" fontId="9" fillId="0" borderId="0" xfId="0" applyNumberFormat="1" applyFont="1"/>
    <xf numFmtId="10" fontId="9" fillId="0" borderId="1" xfId="0" applyNumberFormat="1" applyFont="1" applyBorder="1" applyAlignment="1">
      <alignment horizontal="right"/>
    </xf>
    <xf numFmtId="0" fontId="9" fillId="0" borderId="1" xfId="0" applyFont="1" applyBorder="1" applyAlignment="1">
      <alignment horizontal="left"/>
    </xf>
    <xf numFmtId="168" fontId="14" fillId="0" borderId="1" xfId="0" applyNumberFormat="1" applyFont="1" applyBorder="1" applyAlignment="1">
      <alignment horizontal="center"/>
    </xf>
    <xf numFmtId="0" fontId="3" fillId="0" borderId="0" xfId="0" applyFont="1" applyAlignment="1">
      <alignment horizontal="left"/>
    </xf>
    <xf numFmtId="173" fontId="16" fillId="0" borderId="2" xfId="0" applyNumberFormat="1" applyFont="1" applyBorder="1" applyAlignment="1">
      <alignment horizontal="right"/>
    </xf>
    <xf numFmtId="173" fontId="13" fillId="0" borderId="2" xfId="0" applyNumberFormat="1" applyFont="1" applyBorder="1" applyAlignment="1">
      <alignment horizontal="right"/>
    </xf>
    <xf numFmtId="0" fontId="21" fillId="0" borderId="2" xfId="0" applyFont="1" applyBorder="1"/>
    <xf numFmtId="0" fontId="21" fillId="0" borderId="0" xfId="0" applyFont="1" applyAlignment="1">
      <alignment horizontal="left" indent="1"/>
    </xf>
    <xf numFmtId="39" fontId="21" fillId="0" borderId="0" xfId="0" applyNumberFormat="1" applyFont="1"/>
    <xf numFmtId="172" fontId="3" fillId="0" borderId="1" xfId="0" applyNumberFormat="1" applyFont="1" applyBorder="1"/>
    <xf numFmtId="172" fontId="12"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1" fillId="0" borderId="2" xfId="0" applyFont="1" applyBorder="1" applyAlignment="1">
      <alignment vertical="center"/>
    </xf>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4" fillId="6" borderId="3" xfId="0" applyFont="1" applyFill="1" applyBorder="1" applyAlignment="1">
      <alignment horizontal="center"/>
    </xf>
    <xf numFmtId="0" fontId="24" fillId="6" borderId="0" xfId="0" applyFont="1" applyFill="1" applyAlignment="1">
      <alignment horizontal="center"/>
    </xf>
    <xf numFmtId="9" fontId="27" fillId="0" borderId="0" xfId="0" applyNumberFormat="1" applyFont="1"/>
    <xf numFmtId="9" fontId="21" fillId="0" borderId="0" xfId="0" applyNumberFormat="1" applyFont="1"/>
    <xf numFmtId="170" fontId="28" fillId="0" borderId="0" xfId="0" applyNumberFormat="1" applyFont="1"/>
    <xf numFmtId="10" fontId="22" fillId="0" borderId="0" xfId="0" applyNumberFormat="1" applyFont="1"/>
    <xf numFmtId="39" fontId="0" fillId="0" borderId="3" xfId="0" applyNumberFormat="1" applyBorder="1" applyAlignment="1">
      <alignment horizontal="center"/>
    </xf>
    <xf numFmtId="9" fontId="1" fillId="0" borderId="0" xfId="0" applyNumberFormat="1" applyFont="1"/>
    <xf numFmtId="174" fontId="21" fillId="0" borderId="1" xfId="0" applyNumberFormat="1" applyFont="1" applyBorder="1" applyAlignment="1">
      <alignment horizontal="right"/>
    </xf>
    <xf numFmtId="10" fontId="22" fillId="0" borderId="3" xfId="0" applyNumberFormat="1" applyFont="1" applyBorder="1" applyAlignment="1">
      <alignment horizontal="center"/>
    </xf>
    <xf numFmtId="175" fontId="27" fillId="0" borderId="0" xfId="0" applyNumberFormat="1" applyFont="1"/>
    <xf numFmtId="175" fontId="21" fillId="0" borderId="0" xfId="0" applyNumberFormat="1" applyFont="1"/>
    <xf numFmtId="175" fontId="22" fillId="0" borderId="3" xfId="0" applyNumberFormat="1" applyFont="1" applyBorder="1" applyAlignment="1">
      <alignment horizontal="center"/>
    </xf>
    <xf numFmtId="0" fontId="1" fillId="0" borderId="0" xfId="0" quotePrefix="1" applyFont="1"/>
    <xf numFmtId="0" fontId="21" fillId="0" borderId="0" xfId="0" quotePrefix="1" applyFont="1" applyAlignment="1">
      <alignment horizontal="left" indent="1"/>
    </xf>
    <xf numFmtId="175" fontId="23" fillId="0" borderId="0" xfId="0" applyNumberFormat="1" applyFont="1"/>
    <xf numFmtId="10" fontId="23" fillId="0" borderId="0" xfId="0" applyNumberFormat="1" applyFont="1"/>
    <xf numFmtId="0" fontId="1" fillId="0" borderId="0" xfId="0" applyFont="1" applyAlignment="1">
      <alignment vertical="center"/>
    </xf>
    <xf numFmtId="0" fontId="21" fillId="0" borderId="1" xfId="0" applyFont="1" applyBorder="1" applyAlignment="1">
      <alignment horizontal="left" indent="1"/>
    </xf>
    <xf numFmtId="0" fontId="29" fillId="0" borderId="0" xfId="0" applyFont="1"/>
    <xf numFmtId="10" fontId="29" fillId="0" borderId="0" xfId="0" applyNumberFormat="1" applyFont="1" applyAlignment="1">
      <alignment horizontal="center"/>
    </xf>
    <xf numFmtId="0" fontId="30" fillId="0" borderId="1" xfId="0" quotePrefix="1" applyFont="1" applyBorder="1" applyAlignment="1">
      <alignment horizontal="left" wrapText="1"/>
    </xf>
    <xf numFmtId="10" fontId="0" fillId="0" borderId="0" xfId="0" applyNumberFormat="1"/>
    <xf numFmtId="0" fontId="31" fillId="0" borderId="0" xfId="0" applyFont="1"/>
    <xf numFmtId="174" fontId="0" fillId="0" borderId="0" xfId="0" applyNumberFormat="1"/>
    <xf numFmtId="10" fontId="22" fillId="0" borderId="0" xfId="0" applyNumberFormat="1" applyFont="1" applyAlignment="1">
      <alignment vertical="center"/>
    </xf>
    <xf numFmtId="175" fontId="22" fillId="0" borderId="0" xfId="0" applyNumberFormat="1" applyFont="1" applyAlignment="1">
      <alignment vertical="center"/>
    </xf>
    <xf numFmtId="9" fontId="26" fillId="0" borderId="0" xfId="0" applyNumberFormat="1" applyFont="1"/>
    <xf numFmtId="175" fontId="22"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4" fillId="6" borderId="4" xfId="0" applyFont="1" applyFill="1" applyBorder="1" applyAlignment="1">
      <alignment horizontal="center"/>
    </xf>
    <xf numFmtId="0" fontId="24" fillId="6" borderId="1" xfId="0" applyFont="1" applyFill="1" applyBorder="1" applyAlignment="1">
      <alignment horizontal="center"/>
    </xf>
    <xf numFmtId="176" fontId="0" fillId="0" borderId="0" xfId="0" applyNumberFormat="1"/>
    <xf numFmtId="0" fontId="9" fillId="0" borderId="2" xfId="0" quotePrefix="1" applyFont="1" applyBorder="1"/>
    <xf numFmtId="10" fontId="3" fillId="7" borderId="1" xfId="0" applyNumberFormat="1" applyFont="1" applyFill="1" applyBorder="1"/>
    <xf numFmtId="10" fontId="12" fillId="0" borderId="1" xfId="0" applyNumberFormat="1" applyFont="1" applyBorder="1"/>
    <xf numFmtId="174" fontId="7" fillId="0" borderId="1" xfId="0" quotePrefix="1" applyNumberFormat="1" applyFont="1" applyBorder="1" applyAlignment="1">
      <alignment wrapText="1"/>
    </xf>
    <xf numFmtId="0" fontId="32" fillId="0" borderId="2" xfId="0" quotePrefix="1" applyFont="1" applyBorder="1" applyAlignment="1">
      <alignment horizontal="left" wrapText="1"/>
    </xf>
    <xf numFmtId="0" fontId="7" fillId="0" borderId="1" xfId="0" quotePrefix="1" applyFont="1" applyBorder="1" applyAlignment="1">
      <alignment horizontal="right" wrapText="1"/>
    </xf>
    <xf numFmtId="10" fontId="7" fillId="7" borderId="1" xfId="0" applyNumberFormat="1" applyFont="1" applyFill="1" applyBorder="1" applyAlignment="1">
      <alignment horizontal="right" wrapText="1"/>
    </xf>
    <xf numFmtId="0" fontId="1" fillId="0" borderId="2" xfId="0" quotePrefix="1" applyFont="1" applyBorder="1"/>
    <xf numFmtId="10" fontId="22" fillId="0" borderId="2" xfId="0" applyNumberFormat="1" applyFont="1" applyBorder="1"/>
    <xf numFmtId="0" fontId="1" fillId="0" borderId="11" xfId="0" quotePrefix="1" applyFont="1" applyBorder="1" applyAlignment="1">
      <alignment horizontal="left"/>
    </xf>
    <xf numFmtId="174" fontId="1" fillId="0" borderId="11" xfId="0" applyNumberFormat="1" applyFont="1" applyBorder="1"/>
    <xf numFmtId="0" fontId="34" fillId="3" borderId="0" xfId="0" applyFont="1" applyFill="1"/>
    <xf numFmtId="10" fontId="7" fillId="7" borderId="1" xfId="0" applyNumberFormat="1" applyFont="1" applyFill="1" applyBorder="1" applyAlignment="1">
      <alignment horizontal="right"/>
    </xf>
    <xf numFmtId="39" fontId="0" fillId="0" borderId="0" xfId="0" applyNumberFormat="1" applyAlignment="1">
      <alignment horizontal="right"/>
    </xf>
    <xf numFmtId="0" fontId="0" fillId="0" borderId="0" xfId="0" applyAlignment="1">
      <alignment horizontal="right"/>
    </xf>
    <xf numFmtId="175" fontId="22" fillId="0" borderId="0" xfId="0" applyNumberFormat="1" applyFont="1" applyAlignment="1">
      <alignment horizontal="right"/>
    </xf>
    <xf numFmtId="0" fontId="1" fillId="0" borderId="0" xfId="0" applyFont="1" applyAlignment="1">
      <alignment horizontal="left"/>
    </xf>
    <xf numFmtId="0" fontId="22" fillId="0" borderId="0" xfId="0" applyFont="1"/>
    <xf numFmtId="0" fontId="35" fillId="0" borderId="0" xfId="0" applyFont="1"/>
    <xf numFmtId="0" fontId="6" fillId="0" borderId="1" xfId="0" applyFont="1" applyBorder="1" applyAlignment="1">
      <alignment horizontal="right"/>
    </xf>
    <xf numFmtId="10" fontId="36" fillId="0" borderId="1" xfId="0" applyNumberFormat="1" applyFont="1" applyBorder="1" applyAlignment="1">
      <alignment wrapText="1"/>
    </xf>
    <xf numFmtId="10" fontId="36" fillId="0" borderId="1" xfId="0" quotePrefix="1" applyNumberFormat="1" applyFont="1" applyBorder="1" applyAlignment="1">
      <alignment wrapText="1"/>
    </xf>
    <xf numFmtId="0" fontId="37" fillId="0" borderId="1" xfId="0" quotePrefix="1" applyFont="1" applyBorder="1" applyAlignment="1">
      <alignment horizontal="left" wrapText="1"/>
    </xf>
    <xf numFmtId="37" fontId="37" fillId="0" borderId="1" xfId="0" applyNumberFormat="1" applyFont="1" applyBorder="1" applyAlignment="1">
      <alignment horizontal="left" wrapText="1"/>
    </xf>
    <xf numFmtId="37" fontId="37" fillId="0" borderId="1" xfId="0" quotePrefix="1" applyNumberFormat="1" applyFont="1" applyBorder="1" applyAlignment="1">
      <alignment horizontal="left" wrapText="1"/>
    </xf>
    <xf numFmtId="0" fontId="37" fillId="0" borderId="1" xfId="0" applyFont="1" applyBorder="1"/>
    <xf numFmtId="0" fontId="37" fillId="0" borderId="1" xfId="0" applyFont="1" applyBorder="1" applyAlignment="1">
      <alignment horizontal="left" wrapText="1"/>
    </xf>
    <xf numFmtId="0" fontId="39" fillId="0" borderId="1" xfId="0" applyFont="1" applyBorder="1" applyAlignment="1">
      <alignment horizontal="left"/>
    </xf>
    <xf numFmtId="0" fontId="37" fillId="0" borderId="1" xfId="0" applyFont="1" applyBorder="1" applyAlignment="1">
      <alignment horizontal="right"/>
    </xf>
    <xf numFmtId="0" fontId="39" fillId="0" borderId="1" xfId="0" applyFont="1" applyBorder="1"/>
    <xf numFmtId="37" fontId="37" fillId="0" borderId="1" xfId="0" applyNumberFormat="1" applyFont="1" applyBorder="1" applyAlignment="1">
      <alignment horizontal="left" wrapText="1" indent="1"/>
    </xf>
    <xf numFmtId="37" fontId="37" fillId="0" borderId="1" xfId="0" quotePrefix="1" applyNumberFormat="1" applyFont="1" applyBorder="1" applyAlignment="1">
      <alignment horizontal="left"/>
    </xf>
    <xf numFmtId="37" fontId="37" fillId="0" borderId="1" xfId="0" applyNumberFormat="1" applyFont="1" applyBorder="1" applyAlignment="1">
      <alignment horizontal="left" indent="1"/>
    </xf>
    <xf numFmtId="0" fontId="11" fillId="0" borderId="1" xfId="0" applyFont="1" applyBorder="1" applyAlignment="1">
      <alignment horizontal="left" indent="1"/>
    </xf>
    <xf numFmtId="0" fontId="11" fillId="0" borderId="1" xfId="0" applyFont="1" applyBorder="1"/>
    <xf numFmtId="0" fontId="38" fillId="0" borderId="1" xfId="0" applyFont="1" applyBorder="1"/>
    <xf numFmtId="10" fontId="0" fillId="0" borderId="0" xfId="0" applyNumberFormat="1" applyAlignment="1">
      <alignment horizontal="left"/>
    </xf>
    <xf numFmtId="9" fontId="3" fillId="0" borderId="1" xfId="0" applyNumberFormat="1" applyFont="1" applyBorder="1"/>
    <xf numFmtId="40" fontId="3" fillId="0" borderId="0" xfId="0" applyNumberFormat="1" applyFont="1" applyAlignment="1">
      <alignment horizontal="left"/>
    </xf>
    <xf numFmtId="0" fontId="7" fillId="0" borderId="1" xfId="0" applyFont="1" applyBorder="1" applyAlignment="1">
      <alignment horizontal="right"/>
    </xf>
    <xf numFmtId="0" fontId="20" fillId="0" borderId="0" xfId="0" applyFont="1" applyAlignment="1">
      <alignment horizontal="left"/>
    </xf>
    <xf numFmtId="174" fontId="7" fillId="0" borderId="1" xfId="0" applyNumberFormat="1" applyFont="1" applyBorder="1" applyAlignment="1">
      <alignment horizontal="left"/>
    </xf>
    <xf numFmtId="174" fontId="3" fillId="0" borderId="0" xfId="0" applyNumberFormat="1" applyFont="1" applyAlignment="1">
      <alignment horizontal="left"/>
    </xf>
    <xf numFmtId="37" fontId="7" fillId="0" borderId="1" xfId="0" applyNumberFormat="1" applyFont="1" applyBorder="1" applyAlignment="1">
      <alignment horizontal="right"/>
    </xf>
    <xf numFmtId="37" fontId="13" fillId="0" borderId="1" xfId="0" applyNumberFormat="1" applyFont="1" applyBorder="1" applyAlignment="1">
      <alignment horizontal="right"/>
    </xf>
    <xf numFmtId="178" fontId="12" fillId="0" borderId="1" xfId="0" applyNumberFormat="1" applyFont="1" applyBorder="1" applyAlignment="1">
      <alignment wrapText="1"/>
    </xf>
    <xf numFmtId="178" fontId="3" fillId="0" borderId="1" xfId="0" applyNumberFormat="1" applyFont="1" applyBorder="1"/>
    <xf numFmtId="178" fontId="9" fillId="0" borderId="1" xfId="0" applyNumberFormat="1" applyFont="1" applyBorder="1"/>
    <xf numFmtId="178" fontId="10" fillId="0" borderId="1" xfId="0" applyNumberFormat="1" applyFont="1" applyBorder="1" applyAlignment="1">
      <alignment wrapText="1"/>
    </xf>
    <xf numFmtId="178" fontId="10" fillId="0" borderId="1" xfId="0" applyNumberFormat="1" applyFont="1" applyBorder="1"/>
    <xf numFmtId="178" fontId="7" fillId="0" borderId="1" xfId="0" applyNumberFormat="1" applyFont="1" applyBorder="1" applyAlignment="1">
      <alignment horizontal="right"/>
    </xf>
    <xf numFmtId="178" fontId="10" fillId="0" borderId="1" xfId="0" applyNumberFormat="1" applyFont="1" applyBorder="1" applyAlignment="1">
      <alignment horizontal="right"/>
    </xf>
    <xf numFmtId="178" fontId="3" fillId="7" borderId="1" xfId="0" applyNumberFormat="1" applyFont="1" applyFill="1" applyBorder="1"/>
    <xf numFmtId="178" fontId="3" fillId="5" borderId="1" xfId="0" applyNumberFormat="1" applyFont="1" applyFill="1" applyBorder="1"/>
    <xf numFmtId="178" fontId="7" fillId="0" borderId="1" xfId="0" applyNumberFormat="1" applyFont="1" applyBorder="1"/>
    <xf numFmtId="178" fontId="0" fillId="0" borderId="0" xfId="0" applyNumberFormat="1"/>
    <xf numFmtId="178" fontId="12" fillId="0" borderId="1" xfId="0" applyNumberFormat="1" applyFont="1" applyBorder="1"/>
    <xf numFmtId="178" fontId="0" fillId="0" borderId="3" xfId="0" applyNumberFormat="1" applyBorder="1"/>
    <xf numFmtId="178" fontId="11" fillId="0" borderId="1" xfId="0" applyNumberFormat="1" applyFont="1" applyBorder="1"/>
    <xf numFmtId="178" fontId="36" fillId="0" borderId="1" xfId="0" applyNumberFormat="1" applyFont="1" applyBorder="1"/>
    <xf numFmtId="178" fontId="7" fillId="0" borderId="1" xfId="0" applyNumberFormat="1" applyFont="1" applyBorder="1" applyAlignment="1">
      <alignment horizontal="right" wrapText="1"/>
    </xf>
    <xf numFmtId="178" fontId="13" fillId="0" borderId="1" xfId="0" applyNumberFormat="1" applyFont="1" applyBorder="1" applyAlignment="1">
      <alignment horizontal="right"/>
    </xf>
    <xf numFmtId="178" fontId="21" fillId="0" borderId="0" xfId="0" applyNumberFormat="1" applyFont="1"/>
    <xf numFmtId="178" fontId="3" fillId="0" borderId="0" xfId="0" applyNumberFormat="1" applyFont="1"/>
    <xf numFmtId="178" fontId="6" fillId="0" borderId="1" xfId="0" applyNumberFormat="1" applyFont="1" applyBorder="1" applyAlignment="1">
      <alignment horizontal="right"/>
    </xf>
    <xf numFmtId="178" fontId="16" fillId="0" borderId="1" xfId="0" applyNumberFormat="1" applyFont="1" applyBorder="1" applyAlignment="1">
      <alignment horizontal="right"/>
    </xf>
    <xf numFmtId="178" fontId="14" fillId="0" borderId="1" xfId="0" applyNumberFormat="1" applyFont="1" applyBorder="1" applyAlignment="1">
      <alignment horizontal="right"/>
    </xf>
    <xf numFmtId="178" fontId="9" fillId="0" borderId="0" xfId="0" applyNumberFormat="1" applyFont="1"/>
    <xf numFmtId="178" fontId="11" fillId="0" borderId="0" xfId="0" applyNumberFormat="1" applyFont="1"/>
    <xf numFmtId="10" fontId="6"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2" fillId="0" borderId="1" xfId="0" applyNumberFormat="1" applyFont="1" applyBorder="1" applyAlignment="1">
      <alignment horizontal="center"/>
    </xf>
    <xf numFmtId="0" fontId="9" fillId="0" borderId="1" xfId="0" quotePrefix="1" applyFont="1" applyBorder="1" applyAlignment="1">
      <alignment horizontal="left" indent="1"/>
    </xf>
    <xf numFmtId="10" fontId="0" fillId="0" borderId="3" xfId="0" applyNumberFormat="1" applyBorder="1"/>
    <xf numFmtId="178" fontId="7" fillId="0" borderId="1" xfId="0" quotePrefix="1" applyNumberFormat="1" applyFont="1" applyBorder="1" applyAlignment="1">
      <alignment wrapText="1"/>
    </xf>
    <xf numFmtId="10" fontId="22"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78" fontId="0" fillId="0" borderId="1" xfId="0" applyNumberFormat="1" applyBorder="1"/>
    <xf numFmtId="10" fontId="0" fillId="0" borderId="1" xfId="0" applyNumberFormat="1" applyBorder="1"/>
    <xf numFmtId="0" fontId="1" fillId="0" borderId="1" xfId="0" applyFont="1" applyBorder="1"/>
    <xf numFmtId="0" fontId="21" fillId="0" borderId="2" xfId="0" applyFont="1" applyBorder="1" applyAlignment="1">
      <alignment horizontal="right"/>
    </xf>
    <xf numFmtId="175" fontId="22" fillId="0" borderId="1" xfId="0" applyNumberFormat="1" applyFont="1" applyBorder="1" applyAlignment="1">
      <alignment vertical="center"/>
    </xf>
    <xf numFmtId="10" fontId="22" fillId="0" borderId="1" xfId="0" applyNumberFormat="1" applyFont="1" applyBorder="1"/>
    <xf numFmtId="0" fontId="29" fillId="0" borderId="1" xfId="0" quotePrefix="1" applyFont="1" applyBorder="1" applyAlignment="1">
      <alignment horizontal="left" indent="1"/>
    </xf>
    <xf numFmtId="178" fontId="29" fillId="0" borderId="1" xfId="0" applyNumberFormat="1" applyFont="1" applyBorder="1"/>
    <xf numFmtId="0" fontId="29"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78" fontId="21"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4" fillId="0" borderId="1" xfId="0" applyFont="1" applyBorder="1" applyAlignment="1">
      <alignment horizontal="center"/>
    </xf>
    <xf numFmtId="10" fontId="26" fillId="0" borderId="3" xfId="0" applyNumberFormat="1" applyFont="1" applyBorder="1"/>
    <xf numFmtId="175" fontId="22" fillId="0" borderId="3" xfId="0" applyNumberFormat="1" applyFont="1" applyBorder="1"/>
    <xf numFmtId="174" fontId="0" fillId="0" borderId="3" xfId="0" applyNumberFormat="1" applyBorder="1"/>
    <xf numFmtId="9" fontId="26" fillId="0" borderId="3" xfId="0" applyNumberFormat="1" applyFont="1" applyBorder="1"/>
    <xf numFmtId="9" fontId="22" fillId="0" borderId="3" xfId="0" applyNumberFormat="1" applyFont="1" applyBorder="1"/>
    <xf numFmtId="0" fontId="40"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1" fillId="0" borderId="3" xfId="0" applyNumberFormat="1" applyFont="1" applyBorder="1"/>
    <xf numFmtId="8" fontId="0" fillId="0" borderId="0" xfId="0" applyNumberFormat="1"/>
    <xf numFmtId="0" fontId="42" fillId="0" borderId="0" xfId="0" applyFont="1"/>
    <xf numFmtId="10" fontId="36" fillId="0" borderId="0" xfId="0" applyNumberFormat="1" applyFont="1" applyAlignment="1">
      <alignment horizontal="left"/>
    </xf>
    <xf numFmtId="4" fontId="6" fillId="0" borderId="1" xfId="0" applyNumberFormat="1" applyFont="1" applyBorder="1" applyAlignment="1">
      <alignment horizontal="right"/>
    </xf>
    <xf numFmtId="0" fontId="36" fillId="0" borderId="0" xfId="0" applyFont="1" applyAlignment="1">
      <alignment horizontal="left"/>
    </xf>
    <xf numFmtId="177" fontId="6" fillId="0" borderId="1" xfId="0" applyNumberFormat="1" applyFont="1" applyBorder="1" applyAlignment="1">
      <alignment horizontal="right"/>
    </xf>
    <xf numFmtId="164" fontId="7" fillId="0" borderId="1" xfId="0" applyNumberFormat="1" applyFont="1" applyBorder="1" applyAlignment="1">
      <alignment horizontal="right"/>
    </xf>
    <xf numFmtId="0" fontId="43" fillId="0" borderId="2" xfId="0" applyFont="1" applyBorder="1" applyAlignment="1">
      <alignment horizontal="left"/>
    </xf>
    <xf numFmtId="0" fontId="4" fillId="0" borderId="2" xfId="0" applyFont="1" applyBorder="1"/>
    <xf numFmtId="0" fontId="3" fillId="0" borderId="5" xfId="0" applyFont="1" applyBorder="1" applyAlignment="1">
      <alignment horizontal="right"/>
    </xf>
    <xf numFmtId="164" fontId="6" fillId="0" borderId="6" xfId="0" applyNumberFormat="1" applyFont="1" applyBorder="1" applyAlignment="1">
      <alignment horizontal="right"/>
    </xf>
    <xf numFmtId="0" fontId="3" fillId="0" borderId="7" xfId="0" applyFont="1" applyBorder="1" applyAlignment="1">
      <alignment horizontal="right"/>
    </xf>
    <xf numFmtId="0" fontId="6" fillId="0" borderId="8" xfId="0" applyFont="1" applyBorder="1" applyAlignment="1">
      <alignment horizontal="right"/>
    </xf>
    <xf numFmtId="0" fontId="6" fillId="0" borderId="10" xfId="0" applyFont="1" applyBorder="1" applyAlignment="1">
      <alignment horizontal="right"/>
    </xf>
    <xf numFmtId="0" fontId="7" fillId="0" borderId="9" xfId="0" applyFont="1" applyBorder="1" applyAlignment="1">
      <alignment horizontal="right"/>
    </xf>
    <xf numFmtId="10" fontId="0" fillId="0" borderId="3" xfId="0" applyNumberFormat="1" applyBorder="1" applyAlignment="1">
      <alignment horizontal="right"/>
    </xf>
    <xf numFmtId="40" fontId="29" fillId="0" borderId="0" xfId="0" applyNumberFormat="1" applyFont="1" applyAlignment="1">
      <alignment horizontal="right"/>
    </xf>
    <xf numFmtId="175" fontId="44" fillId="0" borderId="1" xfId="0" applyNumberFormat="1" applyFont="1" applyBorder="1" applyAlignment="1">
      <alignment horizontal="right"/>
    </xf>
    <xf numFmtId="10" fontId="12" fillId="0" borderId="0" xfId="0" applyNumberFormat="1" applyFont="1"/>
    <xf numFmtId="10" fontId="12" fillId="0" borderId="0" xfId="0" applyNumberFormat="1" applyFont="1" applyAlignment="1">
      <alignment horizontal="right"/>
    </xf>
    <xf numFmtId="0" fontId="0" fillId="0" borderId="0" xfId="0" applyAlignment="1">
      <alignment horizontal="center"/>
    </xf>
    <xf numFmtId="173" fontId="13" fillId="0" borderId="2" xfId="0" applyNumberFormat="1" applyFont="1" applyBorder="1" applyAlignment="1">
      <alignment horizontal="left"/>
    </xf>
    <xf numFmtId="178" fontId="0" fillId="0" borderId="0" xfId="0" applyNumberFormat="1" applyAlignment="1">
      <alignment horizontal="left"/>
    </xf>
    <xf numFmtId="0" fontId="0" fillId="0" borderId="0" xfId="0" applyAlignment="1">
      <alignment horizontal="left"/>
    </xf>
    <xf numFmtId="0" fontId="23" fillId="0" borderId="0" xfId="0" applyFont="1" applyAlignment="1">
      <alignment horizontal="left"/>
    </xf>
    <xf numFmtId="0" fontId="1" fillId="0" borderId="1" xfId="0" applyFont="1" applyBorder="1" applyAlignment="1">
      <alignment vertical="center"/>
    </xf>
    <xf numFmtId="0" fontId="21" fillId="0" borderId="3" xfId="0" applyFont="1" applyBorder="1" applyAlignment="1">
      <alignment horizontal="center"/>
    </xf>
    <xf numFmtId="178" fontId="21" fillId="0" borderId="1" xfId="0" applyNumberFormat="1" applyFont="1" applyBorder="1"/>
    <xf numFmtId="0" fontId="21" fillId="0" borderId="1" xfId="0" applyFont="1" applyBorder="1"/>
    <xf numFmtId="0" fontId="11" fillId="0" borderId="0" xfId="0" applyFont="1" applyAlignment="1">
      <alignment horizontal="left" wrapText="1"/>
    </xf>
    <xf numFmtId="0" fontId="1" fillId="0" borderId="3" xfId="0" applyFont="1" applyBorder="1" applyAlignment="1">
      <alignment horizontal="left" vertical="center" wrapText="1"/>
    </xf>
  </cellXfs>
  <cellStyles count="2">
    <cellStyle name="常规" xfId="0" builtinId="0"/>
    <cellStyle name="常规 2 2" xfId="1" xr:uid="{A35F4541-DCCE-4554-A311-39480A36979A}"/>
  </cellStyles>
  <dxfs count="5">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0000"/>
      <color rgb="FFFF00FF"/>
      <color rgb="FF00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26"/>
  <sheetViews>
    <sheetView showGridLines="0" zoomScaleNormal="100" workbookViewId="0">
      <selection activeCell="B27" sqref="B27"/>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143" t="s">
        <v>104</v>
      </c>
      <c r="B2" s="27"/>
      <c r="C2" s="27"/>
      <c r="D2" s="27"/>
      <c r="E2" s="27"/>
      <c r="F2" s="27"/>
      <c r="G2" s="15"/>
      <c r="H2" s="15"/>
      <c r="I2" s="15"/>
    </row>
    <row r="3" spans="1:9">
      <c r="E3" s="250" t="s">
        <v>228</v>
      </c>
      <c r="F3" s="251">
        <v>45930</v>
      </c>
    </row>
    <row r="4" spans="1:9" ht="12.4">
      <c r="B4" s="249" t="s">
        <v>226</v>
      </c>
      <c r="C4" s="248" t="s">
        <v>233</v>
      </c>
      <c r="E4" s="252" t="s">
        <v>227</v>
      </c>
      <c r="F4" s="253" t="s">
        <v>147</v>
      </c>
    </row>
    <row r="5" spans="1:9">
      <c r="B5" s="1" t="s">
        <v>154</v>
      </c>
      <c r="C5" s="38" t="s">
        <v>234</v>
      </c>
      <c r="E5" s="255" t="s">
        <v>229</v>
      </c>
      <c r="F5" s="254" t="s">
        <v>222</v>
      </c>
    </row>
    <row r="6" spans="1:9">
      <c r="B6" s="2" t="s">
        <v>21</v>
      </c>
      <c r="C6" s="37" t="s">
        <v>173</v>
      </c>
      <c r="D6" s="37"/>
      <c r="E6" s="37"/>
    </row>
    <row r="7" spans="1:9">
      <c r="B7" s="1" t="s">
        <v>156</v>
      </c>
      <c r="C7" s="37" t="s">
        <v>138</v>
      </c>
      <c r="D7" s="37"/>
      <c r="E7" s="37"/>
    </row>
    <row r="8" spans="1:9">
      <c r="B8" s="4" t="s">
        <v>155</v>
      </c>
      <c r="C8" s="39">
        <v>2.85</v>
      </c>
      <c r="E8" s="25"/>
    </row>
    <row r="9" spans="1:9">
      <c r="B9" s="4" t="s">
        <v>151</v>
      </c>
      <c r="C9" s="40">
        <v>2319863422</v>
      </c>
    </row>
    <row r="10" spans="1:9">
      <c r="B10" s="4" t="s">
        <v>157</v>
      </c>
      <c r="C10" s="26">
        <f>Thesis!C8*Common_Shares/1000000</f>
        <v>6611.6107526999995</v>
      </c>
      <c r="D10" s="1" t="s">
        <v>223</v>
      </c>
      <c r="E10" s="212"/>
    </row>
    <row r="11" spans="1:9">
      <c r="D11" s="5"/>
      <c r="E11" s="5"/>
    </row>
    <row r="12" spans="1:9" ht="24.5" customHeight="1">
      <c r="B12" s="270" t="s">
        <v>160</v>
      </c>
      <c r="C12" s="270"/>
      <c r="D12" s="270"/>
      <c r="E12" s="270"/>
      <c r="F12" s="270"/>
    </row>
    <row r="14" spans="1:9">
      <c r="B14" s="35" t="str">
        <f>Scenarios!B39&amp;" Valuation Conclusion"</f>
        <v>1-stage DCF Valuation Conclusion</v>
      </c>
      <c r="C14" s="36"/>
    </row>
    <row r="15" spans="1:9">
      <c r="B15" s="1" t="s">
        <v>144</v>
      </c>
      <c r="C15" s="245" t="s">
        <v>119</v>
      </c>
      <c r="D15" s="4" t="s">
        <v>158</v>
      </c>
      <c r="E15" s="171" t="str">
        <f>IF(E17=C7,C7,E17&amp;"/"&amp;C7)</f>
        <v>CNY/HKD</v>
      </c>
    </row>
    <row r="16" spans="1:9">
      <c r="B16" s="1" t="s">
        <v>145</v>
      </c>
      <c r="C16" s="245" t="s">
        <v>119</v>
      </c>
      <c r="D16" s="4" t="s">
        <v>159</v>
      </c>
      <c r="E16" s="244">
        <v>1.0900000000000001</v>
      </c>
    </row>
    <row r="17" spans="2:5">
      <c r="B17" s="1" t="s">
        <v>225</v>
      </c>
      <c r="C17" s="243">
        <v>0</v>
      </c>
      <c r="D17" s="4" t="s">
        <v>126</v>
      </c>
      <c r="E17" s="151" t="s">
        <v>230</v>
      </c>
    </row>
    <row r="18" spans="2:5">
      <c r="B18" s="1" t="s">
        <v>235</v>
      </c>
      <c r="C18" s="243">
        <v>0</v>
      </c>
      <c r="D18" s="2" t="s">
        <v>152</v>
      </c>
      <c r="E18" s="246">
        <v>6</v>
      </c>
    </row>
    <row r="19" spans="2:5">
      <c r="B19" s="1" t="str">
        <f>"Expected Equity Value ("&amp;C7&amp;") :"</f>
        <v>Expected Equity Value (HKD) :</v>
      </c>
      <c r="C19" s="170"/>
      <c r="D19" s="1" t="s">
        <v>153</v>
      </c>
      <c r="E19" s="247" t="e">
        <f>EOMONTH(EDATE(#REF!,E18+2),0)</f>
        <v>#REF!</v>
      </c>
    </row>
    <row r="20" spans="2:5">
      <c r="D20" s="5"/>
      <c r="E20" s="5"/>
    </row>
    <row r="21" spans="2:5">
      <c r="B21" s="35" t="s">
        <v>175</v>
      </c>
      <c r="C21" s="172"/>
      <c r="D21" s="24" t="s">
        <v>143</v>
      </c>
      <c r="E21" s="258">
        <v>2</v>
      </c>
    </row>
    <row r="22" spans="2:5">
      <c r="B22" s="1" t="s">
        <v>139</v>
      </c>
      <c r="C22" s="173"/>
      <c r="D22" s="31" t="s">
        <v>177</v>
      </c>
      <c r="E22" s="66">
        <v>0.35</v>
      </c>
    </row>
    <row r="23" spans="2:5">
      <c r="B23" s="1" t="s">
        <v>140</v>
      </c>
      <c r="C23" s="174"/>
      <c r="D23" s="31" t="s">
        <v>178</v>
      </c>
      <c r="E23" s="259">
        <v>0.25</v>
      </c>
    </row>
    <row r="24" spans="2:5">
      <c r="B24" s="1" t="s">
        <v>142</v>
      </c>
      <c r="C24" s="174"/>
      <c r="D24" s="31" t="s">
        <v>179</v>
      </c>
      <c r="E24" s="259">
        <v>0.1174</v>
      </c>
    </row>
    <row r="25" spans="2:5">
      <c r="B25" s="1" t="s">
        <v>141</v>
      </c>
      <c r="C25" s="174"/>
      <c r="D25" s="31" t="s">
        <v>180</v>
      </c>
      <c r="E25" s="260">
        <v>7.4999999999999997E-2</v>
      </c>
    </row>
    <row r="26" spans="2:5">
      <c r="D26" s="5"/>
      <c r="E26" s="5"/>
    </row>
  </sheetData>
  <mergeCells count="1">
    <mergeCell ref="B12:F1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77"/>
  <sheetViews>
    <sheetView showGridLines="0" zoomScaleNormal="100" workbookViewId="0">
      <pane xSplit="2" ySplit="1" topLeftCell="C2" activePane="bottomRight" state="frozen"/>
      <selection pane="topRight" activeCell="C1" sqref="C1"/>
      <selection pane="bottomLeft" activeCell="A2" sqref="A2"/>
      <selection pane="bottomRight" activeCell="C22" sqref="C22"/>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69" t="str">
        <f>Thesis!E17</f>
        <v>CNY</v>
      </c>
      <c r="C1" s="80">
        <v>45657</v>
      </c>
      <c r="D1" s="29">
        <f>EOMONTH(EDATE(C1,-12),0)</f>
        <v>45291</v>
      </c>
      <c r="E1" s="29">
        <f t="shared" ref="E1:M1" si="0">EOMONTH(EDATE(D1,-12),0)</f>
        <v>44926</v>
      </c>
      <c r="F1" s="29">
        <f t="shared" si="0"/>
        <v>44561</v>
      </c>
      <c r="G1" s="29">
        <f t="shared" si="0"/>
        <v>44196</v>
      </c>
      <c r="H1" s="29">
        <f t="shared" si="0"/>
        <v>43830</v>
      </c>
      <c r="I1" s="29">
        <f t="shared" si="0"/>
        <v>43465</v>
      </c>
      <c r="J1" s="29">
        <f t="shared" si="0"/>
        <v>43100</v>
      </c>
      <c r="K1" s="29">
        <f t="shared" si="0"/>
        <v>42735</v>
      </c>
      <c r="L1" s="29">
        <f t="shared" si="0"/>
        <v>42369</v>
      </c>
      <c r="M1" s="29">
        <f t="shared" si="0"/>
        <v>42004</v>
      </c>
    </row>
    <row r="2" spans="2:13" ht="13.9">
      <c r="B2" s="27" t="s">
        <v>45</v>
      </c>
      <c r="C2" s="28"/>
      <c r="D2" s="28"/>
      <c r="E2" s="28"/>
      <c r="F2" s="28"/>
      <c r="G2" s="28"/>
      <c r="H2" s="28"/>
      <c r="I2" s="28"/>
      <c r="J2" s="28"/>
      <c r="K2" s="28"/>
      <c r="L2" s="28"/>
      <c r="M2" s="28"/>
    </row>
    <row r="3" spans="2:13">
      <c r="B3" s="14" t="s">
        <v>2</v>
      </c>
      <c r="C3" s="82">
        <v>1000</v>
      </c>
    </row>
    <row r="4" spans="2:13">
      <c r="B4" s="24" t="s">
        <v>238</v>
      </c>
      <c r="C4" s="196">
        <v>2077484</v>
      </c>
      <c r="D4" s="196"/>
      <c r="E4" s="196"/>
      <c r="F4" s="196"/>
      <c r="G4" s="196"/>
      <c r="H4" s="196"/>
      <c r="I4" s="196"/>
      <c r="J4" s="196"/>
      <c r="K4" s="196"/>
      <c r="L4" s="196"/>
      <c r="M4" s="196"/>
    </row>
    <row r="5" spans="2:13">
      <c r="B5" s="31" t="s">
        <v>239</v>
      </c>
      <c r="C5" s="196">
        <v>467126</v>
      </c>
      <c r="D5" s="196"/>
      <c r="E5" s="196"/>
      <c r="F5" s="196"/>
      <c r="G5" s="196"/>
      <c r="H5" s="196"/>
      <c r="I5" s="196"/>
      <c r="J5" s="196"/>
      <c r="K5" s="196"/>
      <c r="L5" s="196"/>
      <c r="M5" s="196"/>
    </row>
    <row r="6" spans="2:13">
      <c r="B6" s="31" t="s">
        <v>20</v>
      </c>
      <c r="C6" s="196">
        <v>528317</v>
      </c>
      <c r="D6" s="196"/>
      <c r="E6" s="196"/>
      <c r="F6" s="196"/>
      <c r="G6" s="196"/>
      <c r="H6" s="196"/>
      <c r="I6" s="196"/>
      <c r="J6" s="196"/>
      <c r="K6" s="196"/>
      <c r="L6" s="196"/>
      <c r="M6" s="196"/>
    </row>
    <row r="7" spans="2:13">
      <c r="B7" s="55" t="s">
        <v>26</v>
      </c>
      <c r="C7" s="197">
        <v>41597</v>
      </c>
      <c r="D7" s="197"/>
      <c r="E7" s="197"/>
      <c r="F7" s="197"/>
      <c r="G7" s="197"/>
      <c r="H7" s="197"/>
      <c r="I7" s="197"/>
      <c r="J7" s="197"/>
      <c r="K7" s="197"/>
      <c r="L7" s="197"/>
      <c r="M7" s="197"/>
    </row>
    <row r="8" spans="2:13">
      <c r="B8" s="31" t="s">
        <v>16</v>
      </c>
      <c r="C8" s="196"/>
      <c r="D8" s="196"/>
      <c r="E8" s="196"/>
      <c r="F8" s="196"/>
      <c r="G8" s="196"/>
      <c r="H8" s="196"/>
      <c r="I8" s="196"/>
      <c r="J8" s="196"/>
      <c r="K8" s="196"/>
      <c r="L8" s="196"/>
      <c r="M8" s="196"/>
    </row>
    <row r="9" spans="2:13">
      <c r="B9" s="31" t="s">
        <v>246</v>
      </c>
      <c r="C9" s="196">
        <v>-2798</v>
      </c>
      <c r="D9" s="196"/>
      <c r="E9" s="196"/>
      <c r="F9" s="196"/>
      <c r="G9" s="196"/>
      <c r="H9" s="196"/>
      <c r="I9" s="196"/>
      <c r="J9" s="196"/>
      <c r="K9" s="196"/>
      <c r="L9" s="196"/>
      <c r="M9" s="196"/>
    </row>
    <row r="10" spans="2:13">
      <c r="B10" s="31" t="s">
        <v>79</v>
      </c>
      <c r="C10" s="196"/>
      <c r="D10" s="196"/>
      <c r="E10" s="196"/>
      <c r="F10" s="196"/>
      <c r="G10" s="196"/>
      <c r="H10" s="196"/>
      <c r="I10" s="196"/>
      <c r="J10" s="196"/>
      <c r="K10" s="196"/>
      <c r="L10" s="196"/>
      <c r="M10" s="196"/>
    </row>
    <row r="11" spans="2:13">
      <c r="B11" s="31" t="s">
        <v>75</v>
      </c>
      <c r="C11" s="196"/>
      <c r="D11" s="196"/>
      <c r="E11" s="196"/>
      <c r="F11" s="196"/>
      <c r="G11" s="196"/>
      <c r="H11" s="196"/>
      <c r="I11" s="196"/>
      <c r="J11" s="196"/>
      <c r="K11" s="196"/>
      <c r="L11" s="196"/>
      <c r="M11" s="196"/>
    </row>
    <row r="12" spans="2:13">
      <c r="B12" s="31" t="s">
        <v>237</v>
      </c>
      <c r="C12" s="196">
        <v>16422</v>
      </c>
      <c r="D12" s="196"/>
      <c r="E12" s="196"/>
      <c r="F12" s="196"/>
      <c r="G12" s="196"/>
      <c r="H12" s="196"/>
      <c r="I12" s="196"/>
      <c r="J12" s="196"/>
      <c r="K12" s="196"/>
      <c r="L12" s="196"/>
      <c r="M12" s="196"/>
    </row>
    <row r="13" spans="2:13">
      <c r="B13" s="31" t="s">
        <v>236</v>
      </c>
      <c r="C13" s="196">
        <v>21811</v>
      </c>
      <c r="D13" s="196"/>
      <c r="E13" s="196"/>
      <c r="F13" s="196"/>
      <c r="G13" s="196"/>
      <c r="H13" s="196"/>
      <c r="I13" s="196"/>
      <c r="J13" s="196"/>
      <c r="K13" s="196"/>
      <c r="L13" s="196"/>
      <c r="M13" s="196"/>
    </row>
    <row r="14" spans="2:13">
      <c r="B14" s="31" t="s">
        <v>17</v>
      </c>
      <c r="C14" s="196">
        <v>313181</v>
      </c>
      <c r="D14" s="196"/>
      <c r="E14" s="196"/>
      <c r="F14" s="196"/>
      <c r="G14" s="196"/>
      <c r="H14" s="196"/>
      <c r="I14" s="196"/>
      <c r="J14" s="196"/>
      <c r="K14" s="196"/>
      <c r="L14" s="196"/>
      <c r="M14" s="196"/>
    </row>
    <row r="15" spans="2:13">
      <c r="B15" s="34" t="s">
        <v>9</v>
      </c>
      <c r="C15" s="198">
        <v>497328</v>
      </c>
      <c r="D15" s="198"/>
      <c r="E15" s="198"/>
      <c r="F15" s="198"/>
      <c r="G15" s="198"/>
      <c r="H15" s="198"/>
      <c r="I15" s="198"/>
      <c r="J15" s="198"/>
      <c r="K15" s="198"/>
      <c r="L15" s="198"/>
      <c r="M15" s="198"/>
    </row>
    <row r="16" spans="2:13">
      <c r="B16" s="20" t="s">
        <v>11</v>
      </c>
      <c r="C16" s="196">
        <v>124194</v>
      </c>
      <c r="D16" s="196"/>
      <c r="E16" s="196"/>
      <c r="F16" s="196"/>
      <c r="G16" s="196"/>
      <c r="H16" s="196"/>
      <c r="I16" s="196"/>
      <c r="J16" s="196"/>
      <c r="K16" s="196"/>
      <c r="L16" s="196"/>
      <c r="M16" s="196"/>
    </row>
    <row r="18" spans="2:13">
      <c r="B18" s="14" t="s">
        <v>18</v>
      </c>
      <c r="C18" s="9"/>
    </row>
    <row r="19" spans="2:13">
      <c r="B19" s="19" t="s">
        <v>14</v>
      </c>
      <c r="C19" s="196"/>
      <c r="D19" s="196"/>
      <c r="E19" s="196"/>
      <c r="F19" s="196"/>
      <c r="G19" s="196"/>
      <c r="H19" s="196"/>
      <c r="I19" s="196"/>
      <c r="J19" s="196"/>
      <c r="K19" s="196"/>
      <c r="L19" s="196"/>
      <c r="M19" s="196"/>
    </row>
    <row r="20" spans="2:13">
      <c r="B20" s="19" t="s">
        <v>19</v>
      </c>
      <c r="C20" s="196"/>
      <c r="D20" s="196"/>
      <c r="E20" s="196"/>
      <c r="F20" s="196"/>
      <c r="G20" s="196"/>
      <c r="H20" s="196"/>
      <c r="I20" s="196"/>
      <c r="J20" s="196"/>
      <c r="K20" s="196"/>
      <c r="L20" s="196"/>
      <c r="M20" s="196"/>
    </row>
    <row r="21" spans="2:13">
      <c r="B21" s="19" t="s">
        <v>130</v>
      </c>
      <c r="C21" s="196"/>
      <c r="D21" s="196"/>
      <c r="E21" s="196"/>
      <c r="F21" s="196"/>
      <c r="G21" s="196"/>
      <c r="H21" s="196"/>
      <c r="I21" s="196"/>
      <c r="J21" s="196"/>
      <c r="K21" s="196"/>
      <c r="L21" s="196"/>
      <c r="M21" s="196"/>
    </row>
    <row r="22" spans="2:13">
      <c r="B22" s="19" t="s">
        <v>132</v>
      </c>
      <c r="C22" s="196"/>
      <c r="D22" s="196"/>
      <c r="E22" s="196"/>
      <c r="F22" s="196"/>
      <c r="G22" s="196"/>
      <c r="H22" s="196"/>
      <c r="I22" s="196"/>
      <c r="J22" s="196"/>
      <c r="K22" s="196"/>
      <c r="L22" s="196"/>
      <c r="M22" s="196"/>
    </row>
    <row r="23" spans="2:13">
      <c r="B23" s="19" t="s">
        <v>131</v>
      </c>
      <c r="C23" s="196"/>
      <c r="D23" s="196"/>
      <c r="E23" s="196"/>
      <c r="F23" s="196"/>
      <c r="G23" s="196"/>
      <c r="H23" s="196"/>
      <c r="I23" s="196"/>
      <c r="J23" s="196"/>
      <c r="K23" s="196"/>
      <c r="L23" s="196"/>
      <c r="M23" s="196"/>
    </row>
    <row r="24" spans="2:13">
      <c r="B24" s="17" t="str">
        <f>"Dividend per share ("&amp;Market_currency&amp;")"</f>
        <v>Dividend per share (HKD)</v>
      </c>
      <c r="C24" s="30"/>
      <c r="D24" s="30"/>
      <c r="E24" s="30"/>
      <c r="F24" s="30"/>
      <c r="G24" s="30"/>
      <c r="H24" s="30"/>
      <c r="I24" s="30"/>
      <c r="J24" s="30"/>
      <c r="K24" s="30"/>
      <c r="L24" s="30"/>
      <c r="M24" s="30"/>
    </row>
    <row r="26" spans="2:13">
      <c r="B26" s="14" t="s">
        <v>3</v>
      </c>
      <c r="C26" s="75"/>
    </row>
    <row r="27" spans="2:13">
      <c r="B27" s="18" t="s">
        <v>243</v>
      </c>
      <c r="C27" s="196"/>
      <c r="D27" s="196"/>
      <c r="E27" s="196"/>
      <c r="F27" s="196"/>
      <c r="G27" s="196"/>
      <c r="H27" s="196"/>
      <c r="I27" s="196"/>
      <c r="J27" s="196"/>
      <c r="K27" s="196"/>
      <c r="L27" s="196"/>
      <c r="M27" s="196"/>
    </row>
    <row r="28" spans="2:13">
      <c r="B28" s="18" t="s">
        <v>244</v>
      </c>
      <c r="C28" s="196"/>
      <c r="D28" s="196"/>
      <c r="E28" s="196"/>
      <c r="F28" s="196"/>
      <c r="G28" s="196"/>
      <c r="H28" s="196"/>
      <c r="I28" s="196"/>
      <c r="J28" s="196"/>
      <c r="K28" s="196"/>
      <c r="L28" s="196"/>
      <c r="M28" s="196"/>
    </row>
    <row r="29" spans="2:13">
      <c r="B29" s="18" t="s">
        <v>247</v>
      </c>
      <c r="C29" s="196"/>
      <c r="D29" s="196"/>
      <c r="E29" s="196"/>
      <c r="F29" s="196"/>
      <c r="G29" s="196"/>
      <c r="H29" s="196"/>
      <c r="I29" s="196"/>
      <c r="J29" s="196"/>
      <c r="K29" s="196"/>
      <c r="L29" s="196"/>
      <c r="M29" s="196"/>
    </row>
    <row r="30" spans="2:13">
      <c r="B30" s="21" t="s">
        <v>1</v>
      </c>
      <c r="C30" s="196"/>
      <c r="D30" s="196"/>
      <c r="E30" s="196"/>
      <c r="F30" s="196"/>
      <c r="G30" s="196"/>
      <c r="H30" s="196"/>
      <c r="I30" s="196"/>
      <c r="J30" s="196"/>
      <c r="K30" s="196"/>
      <c r="L30" s="196"/>
      <c r="M30" s="196"/>
    </row>
    <row r="31" spans="2:13">
      <c r="B31" s="18" t="s">
        <v>245</v>
      </c>
      <c r="C31" s="196"/>
      <c r="D31" s="196"/>
      <c r="E31" s="196"/>
      <c r="F31" s="196"/>
      <c r="G31" s="196"/>
      <c r="H31" s="196"/>
      <c r="I31" s="196"/>
      <c r="J31" s="196"/>
      <c r="K31" s="196"/>
      <c r="L31" s="196"/>
      <c r="M31" s="196"/>
    </row>
    <row r="32" spans="2:13">
      <c r="B32" s="21" t="s">
        <v>8</v>
      </c>
      <c r="C32" s="198"/>
      <c r="D32" s="198"/>
      <c r="E32" s="198"/>
      <c r="F32" s="198"/>
      <c r="G32" s="198"/>
      <c r="H32" s="198"/>
      <c r="I32" s="198"/>
      <c r="J32" s="198"/>
      <c r="K32" s="198"/>
      <c r="L32" s="198"/>
      <c r="M32" s="198"/>
    </row>
    <row r="33" spans="2:13">
      <c r="B33" s="18" t="s">
        <v>84</v>
      </c>
      <c r="C33" s="196"/>
      <c r="D33" s="196"/>
      <c r="E33" s="196"/>
      <c r="F33" s="196"/>
      <c r="G33" s="196"/>
      <c r="H33" s="196"/>
      <c r="I33" s="196"/>
      <c r="J33" s="196"/>
      <c r="K33" s="196"/>
      <c r="L33" s="196"/>
      <c r="M33" s="196"/>
    </row>
    <row r="34" spans="2:13">
      <c r="B34" s="21" t="s">
        <v>4</v>
      </c>
      <c r="C34" s="198"/>
      <c r="D34" s="198"/>
      <c r="E34" s="198"/>
      <c r="F34" s="198"/>
      <c r="G34" s="198"/>
      <c r="H34" s="198"/>
      <c r="I34" s="198"/>
      <c r="J34" s="198"/>
      <c r="K34" s="198"/>
      <c r="L34" s="198"/>
      <c r="M34" s="198"/>
    </row>
    <row r="36" spans="2:13" ht="13.9">
      <c r="B36" s="27" t="s">
        <v>34</v>
      </c>
      <c r="C36" s="28"/>
      <c r="D36" s="28"/>
      <c r="E36" s="28"/>
      <c r="F36" s="28"/>
      <c r="G36" s="28"/>
      <c r="H36" s="28"/>
      <c r="I36" s="28"/>
      <c r="J36" s="28"/>
      <c r="K36" s="28"/>
      <c r="L36" s="28"/>
      <c r="M36" s="28"/>
    </row>
    <row r="37" spans="2:13">
      <c r="B37" s="14" t="s">
        <v>2</v>
      </c>
    </row>
    <row r="38" spans="2:13">
      <c r="B38" s="24" t="s">
        <v>0</v>
      </c>
      <c r="C38" s="182">
        <f t="shared" ref="C38:M38" si="1">IF(C$4="","",C4)</f>
        <v>2077484</v>
      </c>
      <c r="D38" s="182" t="str">
        <f t="shared" si="1"/>
        <v/>
      </c>
      <c r="E38" s="182" t="str">
        <f t="shared" si="1"/>
        <v/>
      </c>
      <c r="F38" s="182" t="str">
        <f t="shared" si="1"/>
        <v/>
      </c>
      <c r="G38" s="182" t="str">
        <f t="shared" si="1"/>
        <v/>
      </c>
      <c r="H38" s="182" t="str">
        <f t="shared" si="1"/>
        <v/>
      </c>
      <c r="I38" s="182" t="str">
        <f t="shared" si="1"/>
        <v/>
      </c>
      <c r="J38" s="182" t="str">
        <f t="shared" si="1"/>
        <v/>
      </c>
      <c r="K38" s="182" t="str">
        <f t="shared" si="1"/>
        <v/>
      </c>
      <c r="L38" s="182" t="str">
        <f t="shared" si="1"/>
        <v/>
      </c>
      <c r="M38" s="182" t="str">
        <f t="shared" si="1"/>
        <v/>
      </c>
    </row>
    <row r="39" spans="2:13">
      <c r="B39" s="31" t="s">
        <v>10</v>
      </c>
      <c r="C39" s="182">
        <f t="shared" ref="C39:M39" si="2">IF(C$4="","",-C5)</f>
        <v>-467126</v>
      </c>
      <c r="D39" s="182" t="str">
        <f t="shared" si="2"/>
        <v/>
      </c>
      <c r="E39" s="182" t="str">
        <f t="shared" si="2"/>
        <v/>
      </c>
      <c r="F39" s="182" t="str">
        <f t="shared" si="2"/>
        <v/>
      </c>
      <c r="G39" s="182" t="str">
        <f t="shared" si="2"/>
        <v/>
      </c>
      <c r="H39" s="182" t="str">
        <f t="shared" si="2"/>
        <v/>
      </c>
      <c r="I39" s="182" t="str">
        <f t="shared" si="2"/>
        <v/>
      </c>
      <c r="J39" s="182" t="str">
        <f t="shared" si="2"/>
        <v/>
      </c>
      <c r="K39" s="182" t="str">
        <f t="shared" si="2"/>
        <v/>
      </c>
      <c r="L39" s="182" t="str">
        <f t="shared" si="2"/>
        <v/>
      </c>
      <c r="M39" s="182" t="str">
        <f t="shared" si="2"/>
        <v/>
      </c>
    </row>
    <row r="40" spans="2:13">
      <c r="B40" s="23" t="s">
        <v>23</v>
      </c>
      <c r="C40" s="179">
        <f>IF(C38="","",C38+C39)</f>
        <v>1610358</v>
      </c>
      <c r="D40" s="179" t="str">
        <f t="shared" ref="D40" si="3">IF(D38="","",D38+D39)</f>
        <v/>
      </c>
      <c r="E40" s="179" t="str">
        <f t="shared" ref="E40" si="4">IF(E38="","",E38+E39)</f>
        <v/>
      </c>
      <c r="F40" s="179" t="str">
        <f t="shared" ref="F40" si="5">IF(F38="","",F38+F39)</f>
        <v/>
      </c>
      <c r="G40" s="179" t="str">
        <f t="shared" ref="G40" si="6">IF(G38="","",G38+G39)</f>
        <v/>
      </c>
      <c r="H40" s="179" t="str">
        <f t="shared" ref="H40" si="7">IF(H38="","",H38+H39)</f>
        <v/>
      </c>
      <c r="I40" s="179" t="str">
        <f t="shared" ref="I40" si="8">IF(I38="","",I38+I39)</f>
        <v/>
      </c>
      <c r="J40" s="179" t="str">
        <f t="shared" ref="J40" si="9">IF(J38="","",J38+J39)</f>
        <v/>
      </c>
      <c r="K40" s="179" t="str">
        <f t="shared" ref="K40" si="10">IF(K38="","",K38+K39)</f>
        <v/>
      </c>
      <c r="L40" s="179" t="str">
        <f t="shared" ref="L40" si="11">IF(L38="","",L38+L39)</f>
        <v/>
      </c>
      <c r="M40" s="179" t="str">
        <f t="shared" ref="M40" si="12">IF(M38="","",M38+M39)</f>
        <v/>
      </c>
    </row>
    <row r="41" spans="2:13">
      <c r="B41" s="31" t="s">
        <v>20</v>
      </c>
      <c r="C41" s="182">
        <f t="shared" ref="C41:M41" si="13">IF(C$4="","",-C6)</f>
        <v>-528317</v>
      </c>
      <c r="D41" s="182" t="str">
        <f t="shared" si="13"/>
        <v/>
      </c>
      <c r="E41" s="182" t="str">
        <f t="shared" si="13"/>
        <v/>
      </c>
      <c r="F41" s="182" t="str">
        <f t="shared" si="13"/>
        <v/>
      </c>
      <c r="G41" s="182" t="str">
        <f t="shared" si="13"/>
        <v/>
      </c>
      <c r="H41" s="182" t="str">
        <f t="shared" si="13"/>
        <v/>
      </c>
      <c r="I41" s="182" t="str">
        <f t="shared" si="13"/>
        <v/>
      </c>
      <c r="J41" s="182" t="str">
        <f t="shared" si="13"/>
        <v/>
      </c>
      <c r="K41" s="182" t="str">
        <f t="shared" si="13"/>
        <v/>
      </c>
      <c r="L41" s="182" t="str">
        <f t="shared" si="13"/>
        <v/>
      </c>
      <c r="M41" s="182" t="str">
        <f t="shared" si="13"/>
        <v/>
      </c>
    </row>
    <row r="42" spans="2:13">
      <c r="B42" s="55" t="s">
        <v>26</v>
      </c>
      <c r="C42" s="193">
        <f t="shared" ref="C42:M42" si="14">IF(C$4="","",-C7)</f>
        <v>-41597</v>
      </c>
      <c r="D42" s="193" t="str">
        <f t="shared" si="14"/>
        <v/>
      </c>
      <c r="E42" s="193" t="str">
        <f t="shared" si="14"/>
        <v/>
      </c>
      <c r="F42" s="193" t="str">
        <f t="shared" si="14"/>
        <v/>
      </c>
      <c r="G42" s="193" t="str">
        <f t="shared" si="14"/>
        <v/>
      </c>
      <c r="H42" s="193" t="str">
        <f t="shared" si="14"/>
        <v/>
      </c>
      <c r="I42" s="193" t="str">
        <f t="shared" si="14"/>
        <v/>
      </c>
      <c r="J42" s="193" t="str">
        <f t="shared" si="14"/>
        <v/>
      </c>
      <c r="K42" s="193" t="str">
        <f t="shared" si="14"/>
        <v/>
      </c>
      <c r="L42" s="193" t="str">
        <f t="shared" si="14"/>
        <v/>
      </c>
      <c r="M42" s="193" t="str">
        <f t="shared" si="14"/>
        <v/>
      </c>
    </row>
    <row r="43" spans="2:13">
      <c r="B43" s="55" t="s">
        <v>28</v>
      </c>
      <c r="C43" s="193">
        <f>IF(C$4="","",C41-C42)</f>
        <v>-486720</v>
      </c>
      <c r="D43" s="193" t="str">
        <f t="shared" ref="D43:M43" si="15">IF(D$4="","",D41-D42)</f>
        <v/>
      </c>
      <c r="E43" s="193" t="str">
        <f t="shared" si="15"/>
        <v/>
      </c>
      <c r="F43" s="193" t="str">
        <f t="shared" si="15"/>
        <v/>
      </c>
      <c r="G43" s="193" t="str">
        <f t="shared" si="15"/>
        <v/>
      </c>
      <c r="H43" s="193" t="str">
        <f t="shared" si="15"/>
        <v/>
      </c>
      <c r="I43" s="193" t="str">
        <f t="shared" si="15"/>
        <v/>
      </c>
      <c r="J43" s="193" t="str">
        <f t="shared" si="15"/>
        <v/>
      </c>
      <c r="K43" s="193" t="str">
        <f t="shared" si="15"/>
        <v/>
      </c>
      <c r="L43" s="193" t="str">
        <f t="shared" si="15"/>
        <v/>
      </c>
      <c r="M43" s="193" t="str">
        <f t="shared" si="15"/>
        <v/>
      </c>
    </row>
    <row r="44" spans="2:13">
      <c r="B44" s="31" t="s">
        <v>16</v>
      </c>
      <c r="C44" s="182">
        <f t="shared" ref="C44:M44" si="16">IF(C$4="","",-C8)</f>
        <v>0</v>
      </c>
      <c r="D44" s="182" t="str">
        <f t="shared" si="16"/>
        <v/>
      </c>
      <c r="E44" s="182" t="str">
        <f t="shared" si="16"/>
        <v/>
      </c>
      <c r="F44" s="182" t="str">
        <f t="shared" si="16"/>
        <v/>
      </c>
      <c r="G44" s="182" t="str">
        <f t="shared" si="16"/>
        <v/>
      </c>
      <c r="H44" s="182" t="str">
        <f t="shared" si="16"/>
        <v/>
      </c>
      <c r="I44" s="182" t="str">
        <f t="shared" si="16"/>
        <v/>
      </c>
      <c r="J44" s="182" t="str">
        <f t="shared" si="16"/>
        <v/>
      </c>
      <c r="K44" s="182" t="str">
        <f t="shared" si="16"/>
        <v/>
      </c>
      <c r="L44" s="182" t="str">
        <f t="shared" si="16"/>
        <v/>
      </c>
      <c r="M44" s="182" t="str">
        <f t="shared" si="16"/>
        <v/>
      </c>
    </row>
    <row r="45" spans="2:13">
      <c r="B45" s="34" t="s">
        <v>70</v>
      </c>
      <c r="C45" s="183">
        <f>IF(C$4="","",C40+C41+C44)</f>
        <v>1082041</v>
      </c>
      <c r="D45" s="183" t="str">
        <f t="shared" ref="D45:M45" si="17">IF(D$4="","",D40+D41+D44)</f>
        <v/>
      </c>
      <c r="E45" s="183" t="str">
        <f t="shared" si="17"/>
        <v/>
      </c>
      <c r="F45" s="183" t="str">
        <f t="shared" si="17"/>
        <v/>
      </c>
      <c r="G45" s="183" t="str">
        <f t="shared" si="17"/>
        <v/>
      </c>
      <c r="H45" s="183" t="str">
        <f t="shared" si="17"/>
        <v/>
      </c>
      <c r="I45" s="183" t="str">
        <f t="shared" si="17"/>
        <v/>
      </c>
      <c r="J45" s="183" t="str">
        <f t="shared" si="17"/>
        <v/>
      </c>
      <c r="K45" s="183" t="str">
        <f t="shared" si="17"/>
        <v/>
      </c>
      <c r="L45" s="183" t="str">
        <f t="shared" si="17"/>
        <v/>
      </c>
      <c r="M45" s="183" t="str">
        <f t="shared" si="17"/>
        <v/>
      </c>
    </row>
    <row r="46" spans="2:13">
      <c r="B46" s="34" t="s">
        <v>80</v>
      </c>
      <c r="C46" s="199">
        <f t="shared" ref="C46:M46" si="18">IF(C$4="","",C49-C48-C47-C45)</f>
        <v>-255110</v>
      </c>
      <c r="D46" s="199" t="str">
        <f t="shared" si="18"/>
        <v/>
      </c>
      <c r="E46" s="199" t="str">
        <f t="shared" si="18"/>
        <v/>
      </c>
      <c r="F46" s="199" t="str">
        <f t="shared" si="18"/>
        <v/>
      </c>
      <c r="G46" s="199" t="str">
        <f t="shared" si="18"/>
        <v/>
      </c>
      <c r="H46" s="199" t="str">
        <f t="shared" si="18"/>
        <v/>
      </c>
      <c r="I46" s="199" t="str">
        <f t="shared" si="18"/>
        <v/>
      </c>
      <c r="J46" s="199" t="str">
        <f t="shared" si="18"/>
        <v/>
      </c>
      <c r="K46" s="199" t="str">
        <f t="shared" si="18"/>
        <v/>
      </c>
      <c r="L46" s="199" t="str">
        <f t="shared" si="18"/>
        <v/>
      </c>
      <c r="M46" s="199" t="str">
        <f t="shared" si="18"/>
        <v/>
      </c>
    </row>
    <row r="47" spans="2:13">
      <c r="B47" s="31" t="s">
        <v>7</v>
      </c>
      <c r="C47" s="195">
        <f>IF(C$4="","",-C12)</f>
        <v>-16422</v>
      </c>
      <c r="D47" s="195" t="str">
        <f t="shared" ref="D47:M47" si="19">IF(D$4="","",-D12)</f>
        <v/>
      </c>
      <c r="E47" s="195" t="str">
        <f t="shared" si="19"/>
        <v/>
      </c>
      <c r="F47" s="195" t="str">
        <f t="shared" si="19"/>
        <v/>
      </c>
      <c r="G47" s="195" t="str">
        <f t="shared" si="19"/>
        <v/>
      </c>
      <c r="H47" s="195" t="str">
        <f t="shared" si="19"/>
        <v/>
      </c>
      <c r="I47" s="195" t="str">
        <f t="shared" si="19"/>
        <v/>
      </c>
      <c r="J47" s="195" t="str">
        <f t="shared" si="19"/>
        <v/>
      </c>
      <c r="K47" s="195" t="str">
        <f t="shared" si="19"/>
        <v/>
      </c>
      <c r="L47" s="195" t="str">
        <f t="shared" si="19"/>
        <v/>
      </c>
      <c r="M47" s="195" t="str">
        <f t="shared" si="19"/>
        <v/>
      </c>
    </row>
    <row r="48" spans="2:13">
      <c r="B48" s="31" t="s">
        <v>17</v>
      </c>
      <c r="C48" s="182">
        <f t="shared" ref="C48:M48" si="20">IF(C$4="","",-C14)</f>
        <v>-313181</v>
      </c>
      <c r="D48" s="182" t="str">
        <f t="shared" si="20"/>
        <v/>
      </c>
      <c r="E48" s="182" t="str">
        <f t="shared" si="20"/>
        <v/>
      </c>
      <c r="F48" s="182" t="str">
        <f t="shared" si="20"/>
        <v/>
      </c>
      <c r="G48" s="182" t="str">
        <f t="shared" si="20"/>
        <v/>
      </c>
      <c r="H48" s="182" t="str">
        <f t="shared" si="20"/>
        <v/>
      </c>
      <c r="I48" s="182" t="str">
        <f t="shared" si="20"/>
        <v/>
      </c>
      <c r="J48" s="182" t="str">
        <f t="shared" si="20"/>
        <v/>
      </c>
      <c r="K48" s="182" t="str">
        <f t="shared" si="20"/>
        <v/>
      </c>
      <c r="L48" s="182" t="str">
        <f t="shared" si="20"/>
        <v/>
      </c>
      <c r="M48" s="182" t="str">
        <f t="shared" si="20"/>
        <v/>
      </c>
    </row>
    <row r="49" spans="2:13">
      <c r="B49" s="34" t="s">
        <v>9</v>
      </c>
      <c r="C49" s="183">
        <f t="shared" ref="C49:M49" si="21">IF(C$4="","",C15)</f>
        <v>497328</v>
      </c>
      <c r="D49" s="183" t="str">
        <f t="shared" si="21"/>
        <v/>
      </c>
      <c r="E49" s="183" t="str">
        <f t="shared" si="21"/>
        <v/>
      </c>
      <c r="F49" s="183" t="str">
        <f t="shared" si="21"/>
        <v/>
      </c>
      <c r="G49" s="183" t="str">
        <f t="shared" si="21"/>
        <v/>
      </c>
      <c r="H49" s="183" t="str">
        <f t="shared" si="21"/>
        <v/>
      </c>
      <c r="I49" s="183" t="str">
        <f t="shared" si="21"/>
        <v/>
      </c>
      <c r="J49" s="183" t="str">
        <f t="shared" si="21"/>
        <v/>
      </c>
      <c r="K49" s="183" t="str">
        <f t="shared" si="21"/>
        <v/>
      </c>
      <c r="L49" s="183" t="str">
        <f t="shared" si="21"/>
        <v/>
      </c>
      <c r="M49" s="183" t="str">
        <f t="shared" si="21"/>
        <v/>
      </c>
    </row>
    <row r="50" spans="2:13">
      <c r="B50" s="20" t="s">
        <v>11</v>
      </c>
      <c r="C50" s="182">
        <f t="shared" ref="C50:M50" si="22">IF(C$4="","",MIN(-C16,0))</f>
        <v>-124194</v>
      </c>
      <c r="D50" s="182" t="str">
        <f t="shared" si="22"/>
        <v/>
      </c>
      <c r="E50" s="182" t="str">
        <f t="shared" si="22"/>
        <v/>
      </c>
      <c r="F50" s="182" t="str">
        <f t="shared" si="22"/>
        <v/>
      </c>
      <c r="G50" s="182" t="str">
        <f t="shared" si="22"/>
        <v/>
      </c>
      <c r="H50" s="182" t="str">
        <f t="shared" si="22"/>
        <v/>
      </c>
      <c r="I50" s="182" t="str">
        <f t="shared" si="22"/>
        <v/>
      </c>
      <c r="J50" s="182" t="str">
        <f t="shared" si="22"/>
        <v/>
      </c>
      <c r="K50" s="182" t="str">
        <f t="shared" si="22"/>
        <v/>
      </c>
      <c r="L50" s="182" t="str">
        <f t="shared" si="22"/>
        <v/>
      </c>
      <c r="M50" s="182" t="str">
        <f t="shared" si="22"/>
        <v/>
      </c>
    </row>
    <row r="52" spans="2:13">
      <c r="B52" s="132" t="s">
        <v>80</v>
      </c>
    </row>
    <row r="53" spans="2:13">
      <c r="B53" s="31" t="s">
        <v>76</v>
      </c>
      <c r="C53" s="195">
        <f t="shared" ref="C53:M53" si="23">IF(C$4="","",C9)</f>
        <v>-2798</v>
      </c>
      <c r="D53" s="195" t="str">
        <f t="shared" si="23"/>
        <v/>
      </c>
      <c r="E53" s="195" t="str">
        <f t="shared" si="23"/>
        <v/>
      </c>
      <c r="F53" s="195" t="str">
        <f t="shared" si="23"/>
        <v/>
      </c>
      <c r="G53" s="195" t="str">
        <f t="shared" si="23"/>
        <v/>
      </c>
      <c r="H53" s="195" t="str">
        <f t="shared" si="23"/>
        <v/>
      </c>
      <c r="I53" s="195" t="str">
        <f t="shared" si="23"/>
        <v/>
      </c>
      <c r="J53" s="195" t="str">
        <f t="shared" si="23"/>
        <v/>
      </c>
      <c r="K53" s="195" t="str">
        <f t="shared" si="23"/>
        <v/>
      </c>
      <c r="L53" s="195" t="str">
        <f t="shared" si="23"/>
        <v/>
      </c>
      <c r="M53" s="195" t="str">
        <f t="shared" si="23"/>
        <v/>
      </c>
    </row>
    <row r="54" spans="2:13">
      <c r="B54" s="31" t="s">
        <v>79</v>
      </c>
      <c r="C54" s="195">
        <f t="shared" ref="C54:M54" si="24">IF(C$4="","",C10)</f>
        <v>0</v>
      </c>
      <c r="D54" s="195" t="str">
        <f t="shared" si="24"/>
        <v/>
      </c>
      <c r="E54" s="195" t="str">
        <f t="shared" si="24"/>
        <v/>
      </c>
      <c r="F54" s="195" t="str">
        <f t="shared" si="24"/>
        <v/>
      </c>
      <c r="G54" s="195" t="str">
        <f t="shared" si="24"/>
        <v/>
      </c>
      <c r="H54" s="195" t="str">
        <f t="shared" si="24"/>
        <v/>
      </c>
      <c r="I54" s="195" t="str">
        <f t="shared" si="24"/>
        <v/>
      </c>
      <c r="J54" s="195" t="str">
        <f t="shared" si="24"/>
        <v/>
      </c>
      <c r="K54" s="195" t="str">
        <f t="shared" si="24"/>
        <v/>
      </c>
      <c r="L54" s="195" t="str">
        <f t="shared" si="24"/>
        <v/>
      </c>
      <c r="M54" s="195" t="str">
        <f t="shared" si="24"/>
        <v/>
      </c>
    </row>
    <row r="55" spans="2:13">
      <c r="B55" s="31" t="s">
        <v>75</v>
      </c>
      <c r="C55" s="195">
        <f t="shared" ref="C55:M55" si="25">IF(C$4="","",C11)</f>
        <v>0</v>
      </c>
      <c r="D55" s="195" t="str">
        <f t="shared" si="25"/>
        <v/>
      </c>
      <c r="E55" s="195" t="str">
        <f t="shared" si="25"/>
        <v/>
      </c>
      <c r="F55" s="195" t="str">
        <f t="shared" si="25"/>
        <v/>
      </c>
      <c r="G55" s="195" t="str">
        <f t="shared" si="25"/>
        <v/>
      </c>
      <c r="H55" s="195" t="str">
        <f t="shared" si="25"/>
        <v/>
      </c>
      <c r="I55" s="195" t="str">
        <f t="shared" si="25"/>
        <v/>
      </c>
      <c r="J55" s="195" t="str">
        <f t="shared" si="25"/>
        <v/>
      </c>
      <c r="K55" s="195" t="str">
        <f t="shared" si="25"/>
        <v/>
      </c>
      <c r="L55" s="195" t="str">
        <f t="shared" si="25"/>
        <v/>
      </c>
      <c r="M55" s="195" t="str">
        <f t="shared" si="25"/>
        <v/>
      </c>
    </row>
    <row r="56" spans="2:13">
      <c r="B56" s="31" t="s">
        <v>77</v>
      </c>
      <c r="C56" s="195">
        <f t="shared" ref="C56:M56" si="26">IF(C$4="","",C46-C53-C54-C55)</f>
        <v>-252312</v>
      </c>
      <c r="D56" s="195" t="str">
        <f t="shared" si="26"/>
        <v/>
      </c>
      <c r="E56" s="195" t="str">
        <f t="shared" si="26"/>
        <v/>
      </c>
      <c r="F56" s="195" t="str">
        <f t="shared" si="26"/>
        <v/>
      </c>
      <c r="G56" s="195" t="str">
        <f t="shared" si="26"/>
        <v/>
      </c>
      <c r="H56" s="195" t="str">
        <f t="shared" si="26"/>
        <v/>
      </c>
      <c r="I56" s="195" t="str">
        <f t="shared" si="26"/>
        <v/>
      </c>
      <c r="J56" s="195" t="str">
        <f t="shared" si="26"/>
        <v/>
      </c>
      <c r="K56" s="195" t="str">
        <f t="shared" si="26"/>
        <v/>
      </c>
      <c r="L56" s="195" t="str">
        <f t="shared" si="26"/>
        <v/>
      </c>
      <c r="M56" s="195" t="str">
        <f t="shared" si="26"/>
        <v/>
      </c>
    </row>
    <row r="58" spans="2:13">
      <c r="B58" s="14" t="s">
        <v>18</v>
      </c>
      <c r="C58" s="9"/>
    </row>
    <row r="59" spans="2:13">
      <c r="B59" s="19" t="s">
        <v>14</v>
      </c>
      <c r="C59" s="182">
        <f t="shared" ref="C59:M59" si="27">IF(C$4="","",-C19)</f>
        <v>0</v>
      </c>
      <c r="D59" s="182" t="str">
        <f t="shared" si="27"/>
        <v/>
      </c>
      <c r="E59" s="182" t="str">
        <f t="shared" si="27"/>
        <v/>
      </c>
      <c r="F59" s="182" t="str">
        <f t="shared" si="27"/>
        <v/>
      </c>
      <c r="G59" s="182" t="str">
        <f t="shared" si="27"/>
        <v/>
      </c>
      <c r="H59" s="182" t="str">
        <f t="shared" si="27"/>
        <v/>
      </c>
      <c r="I59" s="182" t="str">
        <f t="shared" si="27"/>
        <v/>
      </c>
      <c r="J59" s="182" t="str">
        <f t="shared" si="27"/>
        <v/>
      </c>
      <c r="K59" s="182" t="str">
        <f t="shared" si="27"/>
        <v/>
      </c>
      <c r="L59" s="182" t="str">
        <f t="shared" si="27"/>
        <v/>
      </c>
      <c r="M59" s="182" t="str">
        <f t="shared" si="27"/>
        <v/>
      </c>
    </row>
    <row r="60" spans="2:13">
      <c r="B60" s="19" t="s">
        <v>19</v>
      </c>
      <c r="C60" s="182">
        <f t="shared" ref="C60:M60" si="28">IF(C$4="","",-C20)</f>
        <v>0</v>
      </c>
      <c r="D60" s="182" t="str">
        <f t="shared" si="28"/>
        <v/>
      </c>
      <c r="E60" s="182" t="str">
        <f t="shared" si="28"/>
        <v/>
      </c>
      <c r="F60" s="182" t="str">
        <f t="shared" si="28"/>
        <v/>
      </c>
      <c r="G60" s="182" t="str">
        <f t="shared" si="28"/>
        <v/>
      </c>
      <c r="H60" s="182" t="str">
        <f t="shared" si="28"/>
        <v/>
      </c>
      <c r="I60" s="182" t="str">
        <f t="shared" si="28"/>
        <v/>
      </c>
      <c r="J60" s="182" t="str">
        <f t="shared" si="28"/>
        <v/>
      </c>
      <c r="K60" s="182" t="str">
        <f t="shared" si="28"/>
        <v/>
      </c>
      <c r="L60" s="182" t="str">
        <f t="shared" si="28"/>
        <v/>
      </c>
      <c r="M60" s="182" t="str">
        <f t="shared" si="28"/>
        <v/>
      </c>
    </row>
    <row r="61" spans="2:13">
      <c r="B61" s="19" t="s">
        <v>135</v>
      </c>
      <c r="C61" s="182">
        <f t="shared" ref="C61:M61" si="29">IF(C$4="","",C21+C22+C23)</f>
        <v>0</v>
      </c>
      <c r="D61" s="182" t="str">
        <f t="shared" si="29"/>
        <v/>
      </c>
      <c r="E61" s="182" t="str">
        <f t="shared" si="29"/>
        <v/>
      </c>
      <c r="F61" s="182" t="str">
        <f t="shared" si="29"/>
        <v/>
      </c>
      <c r="G61" s="182" t="str">
        <f t="shared" si="29"/>
        <v/>
      </c>
      <c r="H61" s="182" t="str">
        <f t="shared" si="29"/>
        <v/>
      </c>
      <c r="I61" s="182" t="str">
        <f t="shared" si="29"/>
        <v/>
      </c>
      <c r="J61" s="182" t="str">
        <f t="shared" si="29"/>
        <v/>
      </c>
      <c r="K61" s="182" t="str">
        <f t="shared" si="29"/>
        <v/>
      </c>
      <c r="L61" s="182" t="str">
        <f t="shared" si="29"/>
        <v/>
      </c>
      <c r="M61" s="182" t="str">
        <f t="shared" si="29"/>
        <v/>
      </c>
    </row>
    <row r="62" spans="2:13">
      <c r="B62" s="17" t="s">
        <v>5</v>
      </c>
      <c r="C62" s="59">
        <f t="shared" ref="C62:M62" si="30">IF(C$4="","",C24)</f>
        <v>0</v>
      </c>
      <c r="D62" s="59" t="str">
        <f t="shared" si="30"/>
        <v/>
      </c>
      <c r="E62" s="59" t="str">
        <f t="shared" si="30"/>
        <v/>
      </c>
      <c r="F62" s="59" t="str">
        <f t="shared" si="30"/>
        <v/>
      </c>
      <c r="G62" s="59" t="str">
        <f t="shared" si="30"/>
        <v/>
      </c>
      <c r="H62" s="59" t="str">
        <f t="shared" si="30"/>
        <v/>
      </c>
      <c r="I62" s="59" t="str">
        <f t="shared" si="30"/>
        <v/>
      </c>
      <c r="J62" s="59" t="str">
        <f t="shared" si="30"/>
        <v/>
      </c>
      <c r="K62" s="59" t="str">
        <f t="shared" si="30"/>
        <v/>
      </c>
      <c r="L62" s="59" t="str">
        <f t="shared" si="30"/>
        <v/>
      </c>
      <c r="M62" s="59" t="str">
        <f t="shared" si="30"/>
        <v/>
      </c>
    </row>
    <row r="64" spans="2:13">
      <c r="B64" s="70" t="s">
        <v>37</v>
      </c>
    </row>
    <row r="65" spans="2:13">
      <c r="B65" s="1" t="str">
        <f>B38</f>
        <v>Sales</v>
      </c>
      <c r="C65" s="71" t="str">
        <f t="shared" ref="C65:M65" si="31">IF(D$38="","",C38/D38-1)</f>
        <v/>
      </c>
      <c r="D65" s="71" t="str">
        <f t="shared" si="31"/>
        <v/>
      </c>
      <c r="E65" s="71" t="str">
        <f t="shared" si="31"/>
        <v/>
      </c>
      <c r="F65" s="71" t="str">
        <f t="shared" si="31"/>
        <v/>
      </c>
      <c r="G65" s="71" t="str">
        <f t="shared" si="31"/>
        <v/>
      </c>
      <c r="H65" s="71" t="str">
        <f t="shared" si="31"/>
        <v/>
      </c>
      <c r="I65" s="71" t="str">
        <f t="shared" si="31"/>
        <v/>
      </c>
      <c r="J65" s="71" t="str">
        <f t="shared" si="31"/>
        <v/>
      </c>
      <c r="K65" s="71" t="str">
        <f t="shared" si="31"/>
        <v/>
      </c>
      <c r="L65" s="71" t="str">
        <f t="shared" si="31"/>
        <v/>
      </c>
      <c r="M65" s="71" t="str">
        <f t="shared" si="31"/>
        <v/>
      </c>
    </row>
    <row r="66" spans="2:13">
      <c r="B66" s="23" t="s">
        <v>23</v>
      </c>
      <c r="C66" s="71" t="str">
        <f t="shared" ref="C66:M66" si="32">IF(D$38="","",C40/D40-1)</f>
        <v/>
      </c>
      <c r="D66" s="71" t="str">
        <f t="shared" si="32"/>
        <v/>
      </c>
      <c r="E66" s="71" t="str">
        <f t="shared" si="32"/>
        <v/>
      </c>
      <c r="F66" s="71" t="str">
        <f t="shared" si="32"/>
        <v/>
      </c>
      <c r="G66" s="71" t="str">
        <f t="shared" si="32"/>
        <v/>
      </c>
      <c r="H66" s="71" t="str">
        <f t="shared" si="32"/>
        <v/>
      </c>
      <c r="I66" s="71" t="str">
        <f t="shared" si="32"/>
        <v/>
      </c>
      <c r="J66" s="71" t="str">
        <f t="shared" si="32"/>
        <v/>
      </c>
      <c r="K66" s="71" t="str">
        <f t="shared" si="32"/>
        <v/>
      </c>
      <c r="L66" s="71" t="str">
        <f t="shared" si="32"/>
        <v/>
      </c>
      <c r="M66" s="71" t="str">
        <f t="shared" si="32"/>
        <v/>
      </c>
    </row>
    <row r="67" spans="2:13">
      <c r="B67" s="65" t="str">
        <f>B45</f>
        <v>Operating EBIT</v>
      </c>
      <c r="C67" s="77" t="str">
        <f t="shared" ref="C67:M67" si="33">IF(D$38="","",C45/D45-1)</f>
        <v/>
      </c>
      <c r="D67" s="77" t="str">
        <f t="shared" si="33"/>
        <v/>
      </c>
      <c r="E67" s="77" t="str">
        <f t="shared" si="33"/>
        <v/>
      </c>
      <c r="F67" s="77" t="str">
        <f t="shared" si="33"/>
        <v/>
      </c>
      <c r="G67" s="77" t="str">
        <f t="shared" si="33"/>
        <v/>
      </c>
      <c r="H67" s="77" t="str">
        <f t="shared" si="33"/>
        <v/>
      </c>
      <c r="I67" s="77" t="str">
        <f t="shared" si="33"/>
        <v/>
      </c>
      <c r="J67" s="77" t="str">
        <f t="shared" si="33"/>
        <v/>
      </c>
      <c r="K67" s="77" t="str">
        <f t="shared" si="33"/>
        <v/>
      </c>
      <c r="L67" s="77" t="str">
        <f t="shared" si="33"/>
        <v/>
      </c>
      <c r="M67" s="77" t="str">
        <f t="shared" si="33"/>
        <v/>
      </c>
    </row>
    <row r="68" spans="2:13">
      <c r="B68" s="34" t="s">
        <v>80</v>
      </c>
      <c r="C68" s="77" t="str">
        <f t="shared" ref="C68:M68" si="34">IF(D$38="","",C46/D46-1)</f>
        <v/>
      </c>
      <c r="D68" s="77" t="str">
        <f t="shared" si="34"/>
        <v/>
      </c>
      <c r="E68" s="77" t="str">
        <f t="shared" si="34"/>
        <v/>
      </c>
      <c r="F68" s="77" t="str">
        <f t="shared" si="34"/>
        <v/>
      </c>
      <c r="G68" s="77" t="str">
        <f t="shared" si="34"/>
        <v/>
      </c>
      <c r="H68" s="77" t="str">
        <f t="shared" si="34"/>
        <v/>
      </c>
      <c r="I68" s="77" t="str">
        <f t="shared" si="34"/>
        <v/>
      </c>
      <c r="J68" s="77" t="str">
        <f t="shared" si="34"/>
        <v/>
      </c>
      <c r="K68" s="77" t="str">
        <f t="shared" si="34"/>
        <v/>
      </c>
      <c r="L68" s="77" t="str">
        <f t="shared" si="34"/>
        <v/>
      </c>
      <c r="M68" s="77" t="str">
        <f t="shared" si="34"/>
        <v/>
      </c>
    </row>
    <row r="69" spans="2:13">
      <c r="B69" s="65" t="str">
        <f>B49</f>
        <v>Reported Net Income</v>
      </c>
      <c r="C69" s="77" t="str">
        <f t="shared" ref="C69:M69" si="35">IF(D$38="","",C49/D49-1)</f>
        <v/>
      </c>
      <c r="D69" s="77" t="str">
        <f t="shared" si="35"/>
        <v/>
      </c>
      <c r="E69" s="77" t="str">
        <f t="shared" si="35"/>
        <v/>
      </c>
      <c r="F69" s="77" t="str">
        <f t="shared" si="35"/>
        <v/>
      </c>
      <c r="G69" s="77" t="str">
        <f t="shared" si="35"/>
        <v/>
      </c>
      <c r="H69" s="77" t="str">
        <f t="shared" si="35"/>
        <v/>
      </c>
      <c r="I69" s="77" t="str">
        <f t="shared" si="35"/>
        <v/>
      </c>
      <c r="J69" s="77" t="str">
        <f t="shared" si="35"/>
        <v/>
      </c>
      <c r="K69" s="77" t="str">
        <f t="shared" si="35"/>
        <v/>
      </c>
      <c r="L69" s="77" t="str">
        <f t="shared" si="35"/>
        <v/>
      </c>
      <c r="M69" s="77" t="str">
        <f t="shared" si="35"/>
        <v/>
      </c>
    </row>
    <row r="71" spans="2:13" ht="13.9">
      <c r="B71" s="27" t="s">
        <v>35</v>
      </c>
      <c r="C71" s="28"/>
      <c r="D71" s="28"/>
      <c r="E71" s="28"/>
      <c r="F71" s="28"/>
      <c r="G71" s="28"/>
      <c r="H71" s="28"/>
      <c r="I71" s="28"/>
      <c r="J71" s="28"/>
      <c r="K71" s="28"/>
      <c r="L71" s="28"/>
      <c r="M71" s="28"/>
    </row>
    <row r="72" spans="2:13">
      <c r="B72" s="14" t="s">
        <v>3</v>
      </c>
      <c r="C72" s="9"/>
    </row>
    <row r="73" spans="2:13">
      <c r="B73" s="18" t="s">
        <v>1</v>
      </c>
      <c r="C73" s="62">
        <f>IF(C$4="","",C76+C77)</f>
        <v>0</v>
      </c>
      <c r="D73" s="195" t="str">
        <f t="shared" ref="D73:M73" si="36">IF(D$4="","",D76+D77)</f>
        <v/>
      </c>
      <c r="E73" s="195" t="str">
        <f t="shared" si="36"/>
        <v/>
      </c>
      <c r="F73" s="195" t="str">
        <f t="shared" si="36"/>
        <v/>
      </c>
      <c r="G73" s="195" t="str">
        <f t="shared" si="36"/>
        <v/>
      </c>
      <c r="H73" s="195" t="str">
        <f t="shared" si="36"/>
        <v/>
      </c>
      <c r="I73" s="195" t="str">
        <f t="shared" si="36"/>
        <v/>
      </c>
      <c r="J73" s="195" t="str">
        <f t="shared" si="36"/>
        <v/>
      </c>
      <c r="K73" s="195" t="str">
        <f t="shared" si="36"/>
        <v/>
      </c>
      <c r="L73" s="195" t="str">
        <f t="shared" si="36"/>
        <v/>
      </c>
      <c r="M73" s="195" t="str">
        <f t="shared" si="36"/>
        <v/>
      </c>
    </row>
    <row r="74" spans="2:13">
      <c r="B74" s="72" t="s">
        <v>38</v>
      </c>
      <c r="C74" s="176">
        <f t="shared" ref="C74:H75" si="37">IF(C$4="","",C27)</f>
        <v>0</v>
      </c>
      <c r="D74" s="193" t="str">
        <f t="shared" si="37"/>
        <v/>
      </c>
      <c r="E74" s="193" t="str">
        <f t="shared" si="37"/>
        <v/>
      </c>
      <c r="F74" s="193" t="str">
        <f t="shared" si="37"/>
        <v/>
      </c>
      <c r="G74" s="193" t="str">
        <f t="shared" si="37"/>
        <v/>
      </c>
      <c r="H74" s="193" t="str">
        <f t="shared" si="37"/>
        <v/>
      </c>
      <c r="I74" s="200"/>
      <c r="J74" s="200"/>
      <c r="K74" s="200"/>
      <c r="L74" s="200"/>
      <c r="M74" s="200"/>
    </row>
    <row r="75" spans="2:13">
      <c r="B75" s="72" t="s">
        <v>39</v>
      </c>
      <c r="C75" s="176">
        <f t="shared" si="37"/>
        <v>0</v>
      </c>
      <c r="D75" s="193" t="str">
        <f t="shared" si="37"/>
        <v/>
      </c>
      <c r="E75" s="193" t="str">
        <f t="shared" si="37"/>
        <v/>
      </c>
      <c r="F75" s="193" t="str">
        <f t="shared" si="37"/>
        <v/>
      </c>
      <c r="G75" s="193" t="str">
        <f t="shared" si="37"/>
        <v/>
      </c>
      <c r="H75" s="193" t="str">
        <f t="shared" si="37"/>
        <v/>
      </c>
      <c r="I75" s="200"/>
      <c r="J75" s="200"/>
      <c r="K75" s="200"/>
      <c r="L75" s="200"/>
      <c r="M75" s="200"/>
    </row>
    <row r="76" spans="2:13">
      <c r="B76" s="18" t="s">
        <v>8</v>
      </c>
      <c r="C76" s="175">
        <f t="shared" ref="C76:M76" si="38">IF(C$4="","",C32)</f>
        <v>0</v>
      </c>
      <c r="D76" s="182" t="str">
        <f t="shared" si="38"/>
        <v/>
      </c>
      <c r="E76" s="182" t="str">
        <f t="shared" si="38"/>
        <v/>
      </c>
      <c r="F76" s="182" t="str">
        <f t="shared" si="38"/>
        <v/>
      </c>
      <c r="G76" s="182" t="str">
        <f t="shared" si="38"/>
        <v/>
      </c>
      <c r="H76" s="182" t="str">
        <f t="shared" si="38"/>
        <v/>
      </c>
      <c r="I76" s="182" t="str">
        <f t="shared" si="38"/>
        <v/>
      </c>
      <c r="J76" s="182" t="str">
        <f t="shared" si="38"/>
        <v/>
      </c>
      <c r="K76" s="182" t="str">
        <f t="shared" si="38"/>
        <v/>
      </c>
      <c r="L76" s="182" t="str">
        <f t="shared" si="38"/>
        <v/>
      </c>
      <c r="M76" s="182" t="str">
        <f t="shared" si="38"/>
        <v/>
      </c>
    </row>
    <row r="77" spans="2:13">
      <c r="B77" s="18" t="s">
        <v>4</v>
      </c>
      <c r="C77" s="175">
        <f t="shared" ref="C77:M77" si="39">IF(C$4="","",C34)</f>
        <v>0</v>
      </c>
      <c r="D77" s="182" t="str">
        <f t="shared" si="39"/>
        <v/>
      </c>
      <c r="E77" s="182" t="str">
        <f t="shared" si="39"/>
        <v/>
      </c>
      <c r="F77" s="182" t="str">
        <f t="shared" si="39"/>
        <v/>
      </c>
      <c r="G77" s="182" t="str">
        <f t="shared" si="39"/>
        <v/>
      </c>
      <c r="H77" s="182" t="str">
        <f t="shared" si="39"/>
        <v/>
      </c>
      <c r="I77" s="182" t="str">
        <f t="shared" si="39"/>
        <v/>
      </c>
      <c r="J77" s="182" t="str">
        <f t="shared" si="39"/>
        <v/>
      </c>
      <c r="K77" s="182" t="str">
        <f t="shared" si="39"/>
        <v/>
      </c>
      <c r="L77" s="182" t="str">
        <f t="shared" si="39"/>
        <v/>
      </c>
      <c r="M77" s="182" t="str">
        <f t="shared" si="39"/>
        <v/>
      </c>
    </row>
  </sheetData>
  <phoneticPr fontId="2" type="noConversion"/>
  <conditionalFormatting sqref="C4:M16 C19:M24 C27:M34 C41:M45 C47:M50 C53:M56 C59:M62 C74:H75 C76:M77">
    <cfRule type="expression" dxfId="4" priority="4">
      <formula>ISBLANK(C4)</formula>
    </cfRule>
  </conditionalFormatting>
  <conditionalFormatting sqref="C38:M39">
    <cfRule type="expression" dxfId="3" priority="2">
      <formula>ISBLANK(C38)</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10"/>
  <sheetViews>
    <sheetView showGridLines="0" tabSelected="1" zoomScaleNormal="100" workbookViewId="0">
      <pane xSplit="2" ySplit="1" topLeftCell="C2" activePane="bottomRight" state="frozen"/>
      <selection activeCell="C17" sqref="C17"/>
      <selection pane="topRight" activeCell="C17" sqref="C17"/>
      <selection pane="bottomLeft" activeCell="C17" sqref="C17"/>
      <selection pane="bottomRight" activeCell="C9" sqref="C9"/>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69" t="str">
        <f>Thesis!E17</f>
        <v>CNY</v>
      </c>
      <c r="C1" s="41" t="s">
        <v>22</v>
      </c>
      <c r="D1" s="41"/>
      <c r="E1" s="41"/>
      <c r="F1" s="41"/>
      <c r="G1" s="29">
        <f>Data!C1</f>
        <v>45657</v>
      </c>
      <c r="H1" s="29">
        <f>EOMONTH(EDATE(G1,-12),0)</f>
        <v>45291</v>
      </c>
      <c r="I1" s="29">
        <f t="shared" ref="I1:Q1" si="0">EOMONTH(EDATE(H1,-12),0)</f>
        <v>44926</v>
      </c>
      <c r="J1" s="29">
        <f t="shared" si="0"/>
        <v>44561</v>
      </c>
      <c r="K1" s="29">
        <f t="shared" si="0"/>
        <v>44196</v>
      </c>
      <c r="L1" s="29">
        <f t="shared" si="0"/>
        <v>43830</v>
      </c>
      <c r="M1" s="29">
        <f t="shared" si="0"/>
        <v>43465</v>
      </c>
      <c r="N1" s="29">
        <f t="shared" si="0"/>
        <v>43100</v>
      </c>
      <c r="O1" s="29">
        <f t="shared" si="0"/>
        <v>42735</v>
      </c>
      <c r="P1" s="29">
        <f t="shared" si="0"/>
        <v>42369</v>
      </c>
      <c r="Q1" s="29">
        <f t="shared" si="0"/>
        <v>42004</v>
      </c>
    </row>
    <row r="2" spans="1:17" ht="15.75" customHeight="1">
      <c r="A2" s="3"/>
      <c r="B2" s="42" t="s">
        <v>47</v>
      </c>
      <c r="C2" s="42"/>
      <c r="D2" s="44"/>
      <c r="E2" s="53" t="s">
        <v>24</v>
      </c>
      <c r="F2" s="44"/>
      <c r="G2" s="28"/>
      <c r="H2" s="28"/>
      <c r="I2" s="28"/>
      <c r="J2" s="28"/>
      <c r="K2" s="28"/>
      <c r="L2" s="28"/>
      <c r="M2" s="28"/>
      <c r="N2" s="28"/>
      <c r="O2" s="28"/>
      <c r="P2" s="28"/>
      <c r="Q2" s="28"/>
    </row>
    <row r="3" spans="1:17" ht="15.75" customHeight="1">
      <c r="A3" s="10"/>
      <c r="B3" s="14" t="s">
        <v>162</v>
      </c>
      <c r="C3" s="83">
        <f>scaling_factor</f>
        <v>1000</v>
      </c>
      <c r="D3" s="9"/>
      <c r="E3" s="157"/>
      <c r="F3" s="9"/>
      <c r="G3" s="14" t="s">
        <v>181</v>
      </c>
      <c r="H3" s="83">
        <f>scaling_factor</f>
        <v>1000</v>
      </c>
    </row>
    <row r="4" spans="1:17" ht="15.75" customHeight="1">
      <c r="A4" s="10"/>
      <c r="B4" s="18" t="s">
        <v>238</v>
      </c>
      <c r="C4" s="177">
        <f>G4*0.7</f>
        <v>1454238.7999999998</v>
      </c>
      <c r="D4" s="45"/>
      <c r="E4" s="155"/>
      <c r="F4" s="45"/>
      <c r="G4" s="182">
        <f>Data!C38</f>
        <v>2077484</v>
      </c>
      <c r="H4" s="182" t="str">
        <f>Data!D38</f>
        <v/>
      </c>
      <c r="I4" s="182" t="str">
        <f>Data!E38</f>
        <v/>
      </c>
      <c r="J4" s="182" t="str">
        <f>Data!F38</f>
        <v/>
      </c>
      <c r="K4" s="182" t="str">
        <f>Data!G38</f>
        <v/>
      </c>
      <c r="L4" s="182" t="str">
        <f>Data!H38</f>
        <v/>
      </c>
      <c r="M4" s="182" t="str">
        <f>Data!I38</f>
        <v/>
      </c>
      <c r="N4" s="182" t="str">
        <f>Data!J38</f>
        <v/>
      </c>
      <c r="O4" s="182" t="str">
        <f>Data!K38</f>
        <v/>
      </c>
      <c r="P4" s="182" t="str">
        <f>Data!L38</f>
        <v/>
      </c>
      <c r="Q4" s="182" t="str">
        <f>Data!M38</f>
        <v/>
      </c>
    </row>
    <row r="5" spans="1:17" ht="15.75" customHeight="1">
      <c r="A5" s="10"/>
      <c r="B5" s="2" t="s">
        <v>239</v>
      </c>
      <c r="C5" s="178">
        <f>Data!C5</f>
        <v>467126</v>
      </c>
      <c r="E5" s="157"/>
      <c r="G5" s="182">
        <f t="shared" ref="G5:Q5" si="1">G26</f>
        <v>2541812</v>
      </c>
      <c r="H5" s="182" t="str">
        <f t="shared" si="1"/>
        <v/>
      </c>
      <c r="I5" s="182" t="str">
        <f t="shared" si="1"/>
        <v/>
      </c>
      <c r="J5" s="182" t="str">
        <f t="shared" si="1"/>
        <v/>
      </c>
      <c r="K5" s="182" t="str">
        <f t="shared" si="1"/>
        <v/>
      </c>
      <c r="L5" s="182" t="str">
        <f t="shared" si="1"/>
        <v/>
      </c>
      <c r="M5" s="182" t="str">
        <f t="shared" si="1"/>
        <v/>
      </c>
      <c r="N5" s="182" t="str">
        <f t="shared" si="1"/>
        <v/>
      </c>
      <c r="O5" s="182" t="str">
        <f t="shared" si="1"/>
        <v/>
      </c>
      <c r="P5" s="182" t="str">
        <f t="shared" si="1"/>
        <v/>
      </c>
      <c r="Q5" s="182" t="str">
        <f t="shared" si="1"/>
        <v/>
      </c>
    </row>
    <row r="6" spans="1:17" ht="15.75" customHeight="1">
      <c r="A6" s="10"/>
      <c r="B6" s="23" t="s">
        <v>240</v>
      </c>
      <c r="C6" s="179">
        <f>C4+C5</f>
        <v>1921364.7999999998</v>
      </c>
      <c r="E6" s="157"/>
      <c r="G6" s="179">
        <f>IF(G4="","",SUM(G4+G5))</f>
        <v>4619296</v>
      </c>
      <c r="H6" s="179" t="str">
        <f t="shared" ref="H6:Q6" si="2">IF(H4="","",SUM(H4+H5))</f>
        <v/>
      </c>
      <c r="I6" s="179" t="str">
        <f t="shared" si="2"/>
        <v/>
      </c>
      <c r="J6" s="179" t="str">
        <f t="shared" si="2"/>
        <v/>
      </c>
      <c r="K6" s="179" t="str">
        <f t="shared" si="2"/>
        <v/>
      </c>
      <c r="L6" s="179" t="str">
        <f t="shared" si="2"/>
        <v/>
      </c>
      <c r="M6" s="179" t="str">
        <f t="shared" si="2"/>
        <v/>
      </c>
      <c r="N6" s="179" t="str">
        <f t="shared" si="2"/>
        <v/>
      </c>
      <c r="O6" s="179" t="str">
        <f t="shared" si="2"/>
        <v/>
      </c>
      <c r="P6" s="179" t="str">
        <f t="shared" si="2"/>
        <v/>
      </c>
      <c r="Q6" s="179" t="str">
        <f t="shared" si="2"/>
        <v/>
      </c>
    </row>
    <row r="7" spans="1:17" ht="15.75" customHeight="1">
      <c r="A7" s="10"/>
      <c r="B7" s="8" t="s">
        <v>12</v>
      </c>
      <c r="C7" s="178">
        <f>C40</f>
        <v>-486720</v>
      </c>
      <c r="E7" s="157"/>
      <c r="G7" s="178">
        <f t="shared" ref="G7:Q7" si="3">G40</f>
        <v>-486720</v>
      </c>
      <c r="H7" s="178" t="str">
        <f t="shared" si="3"/>
        <v/>
      </c>
      <c r="I7" s="178" t="str">
        <f t="shared" si="3"/>
        <v/>
      </c>
      <c r="J7" s="178" t="str">
        <f t="shared" si="3"/>
        <v/>
      </c>
      <c r="K7" s="178" t="str">
        <f t="shared" si="3"/>
        <v/>
      </c>
      <c r="L7" s="178" t="str">
        <f t="shared" si="3"/>
        <v/>
      </c>
      <c r="M7" s="178" t="str">
        <f t="shared" si="3"/>
        <v/>
      </c>
      <c r="N7" s="178" t="str">
        <f t="shared" si="3"/>
        <v/>
      </c>
      <c r="O7" s="178" t="str">
        <f t="shared" si="3"/>
        <v/>
      </c>
      <c r="P7" s="178" t="str">
        <f t="shared" si="3"/>
        <v/>
      </c>
      <c r="Q7" s="178" t="str">
        <f t="shared" si="3"/>
        <v/>
      </c>
    </row>
    <row r="8" spans="1:17" ht="15.75" customHeight="1">
      <c r="A8" s="10"/>
      <c r="B8" s="21" t="s">
        <v>70</v>
      </c>
      <c r="C8" s="180">
        <f>C6+C7</f>
        <v>1434644.7999999998</v>
      </c>
      <c r="D8" s="47"/>
      <c r="E8" s="162"/>
      <c r="F8" s="47"/>
      <c r="G8" s="179">
        <f>IF(G$4="","",G6+G7)</f>
        <v>4132576</v>
      </c>
      <c r="H8" s="179" t="str">
        <f t="shared" ref="H8:Q8" si="4">IF(H$4="","",H6+H7)</f>
        <v/>
      </c>
      <c r="I8" s="179" t="str">
        <f t="shared" si="4"/>
        <v/>
      </c>
      <c r="J8" s="179" t="str">
        <f t="shared" si="4"/>
        <v/>
      </c>
      <c r="K8" s="179" t="str">
        <f t="shared" si="4"/>
        <v/>
      </c>
      <c r="L8" s="179" t="str">
        <f t="shared" si="4"/>
        <v/>
      </c>
      <c r="M8" s="179" t="str">
        <f t="shared" si="4"/>
        <v/>
      </c>
      <c r="N8" s="179" t="str">
        <f t="shared" si="4"/>
        <v/>
      </c>
      <c r="O8" s="179" t="str">
        <f t="shared" si="4"/>
        <v/>
      </c>
      <c r="P8" s="179" t="str">
        <f t="shared" si="4"/>
        <v/>
      </c>
      <c r="Q8" s="179" t="str">
        <f t="shared" si="4"/>
        <v/>
      </c>
    </row>
    <row r="9" spans="1:17" ht="15.75" customHeight="1">
      <c r="A9" s="10"/>
      <c r="B9" s="19" t="s">
        <v>186</v>
      </c>
      <c r="C9" s="209" t="e">
        <f>C66</f>
        <v>#REF!</v>
      </c>
      <c r="D9" s="46"/>
      <c r="E9" s="156"/>
      <c r="F9" s="46"/>
      <c r="G9" s="182">
        <f t="shared" ref="G9:Q9" si="5">G64</f>
        <v>-2798</v>
      </c>
      <c r="H9" s="182" t="str">
        <f t="shared" si="5"/>
        <v/>
      </c>
      <c r="I9" s="182" t="str">
        <f t="shared" si="5"/>
        <v/>
      </c>
      <c r="J9" s="182" t="str">
        <f t="shared" si="5"/>
        <v/>
      </c>
      <c r="K9" s="182" t="str">
        <f t="shared" si="5"/>
        <v/>
      </c>
      <c r="L9" s="182" t="str">
        <f t="shared" si="5"/>
        <v/>
      </c>
      <c r="M9" s="182" t="str">
        <f t="shared" si="5"/>
        <v/>
      </c>
      <c r="N9" s="182" t="str">
        <f t="shared" si="5"/>
        <v/>
      </c>
      <c r="O9" s="182" t="str">
        <f t="shared" si="5"/>
        <v/>
      </c>
      <c r="P9" s="182" t="str">
        <f t="shared" si="5"/>
        <v/>
      </c>
      <c r="Q9" s="182" t="str">
        <f t="shared" si="5"/>
        <v/>
      </c>
    </row>
    <row r="10" spans="1:17" ht="15.75" customHeight="1">
      <c r="A10" s="10"/>
      <c r="B10" s="2" t="s">
        <v>237</v>
      </c>
      <c r="C10" s="178" t="e">
        <f>C53</f>
        <v>#REF!</v>
      </c>
      <c r="E10" s="157"/>
      <c r="G10" s="178" t="e">
        <f>G53</f>
        <v>#REF!</v>
      </c>
      <c r="H10" s="178" t="str">
        <f t="shared" ref="H10:Q10" si="6">H53</f>
        <v/>
      </c>
      <c r="I10" s="178" t="str">
        <f t="shared" si="6"/>
        <v/>
      </c>
      <c r="J10" s="178" t="str">
        <f t="shared" si="6"/>
        <v/>
      </c>
      <c r="K10" s="178" t="str">
        <f t="shared" si="6"/>
        <v/>
      </c>
      <c r="L10" s="178" t="str">
        <f t="shared" si="6"/>
        <v/>
      </c>
      <c r="M10" s="178" t="str">
        <f t="shared" si="6"/>
        <v/>
      </c>
      <c r="N10" s="178" t="str">
        <f t="shared" si="6"/>
        <v/>
      </c>
      <c r="O10" s="178" t="str">
        <f t="shared" si="6"/>
        <v/>
      </c>
      <c r="P10" s="178" t="str">
        <f t="shared" si="6"/>
        <v/>
      </c>
      <c r="Q10" s="178" t="str">
        <f t="shared" si="6"/>
        <v/>
      </c>
    </row>
    <row r="11" spans="1:17" ht="15.75" customHeight="1">
      <c r="A11" s="10"/>
      <c r="B11" s="56" t="s">
        <v>78</v>
      </c>
      <c r="C11" s="179" t="e">
        <f>SUM(C8:C10)</f>
        <v>#REF!</v>
      </c>
      <c r="E11" s="157"/>
      <c r="G11" s="179" t="e">
        <f t="shared" ref="G11:Q11" si="7">IF(G$4="","",SUM(G8:G10))</f>
        <v>#REF!</v>
      </c>
      <c r="H11" s="179" t="str">
        <f t="shared" si="7"/>
        <v/>
      </c>
      <c r="I11" s="179" t="str">
        <f t="shared" si="7"/>
        <v/>
      </c>
      <c r="J11" s="179" t="str">
        <f t="shared" si="7"/>
        <v/>
      </c>
      <c r="K11" s="179" t="str">
        <f t="shared" si="7"/>
        <v/>
      </c>
      <c r="L11" s="179" t="str">
        <f t="shared" si="7"/>
        <v/>
      </c>
      <c r="M11" s="179" t="str">
        <f t="shared" si="7"/>
        <v/>
      </c>
      <c r="N11" s="179" t="str">
        <f t="shared" si="7"/>
        <v/>
      </c>
      <c r="O11" s="179" t="str">
        <f t="shared" si="7"/>
        <v/>
      </c>
      <c r="P11" s="179" t="str">
        <f t="shared" si="7"/>
        <v/>
      </c>
      <c r="Q11" s="179" t="str">
        <f t="shared" si="7"/>
        <v/>
      </c>
    </row>
    <row r="12" spans="1:17" ht="15.75" customHeight="1">
      <c r="A12" s="10"/>
      <c r="B12" s="2" t="s">
        <v>27</v>
      </c>
      <c r="C12" s="178" t="e">
        <f>-C11*C46</f>
        <v>#REF!</v>
      </c>
      <c r="E12" s="157"/>
      <c r="G12" s="178">
        <f>Data!C48</f>
        <v>-313181</v>
      </c>
      <c r="H12" s="178" t="str">
        <f>Data!D48</f>
        <v/>
      </c>
      <c r="I12" s="178" t="str">
        <f>Data!E48</f>
        <v/>
      </c>
      <c r="J12" s="178" t="str">
        <f>Data!F48</f>
        <v/>
      </c>
      <c r="K12" s="178" t="str">
        <f>Data!G48</f>
        <v/>
      </c>
      <c r="L12" s="178" t="str">
        <f>Data!H48</f>
        <v/>
      </c>
      <c r="M12" s="178" t="str">
        <f>Data!I48</f>
        <v/>
      </c>
      <c r="N12" s="178" t="str">
        <f>Data!J48</f>
        <v/>
      </c>
      <c r="O12" s="178" t="str">
        <f>Data!K48</f>
        <v/>
      </c>
      <c r="P12" s="178" t="str">
        <f>Data!L48</f>
        <v/>
      </c>
      <c r="Q12" s="178" t="str">
        <f>Data!M48</f>
        <v/>
      </c>
    </row>
    <row r="13" spans="1:17" ht="15.75" customHeight="1">
      <c r="A13" s="10"/>
      <c r="B13" s="31" t="s">
        <v>103</v>
      </c>
      <c r="C13" s="178" t="e">
        <f>-C4*C84</f>
        <v>#REF!</v>
      </c>
      <c r="D13" s="48"/>
      <c r="E13" s="163"/>
      <c r="F13" s="48"/>
      <c r="G13" s="182">
        <f>Data!C50</f>
        <v>-124194</v>
      </c>
      <c r="H13" s="182" t="str">
        <f>Data!D50</f>
        <v/>
      </c>
      <c r="I13" s="182" t="str">
        <f>Data!E50</f>
        <v/>
      </c>
      <c r="J13" s="182" t="str">
        <f>Data!F50</f>
        <v/>
      </c>
      <c r="K13" s="182" t="str">
        <f>Data!G50</f>
        <v/>
      </c>
      <c r="L13" s="182" t="str">
        <f>Data!H50</f>
        <v/>
      </c>
      <c r="M13" s="182" t="str">
        <f>Data!I50</f>
        <v/>
      </c>
      <c r="N13" s="182" t="str">
        <f>Data!J50</f>
        <v/>
      </c>
      <c r="O13" s="182" t="str">
        <f>Data!K50</f>
        <v/>
      </c>
      <c r="P13" s="182" t="str">
        <f>Data!L50</f>
        <v/>
      </c>
      <c r="Q13" s="182" t="str">
        <f>Data!M50</f>
        <v/>
      </c>
    </row>
    <row r="14" spans="1:17" ht="15.75" customHeight="1">
      <c r="A14" s="10"/>
      <c r="B14" s="32" t="s">
        <v>248</v>
      </c>
      <c r="C14" s="181" t="e">
        <f>SUM(C11:C13)</f>
        <v>#REF!</v>
      </c>
      <c r="D14" s="49"/>
      <c r="E14" s="164"/>
      <c r="F14" s="49"/>
      <c r="G14" s="179" t="e">
        <f t="shared" ref="G14:Q14" si="8">IF(G$4="","",SUM(G11:G13))</f>
        <v>#REF!</v>
      </c>
      <c r="H14" s="179" t="str">
        <f t="shared" si="8"/>
        <v/>
      </c>
      <c r="I14" s="179" t="str">
        <f t="shared" si="8"/>
        <v/>
      </c>
      <c r="J14" s="179" t="str">
        <f t="shared" si="8"/>
        <v/>
      </c>
      <c r="K14" s="179" t="str">
        <f t="shared" si="8"/>
        <v/>
      </c>
      <c r="L14" s="179" t="str">
        <f t="shared" si="8"/>
        <v/>
      </c>
      <c r="M14" s="179" t="str">
        <f t="shared" si="8"/>
        <v/>
      </c>
      <c r="N14" s="179" t="str">
        <f t="shared" si="8"/>
        <v/>
      </c>
      <c r="O14" s="179" t="str">
        <f t="shared" si="8"/>
        <v/>
      </c>
      <c r="P14" s="179" t="str">
        <f t="shared" si="8"/>
        <v/>
      </c>
      <c r="Q14" s="179" t="str">
        <f t="shared" si="8"/>
        <v/>
      </c>
    </row>
    <row r="15" spans="1:17" ht="15.75" customHeight="1">
      <c r="A15" s="10"/>
      <c r="B15" s="2" t="s">
        <v>29</v>
      </c>
      <c r="C15" s="178" t="e">
        <f>#REF!*#REF!</f>
        <v>#REF!</v>
      </c>
      <c r="E15" s="157"/>
      <c r="G15" s="178">
        <f>IF(Data!C59="","",-Data!C59)</f>
        <v>0</v>
      </c>
      <c r="H15" s="178" t="str">
        <f>IF(Data!D59="","",-Data!D59)</f>
        <v/>
      </c>
      <c r="I15" s="178" t="str">
        <f>IF(Data!E59="","",-Data!E59)</f>
        <v/>
      </c>
      <c r="J15" s="178" t="str">
        <f>IF(Data!F59="","",-Data!F59)</f>
        <v/>
      </c>
      <c r="K15" s="178" t="str">
        <f>IF(Data!G59="","",-Data!G59)</f>
        <v/>
      </c>
      <c r="L15" s="178" t="str">
        <f>IF(Data!H59="","",-Data!H59)</f>
        <v/>
      </c>
      <c r="M15" s="178" t="str">
        <f>IF(Data!I59="","",-Data!I59)</f>
        <v/>
      </c>
      <c r="N15" s="178" t="str">
        <f>IF(Data!J59="","",-Data!J59)</f>
        <v/>
      </c>
      <c r="O15" s="178" t="str">
        <f>IF(Data!K59="","",-Data!K59)</f>
        <v/>
      </c>
      <c r="P15" s="178" t="str">
        <f>IF(Data!L59="","",-Data!L59)</f>
        <v/>
      </c>
      <c r="Q15" s="178" t="str">
        <f>IF(Data!M59="","",-Data!M59)</f>
        <v/>
      </c>
    </row>
    <row r="16" spans="1:17" ht="15.75" customHeight="1">
      <c r="A16" s="10"/>
      <c r="B16" s="2" t="s">
        <v>168</v>
      </c>
      <c r="C16" s="178" t="e">
        <f>-C4*C87</f>
        <v>#REF!</v>
      </c>
      <c r="E16" s="157"/>
      <c r="G16" s="178" t="e">
        <f>Data!#REF!</f>
        <v>#REF!</v>
      </c>
      <c r="H16" s="178" t="e">
        <f>Data!#REF!</f>
        <v>#REF!</v>
      </c>
      <c r="I16" s="178" t="e">
        <f>Data!#REF!</f>
        <v>#REF!</v>
      </c>
      <c r="J16" s="178" t="e">
        <f>Data!#REF!</f>
        <v>#REF!</v>
      </c>
      <c r="K16" s="178" t="e">
        <f>Data!#REF!</f>
        <v>#REF!</v>
      </c>
      <c r="L16" s="178" t="e">
        <f>Data!#REF!</f>
        <v>#REF!</v>
      </c>
      <c r="M16" s="178" t="e">
        <f>Data!#REF!</f>
        <v>#REF!</v>
      </c>
      <c r="N16" s="178" t="e">
        <f>Data!#REF!</f>
        <v>#REF!</v>
      </c>
      <c r="O16" s="178" t="e">
        <f>Data!#REF!</f>
        <v>#REF!</v>
      </c>
      <c r="P16" s="178" t="e">
        <f>Data!#REF!</f>
        <v>#REF!</v>
      </c>
      <c r="Q16" s="178" t="e">
        <f>Data!#REF!</f>
        <v>#REF!</v>
      </c>
    </row>
    <row r="17" spans="1:17" ht="15.75" customHeight="1">
      <c r="A17" s="10"/>
      <c r="B17" s="19" t="s">
        <v>19</v>
      </c>
      <c r="C17" s="178">
        <f>-C4*C88</f>
        <v>0</v>
      </c>
      <c r="D17" s="46"/>
      <c r="E17" s="156" t="s">
        <v>120</v>
      </c>
      <c r="F17" s="46"/>
      <c r="G17" s="184"/>
      <c r="H17" s="184"/>
      <c r="I17" s="184"/>
      <c r="J17" s="184"/>
      <c r="K17" s="184"/>
      <c r="L17" s="184"/>
      <c r="M17" s="184"/>
      <c r="N17" s="184"/>
      <c r="O17" s="184"/>
      <c r="P17" s="184"/>
      <c r="Q17" s="184"/>
    </row>
    <row r="18" spans="1:17" ht="15.75" customHeight="1">
      <c r="A18" s="10"/>
      <c r="B18" s="19" t="s">
        <v>46</v>
      </c>
      <c r="C18" s="178">
        <v>0</v>
      </c>
      <c r="D18" s="46"/>
      <c r="E18" s="156" t="s">
        <v>121</v>
      </c>
      <c r="F18" s="46"/>
      <c r="G18" s="185"/>
      <c r="H18" s="185"/>
      <c r="I18" s="185"/>
      <c r="J18" s="185"/>
      <c r="K18" s="185"/>
      <c r="L18" s="185"/>
      <c r="M18" s="185"/>
      <c r="N18" s="185"/>
      <c r="O18" s="185"/>
      <c r="P18" s="185"/>
      <c r="Q18" s="185"/>
    </row>
    <row r="19" spans="1:17" ht="15.75" customHeight="1">
      <c r="A19" s="10"/>
      <c r="B19" s="23" t="s">
        <v>30</v>
      </c>
      <c r="C19" s="179" t="e">
        <f>C14+C17</f>
        <v>#REF!</v>
      </c>
      <c r="D19" s="19"/>
      <c r="E19" s="154"/>
      <c r="F19" s="19"/>
      <c r="G19" s="183" t="e">
        <f t="shared" ref="G19:Q19" si="9">IF(G$4="","",G14+G17)</f>
        <v>#REF!</v>
      </c>
      <c r="H19" s="183" t="str">
        <f t="shared" si="9"/>
        <v/>
      </c>
      <c r="I19" s="183" t="str">
        <f t="shared" si="9"/>
        <v/>
      </c>
      <c r="J19" s="183" t="str">
        <f t="shared" si="9"/>
        <v/>
      </c>
      <c r="K19" s="183" t="str">
        <f t="shared" si="9"/>
        <v/>
      </c>
      <c r="L19" s="183" t="str">
        <f t="shared" si="9"/>
        <v/>
      </c>
      <c r="M19" s="183" t="str">
        <f t="shared" si="9"/>
        <v/>
      </c>
      <c r="N19" s="183" t="str">
        <f t="shared" si="9"/>
        <v/>
      </c>
      <c r="O19" s="183" t="str">
        <f t="shared" si="9"/>
        <v/>
      </c>
      <c r="P19" s="183" t="str">
        <f t="shared" si="9"/>
        <v/>
      </c>
      <c r="Q19" s="183" t="str">
        <f t="shared" si="9"/>
        <v/>
      </c>
    </row>
    <row r="20" spans="1:17" ht="15.75" customHeight="1">
      <c r="A20" s="10"/>
      <c r="B20" s="19"/>
      <c r="C20" s="50"/>
      <c r="D20" s="19"/>
      <c r="E20" s="54"/>
      <c r="F20" s="19"/>
      <c r="G20" s="12"/>
      <c r="H20" s="12"/>
      <c r="I20" s="12"/>
      <c r="J20" s="12"/>
      <c r="K20" s="12"/>
      <c r="L20" s="12"/>
      <c r="M20" s="12"/>
      <c r="N20" s="12"/>
      <c r="O20" s="12"/>
      <c r="P20" s="12"/>
      <c r="Q20" s="12"/>
    </row>
    <row r="21" spans="1:17" ht="15.75" customHeight="1">
      <c r="A21" s="10"/>
      <c r="B21" s="42" t="s">
        <v>87</v>
      </c>
      <c r="C21" s="42"/>
      <c r="D21" s="44"/>
      <c r="E21" s="53" t="s">
        <v>24</v>
      </c>
      <c r="F21" s="44"/>
      <c r="G21" s="28"/>
      <c r="H21" s="28"/>
      <c r="I21" s="28"/>
      <c r="J21" s="28"/>
      <c r="K21" s="28"/>
      <c r="L21" s="28"/>
      <c r="M21" s="28"/>
      <c r="N21" s="28"/>
      <c r="O21" s="28"/>
      <c r="P21" s="28"/>
      <c r="Q21" s="28"/>
    </row>
    <row r="22" spans="1:17" ht="15.75" customHeight="1">
      <c r="A22" s="10"/>
      <c r="B22" s="51" t="s">
        <v>241</v>
      </c>
      <c r="C22" s="50"/>
      <c r="D22" s="19"/>
      <c r="E22" s="154"/>
      <c r="F22" s="19"/>
      <c r="G22" s="12"/>
      <c r="H22" s="12"/>
      <c r="I22" s="12"/>
      <c r="J22" s="12"/>
      <c r="K22" s="12"/>
      <c r="L22" s="12"/>
      <c r="M22" s="12"/>
      <c r="N22" s="12"/>
      <c r="O22" s="12"/>
      <c r="P22" s="12"/>
      <c r="Q22" s="12"/>
    </row>
    <row r="23" spans="1:17" ht="15.75" customHeight="1">
      <c r="A23" s="10"/>
      <c r="B23" s="19" t="str">
        <f>B4</f>
        <v>Net Revenue from AUM</v>
      </c>
      <c r="C23" s="186"/>
      <c r="D23" s="46"/>
      <c r="E23" s="156"/>
      <c r="F23" s="46"/>
      <c r="G23" s="182">
        <f>Data!C4</f>
        <v>2077484</v>
      </c>
      <c r="H23" s="182" t="str">
        <f>Data!D39</f>
        <v/>
      </c>
      <c r="I23" s="182" t="str">
        <f>Data!E39</f>
        <v/>
      </c>
      <c r="J23" s="182" t="str">
        <f>Data!F39</f>
        <v/>
      </c>
      <c r="K23" s="182" t="str">
        <f>Data!G39</f>
        <v/>
      </c>
      <c r="L23" s="182" t="str">
        <f>Data!H39</f>
        <v/>
      </c>
      <c r="M23" s="182" t="str">
        <f>Data!I39</f>
        <v/>
      </c>
      <c r="N23" s="182" t="str">
        <f>Data!J39</f>
        <v/>
      </c>
      <c r="O23" s="182" t="str">
        <f>Data!K39</f>
        <v/>
      </c>
      <c r="P23" s="182" t="str">
        <f>Data!L39</f>
        <v/>
      </c>
      <c r="Q23" s="182" t="str">
        <f>Data!M39</f>
        <v/>
      </c>
    </row>
    <row r="24" spans="1:17" ht="15.75" customHeight="1">
      <c r="A24" s="10"/>
      <c r="B24" s="19" t="str">
        <f>B5</f>
        <v>Net Revenue from Services</v>
      </c>
      <c r="C24" s="186"/>
      <c r="D24" s="19"/>
      <c r="E24" s="154"/>
      <c r="F24" s="19"/>
      <c r="G24" s="182">
        <f>Data!C5</f>
        <v>467126</v>
      </c>
      <c r="H24" s="182" t="str">
        <f>Data!D42</f>
        <v/>
      </c>
      <c r="I24" s="182" t="str">
        <f>Data!E42</f>
        <v/>
      </c>
      <c r="J24" s="182" t="str">
        <f>Data!F42</f>
        <v/>
      </c>
      <c r="K24" s="182" t="str">
        <f>Data!G42</f>
        <v/>
      </c>
      <c r="L24" s="182" t="str">
        <f>Data!H42</f>
        <v/>
      </c>
      <c r="M24" s="182" t="str">
        <f>Data!I42</f>
        <v/>
      </c>
      <c r="N24" s="182" t="str">
        <f>Data!J42</f>
        <v/>
      </c>
      <c r="O24" s="182" t="str">
        <f>Data!K42</f>
        <v/>
      </c>
      <c r="P24" s="182" t="str">
        <f>Data!L42</f>
        <v/>
      </c>
      <c r="Q24" s="182" t="str">
        <f>Data!M42</f>
        <v/>
      </c>
    </row>
    <row r="25" spans="1:17" ht="15.75" customHeight="1">
      <c r="A25" s="10"/>
      <c r="B25" s="19" t="str">
        <f>B9</f>
        <v>Stable Non-Operating EBIT</v>
      </c>
      <c r="C25" s="178"/>
      <c r="D25" s="46"/>
      <c r="E25" s="155"/>
      <c r="F25" s="46"/>
      <c r="G25" s="182">
        <f>Data!C9</f>
        <v>-2798</v>
      </c>
      <c r="H25" s="182" t="str">
        <f>Data!D44</f>
        <v/>
      </c>
      <c r="I25" s="182" t="str">
        <f>Data!E44</f>
        <v/>
      </c>
      <c r="J25" s="182" t="str">
        <f>Data!F44</f>
        <v/>
      </c>
      <c r="K25" s="182" t="str">
        <f>Data!G44</f>
        <v/>
      </c>
      <c r="L25" s="182" t="str">
        <f>Data!H44</f>
        <v/>
      </c>
      <c r="M25" s="182" t="str">
        <f>Data!I44</f>
        <v/>
      </c>
      <c r="N25" s="182" t="str">
        <f>Data!J44</f>
        <v/>
      </c>
      <c r="O25" s="182" t="str">
        <f>Data!K44</f>
        <v/>
      </c>
      <c r="P25" s="182" t="str">
        <f>Data!L44</f>
        <v/>
      </c>
      <c r="Q25" s="182" t="str">
        <f>Data!M44</f>
        <v/>
      </c>
    </row>
    <row r="26" spans="1:17" ht="15.75" customHeight="1">
      <c r="A26" s="10"/>
      <c r="B26" s="56" t="s">
        <v>240</v>
      </c>
      <c r="C26" s="179"/>
      <c r="D26" s="9"/>
      <c r="E26" s="161"/>
      <c r="F26" s="9"/>
      <c r="G26" s="179">
        <f>IF(G$4="","",SUM(G23:G25))</f>
        <v>2541812</v>
      </c>
      <c r="H26" s="179" t="str">
        <f t="shared" ref="H26:Q26" si="10">IF(H$4="","",SUM(H23:H25))</f>
        <v/>
      </c>
      <c r="I26" s="179" t="str">
        <f t="shared" si="10"/>
        <v/>
      </c>
      <c r="J26" s="179" t="str">
        <f t="shared" si="10"/>
        <v/>
      </c>
      <c r="K26" s="179" t="str">
        <f t="shared" si="10"/>
        <v/>
      </c>
      <c r="L26" s="179" t="str">
        <f t="shared" si="10"/>
        <v/>
      </c>
      <c r="M26" s="179" t="str">
        <f t="shared" si="10"/>
        <v/>
      </c>
      <c r="N26" s="179" t="str">
        <f t="shared" si="10"/>
        <v/>
      </c>
      <c r="O26" s="179" t="str">
        <f t="shared" si="10"/>
        <v/>
      </c>
      <c r="P26" s="179" t="str">
        <f t="shared" si="10"/>
        <v/>
      </c>
      <c r="Q26" s="179" t="str">
        <f t="shared" si="10"/>
        <v/>
      </c>
    </row>
    <row r="27" spans="1:17" ht="15.75" customHeight="1">
      <c r="A27" s="10"/>
      <c r="E27" s="157"/>
    </row>
    <row r="28" spans="1:17" ht="15.75" customHeight="1">
      <c r="A28" s="10"/>
      <c r="B28" s="51" t="s">
        <v>3</v>
      </c>
      <c r="E28" s="157"/>
      <c r="G28" s="75" t="s">
        <v>98</v>
      </c>
    </row>
    <row r="29" spans="1:17" ht="15.75" customHeight="1">
      <c r="A29" s="10"/>
      <c r="B29" s="18" t="s">
        <v>1</v>
      </c>
      <c r="C29" s="192" t="e">
        <f>#REF!</f>
        <v>#REF!</v>
      </c>
      <c r="D29" s="18"/>
      <c r="E29" s="158"/>
      <c r="F29" s="18"/>
      <c r="G29" s="182">
        <f t="shared" ref="G29:Q29" si="11">IF(G$4="","",G31+G30)</f>
        <v>0</v>
      </c>
      <c r="H29" s="182" t="str">
        <f t="shared" si="11"/>
        <v/>
      </c>
      <c r="I29" s="182" t="str">
        <f t="shared" si="11"/>
        <v/>
      </c>
      <c r="J29" s="182" t="str">
        <f t="shared" si="11"/>
        <v/>
      </c>
      <c r="K29" s="182" t="str">
        <f t="shared" si="11"/>
        <v/>
      </c>
      <c r="L29" s="182" t="str">
        <f t="shared" si="11"/>
        <v/>
      </c>
      <c r="M29" s="182" t="str">
        <f t="shared" si="11"/>
        <v/>
      </c>
      <c r="N29" s="182" t="str">
        <f t="shared" si="11"/>
        <v/>
      </c>
      <c r="O29" s="182" t="str">
        <f t="shared" si="11"/>
        <v/>
      </c>
      <c r="P29" s="182" t="str">
        <f t="shared" si="11"/>
        <v/>
      </c>
      <c r="Q29" s="182" t="str">
        <f t="shared" si="11"/>
        <v/>
      </c>
    </row>
    <row r="30" spans="1:17" ht="15.75" customHeight="1">
      <c r="A30" s="10"/>
      <c r="B30" s="18" t="s">
        <v>8</v>
      </c>
      <c r="C30" s="192" t="e">
        <f>#REF!</f>
        <v>#REF!</v>
      </c>
      <c r="D30" s="18"/>
      <c r="E30" s="158"/>
      <c r="F30" s="18"/>
      <c r="G30" s="182">
        <f>Data!C76</f>
        <v>0</v>
      </c>
      <c r="H30" s="182" t="str">
        <f>Data!D76</f>
        <v/>
      </c>
      <c r="I30" s="182" t="str">
        <f>Data!E76</f>
        <v/>
      </c>
      <c r="J30" s="182" t="str">
        <f>Data!F76</f>
        <v/>
      </c>
      <c r="K30" s="182" t="str">
        <f>Data!G76</f>
        <v/>
      </c>
      <c r="L30" s="182" t="str">
        <f>Data!H76</f>
        <v/>
      </c>
      <c r="M30" s="182" t="str">
        <f>Data!I76</f>
        <v/>
      </c>
      <c r="N30" s="182" t="str">
        <f>Data!J76</f>
        <v/>
      </c>
      <c r="O30" s="182" t="str">
        <f>Data!K76</f>
        <v/>
      </c>
      <c r="P30" s="182" t="str">
        <f>Data!L76</f>
        <v/>
      </c>
      <c r="Q30" s="182" t="str">
        <f>Data!M76</f>
        <v/>
      </c>
    </row>
    <row r="31" spans="1:17" ht="15.75" customHeight="1">
      <c r="A31" s="10"/>
      <c r="B31" s="18" t="s">
        <v>4</v>
      </c>
      <c r="C31" s="192" t="e">
        <f>#REF!</f>
        <v>#REF!</v>
      </c>
      <c r="D31" s="18"/>
      <c r="E31" s="158"/>
      <c r="F31" s="18"/>
      <c r="G31" s="182">
        <f>Data!C77</f>
        <v>0</v>
      </c>
      <c r="H31" s="182" t="str">
        <f>Data!D77</f>
        <v/>
      </c>
      <c r="I31" s="182" t="str">
        <f>Data!E77</f>
        <v/>
      </c>
      <c r="J31" s="182" t="str">
        <f>Data!F77</f>
        <v/>
      </c>
      <c r="K31" s="182" t="str">
        <f>Data!G77</f>
        <v/>
      </c>
      <c r="L31" s="182" t="str">
        <f>Data!H77</f>
        <v/>
      </c>
      <c r="M31" s="182" t="str">
        <f>Data!I77</f>
        <v/>
      </c>
      <c r="N31" s="182" t="str">
        <f>Data!J77</f>
        <v/>
      </c>
      <c r="O31" s="182" t="str">
        <f>Data!K77</f>
        <v/>
      </c>
      <c r="P31" s="182" t="str">
        <f>Data!L77</f>
        <v/>
      </c>
      <c r="Q31" s="182" t="str">
        <f>Data!M77</f>
        <v/>
      </c>
    </row>
    <row r="32" spans="1:17" ht="15.75" customHeight="1">
      <c r="A32" s="10"/>
      <c r="B32" s="56"/>
      <c r="C32" s="57"/>
      <c r="E32" s="157"/>
      <c r="G32" s="22"/>
      <c r="H32" s="22"/>
      <c r="I32" s="22"/>
      <c r="J32" s="22"/>
      <c r="K32" s="22"/>
      <c r="L32" s="22"/>
      <c r="M32" s="22"/>
      <c r="N32" s="22"/>
      <c r="O32" s="22"/>
      <c r="P32" s="22"/>
      <c r="Q32" s="22"/>
    </row>
    <row r="33" spans="1:17" ht="15.75" customHeight="1">
      <c r="A33" s="10"/>
      <c r="B33" s="51" t="s">
        <v>242</v>
      </c>
      <c r="E33" s="157"/>
    </row>
    <row r="34" spans="1:17" ht="15.75" customHeight="1">
      <c r="A34" s="10"/>
      <c r="B34" s="19" t="s">
        <v>238</v>
      </c>
      <c r="E34" s="157"/>
      <c r="G34" s="2" t="e">
        <f>G23/G$29</f>
        <v>#DIV/0!</v>
      </c>
    </row>
    <row r="35" spans="1:17" ht="15.75" customHeight="1">
      <c r="A35" s="10"/>
      <c r="B35" s="19" t="s">
        <v>239</v>
      </c>
      <c r="E35" s="157"/>
      <c r="G35" s="2" t="e">
        <f t="shared" ref="G35:G36" si="12">G24/G$29</f>
        <v>#DIV/0!</v>
      </c>
    </row>
    <row r="36" spans="1:17" ht="15.75" customHeight="1">
      <c r="A36" s="10"/>
      <c r="B36" s="19" t="s">
        <v>186</v>
      </c>
      <c r="E36" s="157"/>
      <c r="G36" s="2" t="e">
        <f t="shared" si="12"/>
        <v>#DIV/0!</v>
      </c>
    </row>
    <row r="37" spans="1:17" ht="15.75" customHeight="1">
      <c r="A37" s="10"/>
      <c r="B37" s="56" t="s">
        <v>240</v>
      </c>
      <c r="E37" s="157"/>
    </row>
    <row r="38" spans="1:17" ht="15.75" customHeight="1">
      <c r="A38" s="10"/>
      <c r="E38" s="157"/>
    </row>
    <row r="39" spans="1:17" ht="15.75" customHeight="1">
      <c r="A39" s="10"/>
      <c r="B39" s="51" t="s">
        <v>12</v>
      </c>
      <c r="E39" s="157"/>
    </row>
    <row r="40" spans="1:17" ht="15.75" customHeight="1">
      <c r="A40" s="10"/>
      <c r="B40" s="207" t="s">
        <v>166</v>
      </c>
      <c r="C40" s="188">
        <f>G40</f>
        <v>-486720</v>
      </c>
      <c r="D40" s="46"/>
      <c r="E40" s="156"/>
      <c r="F40" s="46"/>
      <c r="G40" s="179">
        <f>IF(G4="","",Data!C43)</f>
        <v>-486720</v>
      </c>
      <c r="H40" s="179" t="str">
        <f>IF(H4="","",Data!D43)</f>
        <v/>
      </c>
      <c r="I40" s="179" t="str">
        <f>IF(I4="","",Data!E43)</f>
        <v/>
      </c>
      <c r="J40" s="179" t="str">
        <f>IF(J4="","",Data!F43)</f>
        <v/>
      </c>
      <c r="K40" s="179" t="str">
        <f>IF(K4="","",Data!G43)</f>
        <v/>
      </c>
      <c r="L40" s="179" t="str">
        <f>IF(L4="","",Data!H43)</f>
        <v/>
      </c>
      <c r="M40" s="179" t="str">
        <f>IF(M4="","",Data!I43)</f>
        <v/>
      </c>
      <c r="N40" s="179" t="str">
        <f>IF(N4="","",Data!J43)</f>
        <v/>
      </c>
      <c r="O40" s="179" t="str">
        <f>IF(O4="","",Data!K43)</f>
        <v/>
      </c>
      <c r="P40" s="179" t="str">
        <f>IF(P4="","",Data!L43)</f>
        <v/>
      </c>
      <c r="Q40" s="179" t="str">
        <f>IF(Q4="","",Data!M43)</f>
        <v/>
      </c>
    </row>
    <row r="41" spans="1:17" ht="15.75" customHeight="1">
      <c r="A41" s="10"/>
      <c r="E41" s="157"/>
    </row>
    <row r="42" spans="1:17" ht="15.75" customHeight="1">
      <c r="A42" s="10"/>
      <c r="B42" s="51" t="s">
        <v>88</v>
      </c>
      <c r="E42" s="157"/>
    </row>
    <row r="43" spans="1:17" ht="15.75" customHeight="1">
      <c r="A43" s="10"/>
      <c r="B43" s="207" t="s">
        <v>166</v>
      </c>
      <c r="C43" s="57">
        <f>ABS(C40/$C$4)</f>
        <v>0.33469056113755186</v>
      </c>
      <c r="E43" s="157"/>
      <c r="G43" s="22">
        <f t="shared" ref="G43:Q43" si="13">IF(G$4="","",ABS(G40/G$4))</f>
        <v>0.23428339279628627</v>
      </c>
      <c r="H43" s="22" t="str">
        <f t="shared" si="13"/>
        <v/>
      </c>
      <c r="I43" s="22" t="str">
        <f t="shared" si="13"/>
        <v/>
      </c>
      <c r="J43" s="22" t="str">
        <f t="shared" si="13"/>
        <v/>
      </c>
      <c r="K43" s="22" t="str">
        <f t="shared" si="13"/>
        <v/>
      </c>
      <c r="L43" s="22" t="str">
        <f t="shared" si="13"/>
        <v/>
      </c>
      <c r="M43" s="22" t="str">
        <f t="shared" si="13"/>
        <v/>
      </c>
      <c r="N43" s="22" t="str">
        <f t="shared" si="13"/>
        <v/>
      </c>
      <c r="O43" s="22" t="str">
        <f t="shared" si="13"/>
        <v/>
      </c>
      <c r="P43" s="22" t="str">
        <f t="shared" si="13"/>
        <v/>
      </c>
      <c r="Q43" s="22" t="str">
        <f t="shared" si="13"/>
        <v/>
      </c>
    </row>
    <row r="44" spans="1:17" ht="15.75" customHeight="1">
      <c r="A44" s="10"/>
      <c r="E44" s="157"/>
    </row>
    <row r="45" spans="1:17" ht="15.75" customHeight="1">
      <c r="A45" s="10"/>
      <c r="B45" s="51" t="s">
        <v>89</v>
      </c>
      <c r="E45" s="157"/>
    </row>
    <row r="46" spans="1:17" ht="15.75" customHeight="1">
      <c r="A46" s="10"/>
      <c r="B46" s="19" t="s">
        <v>83</v>
      </c>
      <c r="C46" s="152">
        <v>0.25</v>
      </c>
      <c r="D46" s="19"/>
      <c r="E46" s="154" t="s">
        <v>174</v>
      </c>
      <c r="F46" s="19"/>
      <c r="G46" s="6" t="e">
        <f t="shared" ref="G46:Q46" si="14">IF(G$4="","",-G12/SUM(G8+G9,G10))</f>
        <v>#REF!</v>
      </c>
      <c r="H46" s="6" t="str">
        <f t="shared" si="14"/>
        <v/>
      </c>
      <c r="I46" s="6" t="str">
        <f t="shared" si="14"/>
        <v/>
      </c>
      <c r="J46" s="6" t="str">
        <f t="shared" si="14"/>
        <v/>
      </c>
      <c r="K46" s="6" t="str">
        <f t="shared" si="14"/>
        <v/>
      </c>
      <c r="L46" s="6" t="str">
        <f t="shared" si="14"/>
        <v/>
      </c>
      <c r="M46" s="6" t="str">
        <f t="shared" si="14"/>
        <v/>
      </c>
      <c r="N46" s="6" t="str">
        <f t="shared" si="14"/>
        <v/>
      </c>
      <c r="O46" s="6" t="str">
        <f t="shared" si="14"/>
        <v/>
      </c>
      <c r="P46" s="6" t="str">
        <f t="shared" si="14"/>
        <v/>
      </c>
      <c r="Q46" s="6" t="str">
        <f t="shared" si="14"/>
        <v/>
      </c>
    </row>
    <row r="47" spans="1:17" ht="15.75" customHeight="1">
      <c r="A47" s="10"/>
    </row>
    <row r="48" spans="1:17" ht="15.75" customHeight="1">
      <c r="A48" s="10"/>
      <c r="B48" s="42" t="s">
        <v>90</v>
      </c>
      <c r="C48" s="42"/>
      <c r="D48" s="44"/>
      <c r="E48" s="53" t="s">
        <v>24</v>
      </c>
      <c r="F48" s="44"/>
      <c r="G48" s="28"/>
      <c r="H48" s="28"/>
      <c r="I48" s="28"/>
      <c r="J48" s="28"/>
      <c r="K48" s="28"/>
      <c r="L48" s="28"/>
      <c r="M48" s="28"/>
      <c r="N48" s="28"/>
      <c r="O48" s="28"/>
      <c r="P48" s="28"/>
      <c r="Q48" s="28"/>
    </row>
    <row r="49" spans="1:17" ht="15.75" customHeight="1">
      <c r="A49" s="10"/>
      <c r="B49" s="51" t="s">
        <v>25</v>
      </c>
      <c r="E49" s="157"/>
    </row>
    <row r="50" spans="1:17" ht="15.75" customHeight="1">
      <c r="A50" s="10"/>
      <c r="B50" s="2" t="s">
        <v>7</v>
      </c>
      <c r="C50" s="178" t="e">
        <f>-#REF!*Normalized_FCF!C57</f>
        <v>#REF!</v>
      </c>
      <c r="E50" s="157"/>
      <c r="G50" s="178" t="e">
        <f>Data!#REF!</f>
        <v>#REF!</v>
      </c>
      <c r="H50" s="178" t="e">
        <f>Data!#REF!</f>
        <v>#REF!</v>
      </c>
      <c r="I50" s="178" t="e">
        <f>Data!#REF!</f>
        <v>#REF!</v>
      </c>
      <c r="J50" s="178" t="e">
        <f>Data!#REF!</f>
        <v>#REF!</v>
      </c>
      <c r="K50" s="178" t="e">
        <f>Data!#REF!</f>
        <v>#REF!</v>
      </c>
      <c r="L50" s="178" t="e">
        <f>Data!#REF!</f>
        <v>#REF!</v>
      </c>
      <c r="M50" s="178" t="e">
        <f>Data!#REF!</f>
        <v>#REF!</v>
      </c>
      <c r="N50" s="178" t="e">
        <f>Data!#REF!</f>
        <v>#REF!</v>
      </c>
      <c r="O50" s="178" t="e">
        <f>Data!#REF!</f>
        <v>#REF!</v>
      </c>
      <c r="P50" s="178" t="e">
        <f>Data!#REF!</f>
        <v>#REF!</v>
      </c>
      <c r="Q50" s="178" t="e">
        <f>Data!#REF!</f>
        <v>#REF!</v>
      </c>
    </row>
    <row r="51" spans="1:17" ht="15.75" customHeight="1">
      <c r="A51" s="10"/>
      <c r="B51" s="2" t="s">
        <v>124</v>
      </c>
      <c r="C51" s="178" t="e">
        <f>#REF!*C56</f>
        <v>#REF!</v>
      </c>
      <c r="E51" s="157"/>
      <c r="G51" s="186">
        <f t="shared" ref="G51:Q51" si="15">IFERROR(IF(G$4="","",($C$51/$C$52)*G52),0)</f>
        <v>0</v>
      </c>
      <c r="H51" s="186" t="str">
        <f t="shared" si="15"/>
        <v/>
      </c>
      <c r="I51" s="186" t="str">
        <f t="shared" si="15"/>
        <v/>
      </c>
      <c r="J51" s="186" t="str">
        <f t="shared" si="15"/>
        <v/>
      </c>
      <c r="K51" s="186" t="str">
        <f t="shared" si="15"/>
        <v/>
      </c>
      <c r="L51" s="186" t="str">
        <f t="shared" si="15"/>
        <v/>
      </c>
      <c r="M51" s="186" t="str">
        <f t="shared" si="15"/>
        <v/>
      </c>
      <c r="N51" s="186" t="str">
        <f t="shared" si="15"/>
        <v/>
      </c>
      <c r="O51" s="186" t="str">
        <f t="shared" si="15"/>
        <v/>
      </c>
      <c r="P51" s="186" t="str">
        <f t="shared" si="15"/>
        <v/>
      </c>
      <c r="Q51" s="186" t="str">
        <f t="shared" si="15"/>
        <v/>
      </c>
    </row>
    <row r="52" spans="1:17" ht="15.75" customHeight="1">
      <c r="A52" s="10"/>
      <c r="B52" s="165" t="s">
        <v>123</v>
      </c>
      <c r="C52" s="190" t="e">
        <f>#REF!*C56</f>
        <v>#REF!</v>
      </c>
      <c r="D52" s="166"/>
      <c r="E52" s="167"/>
      <c r="F52" s="166"/>
      <c r="G52" s="190" t="e">
        <f>Data!#REF!</f>
        <v>#REF!</v>
      </c>
      <c r="H52" s="190" t="e">
        <f>Data!#REF!</f>
        <v>#REF!</v>
      </c>
      <c r="I52" s="190" t="e">
        <f>Data!#REF!</f>
        <v>#REF!</v>
      </c>
      <c r="J52" s="190" t="e">
        <f>Data!#REF!</f>
        <v>#REF!</v>
      </c>
      <c r="K52" s="190" t="e">
        <f>Data!#REF!</f>
        <v>#REF!</v>
      </c>
      <c r="L52" s="190" t="e">
        <f>Data!#REF!</f>
        <v>#REF!</v>
      </c>
      <c r="M52" s="190" t="e">
        <f>Data!#REF!</f>
        <v>#REF!</v>
      </c>
      <c r="N52" s="190" t="e">
        <f>Data!#REF!</f>
        <v>#REF!</v>
      </c>
      <c r="O52" s="190" t="e">
        <f>Data!#REF!</f>
        <v>#REF!</v>
      </c>
      <c r="P52" s="190" t="e">
        <f>Data!#REF!</f>
        <v>#REF!</v>
      </c>
      <c r="Q52" s="190" t="e">
        <f>Data!#REF!</f>
        <v>#REF!</v>
      </c>
    </row>
    <row r="53" spans="1:17" ht="15.75" customHeight="1">
      <c r="A53" s="10"/>
      <c r="B53" s="56" t="s">
        <v>31</v>
      </c>
      <c r="C53" s="179" t="e">
        <f>C50+C51</f>
        <v>#REF!</v>
      </c>
      <c r="E53" s="157"/>
      <c r="G53" s="179" t="e">
        <f>IF(G$4="","",(G50+G51))</f>
        <v>#REF!</v>
      </c>
      <c r="H53" s="179" t="str">
        <f t="shared" ref="H53:Q53" si="16">IF(H$4="","",(H50+H51))</f>
        <v/>
      </c>
      <c r="I53" s="179" t="str">
        <f t="shared" si="16"/>
        <v/>
      </c>
      <c r="J53" s="179" t="str">
        <f t="shared" si="16"/>
        <v/>
      </c>
      <c r="K53" s="179" t="str">
        <f t="shared" si="16"/>
        <v/>
      </c>
      <c r="L53" s="179" t="str">
        <f t="shared" si="16"/>
        <v/>
      </c>
      <c r="M53" s="179" t="str">
        <f t="shared" si="16"/>
        <v/>
      </c>
      <c r="N53" s="179" t="str">
        <f t="shared" si="16"/>
        <v/>
      </c>
      <c r="O53" s="179" t="str">
        <f t="shared" si="16"/>
        <v/>
      </c>
      <c r="P53" s="179" t="str">
        <f t="shared" si="16"/>
        <v/>
      </c>
      <c r="Q53" s="179" t="str">
        <f t="shared" si="16"/>
        <v/>
      </c>
    </row>
    <row r="54" spans="1:17" ht="15.75" customHeight="1">
      <c r="A54" s="10"/>
      <c r="E54" s="157"/>
    </row>
    <row r="55" spans="1:17" ht="15.75" customHeight="1">
      <c r="A55" s="10"/>
      <c r="B55" s="58" t="s">
        <v>73</v>
      </c>
      <c r="E55" s="157"/>
      <c r="G55" s="75" t="s">
        <v>98</v>
      </c>
    </row>
    <row r="56" spans="1:17" ht="15.75" customHeight="1">
      <c r="A56" s="10"/>
      <c r="B56" s="8" t="s">
        <v>41</v>
      </c>
      <c r="C56" s="67">
        <v>6.0000000000000001E-3</v>
      </c>
      <c r="E56" s="154"/>
      <c r="G56" s="6" t="e">
        <f>IF(Normalized_FCF!G4="","",Normalized_FCF!G52/#REF!)</f>
        <v>#REF!</v>
      </c>
      <c r="H56" s="127"/>
      <c r="I56" s="127"/>
      <c r="J56" s="127"/>
      <c r="K56" s="127"/>
      <c r="L56" s="127"/>
      <c r="M56" s="127"/>
      <c r="N56" s="127"/>
      <c r="O56" s="127"/>
      <c r="P56" s="127"/>
      <c r="Q56" s="127"/>
    </row>
    <row r="57" spans="1:17" ht="15.75" customHeight="1">
      <c r="A57" s="10"/>
      <c r="B57" s="8" t="s">
        <v>40</v>
      </c>
      <c r="C57" s="66">
        <v>0.06</v>
      </c>
      <c r="E57" s="154"/>
      <c r="G57" s="16">
        <f>IFERROR(ABS(Normalized_FCF!G50/#REF!),0)</f>
        <v>0</v>
      </c>
      <c r="H57" s="127"/>
      <c r="I57" s="127"/>
      <c r="J57" s="127"/>
      <c r="K57" s="127"/>
      <c r="L57" s="127"/>
      <c r="M57" s="127"/>
      <c r="N57" s="127"/>
      <c r="O57" s="127"/>
      <c r="P57" s="127"/>
      <c r="Q57" s="127"/>
    </row>
    <row r="58" spans="1:17" ht="15.75" customHeight="1">
      <c r="A58" s="10"/>
      <c r="B58" s="18" t="s">
        <v>42</v>
      </c>
      <c r="C58" s="33" t="e">
        <f>-C8/C50</f>
        <v>#REF!</v>
      </c>
      <c r="E58" s="157"/>
      <c r="G58" s="33" t="e">
        <f t="shared" ref="G58:Q58" si="17">IF(G4="","",-G8/G50)</f>
        <v>#REF!</v>
      </c>
      <c r="H58" s="33" t="str">
        <f t="shared" si="17"/>
        <v/>
      </c>
      <c r="I58" s="33" t="str">
        <f t="shared" si="17"/>
        <v/>
      </c>
      <c r="J58" s="33" t="str">
        <f t="shared" si="17"/>
        <v/>
      </c>
      <c r="K58" s="33" t="str">
        <f t="shared" si="17"/>
        <v/>
      </c>
      <c r="L58" s="33" t="str">
        <f t="shared" si="17"/>
        <v/>
      </c>
      <c r="M58" s="33" t="str">
        <f t="shared" si="17"/>
        <v/>
      </c>
      <c r="N58" s="33" t="str">
        <f t="shared" si="17"/>
        <v/>
      </c>
      <c r="O58" s="33" t="str">
        <f t="shared" si="17"/>
        <v/>
      </c>
      <c r="P58" s="33" t="str">
        <f t="shared" si="17"/>
        <v/>
      </c>
      <c r="Q58" s="33" t="str">
        <f t="shared" si="17"/>
        <v/>
      </c>
    </row>
    <row r="59" spans="1:17" ht="15.75" customHeight="1">
      <c r="A59" s="10"/>
      <c r="E59" s="157"/>
    </row>
    <row r="60" spans="1:17" ht="15.75" customHeight="1">
      <c r="A60" s="10"/>
      <c r="B60" s="51" t="s">
        <v>80</v>
      </c>
      <c r="E60" s="157"/>
      <c r="G60" s="75" t="s">
        <v>98</v>
      </c>
    </row>
    <row r="61" spans="1:17" ht="15.75" customHeight="1">
      <c r="A61" s="10"/>
      <c r="B61" s="31" t="s">
        <v>79</v>
      </c>
      <c r="C61" s="178" t="e">
        <f>#REF!*C69</f>
        <v>#REF!</v>
      </c>
      <c r="E61" s="157"/>
      <c r="G61" s="178">
        <f>Data!C54</f>
        <v>0</v>
      </c>
      <c r="H61" s="178" t="str">
        <f>Data!D54</f>
        <v/>
      </c>
      <c r="I61" s="178" t="str">
        <f>Data!E54</f>
        <v/>
      </c>
      <c r="J61" s="178" t="str">
        <f>Data!F54</f>
        <v/>
      </c>
      <c r="K61" s="178" t="str">
        <f>Data!G54</f>
        <v/>
      </c>
      <c r="L61" s="178" t="str">
        <f>Data!H54</f>
        <v/>
      </c>
      <c r="M61" s="178" t="str">
        <f>Data!I54</f>
        <v/>
      </c>
      <c r="N61" s="178" t="str">
        <f>Data!J54</f>
        <v/>
      </c>
      <c r="O61" s="178" t="str">
        <f>Data!K54</f>
        <v/>
      </c>
      <c r="P61" s="178" t="str">
        <f>Data!L54</f>
        <v/>
      </c>
      <c r="Q61" s="178" t="str">
        <f>Data!M54</f>
        <v/>
      </c>
    </row>
    <row r="62" spans="1:17" ht="15.75" customHeight="1">
      <c r="A62" s="10"/>
      <c r="B62" s="31" t="s">
        <v>76</v>
      </c>
      <c r="C62" s="178" t="e">
        <f>#REF!*C70</f>
        <v>#REF!</v>
      </c>
      <c r="E62" s="157"/>
      <c r="G62" s="178">
        <f>Data!C53</f>
        <v>-2798</v>
      </c>
      <c r="H62" s="178" t="str">
        <f>Data!D53</f>
        <v/>
      </c>
      <c r="I62" s="178" t="str">
        <f>Data!E53</f>
        <v/>
      </c>
      <c r="J62" s="178" t="str">
        <f>Data!F53</f>
        <v/>
      </c>
      <c r="K62" s="178" t="str">
        <f>Data!G53</f>
        <v/>
      </c>
      <c r="L62" s="178" t="str">
        <f>Data!H53</f>
        <v/>
      </c>
      <c r="M62" s="178" t="str">
        <f>Data!I53</f>
        <v/>
      </c>
      <c r="N62" s="178" t="str">
        <f>Data!J53</f>
        <v/>
      </c>
      <c r="O62" s="178" t="str">
        <f>Data!K53</f>
        <v/>
      </c>
      <c r="P62" s="178" t="str">
        <f>Data!L53</f>
        <v/>
      </c>
      <c r="Q62" s="178" t="str">
        <f>Data!M53</f>
        <v/>
      </c>
    </row>
    <row r="63" spans="1:17" ht="15.75" customHeight="1">
      <c r="A63" s="10"/>
      <c r="B63" s="31" t="s">
        <v>75</v>
      </c>
      <c r="C63" s="178" t="e">
        <f>#REF!*C71</f>
        <v>#REF!</v>
      </c>
      <c r="E63" s="157"/>
      <c r="G63" s="178">
        <f>Data!C55</f>
        <v>0</v>
      </c>
      <c r="H63" s="178" t="str">
        <f>Data!D55</f>
        <v/>
      </c>
      <c r="I63" s="178" t="str">
        <f>Data!E55</f>
        <v/>
      </c>
      <c r="J63" s="178" t="str">
        <f>Data!F55</f>
        <v/>
      </c>
      <c r="K63" s="178" t="str">
        <f>Data!G55</f>
        <v/>
      </c>
      <c r="L63" s="178" t="str">
        <f>Data!H55</f>
        <v/>
      </c>
      <c r="M63" s="178" t="str">
        <f>Data!I55</f>
        <v/>
      </c>
      <c r="N63" s="178" t="str">
        <f>Data!J55</f>
        <v/>
      </c>
      <c r="O63" s="178" t="str">
        <f>Data!K55</f>
        <v/>
      </c>
      <c r="P63" s="178" t="str">
        <f>Data!L55</f>
        <v/>
      </c>
      <c r="Q63" s="178" t="str">
        <f>Data!M55</f>
        <v/>
      </c>
    </row>
    <row r="64" spans="1:17" ht="15.75" customHeight="1">
      <c r="A64" s="10"/>
      <c r="B64" s="23" t="s">
        <v>85</v>
      </c>
      <c r="C64" s="179" t="e">
        <f>SUM(C61:C63)</f>
        <v>#REF!</v>
      </c>
      <c r="E64" s="157"/>
      <c r="G64" s="179">
        <f t="shared" ref="G64:Q64" si="18">IF(G4="","",SUM(G61:G63))</f>
        <v>-2798</v>
      </c>
      <c r="H64" s="179" t="str">
        <f t="shared" si="18"/>
        <v/>
      </c>
      <c r="I64" s="179" t="str">
        <f t="shared" si="18"/>
        <v/>
      </c>
      <c r="J64" s="179" t="str">
        <f t="shared" si="18"/>
        <v/>
      </c>
      <c r="K64" s="179" t="str">
        <f t="shared" si="18"/>
        <v/>
      </c>
      <c r="L64" s="179" t="str">
        <f t="shared" si="18"/>
        <v/>
      </c>
      <c r="M64" s="179" t="str">
        <f t="shared" si="18"/>
        <v/>
      </c>
      <c r="N64" s="179" t="str">
        <f t="shared" si="18"/>
        <v/>
      </c>
      <c r="O64" s="179" t="str">
        <f t="shared" si="18"/>
        <v/>
      </c>
      <c r="P64" s="179" t="str">
        <f t="shared" si="18"/>
        <v/>
      </c>
      <c r="Q64" s="179" t="str">
        <f t="shared" si="18"/>
        <v/>
      </c>
    </row>
    <row r="65" spans="1:17" ht="15.75" customHeight="1">
      <c r="A65" s="10"/>
      <c r="B65" s="31" t="s">
        <v>77</v>
      </c>
      <c r="C65" s="191">
        <v>0</v>
      </c>
      <c r="E65" s="155" t="s">
        <v>122</v>
      </c>
      <c r="G65" s="178">
        <f>Data!C56</f>
        <v>-252312</v>
      </c>
      <c r="H65" s="178" t="str">
        <f>Data!D56</f>
        <v/>
      </c>
      <c r="I65" s="178" t="str">
        <f>Data!E56</f>
        <v/>
      </c>
      <c r="J65" s="178" t="str">
        <f>Data!F56</f>
        <v/>
      </c>
      <c r="K65" s="178" t="str">
        <f>Data!G56</f>
        <v/>
      </c>
      <c r="L65" s="178" t="str">
        <f>Data!H56</f>
        <v/>
      </c>
      <c r="M65" s="178" t="str">
        <f>Data!I56</f>
        <v/>
      </c>
      <c r="N65" s="178" t="str">
        <f>Data!J56</f>
        <v/>
      </c>
      <c r="O65" s="178" t="str">
        <f>Data!K56</f>
        <v/>
      </c>
      <c r="P65" s="178" t="str">
        <f>Data!L56</f>
        <v/>
      </c>
      <c r="Q65" s="178" t="str">
        <f>Data!M56</f>
        <v/>
      </c>
    </row>
    <row r="66" spans="1:17" ht="15.75" customHeight="1">
      <c r="A66" s="10"/>
      <c r="B66" s="23" t="s">
        <v>86</v>
      </c>
      <c r="C66" s="179" t="e">
        <f>C64+C65</f>
        <v>#REF!</v>
      </c>
      <c r="E66" s="157"/>
      <c r="G66" s="179">
        <f t="shared" ref="G66:Q66" si="19">IF(G4="","",G64+G65)</f>
        <v>-255110</v>
      </c>
      <c r="H66" s="179" t="str">
        <f t="shared" si="19"/>
        <v/>
      </c>
      <c r="I66" s="179" t="str">
        <f t="shared" si="19"/>
        <v/>
      </c>
      <c r="J66" s="179" t="str">
        <f t="shared" si="19"/>
        <v/>
      </c>
      <c r="K66" s="179" t="str">
        <f t="shared" si="19"/>
        <v/>
      </c>
      <c r="L66" s="179" t="str">
        <f t="shared" si="19"/>
        <v/>
      </c>
      <c r="M66" s="179" t="str">
        <f t="shared" si="19"/>
        <v/>
      </c>
      <c r="N66" s="179" t="str">
        <f t="shared" si="19"/>
        <v/>
      </c>
      <c r="O66" s="179" t="str">
        <f t="shared" si="19"/>
        <v/>
      </c>
      <c r="P66" s="179" t="str">
        <f t="shared" si="19"/>
        <v/>
      </c>
      <c r="Q66" s="179" t="str">
        <f t="shared" si="19"/>
        <v/>
      </c>
    </row>
    <row r="67" spans="1:17" ht="15.75" customHeight="1">
      <c r="A67" s="10"/>
      <c r="E67" s="157"/>
    </row>
    <row r="68" spans="1:17" ht="15.75" customHeight="1">
      <c r="A68" s="10"/>
      <c r="B68" s="74" t="s">
        <v>81</v>
      </c>
      <c r="E68" s="157"/>
      <c r="G68" s="75" t="s">
        <v>98</v>
      </c>
    </row>
    <row r="69" spans="1:17" ht="15.75" customHeight="1">
      <c r="A69" s="10"/>
      <c r="B69" s="31" t="s">
        <v>79</v>
      </c>
      <c r="C69" s="134">
        <f>G69</f>
        <v>0</v>
      </c>
      <c r="E69" s="157"/>
      <c r="G69" s="16">
        <f>IFERROR(G61/#REF!,0)</f>
        <v>0</v>
      </c>
      <c r="H69" s="133"/>
      <c r="I69" s="133"/>
      <c r="J69" s="133"/>
      <c r="K69" s="133"/>
      <c r="L69" s="133"/>
      <c r="M69" s="133"/>
      <c r="N69" s="133"/>
      <c r="O69" s="133"/>
      <c r="P69" s="133"/>
      <c r="Q69" s="133"/>
    </row>
    <row r="70" spans="1:17" ht="15.75" customHeight="1">
      <c r="A70" s="10"/>
      <c r="B70" s="81" t="s">
        <v>74</v>
      </c>
      <c r="C70" s="134">
        <f>G70</f>
        <v>0</v>
      </c>
      <c r="E70" s="157"/>
      <c r="G70" s="16">
        <f>IFERROR(G62/#REF!,0)</f>
        <v>0</v>
      </c>
      <c r="H70" s="133"/>
      <c r="I70" s="133"/>
      <c r="J70" s="133"/>
      <c r="K70" s="133"/>
      <c r="L70" s="133"/>
      <c r="M70" s="133"/>
      <c r="N70" s="133"/>
      <c r="O70" s="133"/>
      <c r="P70" s="133"/>
      <c r="Q70" s="133"/>
    </row>
    <row r="71" spans="1:17" ht="15.75" customHeight="1">
      <c r="A71" s="10"/>
      <c r="B71" s="81" t="s">
        <v>75</v>
      </c>
      <c r="C71" s="134">
        <f>G71</f>
        <v>0</v>
      </c>
      <c r="E71" s="157"/>
      <c r="G71" s="16">
        <f>IFERROR(G63/#REF!,0)</f>
        <v>0</v>
      </c>
      <c r="H71" s="133"/>
      <c r="I71" s="133"/>
      <c r="J71" s="133"/>
      <c r="K71" s="133"/>
      <c r="L71" s="133"/>
      <c r="M71" s="133"/>
      <c r="N71" s="133"/>
      <c r="O71" s="133"/>
      <c r="P71" s="133"/>
      <c r="Q71" s="133"/>
    </row>
    <row r="72" spans="1:17" ht="15.75" customHeight="1">
      <c r="A72" s="10"/>
      <c r="B72" s="23" t="s">
        <v>85</v>
      </c>
      <c r="C72" s="57" t="e">
        <f>C64/#REF!</f>
        <v>#REF!</v>
      </c>
      <c r="D72" s="9"/>
      <c r="E72" s="161"/>
      <c r="F72" s="9"/>
      <c r="G72" s="57" t="e">
        <f>G64/#REF!</f>
        <v>#REF!</v>
      </c>
      <c r="H72" s="133"/>
      <c r="I72" s="133"/>
      <c r="J72" s="133"/>
      <c r="K72" s="133"/>
      <c r="L72" s="133"/>
      <c r="M72" s="133"/>
      <c r="N72" s="133"/>
      <c r="O72" s="133"/>
      <c r="P72" s="133"/>
      <c r="Q72" s="133"/>
    </row>
    <row r="73" spans="1:17" ht="15.75" customHeight="1">
      <c r="A73" s="10"/>
    </row>
    <row r="74" spans="1:17" ht="15.75" customHeight="1">
      <c r="A74" s="10"/>
      <c r="B74" s="42" t="s">
        <v>91</v>
      </c>
      <c r="C74" s="42"/>
      <c r="D74" s="44"/>
      <c r="E74" s="53" t="s">
        <v>24</v>
      </c>
      <c r="F74" s="44"/>
      <c r="G74" s="28"/>
      <c r="H74" s="28"/>
      <c r="I74" s="28"/>
      <c r="J74" s="28"/>
      <c r="K74" s="28"/>
      <c r="L74" s="28"/>
      <c r="M74" s="28"/>
      <c r="N74" s="28"/>
      <c r="O74" s="28"/>
      <c r="P74" s="28"/>
      <c r="Q74" s="28"/>
    </row>
    <row r="75" spans="1:17" ht="15.75" customHeight="1">
      <c r="A75" s="10"/>
      <c r="B75" s="58" t="s">
        <v>95</v>
      </c>
      <c r="C75" s="50"/>
      <c r="D75" s="19"/>
      <c r="E75" s="154"/>
      <c r="F75" s="19"/>
      <c r="G75" s="75"/>
      <c r="H75" s="12"/>
      <c r="I75" s="12"/>
      <c r="J75" s="12"/>
      <c r="K75" s="12"/>
      <c r="L75" s="12"/>
      <c r="M75" s="12"/>
      <c r="N75" s="12"/>
      <c r="O75" s="12"/>
      <c r="P75" s="12"/>
      <c r="Q75" s="12"/>
    </row>
    <row r="76" spans="1:17" ht="15.75" customHeight="1">
      <c r="A76" s="10"/>
      <c r="B76" s="2" t="s">
        <v>13</v>
      </c>
      <c r="C76" s="63">
        <f>ABS(C5/C$4)</f>
        <v>0.32121684554146129</v>
      </c>
      <c r="D76" s="19"/>
      <c r="E76" s="154"/>
      <c r="F76" s="19"/>
      <c r="G76" s="6">
        <f t="shared" ref="G76:Q76" si="20">IF(G$4="","",ABS(G5/G$4))</f>
        <v>1.223504970435392</v>
      </c>
      <c r="H76" s="6" t="str">
        <f t="shared" si="20"/>
        <v/>
      </c>
      <c r="I76" s="6" t="str">
        <f t="shared" si="20"/>
        <v/>
      </c>
      <c r="J76" s="6" t="str">
        <f t="shared" si="20"/>
        <v/>
      </c>
      <c r="K76" s="6" t="str">
        <f t="shared" si="20"/>
        <v/>
      </c>
      <c r="L76" s="6" t="str">
        <f t="shared" si="20"/>
        <v/>
      </c>
      <c r="M76" s="6" t="str">
        <f t="shared" si="20"/>
        <v/>
      </c>
      <c r="N76" s="6" t="str">
        <f t="shared" si="20"/>
        <v/>
      </c>
      <c r="O76" s="6" t="str">
        <f t="shared" si="20"/>
        <v/>
      </c>
      <c r="P76" s="6" t="str">
        <f t="shared" si="20"/>
        <v/>
      </c>
      <c r="Q76" s="6" t="str">
        <f t="shared" si="20"/>
        <v/>
      </c>
    </row>
    <row r="77" spans="1:17" ht="15.75" customHeight="1">
      <c r="A77" s="10"/>
      <c r="B77" s="23" t="s">
        <v>15</v>
      </c>
      <c r="C77" s="64">
        <f>ABS(C6/C$4)</f>
        <v>1.3212168455414612</v>
      </c>
      <c r="D77" s="19"/>
      <c r="E77" s="154"/>
      <c r="F77" s="19"/>
      <c r="G77" s="52">
        <f t="shared" ref="G77:Q77" si="21">IF(G$4="","",ABS(G6/G$4))</f>
        <v>2.2235049704353922</v>
      </c>
      <c r="H77" s="52" t="str">
        <f t="shared" si="21"/>
        <v/>
      </c>
      <c r="I77" s="52" t="str">
        <f t="shared" si="21"/>
        <v/>
      </c>
      <c r="J77" s="52" t="str">
        <f t="shared" si="21"/>
        <v/>
      </c>
      <c r="K77" s="52" t="str">
        <f t="shared" si="21"/>
        <v/>
      </c>
      <c r="L77" s="52" t="str">
        <f t="shared" si="21"/>
        <v/>
      </c>
      <c r="M77" s="52" t="str">
        <f t="shared" si="21"/>
        <v/>
      </c>
      <c r="N77" s="52" t="str">
        <f t="shared" si="21"/>
        <v/>
      </c>
      <c r="O77" s="52" t="str">
        <f t="shared" si="21"/>
        <v/>
      </c>
      <c r="P77" s="52" t="str">
        <f t="shared" si="21"/>
        <v/>
      </c>
      <c r="Q77" s="52" t="str">
        <f t="shared" si="21"/>
        <v/>
      </c>
    </row>
    <row r="78" spans="1:17" ht="15.75" customHeight="1">
      <c r="A78" s="10"/>
      <c r="B78" s="8" t="s">
        <v>12</v>
      </c>
      <c r="C78" s="63">
        <f>ABS(C7/C$4)</f>
        <v>0.33469056113755186</v>
      </c>
      <c r="D78" s="19"/>
      <c r="E78" s="154"/>
      <c r="F78" s="19"/>
      <c r="G78" s="6">
        <f t="shared" ref="G78:Q78" si="22">IF(G$4="","",ABS(G7/G$4))</f>
        <v>0.23428339279628627</v>
      </c>
      <c r="H78" s="6" t="str">
        <f t="shared" si="22"/>
        <v/>
      </c>
      <c r="I78" s="6" t="str">
        <f t="shared" si="22"/>
        <v/>
      </c>
      <c r="J78" s="6" t="str">
        <f t="shared" si="22"/>
        <v/>
      </c>
      <c r="K78" s="6" t="str">
        <f t="shared" si="22"/>
        <v/>
      </c>
      <c r="L78" s="6" t="str">
        <f t="shared" si="22"/>
        <v/>
      </c>
      <c r="M78" s="6" t="str">
        <f t="shared" si="22"/>
        <v/>
      </c>
      <c r="N78" s="6" t="str">
        <f t="shared" si="22"/>
        <v/>
      </c>
      <c r="O78" s="6" t="str">
        <f t="shared" si="22"/>
        <v/>
      </c>
      <c r="P78" s="6" t="str">
        <f t="shared" si="22"/>
        <v/>
      </c>
      <c r="Q78" s="6" t="str">
        <f t="shared" si="22"/>
        <v/>
      </c>
    </row>
    <row r="79" spans="1:17" ht="15.75" customHeight="1">
      <c r="A79" s="10"/>
      <c r="B79" s="21" t="s">
        <v>70</v>
      </c>
      <c r="C79" s="64">
        <f>ABS(C8/C$4)</f>
        <v>0.98652628440390944</v>
      </c>
      <c r="D79" s="19"/>
      <c r="E79" s="154"/>
      <c r="F79" s="19"/>
      <c r="G79" s="52">
        <f t="shared" ref="G79:Q79" si="23">IF(G$4="","",ABS(G8/G$4))</f>
        <v>1.9892215776391058</v>
      </c>
      <c r="H79" s="52" t="str">
        <f t="shared" si="23"/>
        <v/>
      </c>
      <c r="I79" s="52" t="str">
        <f t="shared" si="23"/>
        <v/>
      </c>
      <c r="J79" s="52" t="str">
        <f t="shared" si="23"/>
        <v/>
      </c>
      <c r="K79" s="52" t="str">
        <f t="shared" si="23"/>
        <v/>
      </c>
      <c r="L79" s="52" t="str">
        <f t="shared" si="23"/>
        <v/>
      </c>
      <c r="M79" s="52" t="str">
        <f t="shared" si="23"/>
        <v/>
      </c>
      <c r="N79" s="52" t="str">
        <f t="shared" si="23"/>
        <v/>
      </c>
      <c r="O79" s="52" t="str">
        <f t="shared" si="23"/>
        <v/>
      </c>
      <c r="P79" s="52" t="str">
        <f t="shared" si="23"/>
        <v/>
      </c>
      <c r="Q79" s="52" t="str">
        <f t="shared" si="23"/>
        <v/>
      </c>
    </row>
    <row r="80" spans="1:17" ht="15.75" customHeight="1">
      <c r="A80" s="10"/>
      <c r="B80" s="19" t="s">
        <v>71</v>
      </c>
      <c r="C80" s="63" t="e">
        <f>ABS(C9/C$4)</f>
        <v>#REF!</v>
      </c>
      <c r="D80" s="19"/>
      <c r="E80" s="154"/>
      <c r="F80" s="19"/>
      <c r="G80" s="6">
        <f t="shared" ref="G80:Q80" si="24">IF(G$4="","",G9/G$4)</f>
        <v>-1.3468214436308534E-3</v>
      </c>
      <c r="H80" s="6" t="str">
        <f t="shared" si="24"/>
        <v/>
      </c>
      <c r="I80" s="6" t="str">
        <f t="shared" si="24"/>
        <v/>
      </c>
      <c r="J80" s="6" t="str">
        <f t="shared" si="24"/>
        <v/>
      </c>
      <c r="K80" s="6" t="str">
        <f t="shared" si="24"/>
        <v/>
      </c>
      <c r="L80" s="6" t="str">
        <f t="shared" si="24"/>
        <v/>
      </c>
      <c r="M80" s="6" t="str">
        <f t="shared" si="24"/>
        <v/>
      </c>
      <c r="N80" s="6" t="str">
        <f t="shared" si="24"/>
        <v/>
      </c>
      <c r="O80" s="6" t="str">
        <f t="shared" si="24"/>
        <v/>
      </c>
      <c r="P80" s="6" t="str">
        <f t="shared" si="24"/>
        <v/>
      </c>
      <c r="Q80" s="6" t="str">
        <f t="shared" si="24"/>
        <v/>
      </c>
    </row>
    <row r="81" spans="1:17" ht="15.75" customHeight="1">
      <c r="A81" s="10"/>
      <c r="B81" s="2" t="s">
        <v>31</v>
      </c>
      <c r="C81" s="63" t="e">
        <f t="shared" ref="C81" si="25">ABS(C10/C$4)</f>
        <v>#REF!</v>
      </c>
      <c r="D81" s="19"/>
      <c r="E81" s="154"/>
      <c r="F81" s="19"/>
      <c r="G81" s="6" t="e">
        <f t="shared" ref="G81:Q81" si="26">IF(G$4="","",ABS(G10/G$4))</f>
        <v>#REF!</v>
      </c>
      <c r="H81" s="6" t="str">
        <f t="shared" si="26"/>
        <v/>
      </c>
      <c r="I81" s="6" t="str">
        <f t="shared" si="26"/>
        <v/>
      </c>
      <c r="J81" s="6" t="str">
        <f t="shared" si="26"/>
        <v/>
      </c>
      <c r="K81" s="6" t="str">
        <f t="shared" si="26"/>
        <v/>
      </c>
      <c r="L81" s="6" t="str">
        <f t="shared" si="26"/>
        <v/>
      </c>
      <c r="M81" s="6" t="str">
        <f t="shared" si="26"/>
        <v/>
      </c>
      <c r="N81" s="6" t="str">
        <f t="shared" si="26"/>
        <v/>
      </c>
      <c r="O81" s="6" t="str">
        <f t="shared" si="26"/>
        <v/>
      </c>
      <c r="P81" s="6" t="str">
        <f t="shared" si="26"/>
        <v/>
      </c>
      <c r="Q81" s="6" t="str">
        <f t="shared" si="26"/>
        <v/>
      </c>
    </row>
    <row r="82" spans="1:17" ht="15.75" customHeight="1">
      <c r="A82" s="10"/>
      <c r="B82" s="56" t="s">
        <v>78</v>
      </c>
      <c r="C82" s="64" t="e">
        <f>C11/C4</f>
        <v>#REF!</v>
      </c>
      <c r="D82" s="19"/>
      <c r="E82" s="154"/>
      <c r="F82" s="19"/>
      <c r="G82" s="52" t="e">
        <f t="shared" ref="G82:Q82" si="27">IF(G$4="","",G11/G$4)</f>
        <v>#REF!</v>
      </c>
      <c r="H82" s="52" t="str">
        <f t="shared" si="27"/>
        <v/>
      </c>
      <c r="I82" s="52" t="str">
        <f t="shared" si="27"/>
        <v/>
      </c>
      <c r="J82" s="52" t="str">
        <f t="shared" si="27"/>
        <v/>
      </c>
      <c r="K82" s="52" t="str">
        <f t="shared" si="27"/>
        <v/>
      </c>
      <c r="L82" s="52" t="str">
        <f t="shared" si="27"/>
        <v/>
      </c>
      <c r="M82" s="52" t="str">
        <f t="shared" si="27"/>
        <v/>
      </c>
      <c r="N82" s="52" t="str">
        <f t="shared" si="27"/>
        <v/>
      </c>
      <c r="O82" s="52" t="str">
        <f t="shared" si="27"/>
        <v/>
      </c>
      <c r="P82" s="52" t="str">
        <f t="shared" si="27"/>
        <v/>
      </c>
      <c r="Q82" s="52" t="str">
        <f t="shared" si="27"/>
        <v/>
      </c>
    </row>
    <row r="83" spans="1:17" ht="15.75" customHeight="1">
      <c r="A83" s="10"/>
      <c r="B83" s="2" t="s">
        <v>27</v>
      </c>
      <c r="C83" s="63" t="e">
        <f>ABS(C12/C$4)</f>
        <v>#REF!</v>
      </c>
      <c r="D83" s="19"/>
      <c r="E83" s="154"/>
      <c r="F83" s="19"/>
      <c r="G83" s="6">
        <f t="shared" ref="G83:Q83" si="28">IF(G$4="","",ABS(G12/G$4))</f>
        <v>0.15075013814787502</v>
      </c>
      <c r="H83" s="6" t="str">
        <f t="shared" si="28"/>
        <v/>
      </c>
      <c r="I83" s="6" t="str">
        <f t="shared" si="28"/>
        <v/>
      </c>
      <c r="J83" s="6" t="str">
        <f t="shared" si="28"/>
        <v/>
      </c>
      <c r="K83" s="6" t="str">
        <f t="shared" si="28"/>
        <v/>
      </c>
      <c r="L83" s="6" t="str">
        <f t="shared" si="28"/>
        <v/>
      </c>
      <c r="M83" s="6" t="str">
        <f t="shared" si="28"/>
        <v/>
      </c>
      <c r="N83" s="6" t="str">
        <f t="shared" si="28"/>
        <v/>
      </c>
      <c r="O83" s="6" t="str">
        <f t="shared" si="28"/>
        <v/>
      </c>
      <c r="P83" s="6" t="str">
        <f t="shared" si="28"/>
        <v/>
      </c>
      <c r="Q83" s="6" t="str">
        <f t="shared" si="28"/>
        <v/>
      </c>
    </row>
    <row r="84" spans="1:17" ht="15.75" customHeight="1">
      <c r="A84" s="10"/>
      <c r="B84" s="31" t="str">
        <f>B13</f>
        <v>NCI’s Share of Profits</v>
      </c>
      <c r="C84" s="153" t="e">
        <f>MIN(#REF!,MAX(G84:K84))</f>
        <v>#REF!</v>
      </c>
      <c r="D84" s="19"/>
      <c r="E84" s="154"/>
      <c r="F84" s="19"/>
      <c r="G84" s="6">
        <f t="shared" ref="G84:Q84" si="29">IF(G$4="","",-G13/G$4)</f>
        <v>5.9780965822119447E-2</v>
      </c>
      <c r="H84" s="6" t="str">
        <f t="shared" si="29"/>
        <v/>
      </c>
      <c r="I84" s="6" t="str">
        <f t="shared" si="29"/>
        <v/>
      </c>
      <c r="J84" s="6" t="str">
        <f t="shared" si="29"/>
        <v/>
      </c>
      <c r="K84" s="6" t="str">
        <f t="shared" si="29"/>
        <v/>
      </c>
      <c r="L84" s="6" t="str">
        <f t="shared" si="29"/>
        <v/>
      </c>
      <c r="M84" s="6" t="str">
        <f t="shared" si="29"/>
        <v/>
      </c>
      <c r="N84" s="6" t="str">
        <f t="shared" si="29"/>
        <v/>
      </c>
      <c r="O84" s="6" t="str">
        <f t="shared" si="29"/>
        <v/>
      </c>
      <c r="P84" s="6" t="str">
        <f t="shared" si="29"/>
        <v/>
      </c>
      <c r="Q84" s="6" t="str">
        <f t="shared" si="29"/>
        <v/>
      </c>
    </row>
    <row r="85" spans="1:17" ht="15.75" customHeight="1">
      <c r="A85" s="10"/>
      <c r="B85" s="32" t="s">
        <v>72</v>
      </c>
      <c r="C85" s="64" t="e">
        <f>ABS(C14/C$4)</f>
        <v>#REF!</v>
      </c>
      <c r="D85" s="19"/>
      <c r="E85" s="154"/>
      <c r="F85" s="19"/>
      <c r="G85" s="52" t="e">
        <f t="shared" ref="G85:Q85" si="30">IF(G$4="","",ABS(G14/G$4))</f>
        <v>#REF!</v>
      </c>
      <c r="H85" s="52" t="str">
        <f t="shared" si="30"/>
        <v/>
      </c>
      <c r="I85" s="52" t="str">
        <f t="shared" si="30"/>
        <v/>
      </c>
      <c r="J85" s="52" t="str">
        <f t="shared" si="30"/>
        <v/>
      </c>
      <c r="K85" s="52" t="str">
        <f t="shared" si="30"/>
        <v/>
      </c>
      <c r="L85" s="52" t="str">
        <f t="shared" si="30"/>
        <v/>
      </c>
      <c r="M85" s="52" t="str">
        <f t="shared" si="30"/>
        <v/>
      </c>
      <c r="N85" s="52" t="str">
        <f t="shared" si="30"/>
        <v/>
      </c>
      <c r="O85" s="52" t="str">
        <f t="shared" si="30"/>
        <v/>
      </c>
      <c r="P85" s="52" t="str">
        <f t="shared" si="30"/>
        <v/>
      </c>
      <c r="Q85" s="52" t="str">
        <f t="shared" si="30"/>
        <v/>
      </c>
    </row>
    <row r="86" spans="1:17" ht="15.75" customHeight="1">
      <c r="A86" s="10"/>
      <c r="B86" s="2" t="s">
        <v>29</v>
      </c>
      <c r="C86" s="63" t="e">
        <f>ABS(C15/C$4)</f>
        <v>#REF!</v>
      </c>
      <c r="D86" s="19"/>
      <c r="E86" s="154"/>
      <c r="F86" s="19"/>
      <c r="G86" s="6">
        <f t="shared" ref="G86:Q86" si="31">IF(G$4="","",G15/G$4)</f>
        <v>0</v>
      </c>
      <c r="H86" s="6" t="str">
        <f t="shared" si="31"/>
        <v/>
      </c>
      <c r="I86" s="6" t="str">
        <f t="shared" si="31"/>
        <v/>
      </c>
      <c r="J86" s="6" t="str">
        <f t="shared" si="31"/>
        <v/>
      </c>
      <c r="K86" s="6" t="str">
        <f t="shared" si="31"/>
        <v/>
      </c>
      <c r="L86" s="6" t="str">
        <f t="shared" si="31"/>
        <v/>
      </c>
      <c r="M86" s="6" t="str">
        <f t="shared" si="31"/>
        <v/>
      </c>
      <c r="N86" s="6" t="str">
        <f t="shared" si="31"/>
        <v/>
      </c>
      <c r="O86" s="6" t="str">
        <f t="shared" si="31"/>
        <v/>
      </c>
      <c r="P86" s="6" t="str">
        <f t="shared" si="31"/>
        <v/>
      </c>
      <c r="Q86" s="6" t="str">
        <f t="shared" si="31"/>
        <v/>
      </c>
    </row>
    <row r="87" spans="1:17" ht="15.75" customHeight="1">
      <c r="A87" s="10"/>
      <c r="B87" s="2" t="s">
        <v>33</v>
      </c>
      <c r="C87" s="68" t="e">
        <f>MAX(AVERAGE(G87:J87),C86)</f>
        <v>#REF!</v>
      </c>
      <c r="D87" s="19"/>
      <c r="E87" s="155" t="s">
        <v>129</v>
      </c>
      <c r="F87" s="19"/>
      <c r="G87" s="6" t="e">
        <f t="shared" ref="G87:Q87" si="32">IF(G$4="","",-G16/G$4)</f>
        <v>#REF!</v>
      </c>
      <c r="H87" s="6" t="str">
        <f t="shared" si="32"/>
        <v/>
      </c>
      <c r="I87" s="6" t="str">
        <f t="shared" si="32"/>
        <v/>
      </c>
      <c r="J87" s="6" t="str">
        <f t="shared" si="32"/>
        <v/>
      </c>
      <c r="K87" s="6" t="str">
        <f t="shared" si="32"/>
        <v/>
      </c>
      <c r="L87" s="6" t="str">
        <f t="shared" si="32"/>
        <v/>
      </c>
      <c r="M87" s="6" t="str">
        <f t="shared" si="32"/>
        <v/>
      </c>
      <c r="N87" s="6" t="str">
        <f t="shared" si="32"/>
        <v/>
      </c>
      <c r="O87" s="6" t="str">
        <f t="shared" si="32"/>
        <v/>
      </c>
      <c r="P87" s="6" t="str">
        <f t="shared" si="32"/>
        <v/>
      </c>
      <c r="Q87" s="6" t="str">
        <f t="shared" si="32"/>
        <v/>
      </c>
    </row>
    <row r="88" spans="1:17" ht="15.75" customHeight="1">
      <c r="A88" s="10"/>
      <c r="B88" s="19" t="s">
        <v>19</v>
      </c>
      <c r="C88" s="153">
        <v>0</v>
      </c>
      <c r="D88" s="19"/>
      <c r="E88" s="156" t="str">
        <f>E17</f>
        <v>WCInv is by default excluded</v>
      </c>
      <c r="F88" s="19"/>
      <c r="G88" s="144"/>
      <c r="H88" s="144"/>
      <c r="I88" s="144"/>
      <c r="J88" s="144"/>
      <c r="K88" s="144"/>
      <c r="L88" s="144"/>
      <c r="M88" s="144"/>
      <c r="N88" s="144"/>
      <c r="O88" s="144"/>
      <c r="P88" s="144"/>
      <c r="Q88" s="144"/>
    </row>
    <row r="89" spans="1:17" ht="15.75" customHeight="1">
      <c r="A89" s="10"/>
      <c r="B89" s="8" t="s">
        <v>46</v>
      </c>
      <c r="C89" s="63">
        <v>0</v>
      </c>
      <c r="E89" s="156" t="str">
        <f>E18</f>
        <v>Net borrowing is excluded</v>
      </c>
      <c r="G89" s="127"/>
      <c r="H89" s="127"/>
      <c r="I89" s="127"/>
      <c r="J89" s="127"/>
      <c r="K89" s="127"/>
      <c r="L89" s="127"/>
      <c r="M89" s="127"/>
      <c r="N89" s="127"/>
      <c r="O89" s="127"/>
      <c r="P89" s="127"/>
      <c r="Q89" s="127"/>
    </row>
    <row r="90" spans="1:17" ht="15.75" customHeight="1">
      <c r="A90" s="10"/>
      <c r="B90" s="23" t="s">
        <v>64</v>
      </c>
      <c r="C90" s="64" t="e">
        <f>ABS(C19/C$4)</f>
        <v>#REF!</v>
      </c>
      <c r="D90" s="61"/>
      <c r="E90" s="154"/>
      <c r="F90" s="61"/>
      <c r="G90" s="52" t="e">
        <f t="shared" ref="G90:Q90" si="33">IF(G$4="","",ABS(G19/G$4))</f>
        <v>#REF!</v>
      </c>
      <c r="H90" s="52" t="str">
        <f t="shared" si="33"/>
        <v/>
      </c>
      <c r="I90" s="52" t="str">
        <f t="shared" si="33"/>
        <v/>
      </c>
      <c r="J90" s="52" t="str">
        <f t="shared" si="33"/>
        <v/>
      </c>
      <c r="K90" s="52" t="str">
        <f t="shared" si="33"/>
        <v/>
      </c>
      <c r="L90" s="52" t="str">
        <f t="shared" si="33"/>
        <v/>
      </c>
      <c r="M90" s="52" t="str">
        <f t="shared" si="33"/>
        <v/>
      </c>
      <c r="N90" s="52" t="str">
        <f t="shared" si="33"/>
        <v/>
      </c>
      <c r="O90" s="52" t="str">
        <f t="shared" si="33"/>
        <v/>
      </c>
      <c r="P90" s="52" t="str">
        <f t="shared" si="33"/>
        <v/>
      </c>
      <c r="Q90" s="52" t="str">
        <f t="shared" si="33"/>
        <v/>
      </c>
    </row>
    <row r="91" spans="1:17" ht="15.75" customHeight="1">
      <c r="A91" s="10"/>
      <c r="E91" s="157"/>
    </row>
    <row r="92" spans="1:17" ht="15.75" customHeight="1">
      <c r="A92" s="10"/>
      <c r="B92" s="51" t="s">
        <v>93</v>
      </c>
      <c r="E92" s="157"/>
    </row>
    <row r="93" spans="1:17" ht="15.75" customHeight="1">
      <c r="A93" s="10"/>
      <c r="B93" s="2" t="str">
        <f>"Dividend per share ("&amp;Market_currency&amp;")"</f>
        <v>Dividend per share (HKD)</v>
      </c>
      <c r="C93" s="88">
        <f>G93</f>
        <v>0</v>
      </c>
      <c r="E93" s="157"/>
      <c r="G93" s="87">
        <f>Data!C62</f>
        <v>0</v>
      </c>
      <c r="H93" s="87" t="str">
        <f>Data!D62</f>
        <v/>
      </c>
      <c r="I93" s="87" t="str">
        <f>Data!E62</f>
        <v/>
      </c>
      <c r="J93" s="87" t="str">
        <f>Data!F62</f>
        <v/>
      </c>
      <c r="K93" s="87" t="str">
        <f>Data!G62</f>
        <v/>
      </c>
      <c r="L93" s="87" t="str">
        <f>Data!H62</f>
        <v/>
      </c>
      <c r="M93" s="87" t="str">
        <f>Data!I62</f>
        <v/>
      </c>
      <c r="N93" s="87" t="str">
        <f>Data!J62</f>
        <v/>
      </c>
      <c r="O93" s="87" t="str">
        <f>Data!K62</f>
        <v/>
      </c>
      <c r="P93" s="87" t="str">
        <f>Data!L62</f>
        <v/>
      </c>
      <c r="Q93" s="87" t="str">
        <f>Data!M62</f>
        <v/>
      </c>
    </row>
    <row r="94" spans="1:17" ht="15.75" customHeight="1">
      <c r="A94" s="10"/>
      <c r="B94" s="2" t="str">
        <f>"Dividend ("&amp;Market_currency&amp;")"</f>
        <v>Dividend (HKD)</v>
      </c>
      <c r="C94" s="60">
        <f>C93*Common_Shares/scaling_factor</f>
        <v>0</v>
      </c>
      <c r="E94" s="157"/>
      <c r="G94" s="60">
        <f t="shared" ref="G94:Q94" si="34">IF(G$4="","",G93*Common_Shares/scaling_factor)</f>
        <v>0</v>
      </c>
      <c r="H94" s="60" t="str">
        <f t="shared" si="34"/>
        <v/>
      </c>
      <c r="I94" s="60" t="str">
        <f t="shared" si="34"/>
        <v/>
      </c>
      <c r="J94" s="60" t="str">
        <f t="shared" si="34"/>
        <v/>
      </c>
      <c r="K94" s="60" t="str">
        <f t="shared" si="34"/>
        <v/>
      </c>
      <c r="L94" s="60" t="str">
        <f t="shared" si="34"/>
        <v/>
      </c>
      <c r="M94" s="60" t="str">
        <f t="shared" si="34"/>
        <v/>
      </c>
      <c r="N94" s="60" t="str">
        <f t="shared" si="34"/>
        <v/>
      </c>
      <c r="O94" s="60" t="str">
        <f t="shared" si="34"/>
        <v/>
      </c>
      <c r="P94" s="60" t="str">
        <f t="shared" si="34"/>
        <v/>
      </c>
      <c r="Q94" s="60" t="str">
        <f t="shared" si="34"/>
        <v/>
      </c>
    </row>
    <row r="95" spans="1:17" ht="15.75" customHeight="1">
      <c r="A95" s="10"/>
      <c r="B95" s="2" t="s">
        <v>92</v>
      </c>
      <c r="C95" s="16" t="e">
        <f>C93/(C19*scaling_factor/Common_Shares)</f>
        <v>#REF!</v>
      </c>
      <c r="E95" s="157"/>
      <c r="G95" s="128" t="e">
        <f t="shared" ref="G95:Q95" si="35">IF(G$4="","",G93/(G19*scaling_factor/Common_Shares))</f>
        <v>#REF!</v>
      </c>
      <c r="H95" s="128" t="str">
        <f t="shared" si="35"/>
        <v/>
      </c>
      <c r="I95" s="128" t="str">
        <f t="shared" si="35"/>
        <v/>
      </c>
      <c r="J95" s="128" t="str">
        <f t="shared" si="35"/>
        <v/>
      </c>
      <c r="K95" s="128" t="str">
        <f t="shared" si="35"/>
        <v/>
      </c>
      <c r="L95" s="128" t="str">
        <f t="shared" si="35"/>
        <v/>
      </c>
      <c r="M95" s="128" t="str">
        <f t="shared" si="35"/>
        <v/>
      </c>
      <c r="N95" s="128" t="str">
        <f t="shared" si="35"/>
        <v/>
      </c>
      <c r="O95" s="128" t="str">
        <f t="shared" si="35"/>
        <v/>
      </c>
      <c r="P95" s="128" t="str">
        <f t="shared" si="35"/>
        <v/>
      </c>
      <c r="Q95" s="128" t="str">
        <f t="shared" si="35"/>
        <v/>
      </c>
    </row>
    <row r="96" spans="1:17" ht="15.75" customHeight="1">
      <c r="A96" s="10"/>
      <c r="B96" s="2" t="s">
        <v>149</v>
      </c>
      <c r="C96" s="201">
        <v>0</v>
      </c>
      <c r="E96" s="157"/>
      <c r="G96" s="202"/>
      <c r="H96" s="202"/>
      <c r="I96" s="202"/>
      <c r="J96" s="202"/>
      <c r="K96" s="202"/>
      <c r="L96" s="202"/>
      <c r="M96" s="202"/>
      <c r="N96" s="202"/>
      <c r="O96" s="202"/>
      <c r="P96" s="202"/>
      <c r="Q96" s="202"/>
    </row>
    <row r="97" spans="1:17" ht="15.75" customHeight="1">
      <c r="A97" s="10"/>
      <c r="B97" s="2" t="s">
        <v>148</v>
      </c>
      <c r="C97" s="16">
        <f>(C93*(1-dividend_tax_rate))/Market_Price</f>
        <v>0</v>
      </c>
      <c r="E97" s="157"/>
      <c r="G97" s="16">
        <f t="shared" ref="G97:Q97" si="36">IF(G$4="","",(G93*(1-dividend_tax_rate))/Market_Price)</f>
        <v>0</v>
      </c>
      <c r="H97" s="16" t="str">
        <f t="shared" si="36"/>
        <v/>
      </c>
      <c r="I97" s="16" t="str">
        <f t="shared" si="36"/>
        <v/>
      </c>
      <c r="J97" s="16" t="str">
        <f t="shared" si="36"/>
        <v/>
      </c>
      <c r="K97" s="16" t="str">
        <f t="shared" si="36"/>
        <v/>
      </c>
      <c r="L97" s="16" t="str">
        <f t="shared" si="36"/>
        <v/>
      </c>
      <c r="M97" s="16" t="str">
        <f t="shared" si="36"/>
        <v/>
      </c>
      <c r="N97" s="16" t="str">
        <f t="shared" si="36"/>
        <v/>
      </c>
      <c r="O97" s="16" t="str">
        <f t="shared" si="36"/>
        <v/>
      </c>
      <c r="P97" s="16" t="str">
        <f t="shared" si="36"/>
        <v/>
      </c>
      <c r="Q97" s="16" t="str">
        <f t="shared" si="36"/>
        <v/>
      </c>
    </row>
    <row r="98" spans="1:17" ht="15.75" customHeight="1">
      <c r="A98" s="10"/>
      <c r="E98" s="157"/>
    </row>
    <row r="99" spans="1:17" ht="15.75" customHeight="1">
      <c r="A99" s="10"/>
      <c r="B99" s="119" t="s">
        <v>37</v>
      </c>
      <c r="C99" s="50"/>
      <c r="D99" s="19"/>
      <c r="E99" s="154"/>
      <c r="F99" s="19"/>
      <c r="G99" s="12"/>
      <c r="H99" s="12"/>
      <c r="I99" s="12"/>
      <c r="J99" s="12"/>
      <c r="K99" s="12"/>
      <c r="L99" s="12"/>
      <c r="M99" s="12"/>
      <c r="N99" s="12"/>
      <c r="O99" s="12"/>
      <c r="P99" s="12"/>
      <c r="Q99" s="12"/>
    </row>
    <row r="100" spans="1:17" ht="15.75" customHeight="1">
      <c r="A100" s="10"/>
      <c r="B100" s="19" t="s">
        <v>65</v>
      </c>
      <c r="C100" s="63">
        <f>C4/G4-1</f>
        <v>-0.30000000000000004</v>
      </c>
      <c r="D100" s="19"/>
      <c r="E100" s="154"/>
      <c r="F100" s="19"/>
      <c r="G100" s="6" t="str">
        <f t="shared" ref="G100:Q100" si="37">IF(H4="","",G4/H4-1)</f>
        <v/>
      </c>
      <c r="H100" s="6" t="str">
        <f t="shared" si="37"/>
        <v/>
      </c>
      <c r="I100" s="6" t="str">
        <f t="shared" si="37"/>
        <v/>
      </c>
      <c r="J100" s="6" t="str">
        <f t="shared" si="37"/>
        <v/>
      </c>
      <c r="K100" s="6" t="str">
        <f t="shared" si="37"/>
        <v/>
      </c>
      <c r="L100" s="6" t="str">
        <f t="shared" si="37"/>
        <v/>
      </c>
      <c r="M100" s="6" t="str">
        <f t="shared" si="37"/>
        <v/>
      </c>
      <c r="N100" s="6" t="str">
        <f t="shared" si="37"/>
        <v/>
      </c>
      <c r="O100" s="6" t="str">
        <f t="shared" si="37"/>
        <v/>
      </c>
      <c r="P100" s="6" t="str">
        <f t="shared" si="37"/>
        <v/>
      </c>
      <c r="Q100" s="6" t="str">
        <f t="shared" si="37"/>
        <v/>
      </c>
    </row>
    <row r="101" spans="1:17" ht="15.75" customHeight="1">
      <c r="A101" s="10"/>
      <c r="B101" s="56" t="s">
        <v>78</v>
      </c>
      <c r="C101" s="63" t="e">
        <f>C11/G11-1</f>
        <v>#REF!</v>
      </c>
      <c r="D101" s="19"/>
      <c r="E101" s="154"/>
      <c r="F101" s="19"/>
      <c r="G101" s="6" t="str">
        <f t="shared" ref="G101:Q101" si="38">IF(H5="","",G11/H11-1)</f>
        <v/>
      </c>
      <c r="H101" s="6" t="str">
        <f t="shared" si="38"/>
        <v/>
      </c>
      <c r="I101" s="6" t="str">
        <f t="shared" si="38"/>
        <v/>
      </c>
      <c r="J101" s="6" t="str">
        <f t="shared" si="38"/>
        <v/>
      </c>
      <c r="K101" s="6" t="str">
        <f t="shared" si="38"/>
        <v/>
      </c>
      <c r="L101" s="6" t="str">
        <f t="shared" si="38"/>
        <v/>
      </c>
      <c r="M101" s="6" t="str">
        <f t="shared" si="38"/>
        <v/>
      </c>
      <c r="N101" s="6" t="str">
        <f t="shared" si="38"/>
        <v/>
      </c>
      <c r="O101" s="6" t="str">
        <f t="shared" si="38"/>
        <v/>
      </c>
      <c r="P101" s="6" t="str">
        <f t="shared" si="38"/>
        <v/>
      </c>
      <c r="Q101" s="6" t="str">
        <f t="shared" si="38"/>
        <v/>
      </c>
    </row>
    <row r="102" spans="1:17" ht="15.75" customHeight="1">
      <c r="A102" s="10"/>
    </row>
    <row r="103" spans="1:17" ht="15.75" customHeight="1">
      <c r="A103" s="3"/>
      <c r="B103" s="42" t="s">
        <v>94</v>
      </c>
      <c r="C103" s="42"/>
      <c r="D103" s="44"/>
      <c r="E103" s="53" t="s">
        <v>24</v>
      </c>
      <c r="F103" s="44"/>
      <c r="G103" s="28"/>
      <c r="H103" s="28"/>
      <c r="I103" s="28"/>
      <c r="J103" s="28"/>
      <c r="K103" s="28"/>
      <c r="L103" s="28"/>
      <c r="M103" s="28"/>
      <c r="N103" s="28"/>
      <c r="O103" s="28"/>
      <c r="P103" s="28"/>
      <c r="Q103" s="28"/>
    </row>
    <row r="104" spans="1:17" ht="15.75" customHeight="1">
      <c r="A104" s="10"/>
    </row>
    <row r="105" spans="1:17" ht="15.75" customHeight="1">
      <c r="A105" s="10"/>
    </row>
    <row r="106" spans="1:17" ht="15.75" customHeight="1">
      <c r="A106" s="10"/>
    </row>
    <row r="107" spans="1:17" ht="15.75" customHeight="1">
      <c r="A107" s="10"/>
    </row>
    <row r="108" spans="1:17" ht="15.75" customHeight="1">
      <c r="A108" s="10"/>
      <c r="E108" s="157"/>
    </row>
    <row r="109" spans="1:17" ht="15.75" customHeight="1">
      <c r="A109" s="10"/>
      <c r="B109" s="70" t="s">
        <v>99</v>
      </c>
      <c r="C109" s="18"/>
      <c r="D109" s="18"/>
      <c r="E109" s="158"/>
      <c r="F109" s="18"/>
      <c r="G109" s="75" t="s">
        <v>98</v>
      </c>
      <c r="H109" s="12"/>
      <c r="I109" s="12"/>
      <c r="J109" s="12"/>
      <c r="K109" s="12"/>
      <c r="L109" s="12"/>
      <c r="M109" s="12"/>
      <c r="N109" s="12"/>
      <c r="O109" s="12"/>
      <c r="P109" s="12"/>
      <c r="Q109" s="12"/>
    </row>
    <row r="110" spans="1:17" ht="15.75" customHeight="1">
      <c r="A110" s="10"/>
      <c r="B110" s="18" t="s">
        <v>96</v>
      </c>
      <c r="C110" s="73" t="e">
        <f>#REF!/C$4</f>
        <v>#REF!</v>
      </c>
      <c r="D110" s="18"/>
      <c r="E110" s="158"/>
      <c r="F110" s="18"/>
      <c r="G110" s="73" t="e">
        <f>IF(G$4="","",#REF!/G$4)</f>
        <v>#REF!</v>
      </c>
      <c r="H110" s="73" t="str">
        <f>IF(H$4="","",#REF!/H$4)</f>
        <v/>
      </c>
      <c r="I110" s="73" t="str">
        <f>IF(I$4="","",#REF!/I$4)</f>
        <v/>
      </c>
      <c r="J110" s="73" t="str">
        <f>IF(J$4="","",#REF!/J$4)</f>
        <v/>
      </c>
      <c r="K110" s="73" t="str">
        <f>IF(K$4="","",#REF!/K$4)</f>
        <v/>
      </c>
      <c r="L110" s="73" t="str">
        <f>IF(L$4="","",#REF!/L$4)</f>
        <v/>
      </c>
      <c r="M110" s="73" t="str">
        <f>IF(M$4="","",#REF!/M$4)</f>
        <v/>
      </c>
      <c r="N110" s="73" t="str">
        <f>IF(N$4="","",#REF!/N$4)</f>
        <v/>
      </c>
      <c r="O110" s="73" t="str">
        <f>IF(O$4="","",#REF!/O$4)</f>
        <v/>
      </c>
      <c r="P110" s="73" t="str">
        <f>IF(P$4="","",#REF!/P$4)</f>
        <v/>
      </c>
      <c r="Q110" s="73" t="str">
        <f>IF(Q$4="","",#REF!/Q$4)</f>
        <v/>
      </c>
    </row>
    <row r="111" spans="1:17" ht="15.75" customHeight="1">
      <c r="A111" s="10"/>
      <c r="B111" s="18" t="s">
        <v>97</v>
      </c>
      <c r="C111" s="73" t="e">
        <f>#REF!/C$4</f>
        <v>#REF!</v>
      </c>
      <c r="D111" s="18"/>
      <c r="E111" s="158"/>
      <c r="F111" s="18"/>
      <c r="G111" s="73" t="e">
        <f>IF(G$4="","",#REF!/G$4)</f>
        <v>#REF!</v>
      </c>
      <c r="H111" s="73" t="str">
        <f>IF(H$4="","",#REF!/H$4)</f>
        <v/>
      </c>
      <c r="I111" s="73" t="str">
        <f>IF(I$4="","",#REF!/I$4)</f>
        <v/>
      </c>
      <c r="J111" s="73" t="str">
        <f>IF(J$4="","",#REF!/J$4)</f>
        <v/>
      </c>
      <c r="K111" s="73" t="str">
        <f>IF(K$4="","",#REF!/K$4)</f>
        <v/>
      </c>
      <c r="L111" s="73" t="str">
        <f>IF(L$4="","",#REF!/L$4)</f>
        <v/>
      </c>
      <c r="M111" s="73" t="str">
        <f>IF(M$4="","",#REF!/M$4)</f>
        <v/>
      </c>
      <c r="N111" s="73" t="str">
        <f>IF(N$4="","",#REF!/N$4)</f>
        <v/>
      </c>
      <c r="O111" s="73" t="str">
        <f>IF(O$4="","",#REF!/O$4)</f>
        <v/>
      </c>
      <c r="P111" s="73" t="str">
        <f>IF(P$4="","",#REF!/P$4)</f>
        <v/>
      </c>
      <c r="Q111" s="73" t="str">
        <f>IF(Q$4="","",#REF!/Q$4)</f>
        <v/>
      </c>
    </row>
    <row r="112" spans="1:17" ht="15.75" customHeight="1">
      <c r="A112" s="10"/>
      <c r="B112" s="18" t="s">
        <v>32</v>
      </c>
      <c r="C112" s="73" t="e">
        <f>#REF!/C$4</f>
        <v>#REF!</v>
      </c>
      <c r="D112" s="18"/>
      <c r="E112" s="158"/>
      <c r="F112" s="18"/>
      <c r="G112" s="73" t="e">
        <f>#REF!/G$4</f>
        <v>#REF!</v>
      </c>
      <c r="H112" s="138"/>
      <c r="I112" s="138"/>
      <c r="J112" s="138"/>
      <c r="K112" s="138"/>
      <c r="L112" s="138"/>
      <c r="M112" s="138"/>
      <c r="N112" s="138"/>
      <c r="O112" s="138"/>
      <c r="P112" s="138"/>
      <c r="Q112" s="138"/>
    </row>
    <row r="113" spans="1:17" ht="15.75" customHeight="1">
      <c r="A113" s="10"/>
      <c r="E113" s="157"/>
    </row>
    <row r="114" spans="1:17" ht="15.75" customHeight="1">
      <c r="A114" s="10"/>
      <c r="B114" s="51" t="s">
        <v>18</v>
      </c>
      <c r="E114" s="157"/>
    </row>
    <row r="115" spans="1:17" ht="15.75" customHeight="1">
      <c r="A115" s="10"/>
      <c r="B115" s="2" t="s">
        <v>133</v>
      </c>
      <c r="C115" s="127"/>
      <c r="E115" s="157"/>
      <c r="G115" s="169">
        <f>IF(G$4="","",Data!C$21/Data!C15)</f>
        <v>0</v>
      </c>
      <c r="H115" s="169" t="str">
        <f>IF(H$4="","",Data!D$21/Data!D15)</f>
        <v/>
      </c>
      <c r="I115" s="169" t="str">
        <f>IF(I$4="","",Data!E$21/Data!E15)</f>
        <v/>
      </c>
      <c r="J115" s="169" t="str">
        <f>IF(J$4="","",Data!F$21/Data!F15)</f>
        <v/>
      </c>
      <c r="K115" s="169" t="str">
        <f>IF(K$4="","",Data!G$21/Data!G15)</f>
        <v/>
      </c>
      <c r="L115" s="169" t="str">
        <f>IF(L$4="","",Data!H$21/Data!H15)</f>
        <v/>
      </c>
      <c r="M115" s="169" t="str">
        <f>IF(M$4="","",Data!I$21/Data!I15)</f>
        <v/>
      </c>
      <c r="N115" s="169" t="str">
        <f>IF(N$4="","",Data!J$21/Data!J15)</f>
        <v/>
      </c>
      <c r="O115" s="169" t="str">
        <f>IF(O$4="","",Data!K$21/Data!K15)</f>
        <v/>
      </c>
      <c r="P115" s="169" t="str">
        <f>IF(P$4="","",Data!L$21/Data!L15)</f>
        <v/>
      </c>
      <c r="Q115" s="169" t="str">
        <f>IF(Q$4="","",Data!M$21/Data!M15)</f>
        <v/>
      </c>
    </row>
    <row r="116" spans="1:17" ht="15.75" customHeight="1">
      <c r="A116" s="10"/>
      <c r="B116" s="2" t="s">
        <v>134</v>
      </c>
      <c r="C116" s="127"/>
      <c r="E116" s="157"/>
      <c r="G116" s="169" t="e">
        <f>IF(G$4="","",Data!C$21/G19)</f>
        <v>#REF!</v>
      </c>
      <c r="H116" s="169" t="str">
        <f>IF(H$4="","",Data!D$21/H19)</f>
        <v/>
      </c>
      <c r="I116" s="169" t="str">
        <f>IF(I$4="","",Data!E$21/I19)</f>
        <v/>
      </c>
      <c r="J116" s="169" t="str">
        <f>IF(J$4="","",Data!F$21/J19)</f>
        <v/>
      </c>
      <c r="K116" s="169" t="str">
        <f>IF(K$4="","",Data!G$21/K19)</f>
        <v/>
      </c>
      <c r="L116" s="169" t="str">
        <f>IF(L$4="","",Data!H$21/L19)</f>
        <v/>
      </c>
      <c r="M116" s="169" t="str">
        <f>IF(M$4="","",Data!I$21/M19)</f>
        <v/>
      </c>
      <c r="N116" s="169" t="str">
        <f>IF(N$4="","",Data!J$21/N19)</f>
        <v/>
      </c>
      <c r="O116" s="169" t="str">
        <f>IF(O$4="","",Data!K$21/O19)</f>
        <v/>
      </c>
      <c r="P116" s="169" t="str">
        <f>IF(P$4="","",Data!L$21/P19)</f>
        <v/>
      </c>
      <c r="Q116" s="169" t="str">
        <f>IF(Q$4="","",Data!M$21/Q19)</f>
        <v/>
      </c>
    </row>
    <row r="117" spans="1:17" ht="15.75" customHeight="1">
      <c r="A117" s="10"/>
      <c r="E117" s="157"/>
    </row>
    <row r="118" spans="1:17" ht="15.75" customHeight="1">
      <c r="A118" s="10"/>
      <c r="B118" s="70" t="s">
        <v>6</v>
      </c>
      <c r="C118" s="43"/>
      <c r="D118" s="43"/>
      <c r="E118" s="159"/>
      <c r="F118" s="43"/>
      <c r="G118" s="16" t="str">
        <f>IFERROR(IF(#REF!*G120*(1/#REF!)=G122,"","Error"),"")</f>
        <v/>
      </c>
      <c r="H118" s="16" t="str">
        <f>IFERROR(IF(#REF!*H120*(1/#REF!)=H122,"","Error"),"")</f>
        <v/>
      </c>
      <c r="I118" s="16" t="str">
        <f>IFERROR(IF(#REF!*I120*(1/#REF!)=I122,"","Error"),"")</f>
        <v/>
      </c>
      <c r="J118" s="16" t="str">
        <f>IFERROR(IF(#REF!*J120*(1/#REF!)=J122,"","Error"),"")</f>
        <v/>
      </c>
      <c r="K118" s="16" t="str">
        <f>IFERROR(IF(#REF!*K120*(1/#REF!)=K122,"","Error"),"")</f>
        <v/>
      </c>
      <c r="L118" s="16" t="str">
        <f>IFERROR(IF(#REF!*L120*(1/#REF!)=L122,"","Error"),"")</f>
        <v/>
      </c>
      <c r="M118" s="16" t="str">
        <f>IFERROR(IF(#REF!*M120*(1/#REF!)=M122,"","Error"),"")</f>
        <v/>
      </c>
      <c r="N118" s="16" t="str">
        <f>IFERROR(IF(#REF!*N120*(1/#REF!)=N122,"","Error"),"")</f>
        <v/>
      </c>
      <c r="O118" s="16" t="str">
        <f>IFERROR(IF(#REF!*O120*(1/#REF!)=O122,"","Error"),"")</f>
        <v/>
      </c>
      <c r="P118" s="16" t="str">
        <f>IFERROR(IF(#REF!*P120*(1/#REF!)=P122,"","Error"),"")</f>
        <v/>
      </c>
      <c r="Q118" s="16" t="str">
        <f>IFERROR(IF(#REF!*Q120*(1/#REF!)=Q122,"","Error"),"")</f>
        <v/>
      </c>
    </row>
    <row r="119" spans="1:17" ht="15.75" customHeight="1">
      <c r="A119" s="10"/>
      <c r="B119" s="7" t="s">
        <v>100</v>
      </c>
      <c r="C119" s="16" t="e">
        <f>C82</f>
        <v>#REF!</v>
      </c>
      <c r="E119" s="157"/>
      <c r="G119" s="16" t="e">
        <f t="shared" ref="G119:Q119" si="39">IF(G4="","",G82)</f>
        <v>#REF!</v>
      </c>
      <c r="H119" s="16" t="str">
        <f t="shared" si="39"/>
        <v/>
      </c>
      <c r="I119" s="16" t="str">
        <f t="shared" si="39"/>
        <v/>
      </c>
      <c r="J119" s="16" t="str">
        <f t="shared" si="39"/>
        <v/>
      </c>
      <c r="K119" s="16" t="str">
        <f t="shared" si="39"/>
        <v/>
      </c>
      <c r="L119" s="16" t="str">
        <f t="shared" si="39"/>
        <v/>
      </c>
      <c r="M119" s="16" t="str">
        <f t="shared" si="39"/>
        <v/>
      </c>
      <c r="N119" s="16" t="str">
        <f t="shared" si="39"/>
        <v/>
      </c>
      <c r="O119" s="16" t="str">
        <f t="shared" si="39"/>
        <v/>
      </c>
      <c r="P119" s="16" t="str">
        <f t="shared" si="39"/>
        <v/>
      </c>
      <c r="Q119" s="16" t="str">
        <f t="shared" si="39"/>
        <v/>
      </c>
    </row>
    <row r="120" spans="1:17" ht="15.75" customHeight="1">
      <c r="B120" s="7" t="s">
        <v>36</v>
      </c>
      <c r="C120" s="33" t="e">
        <f>C4/C29</f>
        <v>#REF!</v>
      </c>
      <c r="E120" s="157"/>
      <c r="G120" s="33" t="e">
        <f t="shared" ref="G120:Q120" si="40">IF(G4="","",G4/G29)</f>
        <v>#DIV/0!</v>
      </c>
      <c r="H120" s="33" t="str">
        <f t="shared" si="40"/>
        <v/>
      </c>
      <c r="I120" s="33" t="str">
        <f t="shared" si="40"/>
        <v/>
      </c>
      <c r="J120" s="33" t="str">
        <f t="shared" si="40"/>
        <v/>
      </c>
      <c r="K120" s="33" t="str">
        <f t="shared" si="40"/>
        <v/>
      </c>
      <c r="L120" s="33" t="str">
        <f t="shared" si="40"/>
        <v/>
      </c>
      <c r="M120" s="33" t="str">
        <f t="shared" si="40"/>
        <v/>
      </c>
      <c r="N120" s="33" t="str">
        <f t="shared" si="40"/>
        <v/>
      </c>
      <c r="O120" s="33" t="str">
        <f t="shared" si="40"/>
        <v/>
      </c>
      <c r="P120" s="33" t="str">
        <f t="shared" si="40"/>
        <v/>
      </c>
      <c r="Q120" s="33" t="str">
        <f t="shared" si="40"/>
        <v/>
      </c>
    </row>
    <row r="121" spans="1:17" ht="15.75" customHeight="1">
      <c r="B121" s="7" t="s">
        <v>43</v>
      </c>
      <c r="C121" s="13" t="e">
        <f>C29/C31</f>
        <v>#REF!</v>
      </c>
      <c r="D121" s="11"/>
      <c r="E121" s="160"/>
      <c r="F121" s="11"/>
      <c r="G121" s="13" t="e">
        <f t="shared" ref="G121:Q121" si="41">IF(G$4="","",G29/G31)</f>
        <v>#DIV/0!</v>
      </c>
      <c r="H121" s="13" t="str">
        <f t="shared" si="41"/>
        <v/>
      </c>
      <c r="I121" s="13" t="str">
        <f t="shared" si="41"/>
        <v/>
      </c>
      <c r="J121" s="13" t="str">
        <f t="shared" si="41"/>
        <v/>
      </c>
      <c r="K121" s="13" t="str">
        <f t="shared" si="41"/>
        <v/>
      </c>
      <c r="L121" s="13" t="str">
        <f t="shared" si="41"/>
        <v/>
      </c>
      <c r="M121" s="13" t="str">
        <f t="shared" si="41"/>
        <v/>
      </c>
      <c r="N121" s="13" t="str">
        <f t="shared" si="41"/>
        <v/>
      </c>
      <c r="O121" s="13" t="str">
        <f t="shared" si="41"/>
        <v/>
      </c>
      <c r="P121" s="13" t="str">
        <f t="shared" si="41"/>
        <v/>
      </c>
      <c r="Q121" s="13" t="str">
        <f t="shared" si="41"/>
        <v/>
      </c>
    </row>
    <row r="122" spans="1:17" ht="15.75" customHeight="1">
      <c r="A122" s="10"/>
      <c r="B122" s="56" t="s">
        <v>101</v>
      </c>
      <c r="C122" s="78" t="e">
        <f>C11/C31</f>
        <v>#REF!</v>
      </c>
      <c r="D122" s="79"/>
      <c r="E122" s="159"/>
      <c r="F122" s="79"/>
      <c r="G122" s="78" t="e">
        <f t="shared" ref="G122:Q122" si="42">IF(G$4="","",G11/G31)</f>
        <v>#REF!</v>
      </c>
      <c r="H122" s="78" t="str">
        <f t="shared" si="42"/>
        <v/>
      </c>
      <c r="I122" s="78" t="str">
        <f t="shared" si="42"/>
        <v/>
      </c>
      <c r="J122" s="78" t="str">
        <f t="shared" si="42"/>
        <v/>
      </c>
      <c r="K122" s="78" t="str">
        <f t="shared" si="42"/>
        <v/>
      </c>
      <c r="L122" s="78" t="str">
        <f t="shared" si="42"/>
        <v/>
      </c>
      <c r="M122" s="78" t="str">
        <f t="shared" si="42"/>
        <v/>
      </c>
      <c r="N122" s="78" t="str">
        <f t="shared" si="42"/>
        <v/>
      </c>
      <c r="O122" s="78" t="str">
        <f t="shared" si="42"/>
        <v/>
      </c>
      <c r="P122" s="78" t="str">
        <f t="shared" si="42"/>
        <v/>
      </c>
      <c r="Q122" s="78" t="str">
        <f t="shared" si="42"/>
        <v/>
      </c>
    </row>
    <row r="123" spans="1:17" ht="15.75" customHeight="1">
      <c r="A123" s="10"/>
      <c r="B123" s="19"/>
      <c r="C123" s="50"/>
      <c r="D123" s="19"/>
      <c r="E123" s="54"/>
      <c r="F123" s="19"/>
      <c r="G123" s="12"/>
      <c r="H123" s="12"/>
      <c r="I123" s="12"/>
      <c r="J123" s="12"/>
      <c r="K123" s="12"/>
      <c r="L123" s="12"/>
      <c r="M123" s="12"/>
      <c r="N123" s="12"/>
      <c r="O123" s="12"/>
      <c r="P123" s="12"/>
      <c r="Q123" s="12"/>
    </row>
    <row r="124" spans="1:17" ht="15.75" customHeight="1">
      <c r="A124" s="10"/>
      <c r="B124" s="42" t="s">
        <v>102</v>
      </c>
      <c r="C124" s="42"/>
      <c r="D124" s="44"/>
      <c r="E124" s="53" t="s">
        <v>24</v>
      </c>
      <c r="F124" s="44"/>
      <c r="G124" s="28"/>
      <c r="H124" s="28"/>
      <c r="I124" s="28"/>
      <c r="J124" s="28"/>
      <c r="K124" s="28"/>
      <c r="L124" s="28"/>
      <c r="M124" s="28"/>
      <c r="N124" s="28"/>
      <c r="O124" s="28"/>
      <c r="P124" s="28"/>
      <c r="Q124" s="28"/>
    </row>
    <row r="125" spans="1:17" ht="15.75" customHeight="1">
      <c r="A125" s="10"/>
      <c r="B125" s="136" t="s">
        <v>82</v>
      </c>
      <c r="C125" s="137"/>
      <c r="D125" s="19"/>
      <c r="E125" s="154"/>
      <c r="F125" s="19"/>
      <c r="G125" s="12"/>
      <c r="H125" s="12"/>
      <c r="I125" s="12"/>
      <c r="J125" s="12"/>
      <c r="K125" s="12"/>
      <c r="L125" s="12"/>
      <c r="M125" s="12"/>
      <c r="N125" s="12"/>
      <c r="O125" s="12"/>
      <c r="P125" s="12"/>
      <c r="Q125" s="12"/>
    </row>
    <row r="126" spans="1:17" ht="15.75" customHeight="1">
      <c r="A126" s="10"/>
      <c r="B126" s="19" t="str">
        <f>"FCFE per share ("&amp;Market_currency&amp;")"</f>
        <v>FCFE per share (HKD)</v>
      </c>
      <c r="C126" s="135" t="e">
        <f>C14*$C$3/Common_Shares*Exchange_Rate</f>
        <v>#REF!</v>
      </c>
      <c r="D126" s="19"/>
      <c r="E126" s="154"/>
      <c r="F126" s="19"/>
      <c r="G126" s="135" t="e">
        <f t="shared" ref="G126:Q126" si="43">IF(G$4="","",G14*$C$3/Common_Shares*Exchange_Rate)</f>
        <v>#REF!</v>
      </c>
      <c r="H126" s="135" t="str">
        <f t="shared" si="43"/>
        <v/>
      </c>
      <c r="I126" s="135" t="str">
        <f t="shared" si="43"/>
        <v/>
      </c>
      <c r="J126" s="135" t="str">
        <f t="shared" si="43"/>
        <v/>
      </c>
      <c r="K126" s="135" t="str">
        <f t="shared" si="43"/>
        <v/>
      </c>
      <c r="L126" s="135" t="str">
        <f t="shared" si="43"/>
        <v/>
      </c>
      <c r="M126" s="135" t="str">
        <f t="shared" si="43"/>
        <v/>
      </c>
      <c r="N126" s="135" t="str">
        <f t="shared" si="43"/>
        <v/>
      </c>
      <c r="O126" s="135" t="str">
        <f t="shared" si="43"/>
        <v/>
      </c>
      <c r="P126" s="135" t="str">
        <f t="shared" si="43"/>
        <v/>
      </c>
      <c r="Q126" s="135" t="str">
        <f t="shared" si="43"/>
        <v/>
      </c>
    </row>
    <row r="127" spans="1:17" ht="15.75" customHeight="1">
      <c r="A127" s="10"/>
      <c r="B127" s="19" t="s">
        <v>105</v>
      </c>
      <c r="C127" s="63" t="e">
        <f>C19*Exchange_Rate*$C$3/(Market_Price*Common_Shares)</f>
        <v>#REF!</v>
      </c>
      <c r="D127" s="19"/>
      <c r="E127" s="154"/>
      <c r="F127" s="19"/>
      <c r="G127" s="63" t="e">
        <f t="shared" ref="G127" si="44">IF(G$4="","",G126/Market_Price)</f>
        <v>#REF!</v>
      </c>
      <c r="H127" s="63" t="str">
        <f t="shared" ref="H127" si="45">IF(H$4="","",H126/Market_Price)</f>
        <v/>
      </c>
      <c r="I127" s="63" t="str">
        <f t="shared" ref="I127" si="46">IF(I$4="","",I126/Market_Price)</f>
        <v/>
      </c>
      <c r="J127" s="63" t="str">
        <f t="shared" ref="J127" si="47">IF(J$4="","",J126/Market_Price)</f>
        <v/>
      </c>
      <c r="K127" s="63" t="str">
        <f t="shared" ref="K127" si="48">IF(K$4="","",K126/Market_Price)</f>
        <v/>
      </c>
      <c r="L127" s="63" t="str">
        <f t="shared" ref="L127" si="49">IF(L$4="","",L126/Market_Price)</f>
        <v/>
      </c>
      <c r="M127" s="63" t="str">
        <f t="shared" ref="M127" si="50">IF(M$4="","",M126/Market_Price)</f>
        <v/>
      </c>
      <c r="N127" s="63" t="str">
        <f t="shared" ref="N127" si="51">IF(N$4="","",N126/Market_Price)</f>
        <v/>
      </c>
      <c r="O127" s="63" t="str">
        <f t="shared" ref="O127" si="52">IF(O$4="","",O126/Market_Price)</f>
        <v/>
      </c>
      <c r="P127" s="63" t="str">
        <f t="shared" ref="P127" si="53">IF(P$4="","",P126/Market_Price)</f>
        <v/>
      </c>
      <c r="Q127" s="63" t="str">
        <f t="shared" ref="Q127" si="54">IF(Q$4="","",Q126/Market_Price)</f>
        <v/>
      </c>
    </row>
    <row r="128" spans="1:17" ht="15.75" customHeight="1">
      <c r="B128" s="2" t="s">
        <v>136</v>
      </c>
      <c r="C128" s="127"/>
      <c r="G128" s="16">
        <f>IF(G$4="","",(Data!C49*$C$3)/(Market_Price*Common_Shares))</f>
        <v>7.5220399173817815E-2</v>
      </c>
      <c r="H128" s="16" t="str">
        <f>IF(H$4="","",(Data!D49*$C$3)/(Market_Price*Common_Shares))</f>
        <v/>
      </c>
      <c r="I128" s="16" t="str">
        <f>IF(I$4="","",(Data!E49*$C$3)/(Market_Price*Common_Shares))</f>
        <v/>
      </c>
      <c r="J128" s="16" t="str">
        <f>IF(J$4="","",(Data!F49*$C$3)/(Market_Price*Common_Shares))</f>
        <v/>
      </c>
      <c r="K128" s="16" t="str">
        <f>IF(K$4="","",(Data!G49*$C$3)/(Market_Price*Common_Shares))</f>
        <v/>
      </c>
      <c r="L128" s="16" t="str">
        <f>IF(L$4="","",(Data!H49*$C$3)/(Market_Price*Common_Shares))</f>
        <v/>
      </c>
      <c r="M128" s="16" t="str">
        <f>IF(M$4="","",(Data!I49*$C$3)/(Market_Price*Common_Shares))</f>
        <v/>
      </c>
      <c r="N128" s="16" t="str">
        <f>IF(N$4="","",(Data!J49*$C$3)/(Market_Price*Common_Shares))</f>
        <v/>
      </c>
      <c r="O128" s="16" t="str">
        <f>IF(O$4="","",(Data!K49*$C$3)/(Market_Price*Common_Shares))</f>
        <v/>
      </c>
      <c r="P128" s="16" t="str">
        <f>IF(P$4="","",(Data!L49*$C$3)/(Market_Price*Common_Shares))</f>
        <v/>
      </c>
      <c r="Q128" s="16" t="str">
        <f>IF(Q$4="","",(Data!M49*$C$3)/(Market_Price*Common_Shares))</f>
        <v/>
      </c>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Z111"/>
  <sheetViews>
    <sheetView showGridLines="0" zoomScale="55" zoomScaleNormal="55" workbookViewId="0">
      <selection activeCell="F25" sqref="F25"/>
    </sheetView>
  </sheetViews>
  <sheetFormatPr defaultColWidth="8.796875" defaultRowHeight="12.75"/>
  <cols>
    <col min="1" max="1" width="6.1328125" customWidth="1"/>
    <col min="2" max="13" width="20.6640625" customWidth="1"/>
    <col min="14" max="14" width="2.59765625" customWidth="1"/>
    <col min="15" max="15" width="15.06640625" bestFit="1" customWidth="1"/>
    <col min="16" max="16" width="15.06640625" customWidth="1"/>
    <col min="17" max="17" width="20.6640625" customWidth="1"/>
    <col min="18" max="18" width="5.6640625" customWidth="1"/>
  </cols>
  <sheetData>
    <row r="2" spans="2:20" ht="13.9">
      <c r="B2" s="27" t="s">
        <v>251</v>
      </c>
      <c r="C2" s="28"/>
      <c r="D2" s="28"/>
      <c r="E2" s="28"/>
      <c r="F2" s="28"/>
      <c r="G2" s="28"/>
      <c r="H2" s="28"/>
      <c r="I2" s="28"/>
      <c r="J2" s="28"/>
      <c r="K2" s="28"/>
      <c r="L2" s="28"/>
      <c r="M2" s="28"/>
      <c r="O2" s="28"/>
      <c r="P2" s="28"/>
      <c r="Q2" s="28"/>
      <c r="R2" s="28"/>
    </row>
    <row r="3" spans="2:20" ht="13.15">
      <c r="B3" s="84" t="s">
        <v>252</v>
      </c>
      <c r="C3" s="83">
        <f>scaling_factor</f>
        <v>1000</v>
      </c>
      <c r="F3" s="84" t="s">
        <v>184</v>
      </c>
      <c r="I3" s="84" t="s">
        <v>185</v>
      </c>
      <c r="J3" s="269"/>
      <c r="K3" s="269"/>
      <c r="L3" s="269"/>
      <c r="M3" s="269"/>
    </row>
    <row r="4" spans="2:20">
      <c r="B4" s="76" t="s">
        <v>248</v>
      </c>
      <c r="C4" s="187" t="e">
        <f>Normalized_FCF!C19</f>
        <v>#REF!</v>
      </c>
      <c r="D4" t="str">
        <f>Reporting_currency</f>
        <v>CNY</v>
      </c>
      <c r="F4" s="76" t="s">
        <v>196</v>
      </c>
      <c r="G4" s="103">
        <f>Terminal_Growth</f>
        <v>0</v>
      </c>
      <c r="I4" s="216" t="s">
        <v>163</v>
      </c>
      <c r="J4" s="216"/>
      <c r="K4" s="216"/>
      <c r="L4" s="216"/>
      <c r="M4" s="216"/>
      <c r="O4" s="214">
        <f>Normalized_FCF!C4</f>
        <v>1454238.7999999998</v>
      </c>
      <c r="P4" s="214"/>
    </row>
    <row r="5" spans="2:20">
      <c r="B5" s="226" t="s">
        <v>250</v>
      </c>
      <c r="C5" s="187"/>
      <c r="F5" s="111"/>
      <c r="G5" s="187"/>
      <c r="I5" s="216"/>
      <c r="J5" s="216"/>
      <c r="K5" s="216"/>
      <c r="L5" s="216"/>
      <c r="M5" s="216"/>
      <c r="O5" s="214"/>
      <c r="P5" s="214"/>
    </row>
    <row r="6" spans="2:20">
      <c r="B6" s="76" t="s">
        <v>249</v>
      </c>
      <c r="C6" s="187"/>
      <c r="F6" s="111"/>
      <c r="G6" s="187"/>
      <c r="I6" s="216"/>
      <c r="J6" s="216"/>
      <c r="K6" s="216"/>
      <c r="L6" s="216"/>
      <c r="M6" s="216"/>
      <c r="O6" s="214"/>
      <c r="P6" s="214"/>
    </row>
    <row r="7" spans="2:20">
      <c r="B7" s="139" t="s">
        <v>56</v>
      </c>
      <c r="C7" s="140">
        <f>Equity_Cost</f>
        <v>7.4999999999999997E-2</v>
      </c>
      <c r="F7" s="111"/>
      <c r="G7" s="187"/>
      <c r="I7" s="216" t="s">
        <v>165</v>
      </c>
      <c r="J7" s="216"/>
      <c r="K7" s="216"/>
      <c r="L7" s="216"/>
      <c r="M7" s="216"/>
      <c r="O7" s="214">
        <f>Normalized_FCF!C7</f>
        <v>-486720</v>
      </c>
      <c r="P7" s="214"/>
    </row>
    <row r="8" spans="2:20" ht="13.25" customHeight="1">
      <c r="B8" s="112" t="s">
        <v>194</v>
      </c>
      <c r="C8" s="194"/>
      <c r="D8" t="str">
        <f>Reporting_currency</f>
        <v>CNY</v>
      </c>
      <c r="F8" s="226"/>
      <c r="G8" s="214"/>
      <c r="I8" s="216" t="s">
        <v>187</v>
      </c>
      <c r="J8" s="216"/>
      <c r="K8" s="216"/>
      <c r="L8" s="216"/>
      <c r="M8" s="216"/>
      <c r="O8" s="214" t="e">
        <f>O9+O10</f>
        <v>#REF!</v>
      </c>
      <c r="P8" s="214"/>
      <c r="S8" s="111"/>
    </row>
    <row r="9" spans="2:20" ht="12.75" customHeight="1" thickBot="1">
      <c r="B9" s="141" t="str">
        <f>"*"&amp;Thesis!E15</f>
        <v>*CNY/HKD</v>
      </c>
      <c r="C9" s="142">
        <f>Exchange_Rate</f>
        <v>1.0900000000000001</v>
      </c>
      <c r="D9" t="str">
        <f>Thesis!E15</f>
        <v>CNY/HKD</v>
      </c>
      <c r="F9" s="116"/>
      <c r="G9" s="268"/>
      <c r="I9" s="220" t="s">
        <v>188</v>
      </c>
      <c r="J9" s="220"/>
      <c r="K9" s="220"/>
      <c r="L9" s="220"/>
      <c r="M9" s="220"/>
      <c r="O9" s="221" t="e">
        <f>Normalized_FCF!C9</f>
        <v>#REF!</v>
      </c>
      <c r="P9" s="221"/>
      <c r="S9" s="213"/>
      <c r="T9" s="213"/>
    </row>
    <row r="10" spans="2:20" ht="13.5" thickTop="1">
      <c r="B10" s="85" t="s">
        <v>195</v>
      </c>
      <c r="C10" s="194">
        <f>C8*Exchange_Rate</f>
        <v>0</v>
      </c>
      <c r="D10" t="str">
        <f>Market_currency</f>
        <v>HKD</v>
      </c>
      <c r="F10" s="116"/>
      <c r="G10" s="86"/>
      <c r="H10" s="203"/>
      <c r="I10" s="222" t="str">
        <f>Normalized_FCF!B10</f>
        <v>Interest Expense</v>
      </c>
      <c r="J10" s="222"/>
      <c r="K10" s="222"/>
      <c r="L10" s="222"/>
      <c r="M10" s="222"/>
      <c r="O10" s="221" t="e">
        <f>Normalized_FCF!C10</f>
        <v>#REF!</v>
      </c>
      <c r="P10" s="221"/>
      <c r="S10" s="213"/>
      <c r="T10" s="213"/>
    </row>
    <row r="11" spans="2:20" ht="13.15">
      <c r="B11" s="112" t="s">
        <v>193</v>
      </c>
      <c r="C11" s="86">
        <f>(C10*scaling_factor)/Common_Shares</f>
        <v>0</v>
      </c>
      <c r="D11" t="str">
        <f>Market_currency</f>
        <v>HKD</v>
      </c>
      <c r="G11" s="230"/>
      <c r="I11" s="216" t="str">
        <f>Normalized_FCF!B84</f>
        <v>NCI’s Share of Profits</v>
      </c>
      <c r="J11" s="216"/>
      <c r="K11" s="216"/>
      <c r="L11" s="216"/>
      <c r="M11" s="216"/>
      <c r="O11" s="120" t="e">
        <f>Normalized_FCF!C84</f>
        <v>#REF!</v>
      </c>
      <c r="P11" s="120"/>
      <c r="S11" s="213"/>
      <c r="T11" s="213"/>
    </row>
    <row r="12" spans="2:20">
      <c r="I12" s="216" t="s">
        <v>167</v>
      </c>
      <c r="J12" s="216"/>
      <c r="K12" s="216"/>
      <c r="L12" s="216"/>
      <c r="M12" s="216"/>
      <c r="O12" s="215">
        <f>Normalized_FCF!C46</f>
        <v>0.25</v>
      </c>
      <c r="P12" s="215"/>
      <c r="S12" s="213"/>
      <c r="T12" s="213"/>
    </row>
    <row r="14" spans="2:20" ht="13.9">
      <c r="B14" s="27" t="s">
        <v>253</v>
      </c>
      <c r="C14" s="28"/>
      <c r="D14" s="28"/>
      <c r="E14" s="28"/>
      <c r="F14" s="28"/>
      <c r="G14" s="28"/>
      <c r="H14" s="28"/>
      <c r="I14" s="28"/>
      <c r="J14" s="28"/>
      <c r="K14" s="28"/>
      <c r="L14" s="28"/>
      <c r="M14" s="28"/>
      <c r="O14" s="28"/>
      <c r="P14" s="28"/>
      <c r="Q14" s="28"/>
      <c r="R14" s="28"/>
    </row>
    <row r="15" spans="2:20" ht="13.15">
      <c r="B15" s="84" t="s">
        <v>169</v>
      </c>
      <c r="C15" s="217" t="s">
        <v>176</v>
      </c>
      <c r="F15" s="84" t="s">
        <v>169</v>
      </c>
      <c r="G15" s="217" t="str">
        <f>IF(G18=C18,"I","II")</f>
        <v>I</v>
      </c>
    </row>
    <row r="16" spans="2:20">
      <c r="B16" s="115" t="s">
        <v>190</v>
      </c>
      <c r="C16" s="124">
        <f>Scenarios!C45</f>
        <v>5</v>
      </c>
      <c r="F16" s="216" t="str">
        <f>IF(G15="II","Change year","Terminal Year")</f>
        <v>Terminal Year</v>
      </c>
      <c r="G16" s="218">
        <f>IF(G15="II",_xlfn.CEILING.MATH(C16/2),C16+1)</f>
        <v>6</v>
      </c>
    </row>
    <row r="17" spans="1:26" ht="13.25" customHeight="1">
      <c r="B17" s="92" t="s">
        <v>191</v>
      </c>
      <c r="C17" s="123">
        <f>Scenarios!C46</f>
        <v>1.8613012126595961E-2</v>
      </c>
      <c r="F17" s="216" t="s">
        <v>170</v>
      </c>
      <c r="G17" s="219">
        <f>Scenarios!C41</f>
        <v>1.8613012126595961E-2</v>
      </c>
    </row>
    <row r="18" spans="1:26" ht="13.25" customHeight="1">
      <c r="B18" s="216" t="s">
        <v>164</v>
      </c>
      <c r="C18" s="215">
        <f>Normalized_FCF!C32</f>
        <v>0</v>
      </c>
      <c r="F18" s="216" t="s">
        <v>171</v>
      </c>
      <c r="G18" s="219">
        <f>Scenarios!C40</f>
        <v>0</v>
      </c>
      <c r="I18" s="84" t="s">
        <v>183</v>
      </c>
      <c r="J18" s="269"/>
      <c r="K18" s="269"/>
      <c r="L18" s="269"/>
      <c r="M18" s="269"/>
    </row>
    <row r="19" spans="1:26" ht="13.25" customHeight="1">
      <c r="B19" s="216" t="s">
        <v>192</v>
      </c>
      <c r="C19" s="215" t="e">
        <f>Normalized_FCF!C86-Normalized_FCF!C87</f>
        <v>#REF!</v>
      </c>
      <c r="F19" s="216" t="s">
        <v>192</v>
      </c>
      <c r="G19" s="120" t="e">
        <f>IF(G15="II",C19/2,C19)</f>
        <v>#REF!</v>
      </c>
      <c r="I19" s="116" t="s">
        <v>49</v>
      </c>
      <c r="J19" s="116"/>
      <c r="K19" s="116"/>
      <c r="L19" s="116"/>
      <c r="M19" s="116"/>
      <c r="O19" s="106">
        <f>(M53+FV_adjustments)*Exchange_Rate/Common_Shares*scaling_factor</f>
        <v>0</v>
      </c>
      <c r="P19" s="106"/>
    </row>
    <row r="20" spans="1:26">
      <c r="R20" s="187"/>
    </row>
    <row r="21" spans="1:26" ht="13.15">
      <c r="A21" s="98" t="s">
        <v>169</v>
      </c>
      <c r="B21" s="98" t="s">
        <v>50</v>
      </c>
      <c r="C21" s="98" t="s">
        <v>257</v>
      </c>
      <c r="D21" s="98" t="s">
        <v>258</v>
      </c>
      <c r="E21" s="98" t="s">
        <v>255</v>
      </c>
      <c r="F21" s="98" t="s">
        <v>254</v>
      </c>
      <c r="G21" s="98" t="s">
        <v>256</v>
      </c>
      <c r="H21" s="98" t="s">
        <v>259</v>
      </c>
      <c r="I21" s="98" t="s">
        <v>260</v>
      </c>
      <c r="J21" s="98" t="s">
        <v>261</v>
      </c>
      <c r="K21" s="98" t="s">
        <v>262</v>
      </c>
      <c r="L21" s="98" t="s">
        <v>224</v>
      </c>
      <c r="M21" s="99" t="s">
        <v>264</v>
      </c>
      <c r="O21" s="98" t="str">
        <f>B19</f>
        <v>D&amp;A - maint. Capx</v>
      </c>
      <c r="P21" s="98" t="s">
        <v>263</v>
      </c>
    </row>
    <row r="22" spans="1:26">
      <c r="A22" s="211" t="str">
        <f t="shared" ref="A22:A51" si="0">IF($C$16&lt;B22,"",IF(B22&gt;=$G$16,"II","I"))</f>
        <v>I</v>
      </c>
      <c r="B22" s="94">
        <v>1</v>
      </c>
      <c r="C22" s="189">
        <f>O4*(1+D22)</f>
        <v>1481306.5644193662</v>
      </c>
      <c r="D22" s="208">
        <f t="shared" ref="D22:D51" si="1">IF(A22="",0,IF(A22="I",$C$17,$G$17))</f>
        <v>1.8613012126595961E-2</v>
      </c>
      <c r="E22" s="208"/>
      <c r="F22" s="208">
        <f>$C$18</f>
        <v>0</v>
      </c>
      <c r="G22" s="189"/>
      <c r="H22" s="189"/>
      <c r="I22" s="208"/>
      <c r="J22" s="208"/>
      <c r="K22" s="208"/>
      <c r="L22" s="96">
        <f t="shared" ref="L22:L51" si="2">IF($C$16&lt;B22,0,1/(1+Equity_Cost)^B22)</f>
        <v>0.93023255813953487</v>
      </c>
      <c r="M22" s="189">
        <f t="shared" ref="M22:M52" si="3">O22*L22</f>
        <v>0</v>
      </c>
      <c r="O22" s="189"/>
      <c r="P22" s="189"/>
    </row>
    <row r="23" spans="1:26">
      <c r="A23" s="211" t="str">
        <f t="shared" si="0"/>
        <v>I</v>
      </c>
      <c r="B23" s="94">
        <v>2</v>
      </c>
      <c r="C23" s="189">
        <f t="shared" ref="C23:C51" si="4">IF(A23="",0,C22*(1+D23))</f>
        <v>1508878.14146611</v>
      </c>
      <c r="D23" s="208">
        <f t="shared" si="1"/>
        <v>1.8613012126595961E-2</v>
      </c>
      <c r="E23" s="208"/>
      <c r="F23" s="208">
        <f t="shared" ref="F23:F51" si="5">IF($C$16&lt;B23,0,IF(B23&gt;=$G$16,$G$18,$C$18))</f>
        <v>0</v>
      </c>
      <c r="G23" s="189"/>
      <c r="H23" s="189"/>
      <c r="I23" s="208"/>
      <c r="J23" s="208"/>
      <c r="K23" s="208"/>
      <c r="L23" s="96">
        <f t="shared" si="2"/>
        <v>0.86533261222282321</v>
      </c>
      <c r="M23" s="189">
        <f t="shared" si="3"/>
        <v>0</v>
      </c>
      <c r="O23" s="189"/>
      <c r="P23" s="189"/>
    </row>
    <row r="24" spans="1:26">
      <c r="A24" s="211" t="str">
        <f t="shared" si="0"/>
        <v>I</v>
      </c>
      <c r="B24" s="94">
        <v>3</v>
      </c>
      <c r="C24" s="189">
        <f t="shared" si="4"/>
        <v>1536962.9086107742</v>
      </c>
      <c r="D24" s="208">
        <f t="shared" si="1"/>
        <v>1.8613012126595961E-2</v>
      </c>
      <c r="E24" s="208"/>
      <c r="F24" s="208">
        <f t="shared" si="5"/>
        <v>0</v>
      </c>
      <c r="G24" s="189"/>
      <c r="H24" s="189"/>
      <c r="I24" s="208"/>
      <c r="J24" s="208"/>
      <c r="K24" s="208"/>
      <c r="L24" s="96">
        <f t="shared" si="2"/>
        <v>0.80496056950960304</v>
      </c>
      <c r="M24" s="189">
        <f t="shared" si="3"/>
        <v>0</v>
      </c>
      <c r="O24" s="189"/>
      <c r="P24" s="189"/>
      <c r="S24" s="187"/>
      <c r="T24" s="187"/>
      <c r="U24" s="187"/>
      <c r="V24" s="187"/>
      <c r="W24" s="187"/>
      <c r="X24" s="187"/>
      <c r="Y24" s="187"/>
      <c r="Z24" s="187"/>
    </row>
    <row r="25" spans="1:26">
      <c r="A25" s="211" t="str">
        <f t="shared" si="0"/>
        <v>I</v>
      </c>
      <c r="B25" s="94">
        <v>4</v>
      </c>
      <c r="C25" s="189">
        <f t="shared" si="4"/>
        <v>1565570.4178668747</v>
      </c>
      <c r="D25" s="208">
        <f t="shared" si="1"/>
        <v>1.8613012126595961E-2</v>
      </c>
      <c r="E25" s="208"/>
      <c r="F25" s="208">
        <f t="shared" si="5"/>
        <v>0</v>
      </c>
      <c r="G25" s="189"/>
      <c r="H25" s="189"/>
      <c r="I25" s="208"/>
      <c r="J25" s="208"/>
      <c r="K25" s="208"/>
      <c r="L25" s="96">
        <f t="shared" si="2"/>
        <v>0.7488005297763749</v>
      </c>
      <c r="M25" s="189">
        <f t="shared" si="3"/>
        <v>0</v>
      </c>
      <c r="O25" s="189"/>
      <c r="P25" s="189"/>
      <c r="S25" s="187"/>
      <c r="T25" s="187"/>
      <c r="U25" s="187"/>
      <c r="V25" s="187"/>
      <c r="W25" s="187"/>
      <c r="X25" s="187"/>
      <c r="Y25" s="187"/>
      <c r="Z25" s="187"/>
    </row>
    <row r="26" spans="1:26">
      <c r="A26" s="211" t="str">
        <f t="shared" si="0"/>
        <v>I</v>
      </c>
      <c r="B26" s="94">
        <v>5</v>
      </c>
      <c r="C26" s="189">
        <f t="shared" si="4"/>
        <v>1594710.3990396708</v>
      </c>
      <c r="D26" s="208">
        <f t="shared" si="1"/>
        <v>1.8613012126595961E-2</v>
      </c>
      <c r="E26" s="208"/>
      <c r="F26" s="208">
        <f t="shared" si="5"/>
        <v>0</v>
      </c>
      <c r="G26" s="189"/>
      <c r="H26" s="189"/>
      <c r="I26" s="208"/>
      <c r="J26" s="208"/>
      <c r="K26" s="208"/>
      <c r="L26" s="96">
        <f t="shared" si="2"/>
        <v>0.69655863235011617</v>
      </c>
      <c r="M26" s="189">
        <f t="shared" si="3"/>
        <v>0</v>
      </c>
      <c r="O26" s="189"/>
      <c r="P26" s="189"/>
      <c r="S26" s="187"/>
      <c r="T26" s="187"/>
      <c r="U26" s="187"/>
      <c r="V26" s="187"/>
      <c r="W26" s="187"/>
      <c r="X26" s="187"/>
      <c r="Y26" s="187"/>
      <c r="Z26" s="187"/>
    </row>
    <row r="27" spans="1:26">
      <c r="A27" s="211" t="str">
        <f t="shared" si="0"/>
        <v/>
      </c>
      <c r="B27" s="94">
        <v>6</v>
      </c>
      <c r="C27" s="189">
        <f t="shared" si="4"/>
        <v>0</v>
      </c>
      <c r="D27" s="208">
        <f t="shared" si="1"/>
        <v>0</v>
      </c>
      <c r="E27" s="208"/>
      <c r="F27" s="208">
        <f t="shared" si="5"/>
        <v>0</v>
      </c>
      <c r="G27" s="189">
        <f t="shared" ref="G27:G51" si="6">IF(A27="",0,G26*(1+D27))</f>
        <v>0</v>
      </c>
      <c r="H27" s="189">
        <f t="shared" ref="H27:H51" si="7">IF(A27="", 0,C27*(1-F27)+G27+$O$8)</f>
        <v>0</v>
      </c>
      <c r="I27" s="208">
        <f t="shared" ref="I27:I51" si="8">IF(A27="",0%,IF(A27="I",$C$19,$G$19))</f>
        <v>0</v>
      </c>
      <c r="J27" s="208"/>
      <c r="K27" s="208"/>
      <c r="L27" s="96">
        <f t="shared" si="2"/>
        <v>0</v>
      </c>
      <c r="M27" s="189">
        <f t="shared" si="3"/>
        <v>0</v>
      </c>
      <c r="O27" s="189"/>
      <c r="P27" s="189"/>
    </row>
    <row r="28" spans="1:26">
      <c r="A28" s="211" t="str">
        <f t="shared" si="0"/>
        <v/>
      </c>
      <c r="B28" s="94">
        <v>7</v>
      </c>
      <c r="C28" s="189">
        <f t="shared" si="4"/>
        <v>0</v>
      </c>
      <c r="D28" s="208">
        <f t="shared" si="1"/>
        <v>0</v>
      </c>
      <c r="E28" s="208"/>
      <c r="F28" s="208">
        <f t="shared" si="5"/>
        <v>0</v>
      </c>
      <c r="G28" s="189">
        <f t="shared" si="6"/>
        <v>0</v>
      </c>
      <c r="H28" s="189">
        <f t="shared" si="7"/>
        <v>0</v>
      </c>
      <c r="I28" s="208">
        <f t="shared" si="8"/>
        <v>0</v>
      </c>
      <c r="J28" s="208"/>
      <c r="K28" s="208"/>
      <c r="L28" s="96">
        <f t="shared" si="2"/>
        <v>0</v>
      </c>
      <c r="M28" s="189">
        <f t="shared" si="3"/>
        <v>0</v>
      </c>
      <c r="O28" s="189"/>
      <c r="P28" s="189"/>
    </row>
    <row r="29" spans="1:26">
      <c r="A29" s="211" t="str">
        <f t="shared" si="0"/>
        <v/>
      </c>
      <c r="B29" s="94">
        <v>8</v>
      </c>
      <c r="C29" s="189">
        <f t="shared" si="4"/>
        <v>0</v>
      </c>
      <c r="D29" s="208">
        <f t="shared" si="1"/>
        <v>0</v>
      </c>
      <c r="E29" s="208"/>
      <c r="F29" s="208">
        <f t="shared" si="5"/>
        <v>0</v>
      </c>
      <c r="G29" s="189">
        <f t="shared" si="6"/>
        <v>0</v>
      </c>
      <c r="H29" s="189">
        <f t="shared" si="7"/>
        <v>0</v>
      </c>
      <c r="I29" s="208">
        <f t="shared" si="8"/>
        <v>0</v>
      </c>
      <c r="J29" s="208"/>
      <c r="K29" s="208"/>
      <c r="L29" s="96">
        <f t="shared" si="2"/>
        <v>0</v>
      </c>
      <c r="M29" s="189">
        <f t="shared" si="3"/>
        <v>0</v>
      </c>
      <c r="O29" s="189"/>
      <c r="P29" s="189"/>
    </row>
    <row r="30" spans="1:26">
      <c r="A30" s="211" t="str">
        <f t="shared" si="0"/>
        <v/>
      </c>
      <c r="B30" s="94">
        <v>9</v>
      </c>
      <c r="C30" s="189">
        <f t="shared" si="4"/>
        <v>0</v>
      </c>
      <c r="D30" s="208">
        <f t="shared" si="1"/>
        <v>0</v>
      </c>
      <c r="E30" s="208"/>
      <c r="F30" s="208">
        <f t="shared" si="5"/>
        <v>0</v>
      </c>
      <c r="G30" s="189">
        <f t="shared" si="6"/>
        <v>0</v>
      </c>
      <c r="H30" s="189">
        <f t="shared" si="7"/>
        <v>0</v>
      </c>
      <c r="I30" s="208">
        <f t="shared" si="8"/>
        <v>0</v>
      </c>
      <c r="J30" s="208"/>
      <c r="K30" s="208"/>
      <c r="L30" s="96">
        <f t="shared" si="2"/>
        <v>0</v>
      </c>
      <c r="M30" s="189">
        <f t="shared" si="3"/>
        <v>0</v>
      </c>
      <c r="O30" s="189"/>
      <c r="P30" s="189"/>
    </row>
    <row r="31" spans="1:26">
      <c r="A31" s="211" t="str">
        <f t="shared" si="0"/>
        <v/>
      </c>
      <c r="B31" s="94">
        <v>10</v>
      </c>
      <c r="C31" s="189">
        <f t="shared" si="4"/>
        <v>0</v>
      </c>
      <c r="D31" s="208">
        <f t="shared" si="1"/>
        <v>0</v>
      </c>
      <c r="E31" s="208"/>
      <c r="F31" s="208">
        <f t="shared" si="5"/>
        <v>0</v>
      </c>
      <c r="G31" s="189">
        <f t="shared" si="6"/>
        <v>0</v>
      </c>
      <c r="H31" s="189">
        <f t="shared" si="7"/>
        <v>0</v>
      </c>
      <c r="I31" s="208">
        <f t="shared" si="8"/>
        <v>0</v>
      </c>
      <c r="J31" s="208"/>
      <c r="K31" s="208"/>
      <c r="L31" s="96">
        <f t="shared" si="2"/>
        <v>0</v>
      </c>
      <c r="M31" s="189">
        <f t="shared" si="3"/>
        <v>0</v>
      </c>
      <c r="O31" s="189"/>
      <c r="P31" s="189"/>
    </row>
    <row r="32" spans="1:26">
      <c r="A32" s="211" t="str">
        <f t="shared" si="0"/>
        <v/>
      </c>
      <c r="B32" s="94">
        <v>11</v>
      </c>
      <c r="C32" s="189">
        <f t="shared" si="4"/>
        <v>0</v>
      </c>
      <c r="D32" s="208">
        <f t="shared" si="1"/>
        <v>0</v>
      </c>
      <c r="E32" s="208"/>
      <c r="F32" s="208">
        <f t="shared" si="5"/>
        <v>0</v>
      </c>
      <c r="G32" s="189">
        <f t="shared" si="6"/>
        <v>0</v>
      </c>
      <c r="H32" s="189">
        <f t="shared" si="7"/>
        <v>0</v>
      </c>
      <c r="I32" s="208">
        <f t="shared" si="8"/>
        <v>0</v>
      </c>
      <c r="J32" s="208"/>
      <c r="K32" s="208"/>
      <c r="L32" s="96">
        <f t="shared" si="2"/>
        <v>0</v>
      </c>
      <c r="M32" s="189">
        <f t="shared" si="3"/>
        <v>0</v>
      </c>
      <c r="O32" s="189"/>
      <c r="P32" s="189"/>
    </row>
    <row r="33" spans="1:26">
      <c r="A33" s="211" t="str">
        <f t="shared" si="0"/>
        <v/>
      </c>
      <c r="B33" s="94">
        <v>12</v>
      </c>
      <c r="C33" s="189">
        <f t="shared" si="4"/>
        <v>0</v>
      </c>
      <c r="D33" s="208">
        <f t="shared" si="1"/>
        <v>0</v>
      </c>
      <c r="E33" s="208"/>
      <c r="F33" s="208">
        <f t="shared" si="5"/>
        <v>0</v>
      </c>
      <c r="G33" s="189">
        <f t="shared" si="6"/>
        <v>0</v>
      </c>
      <c r="H33" s="189">
        <f t="shared" si="7"/>
        <v>0</v>
      </c>
      <c r="I33" s="208">
        <f t="shared" si="8"/>
        <v>0</v>
      </c>
      <c r="J33" s="208"/>
      <c r="K33" s="208"/>
      <c r="L33" s="96">
        <f t="shared" si="2"/>
        <v>0</v>
      </c>
      <c r="M33" s="189">
        <f t="shared" si="3"/>
        <v>0</v>
      </c>
      <c r="O33" s="189"/>
      <c r="P33" s="189"/>
    </row>
    <row r="34" spans="1:26">
      <c r="A34" s="211" t="str">
        <f t="shared" si="0"/>
        <v/>
      </c>
      <c r="B34" s="94">
        <v>13</v>
      </c>
      <c r="C34" s="189">
        <f t="shared" si="4"/>
        <v>0</v>
      </c>
      <c r="D34" s="208">
        <f t="shared" si="1"/>
        <v>0</v>
      </c>
      <c r="E34" s="208"/>
      <c r="F34" s="208">
        <f t="shared" si="5"/>
        <v>0</v>
      </c>
      <c r="G34" s="189">
        <f t="shared" si="6"/>
        <v>0</v>
      </c>
      <c r="H34" s="189">
        <f t="shared" si="7"/>
        <v>0</v>
      </c>
      <c r="I34" s="208">
        <f t="shared" si="8"/>
        <v>0</v>
      </c>
      <c r="J34" s="208"/>
      <c r="K34" s="208"/>
      <c r="L34" s="96">
        <f t="shared" si="2"/>
        <v>0</v>
      </c>
      <c r="M34" s="189">
        <f t="shared" si="3"/>
        <v>0</v>
      </c>
      <c r="O34" s="189"/>
      <c r="P34" s="189"/>
      <c r="S34" s="187"/>
      <c r="T34" s="187"/>
      <c r="U34" s="187"/>
      <c r="V34" s="187"/>
      <c r="W34" s="187"/>
      <c r="X34" s="187"/>
      <c r="Y34" s="187"/>
      <c r="Z34" s="187"/>
    </row>
    <row r="35" spans="1:26">
      <c r="A35" s="211" t="str">
        <f t="shared" si="0"/>
        <v/>
      </c>
      <c r="B35" s="94">
        <v>14</v>
      </c>
      <c r="C35" s="189">
        <f t="shared" si="4"/>
        <v>0</v>
      </c>
      <c r="D35" s="208">
        <f t="shared" si="1"/>
        <v>0</v>
      </c>
      <c r="E35" s="208"/>
      <c r="F35" s="208">
        <f t="shared" si="5"/>
        <v>0</v>
      </c>
      <c r="G35" s="189">
        <f t="shared" si="6"/>
        <v>0</v>
      </c>
      <c r="H35" s="189">
        <f t="shared" si="7"/>
        <v>0</v>
      </c>
      <c r="I35" s="208">
        <f t="shared" si="8"/>
        <v>0</v>
      </c>
      <c r="J35" s="208"/>
      <c r="K35" s="208"/>
      <c r="L35" s="96">
        <f t="shared" si="2"/>
        <v>0</v>
      </c>
      <c r="M35" s="189">
        <f t="shared" si="3"/>
        <v>0</v>
      </c>
      <c r="O35" s="189"/>
      <c r="P35" s="189"/>
      <c r="S35" s="187"/>
      <c r="T35" s="187"/>
      <c r="U35" s="187"/>
      <c r="V35" s="187"/>
      <c r="W35" s="187"/>
      <c r="X35" s="187"/>
      <c r="Y35" s="187"/>
      <c r="Z35" s="187"/>
    </row>
    <row r="36" spans="1:26">
      <c r="A36" s="211" t="str">
        <f t="shared" si="0"/>
        <v/>
      </c>
      <c r="B36" s="94">
        <v>15</v>
      </c>
      <c r="C36" s="189">
        <f t="shared" si="4"/>
        <v>0</v>
      </c>
      <c r="D36" s="208">
        <f t="shared" si="1"/>
        <v>0</v>
      </c>
      <c r="E36" s="208"/>
      <c r="F36" s="208">
        <f t="shared" si="5"/>
        <v>0</v>
      </c>
      <c r="G36" s="189">
        <f t="shared" si="6"/>
        <v>0</v>
      </c>
      <c r="H36" s="189">
        <f t="shared" si="7"/>
        <v>0</v>
      </c>
      <c r="I36" s="208">
        <f t="shared" si="8"/>
        <v>0</v>
      </c>
      <c r="J36" s="208"/>
      <c r="K36" s="208"/>
      <c r="L36" s="96">
        <f t="shared" si="2"/>
        <v>0</v>
      </c>
      <c r="M36" s="189">
        <f t="shared" si="3"/>
        <v>0</v>
      </c>
      <c r="O36" s="189"/>
      <c r="P36" s="189"/>
      <c r="S36" s="187"/>
      <c r="T36" s="187"/>
      <c r="U36" s="187"/>
      <c r="V36" s="187"/>
      <c r="W36" s="187"/>
      <c r="X36" s="187"/>
      <c r="Y36" s="187"/>
      <c r="Z36" s="187"/>
    </row>
    <row r="37" spans="1:26">
      <c r="A37" s="211" t="str">
        <f t="shared" si="0"/>
        <v/>
      </c>
      <c r="B37" s="94">
        <v>16</v>
      </c>
      <c r="C37" s="189">
        <f t="shared" si="4"/>
        <v>0</v>
      </c>
      <c r="D37" s="208">
        <f t="shared" si="1"/>
        <v>0</v>
      </c>
      <c r="E37" s="208"/>
      <c r="F37" s="208">
        <f t="shared" si="5"/>
        <v>0</v>
      </c>
      <c r="G37" s="189">
        <f t="shared" si="6"/>
        <v>0</v>
      </c>
      <c r="H37" s="189">
        <f t="shared" si="7"/>
        <v>0</v>
      </c>
      <c r="I37" s="208">
        <f t="shared" si="8"/>
        <v>0</v>
      </c>
      <c r="J37" s="208"/>
      <c r="K37" s="208"/>
      <c r="L37" s="96">
        <f t="shared" si="2"/>
        <v>0</v>
      </c>
      <c r="M37" s="189">
        <f t="shared" si="3"/>
        <v>0</v>
      </c>
      <c r="O37" s="189"/>
      <c r="P37" s="189"/>
    </row>
    <row r="38" spans="1:26">
      <c r="A38" s="211" t="str">
        <f t="shared" si="0"/>
        <v/>
      </c>
      <c r="B38" s="94">
        <v>17</v>
      </c>
      <c r="C38" s="189">
        <f t="shared" si="4"/>
        <v>0</v>
      </c>
      <c r="D38" s="208">
        <f t="shared" si="1"/>
        <v>0</v>
      </c>
      <c r="E38" s="208"/>
      <c r="F38" s="208">
        <f t="shared" si="5"/>
        <v>0</v>
      </c>
      <c r="G38" s="189">
        <f t="shared" si="6"/>
        <v>0</v>
      </c>
      <c r="H38" s="189">
        <f t="shared" si="7"/>
        <v>0</v>
      </c>
      <c r="I38" s="208">
        <f t="shared" si="8"/>
        <v>0</v>
      </c>
      <c r="J38" s="208"/>
      <c r="K38" s="208"/>
      <c r="L38" s="96">
        <f t="shared" si="2"/>
        <v>0</v>
      </c>
      <c r="M38" s="189">
        <f t="shared" si="3"/>
        <v>0</v>
      </c>
      <c r="O38" s="189"/>
      <c r="P38" s="189"/>
    </row>
    <row r="39" spans="1:26">
      <c r="A39" s="211" t="str">
        <f t="shared" si="0"/>
        <v/>
      </c>
      <c r="B39" s="94">
        <v>18</v>
      </c>
      <c r="C39" s="189">
        <f t="shared" si="4"/>
        <v>0</v>
      </c>
      <c r="D39" s="208">
        <f t="shared" si="1"/>
        <v>0</v>
      </c>
      <c r="E39" s="208"/>
      <c r="F39" s="208">
        <f t="shared" si="5"/>
        <v>0</v>
      </c>
      <c r="G39" s="189">
        <f t="shared" si="6"/>
        <v>0</v>
      </c>
      <c r="H39" s="189">
        <f t="shared" si="7"/>
        <v>0</v>
      </c>
      <c r="I39" s="208">
        <f t="shared" si="8"/>
        <v>0</v>
      </c>
      <c r="J39" s="208"/>
      <c r="K39" s="208"/>
      <c r="L39" s="96">
        <f t="shared" si="2"/>
        <v>0</v>
      </c>
      <c r="M39" s="189">
        <f t="shared" si="3"/>
        <v>0</v>
      </c>
      <c r="O39" s="189"/>
      <c r="P39" s="189"/>
    </row>
    <row r="40" spans="1:26">
      <c r="A40" s="211" t="str">
        <f t="shared" si="0"/>
        <v/>
      </c>
      <c r="B40" s="94">
        <v>19</v>
      </c>
      <c r="C40" s="189">
        <f t="shared" si="4"/>
        <v>0</v>
      </c>
      <c r="D40" s="208">
        <f t="shared" si="1"/>
        <v>0</v>
      </c>
      <c r="E40" s="208"/>
      <c r="F40" s="208">
        <f t="shared" si="5"/>
        <v>0</v>
      </c>
      <c r="G40" s="189">
        <f t="shared" si="6"/>
        <v>0</v>
      </c>
      <c r="H40" s="189">
        <f t="shared" si="7"/>
        <v>0</v>
      </c>
      <c r="I40" s="208">
        <f t="shared" si="8"/>
        <v>0</v>
      </c>
      <c r="J40" s="208"/>
      <c r="K40" s="208"/>
      <c r="L40" s="96">
        <f t="shared" si="2"/>
        <v>0</v>
      </c>
      <c r="M40" s="189">
        <f t="shared" si="3"/>
        <v>0</v>
      </c>
      <c r="O40" s="189"/>
      <c r="P40" s="189"/>
    </row>
    <row r="41" spans="1:26">
      <c r="A41" s="211" t="str">
        <f t="shared" si="0"/>
        <v/>
      </c>
      <c r="B41" s="94">
        <v>20</v>
      </c>
      <c r="C41" s="189">
        <f t="shared" si="4"/>
        <v>0</v>
      </c>
      <c r="D41" s="208">
        <f t="shared" si="1"/>
        <v>0</v>
      </c>
      <c r="E41" s="208"/>
      <c r="F41" s="208">
        <f t="shared" si="5"/>
        <v>0</v>
      </c>
      <c r="G41" s="189">
        <f t="shared" si="6"/>
        <v>0</v>
      </c>
      <c r="H41" s="189">
        <f t="shared" si="7"/>
        <v>0</v>
      </c>
      <c r="I41" s="208">
        <f t="shared" si="8"/>
        <v>0</v>
      </c>
      <c r="J41" s="208"/>
      <c r="K41" s="208"/>
      <c r="L41" s="96">
        <f t="shared" si="2"/>
        <v>0</v>
      </c>
      <c r="M41" s="189">
        <f t="shared" si="3"/>
        <v>0</v>
      </c>
      <c r="O41" s="189"/>
      <c r="P41" s="189"/>
    </row>
    <row r="42" spans="1:26">
      <c r="A42" s="211" t="str">
        <f t="shared" si="0"/>
        <v/>
      </c>
      <c r="B42" s="94">
        <v>21</v>
      </c>
      <c r="C42" s="189">
        <f t="shared" si="4"/>
        <v>0</v>
      </c>
      <c r="D42" s="208">
        <f t="shared" si="1"/>
        <v>0</v>
      </c>
      <c r="E42" s="208"/>
      <c r="F42" s="208">
        <f t="shared" si="5"/>
        <v>0</v>
      </c>
      <c r="G42" s="189">
        <f t="shared" si="6"/>
        <v>0</v>
      </c>
      <c r="H42" s="189">
        <f t="shared" si="7"/>
        <v>0</v>
      </c>
      <c r="I42" s="208">
        <f t="shared" si="8"/>
        <v>0</v>
      </c>
      <c r="J42" s="208"/>
      <c r="K42" s="208"/>
      <c r="L42" s="96">
        <f t="shared" si="2"/>
        <v>0</v>
      </c>
      <c r="M42" s="189">
        <f t="shared" si="3"/>
        <v>0</v>
      </c>
      <c r="O42" s="189"/>
      <c r="P42" s="189"/>
    </row>
    <row r="43" spans="1:26">
      <c r="A43" s="211" t="str">
        <f t="shared" si="0"/>
        <v/>
      </c>
      <c r="B43" s="94">
        <v>22</v>
      </c>
      <c r="C43" s="189">
        <f t="shared" si="4"/>
        <v>0</v>
      </c>
      <c r="D43" s="208">
        <f t="shared" si="1"/>
        <v>0</v>
      </c>
      <c r="E43" s="208"/>
      <c r="F43" s="208">
        <f t="shared" si="5"/>
        <v>0</v>
      </c>
      <c r="G43" s="189">
        <f t="shared" si="6"/>
        <v>0</v>
      </c>
      <c r="H43" s="189">
        <f t="shared" si="7"/>
        <v>0</v>
      </c>
      <c r="I43" s="208">
        <f t="shared" si="8"/>
        <v>0</v>
      </c>
      <c r="J43" s="208"/>
      <c r="K43" s="208"/>
      <c r="L43" s="96">
        <f t="shared" si="2"/>
        <v>0</v>
      </c>
      <c r="M43" s="189">
        <f t="shared" si="3"/>
        <v>0</v>
      </c>
      <c r="O43" s="189"/>
      <c r="P43" s="189"/>
    </row>
    <row r="44" spans="1:26">
      <c r="A44" s="211" t="str">
        <f t="shared" si="0"/>
        <v/>
      </c>
      <c r="B44" s="94">
        <v>23</v>
      </c>
      <c r="C44" s="189">
        <f t="shared" si="4"/>
        <v>0</v>
      </c>
      <c r="D44" s="208">
        <f t="shared" si="1"/>
        <v>0</v>
      </c>
      <c r="E44" s="208"/>
      <c r="F44" s="208">
        <f t="shared" si="5"/>
        <v>0</v>
      </c>
      <c r="G44" s="189">
        <f t="shared" si="6"/>
        <v>0</v>
      </c>
      <c r="H44" s="189">
        <f t="shared" si="7"/>
        <v>0</v>
      </c>
      <c r="I44" s="208">
        <f t="shared" si="8"/>
        <v>0</v>
      </c>
      <c r="J44" s="208"/>
      <c r="K44" s="208"/>
      <c r="L44" s="96">
        <f t="shared" si="2"/>
        <v>0</v>
      </c>
      <c r="M44" s="189">
        <f t="shared" si="3"/>
        <v>0</v>
      </c>
      <c r="O44" s="189"/>
      <c r="P44" s="189"/>
    </row>
    <row r="45" spans="1:26">
      <c r="A45" s="211" t="str">
        <f t="shared" si="0"/>
        <v/>
      </c>
      <c r="B45" s="94">
        <v>24</v>
      </c>
      <c r="C45" s="189">
        <f t="shared" si="4"/>
        <v>0</v>
      </c>
      <c r="D45" s="208">
        <f t="shared" si="1"/>
        <v>0</v>
      </c>
      <c r="E45" s="208"/>
      <c r="F45" s="208">
        <f t="shared" si="5"/>
        <v>0</v>
      </c>
      <c r="G45" s="189">
        <f t="shared" si="6"/>
        <v>0</v>
      </c>
      <c r="H45" s="189">
        <f t="shared" si="7"/>
        <v>0</v>
      </c>
      <c r="I45" s="208">
        <f t="shared" si="8"/>
        <v>0</v>
      </c>
      <c r="J45" s="208"/>
      <c r="K45" s="208"/>
      <c r="L45" s="96">
        <f t="shared" si="2"/>
        <v>0</v>
      </c>
      <c r="M45" s="189">
        <f t="shared" si="3"/>
        <v>0</v>
      </c>
      <c r="O45" s="189"/>
      <c r="P45" s="189"/>
    </row>
    <row r="46" spans="1:26">
      <c r="A46" s="211" t="str">
        <f t="shared" si="0"/>
        <v/>
      </c>
      <c r="B46" s="94">
        <v>25</v>
      </c>
      <c r="C46" s="189">
        <f t="shared" si="4"/>
        <v>0</v>
      </c>
      <c r="D46" s="208">
        <f t="shared" si="1"/>
        <v>0</v>
      </c>
      <c r="E46" s="208"/>
      <c r="F46" s="208">
        <f t="shared" si="5"/>
        <v>0</v>
      </c>
      <c r="G46" s="189">
        <f t="shared" si="6"/>
        <v>0</v>
      </c>
      <c r="H46" s="189">
        <f t="shared" si="7"/>
        <v>0</v>
      </c>
      <c r="I46" s="208">
        <f t="shared" si="8"/>
        <v>0</v>
      </c>
      <c r="J46" s="208"/>
      <c r="K46" s="208"/>
      <c r="L46" s="96">
        <f t="shared" si="2"/>
        <v>0</v>
      </c>
      <c r="M46" s="189">
        <f t="shared" si="3"/>
        <v>0</v>
      </c>
      <c r="O46" s="189"/>
      <c r="P46" s="189"/>
    </row>
    <row r="47" spans="1:26">
      <c r="A47" s="211" t="str">
        <f t="shared" si="0"/>
        <v/>
      </c>
      <c r="B47" s="94">
        <v>26</v>
      </c>
      <c r="C47" s="189">
        <f t="shared" si="4"/>
        <v>0</v>
      </c>
      <c r="D47" s="208">
        <f t="shared" si="1"/>
        <v>0</v>
      </c>
      <c r="E47" s="208"/>
      <c r="F47" s="208">
        <f t="shared" si="5"/>
        <v>0</v>
      </c>
      <c r="G47" s="189">
        <f t="shared" si="6"/>
        <v>0</v>
      </c>
      <c r="H47" s="189">
        <f t="shared" si="7"/>
        <v>0</v>
      </c>
      <c r="I47" s="208">
        <f t="shared" si="8"/>
        <v>0</v>
      </c>
      <c r="J47" s="208"/>
      <c r="K47" s="208"/>
      <c r="L47" s="96">
        <f t="shared" si="2"/>
        <v>0</v>
      </c>
      <c r="M47" s="189">
        <f t="shared" si="3"/>
        <v>0</v>
      </c>
      <c r="O47" s="189"/>
      <c r="P47" s="189"/>
    </row>
    <row r="48" spans="1:26">
      <c r="A48" s="211" t="str">
        <f t="shared" si="0"/>
        <v/>
      </c>
      <c r="B48" s="94">
        <v>27</v>
      </c>
      <c r="C48" s="189">
        <f t="shared" si="4"/>
        <v>0</v>
      </c>
      <c r="D48" s="208">
        <f t="shared" si="1"/>
        <v>0</v>
      </c>
      <c r="E48" s="208"/>
      <c r="F48" s="208">
        <f t="shared" si="5"/>
        <v>0</v>
      </c>
      <c r="G48" s="189">
        <f t="shared" si="6"/>
        <v>0</v>
      </c>
      <c r="H48" s="189">
        <f t="shared" si="7"/>
        <v>0</v>
      </c>
      <c r="I48" s="208">
        <f t="shared" si="8"/>
        <v>0</v>
      </c>
      <c r="J48" s="208"/>
      <c r="K48" s="208"/>
      <c r="L48" s="96">
        <f t="shared" si="2"/>
        <v>0</v>
      </c>
      <c r="M48" s="189">
        <f t="shared" si="3"/>
        <v>0</v>
      </c>
      <c r="O48" s="189"/>
      <c r="P48" s="189"/>
      <c r="S48" s="187"/>
      <c r="T48" s="187"/>
      <c r="U48" s="187"/>
      <c r="V48" s="187"/>
      <c r="W48" s="187"/>
      <c r="X48" s="187"/>
      <c r="Y48" s="187"/>
      <c r="Z48" s="187"/>
    </row>
    <row r="49" spans="1:26">
      <c r="A49" s="211" t="str">
        <f t="shared" si="0"/>
        <v/>
      </c>
      <c r="B49" s="94">
        <v>28</v>
      </c>
      <c r="C49" s="189">
        <f t="shared" si="4"/>
        <v>0</v>
      </c>
      <c r="D49" s="208">
        <f t="shared" si="1"/>
        <v>0</v>
      </c>
      <c r="E49" s="208"/>
      <c r="F49" s="208">
        <f t="shared" si="5"/>
        <v>0</v>
      </c>
      <c r="G49" s="189">
        <f t="shared" si="6"/>
        <v>0</v>
      </c>
      <c r="H49" s="189">
        <f t="shared" si="7"/>
        <v>0</v>
      </c>
      <c r="I49" s="208">
        <f t="shared" si="8"/>
        <v>0</v>
      </c>
      <c r="J49" s="208"/>
      <c r="K49" s="208"/>
      <c r="L49" s="96">
        <f t="shared" si="2"/>
        <v>0</v>
      </c>
      <c r="M49" s="189">
        <f t="shared" si="3"/>
        <v>0</v>
      </c>
      <c r="O49" s="189"/>
      <c r="P49" s="189"/>
      <c r="S49" s="187"/>
      <c r="T49" s="187"/>
      <c r="U49" s="187"/>
      <c r="V49" s="187"/>
      <c r="W49" s="187"/>
      <c r="X49" s="187"/>
      <c r="Y49" s="187"/>
      <c r="Z49" s="187"/>
    </row>
    <row r="50" spans="1:26">
      <c r="A50" s="211" t="str">
        <f t="shared" si="0"/>
        <v/>
      </c>
      <c r="B50" s="94">
        <v>29</v>
      </c>
      <c r="C50" s="189">
        <f t="shared" si="4"/>
        <v>0</v>
      </c>
      <c r="D50" s="208">
        <f t="shared" si="1"/>
        <v>0</v>
      </c>
      <c r="E50" s="208"/>
      <c r="F50" s="208">
        <f t="shared" si="5"/>
        <v>0</v>
      </c>
      <c r="G50" s="189">
        <f t="shared" si="6"/>
        <v>0</v>
      </c>
      <c r="H50" s="189">
        <f t="shared" si="7"/>
        <v>0</v>
      </c>
      <c r="I50" s="208">
        <f t="shared" si="8"/>
        <v>0</v>
      </c>
      <c r="J50" s="208"/>
      <c r="K50" s="208"/>
      <c r="L50" s="96">
        <f t="shared" si="2"/>
        <v>0</v>
      </c>
      <c r="M50" s="189">
        <f t="shared" si="3"/>
        <v>0</v>
      </c>
      <c r="O50" s="189"/>
      <c r="P50" s="189"/>
      <c r="S50" s="187"/>
      <c r="T50" s="187"/>
      <c r="U50" s="187"/>
      <c r="V50" s="187"/>
      <c r="W50" s="187"/>
      <c r="X50" s="187"/>
      <c r="Y50" s="187"/>
      <c r="Z50" s="187"/>
    </row>
    <row r="51" spans="1:26">
      <c r="A51" s="211" t="str">
        <f t="shared" si="0"/>
        <v/>
      </c>
      <c r="B51" s="94">
        <v>30</v>
      </c>
      <c r="C51" s="189">
        <f t="shared" si="4"/>
        <v>0</v>
      </c>
      <c r="D51" s="208">
        <f t="shared" si="1"/>
        <v>0</v>
      </c>
      <c r="E51" s="208"/>
      <c r="F51" s="208">
        <f t="shared" si="5"/>
        <v>0</v>
      </c>
      <c r="G51" s="189">
        <f t="shared" si="6"/>
        <v>0</v>
      </c>
      <c r="H51" s="189">
        <f t="shared" si="7"/>
        <v>0</v>
      </c>
      <c r="I51" s="208">
        <f t="shared" si="8"/>
        <v>0</v>
      </c>
      <c r="J51" s="208"/>
      <c r="K51" s="208"/>
      <c r="L51" s="96">
        <f t="shared" si="2"/>
        <v>0</v>
      </c>
      <c r="M51" s="189">
        <f t="shared" si="3"/>
        <v>0</v>
      </c>
      <c r="O51" s="189"/>
      <c r="P51" s="189"/>
      <c r="S51" s="187"/>
      <c r="T51" s="187"/>
      <c r="U51" s="187"/>
      <c r="V51" s="187"/>
      <c r="W51" s="187"/>
      <c r="X51" s="187"/>
      <c r="Y51" s="187"/>
      <c r="Z51" s="187"/>
    </row>
    <row r="52" spans="1:26">
      <c r="A52" s="223" t="s">
        <v>189</v>
      </c>
      <c r="B52" s="224">
        <f>C16+1</f>
        <v>6</v>
      </c>
      <c r="C52" s="189">
        <f>VLOOKUP(C16,B22:C51,2,FALSE)*(1+Terminal_Growth)</f>
        <v>1594710.3990396708</v>
      </c>
      <c r="D52" s="210">
        <f>Terminal_Growth</f>
        <v>0</v>
      </c>
      <c r="E52" s="210"/>
      <c r="F52" s="210">
        <f>G18</f>
        <v>0</v>
      </c>
      <c r="G52" s="189">
        <f>VLOOKUP(C16,B22:G51,5,FALSE)*(1+Terminal_Growth)</f>
        <v>0</v>
      </c>
      <c r="H52" s="189" t="e">
        <f>C52*(1-F52)+G52+$O$8</f>
        <v>#REF!</v>
      </c>
      <c r="I52" s="208" t="e">
        <f>G19</f>
        <v>#REF!</v>
      </c>
      <c r="J52" s="208"/>
      <c r="K52" s="208"/>
      <c r="L52" s="96">
        <f>1/(1+Equity_Cost)^C16</f>
        <v>0.69655863235011617</v>
      </c>
      <c r="M52" s="189">
        <f t="shared" si="3"/>
        <v>0</v>
      </c>
      <c r="O52" s="189"/>
      <c r="P52" s="189"/>
    </row>
    <row r="53" spans="1:26" ht="13.15">
      <c r="H53" s="89"/>
      <c r="I53" s="89"/>
      <c r="J53" s="89"/>
      <c r="K53" s="89"/>
      <c r="L53" s="267" t="s">
        <v>265</v>
      </c>
      <c r="M53" s="225">
        <f>SUM(M22:M52)</f>
        <v>0</v>
      </c>
      <c r="O53" s="89"/>
      <c r="P53" s="89"/>
    </row>
    <row r="54" spans="1:26">
      <c r="C54" s="89"/>
    </row>
    <row r="55" spans="1:26" ht="13.15">
      <c r="B55" s="93" t="s">
        <v>59</v>
      </c>
      <c r="C55" s="105"/>
      <c r="D55" s="105"/>
      <c r="E55" s="105"/>
      <c r="F55" s="91"/>
      <c r="G55" s="91"/>
      <c r="H55" s="91"/>
      <c r="I55" s="91"/>
      <c r="J55" s="91"/>
      <c r="K55" s="91"/>
      <c r="L55" s="91"/>
      <c r="M55" s="91"/>
      <c r="O55" s="91"/>
      <c r="P55" s="91"/>
      <c r="Q55" s="91"/>
      <c r="R55" s="91"/>
    </row>
    <row r="56" spans="1:26" ht="13.15">
      <c r="A56" s="102">
        <f>M53</f>
        <v>0</v>
      </c>
      <c r="B56" s="100">
        <f>C87</f>
        <v>-0.1</v>
      </c>
      <c r="C56" s="100">
        <f>C86</f>
        <v>0.01</v>
      </c>
      <c r="D56" s="100">
        <f>C85</f>
        <v>0.02</v>
      </c>
      <c r="E56" s="100"/>
      <c r="F56" s="100">
        <f>C84</f>
        <v>0.03</v>
      </c>
      <c r="G56" s="100">
        <f>C83</f>
        <v>0.08</v>
      </c>
      <c r="H56" s="100"/>
      <c r="I56" s="100"/>
      <c r="J56" s="100"/>
      <c r="K56" s="100"/>
      <c r="L56" s="100"/>
      <c r="M56" s="100"/>
      <c r="O56" s="100"/>
      <c r="P56" s="100"/>
      <c r="Q56" s="100"/>
      <c r="R56" s="100"/>
    </row>
    <row r="57" spans="1:26" ht="13.15">
      <c r="A57" s="108">
        <v>5</v>
      </c>
      <c r="B57" s="95"/>
      <c r="C57" s="95"/>
      <c r="D57" s="95"/>
      <c r="E57" s="95"/>
      <c r="F57" s="95"/>
      <c r="G57" s="95"/>
      <c r="H57" s="204"/>
      <c r="I57" s="204"/>
      <c r="J57" s="204"/>
      <c r="K57" s="204"/>
      <c r="L57" s="204"/>
      <c r="M57" s="204"/>
      <c r="O57" s="204"/>
      <c r="P57" s="204"/>
      <c r="Q57" s="204"/>
      <c r="R57" s="204"/>
    </row>
    <row r="58" spans="1:26" ht="13.15">
      <c r="A58" s="108">
        <v>6</v>
      </c>
      <c r="B58" s="95"/>
      <c r="C58" s="95"/>
      <c r="D58" s="95"/>
      <c r="E58" s="95"/>
      <c r="F58" s="95"/>
      <c r="G58" s="95"/>
      <c r="H58" s="204"/>
      <c r="I58" s="204"/>
      <c r="J58" s="204"/>
      <c r="K58" s="204"/>
      <c r="L58" s="204"/>
      <c r="M58" s="204"/>
      <c r="O58" s="204"/>
      <c r="P58" s="204"/>
      <c r="Q58" s="204"/>
      <c r="R58" s="204"/>
    </row>
    <row r="59" spans="1:26" ht="13.15">
      <c r="A59" s="108">
        <v>7</v>
      </c>
      <c r="B59" s="95"/>
      <c r="C59" s="95"/>
      <c r="D59" s="95"/>
      <c r="E59" s="95"/>
      <c r="F59" s="95"/>
      <c r="G59" s="95"/>
      <c r="H59" s="204"/>
      <c r="I59" s="204"/>
      <c r="J59" s="204"/>
      <c r="K59" s="204"/>
      <c r="L59" s="204"/>
      <c r="M59" s="204"/>
      <c r="O59" s="204"/>
      <c r="P59" s="204"/>
      <c r="Q59" s="204"/>
      <c r="R59" s="204"/>
    </row>
    <row r="60" spans="1:26" ht="13.15">
      <c r="A60" s="108">
        <v>8</v>
      </c>
      <c r="B60" s="95"/>
      <c r="C60" s="95"/>
      <c r="D60" s="95"/>
      <c r="E60" s="95"/>
      <c r="F60" s="95"/>
      <c r="G60" s="95"/>
      <c r="H60" s="204"/>
      <c r="I60" s="204"/>
      <c r="J60" s="204"/>
      <c r="K60" s="204"/>
      <c r="L60" s="204"/>
      <c r="M60" s="204"/>
      <c r="O60" s="204"/>
      <c r="P60" s="204"/>
      <c r="Q60" s="204"/>
      <c r="R60" s="204"/>
    </row>
    <row r="61" spans="1:26" ht="13.15">
      <c r="A61" s="108">
        <v>9</v>
      </c>
      <c r="B61" s="95"/>
      <c r="C61" s="95"/>
      <c r="D61" s="95"/>
      <c r="E61" s="95"/>
      <c r="F61" s="95"/>
      <c r="G61" s="95"/>
      <c r="H61" s="204"/>
      <c r="I61" s="204"/>
      <c r="J61" s="204"/>
      <c r="K61" s="204"/>
      <c r="L61" s="204"/>
      <c r="M61" s="204"/>
      <c r="O61" s="204"/>
      <c r="P61" s="204"/>
      <c r="Q61" s="204"/>
      <c r="R61" s="204"/>
    </row>
    <row r="62" spans="1:26" ht="13.15">
      <c r="A62" s="108">
        <v>10</v>
      </c>
      <c r="B62" s="95"/>
      <c r="C62" s="95"/>
      <c r="D62" s="95"/>
      <c r="E62" s="95"/>
      <c r="F62" s="95"/>
      <c r="G62" s="95"/>
      <c r="H62" s="204"/>
      <c r="I62" s="204"/>
      <c r="J62" s="204"/>
      <c r="K62" s="204"/>
      <c r="L62" s="204"/>
      <c r="M62" s="204"/>
      <c r="O62" s="204"/>
      <c r="P62" s="204"/>
      <c r="Q62" s="204"/>
      <c r="R62" s="204"/>
    </row>
    <row r="63" spans="1:26" ht="13.15">
      <c r="A63" s="108">
        <v>15</v>
      </c>
      <c r="B63" s="95"/>
      <c r="C63" s="189"/>
      <c r="D63" s="95"/>
      <c r="E63" s="95"/>
      <c r="F63" s="95"/>
      <c r="G63" s="95"/>
      <c r="H63" s="204"/>
      <c r="I63" s="204"/>
      <c r="J63" s="204"/>
      <c r="K63" s="204"/>
      <c r="L63" s="204"/>
      <c r="M63" s="204"/>
      <c r="O63" s="204"/>
      <c r="P63" s="204"/>
      <c r="Q63" s="204"/>
      <c r="R63" s="204"/>
      <c r="S63" s="187"/>
      <c r="T63" s="187"/>
      <c r="U63" s="187"/>
      <c r="V63" s="187"/>
      <c r="W63" s="187"/>
      <c r="X63" s="187"/>
      <c r="Y63" s="187"/>
      <c r="Z63" s="187"/>
    </row>
    <row r="64" spans="1:26" ht="13.15">
      <c r="A64" s="109">
        <v>20</v>
      </c>
      <c r="B64" s="95"/>
      <c r="C64" s="189"/>
      <c r="D64" s="95"/>
      <c r="E64" s="95"/>
      <c r="F64" s="95"/>
      <c r="G64" s="95"/>
      <c r="H64" s="204"/>
      <c r="I64" s="204"/>
      <c r="J64" s="204"/>
      <c r="K64" s="204"/>
      <c r="L64" s="204"/>
      <c r="M64" s="204"/>
      <c r="O64" s="204"/>
      <c r="P64" s="204"/>
      <c r="Q64" s="204"/>
      <c r="R64" s="204"/>
      <c r="S64" s="187"/>
      <c r="T64" s="187"/>
      <c r="U64" s="187"/>
      <c r="V64" s="187"/>
      <c r="W64" s="187"/>
      <c r="X64" s="187"/>
      <c r="Y64" s="187"/>
      <c r="Z64" s="187"/>
    </row>
    <row r="65" spans="1:26" ht="13.15">
      <c r="A65" s="109">
        <v>25</v>
      </c>
      <c r="B65" s="95"/>
      <c r="C65" s="189"/>
      <c r="D65" s="95"/>
      <c r="E65" s="95"/>
      <c r="F65" s="95"/>
      <c r="G65" s="95"/>
      <c r="H65" s="204"/>
      <c r="I65" s="204"/>
      <c r="J65" s="204"/>
      <c r="K65" s="204"/>
      <c r="L65" s="204"/>
      <c r="M65" s="204"/>
      <c r="O65" s="204"/>
      <c r="P65" s="204"/>
      <c r="Q65" s="204"/>
      <c r="R65" s="204"/>
      <c r="S65" s="187"/>
      <c r="T65" s="187"/>
      <c r="U65" s="187"/>
      <c r="V65" s="187"/>
      <c r="W65" s="187"/>
      <c r="X65" s="187"/>
      <c r="Y65" s="187"/>
      <c r="Z65" s="187"/>
    </row>
    <row r="66" spans="1:26" ht="13.15">
      <c r="A66" s="109">
        <v>30</v>
      </c>
      <c r="B66" s="95"/>
      <c r="C66" s="189"/>
      <c r="D66" s="95"/>
      <c r="E66" s="95"/>
      <c r="F66" s="95"/>
      <c r="G66" s="95"/>
      <c r="H66" s="204"/>
      <c r="I66" s="204"/>
      <c r="J66" s="204"/>
      <c r="K66" s="204"/>
      <c r="L66" s="204"/>
      <c r="M66" s="204"/>
      <c r="O66" s="204"/>
      <c r="P66" s="204"/>
      <c r="Q66" s="204"/>
      <c r="R66" s="204"/>
      <c r="S66" s="187"/>
      <c r="T66" s="187"/>
      <c r="U66" s="187"/>
      <c r="V66" s="187"/>
      <c r="W66" s="187"/>
      <c r="X66" s="187"/>
      <c r="Y66" s="187"/>
      <c r="Z66" s="187"/>
    </row>
    <row r="67" spans="1:26">
      <c r="C67" s="187"/>
      <c r="D67" s="89"/>
      <c r="E67" s="89"/>
      <c r="F67" s="89"/>
      <c r="G67" s="89"/>
      <c r="H67" s="89"/>
      <c r="I67" s="89"/>
      <c r="J67" s="89"/>
      <c r="K67" s="89"/>
      <c r="L67" s="89"/>
      <c r="M67" s="89"/>
      <c r="O67" s="89"/>
      <c r="P67" s="89"/>
      <c r="Q67" s="89"/>
      <c r="R67" s="89"/>
      <c r="S67" s="187"/>
      <c r="T67" s="187"/>
      <c r="U67" s="187"/>
      <c r="V67" s="187"/>
      <c r="W67" s="187"/>
      <c r="X67" s="187"/>
      <c r="Y67" s="187"/>
      <c r="Z67" s="187"/>
    </row>
    <row r="68" spans="1:26" ht="13.15">
      <c r="B68" s="93" t="s">
        <v>60</v>
      </c>
      <c r="C68" s="187"/>
      <c r="D68" s="89"/>
      <c r="E68" s="89"/>
      <c r="F68" s="89"/>
      <c r="G68" s="89"/>
      <c r="H68" s="89"/>
      <c r="I68" s="89"/>
      <c r="J68" s="89"/>
      <c r="K68" s="89"/>
      <c r="L68" s="89"/>
      <c r="M68" s="89"/>
      <c r="O68" s="89"/>
      <c r="P68" s="89"/>
      <c r="Q68" s="89"/>
      <c r="R68" s="89"/>
      <c r="S68" s="187"/>
      <c r="T68" s="187"/>
      <c r="U68" s="187"/>
      <c r="V68" s="187"/>
      <c r="W68" s="187"/>
      <c r="X68" s="187"/>
      <c r="Y68" s="187"/>
      <c r="Z68" s="187"/>
    </row>
    <row r="69" spans="1:26" ht="13.15">
      <c r="B69" s="101">
        <f>B56</f>
        <v>-0.1</v>
      </c>
      <c r="C69" s="101">
        <f>C56</f>
        <v>0.01</v>
      </c>
      <c r="D69" s="101">
        <f>D56</f>
        <v>0.02</v>
      </c>
      <c r="E69" s="101"/>
      <c r="F69" s="101">
        <f>F56</f>
        <v>0.03</v>
      </c>
      <c r="G69" s="101">
        <f>G56</f>
        <v>0.08</v>
      </c>
      <c r="H69" s="101"/>
      <c r="I69" s="101"/>
      <c r="J69" s="101"/>
      <c r="K69" s="101"/>
      <c r="L69" s="101"/>
      <c r="M69" s="101"/>
      <c r="O69" s="101"/>
      <c r="P69" s="101"/>
      <c r="Q69" s="101"/>
      <c r="R69" s="101"/>
    </row>
    <row r="70" spans="1:26" ht="13.15">
      <c r="A70" s="108">
        <v>0</v>
      </c>
      <c r="B70" s="96">
        <f>C11</f>
        <v>0</v>
      </c>
      <c r="C70" s="96">
        <f>C11</f>
        <v>0</v>
      </c>
      <c r="D70" s="96">
        <f>C11</f>
        <v>0</v>
      </c>
      <c r="E70" s="96"/>
      <c r="F70" s="96">
        <f>C11</f>
        <v>0</v>
      </c>
      <c r="G70" s="96">
        <f>C11</f>
        <v>0</v>
      </c>
      <c r="H70" s="205"/>
      <c r="I70" s="205"/>
      <c r="J70" s="205"/>
      <c r="K70" s="205"/>
      <c r="L70" s="205"/>
      <c r="M70" s="205"/>
      <c r="O70" s="205"/>
      <c r="P70" s="205"/>
      <c r="Q70" s="205"/>
      <c r="R70" s="205"/>
    </row>
    <row r="71" spans="1:26" ht="13.15">
      <c r="A71" s="108">
        <f>A57</f>
        <v>5</v>
      </c>
      <c r="B71" s="96">
        <f t="shared" ref="B71:G75" si="9">(B57+FV_adjustments)/Common_Shares*scaling_factor*Exchange_Rate</f>
        <v>0</v>
      </c>
      <c r="C71" s="96">
        <f t="shared" si="9"/>
        <v>0</v>
      </c>
      <c r="D71" s="96">
        <f t="shared" si="9"/>
        <v>0</v>
      </c>
      <c r="E71" s="96"/>
      <c r="F71" s="96">
        <f t="shared" si="9"/>
        <v>0</v>
      </c>
      <c r="G71" s="96">
        <f t="shared" si="9"/>
        <v>0</v>
      </c>
      <c r="H71" s="205"/>
      <c r="I71" s="205"/>
      <c r="J71" s="205"/>
      <c r="K71" s="205"/>
      <c r="L71" s="205"/>
      <c r="M71" s="205"/>
      <c r="O71" s="205"/>
      <c r="P71" s="205"/>
      <c r="Q71" s="205"/>
      <c r="R71" s="205"/>
    </row>
    <row r="72" spans="1:26" ht="13.15">
      <c r="A72" s="108">
        <v>6</v>
      </c>
      <c r="B72" s="96">
        <f t="shared" si="9"/>
        <v>0</v>
      </c>
      <c r="C72" s="96">
        <f t="shared" si="9"/>
        <v>0</v>
      </c>
      <c r="D72" s="96">
        <f t="shared" si="9"/>
        <v>0</v>
      </c>
      <c r="E72" s="96"/>
      <c r="F72" s="96">
        <f t="shared" si="9"/>
        <v>0</v>
      </c>
      <c r="G72" s="96">
        <f t="shared" si="9"/>
        <v>0</v>
      </c>
      <c r="H72" s="205"/>
      <c r="I72" s="205"/>
      <c r="J72" s="205"/>
      <c r="K72" s="205"/>
      <c r="L72" s="205"/>
      <c r="M72" s="205"/>
      <c r="O72" s="205"/>
      <c r="P72" s="205"/>
      <c r="Q72" s="205"/>
      <c r="R72" s="205"/>
    </row>
    <row r="73" spans="1:26" ht="13.15">
      <c r="A73" s="108">
        <f t="shared" ref="A73" si="10">A59</f>
        <v>7</v>
      </c>
      <c r="B73" s="96">
        <f t="shared" si="9"/>
        <v>0</v>
      </c>
      <c r="C73" s="96">
        <f t="shared" si="9"/>
        <v>0</v>
      </c>
      <c r="D73" s="96">
        <f t="shared" si="9"/>
        <v>0</v>
      </c>
      <c r="E73" s="96"/>
      <c r="F73" s="96">
        <f t="shared" si="9"/>
        <v>0</v>
      </c>
      <c r="G73" s="96">
        <f t="shared" si="9"/>
        <v>0</v>
      </c>
      <c r="H73" s="205"/>
      <c r="I73" s="205"/>
      <c r="J73" s="205"/>
      <c r="K73" s="205"/>
      <c r="L73" s="205"/>
      <c r="M73" s="205"/>
      <c r="O73" s="205"/>
      <c r="P73" s="205"/>
      <c r="Q73" s="205"/>
      <c r="R73" s="205"/>
    </row>
    <row r="74" spans="1:26" ht="13.15">
      <c r="A74" s="108">
        <v>8</v>
      </c>
      <c r="B74" s="96">
        <f t="shared" si="9"/>
        <v>0</v>
      </c>
      <c r="C74" s="96">
        <f t="shared" si="9"/>
        <v>0</v>
      </c>
      <c r="D74" s="96">
        <f t="shared" si="9"/>
        <v>0</v>
      </c>
      <c r="E74" s="96"/>
      <c r="F74" s="96">
        <f t="shared" si="9"/>
        <v>0</v>
      </c>
      <c r="G74" s="96">
        <f t="shared" si="9"/>
        <v>0</v>
      </c>
      <c r="H74" s="205"/>
      <c r="I74" s="205"/>
      <c r="J74" s="205"/>
      <c r="K74" s="205"/>
      <c r="L74" s="205"/>
      <c r="M74" s="205"/>
      <c r="O74" s="205"/>
      <c r="P74" s="205"/>
      <c r="Q74" s="205"/>
      <c r="R74" s="205"/>
    </row>
    <row r="75" spans="1:26" ht="13.15">
      <c r="A75" s="108">
        <f t="shared" ref="A75" si="11">A61</f>
        <v>9</v>
      </c>
      <c r="B75" s="96">
        <f t="shared" si="9"/>
        <v>0</v>
      </c>
      <c r="C75" s="96">
        <f t="shared" si="9"/>
        <v>0</v>
      </c>
      <c r="D75" s="96">
        <f t="shared" si="9"/>
        <v>0</v>
      </c>
      <c r="E75" s="96"/>
      <c r="F75" s="96">
        <f t="shared" si="9"/>
        <v>0</v>
      </c>
      <c r="G75" s="96">
        <f t="shared" si="9"/>
        <v>0</v>
      </c>
      <c r="H75" s="205"/>
      <c r="I75" s="205"/>
      <c r="J75" s="205"/>
      <c r="K75" s="205"/>
      <c r="L75" s="205"/>
      <c r="M75" s="205"/>
      <c r="O75" s="205"/>
      <c r="P75" s="205"/>
      <c r="Q75" s="205"/>
      <c r="R75" s="205"/>
    </row>
    <row r="76" spans="1:26" ht="13.15">
      <c r="A76" s="108">
        <f t="shared" ref="A76:A80" si="12">A62</f>
        <v>10</v>
      </c>
      <c r="B76" s="96">
        <f t="shared" ref="B76:G80" si="13">(B62+FV_adjustments)/Common_Shares*scaling_factor*Exchange_Rate</f>
        <v>0</v>
      </c>
      <c r="C76" s="96">
        <f t="shared" si="13"/>
        <v>0</v>
      </c>
      <c r="D76" s="96">
        <f t="shared" si="13"/>
        <v>0</v>
      </c>
      <c r="E76" s="96"/>
      <c r="F76" s="96">
        <f t="shared" si="13"/>
        <v>0</v>
      </c>
      <c r="G76" s="96">
        <f t="shared" si="13"/>
        <v>0</v>
      </c>
      <c r="H76" s="205"/>
      <c r="I76" s="205"/>
      <c r="J76" s="205"/>
      <c r="K76" s="205"/>
      <c r="L76" s="205"/>
      <c r="M76" s="205"/>
      <c r="O76" s="205"/>
      <c r="P76" s="205"/>
      <c r="Q76" s="205"/>
      <c r="R76" s="205"/>
    </row>
    <row r="77" spans="1:26" ht="13.15">
      <c r="A77" s="108">
        <f t="shared" si="12"/>
        <v>15</v>
      </c>
      <c r="B77" s="96">
        <f t="shared" si="13"/>
        <v>0</v>
      </c>
      <c r="C77" s="96">
        <f t="shared" si="13"/>
        <v>0</v>
      </c>
      <c r="D77" s="96">
        <f t="shared" si="13"/>
        <v>0</v>
      </c>
      <c r="E77" s="96"/>
      <c r="F77" s="96">
        <f t="shared" si="13"/>
        <v>0</v>
      </c>
      <c r="G77" s="96">
        <f t="shared" si="13"/>
        <v>0</v>
      </c>
      <c r="H77" s="205"/>
      <c r="I77" s="205"/>
      <c r="J77" s="205"/>
      <c r="K77" s="205"/>
      <c r="L77" s="205"/>
      <c r="M77" s="205"/>
      <c r="O77" s="205"/>
      <c r="P77" s="205"/>
      <c r="Q77" s="205"/>
      <c r="R77" s="205"/>
    </row>
    <row r="78" spans="1:26" ht="13.15">
      <c r="A78" s="109">
        <f t="shared" si="12"/>
        <v>20</v>
      </c>
      <c r="B78" s="96">
        <f t="shared" si="13"/>
        <v>0</v>
      </c>
      <c r="C78" s="96">
        <f t="shared" si="13"/>
        <v>0</v>
      </c>
      <c r="D78" s="96">
        <f t="shared" si="13"/>
        <v>0</v>
      </c>
      <c r="E78" s="96"/>
      <c r="F78" s="96">
        <f t="shared" si="13"/>
        <v>0</v>
      </c>
      <c r="G78" s="96">
        <f t="shared" si="13"/>
        <v>0</v>
      </c>
      <c r="H78" s="205"/>
      <c r="I78" s="205"/>
      <c r="J78" s="205"/>
      <c r="K78" s="205"/>
      <c r="L78" s="205"/>
      <c r="M78" s="205"/>
      <c r="O78" s="205"/>
      <c r="P78" s="205"/>
      <c r="Q78" s="205"/>
      <c r="R78" s="205"/>
    </row>
    <row r="79" spans="1:26" ht="13.15">
      <c r="A79" s="109">
        <f t="shared" si="12"/>
        <v>25</v>
      </c>
      <c r="B79" s="96">
        <f t="shared" si="13"/>
        <v>0</v>
      </c>
      <c r="C79" s="96">
        <f t="shared" si="13"/>
        <v>0</v>
      </c>
      <c r="D79" s="96">
        <f t="shared" si="13"/>
        <v>0</v>
      </c>
      <c r="E79" s="96"/>
      <c r="F79" s="96">
        <f t="shared" si="13"/>
        <v>0</v>
      </c>
      <c r="G79" s="96">
        <f t="shared" si="13"/>
        <v>0</v>
      </c>
      <c r="H79" s="205"/>
      <c r="I79" s="205"/>
      <c r="J79" s="205"/>
      <c r="K79" s="205"/>
      <c r="L79" s="205"/>
      <c r="M79" s="205"/>
      <c r="O79" s="205"/>
      <c r="P79" s="205"/>
      <c r="Q79" s="205"/>
      <c r="R79" s="205"/>
    </row>
    <row r="80" spans="1:26" ht="13.15">
      <c r="A80" s="109">
        <f t="shared" si="12"/>
        <v>30</v>
      </c>
      <c r="B80" s="96">
        <f t="shared" si="13"/>
        <v>0</v>
      </c>
      <c r="C80" s="96">
        <f t="shared" si="13"/>
        <v>0</v>
      </c>
      <c r="D80" s="96">
        <f t="shared" si="13"/>
        <v>0</v>
      </c>
      <c r="E80" s="96"/>
      <c r="F80" s="96">
        <f t="shared" si="13"/>
        <v>0</v>
      </c>
      <c r="G80" s="96">
        <f t="shared" si="13"/>
        <v>0</v>
      </c>
      <c r="H80" s="205"/>
      <c r="I80" s="205"/>
      <c r="J80" s="205"/>
      <c r="K80" s="205"/>
      <c r="L80" s="205"/>
      <c r="M80" s="205"/>
      <c r="O80" s="205"/>
      <c r="P80" s="205"/>
      <c r="Q80" s="205"/>
      <c r="R80" s="205"/>
    </row>
    <row r="82" spans="2:18" ht="13.15">
      <c r="B82" s="129" t="s">
        <v>53</v>
      </c>
      <c r="C82" s="129" t="s">
        <v>61</v>
      </c>
      <c r="D82" s="129" t="s">
        <v>51</v>
      </c>
      <c r="E82" s="130"/>
      <c r="F82" s="130" t="s">
        <v>52</v>
      </c>
      <c r="G82" s="130" t="s">
        <v>214</v>
      </c>
      <c r="H82" s="231"/>
      <c r="I82" s="231"/>
      <c r="J82" s="231"/>
      <c r="K82" s="231"/>
      <c r="L82" s="231"/>
      <c r="M82" s="231"/>
      <c r="O82" s="231"/>
      <c r="P82" s="231"/>
      <c r="Q82" s="231"/>
      <c r="R82" s="231"/>
    </row>
    <row r="83" spans="2:18">
      <c r="B83" s="97" t="str">
        <f>Scenarios!B29</f>
        <v>Snowball Scenario</v>
      </c>
      <c r="C83" s="107">
        <f>Scenarios!C29</f>
        <v>0.08</v>
      </c>
      <c r="D83" s="110">
        <f>Scenarios!D29</f>
        <v>5</v>
      </c>
      <c r="E83" s="110"/>
      <c r="F83" s="104">
        <f>INDEX(B$70:G$80, MATCH(D83, A$70:A$80, 0), MATCH(C83, B$69:G$69, 0))</f>
        <v>0</v>
      </c>
      <c r="G83" s="107">
        <f>Scenarios!F29</f>
        <v>0.05</v>
      </c>
      <c r="H83" s="206"/>
      <c r="I83" s="206"/>
      <c r="J83" s="206"/>
      <c r="K83" s="206"/>
      <c r="L83" s="206"/>
      <c r="M83" s="206"/>
      <c r="O83" s="206"/>
      <c r="P83" s="206"/>
      <c r="Q83" s="206"/>
      <c r="R83" s="206"/>
    </row>
    <row r="84" spans="2:18">
      <c r="B84" s="97" t="str">
        <f>Scenarios!B22</f>
        <v>Optimistic</v>
      </c>
      <c r="C84" s="107">
        <f>Scenarios!C22</f>
        <v>0.03</v>
      </c>
      <c r="D84" s="110">
        <f>Scenarios!D22</f>
        <v>5</v>
      </c>
      <c r="E84" s="110"/>
      <c r="F84" s="104">
        <f>INDEX(B$70:G$80, MATCH(D84, A$70:A$80, 0), MATCH(C84, B$69:G$69, 0))</f>
        <v>0</v>
      </c>
      <c r="G84" s="107">
        <f>Scenarios!F22*(1-G$83-G$87)</f>
        <v>0.18</v>
      </c>
      <c r="H84" s="206"/>
      <c r="I84" s="206"/>
      <c r="J84" s="206"/>
      <c r="K84" s="206"/>
      <c r="L84" s="206"/>
      <c r="M84" s="206"/>
      <c r="O84" s="206"/>
      <c r="P84" s="206"/>
      <c r="Q84" s="206"/>
      <c r="R84" s="206"/>
    </row>
    <row r="85" spans="2:18">
      <c r="B85" s="97" t="str">
        <f>Scenarios!B23</f>
        <v>Base</v>
      </c>
      <c r="C85" s="107">
        <f>Scenarios!C23</f>
        <v>0.02</v>
      </c>
      <c r="D85" s="110">
        <f>Scenarios!D23</f>
        <v>5</v>
      </c>
      <c r="E85" s="110"/>
      <c r="F85" s="104">
        <f>INDEX(B$70:G$80, MATCH(D85, A$70:A$80, 0), MATCH(C85, B$69:G$69, 0))</f>
        <v>0</v>
      </c>
      <c r="G85" s="107">
        <f>Scenarios!F23*(1-G$83-G$87)</f>
        <v>0.53999999999999992</v>
      </c>
      <c r="H85" s="206"/>
      <c r="I85" s="206"/>
      <c r="J85" s="206"/>
      <c r="K85" s="206"/>
      <c r="L85" s="206"/>
      <c r="M85" s="206"/>
      <c r="O85" s="206"/>
      <c r="P85" s="206"/>
      <c r="Q85" s="206"/>
      <c r="R85" s="206"/>
    </row>
    <row r="86" spans="2:18">
      <c r="B86" s="97" t="str">
        <f>Scenarios!B24</f>
        <v>Pessimistic</v>
      </c>
      <c r="C86" s="107">
        <f>Scenarios!C24</f>
        <v>0.01</v>
      </c>
      <c r="D86" s="110">
        <f>Scenarios!D24</f>
        <v>5</v>
      </c>
      <c r="E86" s="110"/>
      <c r="F86" s="104">
        <f>INDEX(B$70:G$80, MATCH(D86, A$70:A$80, 0), MATCH(C86, B$69:G$69, 0))</f>
        <v>0</v>
      </c>
      <c r="G86" s="107">
        <f>Scenarios!F24*(1-G$83-G$87)</f>
        <v>0.18</v>
      </c>
      <c r="H86" s="206"/>
      <c r="I86" s="206"/>
      <c r="J86" s="206"/>
      <c r="K86" s="206"/>
      <c r="L86" s="206"/>
      <c r="M86" s="206"/>
      <c r="O86" s="206"/>
      <c r="P86" s="206"/>
      <c r="Q86" s="206"/>
      <c r="R86" s="206"/>
    </row>
    <row r="87" spans="2:18">
      <c r="B87" s="97" t="str">
        <f>Scenarios!B30</f>
        <v>Devil's advocate</v>
      </c>
      <c r="C87" s="107">
        <f>Scenarios!C30</f>
        <v>-0.1</v>
      </c>
      <c r="D87" s="110">
        <f>Scenarios!D30</f>
        <v>5</v>
      </c>
      <c r="E87" s="110"/>
      <c r="F87" s="104">
        <f>INDEX(B$70:G$80, MATCH(D87, A$70:A$80, 0), MATCH(C87, B$69:G$69, 0))</f>
        <v>0</v>
      </c>
      <c r="G87" s="107">
        <f>Scenarios!F30</f>
        <v>0.05</v>
      </c>
      <c r="H87" s="206"/>
      <c r="I87" s="206"/>
      <c r="J87" s="206"/>
      <c r="K87" s="206"/>
      <c r="L87" s="206"/>
      <c r="M87" s="206"/>
      <c r="O87" s="206"/>
      <c r="P87" s="206"/>
      <c r="Q87" s="206"/>
      <c r="R87" s="206"/>
    </row>
    <row r="88" spans="2:18">
      <c r="B88" s="117"/>
      <c r="C88" s="117"/>
      <c r="D88" s="117"/>
      <c r="E88" s="117"/>
      <c r="F88" s="117"/>
      <c r="G88" s="118"/>
      <c r="H88" s="118"/>
      <c r="I88" s="118"/>
      <c r="J88" s="118"/>
      <c r="K88" s="118"/>
      <c r="L88" s="118"/>
      <c r="M88" s="118"/>
      <c r="O88" s="118"/>
      <c r="P88" s="118"/>
      <c r="Q88" s="118"/>
      <c r="R88" s="118"/>
    </row>
    <row r="98" spans="3:26">
      <c r="C98" s="90"/>
    </row>
    <row r="99" spans="3:26">
      <c r="C99" s="90"/>
    </row>
    <row r="100" spans="3:26">
      <c r="C100" s="90"/>
    </row>
    <row r="107" spans="3:26">
      <c r="C107" s="187"/>
      <c r="R107" s="187"/>
      <c r="S107" s="187"/>
      <c r="T107" s="187"/>
      <c r="U107" s="187"/>
      <c r="V107" s="187"/>
      <c r="W107" s="187"/>
      <c r="X107" s="187"/>
      <c r="Y107" s="187"/>
      <c r="Z107" s="187"/>
    </row>
    <row r="108" spans="3:26">
      <c r="C108" s="187"/>
      <c r="R108" s="187"/>
      <c r="S108" s="187"/>
      <c r="T108" s="187"/>
      <c r="U108" s="187"/>
      <c r="V108" s="187"/>
      <c r="W108" s="187"/>
      <c r="X108" s="187"/>
      <c r="Y108" s="187"/>
      <c r="Z108" s="187"/>
    </row>
    <row r="109" spans="3:26">
      <c r="C109" s="187"/>
      <c r="R109" s="187"/>
      <c r="S109" s="187"/>
      <c r="T109" s="187"/>
      <c r="U109" s="187"/>
      <c r="V109" s="187"/>
      <c r="W109" s="187"/>
      <c r="X109" s="187"/>
      <c r="Y109" s="187"/>
      <c r="Z109" s="187"/>
    </row>
    <row r="110" spans="3:26">
      <c r="C110" s="187"/>
      <c r="R110" s="187"/>
      <c r="S110" s="187"/>
      <c r="T110" s="187"/>
      <c r="U110" s="187"/>
      <c r="V110" s="187"/>
      <c r="W110" s="187"/>
      <c r="X110" s="187"/>
      <c r="Y110" s="187"/>
      <c r="Z110" s="187"/>
    </row>
    <row r="111" spans="3:26">
      <c r="C111" s="187"/>
      <c r="R111" s="187"/>
      <c r="S111" s="187"/>
      <c r="T111" s="187"/>
      <c r="U111" s="187"/>
      <c r="V111" s="187"/>
      <c r="W111" s="187"/>
      <c r="X111" s="187"/>
      <c r="Y111" s="187"/>
      <c r="Z111" s="187"/>
    </row>
  </sheetData>
  <phoneticPr fontId="2" type="noConversion"/>
  <conditionalFormatting sqref="C71:G80">
    <cfRule type="expression" dxfId="1" priority="19">
      <formula>ISNUMBER(MATCH(C71, $F$83:$F$87, 0))</formula>
    </cfRule>
  </conditionalFormatting>
  <conditionalFormatting sqref="C22:M51 O22:P51">
    <cfRule type="cellIs" dxfId="0" priority="2" operator="equal">
      <formula>0</formula>
    </cfRule>
  </conditionalFormatting>
  <dataValidations count="1">
    <dataValidation type="list" allowBlank="1" showInputMessage="1" showErrorMessage="1" sqref="C16" xr:uid="{A06882BF-7451-4B05-ADA9-B8AC5ACC7F23}">
      <formula1>$A$57:$A$66</formula1>
    </dataValidation>
  </dataValidations>
  <pageMargins left="0.25" right="0.25" top="0.75" bottom="0.75" header="0.3" footer="0.3"/>
  <pageSetup paperSize="9" scale="59" fitToHeight="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zoomScaleNormal="100" workbookViewId="0">
      <selection activeCell="D4" sqref="D4:G14"/>
    </sheetView>
  </sheetViews>
  <sheetFormatPr defaultColWidth="8.796875" defaultRowHeight="12.75"/>
  <cols>
    <col min="1" max="1" width="2.6640625" customWidth="1"/>
    <col min="2" max="2" width="22.6640625" customWidth="1"/>
    <col min="3" max="7" width="20.6640625" customWidth="1"/>
  </cols>
  <sheetData>
    <row r="2" spans="2:7" ht="13.9">
      <c r="B2" s="27" t="s">
        <v>66</v>
      </c>
      <c r="C2" s="28"/>
      <c r="D2" s="28"/>
      <c r="E2" s="28"/>
      <c r="F2" s="28"/>
      <c r="G2" s="28"/>
    </row>
    <row r="3" spans="2:7" ht="13.15">
      <c r="B3" s="121" t="s">
        <v>68</v>
      </c>
      <c r="D3" s="76" t="s">
        <v>231</v>
      </c>
      <c r="E3" s="76"/>
    </row>
    <row r="4" spans="2:7" ht="12.75" customHeight="1">
      <c r="B4" s="115" t="s">
        <v>67</v>
      </c>
      <c r="C4" s="265">
        <v>2</v>
      </c>
      <c r="D4" s="271" t="str">
        <f>"DDM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DDM Model Inputs for 601166.SS – 兴业银行: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271"/>
      <c r="F4" s="271"/>
      <c r="G4" s="271"/>
    </row>
    <row r="5" spans="2:7">
      <c r="C5" s="261"/>
      <c r="D5" s="271"/>
      <c r="E5" s="271"/>
      <c r="F5" s="271"/>
      <c r="G5" s="271"/>
    </row>
    <row r="6" spans="2:7" ht="13.15">
      <c r="B6" s="121" t="s">
        <v>44</v>
      </c>
      <c r="C6" s="262" t="str">
        <f>DDM!C3&amp;" "&amp;Reporting_currency</f>
        <v>1000 CNY</v>
      </c>
      <c r="D6" s="271"/>
      <c r="E6" s="271"/>
      <c r="F6" s="271"/>
      <c r="G6" s="271"/>
    </row>
    <row r="7" spans="2:7" ht="12.75" customHeight="1">
      <c r="B7" s="76" t="s">
        <v>106</v>
      </c>
      <c r="C7" s="263">
        <f>Normalized_FCF!G8</f>
        <v>4132576</v>
      </c>
      <c r="D7" s="271"/>
      <c r="E7" s="271"/>
      <c r="F7" s="271"/>
      <c r="G7" s="271"/>
    </row>
    <row r="8" spans="2:7">
      <c r="B8" s="76" t="s">
        <v>30</v>
      </c>
      <c r="C8" s="263" t="e">
        <f>Normalized_FCF!G19</f>
        <v>#REF!</v>
      </c>
      <c r="D8" s="271"/>
      <c r="E8" s="271"/>
      <c r="F8" s="271"/>
      <c r="G8" s="271"/>
    </row>
    <row r="9" spans="2:7">
      <c r="B9" s="76" t="s">
        <v>22</v>
      </c>
      <c r="C9" s="263" t="e">
        <f>Normalized_FCF!C19</f>
        <v>#REF!</v>
      </c>
      <c r="D9" s="271"/>
      <c r="E9" s="271"/>
      <c r="F9" s="271"/>
      <c r="G9" s="271"/>
    </row>
    <row r="10" spans="2:7">
      <c r="C10" s="264"/>
      <c r="D10" s="271"/>
      <c r="E10" s="271"/>
      <c r="F10" s="271"/>
      <c r="G10" s="271"/>
    </row>
    <row r="11" spans="2:7" ht="13.15">
      <c r="B11" s="121" t="s">
        <v>146</v>
      </c>
      <c r="C11" s="264"/>
      <c r="D11" s="271"/>
      <c r="E11" s="271"/>
      <c r="F11" s="271"/>
      <c r="G11" s="271"/>
    </row>
    <row r="12" spans="2:7">
      <c r="B12" s="92" t="s">
        <v>65</v>
      </c>
      <c r="C12" s="168" t="e">
        <f ca="1">(Normalized_FCF!G4/OFFSET(Normalized_FCF!G4, 0, $C$4))^(1/$C$4) - 1</f>
        <v>#VALUE!</v>
      </c>
      <c r="D12" s="271"/>
      <c r="E12" s="271"/>
      <c r="F12" s="271"/>
      <c r="G12" s="271"/>
    </row>
    <row r="13" spans="2:7">
      <c r="B13" s="111" t="s">
        <v>70</v>
      </c>
      <c r="C13" s="168" t="e">
        <f ca="1">(Normalized_FCF!G8/OFFSET(Normalized_FCF!G8, 0, $C$4))^(1/$C$4) - 1</f>
        <v>#VALUE!</v>
      </c>
      <c r="D13" s="271"/>
      <c r="E13" s="271"/>
      <c r="F13" s="271"/>
      <c r="G13" s="271"/>
    </row>
    <row r="14" spans="2:7">
      <c r="B14" s="76" t="s">
        <v>30</v>
      </c>
      <c r="C14" s="168" t="e">
        <f ca="1">(Normalized_FCF!G19/OFFSET(Normalized_FCF!G19, 0, $C$4))^(1/$C$4) - 1</f>
        <v>#REF!</v>
      </c>
      <c r="D14" s="271"/>
      <c r="E14" s="271"/>
      <c r="F14" s="271"/>
      <c r="G14" s="271"/>
    </row>
    <row r="16" spans="2:7" ht="13.9">
      <c r="B16" s="27" t="s">
        <v>210</v>
      </c>
      <c r="C16" s="28"/>
      <c r="D16" s="28"/>
      <c r="E16" s="28"/>
      <c r="F16" s="28"/>
      <c r="G16" s="28"/>
    </row>
    <row r="17" spans="2:7" ht="13.15">
      <c r="B17" s="84" t="s">
        <v>69</v>
      </c>
      <c r="E17" s="150" t="s">
        <v>115</v>
      </c>
    </row>
    <row r="18" spans="2:7" ht="12.75" customHeight="1">
      <c r="B18" s="115" t="s">
        <v>62</v>
      </c>
      <c r="C18" s="113">
        <v>5</v>
      </c>
      <c r="E18" s="266" t="s">
        <v>232</v>
      </c>
      <c r="F18" s="227"/>
    </row>
    <row r="19" spans="2:7">
      <c r="E19" s="227"/>
      <c r="F19" s="227"/>
    </row>
    <row r="20" spans="2:7" ht="13.15">
      <c r="B20" s="84" t="s">
        <v>207</v>
      </c>
      <c r="E20" s="227"/>
      <c r="F20" s="227"/>
    </row>
    <row r="21" spans="2:7" ht="13.15">
      <c r="B21" s="129" t="s">
        <v>199</v>
      </c>
      <c r="C21" s="129" t="s">
        <v>161</v>
      </c>
      <c r="D21" s="129" t="s">
        <v>205</v>
      </c>
      <c r="E21" s="130" t="str">
        <f>"Value per share ("&amp;Market_currency&amp;")"</f>
        <v>Value per share (HKD)</v>
      </c>
      <c r="F21" s="130" t="s">
        <v>206</v>
      </c>
      <c r="G21" s="130" t="s">
        <v>214</v>
      </c>
    </row>
    <row r="22" spans="2:7">
      <c r="B22" s="211" t="s">
        <v>202</v>
      </c>
      <c r="C22" s="232">
        <v>0.03</v>
      </c>
      <c r="D22" s="233">
        <f>C18</f>
        <v>5</v>
      </c>
      <c r="E22" s="234">
        <f>DDM!F84</f>
        <v>0</v>
      </c>
      <c r="F22" s="236">
        <f>1-F23-F24</f>
        <v>0.2</v>
      </c>
      <c r="G22" s="236">
        <f>F22*(1-F$29-F$30)</f>
        <v>0.18</v>
      </c>
    </row>
    <row r="23" spans="2:7">
      <c r="B23" s="211" t="s">
        <v>200</v>
      </c>
      <c r="C23" s="232">
        <v>0.02</v>
      </c>
      <c r="D23" s="233">
        <f>C18</f>
        <v>5</v>
      </c>
      <c r="E23" s="234">
        <f>DDM!F85</f>
        <v>0</v>
      </c>
      <c r="F23" s="235">
        <v>0.6</v>
      </c>
      <c r="G23" s="236">
        <f t="shared" ref="G23:G24" si="0">F23*(1-F$29-F$30)</f>
        <v>0.53999999999999992</v>
      </c>
    </row>
    <row r="24" spans="2:7">
      <c r="B24" s="211" t="s">
        <v>203</v>
      </c>
      <c r="C24" s="232">
        <v>0.01</v>
      </c>
      <c r="D24" s="233">
        <f>C18</f>
        <v>5</v>
      </c>
      <c r="E24" s="234">
        <f>DDM!F86</f>
        <v>0</v>
      </c>
      <c r="F24" s="235">
        <v>0.2</v>
      </c>
      <c r="G24" s="236">
        <f t="shared" si="0"/>
        <v>0.18</v>
      </c>
    </row>
    <row r="25" spans="2:7">
      <c r="B25" s="117" t="s">
        <v>208</v>
      </c>
      <c r="C25" s="257">
        <f>E23*F23+E24*F24+E22*F22</f>
        <v>0</v>
      </c>
      <c r="D25" s="117" t="str">
        <f>Market_currency</f>
        <v>HKD</v>
      </c>
      <c r="G25" s="125"/>
    </row>
    <row r="27" spans="2:7" ht="13.15">
      <c r="B27" s="84" t="s">
        <v>209</v>
      </c>
    </row>
    <row r="28" spans="2:7" ht="13.15">
      <c r="B28" s="129" t="s">
        <v>199</v>
      </c>
      <c r="C28" s="129" t="s">
        <v>161</v>
      </c>
      <c r="D28" s="129" t="s">
        <v>205</v>
      </c>
      <c r="E28" s="130" t="str">
        <f>"Value per share ("&amp;Market_currency&amp;")"</f>
        <v>Value per share (HKD)</v>
      </c>
      <c r="F28" s="130" t="s">
        <v>206</v>
      </c>
      <c r="G28" s="130" t="s">
        <v>214</v>
      </c>
    </row>
    <row r="29" spans="2:7">
      <c r="B29" s="211" t="s">
        <v>201</v>
      </c>
      <c r="C29" s="232">
        <v>0.08</v>
      </c>
      <c r="D29" s="233">
        <f>C18</f>
        <v>5</v>
      </c>
      <c r="E29" s="234">
        <f>DDM!F83</f>
        <v>0</v>
      </c>
      <c r="F29" s="235">
        <v>0.05</v>
      </c>
      <c r="G29" s="236">
        <f>F29</f>
        <v>0.05</v>
      </c>
    </row>
    <row r="30" spans="2:7">
      <c r="B30" s="223" t="s">
        <v>204</v>
      </c>
      <c r="C30" s="232">
        <v>-0.1</v>
      </c>
      <c r="D30" s="233">
        <f>C18</f>
        <v>5</v>
      </c>
      <c r="E30" s="234">
        <f>DDM!F87</f>
        <v>0</v>
      </c>
      <c r="F30" s="235">
        <v>0.05</v>
      </c>
      <c r="G30" s="236">
        <f>F30</f>
        <v>0.05</v>
      </c>
    </row>
    <row r="31" spans="2:7">
      <c r="E31" s="237"/>
      <c r="F31" s="237"/>
    </row>
    <row r="32" spans="2:7" ht="13.15">
      <c r="B32" s="121" t="s">
        <v>213</v>
      </c>
    </row>
    <row r="33" spans="2:7">
      <c r="B33" s="76" t="s">
        <v>215</v>
      </c>
      <c r="C33" s="131">
        <f>Normalized_FCF!C93*(1-dividend_tax_rate)</f>
        <v>0</v>
      </c>
      <c r="D33" t="str">
        <f>Market_currency</f>
        <v>HKD</v>
      </c>
      <c r="E33" s="76" t="s">
        <v>212</v>
      </c>
      <c r="F33" s="147">
        <f>Holding_Period</f>
        <v>2</v>
      </c>
    </row>
    <row r="34" spans="2:7">
      <c r="B34" s="76" t="s">
        <v>107</v>
      </c>
      <c r="C34" s="122">
        <f>Market_Price</f>
        <v>2.85</v>
      </c>
      <c r="D34" t="str">
        <f>Market_currency</f>
        <v>HKD</v>
      </c>
      <c r="E34" s="76" t="s">
        <v>211</v>
      </c>
      <c r="F34" s="238">
        <f>RATE(Holding_Period,$C$33,-C34,$C$36)</f>
        <v>-0.99999988072370694</v>
      </c>
    </row>
    <row r="35" spans="2:7">
      <c r="B35" s="76" t="s">
        <v>197</v>
      </c>
      <c r="C35" s="228">
        <f>DDM!C11</f>
        <v>0</v>
      </c>
      <c r="D35" s="76" t="str">
        <f>Market_currency</f>
        <v>HKD</v>
      </c>
      <c r="E35" s="76" t="s">
        <v>211</v>
      </c>
      <c r="F35" s="238" t="e">
        <f>RATE(Holding_Period,$C$33,-C35,$C$36)</f>
        <v>#NUM!</v>
      </c>
    </row>
    <row r="36" spans="2:7">
      <c r="B36" s="76" t="s">
        <v>198</v>
      </c>
      <c r="C36" s="229">
        <f>E22*G22+E23*G23+E24*G24+E30*G30+E29*G29</f>
        <v>0</v>
      </c>
      <c r="D36" t="str">
        <f>Market_currency</f>
        <v>HKD</v>
      </c>
      <c r="E36" s="76" t="s">
        <v>217</v>
      </c>
      <c r="F36" s="239" t="s">
        <v>216</v>
      </c>
    </row>
    <row r="38" spans="2:7" ht="13.9">
      <c r="B38" s="27" t="s">
        <v>182</v>
      </c>
      <c r="C38" s="28"/>
      <c r="D38" s="28"/>
      <c r="E38" s="28"/>
      <c r="F38" s="28"/>
      <c r="G38" s="28"/>
    </row>
    <row r="39" spans="2:7" ht="13.15">
      <c r="B39" s="242" t="str">
        <f>IF(DDM!G15="II","2","1")&amp;"-stage DCF"</f>
        <v>1-stage DCF</v>
      </c>
      <c r="E39" s="150" t="s">
        <v>115</v>
      </c>
    </row>
    <row r="40" spans="2:7">
      <c r="B40" t="s">
        <v>171</v>
      </c>
      <c r="C40" s="114">
        <f>DDM!C18</f>
        <v>0</v>
      </c>
      <c r="E40" s="76" t="s">
        <v>172</v>
      </c>
    </row>
    <row r="41" spans="2:7">
      <c r="B41" s="76" t="s">
        <v>170</v>
      </c>
      <c r="C41" s="114">
        <f>DDM!C17</f>
        <v>1.8613012126595961E-2</v>
      </c>
      <c r="E41" s="76"/>
    </row>
    <row r="43" spans="2:7" ht="13.9">
      <c r="B43" s="27" t="s">
        <v>127</v>
      </c>
      <c r="C43" s="28"/>
      <c r="D43" s="28"/>
      <c r="E43" s="28"/>
      <c r="F43" s="28"/>
      <c r="G43" s="28"/>
    </row>
    <row r="44" spans="2:7" ht="13.15">
      <c r="B44" s="84" t="s">
        <v>113</v>
      </c>
      <c r="E44" s="150" t="s">
        <v>115</v>
      </c>
    </row>
    <row r="45" spans="2:7">
      <c r="B45" s="115" t="s">
        <v>62</v>
      </c>
      <c r="C45" s="126">
        <f>C18</f>
        <v>5</v>
      </c>
      <c r="D45" s="113"/>
      <c r="E45" s="149" t="s">
        <v>137</v>
      </c>
    </row>
    <row r="46" spans="2:7">
      <c r="B46" s="92" t="s">
        <v>63</v>
      </c>
      <c r="C46" s="114">
        <v>1.8613012126595961E-2</v>
      </c>
      <c r="D46" s="114"/>
      <c r="E46" s="149" t="s">
        <v>116</v>
      </c>
    </row>
    <row r="47" spans="2:7">
      <c r="B47" s="76" t="s">
        <v>48</v>
      </c>
      <c r="C47" s="122">
        <f>DDM!O19</f>
        <v>0</v>
      </c>
      <c r="D47" s="122" t="str">
        <f>Market_currency</f>
        <v>HKD</v>
      </c>
      <c r="E47" s="149" t="s">
        <v>117</v>
      </c>
    </row>
    <row r="49" spans="2:7" ht="13.15">
      <c r="B49" s="84" t="s">
        <v>128</v>
      </c>
      <c r="E49" s="150" t="s">
        <v>118</v>
      </c>
    </row>
    <row r="50" spans="2:7">
      <c r="B50" s="76" t="s">
        <v>114</v>
      </c>
      <c r="C50" s="146" t="str">
        <f>IF(C36&lt;C35,"Y","N")</f>
        <v>N</v>
      </c>
      <c r="E50" s="103"/>
    </row>
    <row r="51" spans="2:7">
      <c r="B51" s="76" t="s">
        <v>110</v>
      </c>
      <c r="C51" s="146" t="str">
        <f>IF(C50="Y","N",IF(C46&gt;8%,"N","Y"))</f>
        <v>Y</v>
      </c>
      <c r="E51" s="149" t="s">
        <v>111</v>
      </c>
    </row>
    <row r="52" spans="2:7">
      <c r="B52" s="76" t="s">
        <v>109</v>
      </c>
      <c r="C52" s="146" t="str">
        <f>IF(C46&gt;8%,"Y","N")</f>
        <v>N</v>
      </c>
      <c r="E52" s="149"/>
    </row>
    <row r="53" spans="2:7">
      <c r="B53" s="76" t="s">
        <v>108</v>
      </c>
      <c r="C53" s="145" t="e">
        <f>IF(F53&gt;50%,"Y","N")</f>
        <v>#REF!</v>
      </c>
      <c r="E53" s="103" t="s">
        <v>125</v>
      </c>
      <c r="F53" s="168" t="e">
        <f>#REF!/C36</f>
        <v>#REF!</v>
      </c>
    </row>
    <row r="55" spans="2:7" ht="13.9">
      <c r="B55" s="27" t="s">
        <v>58</v>
      </c>
      <c r="C55" s="28"/>
      <c r="D55" s="28"/>
      <c r="E55" s="28"/>
      <c r="F55" s="28"/>
      <c r="G55" s="28"/>
    </row>
    <row r="56" spans="2:7" ht="13.15">
      <c r="B56" s="84" t="s">
        <v>57</v>
      </c>
    </row>
    <row r="57" spans="2:7">
      <c r="B57" s="148" t="s">
        <v>112</v>
      </c>
      <c r="C57" s="147">
        <f>Holding_Period</f>
        <v>2</v>
      </c>
      <c r="D57" s="103"/>
    </row>
    <row r="58" spans="2:7">
      <c r="B58" s="76" t="s">
        <v>150</v>
      </c>
      <c r="C58" s="131">
        <f>C33</f>
        <v>0</v>
      </c>
      <c r="D58" t="str">
        <f>Market_currency</f>
        <v>HKD</v>
      </c>
    </row>
    <row r="60" spans="2:7" ht="13.15">
      <c r="B60" s="84" t="s">
        <v>221</v>
      </c>
      <c r="E60" s="241"/>
    </row>
    <row r="61" spans="2:7" ht="13.15">
      <c r="B61" s="129" t="s">
        <v>219</v>
      </c>
      <c r="C61" s="129" t="s">
        <v>54</v>
      </c>
      <c r="D61" s="129" t="s">
        <v>55</v>
      </c>
      <c r="E61" s="130" t="str">
        <f>"Buy below ("&amp;Market_currency&amp;")"</f>
        <v>Buy below (HKD)</v>
      </c>
      <c r="F61" s="130" t="s">
        <v>211</v>
      </c>
      <c r="G61" s="130" t="s">
        <v>218</v>
      </c>
    </row>
    <row r="62" spans="2:7" ht="13.15">
      <c r="B62" s="211" t="s">
        <v>139</v>
      </c>
      <c r="C62" s="96">
        <f>PV(F62, Holding_Period, -C58, 0)</f>
        <v>0</v>
      </c>
      <c r="D62" s="96">
        <f>C36/(1+F62)^Holding_Period</f>
        <v>0</v>
      </c>
      <c r="E62" s="240">
        <f>C62+D62</f>
        <v>0</v>
      </c>
      <c r="F62" s="210">
        <f>Thesis!E22</f>
        <v>0.35</v>
      </c>
      <c r="G62" s="256" t="e">
        <f>(1-E62/C36)</f>
        <v>#DIV/0!</v>
      </c>
    </row>
    <row r="63" spans="2:7" ht="13.15">
      <c r="B63" s="211" t="s">
        <v>140</v>
      </c>
      <c r="C63" s="96">
        <f>PV(F63, Holding_Period, -C58, 0)</f>
        <v>0</v>
      </c>
      <c r="D63" s="96">
        <f>C36/(1+F63)^Holding_Period</f>
        <v>0</v>
      </c>
      <c r="E63" s="240">
        <f>C63+D63</f>
        <v>0</v>
      </c>
      <c r="F63" s="210">
        <f>Thesis!E23</f>
        <v>0.25</v>
      </c>
      <c r="G63" s="256" t="e">
        <f>(1-E63/C36)</f>
        <v>#DIV/0!</v>
      </c>
    </row>
    <row r="65" spans="2:7" ht="13.15">
      <c r="B65" s="129" t="s">
        <v>220</v>
      </c>
      <c r="C65" s="129" t="s">
        <v>54</v>
      </c>
      <c r="D65" s="129" t="s">
        <v>55</v>
      </c>
      <c r="E65" s="130" t="str">
        <f>"Sell above ("&amp;Market_currency&amp;")"</f>
        <v>Sell above (HKD)</v>
      </c>
      <c r="F65" s="130" t="s">
        <v>211</v>
      </c>
      <c r="G65" s="130" t="s">
        <v>218</v>
      </c>
    </row>
    <row r="66" spans="2:7" ht="13.15">
      <c r="B66" s="211" t="s">
        <v>142</v>
      </c>
      <c r="C66" s="96">
        <f>PV(F66, Holding_Period, -C58, 0)</f>
        <v>0</v>
      </c>
      <c r="D66" s="96">
        <f>C36/(1+F66)^Holding_Period</f>
        <v>0</v>
      </c>
      <c r="E66" s="240">
        <f>C66+D66</f>
        <v>0</v>
      </c>
      <c r="F66" s="210">
        <f>Thesis!E24</f>
        <v>0.1174</v>
      </c>
      <c r="G66" s="256" t="e">
        <f>(1-E66/C47)</f>
        <v>#DIV/0!</v>
      </c>
    </row>
    <row r="67" spans="2:7" ht="13.15">
      <c r="B67" s="211" t="s">
        <v>141</v>
      </c>
      <c r="C67" s="96">
        <f>PV(F67, Holding_Period, -C58, 0)</f>
        <v>0</v>
      </c>
      <c r="D67" s="96">
        <f>C36/(1+F67)^Holding_Period</f>
        <v>0</v>
      </c>
      <c r="E67" s="240">
        <f>C67+D67</f>
        <v>0</v>
      </c>
      <c r="F67" s="210">
        <f>Thesis!E25</f>
        <v>7.4999999999999997E-2</v>
      </c>
      <c r="G67" s="256" t="e">
        <f>(1-E67/C36)</f>
        <v>#DIV/0!</v>
      </c>
    </row>
  </sheetData>
  <mergeCells count="1">
    <mergeCell ref="D4:G14"/>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11</vt:i4>
      </vt:variant>
    </vt:vector>
  </HeadingPairs>
  <TitlesOfParts>
    <vt:vector size="16" baseType="lpstr">
      <vt:lpstr>Thesis</vt:lpstr>
      <vt:lpstr>Data</vt:lpstr>
      <vt:lpstr>Normalized_FCF</vt:lpstr>
      <vt:lpstr>DDM</vt:lpstr>
      <vt:lpstr>Scenarios</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2025-10-08T10:01:56Z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