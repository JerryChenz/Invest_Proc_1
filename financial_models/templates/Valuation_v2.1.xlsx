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681BC566-16DA-4431-BF4D-9A24498F0CF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C73" i="3"/>
  <c r="D73" i="3"/>
  <c r="I50" i="2"/>
  <c r="J50" i="2"/>
  <c r="K50" i="2"/>
  <c r="L50" i="2"/>
  <c r="M50" i="2"/>
  <c r="N50" i="2"/>
  <c r="O50" i="2"/>
  <c r="P50" i="2"/>
  <c r="Q50" i="2"/>
  <c r="I48" i="2"/>
  <c r="J48" i="2"/>
  <c r="K48" i="2"/>
  <c r="L48" i="2"/>
  <c r="M48" i="2"/>
  <c r="N48" i="2"/>
  <c r="O48" i="2"/>
  <c r="P48" i="2"/>
  <c r="Q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C10" i="2"/>
  <c r="K73" i="2"/>
  <c r="I73" i="2"/>
  <c r="H73" i="2"/>
  <c r="J73" i="2"/>
  <c r="L73" i="2"/>
  <c r="L63" i="2"/>
  <c r="L79" i="2" s="1"/>
  <c r="K63" i="2"/>
  <c r="K79" i="2" s="1"/>
  <c r="I63" i="2"/>
  <c r="I79" i="2" s="1"/>
  <c r="N74" i="2"/>
  <c r="C79" i="2"/>
  <c r="H6" i="2"/>
  <c r="H8" i="2" s="1"/>
  <c r="K6" i="2"/>
  <c r="K8" i="2" s="1"/>
  <c r="K43" i="2" s="1"/>
  <c r="G6" i="2"/>
  <c r="G8" i="2" s="1"/>
  <c r="I6" i="2"/>
  <c r="I8" i="2" s="1"/>
  <c r="L6" i="2"/>
  <c r="L8" i="2" s="1"/>
  <c r="L55" i="2" s="1"/>
  <c r="J6" i="2"/>
  <c r="J8" i="2" s="1"/>
  <c r="C75" i="2"/>
  <c r="C40" i="2"/>
  <c r="D74" i="3" l="1"/>
  <c r="C30" i="2"/>
  <c r="C5" i="2"/>
  <c r="C6" i="2" s="1"/>
  <c r="C8" i="2" s="1"/>
  <c r="C34" i="6"/>
  <c r="I55" i="2"/>
  <c r="I43" i="2"/>
  <c r="H55" i="2"/>
  <c r="J55" i="2"/>
  <c r="J43" i="2"/>
  <c r="G55" i="2"/>
  <c r="C7" i="9"/>
  <c r="K55" i="2"/>
  <c r="C13" i="9"/>
  <c r="G79" i="2"/>
  <c r="L74" i="2"/>
  <c r="I74" i="2"/>
  <c r="H74" i="2"/>
  <c r="G74" i="2"/>
  <c r="K74" i="2"/>
  <c r="J74" i="2"/>
  <c r="C104" i="2"/>
  <c r="D75" i="3" l="1"/>
  <c r="D55" i="3"/>
  <c r="G29" i="3"/>
  <c r="D62" i="3" s="1"/>
  <c r="C48" i="2" l="1"/>
  <c r="D66" i="3"/>
  <c r="C8" i="8" s="1"/>
  <c r="D51" i="3"/>
  <c r="C46" i="3"/>
  <c r="C47" i="3" s="1"/>
  <c r="C62" i="3"/>
  <c r="C83" i="2" s="1"/>
  <c r="C40" i="6" l="1"/>
  <c r="G48" i="2"/>
  <c r="G50" i="2" s="1"/>
  <c r="G12" i="2" s="1"/>
  <c r="H48" i="2"/>
  <c r="H50" i="2" s="1"/>
  <c r="H12" i="2" s="1"/>
  <c r="C90" i="6"/>
  <c r="C91" i="6" s="1"/>
  <c r="C87" i="3"/>
  <c r="D87" i="3" s="1"/>
  <c r="C15" i="2"/>
  <c r="G1" i="2"/>
  <c r="H80" i="2" l="1"/>
  <c r="H43" i="2"/>
  <c r="G80" i="2"/>
  <c r="G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<sst xmlns="http://schemas.openxmlformats.org/spreadsheetml/2006/main" count="562" uniqueCount="393">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</sst>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20" sqref="C20"/>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290" t="s">
        <v>345</v>
      </c>
      <c r="F1" s="291" t="s">
        <v>347</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366</v>
      </c>
      <c r="D5" s="49" t="s">
        <v>367</v>
      </c>
    </row>
    <row r="6" spans="1:10" x14ac:dyDescent="0.35">
      <c r="B6" s="4" t="s">
        <v>98</v>
      </c>
      <c r="C6" s="50">
        <v>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388</v>
      </c>
      <c r="C15" s="32" t="str">
        <f>IF(Scenarios!C69="Y",Scenarios!B69,"")&amp;IF(Scenarios!C70="Y",Scenarios!B70,"")&amp;IF(Scenarios!C71="Y",Scenarios!B71,"")&amp;" "&amp;IF(Scenarios!C72="Y",Scenarios!B72,"")</f>
        <v>Negative Growth Asset Play</v>
      </c>
      <c r="E15" s="5"/>
    </row>
    <row r="16" spans="1:10" x14ac:dyDescent="0.35">
      <c r="B16" s="4" t="s">
        <v>387</v>
      </c>
      <c r="C16" s="48" t="s">
        <v>42</v>
      </c>
      <c r="D16" s="32"/>
      <c r="E16" s="5"/>
    </row>
    <row r="17" spans="1:6" x14ac:dyDescent="0.35">
      <c r="B17" s="4" t="s">
        <v>1</v>
      </c>
      <c r="C17" s="50">
        <v>1</v>
      </c>
      <c r="D17" s="32" t="str">
        <f>IF(C16=D6,D6,C16&amp;"/"&amp;D6)</f>
        <v>HKD</v>
      </c>
      <c r="E17" s="5"/>
    </row>
    <row r="18" spans="1:6" x14ac:dyDescent="0.35">
      <c r="B18" s="2" t="s">
        <v>59</v>
      </c>
      <c r="C18" s="48" t="s">
        <v>348</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7">
        <v>3</v>
      </c>
    </row>
    <row r="21" spans="1:6" x14ac:dyDescent="0.35">
      <c r="B21" s="1" t="s">
        <v>334</v>
      </c>
      <c r="C21" s="286">
        <f ca="1">Scenarios!C87</f>
        <v>0.1185224959199922</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377</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378</v>
      </c>
      <c r="C40" s="329">
        <f>Normalized_FCF!C48</f>
        <v>163.69305155463843</v>
      </c>
      <c r="D40" s="1" t="str">
        <f>Reporting_currency</f>
        <v>HKD</v>
      </c>
      <c r="E40" s="328"/>
      <c r="F40" s="328"/>
    </row>
    <row r="41" spans="2:6" x14ac:dyDescent="0.35">
      <c r="B41" s="47" t="s">
        <v>379</v>
      </c>
      <c r="C41" s="329">
        <f>Normalized_FCF!C47</f>
        <v>-43</v>
      </c>
      <c r="D41" s="1" t="str">
        <f>Reporting_currency</f>
        <v>HKD</v>
      </c>
      <c r="E41" s="328"/>
      <c r="F41" s="328"/>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-804.36319459009837</v>
      </c>
      <c r="D48" s="1" t="str">
        <f>Reporting_currency</f>
        <v>HKD</v>
      </c>
    </row>
    <row r="50" spans="1:6" x14ac:dyDescent="0.35">
      <c r="B50" s="338" t="s">
        <v>376</v>
      </c>
      <c r="C50" s="342"/>
      <c r="D50" s="342"/>
      <c r="E50" s="342"/>
      <c r="F50" s="342"/>
    </row>
    <row r="51" spans="1:6" x14ac:dyDescent="0.35">
      <c r="B51" s="47" t="s">
        <v>248</v>
      </c>
      <c r="C51" s="1">
        <f>Normalized_FCF!C17</f>
        <v>0</v>
      </c>
      <c r="D51" s="1" t="str">
        <f>Reporting_currency</f>
        <v>HKD</v>
      </c>
    </row>
    <row r="53" spans="1:6" ht="24.4" customHeight="1" x14ac:dyDescent="0.35">
      <c r="B53" s="339" t="s">
        <v>381</v>
      </c>
      <c r="C53" s="339"/>
      <c r="D53" s="339"/>
      <c r="E53" s="339"/>
      <c r="F53" s="339"/>
    </row>
    <row r="54" spans="1:6" ht="24.4" customHeight="1" x14ac:dyDescent="0.35">
      <c r="B54" s="339" t="s">
        <v>267</v>
      </c>
      <c r="C54" s="339"/>
      <c r="D54" s="339"/>
      <c r="E54" s="339"/>
      <c r="F54" s="339"/>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3.9101059744590508E-2</v>
      </c>
    </row>
    <row r="59" spans="1:6" x14ac:dyDescent="0.35">
      <c r="B59" s="260" t="s">
        <v>336</v>
      </c>
      <c r="C59" s="94">
        <f>Normalized_FCF!C93</f>
        <v>7.3417721518987331E-2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8">
        <v>0.08</v>
      </c>
    </row>
    <row r="68" spans="1:6" x14ac:dyDescent="0.35">
      <c r="B68" s="1" t="s">
        <v>309</v>
      </c>
      <c r="C68" s="269">
        <f>IF(D68="Y",1%,0)</f>
        <v>0.01</v>
      </c>
      <c r="D68" s="293" t="s">
        <v>306</v>
      </c>
    </row>
    <row r="69" spans="1:6" x14ac:dyDescent="0.35">
      <c r="B69" s="1" t="s">
        <v>308</v>
      </c>
      <c r="C69" s="269">
        <f>IF(D69="Y",1%,0)</f>
        <v>0</v>
      </c>
      <c r="D69" s="293" t="s">
        <v>353</v>
      </c>
    </row>
    <row r="70" spans="1:6" x14ac:dyDescent="0.35">
      <c r="B70" s="82" t="s">
        <v>253</v>
      </c>
      <c r="C70" s="269">
        <f>SUM(C67:C69)</f>
        <v>0.09</v>
      </c>
    </row>
    <row r="71" spans="1:6" x14ac:dyDescent="0.35">
      <c r="C71" s="125"/>
    </row>
    <row r="72" spans="1:6" x14ac:dyDescent="0.35">
      <c r="B72" s="339" t="s">
        <v>382</v>
      </c>
      <c r="C72" s="339"/>
      <c r="D72" s="339"/>
      <c r="E72" s="339"/>
      <c r="F72" s="339"/>
    </row>
    <row r="73" spans="1:6" ht="24.4" customHeight="1" x14ac:dyDescent="0.35">
      <c r="B73" s="339" t="s">
        <v>383</v>
      </c>
      <c r="C73" s="339"/>
      <c r="D73" s="339"/>
      <c r="E73" s="339"/>
      <c r="F73" s="339"/>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384</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38" t="s">
        <v>364</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365</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c r="F4" s="184"/>
      <c r="G4" s="184"/>
      <c r="H4" s="184"/>
      <c r="I4" s="184"/>
      <c r="J4" s="184"/>
      <c r="K4" s="184"/>
      <c r="L4" s="184"/>
      <c r="M4" s="184"/>
    </row>
    <row r="5" spans="2:13" x14ac:dyDescent="0.35">
      <c r="B5" s="40" t="s">
        <v>45</v>
      </c>
      <c r="C5" s="193">
        <v>5344</v>
      </c>
      <c r="D5" s="184">
        <v>6492</v>
      </c>
      <c r="E5" s="184"/>
      <c r="F5" s="184"/>
      <c r="G5" s="184"/>
      <c r="H5" s="184"/>
      <c r="I5" s="184"/>
      <c r="J5" s="184"/>
      <c r="K5" s="184"/>
      <c r="L5" s="184"/>
      <c r="M5" s="184"/>
    </row>
    <row r="6" spans="2:13" x14ac:dyDescent="0.35">
      <c r="B6" s="40" t="s">
        <v>57</v>
      </c>
      <c r="C6" s="193">
        <v>1084</v>
      </c>
      <c r="D6" s="184">
        <v>1129</v>
      </c>
      <c r="E6" s="184"/>
      <c r="F6" s="184"/>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c r="F12" s="184"/>
      <c r="G12" s="184"/>
      <c r="H12" s="184"/>
      <c r="I12" s="184"/>
      <c r="J12" s="184"/>
      <c r="K12" s="184"/>
      <c r="L12" s="184"/>
      <c r="M12" s="184"/>
    </row>
    <row r="13" spans="2:13" x14ac:dyDescent="0.35">
      <c r="B13" s="40" t="s">
        <v>70</v>
      </c>
      <c r="C13" s="193">
        <v>2340</v>
      </c>
      <c r="D13" s="184">
        <v>1390.845307</v>
      </c>
      <c r="E13" s="184"/>
      <c r="F13" s="184"/>
      <c r="G13" s="184"/>
      <c r="H13" s="184"/>
      <c r="I13" s="184"/>
      <c r="J13" s="184"/>
      <c r="K13" s="184"/>
      <c r="L13" s="184"/>
      <c r="M13" s="184"/>
    </row>
    <row r="14" spans="2:13" x14ac:dyDescent="0.35">
      <c r="B14" s="40" t="s">
        <v>52</v>
      </c>
      <c r="C14" s="193">
        <v>519</v>
      </c>
      <c r="D14" s="184">
        <v>860.83482800000002</v>
      </c>
      <c r="E14" s="184"/>
      <c r="F14" s="184"/>
      <c r="G14" s="184"/>
      <c r="H14" s="184"/>
      <c r="I14" s="184"/>
      <c r="J14" s="184"/>
      <c r="K14" s="184"/>
      <c r="L14" s="184"/>
      <c r="M14" s="184"/>
    </row>
    <row r="15" spans="2:13" x14ac:dyDescent="0.35">
      <c r="B15" s="43" t="s">
        <v>44</v>
      </c>
      <c r="C15" s="195">
        <v>4251</v>
      </c>
      <c r="D15" s="185">
        <v>5880</v>
      </c>
      <c r="E15" s="185"/>
      <c r="F15" s="185"/>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c r="F19" s="184"/>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90</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1">
        <v>0.6</v>
      </c>
      <c r="E4" s="25"/>
      <c r="F4" s="4" t="s">
        <v>81</v>
      </c>
      <c r="G4" s="19">
        <v>45665</v>
      </c>
      <c r="H4" s="301">
        <v>0.9</v>
      </c>
    </row>
    <row r="5" spans="2:8" ht="15" customHeight="1" x14ac:dyDescent="0.35">
      <c r="B5" s="1" t="s">
        <v>33</v>
      </c>
      <c r="C5" s="19">
        <v>0</v>
      </c>
      <c r="D5" s="301">
        <v>0.6</v>
      </c>
      <c r="E5" s="25"/>
      <c r="F5" s="1" t="s">
        <v>29</v>
      </c>
      <c r="G5" s="19">
        <v>2014</v>
      </c>
      <c r="H5" s="301">
        <v>0.7</v>
      </c>
    </row>
    <row r="6" spans="2:8" ht="15" customHeight="1" x14ac:dyDescent="0.35">
      <c r="B6" s="4" t="s">
        <v>10</v>
      </c>
      <c r="C6" s="19">
        <v>9844</v>
      </c>
      <c r="D6" s="301">
        <v>0.5</v>
      </c>
      <c r="E6" s="25"/>
      <c r="F6" s="4" t="s">
        <v>181</v>
      </c>
      <c r="G6" s="19">
        <v>156</v>
      </c>
      <c r="H6" s="301">
        <v>0.6</v>
      </c>
    </row>
    <row r="7" spans="2:8" ht="15" customHeight="1" x14ac:dyDescent="0.35">
      <c r="B7" s="1" t="s">
        <v>72</v>
      </c>
      <c r="C7" s="19">
        <v>5466</v>
      </c>
      <c r="D7" s="301">
        <v>0.6</v>
      </c>
      <c r="E7" s="25"/>
      <c r="F7" s="4" t="s">
        <v>182</v>
      </c>
      <c r="G7" s="19">
        <v>0</v>
      </c>
      <c r="H7" s="301">
        <v>0.6</v>
      </c>
    </row>
    <row r="8" spans="2:8" ht="15" customHeight="1" x14ac:dyDescent="0.35">
      <c r="B8" s="1" t="s">
        <v>177</v>
      </c>
      <c r="C8" s="19">
        <v>0</v>
      </c>
      <c r="D8" s="301">
        <v>0.6</v>
      </c>
      <c r="E8" s="25"/>
      <c r="F8" s="1" t="s">
        <v>183</v>
      </c>
      <c r="G8" s="19">
        <v>0</v>
      </c>
      <c r="H8" s="301">
        <v>0.6</v>
      </c>
    </row>
    <row r="9" spans="2:8" ht="15" customHeight="1" x14ac:dyDescent="0.35">
      <c r="B9" s="4" t="s">
        <v>25</v>
      </c>
      <c r="C9" s="19">
        <v>0</v>
      </c>
      <c r="D9" s="301">
        <v>0.1</v>
      </c>
      <c r="E9" s="25"/>
      <c r="F9" s="4" t="s">
        <v>184</v>
      </c>
      <c r="G9" s="19">
        <v>0</v>
      </c>
      <c r="H9" s="301">
        <v>0.6</v>
      </c>
    </row>
    <row r="10" spans="2:8" ht="15" customHeight="1" x14ac:dyDescent="0.35">
      <c r="B10" s="4" t="s">
        <v>11</v>
      </c>
      <c r="C10" s="19">
        <v>10</v>
      </c>
      <c r="D10" s="301">
        <v>0.9</v>
      </c>
      <c r="H10" s="302"/>
    </row>
    <row r="11" spans="2:8" ht="15" customHeight="1" x14ac:dyDescent="0.35">
      <c r="B11" s="4" t="s">
        <v>12</v>
      </c>
      <c r="C11" s="19">
        <v>0</v>
      </c>
      <c r="D11" s="301">
        <v>0.05</v>
      </c>
      <c r="H11" s="302"/>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1">
        <v>0.4</v>
      </c>
      <c r="F15" s="4" t="s">
        <v>82</v>
      </c>
      <c r="G15" s="19">
        <v>0</v>
      </c>
      <c r="H15" s="301">
        <v>0.8</v>
      </c>
    </row>
    <row r="16" spans="2:8" ht="15" customHeight="1" x14ac:dyDescent="0.35">
      <c r="B16" s="1" t="s">
        <v>34</v>
      </c>
      <c r="C16" s="19">
        <v>0</v>
      </c>
      <c r="D16" s="301">
        <v>0.5</v>
      </c>
      <c r="F16" s="4" t="s">
        <v>181</v>
      </c>
      <c r="G16" s="19">
        <v>1373</v>
      </c>
      <c r="H16" s="301">
        <v>0.6</v>
      </c>
    </row>
    <row r="17" spans="2:8" ht="15" customHeight="1" x14ac:dyDescent="0.35">
      <c r="B17" s="1" t="s">
        <v>72</v>
      </c>
      <c r="C17" s="19">
        <v>67668</v>
      </c>
      <c r="D17" s="301">
        <v>0.6</v>
      </c>
      <c r="F17" s="4" t="s">
        <v>182</v>
      </c>
      <c r="G17" s="19">
        <v>13024</v>
      </c>
      <c r="H17" s="301">
        <v>0.6</v>
      </c>
    </row>
    <row r="18" spans="2:8" ht="15" customHeight="1" x14ac:dyDescent="0.35">
      <c r="B18" s="4" t="s">
        <v>177</v>
      </c>
      <c r="C18" s="19">
        <v>0</v>
      </c>
      <c r="D18" s="301">
        <v>0.6</v>
      </c>
      <c r="F18" s="4" t="s">
        <v>185</v>
      </c>
      <c r="G18" s="19">
        <v>23696</v>
      </c>
      <c r="H18" s="301">
        <v>0.1</v>
      </c>
    </row>
    <row r="19" spans="2:8" ht="15" customHeight="1" x14ac:dyDescent="0.35">
      <c r="B19" s="4" t="s">
        <v>26</v>
      </c>
      <c r="C19" s="19">
        <v>1284</v>
      </c>
      <c r="D19" s="301">
        <v>0.1</v>
      </c>
      <c r="F19" s="4" t="s">
        <v>186</v>
      </c>
      <c r="G19" s="19">
        <v>0</v>
      </c>
      <c r="H19" s="301">
        <v>0.1</v>
      </c>
    </row>
    <row r="20" spans="2:8" ht="15" customHeight="1" x14ac:dyDescent="0.35">
      <c r="B20" s="4" t="s">
        <v>18</v>
      </c>
      <c r="C20" s="19">
        <v>0</v>
      </c>
      <c r="D20" s="301">
        <v>0.05</v>
      </c>
      <c r="F20" s="4" t="s">
        <v>183</v>
      </c>
      <c r="G20" s="19">
        <v>0</v>
      </c>
      <c r="H20" s="301">
        <v>0.2</v>
      </c>
    </row>
    <row r="21" spans="2:8" ht="15" customHeight="1" x14ac:dyDescent="0.35">
      <c r="B21" s="4" t="s">
        <v>19</v>
      </c>
      <c r="C21" s="19">
        <v>0</v>
      </c>
      <c r="D21" s="301">
        <v>0.05</v>
      </c>
      <c r="F21" s="1" t="s">
        <v>184</v>
      </c>
      <c r="G21" s="19">
        <v>0</v>
      </c>
      <c r="H21" s="301">
        <v>0.1</v>
      </c>
    </row>
    <row r="22" spans="2:8" ht="15" customHeight="1" x14ac:dyDescent="0.35">
      <c r="B22" s="4" t="s">
        <v>20</v>
      </c>
      <c r="C22" s="19">
        <v>10</v>
      </c>
      <c r="D22" s="301">
        <v>0.9</v>
      </c>
      <c r="H22" s="302"/>
    </row>
    <row r="23" spans="2:8" ht="15" customHeight="1" x14ac:dyDescent="0.35">
      <c r="B23" s="4" t="s">
        <v>21</v>
      </c>
      <c r="C23" s="19">
        <v>0</v>
      </c>
      <c r="D23" s="301">
        <v>0</v>
      </c>
      <c r="H23" s="302"/>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4"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4"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2" t="s">
        <v>350</v>
      </c>
      <c r="C72" s="267" t="s">
        <v>99</v>
      </c>
      <c r="D72" s="209" t="s">
        <v>60</v>
      </c>
      <c r="F72" s="289"/>
    </row>
    <row r="73" spans="2:6" ht="15" customHeight="1" x14ac:dyDescent="0.35">
      <c r="B73" s="108" t="s">
        <v>349</v>
      </c>
      <c r="C73" s="191">
        <f>(Normalized_FCF!G25+Normalized_FCF!G35-Normalized_FCF!G91)/12</f>
        <v>-930.64086357333326</v>
      </c>
      <c r="D73" s="191">
        <f>(Normalized_FCF!C25+Normalized_FCF!C35-Normalized_FCF!C91)/12</f>
        <v>-909.4058419702136</v>
      </c>
      <c r="F73" s="1" t="s">
        <v>391</v>
      </c>
    </row>
    <row r="74" spans="2:6" ht="15" customHeight="1" x14ac:dyDescent="0.35">
      <c r="B74" s="295" t="s">
        <v>354</v>
      </c>
      <c r="C74" s="296">
        <f>-$C$66/C73</f>
        <v>51.232437631128107</v>
      </c>
      <c r="D74" s="296">
        <f>-$C$66/D73</f>
        <v>52.428737313479523</v>
      </c>
      <c r="F74" s="289" t="s">
        <v>351</v>
      </c>
    </row>
    <row r="75" spans="2:6" ht="15" customHeight="1" x14ac:dyDescent="0.35">
      <c r="B75" s="82" t="s">
        <v>352</v>
      </c>
      <c r="C75" s="300"/>
      <c r="D75" s="299">
        <f>MAX(-D73*D76,G5)</f>
        <v>5456.4350518212814</v>
      </c>
      <c r="F75" s="289" t="s">
        <v>392</v>
      </c>
    </row>
    <row r="76" spans="2:6" ht="15" customHeight="1" x14ac:dyDescent="0.35">
      <c r="B76" s="297" t="s">
        <v>355</v>
      </c>
      <c r="C76" s="298"/>
      <c r="D76" s="334">
        <f>IF(D74&lt;=3,1,IF(D74&gt;18,6,2))</f>
        <v>6</v>
      </c>
      <c r="F76" s="289" t="s">
        <v>356</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9"/>
      <c r="F3" s="9"/>
      <c r="G3" s="9"/>
    </row>
    <row r="4" spans="1:17" ht="15.75" customHeight="1" x14ac:dyDescent="0.35">
      <c r="A4" s="10"/>
      <c r="B4" s="26" t="s">
        <v>2</v>
      </c>
      <c r="C4" s="196">
        <f>G4</f>
        <v>8765</v>
      </c>
      <c r="D4" s="57"/>
      <c r="E4" s="307"/>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9"/>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9"/>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9"/>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5"/>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9"/>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9"/>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8"/>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9"/>
      <c r="G12" s="197">
        <f>G50</f>
        <v>224.79206823259295</v>
      </c>
      <c r="H12" s="197">
        <f t="shared" ref="H12:Q12" si="6">H50</f>
        <v>118.39443599706225</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9"/>
      <c r="G13" s="187">
        <f>IF(G$4="","",SUM(G8:G12))</f>
        <v>3291.792068232593</v>
      </c>
      <c r="H13" s="187">
        <f t="shared" ref="H13:Q13" si="7">IF(H$4="","",SUM(H8:H12))</f>
        <v>5395.3944359970619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9"/>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6"/>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7"/>
      <c r="F16" s="62"/>
      <c r="G16" s="187">
        <f>IF(G$4="","",SUM(G13:G15))</f>
        <v>2772.792068232593</v>
      </c>
      <c r="H16" s="187">
        <f t="shared" ref="H16:Q16" si="8">IF(H$4="","",SUM(H13:H15))</f>
        <v>4503.5596079970619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8" t="s">
        <v>368</v>
      </c>
      <c r="F17" s="59"/>
      <c r="G17" s="201"/>
      <c r="H17" s="201"/>
      <c r="I17" s="201"/>
      <c r="J17" s="201"/>
      <c r="K17" s="201"/>
      <c r="L17" s="201"/>
      <c r="M17" s="201"/>
      <c r="N17" s="201"/>
      <c r="O17" s="201"/>
      <c r="P17" s="201"/>
      <c r="Q17" s="201"/>
    </row>
    <row r="18" spans="1:17" ht="15.75" customHeight="1" x14ac:dyDescent="0.35">
      <c r="A18" s="10"/>
      <c r="B18" s="27" t="s">
        <v>102</v>
      </c>
      <c r="C18" s="197">
        <v>0</v>
      </c>
      <c r="D18" s="59"/>
      <c r="E18" s="308" t="s">
        <v>369</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6"/>
      <c r="F19" s="27"/>
      <c r="G19" s="189">
        <f>IF(G$4="","",G16+G17)</f>
        <v>2772.792068232593</v>
      </c>
      <c r="H19" s="189">
        <f t="shared" ref="H19:Q19" si="9">IF(H$4="","",H16+H17)</f>
        <v>4503.5596079970619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6"/>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8"/>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6"/>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4"/>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210</v>
      </c>
      <c r="E27" s="309"/>
    </row>
    <row r="28" spans="1:17" ht="15.75" customHeight="1" x14ac:dyDescent="0.35">
      <c r="A28" s="10"/>
      <c r="B28" s="26" t="s">
        <v>45</v>
      </c>
      <c r="C28" s="64">
        <f>AVERAGE(G28:H28)</f>
        <v>0.57805815639048053</v>
      </c>
      <c r="D28" s="26"/>
      <c r="E28" s="307" t="s">
        <v>370</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7" t="s">
        <v>370</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9"/>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47</v>
      </c>
      <c r="E32" s="309"/>
    </row>
    <row r="33" spans="1:17" ht="15.75" customHeight="1" x14ac:dyDescent="0.35">
      <c r="A33" s="10"/>
      <c r="B33" s="8" t="s">
        <v>178</v>
      </c>
      <c r="C33" s="204">
        <f>AVERAGE(G33:H33)</f>
        <v>-1106.5</v>
      </c>
      <c r="E33" s="307" t="s">
        <v>370</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7" t="s">
        <v>370</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8"/>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211</v>
      </c>
      <c r="E37" s="309"/>
    </row>
    <row r="38" spans="1:17" ht="15.75" customHeight="1" x14ac:dyDescent="0.35">
      <c r="A38" s="10"/>
      <c r="B38" s="2" t="str">
        <f>B33</f>
        <v>G&amp;A and other Opex</v>
      </c>
      <c r="C38" s="23">
        <f>ABS(C33/$C$4)</f>
        <v>0.1262407301768397</v>
      </c>
      <c r="D38" s="27"/>
      <c r="E38" s="306"/>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9"/>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212</v>
      </c>
      <c r="E42" s="309"/>
    </row>
    <row r="43" spans="1:17" ht="15.75" customHeight="1" x14ac:dyDescent="0.35">
      <c r="A43" s="10"/>
      <c r="B43" s="27" t="s">
        <v>175</v>
      </c>
      <c r="C43" s="303">
        <v>0.24</v>
      </c>
      <c r="D43" s="27"/>
      <c r="E43" s="306" t="s">
        <v>371</v>
      </c>
      <c r="F43" s="27"/>
      <c r="G43" s="6">
        <f t="shared" ref="G43:Q43" si="18">IF(G$4="","",-G14/SUM(G8+G11,G12))</f>
        <v>0.16214736506972799</v>
      </c>
      <c r="H43" s="6">
        <f t="shared" si="18"/>
        <v>0.16225651803742283</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9"/>
    </row>
    <row r="47" spans="1:17" ht="15.75" customHeight="1" x14ac:dyDescent="0.35">
      <c r="A47" s="10"/>
      <c r="B47" s="2" t="s">
        <v>39</v>
      </c>
      <c r="C47" s="197">
        <f>-BS!G31*Normalized_FCF!C54</f>
        <v>-43</v>
      </c>
      <c r="E47" s="309"/>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385</v>
      </c>
      <c r="C48" s="197">
        <f>BS!D75*C53</f>
        <v>163.69305155463843</v>
      </c>
      <c r="E48" s="309"/>
      <c r="G48" s="335">
        <f>IF(G$4="","",($C$48/$C$49)*G49)</f>
        <v>267.79206823259295</v>
      </c>
      <c r="H48" s="335">
        <f t="shared" ref="H48:Q48" si="19">IF(H$4="","",($C$48/$C$49)*H49)</f>
        <v>159.16980399706225</v>
      </c>
      <c r="I48" s="335" t="str">
        <f t="shared" si="19"/>
        <v/>
      </c>
      <c r="J48" s="335" t="str">
        <f t="shared" si="19"/>
        <v/>
      </c>
      <c r="K48" s="335" t="str">
        <f t="shared" si="19"/>
        <v/>
      </c>
      <c r="L48" s="335" t="str">
        <f t="shared" si="19"/>
        <v/>
      </c>
      <c r="M48" s="335" t="str">
        <f t="shared" si="19"/>
        <v/>
      </c>
      <c r="N48" s="335" t="str">
        <f t="shared" si="19"/>
        <v/>
      </c>
      <c r="O48" s="335" t="str">
        <f t="shared" si="19"/>
        <v/>
      </c>
      <c r="P48" s="335" t="str">
        <f t="shared" si="19"/>
        <v/>
      </c>
      <c r="Q48" s="335" t="str">
        <f t="shared" si="19"/>
        <v/>
      </c>
    </row>
    <row r="49" spans="1:17" ht="15.75" customHeight="1" x14ac:dyDescent="0.35">
      <c r="A49" s="10"/>
      <c r="B49" s="330" t="s">
        <v>380</v>
      </c>
      <c r="C49" s="331">
        <f>BS!$C$66*C53</f>
        <v>1430.37</v>
      </c>
      <c r="D49" s="332"/>
      <c r="E49" s="333"/>
      <c r="F49" s="332"/>
      <c r="G49" s="331">
        <f>Data!C52</f>
        <v>2340</v>
      </c>
      <c r="H49" s="331">
        <f>Data!D52</f>
        <v>1390.845307</v>
      </c>
      <c r="I49" s="331" t="str">
        <f>Data!E52</f>
        <v/>
      </c>
      <c r="J49" s="331" t="str">
        <f>Data!F52</f>
        <v/>
      </c>
      <c r="K49" s="331" t="str">
        <f>Data!G52</f>
        <v/>
      </c>
      <c r="L49" s="331" t="str">
        <f>Data!H52</f>
        <v/>
      </c>
      <c r="M49" s="331" t="str">
        <f>Data!I52</f>
        <v/>
      </c>
      <c r="N49" s="331" t="str">
        <f>Data!J52</f>
        <v/>
      </c>
      <c r="O49" s="331" t="str">
        <f>Data!K52</f>
        <v/>
      </c>
      <c r="P49" s="331" t="str">
        <f>Data!L52</f>
        <v/>
      </c>
      <c r="Q49" s="331" t="str">
        <f>Data!M52</f>
        <v/>
      </c>
    </row>
    <row r="50" spans="1:17" ht="15.75" customHeight="1" x14ac:dyDescent="0.35">
      <c r="A50" s="10"/>
      <c r="B50" s="71" t="s">
        <v>71</v>
      </c>
      <c r="C50" s="187">
        <f>C47+C48</f>
        <v>120.69305155463843</v>
      </c>
      <c r="E50" s="309"/>
      <c r="G50" s="187">
        <f>IF(G$4="","",(G47+G48))</f>
        <v>224.79206823259295</v>
      </c>
      <c r="H50" s="187">
        <f t="shared" ref="H50:Q50" si="20">IF(H$4="","",(H47+H48))</f>
        <v>118.39443599706225</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159</v>
      </c>
      <c r="E52" s="309"/>
      <c r="G52" s="100" t="s">
        <v>223</v>
      </c>
    </row>
    <row r="53" spans="1:17" ht="15.75" customHeight="1" x14ac:dyDescent="0.35">
      <c r="A53" s="10"/>
      <c r="B53" s="8" t="s">
        <v>92</v>
      </c>
      <c r="C53" s="89">
        <v>0.03</v>
      </c>
      <c r="E53" s="306" t="s">
        <v>372</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6" t="s">
        <v>373</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9"/>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172</v>
      </c>
      <c r="E57" s="309"/>
      <c r="G57" s="100" t="s">
        <v>223</v>
      </c>
    </row>
    <row r="58" spans="1:17" ht="15.75" customHeight="1" x14ac:dyDescent="0.35">
      <c r="A58" s="10"/>
      <c r="B58" s="40" t="s">
        <v>171</v>
      </c>
      <c r="C58" s="197">
        <f>BS!$C79*C66</f>
        <v>0</v>
      </c>
      <c r="E58" s="309"/>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9"/>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9"/>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9"/>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4">
        <v>0</v>
      </c>
      <c r="E62" s="307" t="s">
        <v>374</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9"/>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173</v>
      </c>
      <c r="E65" s="309"/>
      <c r="G65" s="100" t="s">
        <v>223</v>
      </c>
    </row>
    <row r="66" spans="1:17" ht="15.75" customHeight="1" x14ac:dyDescent="0.35">
      <c r="A66" s="10"/>
      <c r="B66" s="40" t="s">
        <v>171</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9"/>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4"/>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6"/>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6"/>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6"/>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6"/>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6"/>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6"/>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7" t="s">
        <v>375</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6"/>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6"/>
      <c r="F80" s="27"/>
      <c r="G80" s="6">
        <f t="shared" ref="G80:Q80" si="31">IF(G$4="","",ABS(G12/G$4))</f>
        <v>2.5646556558196573E-2</v>
      </c>
      <c r="H80" s="6">
        <f t="shared" si="31"/>
        <v>9.9650228092805528E-3</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6"/>
      <c r="F81" s="27"/>
      <c r="G81" s="66">
        <f t="shared" ref="G81:Q81" si="32">IF(G$4="","",G13/G$4)</f>
        <v>0.37556098895979384</v>
      </c>
      <c r="H81" s="66">
        <f t="shared" si="32"/>
        <v>0.45411955525604425</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6"/>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2.6092079791263361E-3</v>
      </c>
      <c r="D83" s="27"/>
      <c r="E83" s="306"/>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6"/>
      <c r="F84" s="27"/>
      <c r="G84" s="66">
        <f t="shared" ref="G84:Q84" si="35">IF(G$4="","",ABS(G16/G$4))</f>
        <v>0.31634821086509901</v>
      </c>
      <c r="H84" s="66">
        <f t="shared" si="35"/>
        <v>0.3790556020534519</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6"/>
      <c r="F87" s="77"/>
      <c r="G87" s="66">
        <f t="shared" ref="G87:Q87" si="36">IF(G$4="","",ABS(G19/G$4))</f>
        <v>0.31634821086509901</v>
      </c>
      <c r="H87" s="66">
        <f t="shared" si="36"/>
        <v>0.3790556020534519</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218</v>
      </c>
      <c r="E89" s="309"/>
    </row>
    <row r="90" spans="1:17" ht="15.75" customHeight="1" x14ac:dyDescent="0.35">
      <c r="A90" s="10"/>
      <c r="B90" s="2" t="str">
        <f>"Dividend per share ("&amp;Market_currency&amp;")"</f>
        <v>Dividend per share (HKD)</v>
      </c>
      <c r="C90" s="117">
        <f>G90</f>
        <v>0.57999999999999996</v>
      </c>
      <c r="E90" s="309"/>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9"/>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9"/>
      <c r="G92" s="174">
        <f t="shared" ref="G92:Q92" si="38">IF(G$4="","",G90/(G19*$C$3/Common_Shares))</f>
        <v>1.7093565785843898</v>
      </c>
      <c r="H92" s="174">
        <f t="shared" si="38"/>
        <v>1.0524320260941227</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7.3417721518987331E-2</v>
      </c>
      <c r="E93" s="309"/>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88</v>
      </c>
      <c r="C95" s="63"/>
      <c r="D95" s="27"/>
      <c r="E95" s="306"/>
      <c r="F95" s="27"/>
      <c r="G95" s="12"/>
      <c r="H95" s="12"/>
      <c r="I95" s="12"/>
      <c r="J95" s="12"/>
      <c r="K95" s="12"/>
      <c r="L95" s="12"/>
      <c r="M95" s="12"/>
      <c r="N95" s="12"/>
      <c r="O95" s="12"/>
      <c r="P95" s="12"/>
      <c r="Q95" s="12"/>
    </row>
    <row r="96" spans="1:17" ht="15.75" customHeight="1" x14ac:dyDescent="0.35">
      <c r="A96" s="10"/>
      <c r="B96" s="27" t="s">
        <v>148</v>
      </c>
      <c r="C96" s="79">
        <f>C4/G4-1</f>
        <v>0</v>
      </c>
      <c r="D96" s="27"/>
      <c r="E96" s="306"/>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6"/>
      <c r="F97" s="27"/>
      <c r="G97" s="6">
        <f t="shared" ref="G97:Q97" si="41">IF(H5="","",G13/H13-1)</f>
        <v>-0.38988852302060206</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9"/>
      <c r="G100" s="100" t="s">
        <v>223</v>
      </c>
    </row>
    <row r="101" spans="1:17" ht="15.75" customHeight="1" x14ac:dyDescent="0.35">
      <c r="A101" s="10"/>
      <c r="B101" s="26" t="s">
        <v>3</v>
      </c>
      <c r="C101" s="205">
        <f>BS!G32</f>
        <v>180996</v>
      </c>
      <c r="D101" s="26"/>
      <c r="E101" s="310"/>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1"/>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1"/>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10"/>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10"/>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224</v>
      </c>
      <c r="C107" s="26"/>
      <c r="D107" s="26"/>
      <c r="E107" s="310"/>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10"/>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10"/>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10"/>
      <c r="F110" s="26"/>
      <c r="G110" s="97">
        <f>BS!$G$38/G$4</f>
        <v>8.343867655447804</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38</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9"/>
      <c r="G113" s="23">
        <f t="shared" ref="G113:Q113" si="45">G81</f>
        <v>0.37556098895979384</v>
      </c>
      <c r="H113" s="23">
        <f t="shared" si="45"/>
        <v>0.45411955525604425</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9"/>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3"/>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2"/>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6"/>
      <c r="F120" s="27"/>
      <c r="G120" s="181">
        <f t="shared" ref="G120:Q120" si="49">IF(G$4="","",G16*$C$3/Common_Shares*Exchange_Rate)</f>
        <v>0.33930895827500729</v>
      </c>
      <c r="H120" s="181">
        <f t="shared" si="49"/>
        <v>0.55110447574704324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3.9101059744590508E-2</v>
      </c>
      <c r="D121" s="27"/>
      <c r="E121" s="306"/>
      <c r="F121" s="27"/>
      <c r="G121" s="79">
        <f t="shared" ref="G121" si="50">IF(G$4="","",G120/Market_Price)</f>
        <v>4.2950501047469274E-2</v>
      </c>
      <c r="H121" s="79">
        <f t="shared" ref="H121" si="51">IF(H$4="","",H120/Market_Price)</f>
        <v>6.9760060221144712E-2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t="e">
        <f ca="1">(Normalized_FCF!G4/OFFSET(Normalized_FCF!G4, 0, $C$4))^(1/$C$4) - 1</f>
        <v>#VALUE!</v>
      </c>
      <c r="D12" s="162"/>
      <c r="E12" s="346"/>
      <c r="F12" s="346"/>
      <c r="H12" s="282">
        <v>9</v>
      </c>
      <c r="I12" s="270" t="str">
        <f t="shared" si="0"/>
        <v/>
      </c>
    </row>
    <row r="13" spans="2:9" x14ac:dyDescent="0.35">
      <c r="B13" s="152" t="s">
        <v>156</v>
      </c>
      <c r="C13" s="162" t="e">
        <f ca="1">(Normalized_FCF!G8/OFFSET(Normalized_FCF!G8, 0, $C$4))^(1/$C$4) - 1</f>
        <v>#VALUE!</v>
      </c>
      <c r="E13" s="346"/>
      <c r="F13" s="346"/>
      <c r="H13" s="282">
        <v>10</v>
      </c>
      <c r="I13" s="270" t="str">
        <f t="shared" si="0"/>
        <v/>
      </c>
    </row>
    <row r="14" spans="2:9" x14ac:dyDescent="0.35">
      <c r="B14" s="103" t="s">
        <v>69</v>
      </c>
      <c r="C14" s="162" t="e">
        <f ca="1">(Normalized_FCF!G19/OFFSET(Normalized_FCF!G19, 0, $C$4))^(1/$C$4) - 1</f>
        <v>#VALUE!</v>
      </c>
      <c r="E14" s="346"/>
      <c r="F14" s="346"/>
    </row>
    <row r="16" spans="2:9" ht="13.9" x14ac:dyDescent="0.45">
      <c r="B16" s="36" t="s">
        <v>166</v>
      </c>
      <c r="C16" s="37"/>
      <c r="D16" s="37"/>
      <c r="E16" s="37"/>
      <c r="F16" s="37"/>
    </row>
    <row r="17" spans="2:6" ht="13.15" x14ac:dyDescent="0.4">
      <c r="B17" s="112" t="s">
        <v>155</v>
      </c>
      <c r="E17" s="163" t="s">
        <v>362</v>
      </c>
    </row>
    <row r="18" spans="2:6" x14ac:dyDescent="0.35">
      <c r="B18" s="156" t="s">
        <v>137</v>
      </c>
      <c r="C18" s="154">
        <v>10</v>
      </c>
      <c r="E18" s="346" t="s">
        <v>363</v>
      </c>
      <c r="F18" s="347"/>
    </row>
    <row r="19" spans="2:6" x14ac:dyDescent="0.35">
      <c r="E19" s="347"/>
      <c r="F19" s="347"/>
    </row>
    <row r="20" spans="2:6" ht="13.15" x14ac:dyDescent="0.4">
      <c r="B20" s="163" t="s">
        <v>329</v>
      </c>
      <c r="E20" s="347"/>
      <c r="F20" s="347"/>
    </row>
    <row r="21" spans="2:6" x14ac:dyDescent="0.35">
      <c r="B21" s="103" t="s">
        <v>295</v>
      </c>
      <c r="C21" s="164">
        <f>Market_Price</f>
        <v>7.9</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346</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9">
        <f>Thesis!E20</f>
        <v>3</v>
      </c>
    </row>
    <row r="62" spans="2:6" ht="13.9" x14ac:dyDescent="0.45">
      <c r="B62" s="36" t="s">
        <v>389</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390</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386</v>
      </c>
      <c r="F72" s="336">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6">
        <f>(1-C83/C60)</f>
        <v>0.28704717576043881</v>
      </c>
    </row>
    <row r="84" spans="2:8" x14ac:dyDescent="0.35">
      <c r="E84" s="124"/>
    </row>
    <row r="85" spans="2:8" ht="13.15" x14ac:dyDescent="0.4">
      <c r="B85" s="112" t="s">
        <v>328</v>
      </c>
    </row>
    <row r="86" spans="2:8" x14ac:dyDescent="0.35">
      <c r="B86" s="152" t="s">
        <v>326</v>
      </c>
      <c r="C86" s="272">
        <f>Market_Price</f>
        <v>7.9</v>
      </c>
      <c r="D86" t="str">
        <f>Market_currency</f>
        <v>HKD</v>
      </c>
    </row>
    <row r="87" spans="2:8" ht="13.15" x14ac:dyDescent="0.4">
      <c r="B87" s="103" t="s">
        <v>324</v>
      </c>
      <c r="C87" s="271">
        <f ca="1">IRR(OFFSET($I$3, 0, 0, $C$76 + 1, 1))</f>
        <v>0.1185224959199922</v>
      </c>
    </row>
    <row r="88" spans="2:8" x14ac:dyDescent="0.35">
      <c r="B88" s="103"/>
    </row>
    <row r="89" spans="2:8" ht="14.65" x14ac:dyDescent="0.5">
      <c r="E89" s="327" t="s">
        <v>357</v>
      </c>
      <c r="F89" s="324"/>
      <c r="G89" s="2"/>
      <c r="H89" s="323"/>
    </row>
    <row r="90" spans="2:8" ht="13.9" x14ac:dyDescent="0.45">
      <c r="E90" s="320" t="s">
        <v>358</v>
      </c>
      <c r="F90" s="325" t="s">
        <v>359</v>
      </c>
      <c r="G90" s="2"/>
      <c r="H90" s="323"/>
    </row>
    <row r="91" spans="2:8" ht="13.9" x14ac:dyDescent="0.45">
      <c r="E91" s="321" t="s">
        <v>358</v>
      </c>
      <c r="F91" s="325" t="s">
        <v>360</v>
      </c>
      <c r="G91" s="2"/>
      <c r="H91" s="323"/>
    </row>
    <row r="92" spans="2:8" ht="13.9" x14ac:dyDescent="0.45">
      <c r="E92" s="322" t="s">
        <v>358</v>
      </c>
      <c r="F92" s="326" t="s">
        <v>361</v>
      </c>
      <c r="G92" s="2"/>
      <c r="H92" s="323"/>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2025-03-27T12:23:35Z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