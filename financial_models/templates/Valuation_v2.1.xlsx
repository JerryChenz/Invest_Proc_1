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0FE55372-B007-4484-8FFC-BFEA4C57FF5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<sst xmlns="http://schemas.openxmlformats.org/spreadsheetml/2006/main" count="681" uniqueCount="460">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</sst>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applyAlignment="1"/>
    <xf numFmtId="181" fontId="13" fillId="0" borderId="1" xfId="0" applyNumberFormat="1" applyFont="1" applyBorder="1"/>
    <xf numFmtId="181" fontId="12" fillId="0" borderId="1" xfId="0" applyNumberFormat="1" applyFont="1" applyBorder="1"/>
    <xf numFmtId="181" fontId="8"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9" t="s">
        <v>459</v>
      </c>
      <c r="E1" s="294" t="s">
        <v>356</v>
      </c>
      <c r="F1" s="254" t="s">
        <v>285</v>
      </c>
    </row>
    <row r="2" spans="1:10" ht="13.9">
      <c r="A2" s="222" t="s">
        <v>268</v>
      </c>
      <c r="B2" s="36"/>
      <c r="C2" s="36"/>
      <c r="D2" s="36"/>
      <c r="E2" s="36"/>
      <c r="F2" s="36"/>
      <c r="G2" s="22"/>
      <c r="H2" s="22"/>
      <c r="I2" s="22"/>
      <c r="J2" s="22"/>
    </row>
    <row r="4" spans="1:10">
      <c r="B4" s="45" t="s">
        <v>420</v>
      </c>
      <c r="C4" s="46"/>
      <c r="D4" s="5"/>
      <c r="E4" s="2"/>
      <c r="F4" s="2"/>
    </row>
    <row r="5" spans="1:10" ht="12.4">
      <c r="B5" s="4" t="s">
        <v>317</v>
      </c>
      <c r="C5" s="296" t="s">
        <v>445</v>
      </c>
    </row>
    <row r="6" spans="1:10">
      <c r="B6" s="4" t="s">
        <v>0</v>
      </c>
      <c r="C6" s="51">
        <v>20774311267</v>
      </c>
      <c r="E6" s="48"/>
    </row>
    <row r="7" spans="1:10">
      <c r="B7" s="2" t="s">
        <v>309</v>
      </c>
      <c r="C7" s="250">
        <v>6</v>
      </c>
      <c r="D7" s="48"/>
      <c r="E7" s="48"/>
    </row>
    <row r="8" spans="1:10">
      <c r="B8" s="1" t="s">
        <v>269</v>
      </c>
      <c r="C8" s="33">
        <f>EOMONTH(EDATE(BS!C1,C7+2),0)</f>
        <v>45900</v>
      </c>
      <c r="E8" s="48"/>
    </row>
    <row r="9" spans="1:10">
      <c r="E9" s="34"/>
    </row>
    <row r="10" spans="1:10">
      <c r="B10" s="45" t="s">
        <v>423</v>
      </c>
      <c r="C10" s="46"/>
      <c r="E10" s="34"/>
    </row>
    <row r="11" spans="1:10">
      <c r="B11" s="1" t="s">
        <v>422</v>
      </c>
      <c r="C11" s="49" t="s">
        <v>446</v>
      </c>
      <c r="D11" s="49"/>
      <c r="E11" s="34"/>
    </row>
    <row r="12" spans="1:10">
      <c r="B12" s="4" t="s">
        <v>95</v>
      </c>
      <c r="C12" s="50">
        <v>22.7</v>
      </c>
      <c r="D12" s="50"/>
      <c r="E12" s="48"/>
    </row>
    <row r="13" spans="1:10">
      <c r="B13" s="1" t="s">
        <v>421</v>
      </c>
      <c r="C13" s="48" t="s">
        <v>419</v>
      </c>
      <c r="D13" s="48"/>
      <c r="E13" s="5"/>
    </row>
    <row r="14" spans="1:10">
      <c r="B14" s="4" t="s">
        <v>425</v>
      </c>
      <c r="C14" s="35">
        <f>Thesis!C12*Common_Shares/1000000</f>
        <v>471576.86576089996</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20" t="s">
        <v>363</v>
      </c>
      <c r="C18" s="320"/>
      <c r="D18" s="320"/>
      <c r="E18" s="320"/>
      <c r="F18" s="320"/>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11" t="s">
        <v>448</v>
      </c>
    </row>
    <row r="22" spans="2:6">
      <c r="B22" s="2" t="s">
        <v>56</v>
      </c>
      <c r="C22" s="48" t="s">
        <v>447</v>
      </c>
      <c r="D22" s="1" t="str">
        <f>IF(valuation_method="DDM","DDM Terminal Value","")</f>
        <v>DDM Terminal Value</v>
      </c>
      <c r="E22" s="316">
        <v>0.02</v>
      </c>
    </row>
    <row r="23" spans="2:6">
      <c r="B23" s="1" t="s">
        <v>439</v>
      </c>
      <c r="C23" s="264" t="s">
        <v>323</v>
      </c>
    </row>
    <row r="24" spans="2:6">
      <c r="B24" s="1" t="s">
        <v>440</v>
      </c>
      <c r="C24" s="264" t="s">
        <v>323</v>
      </c>
    </row>
    <row r="25" spans="2:6">
      <c r="B25" s="4" t="s">
        <v>350</v>
      </c>
      <c r="C25" s="48" t="s">
        <v>419</v>
      </c>
      <c r="D25" s="32" t="str">
        <f>IF(D11="","",Market_currency&amp;"/"&amp;D13&amp;":")</f>
        <v/>
      </c>
      <c r="E25" s="302" t="str">
        <f>IF(D11="","",1/Exchange_Rate*D16)</f>
        <v/>
      </c>
    </row>
    <row r="26" spans="2:6">
      <c r="B26" s="1" t="str">
        <f>"Expected Equity Value ("&amp;C13&amp;") :"</f>
        <v>Expected Equity Value (CNY) :</v>
      </c>
      <c r="C26" s="307">
        <f>C127</f>
        <v>21.752920556327282</v>
      </c>
      <c r="D26" s="1" t="s">
        <v>403</v>
      </c>
      <c r="E26" s="304">
        <f ca="1">Scenarios!C87</f>
        <v>3.3241061492891966E-2</v>
      </c>
    </row>
    <row r="27" spans="2:6">
      <c r="D27" s="5"/>
      <c r="E27" s="5"/>
    </row>
    <row r="28" spans="2:6">
      <c r="B28" s="45" t="s">
        <v>438</v>
      </c>
      <c r="C28" s="312" t="str">
        <f>C140&amp;" ("&amp;Market_currency&amp;")"</f>
        <v>601166.SS (CNY)</v>
      </c>
      <c r="D28" s="312" t="str">
        <f>IF(D11="","",D140&amp;" ("&amp;D13&amp;")")</f>
        <v/>
      </c>
      <c r="E28" s="308" t="s">
        <v>434</v>
      </c>
      <c r="F28" s="306">
        <v>3</v>
      </c>
    </row>
    <row r="29" spans="2:6">
      <c r="B29" s="1" t="s">
        <v>430</v>
      </c>
      <c r="C29" s="313">
        <f>C144</f>
        <v>9.6117057421017815</v>
      </c>
      <c r="D29" s="313" t="str">
        <f>D144</f>
        <v/>
      </c>
      <c r="E29" s="309" t="s">
        <v>429</v>
      </c>
      <c r="F29" s="305">
        <v>0.4</v>
      </c>
    </row>
    <row r="30" spans="2:6">
      <c r="B30" s="1" t="s">
        <v>431</v>
      </c>
      <c r="C30" s="314">
        <f>C152</f>
        <v>14.144259076931155</v>
      </c>
      <c r="D30" s="314" t="str">
        <f>D152</f>
        <v/>
      </c>
      <c r="E30" s="310" t="s">
        <v>442</v>
      </c>
      <c r="F30" s="315">
        <v>0.22</v>
      </c>
    </row>
    <row r="31" spans="2:6">
      <c r="B31" s="1" t="s">
        <v>432</v>
      </c>
      <c r="C31" s="314">
        <f>C160</f>
        <v>19.999892480445755</v>
      </c>
      <c r="D31" s="314" t="str">
        <f>D160</f>
        <v/>
      </c>
      <c r="E31" s="310" t="s">
        <v>441</v>
      </c>
      <c r="F31" s="315">
        <v>0.08</v>
      </c>
    </row>
    <row r="32" spans="2:6">
      <c r="B32" s="1" t="s">
        <v>433</v>
      </c>
      <c r="C32" s="314">
        <f>C168</f>
        <v>18.029240328562945</v>
      </c>
      <c r="D32" s="314" t="str">
        <f>D168</f>
        <v/>
      </c>
      <c r="E32" s="310" t="s">
        <v>443</v>
      </c>
      <c r="F32" s="315">
        <v>0.12</v>
      </c>
    </row>
    <row r="33" spans="1:6">
      <c r="D33" s="5"/>
      <c r="E33" s="5"/>
    </row>
    <row r="34" spans="1:6" ht="13.9">
      <c r="A34" s="222" t="s">
        <v>358</v>
      </c>
      <c r="B34" s="36"/>
      <c r="C34" s="36"/>
      <c r="D34" s="36"/>
      <c r="E34" s="36"/>
      <c r="F34" s="36"/>
    </row>
    <row r="36" spans="1:6" ht="24.5" customHeight="1">
      <c r="B36" s="320" t="s">
        <v>364</v>
      </c>
      <c r="C36" s="320"/>
      <c r="D36" s="320"/>
      <c r="E36" s="320"/>
      <c r="F36" s="320"/>
    </row>
    <row r="37" spans="1:6" ht="24.5" customHeight="1">
      <c r="B37" s="322" t="s">
        <v>342</v>
      </c>
      <c r="C37" s="322"/>
      <c r="D37" s="322"/>
      <c r="E37" s="322"/>
      <c r="F37" s="322"/>
    </row>
    <row r="39" spans="1:6">
      <c r="B39" s="210" t="s">
        <v>231</v>
      </c>
      <c r="C39" s="108">
        <f>scaling_factor</f>
        <v>1000000</v>
      </c>
    </row>
    <row r="40" spans="1:6" ht="24.5" customHeight="1">
      <c r="B40" s="321" t="s">
        <v>232</v>
      </c>
      <c r="C40" s="321"/>
      <c r="D40" s="321"/>
      <c r="E40" s="321"/>
      <c r="F40" s="321"/>
    </row>
    <row r="41" spans="1:6">
      <c r="B41" s="47" t="s">
        <v>233</v>
      </c>
      <c r="C41" s="354">
        <f>Normalized_FCF!C8</f>
        <v>6033.25</v>
      </c>
      <c r="D41" s="1" t="str">
        <f>Reporting_currency</f>
        <v>CNY</v>
      </c>
    </row>
    <row r="42" spans="1:6">
      <c r="B42" s="47"/>
      <c r="C42" s="76"/>
    </row>
    <row r="43" spans="1:6" ht="24.5" customHeight="1">
      <c r="B43" s="321" t="s">
        <v>234</v>
      </c>
      <c r="C43" s="321"/>
      <c r="D43" s="321"/>
      <c r="E43" s="321"/>
      <c r="F43" s="321"/>
    </row>
    <row r="44" spans="1:6">
      <c r="B44" s="47" t="s">
        <v>235</v>
      </c>
      <c r="C44" s="354">
        <f>Normalized_FCF!C9</f>
        <v>0</v>
      </c>
      <c r="D44" s="1" t="str">
        <f>Reporting_currency</f>
        <v>CNY</v>
      </c>
    </row>
    <row r="45" spans="1:6">
      <c r="B45" s="52" t="s">
        <v>236</v>
      </c>
      <c r="C45" s="354">
        <f>Normalized_FCF!C10</f>
        <v>0</v>
      </c>
      <c r="D45" s="1" t="str">
        <f>Reporting_currency</f>
        <v>CNY</v>
      </c>
    </row>
    <row r="47" spans="1:6">
      <c r="B47" s="321" t="s">
        <v>237</v>
      </c>
      <c r="C47" s="321"/>
      <c r="D47" s="321"/>
      <c r="E47" s="321"/>
      <c r="F47" s="321"/>
    </row>
    <row r="48" spans="1:6">
      <c r="B48" s="47" t="s">
        <v>238</v>
      </c>
      <c r="C48" s="354">
        <f>Normalized_FCF!C11</f>
        <v>0</v>
      </c>
      <c r="D48" s="1" t="str">
        <f>Reporting_currency</f>
        <v>CNY</v>
      </c>
    </row>
    <row r="50" spans="2:6">
      <c r="B50" s="321" t="s">
        <v>241</v>
      </c>
      <c r="C50" s="321"/>
      <c r="D50" s="321"/>
      <c r="E50" s="321"/>
      <c r="F50" s="321"/>
    </row>
    <row r="51" spans="2:6">
      <c r="B51" s="47" t="s">
        <v>343</v>
      </c>
      <c r="C51" s="359">
        <f>Normalized_FCF!C48</f>
        <v>0</v>
      </c>
      <c r="D51" s="1" t="str">
        <f>Reporting_currency</f>
        <v>CNY</v>
      </c>
      <c r="E51" s="288"/>
      <c r="F51" s="288"/>
    </row>
    <row r="52" spans="2:6">
      <c r="B52" s="47" t="s">
        <v>344</v>
      </c>
      <c r="C52" s="359">
        <f>Normalized_FCF!C47</f>
        <v>0</v>
      </c>
      <c r="D52" s="1" t="str">
        <f>Reporting_currency</f>
        <v>CNY</v>
      </c>
      <c r="E52" s="288"/>
      <c r="F52" s="288"/>
    </row>
    <row r="53" spans="2:6">
      <c r="B53" s="47" t="s">
        <v>239</v>
      </c>
      <c r="C53" s="354">
        <f>Normalized_FCF!C12</f>
        <v>0</v>
      </c>
      <c r="D53" s="1" t="str">
        <f>Reporting_currency</f>
        <v>CNY</v>
      </c>
    </row>
    <row r="55" spans="2:6">
      <c r="B55" s="1" t="s">
        <v>247</v>
      </c>
    </row>
    <row r="56" spans="2:6">
      <c r="B56" s="47" t="s">
        <v>266</v>
      </c>
      <c r="C56" s="354">
        <f>Normalized_FCF!C15</f>
        <v>0</v>
      </c>
      <c r="D56" s="1" t="str">
        <f>Reporting_currency</f>
        <v>CNY</v>
      </c>
    </row>
    <row r="58" spans="2:6">
      <c r="B58" s="321" t="s">
        <v>242</v>
      </c>
      <c r="C58" s="321"/>
      <c r="D58" s="321"/>
      <c r="E58" s="321"/>
      <c r="F58" s="321"/>
    </row>
    <row r="59" spans="2:6">
      <c r="B59" s="47" t="s">
        <v>240</v>
      </c>
      <c r="C59" s="354">
        <f>Normalized_FCF!C14</f>
        <v>-1508.3125</v>
      </c>
      <c r="D59" s="1" t="str">
        <f>Reporting_currency</f>
        <v>CNY</v>
      </c>
    </row>
    <row r="61" spans="2:6">
      <c r="B61" s="321" t="s">
        <v>341</v>
      </c>
      <c r="C61" s="324"/>
      <c r="D61" s="324"/>
      <c r="E61" s="324"/>
      <c r="F61" s="324"/>
    </row>
    <row r="62" spans="2:6">
      <c r="B62" s="47" t="s">
        <v>243</v>
      </c>
      <c r="C62" s="354">
        <f>Normalized_FCF!C17</f>
        <v>0</v>
      </c>
      <c r="D62" s="1" t="str">
        <f>Reporting_currency</f>
        <v>CNY</v>
      </c>
    </row>
    <row r="64" spans="2:6" ht="24.5" customHeight="1">
      <c r="B64" s="320" t="s">
        <v>346</v>
      </c>
      <c r="C64" s="320"/>
      <c r="D64" s="320"/>
      <c r="E64" s="320"/>
      <c r="F64" s="320"/>
    </row>
    <row r="65" spans="1:6" ht="24.5" customHeight="1">
      <c r="B65" s="320" t="s">
        <v>365</v>
      </c>
      <c r="C65" s="320"/>
      <c r="D65" s="320"/>
      <c r="E65" s="320"/>
      <c r="F65" s="320"/>
    </row>
    <row r="67" spans="1:6">
      <c r="B67" s="47" t="s">
        <v>271</v>
      </c>
      <c r="C67" s="354">
        <f>Normalized_FCF!G19</f>
        <v>-206364</v>
      </c>
      <c r="D67" s="1" t="str">
        <f>Reporting_currency</f>
        <v>CNY</v>
      </c>
    </row>
    <row r="68" spans="1:6">
      <c r="B68" s="47" t="s">
        <v>249</v>
      </c>
      <c r="C68" s="354">
        <f>Normalized_FCF!C19</f>
        <v>4524.9375</v>
      </c>
      <c r="D68" s="1" t="str">
        <f>Reporting_currency</f>
        <v>CNY</v>
      </c>
    </row>
    <row r="69" spans="1:6">
      <c r="B69" s="227" t="s">
        <v>394</v>
      </c>
      <c r="C69" s="92">
        <f>Normalized_FCF!C125</f>
        <v>9.5953339286457811E-3</v>
      </c>
      <c r="F69" s="317"/>
    </row>
    <row r="70" spans="1:6">
      <c r="B70" s="227" t="s">
        <v>310</v>
      </c>
      <c r="C70" s="92">
        <f>Normalized_FCF!C93</f>
        <v>4.6696035242290754E-2</v>
      </c>
      <c r="E70" s="47" t="s">
        <v>457</v>
      </c>
      <c r="F70" s="318">
        <f>Normalized_FCF!C92</f>
        <v>4.8665357130391307</v>
      </c>
    </row>
    <row r="72" spans="1:6" ht="13.9">
      <c r="A72" s="222" t="s">
        <v>359</v>
      </c>
      <c r="B72" s="36"/>
      <c r="C72" s="36"/>
      <c r="D72" s="36"/>
      <c r="E72" s="36"/>
      <c r="F72" s="36"/>
    </row>
    <row r="73" spans="1:6">
      <c r="A73" s="209"/>
    </row>
    <row r="74" spans="1:6" ht="24.5" customHeight="1">
      <c r="A74" s="17"/>
      <c r="B74" s="320" t="s">
        <v>366</v>
      </c>
      <c r="C74" s="320"/>
      <c r="D74" s="320"/>
      <c r="E74" s="320"/>
      <c r="F74" s="320"/>
    </row>
    <row r="75" spans="1:6">
      <c r="B75" s="322" t="s">
        <v>253</v>
      </c>
      <c r="C75" s="322"/>
      <c r="D75" s="322"/>
      <c r="E75" s="322"/>
      <c r="F75" s="322"/>
    </row>
    <row r="77" spans="1:6">
      <c r="B77" s="210" t="s">
        <v>231</v>
      </c>
    </row>
    <row r="78" spans="1:6">
      <c r="B78" s="1" t="s">
        <v>436</v>
      </c>
      <c r="C78" s="92">
        <f>F31</f>
        <v>0.08</v>
      </c>
    </row>
    <row r="79" spans="1:6">
      <c r="B79" s="1" t="s">
        <v>435</v>
      </c>
      <c r="C79" s="92">
        <f>IF(C23="Y",1%,0)+IF(C24="Y",1%,0)</f>
        <v>0</v>
      </c>
    </row>
    <row r="80" spans="1:6">
      <c r="B80" s="80" t="s">
        <v>248</v>
      </c>
      <c r="C80" s="236">
        <f>F31+C79</f>
        <v>0.08</v>
      </c>
    </row>
    <row r="81" spans="1:6">
      <c r="C81" s="121"/>
    </row>
    <row r="82" spans="1:6">
      <c r="B82" s="295" t="s">
        <v>360</v>
      </c>
      <c r="C82" s="121"/>
    </row>
    <row r="83" spans="1:6" ht="24.5" customHeight="1">
      <c r="B83" s="320" t="s">
        <v>367</v>
      </c>
      <c r="C83" s="320"/>
      <c r="D83" s="320"/>
      <c r="E83" s="320"/>
      <c r="F83" s="320"/>
    </row>
    <row r="84" spans="1:6" ht="24.5" customHeight="1">
      <c r="B84" s="320" t="s">
        <v>368</v>
      </c>
      <c r="C84" s="320"/>
      <c r="D84" s="320"/>
      <c r="E84" s="320"/>
      <c r="F84" s="320"/>
    </row>
    <row r="86" spans="1:6">
      <c r="B86" s="47" t="s">
        <v>252</v>
      </c>
      <c r="C86" s="236">
        <v>0</v>
      </c>
    </row>
    <row r="87" spans="1:6">
      <c r="B87" s="47" t="s">
        <v>281</v>
      </c>
      <c r="C87" s="223">
        <f>DCF!C6*scaling_factor*Exchange_Rate/Common_Shares</f>
        <v>2.7226760022532401</v>
      </c>
      <c r="D87" s="1" t="str">
        <f>Market_currency</f>
        <v>CNY</v>
      </c>
    </row>
    <row r="89" spans="1:6" ht="13.9">
      <c r="A89" s="222" t="s">
        <v>361</v>
      </c>
      <c r="B89" s="36"/>
      <c r="C89" s="36"/>
      <c r="D89" s="36"/>
      <c r="E89" s="36"/>
      <c r="F89" s="36"/>
    </row>
    <row r="90" spans="1:6">
      <c r="A90" s="209"/>
    </row>
    <row r="91" spans="1:6">
      <c r="B91" s="320" t="s">
        <v>369</v>
      </c>
      <c r="C91" s="320"/>
      <c r="D91" s="320"/>
      <c r="E91" s="320"/>
      <c r="F91" s="320"/>
    </row>
    <row r="92" spans="1:6">
      <c r="B92" s="1" t="s">
        <v>254</v>
      </c>
    </row>
    <row r="94" spans="1:6">
      <c r="B94" s="210" t="s">
        <v>231</v>
      </c>
    </row>
    <row r="95" spans="1:6" ht="24.5" customHeight="1">
      <c r="B95" s="320" t="s">
        <v>347</v>
      </c>
      <c r="C95" s="320"/>
      <c r="D95" s="320"/>
      <c r="E95" s="320"/>
      <c r="F95" s="320"/>
    </row>
    <row r="96" spans="1:6">
      <c r="B96" s="47" t="s">
        <v>256</v>
      </c>
      <c r="C96" s="354">
        <f>DCF!C7</f>
        <v>0</v>
      </c>
      <c r="D96" s="1" t="str">
        <f>Reporting_currency</f>
        <v>CNY</v>
      </c>
    </row>
    <row r="97" spans="2:6">
      <c r="B97" s="47" t="s">
        <v>282</v>
      </c>
      <c r="C97" s="223">
        <f>C96*scaling_factor*Exchange_Rate/Common_Shares</f>
        <v>0</v>
      </c>
      <c r="D97" s="1" t="str">
        <f>Market_currency</f>
        <v>CNY</v>
      </c>
    </row>
    <row r="98" spans="2:6">
      <c r="B98" s="298" t="s">
        <v>408</v>
      </c>
      <c r="C98" s="299">
        <f>BS!G30/BS!G27</f>
        <v>0.33333333333333331</v>
      </c>
    </row>
    <row r="99" spans="2:6">
      <c r="B99" s="298" t="s">
        <v>409</v>
      </c>
      <c r="C99" s="299">
        <f>BS!G31/BS!G27</f>
        <v>0</v>
      </c>
    </row>
    <row r="100" spans="2:6">
      <c r="B100" s="298" t="s">
        <v>411</v>
      </c>
      <c r="C100" s="300">
        <f>BS!C50</f>
        <v>0</v>
      </c>
    </row>
    <row r="102" spans="2:6">
      <c r="B102" s="1" t="s">
        <v>255</v>
      </c>
    </row>
    <row r="103" spans="2:6">
      <c r="B103" s="47" t="s">
        <v>265</v>
      </c>
      <c r="C103" s="354">
        <f>BS!C66</f>
        <v>2</v>
      </c>
      <c r="D103" s="1" t="str">
        <f>Reporting_currency</f>
        <v>CNY</v>
      </c>
    </row>
    <row r="104" spans="2:6">
      <c r="B104" s="47" t="s">
        <v>267</v>
      </c>
      <c r="C104" s="354">
        <f>DCF!C8</f>
        <v>0</v>
      </c>
      <c r="D104" s="1" t="str">
        <f>Reporting_currency</f>
        <v>CNY</v>
      </c>
    </row>
    <row r="105" spans="2:6">
      <c r="B105" s="47" t="s">
        <v>283</v>
      </c>
      <c r="C105" s="223">
        <f>C104*scaling_factor*Exchange_Rate/Common_Shares</f>
        <v>0</v>
      </c>
      <c r="D105" s="1" t="str">
        <f>Market_currency</f>
        <v>CNY</v>
      </c>
    </row>
    <row r="107" spans="2:6">
      <c r="B107" s="1" t="s">
        <v>257</v>
      </c>
    </row>
    <row r="108" spans="2:6">
      <c r="B108" s="47" t="s">
        <v>258</v>
      </c>
      <c r="C108" s="354">
        <f>DCF!C9</f>
        <v>0</v>
      </c>
      <c r="D108" s="1" t="str">
        <f>Reporting_currency</f>
        <v>CNY</v>
      </c>
    </row>
    <row r="109" spans="2:6">
      <c r="B109" s="47" t="s">
        <v>284</v>
      </c>
      <c r="C109" s="223">
        <f>C108*scaling_factor*Exchange_Rate/Common_Shares</f>
        <v>0</v>
      </c>
      <c r="D109" s="1" t="str">
        <f>Market_currency</f>
        <v>CNY</v>
      </c>
    </row>
    <row r="111" spans="2:6" ht="24.5" customHeight="1">
      <c r="B111" s="320" t="s">
        <v>370</v>
      </c>
      <c r="C111" s="320"/>
      <c r="D111" s="320"/>
      <c r="E111" s="320"/>
      <c r="F111" s="320"/>
    </row>
    <row r="113" spans="1:6">
      <c r="B113" s="47" t="s">
        <v>458</v>
      </c>
      <c r="C113" s="223">
        <f>IF(valuation_method="DCF",DCF!C12,DDM!C7)</f>
        <v>13.25</v>
      </c>
      <c r="D113" s="1" t="str">
        <f>Market_currency</f>
        <v>CNY</v>
      </c>
    </row>
    <row r="114" spans="1:6">
      <c r="B114" s="298" t="s">
        <v>410</v>
      </c>
      <c r="C114" s="223">
        <f>BS!D47</f>
        <v>4.3322735874745961E-5</v>
      </c>
      <c r="D114" s="1" t="str">
        <f>Market_currency</f>
        <v>CNY</v>
      </c>
    </row>
    <row r="116" spans="1:6" ht="13.9">
      <c r="A116" s="222" t="s">
        <v>362</v>
      </c>
      <c r="B116" s="36"/>
      <c r="C116" s="36"/>
      <c r="D116" s="36"/>
      <c r="E116" s="36"/>
      <c r="F116" s="36"/>
    </row>
    <row r="118" spans="1:6" ht="24.5" customHeight="1">
      <c r="B118" s="321" t="s">
        <v>371</v>
      </c>
      <c r="C118" s="321"/>
      <c r="D118" s="321"/>
      <c r="E118" s="321"/>
      <c r="F118" s="321"/>
    </row>
    <row r="120" spans="1:6" ht="12.4">
      <c r="B120" s="233" t="s">
        <v>118</v>
      </c>
      <c r="C120" s="233" t="s">
        <v>133</v>
      </c>
      <c r="D120" s="233" t="s">
        <v>113</v>
      </c>
      <c r="E120" s="233" t="s">
        <v>260</v>
      </c>
      <c r="F120" s="233" t="s">
        <v>148</v>
      </c>
    </row>
    <row r="121" spans="1:6">
      <c r="B121" s="228" t="str">
        <f>DCF!B74</f>
        <v>Snowball Scenario</v>
      </c>
      <c r="C121" s="229">
        <f>DCF!C74</f>
        <v>0.08</v>
      </c>
      <c r="D121" s="230">
        <f>DCF!D74</f>
        <v>30</v>
      </c>
      <c r="E121" s="231" t="str">
        <f>ROUND(IF(valuation_method="DCF",DCF!E74,DDM!E69),2)&amp;" "&amp;Market_currency</f>
        <v>34.38 CNY</v>
      </c>
      <c r="F121" s="232">
        <f>DCF!F74</f>
        <v>0.05</v>
      </c>
    </row>
    <row r="122" spans="1:6">
      <c r="B122" s="218" t="str">
        <f>DCF!B75</f>
        <v>Optimistic</v>
      </c>
      <c r="C122" s="219">
        <f>DCF!C75</f>
        <v>0.06</v>
      </c>
      <c r="D122" s="220">
        <f>DCF!D75</f>
        <v>30</v>
      </c>
      <c r="E122" s="231" t="str">
        <f>ROUND(IF(valuation_method="DCF",DCF!E75,DDM!E70),2)&amp;" "&amp;Market_currency</f>
        <v>26.64 CNY</v>
      </c>
      <c r="F122" s="221">
        <f>DCF!F75</f>
        <v>0.18</v>
      </c>
    </row>
    <row r="123" spans="1:6">
      <c r="B123" s="218" t="str">
        <f>DCF!B76</f>
        <v>Base</v>
      </c>
      <c r="C123" s="219">
        <f>DCF!C76</f>
        <v>0.04</v>
      </c>
      <c r="D123" s="220">
        <f>DCF!D76</f>
        <v>30</v>
      </c>
      <c r="E123" s="231" t="str">
        <f>ROUND(IF(valuation_method="DCF",DCF!E76,DDM!E71),2)&amp;" "&amp;Market_currency</f>
        <v>21.16 CNY</v>
      </c>
      <c r="F123" s="221">
        <f>DCF!F76</f>
        <v>0.53999999999999992</v>
      </c>
    </row>
    <row r="124" spans="1:6">
      <c r="B124" s="218" t="str">
        <f>DCF!B77</f>
        <v>Pessimistic</v>
      </c>
      <c r="C124" s="219">
        <f>DCF!C77</f>
        <v>0.02</v>
      </c>
      <c r="D124" s="220">
        <f>DCF!D77</f>
        <v>30</v>
      </c>
      <c r="E124" s="231" t="str">
        <f>ROUND(IF(valuation_method="DCF",DCF!E77,DDM!E72),2)&amp;" "&amp;Market_currency</f>
        <v>17.21 CNY</v>
      </c>
      <c r="F124" s="221">
        <f>DCF!F77</f>
        <v>0.18</v>
      </c>
    </row>
    <row r="125" spans="1:6">
      <c r="B125" s="218" t="str">
        <f>DCF!B78</f>
        <v>Devil's advocate</v>
      </c>
      <c r="C125" s="219">
        <f>DCF!C78</f>
        <v>0</v>
      </c>
      <c r="D125" s="220">
        <f>DCF!D78</f>
        <v>30</v>
      </c>
      <c r="E125" s="231" t="str">
        <f>ROUND(IF(valuation_method="DCF",DCF!E78,DDM!E73),2)&amp;" "&amp;Market_currency</f>
        <v>14.32 CNY</v>
      </c>
      <c r="F125" s="221">
        <f>DCF!F78</f>
        <v>0.05</v>
      </c>
    </row>
    <row r="127" spans="1:6">
      <c r="B127" s="211" t="s">
        <v>259</v>
      </c>
      <c r="C127" s="217">
        <f>Scenarios!C60</f>
        <v>21.752920556327282</v>
      </c>
      <c r="D127" s="212" t="str">
        <f>Market_currency</f>
        <v>CNY</v>
      </c>
    </row>
    <row r="129" spans="1:6" ht="24.5" customHeight="1">
      <c r="B129" s="325" t="s">
        <v>374</v>
      </c>
      <c r="C129" s="325"/>
      <c r="D129" s="325"/>
      <c r="E129" s="325"/>
      <c r="F129" s="325"/>
    </row>
    <row r="131" spans="1:6" ht="13.9">
      <c r="A131" s="222" t="s">
        <v>406</v>
      </c>
      <c r="B131" s="36"/>
      <c r="C131" s="36"/>
      <c r="D131" s="36"/>
      <c r="E131" s="36"/>
      <c r="F131" s="36"/>
    </row>
    <row r="133" spans="1:6">
      <c r="B133" s="323" t="s">
        <v>372</v>
      </c>
      <c r="C133" s="323"/>
      <c r="D133" s="323"/>
      <c r="E133" s="323"/>
      <c r="F133" s="323"/>
    </row>
    <row r="134" spans="1:6" ht="24.5" customHeight="1">
      <c r="B134" s="320" t="s">
        <v>373</v>
      </c>
      <c r="C134" s="320"/>
      <c r="D134" s="320"/>
      <c r="E134" s="320"/>
      <c r="F134" s="320"/>
    </row>
    <row r="135" spans="1:6">
      <c r="B135" s="210" t="s">
        <v>231</v>
      </c>
    </row>
    <row r="136" spans="1:6">
      <c r="B136" s="1" t="s">
        <v>264</v>
      </c>
      <c r="C136" s="225">
        <f>F28</f>
        <v>3</v>
      </c>
    </row>
    <row r="137" spans="1:6">
      <c r="B137" s="1" t="s">
        <v>277</v>
      </c>
      <c r="C137" s="224">
        <f>F29</f>
        <v>0.4</v>
      </c>
    </row>
    <row r="138" spans="1:6">
      <c r="B138" s="212" t="s">
        <v>262</v>
      </c>
      <c r="C138" s="213">
        <f>Scenarios!C77</f>
        <v>1.06</v>
      </c>
      <c r="D138" s="212" t="str">
        <f>Market_currency</f>
        <v>CNY</v>
      </c>
    </row>
    <row r="140" spans="1:6">
      <c r="B140" s="210" t="s">
        <v>413</v>
      </c>
      <c r="C140" s="241" t="str">
        <f>C11</f>
        <v>601166.SS</v>
      </c>
      <c r="D140" s="241" t="str">
        <f>IF(D11="","",D11)</f>
        <v/>
      </c>
    </row>
    <row r="141" spans="1:6">
      <c r="B141" s="1" t="s">
        <v>412</v>
      </c>
      <c r="C141" s="299">
        <f>F29</f>
        <v>0.4</v>
      </c>
    </row>
    <row r="142" spans="1:6">
      <c r="B142" s="212" t="str">
        <f>"PV("&amp;C136&amp;" yrs of Dividends)"</f>
        <v>PV(3 yrs of Dividends)</v>
      </c>
      <c r="C142" s="216">
        <f>Scenarios!C81</f>
        <v>1.6842565597667636</v>
      </c>
    </row>
    <row r="143" spans="1:6">
      <c r="B143" s="212" t="str">
        <f>"+ PV(Equity Value realized at year "&amp;C136&amp;")"</f>
        <v>+ PV(Equity Value realized at year 3)</v>
      </c>
      <c r="C143" s="216">
        <f>Scenarios!C82</f>
        <v>7.9274491823350175</v>
      </c>
    </row>
    <row r="144" spans="1:6">
      <c r="B144" s="80" t="s">
        <v>261</v>
      </c>
      <c r="C144" s="215">
        <f>Scenarios!C83</f>
        <v>9.6117057421017815</v>
      </c>
      <c r="D144" s="303" t="str">
        <f>IF($D$11="","",C144*$E$25)</f>
        <v/>
      </c>
    </row>
    <row r="145" spans="2:4">
      <c r="B145" s="259" t="s">
        <v>421</v>
      </c>
      <c r="C145" s="301" t="str">
        <f>Market_currency</f>
        <v>CNY</v>
      </c>
      <c r="D145" s="301" t="str">
        <f>IF($D$11="","",D$13)</f>
        <v/>
      </c>
    </row>
    <row r="146" spans="2:4">
      <c r="B146" s="214" t="s">
        <v>263</v>
      </c>
      <c r="C146" s="92">
        <f>Scenarios!F83</f>
        <v>0.55814182664745582</v>
      </c>
    </row>
    <row r="148" spans="2:4">
      <c r="B148" s="210" t="s">
        <v>416</v>
      </c>
    </row>
    <row r="149" spans="2:4">
      <c r="B149" s="1" t="s">
        <v>415</v>
      </c>
      <c r="C149" s="299">
        <f>Scenarios!C90</f>
        <v>0.22</v>
      </c>
    </row>
    <row r="150" spans="2:4">
      <c r="B150" s="212" t="str">
        <f>"PV("&amp;C136&amp;" yrs of Dividends)"</f>
        <v>PV(3 yrs of Dividends)</v>
      </c>
      <c r="C150" s="216">
        <f>Scenarios!C91</f>
        <v>2.1647759063533951</v>
      </c>
    </row>
    <row r="151" spans="2:4">
      <c r="B151" s="212" t="str">
        <f>"+ PV(Equity Value realized at year "&amp;C136&amp;")"</f>
        <v>+ PV(Equity Value realized at year 3)</v>
      </c>
      <c r="C151" s="216">
        <f>Scenarios!C92</f>
        <v>11.97948317057776</v>
      </c>
    </row>
    <row r="152" spans="2:4">
      <c r="B152" s="80" t="s">
        <v>261</v>
      </c>
      <c r="C152" s="215">
        <f>Scenarios!C93</f>
        <v>14.144259076931155</v>
      </c>
      <c r="D152" s="303" t="str">
        <f>IF($D$11="","",C152*$E$25)</f>
        <v/>
      </c>
    </row>
    <row r="153" spans="2:4">
      <c r="B153" s="259" t="s">
        <v>421</v>
      </c>
      <c r="C153" s="301" t="str">
        <f>Market_currency</f>
        <v>CNY</v>
      </c>
      <c r="D153" s="301" t="str">
        <f>IF($D$11="","",D$13)</f>
        <v/>
      </c>
    </row>
    <row r="154" spans="2:4">
      <c r="B154" s="214" t="s">
        <v>263</v>
      </c>
      <c r="C154" s="92">
        <f>Scenarios!F93</f>
        <v>0.34977654884061038</v>
      </c>
    </row>
    <row r="156" spans="2:4">
      <c r="B156" s="210" t="s">
        <v>404</v>
      </c>
    </row>
    <row r="157" spans="2:4">
      <c r="B157" s="1" t="s">
        <v>414</v>
      </c>
      <c r="C157" s="92">
        <f>Scenarios!C96</f>
        <v>0.08</v>
      </c>
    </row>
    <row r="158" spans="2:4">
      <c r="B158" s="212" t="str">
        <f>"PV("&amp;C136&amp;" yrs of Dividends)"</f>
        <v>PV(3 yrs of Dividends)</v>
      </c>
      <c r="C158" s="216">
        <f>Scenarios!C97</f>
        <v>2.731722806482753</v>
      </c>
    </row>
    <row r="159" spans="2:4">
      <c r="B159" s="212" t="str">
        <f>"+ PV(Equity Value realized at year "&amp;C136&amp;")"</f>
        <v>+ PV(Equity Value realized at year 3)</v>
      </c>
      <c r="C159" s="216">
        <f>Scenarios!C98</f>
        <v>17.268169673963001</v>
      </c>
    </row>
    <row r="160" spans="2:4">
      <c r="B160" s="80" t="s">
        <v>405</v>
      </c>
      <c r="C160" s="215">
        <f>Scenarios!C99</f>
        <v>19.999892480445755</v>
      </c>
      <c r="D160" s="303" t="str">
        <f>IF($D$11="","",C160*$E$25)</f>
        <v/>
      </c>
    </row>
    <row r="161" spans="1:6">
      <c r="B161" s="259" t="s">
        <v>421</v>
      </c>
      <c r="C161" s="301" t="str">
        <f>Market_currency</f>
        <v>CNY</v>
      </c>
      <c r="D161" s="301" t="str">
        <f>IF($D$11="","",D$13)</f>
        <v/>
      </c>
    </row>
    <row r="162" spans="1:6">
      <c r="B162" s="214" t="s">
        <v>263</v>
      </c>
      <c r="C162" s="92">
        <f>Scenarios!F99</f>
        <v>8.0588170739750331E-2</v>
      </c>
    </row>
    <row r="164" spans="1:6">
      <c r="B164" s="210" t="s">
        <v>437</v>
      </c>
    </row>
    <row r="165" spans="1:6">
      <c r="B165" s="1" t="s">
        <v>428</v>
      </c>
      <c r="C165" s="92">
        <f>F32</f>
        <v>0.12</v>
      </c>
    </row>
    <row r="166" spans="1:6">
      <c r="B166" s="212" t="str">
        <f>"PV("&amp;C136&amp;" yrs of Dividends)"</f>
        <v>PV(3 yrs of Dividends)</v>
      </c>
      <c r="C166" s="216">
        <f>Scenarios!C103</f>
        <v>2.5459411443148712</v>
      </c>
    </row>
    <row r="167" spans="1:6">
      <c r="B167" s="212" t="str">
        <f>"+ PV(Equity Value realized at year "&amp;C136&amp;")"</f>
        <v>+ PV(Equity Value realized at year 3)</v>
      </c>
      <c r="C167" s="216">
        <f>Scenarios!C104</f>
        <v>15.483299184248073</v>
      </c>
    </row>
    <row r="168" spans="1:6">
      <c r="B168" s="80" t="s">
        <v>405</v>
      </c>
      <c r="C168" s="215">
        <f>Scenarios!C105</f>
        <v>18.029240328562945</v>
      </c>
      <c r="D168" s="303" t="str">
        <f>IF($D$11="","",C168*$E$25)</f>
        <v/>
      </c>
    </row>
    <row r="169" spans="1:6">
      <c r="B169" s="259" t="s">
        <v>421</v>
      </c>
      <c r="C169" s="301" t="str">
        <f>Market_currency</f>
        <v>CNY</v>
      </c>
      <c r="D169" s="301" t="str">
        <f>IF($D$11="","",D$13)</f>
        <v/>
      </c>
    </row>
    <row r="170" spans="1:6">
      <c r="B170" s="214" t="s">
        <v>263</v>
      </c>
      <c r="C170" s="92">
        <f>Scenarios!F105</f>
        <v>0.17104839072722289</v>
      </c>
    </row>
    <row r="172" spans="1:6" ht="13.9">
      <c r="A172" s="222" t="s">
        <v>378</v>
      </c>
      <c r="B172" s="36"/>
      <c r="C172" s="36"/>
      <c r="D172" s="36"/>
      <c r="E172" s="36"/>
      <c r="F172" s="36"/>
    </row>
    <row r="174" spans="1:6">
      <c r="B174" s="327" t="s">
        <v>380</v>
      </c>
      <c r="C174" s="320"/>
      <c r="D174" s="320"/>
      <c r="E174" s="320"/>
      <c r="F174" s="320"/>
    </row>
    <row r="176" spans="1:6">
      <c r="B176" s="210" t="s">
        <v>379</v>
      </c>
    </row>
    <row r="177" spans="2:6">
      <c r="B177" s="324" t="s">
        <v>384</v>
      </c>
      <c r="C177" s="324"/>
      <c r="D177" s="324"/>
      <c r="E177" s="324"/>
      <c r="F177" s="324"/>
    </row>
    <row r="178" spans="2:6">
      <c r="B178" s="214" t="s">
        <v>381</v>
      </c>
    </row>
    <row r="179" spans="2:6">
      <c r="B179" s="214" t="s">
        <v>382</v>
      </c>
    </row>
    <row r="180" spans="2:6">
      <c r="B180" s="214" t="s">
        <v>383</v>
      </c>
    </row>
    <row r="182" spans="2:6">
      <c r="B182" s="1" t="s">
        <v>388</v>
      </c>
    </row>
    <row r="183" spans="2:6" ht="46.5" customHeight="1">
      <c r="B183" s="321" t="s">
        <v>385</v>
      </c>
      <c r="C183" s="321"/>
      <c r="D183" s="321"/>
      <c r="E183" s="321"/>
      <c r="F183" s="321"/>
    </row>
    <row r="185" spans="2:6">
      <c r="B185" s="1" t="s">
        <v>389</v>
      </c>
    </row>
    <row r="186" spans="2:6" ht="24.5" customHeight="1">
      <c r="B186" s="326" t="s">
        <v>386</v>
      </c>
      <c r="C186" s="326"/>
      <c r="D186" s="326"/>
      <c r="E186" s="326"/>
      <c r="F186" s="326"/>
    </row>
    <row r="187" spans="2:6" ht="24.5" customHeight="1">
      <c r="B187" s="326" t="s">
        <v>387</v>
      </c>
      <c r="C187" s="326"/>
      <c r="D187" s="326"/>
      <c r="E187" s="326"/>
      <c r="F187" s="326"/>
    </row>
    <row r="189" spans="2:6">
      <c r="B189" s="1" t="s">
        <v>393</v>
      </c>
    </row>
    <row r="190" spans="2:6">
      <c r="B190" s="214" t="s">
        <v>390</v>
      </c>
    </row>
    <row r="191" spans="2:6">
      <c r="B191" s="214" t="s">
        <v>391</v>
      </c>
    </row>
    <row r="192" spans="2:6">
      <c r="B192" s="214"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50">
        <v>61890</v>
      </c>
      <c r="D4" s="350">
        <v>62009</v>
      </c>
      <c r="E4" s="350">
        <v>74823</v>
      </c>
      <c r="F4" s="350">
        <v>73350</v>
      </c>
      <c r="G4" s="350">
        <v>57536</v>
      </c>
      <c r="H4" s="350">
        <v>76564</v>
      </c>
      <c r="I4" s="350">
        <v>61222</v>
      </c>
      <c r="J4" s="350">
        <v>50549</v>
      </c>
      <c r="K4" s="350">
        <v>39074</v>
      </c>
      <c r="L4" s="350">
        <v>21559</v>
      </c>
      <c r="M4" s="350"/>
    </row>
    <row r="5" spans="2:13">
      <c r="B5" s="40" t="s">
        <v>43</v>
      </c>
      <c r="C5" s="350">
        <v>0</v>
      </c>
      <c r="D5" s="350">
        <v>0</v>
      </c>
      <c r="E5" s="350">
        <v>0</v>
      </c>
      <c r="F5" s="350">
        <v>0</v>
      </c>
      <c r="G5" s="350">
        <v>0</v>
      </c>
      <c r="H5" s="350">
        <v>0</v>
      </c>
      <c r="I5" s="350">
        <v>0</v>
      </c>
      <c r="J5" s="350">
        <v>0</v>
      </c>
      <c r="K5" s="350">
        <v>0</v>
      </c>
      <c r="L5" s="350">
        <v>0</v>
      </c>
      <c r="M5" s="350"/>
    </row>
    <row r="6" spans="2:13">
      <c r="B6" s="40" t="s">
        <v>54</v>
      </c>
      <c r="C6" s="350">
        <v>62611</v>
      </c>
      <c r="D6" s="350">
        <v>63194</v>
      </c>
      <c r="E6" s="350">
        <v>65314</v>
      </c>
      <c r="F6" s="350">
        <v>56820</v>
      </c>
      <c r="G6" s="350">
        <v>49077</v>
      </c>
      <c r="H6" s="350">
        <v>47190</v>
      </c>
      <c r="I6" s="350">
        <v>42561</v>
      </c>
      <c r="J6" s="350">
        <v>38680</v>
      </c>
      <c r="K6" s="350">
        <v>36735</v>
      </c>
      <c r="L6" s="350">
        <v>33323</v>
      </c>
      <c r="M6" s="350"/>
    </row>
    <row r="7" spans="2:13">
      <c r="B7" s="69" t="s">
        <v>61</v>
      </c>
      <c r="C7" s="351">
        <v>0</v>
      </c>
      <c r="D7" s="351">
        <v>0</v>
      </c>
      <c r="E7" s="351">
        <v>0</v>
      </c>
      <c r="F7" s="351">
        <v>0</v>
      </c>
      <c r="G7" s="351">
        <v>0</v>
      </c>
      <c r="H7" s="351">
        <v>0</v>
      </c>
      <c r="I7" s="351">
        <v>0</v>
      </c>
      <c r="J7" s="351">
        <v>0</v>
      </c>
      <c r="K7" s="351">
        <v>0</v>
      </c>
      <c r="L7" s="351">
        <v>0</v>
      </c>
      <c r="M7" s="351"/>
    </row>
    <row r="8" spans="2:13">
      <c r="B8" s="40" t="s">
        <v>49</v>
      </c>
      <c r="C8" s="350">
        <v>0</v>
      </c>
      <c r="D8" s="350">
        <v>0</v>
      </c>
      <c r="E8" s="350">
        <v>0</v>
      </c>
      <c r="F8" s="350">
        <v>0</v>
      </c>
      <c r="G8" s="350">
        <v>0</v>
      </c>
      <c r="H8" s="350">
        <v>0</v>
      </c>
      <c r="I8" s="350">
        <v>0</v>
      </c>
      <c r="J8" s="350">
        <v>0</v>
      </c>
      <c r="K8" s="350">
        <v>0</v>
      </c>
      <c r="L8" s="350">
        <v>0</v>
      </c>
      <c r="M8" s="350"/>
    </row>
    <row r="9" spans="2:13">
      <c r="B9" s="40" t="s">
        <v>160</v>
      </c>
      <c r="C9" s="350"/>
      <c r="D9" s="350"/>
      <c r="E9" s="350"/>
      <c r="F9" s="350"/>
      <c r="G9" s="350"/>
      <c r="H9" s="350"/>
      <c r="I9" s="350"/>
      <c r="J9" s="350"/>
      <c r="K9" s="350"/>
      <c r="L9" s="350"/>
      <c r="M9" s="350"/>
    </row>
    <row r="10" spans="2:13">
      <c r="B10" s="40" t="s">
        <v>168</v>
      </c>
      <c r="C10" s="350"/>
      <c r="D10" s="350"/>
      <c r="E10" s="350"/>
      <c r="F10" s="350"/>
      <c r="G10" s="350"/>
      <c r="H10" s="350"/>
      <c r="I10" s="350"/>
      <c r="J10" s="350"/>
      <c r="K10" s="350"/>
      <c r="L10" s="350"/>
      <c r="M10" s="350"/>
    </row>
    <row r="11" spans="2:13">
      <c r="B11" s="40" t="s">
        <v>159</v>
      </c>
      <c r="C11" s="350"/>
      <c r="D11" s="350"/>
      <c r="E11" s="350"/>
      <c r="F11" s="350"/>
      <c r="G11" s="350"/>
      <c r="H11" s="350"/>
      <c r="I11" s="350"/>
      <c r="J11" s="350"/>
      <c r="K11" s="350"/>
      <c r="L11" s="350"/>
      <c r="M11" s="350"/>
    </row>
    <row r="12" spans="2:13">
      <c r="B12" s="40" t="s">
        <v>39</v>
      </c>
      <c r="C12" s="350">
        <v>195728</v>
      </c>
      <c r="D12" s="350">
        <v>202576</v>
      </c>
      <c r="E12" s="350">
        <v>183473</v>
      </c>
      <c r="F12" s="350">
        <v>169479</v>
      </c>
      <c r="G12" s="350">
        <v>159963</v>
      </c>
      <c r="H12" s="350">
        <v>166689</v>
      </c>
      <c r="I12" s="350">
        <v>174921</v>
      </c>
      <c r="J12" s="350">
        <v>164193</v>
      </c>
      <c r="K12" s="350">
        <v>123960</v>
      </c>
      <c r="L12" s="350">
        <v>136138</v>
      </c>
      <c r="M12" s="350"/>
    </row>
    <row r="13" spans="2:13">
      <c r="B13" s="40" t="s">
        <v>67</v>
      </c>
      <c r="C13" s="350">
        <v>343835</v>
      </c>
      <c r="D13" s="350">
        <v>349079</v>
      </c>
      <c r="E13" s="350">
        <v>328746</v>
      </c>
      <c r="F13" s="350">
        <v>315158</v>
      </c>
      <c r="G13" s="350">
        <v>303478</v>
      </c>
      <c r="H13" s="350">
        <v>269677</v>
      </c>
      <c r="I13" s="350">
        <v>270578</v>
      </c>
      <c r="J13" s="350">
        <v>252644</v>
      </c>
      <c r="K13" s="350">
        <v>236279</v>
      </c>
      <c r="L13" s="350">
        <v>255972</v>
      </c>
      <c r="M13" s="350"/>
    </row>
    <row r="14" spans="2:13">
      <c r="B14" s="40" t="s">
        <v>50</v>
      </c>
      <c r="C14" s="350">
        <v>9629</v>
      </c>
      <c r="D14" s="350">
        <v>6675</v>
      </c>
      <c r="E14" s="350">
        <v>13807</v>
      </c>
      <c r="F14" s="350">
        <v>11494</v>
      </c>
      <c r="G14" s="350">
        <v>8956</v>
      </c>
      <c r="H14" s="350">
        <v>7801</v>
      </c>
      <c r="I14" s="350">
        <v>6832</v>
      </c>
      <c r="J14" s="350">
        <v>7018</v>
      </c>
      <c r="K14" s="350">
        <v>9598</v>
      </c>
      <c r="L14" s="350">
        <v>12594</v>
      </c>
      <c r="M14" s="350"/>
    </row>
    <row r="15" spans="2:13">
      <c r="B15" s="43" t="s">
        <v>42</v>
      </c>
      <c r="C15" s="352">
        <v>77491</v>
      </c>
      <c r="D15" s="352">
        <v>77654</v>
      </c>
      <c r="E15" s="352">
        <v>92414</v>
      </c>
      <c r="F15" s="352">
        <v>83816</v>
      </c>
      <c r="G15" s="352">
        <v>67681</v>
      </c>
      <c r="H15" s="352">
        <v>66702</v>
      </c>
      <c r="I15" s="352">
        <v>61245</v>
      </c>
      <c r="J15" s="352">
        <v>57735</v>
      </c>
      <c r="K15" s="352">
        <v>54327</v>
      </c>
      <c r="L15" s="352">
        <v>50650</v>
      </c>
      <c r="M15" s="352"/>
    </row>
    <row r="16" spans="2:13">
      <c r="B16" s="28" t="s">
        <v>44</v>
      </c>
      <c r="C16" s="350">
        <v>286</v>
      </c>
      <c r="D16" s="350">
        <v>538</v>
      </c>
      <c r="E16" s="350">
        <v>1037</v>
      </c>
      <c r="F16" s="350">
        <v>1136</v>
      </c>
      <c r="G16" s="350">
        <v>1055</v>
      </c>
      <c r="H16" s="350">
        <v>834</v>
      </c>
      <c r="I16" s="350">
        <v>625</v>
      </c>
      <c r="J16" s="350">
        <v>535</v>
      </c>
      <c r="K16" s="350">
        <v>477</v>
      </c>
      <c r="L16" s="350">
        <v>443</v>
      </c>
      <c r="M16" s="350"/>
    </row>
    <row r="18" spans="2:13">
      <c r="B18" s="16" t="s">
        <v>51</v>
      </c>
      <c r="C18" s="9"/>
    </row>
    <row r="19" spans="2:13">
      <c r="B19" s="27" t="s">
        <v>47</v>
      </c>
      <c r="C19" s="350"/>
      <c r="D19" s="350"/>
      <c r="E19" s="350"/>
      <c r="F19" s="350"/>
      <c r="G19" s="350"/>
      <c r="H19" s="350"/>
      <c r="I19" s="350"/>
      <c r="J19" s="350"/>
      <c r="K19" s="350"/>
      <c r="L19" s="350"/>
      <c r="M19" s="350"/>
    </row>
    <row r="20" spans="2:13">
      <c r="B20" s="27" t="s">
        <v>53</v>
      </c>
      <c r="C20" s="350"/>
      <c r="D20" s="350"/>
      <c r="E20" s="350"/>
      <c r="F20" s="350"/>
      <c r="G20" s="350"/>
      <c r="H20" s="350"/>
      <c r="I20" s="350"/>
      <c r="J20" s="350"/>
      <c r="K20" s="350"/>
      <c r="L20" s="350"/>
      <c r="M20" s="350"/>
    </row>
    <row r="21" spans="2:13">
      <c r="B21" s="27" t="s">
        <v>52</v>
      </c>
      <c r="C21" s="350"/>
      <c r="D21" s="350"/>
      <c r="E21" s="350"/>
      <c r="F21" s="350"/>
      <c r="G21" s="350"/>
      <c r="H21" s="350"/>
      <c r="I21" s="350"/>
      <c r="J21" s="350"/>
      <c r="K21" s="350"/>
      <c r="L21" s="350"/>
      <c r="M21" s="350"/>
    </row>
    <row r="22" spans="2:13">
      <c r="B22" s="27" t="s">
        <v>375</v>
      </c>
      <c r="C22" s="350">
        <v>-237258</v>
      </c>
      <c r="D22" s="350">
        <v>433617</v>
      </c>
      <c r="E22" s="350">
        <v>-344587</v>
      </c>
      <c r="F22" s="350">
        <v>-389771</v>
      </c>
      <c r="G22" s="350">
        <v>-34228</v>
      </c>
      <c r="H22" s="350">
        <v>-588009</v>
      </c>
      <c r="I22" s="350">
        <v>-356099</v>
      </c>
      <c r="J22" s="350">
        <v>-162642</v>
      </c>
      <c r="K22" s="350">
        <v>203017</v>
      </c>
      <c r="L22" s="350">
        <v>818693</v>
      </c>
      <c r="M22" s="350"/>
    </row>
    <row r="23" spans="2:13">
      <c r="B23" s="27" t="s">
        <v>377</v>
      </c>
      <c r="C23" s="350">
        <v>23438</v>
      </c>
      <c r="D23" s="350">
        <v>-116901</v>
      </c>
      <c r="E23" s="350">
        <v>-2059</v>
      </c>
      <c r="F23" s="350">
        <v>79654</v>
      </c>
      <c r="G23" s="350">
        <v>234002</v>
      </c>
      <c r="H23" s="350">
        <v>602337</v>
      </c>
      <c r="I23" s="350">
        <v>422390</v>
      </c>
      <c r="J23" s="350">
        <v>268261</v>
      </c>
      <c r="K23" s="350">
        <v>-366131</v>
      </c>
      <c r="L23" s="350">
        <v>-1078507</v>
      </c>
      <c r="M23" s="350"/>
    </row>
    <row r="24" spans="2:13">
      <c r="B24" s="27" t="s">
        <v>376</v>
      </c>
      <c r="C24" s="350">
        <v>194894</v>
      </c>
      <c r="D24" s="350">
        <v>-190955</v>
      </c>
      <c r="E24" s="350">
        <v>-22248</v>
      </c>
      <c r="F24" s="350">
        <v>124588</v>
      </c>
      <c r="G24" s="350">
        <v>29636</v>
      </c>
      <c r="H24" s="350">
        <v>166667</v>
      </c>
      <c r="I24" s="350">
        <v>10436</v>
      </c>
      <c r="J24" s="350">
        <v>-67067</v>
      </c>
      <c r="K24" s="350">
        <v>282268</v>
      </c>
      <c r="L24" s="350">
        <v>213791</v>
      </c>
      <c r="M24" s="350"/>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338">
        <f>BS!C4</f>
        <v>0</v>
      </c>
      <c r="D28" s="350"/>
      <c r="E28" s="350"/>
      <c r="F28" s="350"/>
      <c r="G28" s="350"/>
      <c r="H28" s="350"/>
      <c r="I28" s="350"/>
      <c r="J28" s="350"/>
      <c r="K28" s="350"/>
      <c r="L28" s="350"/>
      <c r="M28" s="350"/>
    </row>
    <row r="29" spans="2:13">
      <c r="B29" s="26" t="s">
        <v>32</v>
      </c>
      <c r="C29" s="338">
        <f>BS!C6</f>
        <v>0</v>
      </c>
      <c r="D29" s="350"/>
      <c r="E29" s="350"/>
      <c r="F29" s="350"/>
      <c r="G29" s="350"/>
      <c r="H29" s="350"/>
      <c r="I29" s="350"/>
      <c r="J29" s="350"/>
      <c r="K29" s="350"/>
      <c r="L29" s="350"/>
      <c r="M29" s="350"/>
    </row>
    <row r="30" spans="2:13">
      <c r="B30" s="29" t="s">
        <v>40</v>
      </c>
      <c r="C30" s="339">
        <f>BS!C33+BS!C42</f>
        <v>1</v>
      </c>
      <c r="D30" s="352">
        <v>9350607</v>
      </c>
      <c r="E30" s="352">
        <v>8509373</v>
      </c>
      <c r="F30" s="352">
        <v>7908726</v>
      </c>
      <c r="G30" s="352">
        <v>7269197</v>
      </c>
      <c r="H30" s="352">
        <v>6596029</v>
      </c>
      <c r="I30" s="352">
        <v>6239073</v>
      </c>
      <c r="J30" s="352">
        <v>5994090</v>
      </c>
      <c r="K30" s="352">
        <v>5731485</v>
      </c>
      <c r="L30" s="352">
        <v>4981503</v>
      </c>
      <c r="M30" s="352"/>
    </row>
    <row r="31" spans="2:13">
      <c r="B31" s="29" t="s">
        <v>30</v>
      </c>
      <c r="C31" s="339">
        <f>BS!G27</f>
        <v>3</v>
      </c>
      <c r="D31" s="352">
        <v>807719</v>
      </c>
      <c r="E31" s="352">
        <v>757298</v>
      </c>
      <c r="F31" s="352">
        <v>694298</v>
      </c>
      <c r="G31" s="352">
        <v>624803</v>
      </c>
      <c r="H31" s="352">
        <v>549652</v>
      </c>
      <c r="I31" s="352">
        <v>472584</v>
      </c>
      <c r="J31" s="352">
        <v>422752</v>
      </c>
      <c r="K31" s="352">
        <v>354410</v>
      </c>
      <c r="L31" s="352">
        <v>317377</v>
      </c>
      <c r="M31" s="352"/>
    </row>
    <row r="32" spans="2:13">
      <c r="B32" s="26" t="s">
        <v>173</v>
      </c>
      <c r="C32" s="338">
        <f>BS!G28</f>
        <v>0</v>
      </c>
      <c r="D32" s="350">
        <v>11495</v>
      </c>
      <c r="E32" s="350">
        <v>11111</v>
      </c>
      <c r="F32" s="350">
        <v>10187</v>
      </c>
      <c r="G32" s="352">
        <v>9217</v>
      </c>
      <c r="H32" s="352">
        <v>8292</v>
      </c>
      <c r="I32" s="352">
        <v>6631</v>
      </c>
      <c r="J32" s="352">
        <v>5857</v>
      </c>
      <c r="K32" s="352">
        <v>4281</v>
      </c>
      <c r="L32" s="352">
        <v>3729</v>
      </c>
      <c r="M32" s="352"/>
    </row>
    <row r="34" spans="2:13" ht="13.9">
      <c r="B34" s="36" t="s">
        <v>82</v>
      </c>
      <c r="C34" s="37"/>
      <c r="D34" s="37"/>
      <c r="E34" s="37"/>
      <c r="F34" s="37"/>
      <c r="G34" s="37"/>
      <c r="H34" s="37"/>
      <c r="I34" s="37"/>
      <c r="J34" s="37"/>
      <c r="K34" s="37"/>
      <c r="L34" s="37"/>
      <c r="M34" s="37"/>
    </row>
    <row r="35" spans="2:13">
      <c r="B35" s="16" t="s">
        <v>27</v>
      </c>
    </row>
    <row r="36" spans="2:13">
      <c r="B36" s="32" t="s">
        <v>2</v>
      </c>
      <c r="C36" s="338">
        <f t="shared" ref="C36:M36" si="1">IF(C$4="","",C4)</f>
        <v>61890</v>
      </c>
      <c r="D36" s="338">
        <f t="shared" si="1"/>
        <v>62009</v>
      </c>
      <c r="E36" s="338">
        <f t="shared" si="1"/>
        <v>74823</v>
      </c>
      <c r="F36" s="338">
        <f t="shared" si="1"/>
        <v>73350</v>
      </c>
      <c r="G36" s="338">
        <f t="shared" si="1"/>
        <v>57536</v>
      </c>
      <c r="H36" s="338">
        <f t="shared" si="1"/>
        <v>76564</v>
      </c>
      <c r="I36" s="338">
        <f t="shared" si="1"/>
        <v>61222</v>
      </c>
      <c r="J36" s="338">
        <f t="shared" si="1"/>
        <v>50549</v>
      </c>
      <c r="K36" s="338">
        <f t="shared" si="1"/>
        <v>39074</v>
      </c>
      <c r="L36" s="338">
        <f t="shared" si="1"/>
        <v>21559</v>
      </c>
      <c r="M36" s="338" t="str">
        <f t="shared" si="1"/>
        <v/>
      </c>
    </row>
    <row r="37" spans="2:13">
      <c r="B37" s="40" t="s">
        <v>43</v>
      </c>
      <c r="C37" s="338">
        <f t="shared" ref="C37:M37" si="2">IF(C$4="","",-C5)</f>
        <v>0</v>
      </c>
      <c r="D37" s="338">
        <f t="shared" si="2"/>
        <v>0</v>
      </c>
      <c r="E37" s="338">
        <f t="shared" si="2"/>
        <v>0</v>
      </c>
      <c r="F37" s="338">
        <f t="shared" si="2"/>
        <v>0</v>
      </c>
      <c r="G37" s="338">
        <f t="shared" si="2"/>
        <v>0</v>
      </c>
      <c r="H37" s="338">
        <f t="shared" si="2"/>
        <v>0</v>
      </c>
      <c r="I37" s="338">
        <f t="shared" si="2"/>
        <v>0</v>
      </c>
      <c r="J37" s="338">
        <f t="shared" si="2"/>
        <v>0</v>
      </c>
      <c r="K37" s="338">
        <f t="shared" si="2"/>
        <v>0</v>
      </c>
      <c r="L37" s="338">
        <f t="shared" si="2"/>
        <v>0</v>
      </c>
      <c r="M37" s="338" t="str">
        <f t="shared" si="2"/>
        <v/>
      </c>
    </row>
    <row r="38" spans="2:13">
      <c r="B38" s="31" t="s">
        <v>58</v>
      </c>
      <c r="C38" s="334">
        <f>IF(C36="","",C36+C37)</f>
        <v>61890</v>
      </c>
      <c r="D38" s="334">
        <f t="shared" ref="D38" si="3">IF(D36="","",D36+D37)</f>
        <v>62009</v>
      </c>
      <c r="E38" s="334">
        <f t="shared" ref="E38" si="4">IF(E36="","",E36+E37)</f>
        <v>74823</v>
      </c>
      <c r="F38" s="334">
        <f t="shared" ref="F38" si="5">IF(F36="","",F36+F37)</f>
        <v>73350</v>
      </c>
      <c r="G38" s="334">
        <f t="shared" ref="G38" si="6">IF(G36="","",G36+G37)</f>
        <v>57536</v>
      </c>
      <c r="H38" s="334">
        <f t="shared" ref="H38" si="7">IF(H36="","",H36+H37)</f>
        <v>76564</v>
      </c>
      <c r="I38" s="334">
        <f t="shared" ref="I38" si="8">IF(I36="","",I36+I37)</f>
        <v>61222</v>
      </c>
      <c r="J38" s="334">
        <f t="shared" ref="J38" si="9">IF(J36="","",J36+J37)</f>
        <v>50549</v>
      </c>
      <c r="K38" s="334">
        <f t="shared" ref="K38" si="10">IF(K36="","",K36+K37)</f>
        <v>39074</v>
      </c>
      <c r="L38" s="334">
        <f t="shared" ref="L38" si="11">IF(L36="","",L36+L37)</f>
        <v>21559</v>
      </c>
      <c r="M38" s="334" t="str">
        <f t="shared" ref="M38" si="12">IF(M36="","",M36+M37)</f>
        <v/>
      </c>
    </row>
    <row r="39" spans="2:13">
      <c r="B39" s="40" t="s">
        <v>54</v>
      </c>
      <c r="C39" s="338">
        <f t="shared" ref="C39:M39" si="13">IF(C$4="","",-C6)</f>
        <v>-62611</v>
      </c>
      <c r="D39" s="338">
        <f t="shared" si="13"/>
        <v>-63194</v>
      </c>
      <c r="E39" s="338">
        <f t="shared" si="13"/>
        <v>-65314</v>
      </c>
      <c r="F39" s="338">
        <f t="shared" si="13"/>
        <v>-56820</v>
      </c>
      <c r="G39" s="338">
        <f t="shared" si="13"/>
        <v>-49077</v>
      </c>
      <c r="H39" s="338">
        <f t="shared" si="13"/>
        <v>-47190</v>
      </c>
      <c r="I39" s="338">
        <f t="shared" si="13"/>
        <v>-42561</v>
      </c>
      <c r="J39" s="338">
        <f t="shared" si="13"/>
        <v>-38680</v>
      </c>
      <c r="K39" s="338">
        <f t="shared" si="13"/>
        <v>-36735</v>
      </c>
      <c r="L39" s="338">
        <f t="shared" si="13"/>
        <v>-33323</v>
      </c>
      <c r="M39" s="338" t="str">
        <f t="shared" si="13"/>
        <v/>
      </c>
    </row>
    <row r="40" spans="2:13">
      <c r="B40" s="69" t="s">
        <v>61</v>
      </c>
      <c r="C40" s="349">
        <f t="shared" ref="C40:M40" si="14">IF(C$4="","",-C7)</f>
        <v>0</v>
      </c>
      <c r="D40" s="349">
        <f t="shared" si="14"/>
        <v>0</v>
      </c>
      <c r="E40" s="349">
        <f t="shared" si="14"/>
        <v>0</v>
      </c>
      <c r="F40" s="349">
        <f t="shared" si="14"/>
        <v>0</v>
      </c>
      <c r="G40" s="349">
        <f t="shared" si="14"/>
        <v>0</v>
      </c>
      <c r="H40" s="349">
        <f t="shared" si="14"/>
        <v>0</v>
      </c>
      <c r="I40" s="349">
        <f t="shared" si="14"/>
        <v>0</v>
      </c>
      <c r="J40" s="349">
        <f t="shared" si="14"/>
        <v>0</v>
      </c>
      <c r="K40" s="349">
        <f t="shared" si="14"/>
        <v>0</v>
      </c>
      <c r="L40" s="349">
        <f t="shared" si="14"/>
        <v>0</v>
      </c>
      <c r="M40" s="349" t="str">
        <f t="shared" si="14"/>
        <v/>
      </c>
    </row>
    <row r="41" spans="2:13">
      <c r="B41" s="69" t="s">
        <v>64</v>
      </c>
      <c r="C41" s="349">
        <f>IF(C$4="","",C39-C40)</f>
        <v>-62611</v>
      </c>
      <c r="D41" s="349">
        <f t="shared" ref="D41:M41" si="15">IF(D$4="","",D39-D40)</f>
        <v>-63194</v>
      </c>
      <c r="E41" s="349">
        <f t="shared" si="15"/>
        <v>-65314</v>
      </c>
      <c r="F41" s="349">
        <f t="shared" si="15"/>
        <v>-56820</v>
      </c>
      <c r="G41" s="349">
        <f t="shared" si="15"/>
        <v>-49077</v>
      </c>
      <c r="H41" s="349">
        <f t="shared" si="15"/>
        <v>-47190</v>
      </c>
      <c r="I41" s="349">
        <f t="shared" si="15"/>
        <v>-42561</v>
      </c>
      <c r="J41" s="349">
        <f t="shared" si="15"/>
        <v>-38680</v>
      </c>
      <c r="K41" s="349">
        <f t="shared" si="15"/>
        <v>-36735</v>
      </c>
      <c r="L41" s="349">
        <f t="shared" si="15"/>
        <v>-33323</v>
      </c>
      <c r="M41" s="349" t="str">
        <f t="shared" si="15"/>
        <v/>
      </c>
    </row>
    <row r="42" spans="2:13">
      <c r="B42" s="40" t="s">
        <v>49</v>
      </c>
      <c r="C42" s="338">
        <f t="shared" ref="C42:M42" si="16">IF(C$4="","",-C8)</f>
        <v>0</v>
      </c>
      <c r="D42" s="338">
        <f t="shared" si="16"/>
        <v>0</v>
      </c>
      <c r="E42" s="338">
        <f t="shared" si="16"/>
        <v>0</v>
      </c>
      <c r="F42" s="338">
        <f t="shared" si="16"/>
        <v>0</v>
      </c>
      <c r="G42" s="338">
        <f t="shared" si="16"/>
        <v>0</v>
      </c>
      <c r="H42" s="338">
        <f t="shared" si="16"/>
        <v>0</v>
      </c>
      <c r="I42" s="338">
        <f t="shared" si="16"/>
        <v>0</v>
      </c>
      <c r="J42" s="338">
        <f t="shared" si="16"/>
        <v>0</v>
      </c>
      <c r="K42" s="338">
        <f t="shared" si="16"/>
        <v>0</v>
      </c>
      <c r="L42" s="338">
        <f t="shared" si="16"/>
        <v>0</v>
      </c>
      <c r="M42" s="338" t="str">
        <f t="shared" si="16"/>
        <v/>
      </c>
    </row>
    <row r="43" spans="2:13">
      <c r="B43" s="43" t="s">
        <v>153</v>
      </c>
      <c r="C43" s="339">
        <f>IF(C$4="","",C38+C39+C42)</f>
        <v>-721</v>
      </c>
      <c r="D43" s="339">
        <f t="shared" ref="D43:M43" si="17">IF(D$4="","",D38+D39+D42)</f>
        <v>-1185</v>
      </c>
      <c r="E43" s="339">
        <f t="shared" si="17"/>
        <v>9509</v>
      </c>
      <c r="F43" s="339">
        <f t="shared" si="17"/>
        <v>16530</v>
      </c>
      <c r="G43" s="339">
        <f t="shared" si="17"/>
        <v>8459</v>
      </c>
      <c r="H43" s="339">
        <f t="shared" si="17"/>
        <v>29374</v>
      </c>
      <c r="I43" s="339">
        <f t="shared" si="17"/>
        <v>18661</v>
      </c>
      <c r="J43" s="339">
        <f t="shared" si="17"/>
        <v>11869</v>
      </c>
      <c r="K43" s="339">
        <f t="shared" si="17"/>
        <v>2339</v>
      </c>
      <c r="L43" s="339">
        <f t="shared" si="17"/>
        <v>-11764</v>
      </c>
      <c r="M43" s="339" t="str">
        <f t="shared" si="17"/>
        <v/>
      </c>
    </row>
    <row r="44" spans="2:13">
      <c r="B44" s="43" t="s">
        <v>169</v>
      </c>
      <c r="C44" s="353">
        <f t="shared" ref="C44:M44" si="18">IF(C$4="","",C47-C46-C45-C43)</f>
        <v>-60266</v>
      </c>
      <c r="D44" s="353">
        <f t="shared" si="18"/>
        <v>-60989</v>
      </c>
      <c r="E44" s="353">
        <f t="shared" si="18"/>
        <v>-48561</v>
      </c>
      <c r="F44" s="353">
        <f t="shared" si="18"/>
        <v>-66899</v>
      </c>
      <c r="G44" s="353">
        <f t="shared" si="18"/>
        <v>-75337</v>
      </c>
      <c r="H44" s="353">
        <f t="shared" si="18"/>
        <v>-57859</v>
      </c>
      <c r="I44" s="353">
        <f t="shared" si="18"/>
        <v>-46241</v>
      </c>
      <c r="J44" s="353">
        <f t="shared" si="18"/>
        <v>-35567</v>
      </c>
      <c r="K44" s="353">
        <f t="shared" si="18"/>
        <v>-50733</v>
      </c>
      <c r="L44" s="353">
        <f t="shared" si="18"/>
        <v>-44826</v>
      </c>
      <c r="M44" s="353" t="str">
        <f t="shared" si="18"/>
        <v/>
      </c>
    </row>
    <row r="45" spans="2:13">
      <c r="B45" s="40" t="s">
        <v>68</v>
      </c>
      <c r="C45" s="354">
        <f t="shared" ref="C45:M45" si="19">IF(C$4="","",C51+C52)</f>
        <v>148107</v>
      </c>
      <c r="D45" s="354">
        <f t="shared" si="19"/>
        <v>146503</v>
      </c>
      <c r="E45" s="354">
        <f t="shared" si="19"/>
        <v>145273</v>
      </c>
      <c r="F45" s="354">
        <f t="shared" si="19"/>
        <v>145679</v>
      </c>
      <c r="G45" s="354">
        <f t="shared" si="19"/>
        <v>143515</v>
      </c>
      <c r="H45" s="354">
        <f t="shared" si="19"/>
        <v>102988</v>
      </c>
      <c r="I45" s="354">
        <f t="shared" si="19"/>
        <v>95657</v>
      </c>
      <c r="J45" s="354">
        <f t="shared" si="19"/>
        <v>88451</v>
      </c>
      <c r="K45" s="354">
        <f t="shared" si="19"/>
        <v>112319</v>
      </c>
      <c r="L45" s="354">
        <f t="shared" si="19"/>
        <v>119834</v>
      </c>
      <c r="M45" s="354" t="str">
        <f t="shared" si="19"/>
        <v/>
      </c>
    </row>
    <row r="46" spans="2:13">
      <c r="B46" s="40" t="s">
        <v>50</v>
      </c>
      <c r="C46" s="338">
        <f t="shared" ref="C46:M46" si="20">IF(C$4="","",-C14)</f>
        <v>-9629</v>
      </c>
      <c r="D46" s="338">
        <f t="shared" si="20"/>
        <v>-6675</v>
      </c>
      <c r="E46" s="338">
        <f t="shared" si="20"/>
        <v>-13807</v>
      </c>
      <c r="F46" s="338">
        <f t="shared" si="20"/>
        <v>-11494</v>
      </c>
      <c r="G46" s="338">
        <f t="shared" si="20"/>
        <v>-8956</v>
      </c>
      <c r="H46" s="338">
        <f t="shared" si="20"/>
        <v>-7801</v>
      </c>
      <c r="I46" s="338">
        <f t="shared" si="20"/>
        <v>-6832</v>
      </c>
      <c r="J46" s="338">
        <f t="shared" si="20"/>
        <v>-7018</v>
      </c>
      <c r="K46" s="338">
        <f t="shared" si="20"/>
        <v>-9598</v>
      </c>
      <c r="L46" s="338">
        <f t="shared" si="20"/>
        <v>-12594</v>
      </c>
      <c r="M46" s="338" t="str">
        <f t="shared" si="20"/>
        <v/>
      </c>
    </row>
    <row r="47" spans="2:13">
      <c r="B47" s="43" t="s">
        <v>42</v>
      </c>
      <c r="C47" s="339">
        <f t="shared" ref="C47:M47" si="21">IF(C$4="","",C15)</f>
        <v>77491</v>
      </c>
      <c r="D47" s="339">
        <f t="shared" si="21"/>
        <v>77654</v>
      </c>
      <c r="E47" s="339">
        <f t="shared" si="21"/>
        <v>92414</v>
      </c>
      <c r="F47" s="339">
        <f t="shared" si="21"/>
        <v>83816</v>
      </c>
      <c r="G47" s="339">
        <f t="shared" si="21"/>
        <v>67681</v>
      </c>
      <c r="H47" s="339">
        <f t="shared" si="21"/>
        <v>66702</v>
      </c>
      <c r="I47" s="339">
        <f t="shared" si="21"/>
        <v>61245</v>
      </c>
      <c r="J47" s="339">
        <f t="shared" si="21"/>
        <v>57735</v>
      </c>
      <c r="K47" s="339">
        <f t="shared" si="21"/>
        <v>54327</v>
      </c>
      <c r="L47" s="339">
        <f t="shared" si="21"/>
        <v>50650</v>
      </c>
      <c r="M47" s="339" t="str">
        <f t="shared" si="21"/>
        <v/>
      </c>
    </row>
    <row r="48" spans="2:13">
      <c r="B48" s="28" t="s">
        <v>44</v>
      </c>
      <c r="C48" s="338">
        <f t="shared" ref="C48:M48" si="22">IF(C$4="","",MIN(-C16,0))</f>
        <v>-286</v>
      </c>
      <c r="D48" s="338">
        <f t="shared" si="22"/>
        <v>-538</v>
      </c>
      <c r="E48" s="338">
        <f t="shared" si="22"/>
        <v>-1037</v>
      </c>
      <c r="F48" s="338">
        <f t="shared" si="22"/>
        <v>-1136</v>
      </c>
      <c r="G48" s="338">
        <f t="shared" si="22"/>
        <v>-1055</v>
      </c>
      <c r="H48" s="338">
        <f t="shared" si="22"/>
        <v>-834</v>
      </c>
      <c r="I48" s="338">
        <f t="shared" si="22"/>
        <v>-625</v>
      </c>
      <c r="J48" s="338">
        <f t="shared" si="22"/>
        <v>-535</v>
      </c>
      <c r="K48" s="338">
        <f t="shared" si="22"/>
        <v>-477</v>
      </c>
      <c r="L48" s="338">
        <f t="shared" si="22"/>
        <v>-443</v>
      </c>
      <c r="M48" s="338" t="str">
        <f t="shared" si="22"/>
        <v/>
      </c>
    </row>
    <row r="50" spans="2:13">
      <c r="B50" s="16" t="s">
        <v>68</v>
      </c>
    </row>
    <row r="51" spans="2:13">
      <c r="B51" s="40" t="s">
        <v>39</v>
      </c>
      <c r="C51" s="338">
        <f t="shared" ref="C51:M51" si="23">IF(C$4="","",-C12)</f>
        <v>-195728</v>
      </c>
      <c r="D51" s="338">
        <f t="shared" si="23"/>
        <v>-202576</v>
      </c>
      <c r="E51" s="338">
        <f t="shared" si="23"/>
        <v>-183473</v>
      </c>
      <c r="F51" s="338">
        <f t="shared" si="23"/>
        <v>-169479</v>
      </c>
      <c r="G51" s="338">
        <f t="shared" si="23"/>
        <v>-159963</v>
      </c>
      <c r="H51" s="338">
        <f t="shared" si="23"/>
        <v>-166689</v>
      </c>
      <c r="I51" s="338">
        <f t="shared" si="23"/>
        <v>-174921</v>
      </c>
      <c r="J51" s="338">
        <f t="shared" si="23"/>
        <v>-164193</v>
      </c>
      <c r="K51" s="338">
        <f t="shared" si="23"/>
        <v>-123960</v>
      </c>
      <c r="L51" s="338">
        <f t="shared" si="23"/>
        <v>-136138</v>
      </c>
      <c r="M51" s="338" t="str">
        <f t="shared" si="23"/>
        <v/>
      </c>
    </row>
    <row r="52" spans="2:13">
      <c r="B52" s="40" t="s">
        <v>67</v>
      </c>
      <c r="C52" s="338">
        <f t="shared" ref="C52:M52" si="24">IF(C$4="","",C13)</f>
        <v>343835</v>
      </c>
      <c r="D52" s="338">
        <f t="shared" si="24"/>
        <v>349079</v>
      </c>
      <c r="E52" s="338">
        <f t="shared" si="24"/>
        <v>328746</v>
      </c>
      <c r="F52" s="338">
        <f t="shared" si="24"/>
        <v>315158</v>
      </c>
      <c r="G52" s="338">
        <f t="shared" si="24"/>
        <v>303478</v>
      </c>
      <c r="H52" s="338">
        <f t="shared" si="24"/>
        <v>269677</v>
      </c>
      <c r="I52" s="338">
        <f t="shared" si="24"/>
        <v>270578</v>
      </c>
      <c r="J52" s="338">
        <f t="shared" si="24"/>
        <v>252644</v>
      </c>
      <c r="K52" s="338">
        <f t="shared" si="24"/>
        <v>236279</v>
      </c>
      <c r="L52" s="338">
        <f t="shared" si="24"/>
        <v>255972</v>
      </c>
      <c r="M52" s="338" t="str">
        <f t="shared" si="24"/>
        <v/>
      </c>
    </row>
    <row r="54" spans="2:13">
      <c r="B54" s="174" t="s">
        <v>169</v>
      </c>
    </row>
    <row r="55" spans="2:13">
      <c r="B55" s="40" t="s">
        <v>160</v>
      </c>
      <c r="C55" s="354">
        <f t="shared" ref="C55:M55" si="25">IF(C$4="","",C9)</f>
        <v>0</v>
      </c>
      <c r="D55" s="354">
        <f t="shared" si="25"/>
        <v>0</v>
      </c>
      <c r="E55" s="354">
        <f t="shared" si="25"/>
        <v>0</v>
      </c>
      <c r="F55" s="354">
        <f t="shared" si="25"/>
        <v>0</v>
      </c>
      <c r="G55" s="354">
        <f t="shared" si="25"/>
        <v>0</v>
      </c>
      <c r="H55" s="354">
        <f t="shared" si="25"/>
        <v>0</v>
      </c>
      <c r="I55" s="354">
        <f t="shared" si="25"/>
        <v>0</v>
      </c>
      <c r="J55" s="354">
        <f t="shared" si="25"/>
        <v>0</v>
      </c>
      <c r="K55" s="354">
        <f t="shared" si="25"/>
        <v>0</v>
      </c>
      <c r="L55" s="354">
        <f t="shared" si="25"/>
        <v>0</v>
      </c>
      <c r="M55" s="354" t="str">
        <f t="shared" si="25"/>
        <v/>
      </c>
    </row>
    <row r="56" spans="2:13">
      <c r="B56" s="40" t="s">
        <v>168</v>
      </c>
      <c r="C56" s="354">
        <f t="shared" ref="C56:M56" si="26">IF(C$4="","",C10)</f>
        <v>0</v>
      </c>
      <c r="D56" s="354">
        <f t="shared" si="26"/>
        <v>0</v>
      </c>
      <c r="E56" s="354">
        <f t="shared" si="26"/>
        <v>0</v>
      </c>
      <c r="F56" s="354">
        <f t="shared" si="26"/>
        <v>0</v>
      </c>
      <c r="G56" s="354">
        <f t="shared" si="26"/>
        <v>0</v>
      </c>
      <c r="H56" s="354">
        <f t="shared" si="26"/>
        <v>0</v>
      </c>
      <c r="I56" s="354">
        <f t="shared" si="26"/>
        <v>0</v>
      </c>
      <c r="J56" s="354">
        <f t="shared" si="26"/>
        <v>0</v>
      </c>
      <c r="K56" s="354">
        <f t="shared" si="26"/>
        <v>0</v>
      </c>
      <c r="L56" s="354">
        <f t="shared" si="26"/>
        <v>0</v>
      </c>
      <c r="M56" s="354" t="str">
        <f t="shared" si="26"/>
        <v/>
      </c>
    </row>
    <row r="57" spans="2:13">
      <c r="B57" s="40" t="s">
        <v>159</v>
      </c>
      <c r="C57" s="354">
        <f t="shared" ref="C57:M57" si="27">IF(C$4="","",C11)</f>
        <v>0</v>
      </c>
      <c r="D57" s="354">
        <f t="shared" si="27"/>
        <v>0</v>
      </c>
      <c r="E57" s="354">
        <f t="shared" si="27"/>
        <v>0</v>
      </c>
      <c r="F57" s="354">
        <f t="shared" si="27"/>
        <v>0</v>
      </c>
      <c r="G57" s="354">
        <f t="shared" si="27"/>
        <v>0</v>
      </c>
      <c r="H57" s="354">
        <f t="shared" si="27"/>
        <v>0</v>
      </c>
      <c r="I57" s="354">
        <f t="shared" si="27"/>
        <v>0</v>
      </c>
      <c r="J57" s="354">
        <f t="shared" si="27"/>
        <v>0</v>
      </c>
      <c r="K57" s="354">
        <f t="shared" si="27"/>
        <v>0</v>
      </c>
      <c r="L57" s="354">
        <f t="shared" si="27"/>
        <v>0</v>
      </c>
      <c r="M57" s="354" t="str">
        <f t="shared" si="27"/>
        <v/>
      </c>
    </row>
    <row r="58" spans="2:13">
      <c r="B58" s="40" t="s">
        <v>161</v>
      </c>
      <c r="C58" s="354">
        <f>IF(C$4="","",C44-C55-C56-C57)</f>
        <v>-60266</v>
      </c>
      <c r="D58" s="354">
        <f t="shared" ref="D58:M58" si="28">IF(D$4="","",D44-D55-D56-D57)</f>
        <v>-60989</v>
      </c>
      <c r="E58" s="354">
        <f t="shared" si="28"/>
        <v>-48561</v>
      </c>
      <c r="F58" s="354">
        <f t="shared" si="28"/>
        <v>-66899</v>
      </c>
      <c r="G58" s="354">
        <f t="shared" si="28"/>
        <v>-75337</v>
      </c>
      <c r="H58" s="354">
        <f t="shared" si="28"/>
        <v>-57859</v>
      </c>
      <c r="I58" s="354">
        <f t="shared" si="28"/>
        <v>-46241</v>
      </c>
      <c r="J58" s="354">
        <f t="shared" si="28"/>
        <v>-35567</v>
      </c>
      <c r="K58" s="354">
        <f t="shared" si="28"/>
        <v>-50733</v>
      </c>
      <c r="L58" s="354">
        <f t="shared" si="28"/>
        <v>-44826</v>
      </c>
      <c r="M58" s="354" t="str">
        <f t="shared" si="28"/>
        <v/>
      </c>
    </row>
    <row r="60" spans="2:13">
      <c r="B60" s="16" t="s">
        <v>51</v>
      </c>
      <c r="C60" s="9"/>
    </row>
    <row r="61" spans="2:13">
      <c r="B61" s="27" t="s">
        <v>47</v>
      </c>
      <c r="C61" s="338">
        <f>IF(C$4="","",-C19)</f>
        <v>0</v>
      </c>
      <c r="D61" s="338">
        <f t="shared" ref="D61:M61" si="29">IF(D$4="","",-D19)</f>
        <v>0</v>
      </c>
      <c r="E61" s="338">
        <f t="shared" si="29"/>
        <v>0</v>
      </c>
      <c r="F61" s="338">
        <f t="shared" si="29"/>
        <v>0</v>
      </c>
      <c r="G61" s="338">
        <f t="shared" si="29"/>
        <v>0</v>
      </c>
      <c r="H61" s="338">
        <f t="shared" si="29"/>
        <v>0</v>
      </c>
      <c r="I61" s="338">
        <f t="shared" si="29"/>
        <v>0</v>
      </c>
      <c r="J61" s="338">
        <f t="shared" si="29"/>
        <v>0</v>
      </c>
      <c r="K61" s="338">
        <f t="shared" si="29"/>
        <v>0</v>
      </c>
      <c r="L61" s="338">
        <f t="shared" si="29"/>
        <v>0</v>
      </c>
      <c r="M61" s="338" t="str">
        <f t="shared" si="29"/>
        <v/>
      </c>
    </row>
    <row r="62" spans="2:13">
      <c r="B62" s="27" t="s">
        <v>53</v>
      </c>
      <c r="C62" s="338">
        <f>IF(C$4="","",IF(C20=0,C61,-C20))</f>
        <v>0</v>
      </c>
      <c r="D62" s="338">
        <f t="shared" ref="D62:M62" si="30">IF(D$4="","",IF(D20=0,D61,-D20))</f>
        <v>0</v>
      </c>
      <c r="E62" s="338">
        <f t="shared" si="30"/>
        <v>0</v>
      </c>
      <c r="F62" s="338">
        <f t="shared" si="30"/>
        <v>0</v>
      </c>
      <c r="G62" s="338">
        <f t="shared" si="30"/>
        <v>0</v>
      </c>
      <c r="H62" s="338">
        <f t="shared" si="30"/>
        <v>0</v>
      </c>
      <c r="I62" s="338">
        <f t="shared" si="30"/>
        <v>0</v>
      </c>
      <c r="J62" s="338">
        <f t="shared" si="30"/>
        <v>0</v>
      </c>
      <c r="K62" s="338">
        <f t="shared" si="30"/>
        <v>0</v>
      </c>
      <c r="L62" s="338">
        <f t="shared" si="30"/>
        <v>0</v>
      </c>
      <c r="M62" s="338" t="str">
        <f t="shared" si="30"/>
        <v/>
      </c>
    </row>
    <row r="63" spans="2:13">
      <c r="B63" s="27" t="s">
        <v>52</v>
      </c>
      <c r="C63" s="338">
        <f>IF(C$4="","",-C21)</f>
        <v>0</v>
      </c>
      <c r="D63" s="338">
        <f t="shared" ref="D63:M63" si="31">IF(D$4="","",-D21)</f>
        <v>0</v>
      </c>
      <c r="E63" s="338">
        <f t="shared" si="31"/>
        <v>0</v>
      </c>
      <c r="F63" s="338">
        <f t="shared" si="31"/>
        <v>0</v>
      </c>
      <c r="G63" s="338">
        <f t="shared" si="31"/>
        <v>0</v>
      </c>
      <c r="H63" s="338">
        <f t="shared" si="31"/>
        <v>0</v>
      </c>
      <c r="I63" s="338">
        <f t="shared" si="31"/>
        <v>0</v>
      </c>
      <c r="J63" s="338">
        <f t="shared" si="31"/>
        <v>0</v>
      </c>
      <c r="K63" s="338">
        <f t="shared" si="31"/>
        <v>0</v>
      </c>
      <c r="L63" s="338">
        <f t="shared" si="31"/>
        <v>0</v>
      </c>
      <c r="M63" s="338" t="str">
        <f t="shared" si="31"/>
        <v/>
      </c>
    </row>
    <row r="64" spans="2:13">
      <c r="B64" s="27" t="s">
        <v>397</v>
      </c>
      <c r="C64" s="338">
        <f>IF(C$4="","",C22+C23+C24)</f>
        <v>-18926</v>
      </c>
      <c r="D64" s="338">
        <f t="shared" ref="D64:M64" si="32">IF(D$4="","",D22+D23+D24)</f>
        <v>125761</v>
      </c>
      <c r="E64" s="338">
        <f t="shared" si="32"/>
        <v>-368894</v>
      </c>
      <c r="F64" s="338">
        <f t="shared" si="32"/>
        <v>-185529</v>
      </c>
      <c r="G64" s="338">
        <f t="shared" si="32"/>
        <v>229410</v>
      </c>
      <c r="H64" s="338">
        <f t="shared" si="32"/>
        <v>180995</v>
      </c>
      <c r="I64" s="338">
        <f t="shared" si="32"/>
        <v>76727</v>
      </c>
      <c r="J64" s="338">
        <f t="shared" si="32"/>
        <v>38552</v>
      </c>
      <c r="K64" s="338">
        <f t="shared" si="32"/>
        <v>119154</v>
      </c>
      <c r="L64" s="338">
        <f t="shared" si="32"/>
        <v>-46023</v>
      </c>
      <c r="M64" s="338"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54">
        <f>IF(C$4="","",C79+C80)</f>
        <v>4</v>
      </c>
      <c r="D76" s="354">
        <f t="shared" ref="D76:M76" si="39">IF(D$4="","",D79+D80)</f>
        <v>10158326</v>
      </c>
      <c r="E76" s="354">
        <f t="shared" si="39"/>
        <v>9266671</v>
      </c>
      <c r="F76" s="354">
        <f t="shared" si="39"/>
        <v>8603024</v>
      </c>
      <c r="G76" s="354">
        <f t="shared" si="39"/>
        <v>7894000</v>
      </c>
      <c r="H76" s="354">
        <f t="shared" si="39"/>
        <v>7145681</v>
      </c>
      <c r="I76" s="354">
        <f t="shared" si="39"/>
        <v>6711657</v>
      </c>
      <c r="J76" s="354">
        <f t="shared" si="39"/>
        <v>6416842</v>
      </c>
      <c r="K76" s="354">
        <f t="shared" si="39"/>
        <v>6085895</v>
      </c>
      <c r="L76" s="354">
        <f t="shared" si="39"/>
        <v>5298880</v>
      </c>
      <c r="M76" s="354" t="str">
        <f t="shared" si="39"/>
        <v/>
      </c>
    </row>
    <row r="77" spans="2:13">
      <c r="B77" s="93" t="s">
        <v>86</v>
      </c>
      <c r="C77" s="349">
        <f t="shared" ref="C77:H78" si="40">IF(C$4="","",C28)</f>
        <v>0</v>
      </c>
      <c r="D77" s="349">
        <f t="shared" si="40"/>
        <v>0</v>
      </c>
      <c r="E77" s="349">
        <f t="shared" si="40"/>
        <v>0</v>
      </c>
      <c r="F77" s="349">
        <f t="shared" si="40"/>
        <v>0</v>
      </c>
      <c r="G77" s="349">
        <f t="shared" si="40"/>
        <v>0</v>
      </c>
      <c r="H77" s="349">
        <f t="shared" si="40"/>
        <v>0</v>
      </c>
      <c r="I77" s="355"/>
      <c r="J77" s="355"/>
      <c r="K77" s="355"/>
      <c r="L77" s="355"/>
      <c r="M77" s="355"/>
    </row>
    <row r="78" spans="2:13">
      <c r="B78" s="93" t="s">
        <v>87</v>
      </c>
      <c r="C78" s="349">
        <f t="shared" si="40"/>
        <v>0</v>
      </c>
      <c r="D78" s="349">
        <f t="shared" si="40"/>
        <v>0</v>
      </c>
      <c r="E78" s="349">
        <f t="shared" si="40"/>
        <v>0</v>
      </c>
      <c r="F78" s="349">
        <f t="shared" si="40"/>
        <v>0</v>
      </c>
      <c r="G78" s="349">
        <f t="shared" si="40"/>
        <v>0</v>
      </c>
      <c r="H78" s="349">
        <f t="shared" si="40"/>
        <v>0</v>
      </c>
      <c r="I78" s="355"/>
      <c r="J78" s="355"/>
      <c r="K78" s="355"/>
      <c r="L78" s="355"/>
      <c r="M78" s="355"/>
    </row>
    <row r="79" spans="2:13">
      <c r="B79" s="26" t="s">
        <v>40</v>
      </c>
      <c r="C79" s="338">
        <f t="shared" ref="C79:M79" si="41">IF(C$4="","",C30)</f>
        <v>1</v>
      </c>
      <c r="D79" s="338">
        <f t="shared" si="41"/>
        <v>9350607</v>
      </c>
      <c r="E79" s="338">
        <f t="shared" si="41"/>
        <v>8509373</v>
      </c>
      <c r="F79" s="338">
        <f t="shared" si="41"/>
        <v>7908726</v>
      </c>
      <c r="G79" s="338">
        <f t="shared" si="41"/>
        <v>7269197</v>
      </c>
      <c r="H79" s="338">
        <f t="shared" si="41"/>
        <v>6596029</v>
      </c>
      <c r="I79" s="338">
        <f t="shared" si="41"/>
        <v>6239073</v>
      </c>
      <c r="J79" s="338">
        <f t="shared" si="41"/>
        <v>5994090</v>
      </c>
      <c r="K79" s="338">
        <f t="shared" si="41"/>
        <v>5731485</v>
      </c>
      <c r="L79" s="338">
        <f t="shared" si="41"/>
        <v>4981503</v>
      </c>
      <c r="M79" s="338" t="str">
        <f t="shared" si="41"/>
        <v/>
      </c>
    </row>
    <row r="80" spans="2:13">
      <c r="B80" s="26" t="s">
        <v>30</v>
      </c>
      <c r="C80" s="338">
        <f t="shared" ref="C80:M80" si="42">IF(C$4="","",C31)</f>
        <v>3</v>
      </c>
      <c r="D80" s="338">
        <f t="shared" si="42"/>
        <v>807719</v>
      </c>
      <c r="E80" s="338">
        <f t="shared" si="42"/>
        <v>757298</v>
      </c>
      <c r="F80" s="338">
        <f t="shared" si="42"/>
        <v>694298</v>
      </c>
      <c r="G80" s="338">
        <f t="shared" si="42"/>
        <v>624803</v>
      </c>
      <c r="H80" s="338">
        <f t="shared" si="42"/>
        <v>549652</v>
      </c>
      <c r="I80" s="338">
        <f t="shared" si="42"/>
        <v>472584</v>
      </c>
      <c r="J80" s="338">
        <f t="shared" si="42"/>
        <v>422752</v>
      </c>
      <c r="K80" s="338">
        <f t="shared" si="42"/>
        <v>354410</v>
      </c>
      <c r="L80" s="338">
        <f t="shared" si="42"/>
        <v>317377</v>
      </c>
      <c r="M80" s="33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3">
        <v>0.6</v>
      </c>
      <c r="E4" s="25"/>
      <c r="F4" s="4" t="s">
        <v>78</v>
      </c>
      <c r="G4" s="19">
        <v>1</v>
      </c>
      <c r="H4" s="263">
        <v>0.9</v>
      </c>
    </row>
    <row r="5" spans="2:8" ht="15" customHeight="1">
      <c r="B5" s="1" t="s">
        <v>33</v>
      </c>
      <c r="C5" s="19">
        <v>0</v>
      </c>
      <c r="D5" s="263">
        <v>0.6</v>
      </c>
      <c r="E5" s="25"/>
      <c r="F5" s="1" t="s">
        <v>29</v>
      </c>
      <c r="G5" s="19">
        <v>0</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1</v>
      </c>
      <c r="D9" s="263">
        <v>0.1</v>
      </c>
      <c r="E9" s="25"/>
      <c r="F9" s="4" t="s">
        <v>181</v>
      </c>
      <c r="G9" s="19">
        <v>0</v>
      </c>
      <c r="H9" s="263">
        <v>0.6</v>
      </c>
    </row>
    <row r="10" spans="2:8" ht="15" customHeight="1">
      <c r="B10" s="4" t="s">
        <v>11</v>
      </c>
      <c r="C10" s="19">
        <v>0</v>
      </c>
      <c r="D10" s="263">
        <v>0.9</v>
      </c>
      <c r="H10" s="264"/>
    </row>
    <row r="11" spans="2:8" ht="15" customHeight="1">
      <c r="B11" s="4" t="s">
        <v>12</v>
      </c>
      <c r="C11" s="19">
        <v>0</v>
      </c>
      <c r="D11" s="263">
        <v>0.05</v>
      </c>
      <c r="H11" s="264"/>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1</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v>1</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0</v>
      </c>
      <c r="D21" s="263">
        <v>0.05</v>
      </c>
      <c r="F21" s="1" t="s">
        <v>181</v>
      </c>
      <c r="G21" s="19">
        <v>0</v>
      </c>
      <c r="H21" s="263">
        <v>0.1</v>
      </c>
    </row>
    <row r="22" spans="2:8" ht="15" customHeight="1">
      <c r="B22" s="4" t="s">
        <v>20</v>
      </c>
      <c r="C22" s="19">
        <v>0</v>
      </c>
      <c r="D22" s="263">
        <v>0.9</v>
      </c>
      <c r="H22" s="264"/>
    </row>
    <row r="23" spans="2:8" ht="15" customHeight="1">
      <c r="B23" s="4" t="s">
        <v>21</v>
      </c>
      <c r="C23" s="19">
        <v>0</v>
      </c>
      <c r="D23" s="263">
        <v>0</v>
      </c>
      <c r="H23" s="264"/>
    </row>
    <row r="24" spans="2:8" ht="15" customHeight="1">
      <c r="B24" s="80" t="s">
        <v>74</v>
      </c>
      <c r="C24" s="81">
        <f>SUM(C15:C23)</f>
        <v>1</v>
      </c>
      <c r="D24" s="20">
        <f>C15*D15+C16*D16+C18*D18+C17*D17+C19*D19+C20*D20+C21*D21+C22*D22+C23*D23</f>
        <v>0.1</v>
      </c>
      <c r="F24" s="80" t="s">
        <v>71</v>
      </c>
      <c r="G24" s="81">
        <f>SUM(G15:G21)</f>
        <v>1</v>
      </c>
      <c r="H24" s="20">
        <f>G15*H15+G16*H16+G17*H17+G18*H18+G19*H19+G20*H20+G21*H21</f>
        <v>0.8</v>
      </c>
    </row>
    <row r="26" spans="2:8" ht="15" customHeight="1">
      <c r="B26" s="16" t="s">
        <v>201</v>
      </c>
      <c r="C26" s="182" t="s">
        <v>137</v>
      </c>
      <c r="F26" s="184" t="s">
        <v>197</v>
      </c>
      <c r="G26" s="185" t="s">
        <v>137</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245</v>
      </c>
      <c r="G28" s="12">
        <v>0</v>
      </c>
      <c r="H28" s="188"/>
    </row>
    <row r="29" spans="2:8" ht="15" customHeight="1">
      <c r="B29" s="4" t="s">
        <v>7</v>
      </c>
      <c r="C29" s="19">
        <v>0</v>
      </c>
      <c r="F29" s="190" t="s">
        <v>76</v>
      </c>
      <c r="G29" s="14">
        <f>G27-G28</f>
        <v>3</v>
      </c>
      <c r="H29" s="188">
        <f>H27-G28</f>
        <v>0.90000000000000013</v>
      </c>
    </row>
    <row r="30" spans="2:8" ht="15" customHeight="1">
      <c r="B30" s="2" t="s">
        <v>8</v>
      </c>
      <c r="C30" s="19">
        <v>0</v>
      </c>
      <c r="F30" s="187" t="s">
        <v>23</v>
      </c>
      <c r="G30" s="85">
        <f>C33+C42</f>
        <v>1</v>
      </c>
      <c r="H30" s="188"/>
    </row>
    <row r="31" spans="2:8" ht="15" customHeight="1">
      <c r="B31" s="80" t="s">
        <v>204</v>
      </c>
      <c r="C31" s="81">
        <f>SUM(C27:C30)</f>
        <v>0</v>
      </c>
      <c r="F31" s="190" t="s">
        <v>77</v>
      </c>
      <c r="G31" s="191">
        <f>C31+C40</f>
        <v>0</v>
      </c>
      <c r="H31" s="188"/>
    </row>
    <row r="32" spans="2:8" ht="15" customHeight="1">
      <c r="B32" s="4" t="s">
        <v>9</v>
      </c>
      <c r="C32" s="21">
        <f>C33-C31</f>
        <v>1</v>
      </c>
      <c r="F32" s="192" t="s">
        <v>75</v>
      </c>
      <c r="G32" s="193">
        <f>G35+G40</f>
        <v>4</v>
      </c>
      <c r="H32" s="188">
        <f>H35+H40</f>
        <v>1.9000000000000001</v>
      </c>
    </row>
    <row r="33" spans="2:8" ht="15" customHeight="1">
      <c r="B33" s="83" t="s">
        <v>4</v>
      </c>
      <c r="C33" s="84">
        <v>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v>
      </c>
      <c r="H35" s="200">
        <f>D12+D24</f>
        <v>0.2</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v>
      </c>
      <c r="H39" s="188">
        <f>C7*D7+C17*D17+C19*D19+C20*D20</f>
        <v>0.1</v>
      </c>
    </row>
    <row r="40" spans="2:8" ht="15" customHeight="1">
      <c r="B40" s="80" t="s">
        <v>205</v>
      </c>
      <c r="C40" s="81">
        <f>SUM(C36:C39)</f>
        <v>0</v>
      </c>
      <c r="F40" s="199" t="s">
        <v>139</v>
      </c>
      <c r="G40" s="193">
        <f>G12+G24</f>
        <v>2</v>
      </c>
      <c r="H40" s="200">
        <f>H12+H24</f>
        <v>1.7000000000000002</v>
      </c>
    </row>
    <row r="41" spans="2:8" ht="15" customHeight="1">
      <c r="B41" s="4" t="s">
        <v>17</v>
      </c>
      <c r="C41" s="21">
        <f>C42-C40</f>
        <v>0</v>
      </c>
      <c r="F41" s="190" t="s">
        <v>192</v>
      </c>
      <c r="G41" s="191">
        <f>C70</f>
        <v>2</v>
      </c>
      <c r="H41" s="200">
        <f>H40-H42</f>
        <v>1.7000000000000002</v>
      </c>
    </row>
    <row r="42" spans="2:8" ht="15" customHeight="1">
      <c r="B42" s="83" t="s">
        <v>22</v>
      </c>
      <c r="C42" s="84">
        <v>0</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410</v>
      </c>
      <c r="F45" s="256" t="s">
        <v>59</v>
      </c>
    </row>
    <row r="46" spans="2:8" ht="15" customHeight="1">
      <c r="B46" s="1" t="s">
        <v>274</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v>
      </c>
      <c r="D50" s="95">
        <f>G31/Normalized_FCF!G8</f>
        <v>0</v>
      </c>
      <c r="F50" s="253"/>
    </row>
    <row r="51" spans="2:8" ht="15" customHeight="1">
      <c r="B51" s="1" t="s">
        <v>177</v>
      </c>
      <c r="C51" s="181"/>
      <c r="D51" s="92">
        <f>G29/G32</f>
        <v>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3016.625</v>
      </c>
      <c r="D54" s="92">
        <f>Normalized_FCF!G8/G35</f>
        <v>-360.5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0.25</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2</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v>
      </c>
      <c r="F70" s="253"/>
    </row>
    <row r="71" spans="2:6" ht="15" customHeight="1">
      <c r="F71" s="253"/>
    </row>
    <row r="72" spans="2:6" ht="15" customHeight="1">
      <c r="B72" s="255" t="s">
        <v>320</v>
      </c>
      <c r="C72" s="234" t="s">
        <v>96</v>
      </c>
      <c r="D72" s="182" t="s">
        <v>57</v>
      </c>
      <c r="F72" s="253"/>
    </row>
    <row r="73" spans="2:6" ht="15" customHeight="1">
      <c r="B73" s="105" t="s">
        <v>319</v>
      </c>
      <c r="C73" s="76">
        <f>(Normalized_FCF!G25+Normalized_FCF!G35-Normalized_FCF!G91)/12</f>
        <v>-7052.6474952516664</v>
      </c>
      <c r="D73" s="76">
        <f>(Normalized_FCF!C25+Normalized_FCF!C35-Normalized_FCF!C91)/12</f>
        <v>-7000.4599952516664</v>
      </c>
      <c r="F73" s="1" t="s">
        <v>354</v>
      </c>
    </row>
    <row r="74" spans="2:6" ht="15" customHeight="1">
      <c r="B74" s="257" t="s">
        <v>324</v>
      </c>
      <c r="C74" s="258">
        <f>-$C$66/C73</f>
        <v>2.8358144956862504E-4</v>
      </c>
      <c r="D74" s="258">
        <f>-$C$66/D73</f>
        <v>2.8569551163160387E-4</v>
      </c>
      <c r="F74" s="253" t="s">
        <v>321</v>
      </c>
    </row>
    <row r="75" spans="2:6" ht="15" customHeight="1">
      <c r="B75" s="80" t="s">
        <v>322</v>
      </c>
      <c r="C75" s="262"/>
      <c r="D75" s="261">
        <f>MAX(-D73*D76,G5)</f>
        <v>2</v>
      </c>
      <c r="F75" s="253" t="s">
        <v>355</v>
      </c>
    </row>
    <row r="76" spans="2:6" ht="15" customHeight="1">
      <c r="B76" s="259" t="s">
        <v>325</v>
      </c>
      <c r="C76" s="260"/>
      <c r="D76" s="292">
        <f>IF(valuation_method="DCF",IF(D74&lt;=3,1,IF(D74&gt;18,6,2)),-C66/D73)</f>
        <v>2.8569551163160387E-4</v>
      </c>
      <c r="F76" s="253" t="s">
        <v>326</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0</v>
      </c>
      <c r="D86" s="223">
        <f>C86*scaling_factor/Common_Shares</f>
        <v>0</v>
      </c>
      <c r="E86" s="240" t="str">
        <f>Market_currency</f>
        <v>CNY</v>
      </c>
    </row>
    <row r="87" spans="2:8" ht="15" customHeight="1">
      <c r="B87" s="238" t="s">
        <v>289</v>
      </c>
      <c r="C87" s="76">
        <f>DCF!C8*Exchange_Rate</f>
        <v>0</v>
      </c>
      <c r="D87" s="223">
        <f>C87*scaling_factor/Common_Shares</f>
        <v>0</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293</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32">
        <f>AVERAGE(G4:J4)</f>
        <v>68018</v>
      </c>
      <c r="D4" s="57"/>
      <c r="E4" s="268"/>
      <c r="F4" s="57"/>
      <c r="G4" s="338">
        <f>Data!C36</f>
        <v>61890</v>
      </c>
      <c r="H4" s="338">
        <f>Data!D36</f>
        <v>62009</v>
      </c>
      <c r="I4" s="338">
        <f>Data!E36</f>
        <v>74823</v>
      </c>
      <c r="J4" s="338">
        <f>Data!F36</f>
        <v>73350</v>
      </c>
      <c r="K4" s="338">
        <f>Data!G36</f>
        <v>57536</v>
      </c>
      <c r="L4" s="338">
        <f>Data!H36</f>
        <v>76564</v>
      </c>
      <c r="M4" s="338">
        <f>Data!I36</f>
        <v>61222</v>
      </c>
      <c r="N4" s="338">
        <f>Data!J36</f>
        <v>50549</v>
      </c>
      <c r="O4" s="338">
        <f>Data!K36</f>
        <v>39074</v>
      </c>
      <c r="P4" s="338">
        <f>Data!L36</f>
        <v>21559</v>
      </c>
      <c r="Q4" s="338" t="str">
        <f>Data!M36</f>
        <v/>
      </c>
    </row>
    <row r="5" spans="1:17" ht="15.75" customHeight="1">
      <c r="A5" s="10"/>
      <c r="B5" s="2" t="s">
        <v>46</v>
      </c>
      <c r="C5" s="333">
        <f>C25</f>
        <v>0</v>
      </c>
      <c r="E5" s="270"/>
      <c r="G5" s="338">
        <f t="shared" ref="G5:Q5" si="1">G25</f>
        <v>0</v>
      </c>
      <c r="H5" s="338">
        <f t="shared" si="1"/>
        <v>0</v>
      </c>
      <c r="I5" s="338">
        <f t="shared" si="1"/>
        <v>0</v>
      </c>
      <c r="J5" s="338">
        <f t="shared" si="1"/>
        <v>0</v>
      </c>
      <c r="K5" s="338">
        <f t="shared" si="1"/>
        <v>0</v>
      </c>
      <c r="L5" s="338">
        <f t="shared" si="1"/>
        <v>0</v>
      </c>
      <c r="M5" s="338">
        <f t="shared" si="1"/>
        <v>0</v>
      </c>
      <c r="N5" s="338">
        <f t="shared" si="1"/>
        <v>0</v>
      </c>
      <c r="O5" s="338">
        <f t="shared" si="1"/>
        <v>0</v>
      </c>
      <c r="P5" s="338">
        <f t="shared" si="1"/>
        <v>0</v>
      </c>
      <c r="Q5" s="338" t="str">
        <f t="shared" si="1"/>
        <v/>
      </c>
    </row>
    <row r="6" spans="1:17" ht="15.75" customHeight="1">
      <c r="A6" s="10"/>
      <c r="B6" s="31" t="s">
        <v>48</v>
      </c>
      <c r="C6" s="334">
        <f>C4+C5</f>
        <v>68018</v>
      </c>
      <c r="E6" s="270"/>
      <c r="G6" s="334">
        <f>IF(G4="","",G4+G5)</f>
        <v>61890</v>
      </c>
      <c r="H6" s="334">
        <f t="shared" ref="H6:Q6" si="2">IF(H4="","",H4+H5)</f>
        <v>62009</v>
      </c>
      <c r="I6" s="334">
        <f t="shared" si="2"/>
        <v>74823</v>
      </c>
      <c r="J6" s="334">
        <f t="shared" si="2"/>
        <v>73350</v>
      </c>
      <c r="K6" s="334">
        <f t="shared" si="2"/>
        <v>57536</v>
      </c>
      <c r="L6" s="334">
        <f t="shared" si="2"/>
        <v>76564</v>
      </c>
      <c r="M6" s="334">
        <f t="shared" si="2"/>
        <v>61222</v>
      </c>
      <c r="N6" s="334">
        <f t="shared" si="2"/>
        <v>50549</v>
      </c>
      <c r="O6" s="334">
        <f t="shared" si="2"/>
        <v>39074</v>
      </c>
      <c r="P6" s="334">
        <f t="shared" si="2"/>
        <v>21559</v>
      </c>
      <c r="Q6" s="334" t="str">
        <f t="shared" si="2"/>
        <v/>
      </c>
    </row>
    <row r="7" spans="1:17" ht="15.75" customHeight="1">
      <c r="A7" s="10"/>
      <c r="B7" s="8" t="s">
        <v>45</v>
      </c>
      <c r="C7" s="333">
        <f>C35</f>
        <v>-61984.75</v>
      </c>
      <c r="E7" s="270"/>
      <c r="G7" s="333">
        <f t="shared" ref="G7:Q7" si="3">G35</f>
        <v>-62611</v>
      </c>
      <c r="H7" s="333">
        <f t="shared" si="3"/>
        <v>-63194</v>
      </c>
      <c r="I7" s="333">
        <f t="shared" si="3"/>
        <v>-65314</v>
      </c>
      <c r="J7" s="333">
        <f t="shared" si="3"/>
        <v>-56820</v>
      </c>
      <c r="K7" s="333">
        <f t="shared" si="3"/>
        <v>-49077</v>
      </c>
      <c r="L7" s="333">
        <f t="shared" si="3"/>
        <v>-47190</v>
      </c>
      <c r="M7" s="333">
        <f t="shared" si="3"/>
        <v>-42561</v>
      </c>
      <c r="N7" s="333">
        <f t="shared" si="3"/>
        <v>-38680</v>
      </c>
      <c r="O7" s="333">
        <f t="shared" si="3"/>
        <v>-36735</v>
      </c>
      <c r="P7" s="333">
        <f t="shared" si="3"/>
        <v>-33323</v>
      </c>
      <c r="Q7" s="333" t="str">
        <f t="shared" si="3"/>
        <v/>
      </c>
    </row>
    <row r="8" spans="1:17" ht="15.75" customHeight="1">
      <c r="A8" s="10"/>
      <c r="B8" s="29" t="s">
        <v>153</v>
      </c>
      <c r="C8" s="335">
        <f>C6+C7</f>
        <v>6033.25</v>
      </c>
      <c r="D8" s="59"/>
      <c r="E8" s="276"/>
      <c r="F8" s="59"/>
      <c r="G8" s="334">
        <f>IF(G$4="","",G6+G7)</f>
        <v>-721</v>
      </c>
      <c r="H8" s="334">
        <f t="shared" ref="H8:Q8" si="4">IF(H$4="","",H6+H7)</f>
        <v>-1185</v>
      </c>
      <c r="I8" s="334">
        <f t="shared" si="4"/>
        <v>9509</v>
      </c>
      <c r="J8" s="334">
        <f t="shared" si="4"/>
        <v>16530</v>
      </c>
      <c r="K8" s="334">
        <f t="shared" si="4"/>
        <v>8459</v>
      </c>
      <c r="L8" s="334">
        <f t="shared" si="4"/>
        <v>29374</v>
      </c>
      <c r="M8" s="334">
        <f t="shared" si="4"/>
        <v>18661</v>
      </c>
      <c r="N8" s="334">
        <f t="shared" si="4"/>
        <v>11869</v>
      </c>
      <c r="O8" s="334">
        <f t="shared" si="4"/>
        <v>2339</v>
      </c>
      <c r="P8" s="334">
        <f t="shared" si="4"/>
        <v>-11764</v>
      </c>
      <c r="Q8" s="334" t="str">
        <f t="shared" si="4"/>
        <v/>
      </c>
    </row>
    <row r="9" spans="1:17" ht="15.75" customHeight="1">
      <c r="A9" s="10"/>
      <c r="B9" s="2" t="s">
        <v>65</v>
      </c>
      <c r="C9" s="333">
        <f>BS!$G$39*BS!D58</f>
        <v>0</v>
      </c>
      <c r="E9" s="270"/>
      <c r="G9" s="333">
        <f>IF(Data!C61="","",-Data!C61)</f>
        <v>0</v>
      </c>
      <c r="H9" s="333">
        <f>IF(Data!D61="","",-Data!D61)</f>
        <v>0</v>
      </c>
      <c r="I9" s="333">
        <f>IF(Data!E61="","",-Data!E61)</f>
        <v>0</v>
      </c>
      <c r="J9" s="333">
        <f>IF(Data!F61="","",-Data!F61)</f>
        <v>0</v>
      </c>
      <c r="K9" s="333">
        <f>IF(Data!G61="","",-Data!G61)</f>
        <v>0</v>
      </c>
      <c r="L9" s="333">
        <f>IF(Data!H61="","",-Data!H61)</f>
        <v>0</v>
      </c>
      <c r="M9" s="333">
        <f>IF(Data!I61="","",-Data!I61)</f>
        <v>0</v>
      </c>
      <c r="N9" s="333">
        <f>IF(Data!J61="","",-Data!J61)</f>
        <v>0</v>
      </c>
      <c r="O9" s="333">
        <f>IF(Data!K61="","",-Data!K61)</f>
        <v>0</v>
      </c>
      <c r="P9" s="333">
        <f>IF(Data!L61="","",-Data!L61)</f>
        <v>0</v>
      </c>
      <c r="Q9" s="333" t="str">
        <f>IF(Data!M61="","",-Data!M61)</f>
        <v/>
      </c>
    </row>
    <row r="10" spans="1:17" ht="15.75" customHeight="1">
      <c r="A10" s="10"/>
      <c r="B10" s="2" t="s">
        <v>81</v>
      </c>
      <c r="C10" s="333">
        <f>-C4*C78</f>
        <v>0</v>
      </c>
      <c r="E10" s="270"/>
      <c r="G10" s="333">
        <f>Data!C62</f>
        <v>0</v>
      </c>
      <c r="H10" s="333">
        <f>Data!D62</f>
        <v>0</v>
      </c>
      <c r="I10" s="333">
        <f>Data!E62</f>
        <v>0</v>
      </c>
      <c r="J10" s="333">
        <f>Data!F62</f>
        <v>0</v>
      </c>
      <c r="K10" s="333">
        <f>Data!G62</f>
        <v>0</v>
      </c>
      <c r="L10" s="333">
        <f>Data!H62</f>
        <v>0</v>
      </c>
      <c r="M10" s="333">
        <f>Data!I62</f>
        <v>0</v>
      </c>
      <c r="N10" s="333">
        <f>Data!J62</f>
        <v>0</v>
      </c>
      <c r="O10" s="333">
        <f>Data!K62</f>
        <v>0</v>
      </c>
      <c r="P10" s="333">
        <f>Data!L62</f>
        <v>0</v>
      </c>
      <c r="Q10" s="333" t="str">
        <f>Data!M62</f>
        <v/>
      </c>
    </row>
    <row r="11" spans="1:17" ht="15.75" customHeight="1">
      <c r="A11" s="10"/>
      <c r="B11" s="31" t="s">
        <v>195</v>
      </c>
      <c r="C11" s="336">
        <f>C63</f>
        <v>0</v>
      </c>
      <c r="D11" s="168"/>
      <c r="E11" s="269"/>
      <c r="F11" s="168"/>
      <c r="G11" s="339">
        <f>G61</f>
        <v>0</v>
      </c>
      <c r="H11" s="339">
        <f t="shared" ref="H11:Q11" si="5">H61</f>
        <v>0</v>
      </c>
      <c r="I11" s="339">
        <f t="shared" si="5"/>
        <v>0</v>
      </c>
      <c r="J11" s="339">
        <f t="shared" si="5"/>
        <v>0</v>
      </c>
      <c r="K11" s="339">
        <f t="shared" si="5"/>
        <v>0</v>
      </c>
      <c r="L11" s="339">
        <f t="shared" si="5"/>
        <v>0</v>
      </c>
      <c r="M11" s="339">
        <f t="shared" si="5"/>
        <v>0</v>
      </c>
      <c r="N11" s="339">
        <f t="shared" si="5"/>
        <v>0</v>
      </c>
      <c r="O11" s="339">
        <f t="shared" si="5"/>
        <v>0</v>
      </c>
      <c r="P11" s="339">
        <f t="shared" si="5"/>
        <v>0</v>
      </c>
      <c r="Q11" s="339" t="str">
        <f t="shared" si="5"/>
        <v/>
      </c>
    </row>
    <row r="12" spans="1:17" ht="15.75" customHeight="1">
      <c r="A12" s="10"/>
      <c r="B12" s="2" t="s">
        <v>68</v>
      </c>
      <c r="C12" s="333">
        <f>C50</f>
        <v>0</v>
      </c>
      <c r="E12" s="270"/>
      <c r="G12" s="333">
        <f>G50</f>
        <v>-195728</v>
      </c>
      <c r="H12" s="333">
        <f t="shared" ref="H12:Q12" si="6">H50</f>
        <v>-202576</v>
      </c>
      <c r="I12" s="333">
        <f t="shared" si="6"/>
        <v>-183473</v>
      </c>
      <c r="J12" s="333">
        <f t="shared" si="6"/>
        <v>-169479</v>
      </c>
      <c r="K12" s="333">
        <f t="shared" si="6"/>
        <v>-159963</v>
      </c>
      <c r="L12" s="333">
        <f t="shared" si="6"/>
        <v>-166689</v>
      </c>
      <c r="M12" s="333">
        <f t="shared" si="6"/>
        <v>-174921</v>
      </c>
      <c r="N12" s="333">
        <f t="shared" si="6"/>
        <v>-164193</v>
      </c>
      <c r="O12" s="333">
        <f t="shared" si="6"/>
        <v>-123960</v>
      </c>
      <c r="P12" s="333">
        <f t="shared" si="6"/>
        <v>-136138</v>
      </c>
      <c r="Q12" s="333" t="str">
        <f t="shared" si="6"/>
        <v/>
      </c>
    </row>
    <row r="13" spans="1:17" ht="15.75" customHeight="1">
      <c r="A13" s="10"/>
      <c r="B13" s="70" t="s">
        <v>165</v>
      </c>
      <c r="C13" s="334">
        <f>SUM(C8:C12)</f>
        <v>6033.25</v>
      </c>
      <c r="E13" s="270"/>
      <c r="G13" s="334">
        <f>IF(G$4="","",SUM(G8:G12))</f>
        <v>-196449</v>
      </c>
      <c r="H13" s="334">
        <f t="shared" ref="H13:Q13" si="7">IF(H$4="","",SUM(H8:H12))</f>
        <v>-203761</v>
      </c>
      <c r="I13" s="334">
        <f t="shared" si="7"/>
        <v>-173964</v>
      </c>
      <c r="J13" s="334">
        <f t="shared" si="7"/>
        <v>-152949</v>
      </c>
      <c r="K13" s="334">
        <f t="shared" si="7"/>
        <v>-151504</v>
      </c>
      <c r="L13" s="334">
        <f t="shared" si="7"/>
        <v>-137315</v>
      </c>
      <c r="M13" s="334">
        <f t="shared" si="7"/>
        <v>-156260</v>
      </c>
      <c r="N13" s="334">
        <f t="shared" si="7"/>
        <v>-152324</v>
      </c>
      <c r="O13" s="334">
        <f t="shared" si="7"/>
        <v>-121621</v>
      </c>
      <c r="P13" s="334">
        <f t="shared" si="7"/>
        <v>-147902</v>
      </c>
      <c r="Q13" s="334" t="str">
        <f t="shared" si="7"/>
        <v/>
      </c>
    </row>
    <row r="14" spans="1:17" ht="15.75" customHeight="1">
      <c r="A14" s="10"/>
      <c r="B14" s="2" t="s">
        <v>63</v>
      </c>
      <c r="C14" s="333">
        <f>-SUM(C8+C11,C12)*C43</f>
        <v>-1508.3125</v>
      </c>
      <c r="E14" s="270"/>
      <c r="G14" s="333">
        <f>Data!C46</f>
        <v>-9629</v>
      </c>
      <c r="H14" s="333">
        <f>Data!D46</f>
        <v>-6675</v>
      </c>
      <c r="I14" s="333">
        <f>Data!E46</f>
        <v>-13807</v>
      </c>
      <c r="J14" s="333">
        <f>Data!F46</f>
        <v>-11494</v>
      </c>
      <c r="K14" s="333">
        <f>Data!G46</f>
        <v>-8956</v>
      </c>
      <c r="L14" s="333">
        <f>Data!H46</f>
        <v>-7801</v>
      </c>
      <c r="M14" s="333">
        <f>Data!I46</f>
        <v>-6832</v>
      </c>
      <c r="N14" s="333">
        <f>Data!J46</f>
        <v>-7018</v>
      </c>
      <c r="O14" s="333">
        <f>Data!K46</f>
        <v>-9598</v>
      </c>
      <c r="P14" s="333">
        <f>Data!L46</f>
        <v>-12594</v>
      </c>
      <c r="Q14" s="333" t="str">
        <f>Data!M46</f>
        <v/>
      </c>
    </row>
    <row r="15" spans="1:17" ht="15.75" customHeight="1">
      <c r="A15" s="10"/>
      <c r="B15" s="40" t="s">
        <v>244</v>
      </c>
      <c r="C15" s="333">
        <f>-C4*C83</f>
        <v>0</v>
      </c>
      <c r="D15" s="60"/>
      <c r="E15" s="277"/>
      <c r="F15" s="60"/>
      <c r="G15" s="338">
        <f>Data!C48</f>
        <v>-286</v>
      </c>
      <c r="H15" s="338">
        <f>Data!D48</f>
        <v>-538</v>
      </c>
      <c r="I15" s="338">
        <f>Data!E48</f>
        <v>-1037</v>
      </c>
      <c r="J15" s="338">
        <f>Data!F48</f>
        <v>-1136</v>
      </c>
      <c r="K15" s="338">
        <f>Data!G48</f>
        <v>-1055</v>
      </c>
      <c r="L15" s="338">
        <f>Data!H48</f>
        <v>-834</v>
      </c>
      <c r="M15" s="338">
        <f>Data!I48</f>
        <v>-625</v>
      </c>
      <c r="N15" s="338">
        <f>Data!J48</f>
        <v>-535</v>
      </c>
      <c r="O15" s="338">
        <f>Data!K48</f>
        <v>-477</v>
      </c>
      <c r="P15" s="338">
        <f>Data!L48</f>
        <v>-443</v>
      </c>
      <c r="Q15" s="338" t="str">
        <f>Data!M48</f>
        <v/>
      </c>
    </row>
    <row r="16" spans="1:17" ht="15.75" customHeight="1">
      <c r="A16" s="10"/>
      <c r="B16" s="41" t="s">
        <v>155</v>
      </c>
      <c r="C16" s="337">
        <f>SUM(C13:C15)</f>
        <v>4524.9375</v>
      </c>
      <c r="D16" s="61"/>
      <c r="E16" s="278"/>
      <c r="F16" s="61"/>
      <c r="G16" s="334">
        <f>IF(G$4="","",SUM(G13:G15))</f>
        <v>-206364</v>
      </c>
      <c r="H16" s="334">
        <f t="shared" ref="H16:Q16" si="8">IF(H$4="","",SUM(H13:H15))</f>
        <v>-210974</v>
      </c>
      <c r="I16" s="334">
        <f t="shared" si="8"/>
        <v>-188808</v>
      </c>
      <c r="J16" s="334">
        <f t="shared" si="8"/>
        <v>-165579</v>
      </c>
      <c r="K16" s="334">
        <f t="shared" si="8"/>
        <v>-161515</v>
      </c>
      <c r="L16" s="334">
        <f t="shared" si="8"/>
        <v>-145950</v>
      </c>
      <c r="M16" s="334">
        <f t="shared" si="8"/>
        <v>-163717</v>
      </c>
      <c r="N16" s="334">
        <f t="shared" si="8"/>
        <v>-159877</v>
      </c>
      <c r="O16" s="334">
        <f t="shared" si="8"/>
        <v>-131696</v>
      </c>
      <c r="P16" s="334">
        <f t="shared" si="8"/>
        <v>-160939</v>
      </c>
      <c r="Q16" s="334" t="str">
        <f t="shared" si="8"/>
        <v/>
      </c>
    </row>
    <row r="17" spans="1:17" ht="15.75" customHeight="1">
      <c r="A17" s="10"/>
      <c r="B17" s="27" t="s">
        <v>52</v>
      </c>
      <c r="C17" s="333">
        <f>-C4*C85</f>
        <v>0</v>
      </c>
      <c r="D17" s="58"/>
      <c r="E17" s="269" t="s">
        <v>334</v>
      </c>
      <c r="F17" s="58"/>
      <c r="G17" s="340"/>
      <c r="H17" s="340"/>
      <c r="I17" s="340"/>
      <c r="J17" s="340"/>
      <c r="K17" s="340"/>
      <c r="L17" s="340"/>
      <c r="M17" s="340"/>
      <c r="N17" s="340"/>
      <c r="O17" s="340"/>
      <c r="P17" s="340"/>
      <c r="Q17" s="340"/>
    </row>
    <row r="18" spans="1:17" ht="15.75" customHeight="1">
      <c r="A18" s="10"/>
      <c r="B18" s="27" t="s">
        <v>99</v>
      </c>
      <c r="C18" s="333">
        <v>0</v>
      </c>
      <c r="D18" s="58"/>
      <c r="E18" s="269" t="s">
        <v>335</v>
      </c>
      <c r="F18" s="58"/>
      <c r="G18" s="341"/>
      <c r="H18" s="341"/>
      <c r="I18" s="341"/>
      <c r="J18" s="341"/>
      <c r="K18" s="341"/>
      <c r="L18" s="341"/>
      <c r="M18" s="341"/>
      <c r="N18" s="341"/>
      <c r="O18" s="341"/>
      <c r="P18" s="341"/>
      <c r="Q18" s="341"/>
    </row>
    <row r="19" spans="1:17" ht="15.75" customHeight="1">
      <c r="A19" s="10"/>
      <c r="B19" s="31" t="s">
        <v>66</v>
      </c>
      <c r="C19" s="334">
        <f>C16+C17</f>
        <v>4524.9375</v>
      </c>
      <c r="D19" s="27"/>
      <c r="E19" s="267"/>
      <c r="F19" s="27"/>
      <c r="G19" s="339">
        <f>IF(G$4="","",G16+G17)</f>
        <v>-206364</v>
      </c>
      <c r="H19" s="339">
        <f t="shared" ref="H19:Q19" si="9">IF(H$4="","",H16+H17)</f>
        <v>-210974</v>
      </c>
      <c r="I19" s="339">
        <f t="shared" si="9"/>
        <v>-188808</v>
      </c>
      <c r="J19" s="339">
        <f t="shared" si="9"/>
        <v>-165579</v>
      </c>
      <c r="K19" s="339">
        <f t="shared" si="9"/>
        <v>-161515</v>
      </c>
      <c r="L19" s="339">
        <f t="shared" si="9"/>
        <v>-145950</v>
      </c>
      <c r="M19" s="339">
        <f t="shared" si="9"/>
        <v>-163717</v>
      </c>
      <c r="N19" s="339">
        <f t="shared" si="9"/>
        <v>-159877</v>
      </c>
      <c r="O19" s="339">
        <f t="shared" si="9"/>
        <v>-131696</v>
      </c>
      <c r="P19" s="339">
        <f t="shared" si="9"/>
        <v>-160939</v>
      </c>
      <c r="Q19" s="339"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42">
        <f>-C4*C28</f>
        <v>0</v>
      </c>
      <c r="D23" s="58"/>
      <c r="E23" s="269"/>
      <c r="F23" s="58"/>
      <c r="G23" s="338">
        <f>Data!C37</f>
        <v>0</v>
      </c>
      <c r="H23" s="338">
        <f>Data!D37</f>
        <v>0</v>
      </c>
      <c r="I23" s="338">
        <f>Data!E37</f>
        <v>0</v>
      </c>
      <c r="J23" s="338">
        <f>Data!F37</f>
        <v>0</v>
      </c>
      <c r="K23" s="338">
        <f>Data!G37</f>
        <v>0</v>
      </c>
      <c r="L23" s="338">
        <f>Data!H37</f>
        <v>0</v>
      </c>
      <c r="M23" s="338">
        <f>Data!I37</f>
        <v>0</v>
      </c>
      <c r="N23" s="338">
        <f>Data!J37</f>
        <v>0</v>
      </c>
      <c r="O23" s="338">
        <f>Data!K37</f>
        <v>0</v>
      </c>
      <c r="P23" s="338">
        <f>Data!L37</f>
        <v>0</v>
      </c>
      <c r="Q23" s="338" t="str">
        <f>Data!M37</f>
        <v/>
      </c>
    </row>
    <row r="24" spans="1:17" ht="15.75" customHeight="1">
      <c r="A24" s="10"/>
      <c r="B24" s="68" t="s">
        <v>62</v>
      </c>
      <c r="C24" s="333">
        <f>-C4*C29</f>
        <v>0</v>
      </c>
      <c r="D24" s="27"/>
      <c r="E24" s="267"/>
      <c r="F24" s="27"/>
      <c r="G24" s="338">
        <f>Data!C40</f>
        <v>0</v>
      </c>
      <c r="H24" s="338">
        <f>Data!D40</f>
        <v>0</v>
      </c>
      <c r="I24" s="338">
        <f>Data!E40</f>
        <v>0</v>
      </c>
      <c r="J24" s="338">
        <f>Data!F40</f>
        <v>0</v>
      </c>
      <c r="K24" s="338">
        <f>Data!G40</f>
        <v>0</v>
      </c>
      <c r="L24" s="338">
        <f>Data!H40</f>
        <v>0</v>
      </c>
      <c r="M24" s="338">
        <f>Data!I40</f>
        <v>0</v>
      </c>
      <c r="N24" s="338">
        <f>Data!J40</f>
        <v>0</v>
      </c>
      <c r="O24" s="338">
        <f>Data!K40</f>
        <v>0</v>
      </c>
      <c r="P24" s="338">
        <f>Data!L40</f>
        <v>0</v>
      </c>
      <c r="Q24" s="338" t="str">
        <f>Data!M40</f>
        <v/>
      </c>
    </row>
    <row r="25" spans="1:17" ht="15.75" customHeight="1">
      <c r="A25" s="10"/>
      <c r="B25" s="70" t="s">
        <v>46</v>
      </c>
      <c r="C25" s="334">
        <f>C23+C24</f>
        <v>0</v>
      </c>
      <c r="D25" s="9"/>
      <c r="E25" s="275"/>
      <c r="F25" s="9"/>
      <c r="G25" s="334">
        <f t="shared" ref="G25:Q25" si="10">IF(G$4="","",G23+G24)</f>
        <v>0</v>
      </c>
      <c r="H25" s="334">
        <f t="shared" si="10"/>
        <v>0</v>
      </c>
      <c r="I25" s="334">
        <f t="shared" si="10"/>
        <v>0</v>
      </c>
      <c r="J25" s="334">
        <f t="shared" si="10"/>
        <v>0</v>
      </c>
      <c r="K25" s="334">
        <f t="shared" si="10"/>
        <v>0</v>
      </c>
      <c r="L25" s="334">
        <f t="shared" si="10"/>
        <v>0</v>
      </c>
      <c r="M25" s="334">
        <f t="shared" si="10"/>
        <v>0</v>
      </c>
      <c r="N25" s="334">
        <f t="shared" si="10"/>
        <v>0</v>
      </c>
      <c r="O25" s="334">
        <f t="shared" si="10"/>
        <v>0</v>
      </c>
      <c r="P25" s="334">
        <f t="shared" si="10"/>
        <v>0</v>
      </c>
      <c r="Q25" s="334"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v>
      </c>
      <c r="D28" s="26"/>
      <c r="E28" s="268" t="s">
        <v>336</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8"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70"/>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70"/>
    </row>
    <row r="32" spans="1:17" ht="15.75" customHeight="1">
      <c r="A32" s="10"/>
      <c r="B32" s="64" t="s">
        <v>45</v>
      </c>
      <c r="E32" s="270"/>
    </row>
    <row r="33" spans="1:17" ht="15.75" customHeight="1">
      <c r="A33" s="10"/>
      <c r="B33" s="8" t="s">
        <v>175</v>
      </c>
      <c r="C33" s="343">
        <f>AVERAGE(G33:J33)</f>
        <v>-61984.75</v>
      </c>
      <c r="E33" s="268" t="s">
        <v>336</v>
      </c>
      <c r="G33" s="333">
        <f>Data!C41</f>
        <v>-62611</v>
      </c>
      <c r="H33" s="333">
        <f>Data!D41</f>
        <v>-63194</v>
      </c>
      <c r="I33" s="333">
        <f>Data!E41</f>
        <v>-65314</v>
      </c>
      <c r="J33" s="333">
        <f>Data!F41</f>
        <v>-56820</v>
      </c>
      <c r="K33" s="333">
        <f>Data!G41</f>
        <v>-49077</v>
      </c>
      <c r="L33" s="333">
        <f>Data!H41</f>
        <v>-47190</v>
      </c>
      <c r="M33" s="333">
        <f>Data!I41</f>
        <v>-42561</v>
      </c>
      <c r="N33" s="333">
        <f>Data!J41</f>
        <v>-38680</v>
      </c>
      <c r="O33" s="333">
        <f>Data!K41</f>
        <v>-36735</v>
      </c>
      <c r="P33" s="333">
        <f>Data!L41</f>
        <v>-33323</v>
      </c>
      <c r="Q33" s="333" t="str">
        <f>Data!M41</f>
        <v/>
      </c>
    </row>
    <row r="34" spans="1:17" ht="15.75" customHeight="1">
      <c r="A34" s="10"/>
      <c r="B34" s="27" t="s">
        <v>49</v>
      </c>
      <c r="C34" s="343">
        <f>AVERAGE(G34:J34)</f>
        <v>0</v>
      </c>
      <c r="D34" s="58"/>
      <c r="E34" s="268" t="s">
        <v>336</v>
      </c>
      <c r="F34" s="58"/>
      <c r="G34" s="338">
        <f>Data!C42</f>
        <v>0</v>
      </c>
      <c r="H34" s="338">
        <f>Data!D42</f>
        <v>0</v>
      </c>
      <c r="I34" s="338">
        <f>Data!E42</f>
        <v>0</v>
      </c>
      <c r="J34" s="338">
        <f>Data!F42</f>
        <v>0</v>
      </c>
      <c r="K34" s="338">
        <f>Data!G42</f>
        <v>0</v>
      </c>
      <c r="L34" s="338">
        <f>Data!H42</f>
        <v>0</v>
      </c>
      <c r="M34" s="338">
        <f>Data!I42</f>
        <v>0</v>
      </c>
      <c r="N34" s="338">
        <f>Data!J42</f>
        <v>0</v>
      </c>
      <c r="O34" s="338">
        <f>Data!K42</f>
        <v>0</v>
      </c>
      <c r="P34" s="338">
        <f>Data!L42</f>
        <v>0</v>
      </c>
      <c r="Q34" s="338" t="str">
        <f>Data!M42</f>
        <v/>
      </c>
    </row>
    <row r="35" spans="1:17" ht="15.75" customHeight="1">
      <c r="A35" s="10"/>
      <c r="B35" s="70" t="s">
        <v>45</v>
      </c>
      <c r="C35" s="334">
        <f>C33+C34</f>
        <v>-61984.75</v>
      </c>
      <c r="D35" s="58"/>
      <c r="E35" s="269"/>
      <c r="F35" s="58"/>
      <c r="G35" s="334">
        <f t="shared" ref="G35:Q35" si="14">IF(G4="","",G33+G34)</f>
        <v>-62611</v>
      </c>
      <c r="H35" s="334">
        <f t="shared" si="14"/>
        <v>-63194</v>
      </c>
      <c r="I35" s="334">
        <f t="shared" si="14"/>
        <v>-65314</v>
      </c>
      <c r="J35" s="334">
        <f t="shared" si="14"/>
        <v>-56820</v>
      </c>
      <c r="K35" s="334">
        <f t="shared" si="14"/>
        <v>-49077</v>
      </c>
      <c r="L35" s="334">
        <f t="shared" si="14"/>
        <v>-47190</v>
      </c>
      <c r="M35" s="334">
        <f t="shared" si="14"/>
        <v>-42561</v>
      </c>
      <c r="N35" s="334">
        <f t="shared" si="14"/>
        <v>-38680</v>
      </c>
      <c r="O35" s="334">
        <f t="shared" si="14"/>
        <v>-36735</v>
      </c>
      <c r="P35" s="334">
        <f t="shared" si="14"/>
        <v>-33323</v>
      </c>
      <c r="Q35" s="334"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0.91129921491369936</v>
      </c>
      <c r="D38" s="27"/>
      <c r="E38" s="267"/>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70"/>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337</v>
      </c>
      <c r="F43" s="27"/>
      <c r="G43" s="6">
        <f t="shared" ref="G43:Q43" si="18">IF(G$4="","",-G14/SUM(G8+G11,G12))</f>
        <v>-4.9015266048694571E-2</v>
      </c>
      <c r="H43" s="6">
        <f t="shared" si="18"/>
        <v>-3.2758967614018385E-2</v>
      </c>
      <c r="I43" s="6">
        <f t="shared" si="18"/>
        <v>-7.936699547032719E-2</v>
      </c>
      <c r="J43" s="6">
        <f t="shared" si="18"/>
        <v>-7.5149232750786207E-2</v>
      </c>
      <c r="K43" s="6">
        <f t="shared" si="18"/>
        <v>-5.9113950786777905E-2</v>
      </c>
      <c r="L43" s="6">
        <f t="shared" si="18"/>
        <v>-5.6810982048574446E-2</v>
      </c>
      <c r="M43" s="6">
        <f t="shared" si="18"/>
        <v>-4.3722001791885318E-2</v>
      </c>
      <c r="N43" s="6">
        <f t="shared" si="18"/>
        <v>-4.6072844725716239E-2</v>
      </c>
      <c r="O43" s="6">
        <f t="shared" si="18"/>
        <v>-7.8917292243938134E-2</v>
      </c>
      <c r="P43" s="6">
        <f t="shared" si="18"/>
        <v>-8.5150978350529399E-2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33">
        <f>-BS!G31*Normalized_FCF!C54</f>
        <v>0</v>
      </c>
      <c r="E47" s="270"/>
      <c r="G47" s="333">
        <f>Data!C51</f>
        <v>-195728</v>
      </c>
      <c r="H47" s="333">
        <f>Data!D51</f>
        <v>-202576</v>
      </c>
      <c r="I47" s="333">
        <f>Data!E51</f>
        <v>-183473</v>
      </c>
      <c r="J47" s="333">
        <f>Data!F51</f>
        <v>-169479</v>
      </c>
      <c r="K47" s="333">
        <f>Data!G51</f>
        <v>-159963</v>
      </c>
      <c r="L47" s="333">
        <f>Data!H51</f>
        <v>-166689</v>
      </c>
      <c r="M47" s="333">
        <f>Data!I51</f>
        <v>-174921</v>
      </c>
      <c r="N47" s="333">
        <f>Data!J51</f>
        <v>-164193</v>
      </c>
      <c r="O47" s="333">
        <f>Data!K51</f>
        <v>-123960</v>
      </c>
      <c r="P47" s="333">
        <f>Data!L51</f>
        <v>-136138</v>
      </c>
      <c r="Q47" s="333" t="str">
        <f>Data!M51</f>
        <v/>
      </c>
    </row>
    <row r="48" spans="1:17" ht="15.75" customHeight="1">
      <c r="A48" s="10"/>
      <c r="B48" s="2" t="s">
        <v>348</v>
      </c>
      <c r="C48" s="333">
        <f>BS!D75*C53</f>
        <v>0</v>
      </c>
      <c r="E48" s="270"/>
      <c r="G48" s="345">
        <f>IFERROR(IF(G$4="","",($C$48/$C$49)*G49),0)</f>
        <v>0</v>
      </c>
      <c r="H48" s="345">
        <f t="shared" ref="H48:Q48" si="19">IFERROR(IF(H$4="","",($C$48/$C$49)*H49),0)</f>
        <v>0</v>
      </c>
      <c r="I48" s="345">
        <f t="shared" si="19"/>
        <v>0</v>
      </c>
      <c r="J48" s="345">
        <f t="shared" si="19"/>
        <v>0</v>
      </c>
      <c r="K48" s="345">
        <f t="shared" si="19"/>
        <v>0</v>
      </c>
      <c r="L48" s="345">
        <f t="shared" si="19"/>
        <v>0</v>
      </c>
      <c r="M48" s="345">
        <f t="shared" si="19"/>
        <v>0</v>
      </c>
      <c r="N48" s="345">
        <f t="shared" si="19"/>
        <v>0</v>
      </c>
      <c r="O48" s="345">
        <f t="shared" si="19"/>
        <v>0</v>
      </c>
      <c r="P48" s="345">
        <f t="shared" si="19"/>
        <v>0</v>
      </c>
      <c r="Q48" s="345" t="str">
        <f t="shared" si="19"/>
        <v/>
      </c>
    </row>
    <row r="49" spans="1:17" ht="15.75" customHeight="1">
      <c r="A49" s="10"/>
      <c r="B49" s="289" t="s">
        <v>345</v>
      </c>
      <c r="C49" s="344">
        <f>BS!$C$66*C53</f>
        <v>0</v>
      </c>
      <c r="D49" s="290"/>
      <c r="E49" s="291"/>
      <c r="F49" s="290"/>
      <c r="G49" s="344">
        <f>Data!C52</f>
        <v>343835</v>
      </c>
      <c r="H49" s="344">
        <f>Data!D52</f>
        <v>349079</v>
      </c>
      <c r="I49" s="344">
        <f>Data!E52</f>
        <v>328746</v>
      </c>
      <c r="J49" s="344">
        <f>Data!F52</f>
        <v>315158</v>
      </c>
      <c r="K49" s="344">
        <f>Data!G52</f>
        <v>303478</v>
      </c>
      <c r="L49" s="344">
        <f>Data!H52</f>
        <v>269677</v>
      </c>
      <c r="M49" s="344">
        <f>Data!I52</f>
        <v>270578</v>
      </c>
      <c r="N49" s="344">
        <f>Data!J52</f>
        <v>252644</v>
      </c>
      <c r="O49" s="344">
        <f>Data!K52</f>
        <v>236279</v>
      </c>
      <c r="P49" s="344">
        <f>Data!L52</f>
        <v>255972</v>
      </c>
      <c r="Q49" s="344" t="str">
        <f>Data!M52</f>
        <v/>
      </c>
    </row>
    <row r="50" spans="1:17" ht="15.75" customHeight="1">
      <c r="A50" s="10"/>
      <c r="B50" s="70" t="s">
        <v>68</v>
      </c>
      <c r="C50" s="334">
        <f>C47+C48</f>
        <v>0</v>
      </c>
      <c r="E50" s="270"/>
      <c r="G50" s="334">
        <f>IF(G$4="","",(G47+G48))</f>
        <v>-195728</v>
      </c>
      <c r="H50" s="334">
        <f t="shared" ref="H50:Q50" si="20">IF(H$4="","",(H47+H48))</f>
        <v>-202576</v>
      </c>
      <c r="I50" s="334">
        <f t="shared" si="20"/>
        <v>-183473</v>
      </c>
      <c r="J50" s="334">
        <f t="shared" si="20"/>
        <v>-169479</v>
      </c>
      <c r="K50" s="334">
        <f t="shared" si="20"/>
        <v>-159963</v>
      </c>
      <c r="L50" s="334">
        <f t="shared" si="20"/>
        <v>-166689</v>
      </c>
      <c r="M50" s="334">
        <f t="shared" si="20"/>
        <v>-174921</v>
      </c>
      <c r="N50" s="334">
        <f t="shared" si="20"/>
        <v>-164193</v>
      </c>
      <c r="O50" s="334">
        <f t="shared" si="20"/>
        <v>-123960</v>
      </c>
      <c r="P50" s="334">
        <f t="shared" si="20"/>
        <v>-136138</v>
      </c>
      <c r="Q50" s="334"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0</v>
      </c>
      <c r="E53" s="267" t="s">
        <v>338</v>
      </c>
      <c r="G53" s="6">
        <f>IF(Normalized_FCF!G4="","",Normalized_FCF!G49/BS!$C$66)</f>
        <v>171917.5</v>
      </c>
      <c r="H53" s="169"/>
      <c r="I53" s="169"/>
      <c r="J53" s="169"/>
      <c r="K53" s="169"/>
      <c r="L53" s="169"/>
      <c r="M53" s="169"/>
      <c r="N53" s="169"/>
      <c r="O53" s="169"/>
      <c r="P53" s="169"/>
      <c r="Q53" s="169"/>
    </row>
    <row r="54" spans="1:17" ht="15.75" customHeight="1">
      <c r="A54" s="10"/>
      <c r="B54" s="8" t="s">
        <v>88</v>
      </c>
      <c r="C54" s="82">
        <f>G54</f>
        <v>0</v>
      </c>
      <c r="E54" s="267" t="s">
        <v>339</v>
      </c>
      <c r="G54" s="23">
        <f>IFERROR(ABS(Normalized_FCF!G47/BS!$G$31),0)</f>
        <v>0</v>
      </c>
      <c r="H54" s="169"/>
      <c r="I54" s="169"/>
      <c r="J54" s="169"/>
      <c r="K54" s="169"/>
      <c r="L54" s="169"/>
      <c r="M54" s="169"/>
      <c r="N54" s="169"/>
      <c r="O54" s="169"/>
      <c r="P54" s="169"/>
      <c r="Q54" s="169"/>
    </row>
    <row r="55" spans="1:17" ht="15.75" customHeight="1">
      <c r="A55" s="10"/>
      <c r="B55" s="26" t="s">
        <v>91</v>
      </c>
      <c r="C55" s="42" t="e">
        <f>-C8/C47</f>
        <v>#DIV/0!</v>
      </c>
      <c r="E55" s="270"/>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33">
        <f>BS!$C67*C66</f>
        <v>0</v>
      </c>
      <c r="E58" s="270"/>
      <c r="G58" s="333">
        <f>Data!C56</f>
        <v>0</v>
      </c>
      <c r="H58" s="333">
        <f>Data!D56</f>
        <v>0</v>
      </c>
      <c r="I58" s="333">
        <f>Data!E56</f>
        <v>0</v>
      </c>
      <c r="J58" s="333">
        <f>Data!F56</f>
        <v>0</v>
      </c>
      <c r="K58" s="333">
        <f>Data!G56</f>
        <v>0</v>
      </c>
      <c r="L58" s="333">
        <f>Data!H56</f>
        <v>0</v>
      </c>
      <c r="M58" s="333">
        <f>Data!I56</f>
        <v>0</v>
      </c>
      <c r="N58" s="333">
        <f>Data!J56</f>
        <v>0</v>
      </c>
      <c r="O58" s="333">
        <f>Data!K56</f>
        <v>0</v>
      </c>
      <c r="P58" s="333">
        <f>Data!L56</f>
        <v>0</v>
      </c>
      <c r="Q58" s="333" t="str">
        <f>Data!M56</f>
        <v/>
      </c>
    </row>
    <row r="59" spans="1:17" ht="15.75" customHeight="1">
      <c r="A59" s="10"/>
      <c r="B59" s="40" t="s">
        <v>160</v>
      </c>
      <c r="C59" s="333">
        <f>BS!$C68*C67</f>
        <v>0</v>
      </c>
      <c r="E59" s="270"/>
      <c r="G59" s="333">
        <f>Data!C55</f>
        <v>0</v>
      </c>
      <c r="H59" s="333">
        <f>Data!D55</f>
        <v>0</v>
      </c>
      <c r="I59" s="333">
        <f>Data!E55</f>
        <v>0</v>
      </c>
      <c r="J59" s="333">
        <f>Data!F55</f>
        <v>0</v>
      </c>
      <c r="K59" s="333">
        <f>Data!G55</f>
        <v>0</v>
      </c>
      <c r="L59" s="333">
        <f>Data!H55</f>
        <v>0</v>
      </c>
      <c r="M59" s="333">
        <f>Data!I55</f>
        <v>0</v>
      </c>
      <c r="N59" s="333">
        <f>Data!J55</f>
        <v>0</v>
      </c>
      <c r="O59" s="333">
        <f>Data!K55</f>
        <v>0</v>
      </c>
      <c r="P59" s="333">
        <f>Data!L55</f>
        <v>0</v>
      </c>
      <c r="Q59" s="333" t="str">
        <f>Data!M55</f>
        <v/>
      </c>
    </row>
    <row r="60" spans="1:17" ht="15.75" customHeight="1">
      <c r="A60" s="10"/>
      <c r="B60" s="40" t="s">
        <v>159</v>
      </c>
      <c r="C60" s="333">
        <f>BS!$C69*C68</f>
        <v>0</v>
      </c>
      <c r="E60" s="270"/>
      <c r="G60" s="333">
        <f>Data!C57</f>
        <v>0</v>
      </c>
      <c r="H60" s="333">
        <f>Data!D57</f>
        <v>0</v>
      </c>
      <c r="I60" s="333">
        <f>Data!E57</f>
        <v>0</v>
      </c>
      <c r="J60" s="333">
        <f>Data!F57</f>
        <v>0</v>
      </c>
      <c r="K60" s="333">
        <f>Data!G57</f>
        <v>0</v>
      </c>
      <c r="L60" s="333">
        <f>Data!H57</f>
        <v>0</v>
      </c>
      <c r="M60" s="333">
        <f>Data!I57</f>
        <v>0</v>
      </c>
      <c r="N60" s="333">
        <f>Data!J57</f>
        <v>0</v>
      </c>
      <c r="O60" s="333">
        <f>Data!K57</f>
        <v>0</v>
      </c>
      <c r="P60" s="333">
        <f>Data!L57</f>
        <v>0</v>
      </c>
      <c r="Q60" s="333" t="str">
        <f>Data!M57</f>
        <v/>
      </c>
    </row>
    <row r="61" spans="1:17" ht="15.75" customHeight="1">
      <c r="A61" s="10"/>
      <c r="B61" s="31" t="s">
        <v>195</v>
      </c>
      <c r="C61" s="334">
        <f>SUM(C58:C60)</f>
        <v>0</v>
      </c>
      <c r="E61" s="270"/>
      <c r="G61" s="334">
        <f t="shared" ref="G61:Q61" si="22">IF(G4="","",SUM(G58:G60))</f>
        <v>0</v>
      </c>
      <c r="H61" s="334">
        <f t="shared" si="22"/>
        <v>0</v>
      </c>
      <c r="I61" s="334">
        <f t="shared" si="22"/>
        <v>0</v>
      </c>
      <c r="J61" s="334">
        <f t="shared" si="22"/>
        <v>0</v>
      </c>
      <c r="K61" s="334">
        <f t="shared" si="22"/>
        <v>0</v>
      </c>
      <c r="L61" s="334">
        <f t="shared" si="22"/>
        <v>0</v>
      </c>
      <c r="M61" s="334">
        <f t="shared" si="22"/>
        <v>0</v>
      </c>
      <c r="N61" s="334">
        <f t="shared" si="22"/>
        <v>0</v>
      </c>
      <c r="O61" s="334">
        <f t="shared" si="22"/>
        <v>0</v>
      </c>
      <c r="P61" s="334">
        <f t="shared" si="22"/>
        <v>0</v>
      </c>
      <c r="Q61" s="334" t="str">
        <f t="shared" si="22"/>
        <v/>
      </c>
    </row>
    <row r="62" spans="1:17" ht="15.75" customHeight="1">
      <c r="A62" s="10"/>
      <c r="B62" s="40" t="s">
        <v>161</v>
      </c>
      <c r="C62" s="346">
        <v>0</v>
      </c>
      <c r="E62" s="268" t="s">
        <v>340</v>
      </c>
      <c r="G62" s="333">
        <f>Data!C58</f>
        <v>-60266</v>
      </c>
      <c r="H62" s="333">
        <f>Data!D58</f>
        <v>-60989</v>
      </c>
      <c r="I62" s="333">
        <f>Data!E58</f>
        <v>-48561</v>
      </c>
      <c r="J62" s="333">
        <f>Data!F58</f>
        <v>-66899</v>
      </c>
      <c r="K62" s="333">
        <f>Data!G58</f>
        <v>-75337</v>
      </c>
      <c r="L62" s="333">
        <f>Data!H58</f>
        <v>-57859</v>
      </c>
      <c r="M62" s="333">
        <f>Data!I58</f>
        <v>-46241</v>
      </c>
      <c r="N62" s="333">
        <f>Data!J58</f>
        <v>-35567</v>
      </c>
      <c r="O62" s="333">
        <f>Data!K58</f>
        <v>-50733</v>
      </c>
      <c r="P62" s="333">
        <f>Data!L58</f>
        <v>-44826</v>
      </c>
      <c r="Q62" s="333" t="str">
        <f>Data!M58</f>
        <v/>
      </c>
    </row>
    <row r="63" spans="1:17" ht="15.75" customHeight="1">
      <c r="A63" s="10"/>
      <c r="B63" s="31" t="s">
        <v>196</v>
      </c>
      <c r="C63" s="334">
        <f>C61+C62</f>
        <v>0</v>
      </c>
      <c r="E63" s="270"/>
      <c r="G63" s="334">
        <f t="shared" ref="G63:Q63" si="23">IF(G4="","",G61+G62)</f>
        <v>-60266</v>
      </c>
      <c r="H63" s="334">
        <f t="shared" si="23"/>
        <v>-60989</v>
      </c>
      <c r="I63" s="334">
        <f t="shared" si="23"/>
        <v>-48561</v>
      </c>
      <c r="J63" s="334">
        <f t="shared" si="23"/>
        <v>-66899</v>
      </c>
      <c r="K63" s="334">
        <f t="shared" si="23"/>
        <v>-75337</v>
      </c>
      <c r="L63" s="334">
        <f t="shared" si="23"/>
        <v>-57859</v>
      </c>
      <c r="M63" s="334">
        <f t="shared" si="23"/>
        <v>-46241</v>
      </c>
      <c r="N63" s="334">
        <f t="shared" si="23"/>
        <v>-35567</v>
      </c>
      <c r="O63" s="334">
        <f t="shared" si="23"/>
        <v>-50733</v>
      </c>
      <c r="P63" s="334">
        <f t="shared" si="23"/>
        <v>-44826</v>
      </c>
      <c r="Q63" s="334"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v>
      </c>
      <c r="D73" s="27"/>
      <c r="E73" s="267"/>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7"/>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7"/>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7"/>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8" t="s">
        <v>357</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67"/>
      <c r="F80" s="27"/>
      <c r="G80" s="6">
        <f t="shared" ref="G80:Q80" si="31">IF(G$4="","",ABS(G12/G$4))</f>
        <v>3.1625141379867507</v>
      </c>
      <c r="H80" s="6">
        <f t="shared" si="31"/>
        <v>3.2668806141044042</v>
      </c>
      <c r="I80" s="6">
        <f t="shared" si="31"/>
        <v>2.4520936075805566</v>
      </c>
      <c r="J80" s="6">
        <f t="shared" si="31"/>
        <v>2.3105521472392638</v>
      </c>
      <c r="K80" s="6">
        <f t="shared" si="31"/>
        <v>2.7802245550611793</v>
      </c>
      <c r="L80" s="6">
        <f t="shared" si="31"/>
        <v>2.1771197952040122</v>
      </c>
      <c r="M80" s="6">
        <f t="shared" si="31"/>
        <v>2.8571591911404397</v>
      </c>
      <c r="N80" s="6">
        <f t="shared" si="31"/>
        <v>3.2481948208668818</v>
      </c>
      <c r="O80" s="6">
        <f t="shared" si="31"/>
        <v>3.1724420330654657</v>
      </c>
      <c r="P80" s="6">
        <f t="shared" si="31"/>
        <v>6.3146713669465191</v>
      </c>
      <c r="Q80" s="6" t="str">
        <f t="shared" si="31"/>
        <v/>
      </c>
    </row>
    <row r="81" spans="1:17" ht="15.75" customHeight="1">
      <c r="A81" s="10"/>
      <c r="B81" s="70" t="s">
        <v>165</v>
      </c>
      <c r="C81" s="78">
        <f>C13/C4</f>
        <v>8.8700785086300679E-2</v>
      </c>
      <c r="D81" s="27"/>
      <c r="E81" s="267"/>
      <c r="F81" s="27"/>
      <c r="G81" s="65">
        <f t="shared" ref="G81:Q81" si="32">IF(G$4="","",G13/G$4)</f>
        <v>-3.1741638390693163</v>
      </c>
      <c r="H81" s="65">
        <f t="shared" si="32"/>
        <v>-3.2859907432792013</v>
      </c>
      <c r="I81" s="65">
        <f t="shared" si="32"/>
        <v>-2.3250070165590793</v>
      </c>
      <c r="J81" s="65">
        <f t="shared" si="32"/>
        <v>-2.08519427402863</v>
      </c>
      <c r="K81" s="65">
        <f t="shared" si="32"/>
        <v>-2.6332035595105672</v>
      </c>
      <c r="L81" s="65">
        <f t="shared" si="32"/>
        <v>-1.7934669035055639</v>
      </c>
      <c r="M81" s="65">
        <f t="shared" si="32"/>
        <v>-2.5523504622521318</v>
      </c>
      <c r="N81" s="65">
        <f t="shared" si="32"/>
        <v>-3.0133929454588615</v>
      </c>
      <c r="O81" s="65">
        <f t="shared" si="32"/>
        <v>-3.1125812560782107</v>
      </c>
      <c r="P81" s="65">
        <f t="shared" si="32"/>
        <v>-6.8603367503130945</v>
      </c>
      <c r="Q81" s="65" t="str">
        <f t="shared" si="32"/>
        <v/>
      </c>
    </row>
    <row r="82" spans="1:17" ht="15.75" customHeight="1">
      <c r="A82" s="10"/>
      <c r="B82" s="2" t="s">
        <v>63</v>
      </c>
      <c r="C82" s="77">
        <f>ABS(C14/C$4)</f>
        <v>2.217519627157517E-2</v>
      </c>
      <c r="D82" s="27"/>
      <c r="E82" s="267"/>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6">
        <f>MIN(BS!C62,MAX(G83:K83))</f>
        <v>0</v>
      </c>
      <c r="D83" s="27"/>
      <c r="E83" s="267"/>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6.652558881472552E-2</v>
      </c>
      <c r="D84" s="27"/>
      <c r="E84" s="267"/>
      <c r="F84" s="27"/>
      <c r="G84" s="65">
        <f t="shared" ref="G84:Q84" si="35">IF(G$4="","",ABS(G16/G$4))</f>
        <v>3.3343674260785265</v>
      </c>
      <c r="H84" s="65">
        <f t="shared" si="35"/>
        <v>3.4023125675305197</v>
      </c>
      <c r="I84" s="65">
        <f t="shared" si="35"/>
        <v>2.5233952127019768</v>
      </c>
      <c r="J84" s="65">
        <f t="shared" si="35"/>
        <v>2.2573824130879347</v>
      </c>
      <c r="K84" s="65">
        <f t="shared" si="35"/>
        <v>2.8071989710789764</v>
      </c>
      <c r="L84" s="65">
        <f t="shared" si="35"/>
        <v>1.9062483673789248</v>
      </c>
      <c r="M84" s="65">
        <f t="shared" si="35"/>
        <v>2.6741530822253439</v>
      </c>
      <c r="N84" s="65">
        <f t="shared" si="35"/>
        <v>3.1628123207185106</v>
      </c>
      <c r="O84" s="65">
        <f t="shared" si="35"/>
        <v>3.3704253467779086</v>
      </c>
      <c r="P84" s="65">
        <f t="shared" si="35"/>
        <v>7.4650493993227887</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6.652558881472552E-2</v>
      </c>
      <c r="D87" s="75"/>
      <c r="E87" s="267"/>
      <c r="F87" s="75"/>
      <c r="G87" s="65">
        <f t="shared" ref="G87:Q87" si="36">IF(G$4="","",ABS(G19/G$4))</f>
        <v>3.3343674260785265</v>
      </c>
      <c r="H87" s="65">
        <f t="shared" si="36"/>
        <v>3.4023125675305197</v>
      </c>
      <c r="I87" s="65">
        <f t="shared" si="36"/>
        <v>2.5233952127019768</v>
      </c>
      <c r="J87" s="65">
        <f t="shared" si="36"/>
        <v>2.2573824130879347</v>
      </c>
      <c r="K87" s="65">
        <f t="shared" si="36"/>
        <v>2.8071989710789764</v>
      </c>
      <c r="L87" s="65">
        <f t="shared" si="36"/>
        <v>1.9062483673789248</v>
      </c>
      <c r="M87" s="65">
        <f t="shared" si="36"/>
        <v>2.6741530822253439</v>
      </c>
      <c r="N87" s="65">
        <f t="shared" si="36"/>
        <v>3.1628123207185106</v>
      </c>
      <c r="O87" s="65">
        <f t="shared" si="36"/>
        <v>3.3704253467779086</v>
      </c>
      <c r="P87" s="65">
        <f t="shared" si="36"/>
        <v>7.4650493993227887</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1.06</v>
      </c>
      <c r="E90" s="270"/>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70"/>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4.8665357130391307</v>
      </c>
      <c r="E92" s="270"/>
      <c r="G92" s="170">
        <f t="shared" ref="G92:Q92" si="38">IF(G$4="","",G90/(G19*scaling_factor/Common_Shares))</f>
        <v>-0.10670838878399334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311</v>
      </c>
      <c r="C93" s="23">
        <f>C90/Market_Price</f>
        <v>4.6696035242290754E-2</v>
      </c>
      <c r="E93" s="270"/>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9.9014380352237863E-2</v>
      </c>
      <c r="D96" s="27"/>
      <c r="E96" s="267"/>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-1.0307115332732668</v>
      </c>
      <c r="D97" s="27"/>
      <c r="E97" s="267"/>
      <c r="F97" s="27"/>
      <c r="G97" s="6">
        <f t="shared" ref="G97:Q97" si="41">IF(H5="","",G13/H13-1)</f>
        <v>-3.5885179205049078E-2</v>
      </c>
      <c r="H97" s="6">
        <f t="shared" si="41"/>
        <v>0.17128256420868682</v>
      </c>
      <c r="I97" s="6">
        <f t="shared" si="41"/>
        <v>0.13739874075672276</v>
      </c>
      <c r="J97" s="6">
        <f t="shared" si="41"/>
        <v>9.5377019748652536E-3</v>
      </c>
      <c r="K97" s="6">
        <f t="shared" si="41"/>
        <v>0.10333175545279105</v>
      </c>
      <c r="L97" s="6">
        <f t="shared" si="41"/>
        <v>-0.12124024062460004</v>
      </c>
      <c r="M97" s="6">
        <f t="shared" si="41"/>
        <v>2.5839657572017449E-2</v>
      </c>
      <c r="N97" s="6">
        <f t="shared" si="41"/>
        <v>0.25244817917958251</v>
      </c>
      <c r="O97" s="6">
        <f t="shared" si="41"/>
        <v>-0.17769198523346541</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47">
        <f>BS!G32</f>
        <v>4</v>
      </c>
      <c r="D101" s="26"/>
      <c r="E101" s="271"/>
      <c r="F101" s="26"/>
      <c r="G101" s="338">
        <f t="shared" ref="G101:Q101" si="42">IF(G$4="","",G105+G104)</f>
        <v>4</v>
      </c>
      <c r="H101" s="338">
        <f t="shared" si="42"/>
        <v>10158326</v>
      </c>
      <c r="I101" s="338">
        <f t="shared" si="42"/>
        <v>9266671</v>
      </c>
      <c r="J101" s="338">
        <f t="shared" si="42"/>
        <v>8603024</v>
      </c>
      <c r="K101" s="338">
        <f t="shared" si="42"/>
        <v>7894000</v>
      </c>
      <c r="L101" s="338">
        <f t="shared" si="42"/>
        <v>7145681</v>
      </c>
      <c r="M101" s="338">
        <f t="shared" si="42"/>
        <v>6711657</v>
      </c>
      <c r="N101" s="338">
        <f t="shared" si="42"/>
        <v>6416842</v>
      </c>
      <c r="O101" s="338">
        <f t="shared" si="42"/>
        <v>6085895</v>
      </c>
      <c r="P101" s="338">
        <f t="shared" si="42"/>
        <v>5298880</v>
      </c>
      <c r="Q101" s="338" t="str">
        <f t="shared" si="42"/>
        <v/>
      </c>
    </row>
    <row r="102" spans="1:17" ht="15.75" customHeight="1">
      <c r="A102" s="10"/>
      <c r="B102" s="93" t="s">
        <v>211</v>
      </c>
      <c r="C102" s="348">
        <f>BS!C4</f>
        <v>0</v>
      </c>
      <c r="D102" s="89"/>
      <c r="E102" s="272"/>
      <c r="F102" s="89"/>
      <c r="G102" s="349">
        <f>IF(G$4="","",Data!D77)</f>
        <v>0</v>
      </c>
      <c r="H102" s="349">
        <f>IF(H$4="","",Data!E77)</f>
        <v>0</v>
      </c>
      <c r="I102" s="349">
        <f>IF(I$4="","",Data!F77)</f>
        <v>0</v>
      </c>
      <c r="J102" s="349">
        <f>IF(J$4="","",Data!G77)</f>
        <v>0</v>
      </c>
      <c r="K102" s="349">
        <f>IF(K$4="","",Data!H77)</f>
        <v>0</v>
      </c>
      <c r="L102" s="349">
        <f>IF(L$4="","",Data!I77)</f>
        <v>0</v>
      </c>
      <c r="M102" s="349">
        <f>IF(M$4="","",Data!J77)</f>
        <v>0</v>
      </c>
      <c r="N102" s="349">
        <f>IF(N$4="","",Data!K77)</f>
        <v>0</v>
      </c>
      <c r="O102" s="349">
        <f>IF(O$4="","",Data!L77)</f>
        <v>0</v>
      </c>
      <c r="P102" s="349">
        <f>IF(P$4="","",Data!M77)</f>
        <v>0</v>
      </c>
      <c r="Q102" s="349" t="str">
        <f>IF(Q$4="","",Data!N77)</f>
        <v/>
      </c>
    </row>
    <row r="103" spans="1:17" ht="15.75" customHeight="1">
      <c r="A103" s="10"/>
      <c r="B103" s="93" t="s">
        <v>212</v>
      </c>
      <c r="C103" s="348">
        <f>BS!C6+BS!C7</f>
        <v>0</v>
      </c>
      <c r="D103" s="89"/>
      <c r="E103" s="272"/>
      <c r="F103" s="89"/>
      <c r="G103" s="349">
        <f>IF(G$4="","",Data!D78)</f>
        <v>0</v>
      </c>
      <c r="H103" s="349">
        <f>IF(H$4="","",Data!E78)</f>
        <v>0</v>
      </c>
      <c r="I103" s="349">
        <f>IF(I$4="","",Data!F78)</f>
        <v>0</v>
      </c>
      <c r="J103" s="349">
        <f>IF(J$4="","",Data!G78)</f>
        <v>0</v>
      </c>
      <c r="K103" s="349">
        <f>IF(K$4="","",Data!H78)</f>
        <v>0</v>
      </c>
      <c r="L103" s="349">
        <f>IF(L$4="","",Data!I78)</f>
        <v>0</v>
      </c>
      <c r="M103" s="349">
        <f>IF(M$4="","",Data!J78)</f>
        <v>0</v>
      </c>
      <c r="N103" s="349">
        <f>IF(N$4="","",Data!K78)</f>
        <v>0</v>
      </c>
      <c r="O103" s="349">
        <f>IF(O$4="","",Data!L78)</f>
        <v>0</v>
      </c>
      <c r="P103" s="349">
        <f>IF(P$4="","",Data!M78)</f>
        <v>0</v>
      </c>
      <c r="Q103" s="349" t="str">
        <f>IF(Q$4="","",Data!N78)</f>
        <v/>
      </c>
    </row>
    <row r="104" spans="1:17" ht="15.75" customHeight="1">
      <c r="A104" s="10"/>
      <c r="B104" s="26" t="s">
        <v>40</v>
      </c>
      <c r="C104" s="347">
        <f>BS!G30</f>
        <v>1</v>
      </c>
      <c r="D104" s="26"/>
      <c r="E104" s="271"/>
      <c r="F104" s="26"/>
      <c r="G104" s="338">
        <f>Data!C79</f>
        <v>1</v>
      </c>
      <c r="H104" s="338">
        <f>Data!D79</f>
        <v>9350607</v>
      </c>
      <c r="I104" s="338">
        <f>Data!E79</f>
        <v>8509373</v>
      </c>
      <c r="J104" s="338">
        <f>Data!F79</f>
        <v>7908726</v>
      </c>
      <c r="K104" s="338">
        <f>Data!G79</f>
        <v>7269197</v>
      </c>
      <c r="L104" s="338">
        <f>Data!H79</f>
        <v>6596029</v>
      </c>
      <c r="M104" s="338">
        <f>Data!I79</f>
        <v>6239073</v>
      </c>
      <c r="N104" s="338">
        <f>Data!J79</f>
        <v>5994090</v>
      </c>
      <c r="O104" s="338">
        <f>Data!K79</f>
        <v>5731485</v>
      </c>
      <c r="P104" s="338">
        <f>Data!L79</f>
        <v>4981503</v>
      </c>
      <c r="Q104" s="338" t="str">
        <f>Data!M79</f>
        <v/>
      </c>
    </row>
    <row r="105" spans="1:17" ht="15.75" customHeight="1">
      <c r="A105" s="10"/>
      <c r="B105" s="26" t="s">
        <v>30</v>
      </c>
      <c r="C105" s="347">
        <f>BS!G27</f>
        <v>3</v>
      </c>
      <c r="D105" s="26"/>
      <c r="E105" s="271"/>
      <c r="F105" s="26"/>
      <c r="G105" s="338">
        <f>Data!C80</f>
        <v>3</v>
      </c>
      <c r="H105" s="338">
        <f>Data!D80</f>
        <v>807719</v>
      </c>
      <c r="I105" s="338">
        <f>Data!E80</f>
        <v>757298</v>
      </c>
      <c r="J105" s="338">
        <f>Data!F80</f>
        <v>694298</v>
      </c>
      <c r="K105" s="338">
        <f>Data!G80</f>
        <v>624803</v>
      </c>
      <c r="L105" s="338">
        <f>Data!H80</f>
        <v>549652</v>
      </c>
      <c r="M105" s="338">
        <f>Data!I80</f>
        <v>472584</v>
      </c>
      <c r="N105" s="338">
        <f>Data!J80</f>
        <v>422752</v>
      </c>
      <c r="O105" s="338">
        <f>Data!K80</f>
        <v>354410</v>
      </c>
      <c r="P105" s="338">
        <f>Data!L80</f>
        <v>317377</v>
      </c>
      <c r="Q105" s="338"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71"/>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395</v>
      </c>
      <c r="C113" s="169"/>
      <c r="E113" s="270"/>
      <c r="G113" s="297">
        <f>IF(G$4="","",Data!C$22/Data!C15)</f>
        <v>-3.0617491063478339</v>
      </c>
      <c r="H113" s="297">
        <f>IF(H$4="","",Data!D$22/Data!D15)</f>
        <v>5.5839621912586601</v>
      </c>
      <c r="I113" s="297">
        <f>IF(I$4="","",Data!E$22/Data!E15)</f>
        <v>-3.7287315774666174</v>
      </c>
      <c r="J113" s="297">
        <f>IF(J$4="","",Data!F$22/Data!F15)</f>
        <v>-4.6503173618402212</v>
      </c>
      <c r="K113" s="297">
        <f>IF(K$4="","",Data!G$22/Data!G15)</f>
        <v>-0.50572538821825919</v>
      </c>
      <c r="L113" s="297">
        <f>IF(L$4="","",Data!H$22/Data!H15)</f>
        <v>-8.8154628047135013</v>
      </c>
      <c r="M113" s="297">
        <f>IF(M$4="","",Data!I$22/Data!I15)</f>
        <v>-5.8143358641521754</v>
      </c>
      <c r="N113" s="297">
        <f>IF(N$4="","",Data!J$22/Data!J15)</f>
        <v>-2.817043387892959</v>
      </c>
      <c r="O113" s="297">
        <f>IF(O$4="","",Data!K$22/Data!K15)</f>
        <v>3.7369447972463048</v>
      </c>
      <c r="P113" s="297">
        <f>IF(P$4="","",Data!L$22/Data!L15)</f>
        <v>16.163731490621917</v>
      </c>
      <c r="Q113" s="297" t="str">
        <f>IF(Q$4="","",Data!M$22/Data!M15)</f>
        <v/>
      </c>
    </row>
    <row r="114" spans="1:17" ht="15.75" customHeight="1">
      <c r="A114" s="10"/>
      <c r="B114" s="2" t="s">
        <v>396</v>
      </c>
      <c r="C114" s="169"/>
      <c r="E114" s="270"/>
      <c r="G114" s="297">
        <f>IF(G$4="","",Data!C$22/G19)</f>
        <v>1.1497063441297901</v>
      </c>
      <c r="H114" s="297">
        <f>IF(H$4="","",Data!D$22/H19)</f>
        <v>-2.055310133002171</v>
      </c>
      <c r="I114" s="297">
        <f>IF(I$4="","",Data!E$22/I19)</f>
        <v>1.825065675183255</v>
      </c>
      <c r="J114" s="297">
        <f>IF(J$4="","",Data!F$22/J19)</f>
        <v>2.3539881265136278</v>
      </c>
      <c r="K114" s="297">
        <f>IF(K$4="","",Data!G$22/K19)</f>
        <v>0.21191839767204285</v>
      </c>
      <c r="L114" s="297">
        <f>IF(L$4="","",Data!H$22/L19)</f>
        <v>4.0288386433710173</v>
      </c>
      <c r="M114" s="297">
        <f>IF(M$4="","",Data!I$22/M19)</f>
        <v>2.175088720169561</v>
      </c>
      <c r="N114" s="297">
        <f>IF(N$4="","",Data!J$22/N19)</f>
        <v>1.0172945451816084</v>
      </c>
      <c r="O114" s="297">
        <f>IF(O$4="","",Data!K$22/O19)</f>
        <v>-1.5415578301542947</v>
      </c>
      <c r="P114" s="297">
        <f>IF(P$4="","",Data!L$22/P19)</f>
        <v>-5.0869770534177547</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8.8700785086300679E-2</v>
      </c>
      <c r="E117" s="270"/>
      <c r="G117" s="23">
        <f t="shared" ref="G117:Q117" si="45">G81</f>
        <v>-3.1741638390693163</v>
      </c>
      <c r="H117" s="23">
        <f t="shared" si="45"/>
        <v>-3.2859907432792013</v>
      </c>
      <c r="I117" s="23">
        <f t="shared" si="45"/>
        <v>-2.3250070165590793</v>
      </c>
      <c r="J117" s="23">
        <f t="shared" si="45"/>
        <v>-2.08519427402863</v>
      </c>
      <c r="K117" s="23">
        <f t="shared" si="45"/>
        <v>-2.6332035595105672</v>
      </c>
      <c r="L117" s="23">
        <f t="shared" si="45"/>
        <v>-1.7934669035055639</v>
      </c>
      <c r="M117" s="23">
        <f t="shared" si="45"/>
        <v>-2.5523504622521318</v>
      </c>
      <c r="N117" s="23">
        <f t="shared" si="45"/>
        <v>-3.0133929454588615</v>
      </c>
      <c r="O117" s="23">
        <f t="shared" si="45"/>
        <v>-3.1125812560782107</v>
      </c>
      <c r="P117" s="23">
        <f t="shared" si="45"/>
        <v>-6.8603367503130945</v>
      </c>
      <c r="Q117" s="23" t="str">
        <f t="shared" si="45"/>
        <v/>
      </c>
    </row>
    <row r="118" spans="1:17" ht="15.75" customHeight="1">
      <c r="B118" s="7" t="s">
        <v>84</v>
      </c>
      <c r="C118" s="42">
        <f>C4/C101</f>
        <v>17004.5</v>
      </c>
      <c r="E118" s="270"/>
      <c r="G118" s="42">
        <f t="shared" ref="G118:Q118" si="46">IF(G4="","",G4/G101)</f>
        <v>15472.5</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1.3333333333333333</v>
      </c>
      <c r="D119" s="11"/>
      <c r="E119" s="274"/>
      <c r="F119" s="11"/>
      <c r="G119" s="15">
        <f t="shared" ref="G119:Q119" si="47">IF(G$4="","",G101/G105)</f>
        <v>1.3333333333333333</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C8/C105</f>
        <v>2011.0833333333333</v>
      </c>
      <c r="D120" s="103"/>
      <c r="E120" s="273"/>
      <c r="F120" s="103"/>
      <c r="G120" s="102">
        <f t="shared" ref="G120:Q120" si="48">IF(G$4="","",G8/G105)</f>
        <v>-240.33333333333334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0.21781408018025919</v>
      </c>
      <c r="D124" s="27"/>
      <c r="E124" s="267"/>
      <c r="F124" s="27"/>
      <c r="G124" s="177">
        <f t="shared" ref="G124:Q124" si="49">IF(G$4="","",G16*$C$3/Common_Shares*Exchange_Rate)</f>
        <v>-9.9336145178400823</v>
      </c>
      <c r="H124" s="177">
        <f t="shared" si="49"/>
        <v>-10.15552319826517</v>
      </c>
      <c r="I124" s="177">
        <f t="shared" si="49"/>
        <v>-9.088532350043371</v>
      </c>
      <c r="J124" s="177">
        <f t="shared" si="49"/>
        <v>-7.9703725371161784</v>
      </c>
      <c r="K124" s="177">
        <f t="shared" si="49"/>
        <v>-7.7747463164551034</v>
      </c>
      <c r="L124" s="177">
        <f t="shared" si="49"/>
        <v>-7.0255036676879694</v>
      </c>
      <c r="M124" s="177">
        <f t="shared" si="49"/>
        <v>-7.8807426102286486</v>
      </c>
      <c r="N124" s="177">
        <f t="shared" si="49"/>
        <v>-7.6958989371630659</v>
      </c>
      <c r="O124" s="177">
        <f t="shared" si="49"/>
        <v>-6.3393678041783819</v>
      </c>
      <c r="P124" s="177">
        <f t="shared" si="49"/>
        <v>-7.7470197654952662</v>
      </c>
      <c r="Q124" s="177" t="str">
        <f t="shared" si="49"/>
        <v/>
      </c>
    </row>
    <row r="125" spans="1:17" ht="15.75" customHeight="1">
      <c r="A125" s="10"/>
      <c r="B125" s="27" t="s">
        <v>270</v>
      </c>
      <c r="C125" s="77">
        <f>C19*Exchange_Rate*$C$3/(Market_Price*Common_Shares)</f>
        <v>9.5953339286457811E-3</v>
      </c>
      <c r="D125" s="27"/>
      <c r="E125" s="267"/>
      <c r="F125" s="27"/>
      <c r="G125" s="77">
        <f t="shared" ref="G125" si="50">IF(G$4="","",G124/Market_Price)</f>
        <v>-0.43760416378150141</v>
      </c>
      <c r="H125" s="77">
        <f t="shared" ref="H125" si="51">IF(H$4="","",H124/Market_Price)</f>
        <v>-0.44737987657555817</v>
      </c>
      <c r="I125" s="77">
        <f t="shared" ref="I125" si="52">IF(I$4="","",I124/Market_Price)</f>
        <v>-0.40037587445124984</v>
      </c>
      <c r="J125" s="77">
        <f t="shared" ref="J125" si="53">IF(J$4="","",J124/Market_Price)</f>
        <v>-0.35111773291260701</v>
      </c>
      <c r="K125" s="77">
        <f t="shared" ref="K125" si="54">IF(K$4="","",K124/Market_Price)</f>
        <v>-0.34249983772929971</v>
      </c>
      <c r="L125" s="77">
        <f t="shared" ref="L125" si="55">IF(L$4="","",L124/Market_Price)</f>
        <v>-0.30949355364264186</v>
      </c>
      <c r="M125" s="77">
        <f t="shared" ref="M125" si="56">IF(M$4="","",M124/Market_Price)</f>
        <v>-0.34716927798364094</v>
      </c>
      <c r="N125" s="77">
        <f t="shared" ref="N125" si="57">IF(N$4="","",N124/Market_Price)</f>
        <v>-0.33902638489705139</v>
      </c>
      <c r="O125" s="77">
        <f t="shared" ref="O125" si="58">IF(O$4="","",O124/Market_Price)</f>
        <v>-0.27926730414882739</v>
      </c>
      <c r="P125" s="77">
        <f t="shared" ref="P125" si="59">IF(P$4="","",P124/Market_Price)</f>
        <v>-0.3412784037663113</v>
      </c>
      <c r="Q125" s="77" t="str">
        <f t="shared" ref="Q125" si="60">IF(Q$4="","",Q124/Market_Price)</f>
        <v/>
      </c>
    </row>
    <row r="126" spans="1:17" ht="15.75" customHeight="1">
      <c r="B126" s="2" t="s">
        <v>398</v>
      </c>
      <c r="C126" s="169"/>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56">
        <f>Normalized_FCF!C19</f>
        <v>4524.9375</v>
      </c>
      <c r="D4" t="str">
        <f>Reporting_currency</f>
        <v>CNY</v>
      </c>
      <c r="E4" s="100" t="s">
        <v>251</v>
      </c>
      <c r="F4" s="134">
        <f>Terminal_Growth</f>
        <v>0</v>
      </c>
      <c r="H4" s="120"/>
    </row>
    <row r="5" spans="2:8">
      <c r="B5" s="205" t="s">
        <v>124</v>
      </c>
      <c r="C5" s="206">
        <f>Equity_Cost</f>
        <v>0.08</v>
      </c>
      <c r="E5" s="148"/>
      <c r="H5" s="120"/>
    </row>
    <row r="6" spans="2:8" ht="13.25" customHeight="1">
      <c r="B6" s="149" t="s">
        <v>229</v>
      </c>
      <c r="C6" s="357">
        <f>(C4*(1+Terminal_Growth))/(Equity_Cost-Terminal_Growth)</f>
        <v>56561.71875</v>
      </c>
      <c r="D6" t="str">
        <f>Reporting_currency</f>
        <v>CNY</v>
      </c>
      <c r="E6" s="328" t="s">
        <v>250</v>
      </c>
      <c r="F6" s="328"/>
      <c r="H6" s="120"/>
    </row>
    <row r="7" spans="2:8">
      <c r="B7" s="148" t="s">
        <v>225</v>
      </c>
      <c r="C7" s="356">
        <f>BS!G31</f>
        <v>0</v>
      </c>
      <c r="D7" t="str">
        <f>Reporting_currency</f>
        <v>CNY</v>
      </c>
      <c r="E7" s="328"/>
      <c r="F7" s="328"/>
      <c r="H7" s="120"/>
    </row>
    <row r="8" spans="2:8">
      <c r="B8" s="148" t="s">
        <v>226</v>
      </c>
      <c r="C8" s="356">
        <f>BS!D66</f>
        <v>0</v>
      </c>
      <c r="D8" t="str">
        <f>Reporting_currency</f>
        <v>CNY</v>
      </c>
      <c r="E8" s="328"/>
      <c r="F8" s="328"/>
      <c r="H8" s="120"/>
    </row>
    <row r="9" spans="2:8">
      <c r="B9" s="205" t="s">
        <v>191</v>
      </c>
      <c r="C9" s="358">
        <f>BS!H42</f>
        <v>0</v>
      </c>
      <c r="D9" t="str">
        <f>Reporting_currency</f>
        <v>CNY</v>
      </c>
      <c r="E9" s="328"/>
      <c r="F9" s="328"/>
      <c r="H9" s="120"/>
    </row>
    <row r="10" spans="2:8" ht="13.15">
      <c r="B10" s="149" t="s">
        <v>228</v>
      </c>
      <c r="C10" s="357">
        <f>C6-C7+C8+C9</f>
        <v>56561.71875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2.7226760022532401</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4.2510316586672814E-2</v>
      </c>
      <c r="H16" s="120"/>
    </row>
    <row r="17" spans="2:8" ht="13.25" customHeight="1">
      <c r="B17" s="118" t="s">
        <v>135</v>
      </c>
      <c r="C17" s="162">
        <f>Scenarios!C64</f>
        <v>30</v>
      </c>
      <c r="H17" s="120"/>
    </row>
    <row r="18" spans="2:8" ht="13.25" customHeight="1">
      <c r="B18" s="153" t="s">
        <v>107</v>
      </c>
      <c r="C18" s="140">
        <f>(F52-C7+C8+C9)*Exchange_Rate/Common_Shares*scaling_factor</f>
        <v>4.2403206914897558</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4717.2940256599086</v>
      </c>
      <c r="D21" s="138">
        <f>IF($C$17&lt;B21,0,DCF!$C$16)</f>
        <v>4.2510316586672814E-2</v>
      </c>
      <c r="E21" s="124">
        <f t="shared" ref="E21:E50" si="0">IF($C$17&lt;B21,0,1/(1+Equity_Cost)^B21)</f>
        <v>0.92592592592592582</v>
      </c>
      <c r="F21" s="125">
        <f t="shared" ref="F21:F51" si="1">C21*E21</f>
        <v>4367.8648385739889</v>
      </c>
      <c r="H21" s="120"/>
    </row>
    <row r="22" spans="2:8">
      <c r="B22" s="122">
        <v>2</v>
      </c>
      <c r="C22" s="123">
        <f t="shared" ref="C22:C50" si="2">IF(ROW()-ROW($C$21)&lt;$C$17, $C$21*(1+D22)^(ROW()-ROW($C$21)), 0)</f>
        <v>4917.8276881231322</v>
      </c>
      <c r="D22" s="138">
        <f>IF($C$17&lt;B22,0,DCF!$C$16)</f>
        <v>4.2510316586672814E-2</v>
      </c>
      <c r="E22" s="124">
        <f t="shared" si="0"/>
        <v>0.85733882030178321</v>
      </c>
      <c r="F22" s="125">
        <f t="shared" si="1"/>
        <v>4216.244588582932</v>
      </c>
      <c r="H22" s="120"/>
    </row>
    <row r="23" spans="2:8">
      <c r="B23" s="122">
        <v>3</v>
      </c>
      <c r="C23" s="123">
        <f t="shared" si="2"/>
        <v>5126.8861000639517</v>
      </c>
      <c r="D23" s="138">
        <f>IF($C$17&lt;B23,0,DCF!$C$16)</f>
        <v>4.2510316586672814E-2</v>
      </c>
      <c r="E23" s="124">
        <f t="shared" si="0"/>
        <v>0.79383224102016958</v>
      </c>
      <c r="F23" s="125">
        <f t="shared" si="1"/>
        <v>4069.887482268924</v>
      </c>
      <c r="H23" s="120"/>
    </row>
    <row r="24" spans="2:8">
      <c r="B24" s="122">
        <v>4</v>
      </c>
      <c r="C24" s="123">
        <f t="shared" si="2"/>
        <v>5344.8316512814836</v>
      </c>
      <c r="D24" s="138">
        <f>IF($C$17&lt;B24,0,DCF!$C$16)</f>
        <v>4.2510316586672814E-2</v>
      </c>
      <c r="E24" s="124">
        <f t="shared" si="0"/>
        <v>0.73502985279645328</v>
      </c>
      <c r="F24" s="125">
        <f t="shared" si="1"/>
        <v>3928.610821863253</v>
      </c>
      <c r="H24" s="120"/>
    </row>
    <row r="25" spans="2:8">
      <c r="B25" s="122">
        <v>5</v>
      </c>
      <c r="C25" s="123">
        <f t="shared" si="2"/>
        <v>5572.0421368799289</v>
      </c>
      <c r="D25" s="138">
        <f>IF($C$17&lt;B25,0,DCF!$C$16)</f>
        <v>4.2510316586672814E-2</v>
      </c>
      <c r="E25" s="124">
        <f t="shared" si="0"/>
        <v>0.68058319703375303</v>
      </c>
      <c r="F25" s="125">
        <f t="shared" si="1"/>
        <v>3792.2382515245267</v>
      </c>
      <c r="H25" s="120"/>
    </row>
    <row r="26" spans="2:8">
      <c r="B26" s="122">
        <v>6</v>
      </c>
      <c r="C26" s="123">
        <f t="shared" si="2"/>
        <v>5808.9114121529756</v>
      </c>
      <c r="D26" s="138">
        <f>IF($C$17&lt;B26,0,DCF!$C$16)</f>
        <v>4.2510316586672814E-2</v>
      </c>
      <c r="E26" s="124">
        <f t="shared" si="0"/>
        <v>0.63016962688310452</v>
      </c>
      <c r="F26" s="125">
        <f t="shared" si="1"/>
        <v>3660.5995371934482</v>
      </c>
      <c r="H26" s="120"/>
    </row>
    <row r="27" spans="2:8">
      <c r="B27" s="122">
        <v>7</v>
      </c>
      <c r="C27" s="123">
        <f t="shared" si="2"/>
        <v>6055.8500753075359</v>
      </c>
      <c r="D27" s="138">
        <f>IF($C$17&lt;B27,0,DCF!$C$16)</f>
        <v>4.2510316586672814E-2</v>
      </c>
      <c r="E27" s="124">
        <f t="shared" si="0"/>
        <v>0.58349039526213387</v>
      </c>
      <c r="F27" s="125">
        <f t="shared" si="1"/>
        <v>3533.5303540894174</v>
      </c>
      <c r="H27" s="120"/>
    </row>
    <row r="28" spans="2:8">
      <c r="B28" s="122">
        <v>8</v>
      </c>
      <c r="C28" s="123">
        <f t="shared" si="2"/>
        <v>6313.2861792102867</v>
      </c>
      <c r="D28" s="138">
        <f>IF($C$17&lt;B28,0,DCF!$C$16)</f>
        <v>4.2510316586672814E-2</v>
      </c>
      <c r="E28" s="124">
        <f t="shared" si="0"/>
        <v>0.54026888450197574</v>
      </c>
      <c r="F28" s="125">
        <f t="shared" si="1"/>
        <v>3410.8720815836823</v>
      </c>
      <c r="H28" s="120"/>
    </row>
    <row r="29" spans="2:8">
      <c r="B29" s="122">
        <v>9</v>
      </c>
      <c r="C29" s="123">
        <f t="shared" si="2"/>
        <v>6581.6659733907818</v>
      </c>
      <c r="D29" s="138">
        <f>IF($C$17&lt;B29,0,DCF!$C$16)</f>
        <v>4.2510316586672814E-2</v>
      </c>
      <c r="E29" s="124">
        <f t="shared" si="0"/>
        <v>0.50024896713145905</v>
      </c>
      <c r="F29" s="125">
        <f t="shared" si="1"/>
        <v>3292.4716051930077</v>
      </c>
      <c r="H29" s="120"/>
    </row>
    <row r="30" spans="2:8">
      <c r="B30" s="122">
        <v>10</v>
      </c>
      <c r="C30" s="123">
        <f t="shared" si="2"/>
        <v>6861.4546775873559</v>
      </c>
      <c r="D30" s="138">
        <f>IF($C$17&lt;B30,0,DCF!$C$16)</f>
        <v>4.2510316586672814E-2</v>
      </c>
      <c r="E30" s="124">
        <f t="shared" si="0"/>
        <v>0.46319348808468425</v>
      </c>
      <c r="F30" s="125">
        <f t="shared" si="1"/>
        <v>3178.1811254466597</v>
      </c>
      <c r="H30" s="120"/>
    </row>
    <row r="31" spans="2:8">
      <c r="B31" s="122">
        <v>11</v>
      </c>
      <c r="C31" s="123">
        <f t="shared" si="2"/>
        <v>7153.1372881767029</v>
      </c>
      <c r="D31" s="138">
        <f>IF($C$17&lt;B31,0,DCF!$C$16)</f>
        <v>4.2510316586672814E-2</v>
      </c>
      <c r="E31" s="124">
        <f t="shared" si="0"/>
        <v>0.42888285933767062</v>
      </c>
      <c r="F31" s="125">
        <f t="shared" si="1"/>
        <v>3067.8579733881356</v>
      </c>
      <c r="H31" s="120"/>
    </row>
    <row r="32" spans="2:8">
      <c r="B32" s="122">
        <v>12</v>
      </c>
      <c r="C32" s="123">
        <f t="shared" si="2"/>
        <v>7457.2194188850299</v>
      </c>
      <c r="D32" s="138">
        <f>IF($C$17&lt;B32,0,DCF!$C$16)</f>
        <v>4.2510316586672814E-2</v>
      </c>
      <c r="E32" s="124">
        <f t="shared" si="0"/>
        <v>0.39711375864599124</v>
      </c>
      <c r="F32" s="125">
        <f t="shared" si="1"/>
        <v>2961.364432481309</v>
      </c>
      <c r="H32" s="120"/>
    </row>
    <row r="33" spans="2:8">
      <c r="B33" s="122">
        <v>13</v>
      </c>
      <c r="C33" s="123">
        <f t="shared" si="2"/>
        <v>7774.2281772381166</v>
      </c>
      <c r="D33" s="138">
        <f>IF($C$17&lt;B33,0,DCF!$C$16)</f>
        <v>4.2510316586672814E-2</v>
      </c>
      <c r="E33" s="124">
        <f t="shared" si="0"/>
        <v>0.36769792467221413</v>
      </c>
      <c r="F33" s="125">
        <f t="shared" si="1"/>
        <v>2858.5675666987054</v>
      </c>
      <c r="H33" s="120"/>
    </row>
    <row r="34" spans="2:8">
      <c r="B34" s="122">
        <v>14</v>
      </c>
      <c r="C34" s="123">
        <f t="shared" si="2"/>
        <v>8104.7130782695422</v>
      </c>
      <c r="D34" s="138">
        <f>IF($C$17&lt;B34,0,DCF!$C$16)</f>
        <v>4.2510316586672814E-2</v>
      </c>
      <c r="E34" s="124">
        <f t="shared" si="0"/>
        <v>0.34046104136316119</v>
      </c>
      <c r="F34" s="125">
        <f t="shared" si="1"/>
        <v>2759.33905457728</v>
      </c>
      <c r="H34" s="120"/>
    </row>
    <row r="35" spans="2:8">
      <c r="B35" s="122">
        <v>15</v>
      </c>
      <c r="C35" s="123">
        <f t="shared" si="2"/>
        <v>8449.246997070928</v>
      </c>
      <c r="D35" s="138">
        <f>IF($C$17&lt;B35,0,DCF!$C$16)</f>
        <v>4.2510316586672814E-2</v>
      </c>
      <c r="E35" s="124">
        <f t="shared" si="0"/>
        <v>0.31524170496588994</v>
      </c>
      <c r="F35" s="125">
        <f t="shared" si="1"/>
        <v>2663.555029034565</v>
      </c>
      <c r="H35" s="120"/>
    </row>
    <row r="36" spans="2:8">
      <c r="B36" s="122">
        <v>16</v>
      </c>
      <c r="C36" s="123">
        <f t="shared" si="2"/>
        <v>8808.4271618354087</v>
      </c>
      <c r="D36" s="138">
        <f>IF($C$17&lt;B36,0,DCF!$C$16)</f>
        <v>4.2510316586672814E-2</v>
      </c>
      <c r="E36" s="124">
        <f t="shared" si="0"/>
        <v>0.29189046756100923</v>
      </c>
      <c r="F36" s="125">
        <f t="shared" si="1"/>
        <v>2571.0959227452308</v>
      </c>
      <c r="H36" s="120"/>
    </row>
    <row r="37" spans="2:8">
      <c r="B37" s="122">
        <v>17</v>
      </c>
      <c r="C37" s="123">
        <f t="shared" si="2"/>
        <v>9182.8761891156792</v>
      </c>
      <c r="D37" s="138">
        <f>IF($C$17&lt;B37,0,DCF!$C$16)</f>
        <v>4.2510316586672814E-2</v>
      </c>
      <c r="E37" s="124">
        <f t="shared" si="0"/>
        <v>0.27026895144537894</v>
      </c>
      <c r="F37" s="125">
        <f t="shared" si="1"/>
        <v>2481.8463188850319</v>
      </c>
      <c r="H37" s="120"/>
    </row>
    <row r="38" spans="2:8">
      <c r="B38" s="122">
        <v>18</v>
      </c>
      <c r="C38" s="123">
        <f t="shared" si="2"/>
        <v>9573.2431630912088</v>
      </c>
      <c r="D38" s="138">
        <f>IF($C$17&lt;B38,0,DCF!$C$16)</f>
        <v>4.2510316586672814E-2</v>
      </c>
      <c r="E38" s="124">
        <f t="shared" si="0"/>
        <v>0.25024902911609154</v>
      </c>
      <c r="F38" s="125">
        <f t="shared" si="1"/>
        <v>2395.694807055836</v>
      </c>
      <c r="H38" s="120"/>
    </row>
    <row r="39" spans="2:8">
      <c r="B39" s="122">
        <v>19</v>
      </c>
      <c r="C39" s="123">
        <f t="shared" si="2"/>
        <v>9980.2047607154163</v>
      </c>
      <c r="D39" s="138">
        <f>IF($C$17&lt;B39,0,DCF!$C$16)</f>
        <v>4.2510316586672814E-2</v>
      </c>
      <c r="E39" s="124">
        <f t="shared" si="0"/>
        <v>0.23171206399638106</v>
      </c>
      <c r="F39" s="125">
        <f t="shared" si="1"/>
        <v>2312.5338442118773</v>
      </c>
      <c r="H39" s="120"/>
    </row>
    <row r="40" spans="2:8">
      <c r="B40" s="122">
        <v>20</v>
      </c>
      <c r="C40" s="123">
        <f t="shared" si="2"/>
        <v>10404.46642469325</v>
      </c>
      <c r="D40" s="138">
        <f>IF($C$17&lt;B40,0,DCF!$C$16)</f>
        <v>4.2510316586672814E-2</v>
      </c>
      <c r="E40" s="124">
        <f t="shared" si="0"/>
        <v>0.21454820740405653</v>
      </c>
      <c r="F40" s="125">
        <f t="shared" si="1"/>
        <v>2232.2596204136298</v>
      </c>
      <c r="H40" s="120"/>
    </row>
    <row r="41" spans="2:8">
      <c r="B41" s="122">
        <v>21</v>
      </c>
      <c r="C41" s="123">
        <f t="shared" si="2"/>
        <v>10846.763586322368</v>
      </c>
      <c r="D41" s="138">
        <f>IF($C$17&lt;B41,0,DCF!$C$16)</f>
        <v>4.2510316586672814E-2</v>
      </c>
      <c r="E41" s="124">
        <f t="shared" si="0"/>
        <v>0.19865574759634863</v>
      </c>
      <c r="F41" s="125">
        <f t="shared" si="1"/>
        <v>2154.7719292417214</v>
      </c>
      <c r="H41" s="120"/>
    </row>
    <row r="42" spans="2:8">
      <c r="B42" s="122">
        <v>22</v>
      </c>
      <c r="C42" s="123">
        <f t="shared" si="2"/>
        <v>11307.862940317727</v>
      </c>
      <c r="D42" s="138">
        <f>IF($C$17&lt;B42,0,DCF!$C$16)</f>
        <v>4.2510316586672814E-2</v>
      </c>
      <c r="E42" s="124">
        <f t="shared" si="0"/>
        <v>0.18394050703365611</v>
      </c>
      <c r="F42" s="125">
        <f t="shared" si="1"/>
        <v>2079.9740427091324</v>
      </c>
      <c r="H42" s="120"/>
    </row>
    <row r="43" spans="2:8">
      <c r="B43" s="122">
        <v>23</v>
      </c>
      <c r="C43" s="123">
        <f t="shared" si="2"/>
        <v>11788.563773829339</v>
      </c>
      <c r="D43" s="138">
        <f>IF($C$17&lt;B43,0,DCF!$C$16)</f>
        <v>4.2510316586672814E-2</v>
      </c>
      <c r="E43" s="124">
        <f t="shared" si="0"/>
        <v>0.17031528429042234</v>
      </c>
      <c r="F43" s="125">
        <f t="shared" si="1"/>
        <v>2007.7725905155178</v>
      </c>
      <c r="H43" s="120"/>
    </row>
    <row r="44" spans="2:8">
      <c r="B44" s="122">
        <v>24</v>
      </c>
      <c r="C44" s="123">
        <f t="shared" si="2"/>
        <v>12289.699351957008</v>
      </c>
      <c r="D44" s="138">
        <f>IF($C$17&lt;B44,0,DCF!$C$16)</f>
        <v>4.2510316586672814E-2</v>
      </c>
      <c r="E44" s="124">
        <f t="shared" si="0"/>
        <v>0.1576993373059466</v>
      </c>
      <c r="F44" s="125">
        <f t="shared" si="1"/>
        <v>1938.0774434929415</v>
      </c>
      <c r="H44" s="120"/>
    </row>
    <row r="45" spans="2:8">
      <c r="B45" s="122">
        <v>25</v>
      </c>
      <c r="C45" s="123">
        <f t="shared" si="2"/>
        <v>12812.138362163727</v>
      </c>
      <c r="D45" s="138">
        <f>IF($C$17&lt;B45,0,DCF!$C$16)</f>
        <v>4.2510316586672814E-2</v>
      </c>
      <c r="E45" s="124">
        <f t="shared" si="0"/>
        <v>0.1460179049129135</v>
      </c>
      <c r="F45" s="125">
        <f t="shared" si="1"/>
        <v>1870.8016010975143</v>
      </c>
      <c r="H45" s="120"/>
    </row>
    <row r="46" spans="2:8">
      <c r="B46" s="122">
        <v>26</v>
      </c>
      <c r="C46" s="123">
        <f t="shared" si="2"/>
        <v>13356.786420091565</v>
      </c>
      <c r="D46" s="138">
        <f>IF($C$17&lt;B46,0,DCF!$C$16)</f>
        <v>4.2510316586672814E-2</v>
      </c>
      <c r="E46" s="124">
        <f t="shared" si="0"/>
        <v>0.13520176380825324</v>
      </c>
      <c r="F46" s="125">
        <f t="shared" si="1"/>
        <v>1805.8610828065041</v>
      </c>
      <c r="H46" s="120"/>
    </row>
    <row r="47" spans="2:8">
      <c r="B47" s="122">
        <v>27</v>
      </c>
      <c r="C47" s="123">
        <f t="shared" si="2"/>
        <v>13924.587639390231</v>
      </c>
      <c r="D47" s="138">
        <f>IF($C$17&lt;B47,0,DCF!$C$16)</f>
        <v>4.2510316586672814E-2</v>
      </c>
      <c r="E47" s="124">
        <f t="shared" si="0"/>
        <v>0.12518681834097523</v>
      </c>
      <c r="F47" s="125">
        <f t="shared" si="1"/>
        <v>1743.1748232853338</v>
      </c>
      <c r="H47" s="120"/>
    </row>
    <row r="48" spans="2:8">
      <c r="B48" s="122">
        <v>28</v>
      </c>
      <c r="C48" s="123">
        <f t="shared" si="2"/>
        <v>14516.526268279582</v>
      </c>
      <c r="D48" s="138">
        <f>IF($C$17&lt;B48,0,DCF!$C$16)</f>
        <v>4.2510316586672814E-2</v>
      </c>
      <c r="E48" s="124">
        <f t="shared" si="0"/>
        <v>0.11591372068608817</v>
      </c>
      <c r="F48" s="125">
        <f t="shared" si="1"/>
        <v>1682.6645711936212</v>
      </c>
      <c r="H48" s="120"/>
    </row>
    <row r="49" spans="1:8">
      <c r="B49" s="122">
        <v>29</v>
      </c>
      <c r="C49" s="123">
        <f t="shared" si="2"/>
        <v>15133.628395682901</v>
      </c>
      <c r="D49" s="138">
        <f>IF($C$17&lt;B49,0,DCF!$C$16)</f>
        <v>4.2510316586672814E-2</v>
      </c>
      <c r="E49" s="124">
        <f t="shared" si="0"/>
        <v>0.10732751915378534</v>
      </c>
      <c r="F49" s="125">
        <f t="shared" si="1"/>
        <v>1624.2547915039263</v>
      </c>
      <c r="H49" s="120"/>
    </row>
    <row r="50" spans="1:8">
      <c r="B50" s="122">
        <v>30</v>
      </c>
      <c r="C50" s="123">
        <f t="shared" si="2"/>
        <v>15776.963729888443</v>
      </c>
      <c r="D50" s="138">
        <f>IF($C$17&lt;B50,0,DCF!$C$16)</f>
        <v>4.2510316586672814E-2</v>
      </c>
      <c r="E50" s="124">
        <f t="shared" si="0"/>
        <v>9.9377332549801231E-2</v>
      </c>
      <c r="F50" s="125">
        <f t="shared" si="1"/>
        <v>1567.8725712112762</v>
      </c>
      <c r="H50" s="120"/>
    </row>
    <row r="51" spans="1:8">
      <c r="B51" s="126" t="s">
        <v>132</v>
      </c>
      <c r="C51" s="123">
        <f>C$21*(1+Terminal_Growth)^$C$17/Equity_Cost</f>
        <v>58966.175320748858</v>
      </c>
      <c r="D51" s="139">
        <f>Terminal_Growth</f>
        <v>0</v>
      </c>
      <c r="E51" s="124">
        <f>1/(1+Equity_Cost)^C17</f>
        <v>9.9377332549801231E-2</v>
      </c>
      <c r="F51" s="125">
        <f t="shared" si="1"/>
        <v>5859.9012140399418</v>
      </c>
      <c r="H51" s="120"/>
    </row>
    <row r="52" spans="1:8">
      <c r="C52" s="114"/>
      <c r="E52" s="127" t="s">
        <v>101</v>
      </c>
      <c r="F52" s="137">
        <f>SUM(F21:F51)</f>
        <v>88089.741916908868</v>
      </c>
      <c r="H52" s="120"/>
    </row>
    <row r="53" spans="1:8">
      <c r="C53" s="114"/>
      <c r="H53" s="120"/>
    </row>
    <row r="54" spans="1:8" ht="13.15">
      <c r="B54" s="119" t="s">
        <v>130</v>
      </c>
      <c r="C54" s="136"/>
      <c r="D54" s="136"/>
      <c r="E54" s="117"/>
      <c r="F54" s="117"/>
      <c r="H54" s="120"/>
    </row>
    <row r="55" spans="1:8" ht="13.15">
      <c r="A55" s="133">
        <f>F52</f>
        <v>88089.741916908868</v>
      </c>
      <c r="B55" s="131">
        <f>C78</f>
        <v>0</v>
      </c>
      <c r="C55" s="131">
        <f>C77</f>
        <v>0.02</v>
      </c>
      <c r="D55" s="131">
        <f>C76</f>
        <v>0.04</v>
      </c>
      <c r="E55" s="131">
        <f>C75</f>
        <v>0.06</v>
      </c>
      <c r="F55" s="131">
        <f>C74</f>
        <v>0.08</v>
      </c>
      <c r="H55" s="120"/>
    </row>
    <row r="56" spans="1:8" ht="13.15">
      <c r="A56" s="143">
        <v>5</v>
      </c>
      <c r="B56" s="123">
        <f t="dataTable" ref="B56:F61" dt2D="1" dtr="1" r1="C16" r2="C17"/>
        <v>56561.718749999985</v>
      </c>
      <c r="C56" s="123">
        <v>58386.695882303698</v>
      </c>
      <c r="D56" s="123">
        <v>60266.330283331859</v>
      </c>
      <c r="E56" s="123">
        <v>62203.020490604831</v>
      </c>
      <c r="F56" s="123">
        <v>64199.239306726893</v>
      </c>
      <c r="H56" s="120"/>
    </row>
    <row r="57" spans="1:8" ht="13.15">
      <c r="A57" s="143">
        <v>10</v>
      </c>
      <c r="B57" s="123">
        <v>56561.718749999985</v>
      </c>
      <c r="C57" s="123">
        <v>60213.353530154433</v>
      </c>
      <c r="D57" s="123">
        <v>64230.980987071889</v>
      </c>
      <c r="E57" s="123">
        <v>68658.402424235945</v>
      </c>
      <c r="F57" s="123">
        <v>73544.316383867583</v>
      </c>
      <c r="H57" s="120"/>
    </row>
    <row r="58" spans="1:8" ht="13.15">
      <c r="A58" s="143">
        <v>15</v>
      </c>
      <c r="B58" s="123">
        <v>56561.718749999971</v>
      </c>
      <c r="C58" s="123">
        <v>62474.348854074669</v>
      </c>
      <c r="D58" s="123">
        <v>69399.405957132651</v>
      </c>
      <c r="E58" s="123">
        <v>77538.02932995747</v>
      </c>
      <c r="F58" s="123">
        <v>87131.124166915237</v>
      </c>
      <c r="H58" s="120"/>
    </row>
    <row r="59" spans="1:8" ht="13.15">
      <c r="A59" s="144">
        <v>20</v>
      </c>
      <c r="B59" s="123">
        <v>56561.718749999964</v>
      </c>
      <c r="C59" s="123">
        <v>64777.940498883341</v>
      </c>
      <c r="D59" s="123">
        <v>74962.31641537571</v>
      </c>
      <c r="E59" s="123">
        <v>87667.270022025623</v>
      </c>
      <c r="F59" s="123">
        <v>103604.78259474531</v>
      </c>
      <c r="H59" s="120"/>
    </row>
    <row r="60" spans="1:8" ht="13.15">
      <c r="A60" s="144">
        <v>25</v>
      </c>
      <c r="B60" s="123">
        <v>56561.718749999971</v>
      </c>
      <c r="C60" s="123">
        <v>66920.408554877911</v>
      </c>
      <c r="D60" s="123">
        <v>80441.97246296196</v>
      </c>
      <c r="E60" s="123">
        <v>98282.406288784274</v>
      </c>
      <c r="F60" s="123">
        <v>122043.18306376033</v>
      </c>
      <c r="H60" s="120"/>
    </row>
    <row r="61" spans="1:8" ht="13.15">
      <c r="A61" s="144">
        <v>30</v>
      </c>
      <c r="B61" s="123">
        <v>56561.718749999964</v>
      </c>
      <c r="C61" s="123">
        <v>68810.363415095897</v>
      </c>
      <c r="D61" s="123">
        <v>85573.71891346958</v>
      </c>
      <c r="E61" s="123">
        <v>108896.19357950507</v>
      </c>
      <c r="F61" s="123">
        <v>141818.75395251164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2.7226760022532401</v>
      </c>
      <c r="C65" s="124">
        <f>C12</f>
        <v>2.7226760022532401</v>
      </c>
      <c r="D65" s="124">
        <f>C12</f>
        <v>2.7226760022532401</v>
      </c>
      <c r="E65" s="141">
        <f>C12</f>
        <v>2.7226760022532401</v>
      </c>
      <c r="F65" s="124">
        <f>C12</f>
        <v>2.7226760022532401</v>
      </c>
      <c r="H65" s="120"/>
    </row>
    <row r="66" spans="1:8" ht="13.15">
      <c r="A66" s="143">
        <f t="shared" ref="A66:A71" si="3">A56</f>
        <v>5</v>
      </c>
      <c r="B66" s="124">
        <f t="shared" ref="B66:F71" si="4">(B56-$C$7+$C$8+$C$9)/Common_Shares*$C$3*Exchange_Rate</f>
        <v>2.7226760022532392</v>
      </c>
      <c r="C66" s="124">
        <f t="shared" si="4"/>
        <v>2.8105237825646223</v>
      </c>
      <c r="D66" s="124">
        <f t="shared" si="4"/>
        <v>2.9010025655610998</v>
      </c>
      <c r="E66" s="124">
        <f t="shared" si="4"/>
        <v>2.9942278081398706</v>
      </c>
      <c r="F66" s="124">
        <f t="shared" si="4"/>
        <v>3.0903185420499311</v>
      </c>
      <c r="H66" s="120"/>
    </row>
    <row r="67" spans="1:8" ht="13.15">
      <c r="A67" s="143">
        <f t="shared" si="3"/>
        <v>10</v>
      </c>
      <c r="B67" s="124">
        <f t="shared" si="4"/>
        <v>2.7226760022532392</v>
      </c>
      <c r="C67" s="124">
        <f t="shared" si="4"/>
        <v>2.8984524567995362</v>
      </c>
      <c r="D67" s="124">
        <f t="shared" si="4"/>
        <v>3.0918464714208276</v>
      </c>
      <c r="E67" s="124">
        <f t="shared" si="4"/>
        <v>3.3049664820079903</v>
      </c>
      <c r="F67" s="124">
        <f t="shared" si="4"/>
        <v>3.5401566597633853</v>
      </c>
      <c r="H67" s="120"/>
    </row>
    <row r="68" spans="1:8" ht="13.15">
      <c r="A68" s="143">
        <f t="shared" si="3"/>
        <v>15</v>
      </c>
      <c r="B68" s="124">
        <f t="shared" si="4"/>
        <v>2.7226760022532384</v>
      </c>
      <c r="C68" s="124">
        <f t="shared" si="4"/>
        <v>3.0072885715020163</v>
      </c>
      <c r="D68" s="124">
        <f t="shared" si="4"/>
        <v>3.3406357046056985</v>
      </c>
      <c r="E68" s="124">
        <f t="shared" si="4"/>
        <v>3.732399516566725</v>
      </c>
      <c r="F68" s="124">
        <f t="shared" si="4"/>
        <v>4.1941763097255143</v>
      </c>
      <c r="H68" s="120"/>
    </row>
    <row r="69" spans="1:8" ht="13.15">
      <c r="A69" s="144">
        <f t="shared" si="3"/>
        <v>20</v>
      </c>
      <c r="B69" s="124">
        <f t="shared" si="4"/>
        <v>2.7226760022532379</v>
      </c>
      <c r="C69" s="124">
        <f t="shared" si="4"/>
        <v>3.1181751186034803</v>
      </c>
      <c r="D69" s="124">
        <f t="shared" si="4"/>
        <v>3.6084140384693941</v>
      </c>
      <c r="E69" s="124">
        <f t="shared" si="4"/>
        <v>4.2199844266936113</v>
      </c>
      <c r="F69" s="124">
        <f t="shared" si="4"/>
        <v>4.9871584796806978</v>
      </c>
      <c r="H69" s="120"/>
    </row>
    <row r="70" spans="1:8" ht="13.15">
      <c r="A70" s="144">
        <f t="shared" si="3"/>
        <v>25</v>
      </c>
      <c r="B70" s="124">
        <f t="shared" si="4"/>
        <v>2.7226760022532384</v>
      </c>
      <c r="C70" s="124">
        <f t="shared" si="4"/>
        <v>3.2213057605034061</v>
      </c>
      <c r="D70" s="124">
        <f t="shared" si="4"/>
        <v>3.8721848069516533</v>
      </c>
      <c r="E70" s="124">
        <f t="shared" si="4"/>
        <v>4.7309585875371907</v>
      </c>
      <c r="F70" s="124">
        <f t="shared" si="4"/>
        <v>5.8747162057606195</v>
      </c>
    </row>
    <row r="71" spans="1:8" ht="13.15">
      <c r="A71" s="144">
        <f t="shared" si="3"/>
        <v>30</v>
      </c>
      <c r="B71" s="124">
        <f t="shared" si="4"/>
        <v>2.7226760022532379</v>
      </c>
      <c r="C71" s="124">
        <f t="shared" si="4"/>
        <v>3.3122813329749796</v>
      </c>
      <c r="D71" s="124">
        <f t="shared" si="4"/>
        <v>4.119208469231106</v>
      </c>
      <c r="E71" s="124">
        <f t="shared" si="4"/>
        <v>5.2418678135667829</v>
      </c>
      <c r="F71" s="124">
        <f t="shared" si="4"/>
        <v>6.8266404661891622</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6.8266404661891622</v>
      </c>
      <c r="F74" s="142">
        <f>Scenarios!C58</f>
        <v>0.05</v>
      </c>
    </row>
    <row r="75" spans="1:8">
      <c r="B75" s="127" t="str">
        <f>Scenarios!B36</f>
        <v>Optimistic</v>
      </c>
      <c r="C75" s="142">
        <f>Scenarios!C38</f>
        <v>0.06</v>
      </c>
      <c r="D75" s="145">
        <f>Scenarios!C37</f>
        <v>30</v>
      </c>
      <c r="E75" s="135">
        <f>INDEX(B$65:F$71, MATCH(D75, A$65:A$71, 0), MATCH(C75, B$64:F$64, 0))</f>
        <v>5.2418678135667829</v>
      </c>
      <c r="F75" s="142">
        <f>Scenarios!C40*(1-F$74-F$78)</f>
        <v>0.18</v>
      </c>
      <c r="H75" s="120"/>
    </row>
    <row r="76" spans="1:8">
      <c r="B76" s="127" t="str">
        <f>Scenarios!B24</f>
        <v>Base</v>
      </c>
      <c r="C76" s="142">
        <f>Scenarios!C26</f>
        <v>0.04</v>
      </c>
      <c r="D76" s="145">
        <f>Scenarios!C25</f>
        <v>30</v>
      </c>
      <c r="E76" s="135">
        <f>INDEX(B$65:F$71, MATCH(D76, A$65:A$71, 0), MATCH(C76, B$64:F$64, 0))</f>
        <v>4.119208469231106</v>
      </c>
      <c r="F76" s="142">
        <f>Scenarios!C28*(1-F$74-F$78)</f>
        <v>0.53999999999999992</v>
      </c>
      <c r="H76" s="120"/>
    </row>
    <row r="77" spans="1:8">
      <c r="B77" s="127" t="str">
        <f>Scenarios!B30</f>
        <v>Pessimistic</v>
      </c>
      <c r="C77" s="142">
        <f>Scenarios!C32</f>
        <v>0.02</v>
      </c>
      <c r="D77" s="145">
        <f>Scenarios!C31</f>
        <v>30</v>
      </c>
      <c r="E77" s="135">
        <f>INDEX(B$65:F$71, MATCH(D77, A$65:A$71, 0), MATCH(C77, B$64:F$64, 0))</f>
        <v>3.3122813329749796</v>
      </c>
      <c r="F77" s="142">
        <f>Scenarios!C34*(1-F$74-F$78)</f>
        <v>0.18</v>
      </c>
      <c r="H77" s="120"/>
    </row>
    <row r="78" spans="1:8">
      <c r="B78" s="127" t="str">
        <f>Scenarios!B48</f>
        <v>Devil's advocate</v>
      </c>
      <c r="C78" s="142">
        <f>Scenarios!C50</f>
        <v>0</v>
      </c>
      <c r="D78" s="145">
        <f>Scenarios!C49</f>
        <v>30</v>
      </c>
      <c r="E78" s="135">
        <f>INDEX(B$65:F$71, MATCH(D78, A$65:A$71, 0), MATCH(C78, B$64:F$64, 0))</f>
        <v>2.7226760022532379</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452</v>
      </c>
      <c r="C2" s="37"/>
      <c r="D2" s="37"/>
      <c r="E2" s="37"/>
      <c r="F2" s="37"/>
      <c r="H2" s="130" t="s">
        <v>59</v>
      </c>
    </row>
    <row r="3" spans="2:8" ht="13.15">
      <c r="B3" s="109" t="s">
        <v>451</v>
      </c>
      <c r="C3" s="107">
        <f>scaling_factor</f>
        <v>1000000</v>
      </c>
      <c r="E3" s="109" t="s">
        <v>125</v>
      </c>
      <c r="H3" s="120"/>
    </row>
    <row r="4" spans="2:8">
      <c r="B4" s="100" t="s">
        <v>449</v>
      </c>
      <c r="C4" s="356">
        <f>Normalized_FCF!C91</f>
        <v>22020.769943020001</v>
      </c>
      <c r="D4" t="str">
        <f>Market_currency</f>
        <v>CNY</v>
      </c>
      <c r="E4" s="100" t="s">
        <v>251</v>
      </c>
      <c r="F4" s="134">
        <f>Thesis!E22</f>
        <v>0.02</v>
      </c>
      <c r="H4" s="120"/>
    </row>
    <row r="5" spans="2:8">
      <c r="B5" s="205" t="s">
        <v>124</v>
      </c>
      <c r="C5" s="206">
        <f>Equity_Cost</f>
        <v>0.08</v>
      </c>
      <c r="E5" s="148"/>
      <c r="H5" s="120"/>
    </row>
    <row r="6" spans="2:8" ht="13.25" customHeight="1">
      <c r="B6" s="149" t="s">
        <v>450</v>
      </c>
      <c r="C6" s="357">
        <f>(C4*(1+Terminal_Growth))/(Equity_Cost-Terminal_Growth)</f>
        <v>275259.62428774999</v>
      </c>
      <c r="D6" t="str">
        <f>Reporting_currency</f>
        <v>CNY</v>
      </c>
      <c r="E6" s="328"/>
      <c r="F6" s="328"/>
      <c r="H6" s="120"/>
    </row>
    <row r="7" spans="2:8" ht="13.15">
      <c r="B7" s="149" t="s">
        <v>453</v>
      </c>
      <c r="C7" s="111">
        <f>(C6*scaling_factor)/Common_Shares*Exchange_Rate</f>
        <v>13.25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4.2510316586672814E-2</v>
      </c>
      <c r="H11" s="120"/>
    </row>
    <row r="12" spans="2:8" ht="13.25" customHeight="1">
      <c r="B12" s="118" t="s">
        <v>135</v>
      </c>
      <c r="C12" s="162">
        <f>Scenarios!C64</f>
        <v>30</v>
      </c>
      <c r="H12" s="120"/>
    </row>
    <row r="13" spans="2:8" ht="13.25" customHeight="1">
      <c r="B13" s="153" t="s">
        <v>107</v>
      </c>
      <c r="C13" s="140">
        <f>F47/Common_Shares*scaling_factor</f>
        <v>21.74944849239106</v>
      </c>
      <c r="D13" t="str">
        <f>Market_currency</f>
        <v>CNY</v>
      </c>
      <c r="H13" s="120"/>
    </row>
    <row r="14" spans="2:8">
      <c r="H14" s="120"/>
    </row>
    <row r="15" spans="2:8" ht="13.15">
      <c r="B15" s="128" t="s">
        <v>108</v>
      </c>
      <c r="C15" s="128" t="s">
        <v>455</v>
      </c>
      <c r="D15" s="128" t="s">
        <v>119</v>
      </c>
      <c r="E15" s="128" t="s">
        <v>110</v>
      </c>
      <c r="F15" s="129" t="s">
        <v>454</v>
      </c>
      <c r="H15" s="120"/>
    </row>
    <row r="16" spans="2:8">
      <c r="B16" s="122">
        <v>1</v>
      </c>
      <c r="C16" s="123">
        <f>C4*(1+D16)</f>
        <v>22956.879844780073</v>
      </c>
      <c r="D16" s="138">
        <f>IF($C$12&lt;B16,0,DDM!$C$11)</f>
        <v>4.2510316586672814E-2</v>
      </c>
      <c r="E16" s="124">
        <f t="shared" ref="E16:E45" si="0">IF($C$12&lt;B16,0,1/(1+Equity_Cost)^B16)</f>
        <v>0.92592592592592582</v>
      </c>
      <c r="F16" s="125">
        <f t="shared" ref="F16:F46" si="1">C16*E16</f>
        <v>21256.370226648214</v>
      </c>
      <c r="H16" s="120"/>
    </row>
    <row r="17" spans="2:8">
      <c r="B17" s="122">
        <v>2</v>
      </c>
      <c r="C17" s="123">
        <f t="shared" ref="C17:C45" si="2">IF(ROW()-ROW($C$16)&lt;$C$12, $C$16*(1+D17)^(ROW()-ROW($C$16)), 0)</f>
        <v>23932.784074823885</v>
      </c>
      <c r="D17" s="138">
        <f>IF($C$12&lt;B17,0,DDM!$C$11)</f>
        <v>4.2510316586672814E-2</v>
      </c>
      <c r="E17" s="124">
        <f t="shared" si="0"/>
        <v>0.85733882030178321</v>
      </c>
      <c r="F17" s="125">
        <f t="shared" si="1"/>
        <v>20518.504865246814</v>
      </c>
      <c r="H17" s="120"/>
    </row>
    <row r="18" spans="2:8">
      <c r="B18" s="122">
        <v>3</v>
      </c>
      <c r="C18" s="123">
        <f t="shared" si="2"/>
        <v>24950.174302645133</v>
      </c>
      <c r="D18" s="138">
        <f>IF($C$12&lt;B18,0,DDM!$C$11)</f>
        <v>4.2510316586672814E-2</v>
      </c>
      <c r="E18" s="124">
        <f t="shared" si="0"/>
        <v>0.79383224102016958</v>
      </c>
      <c r="F18" s="125">
        <f t="shared" si="1"/>
        <v>19806.252780512634</v>
      </c>
      <c r="H18" s="120"/>
    </row>
    <row r="19" spans="2:8">
      <c r="B19" s="122">
        <v>4</v>
      </c>
      <c r="C19" s="123">
        <f t="shared" si="2"/>
        <v>26010.814111143245</v>
      </c>
      <c r="D19" s="138">
        <f>IF($C$12&lt;B19,0,DDM!$C$11)</f>
        <v>4.2510316586672814E-2</v>
      </c>
      <c r="E19" s="124">
        <f t="shared" si="0"/>
        <v>0.73502985279645328</v>
      </c>
      <c r="F19" s="125">
        <f t="shared" si="1"/>
        <v>19118.724867229528</v>
      </c>
      <c r="H19" s="120"/>
    </row>
    <row r="20" spans="2:8">
      <c r="B20" s="122">
        <v>5</v>
      </c>
      <c r="C20" s="123">
        <f t="shared" si="2"/>
        <v>27116.542053685043</v>
      </c>
      <c r="D20" s="138">
        <f>IF($C$12&lt;B20,0,DDM!$C$11)</f>
        <v>4.2510316586672814E-2</v>
      </c>
      <c r="E20" s="124">
        <f t="shared" si="0"/>
        <v>0.68058319703375303</v>
      </c>
      <c r="F20" s="125">
        <f t="shared" si="1"/>
        <v>18455.062883397179</v>
      </c>
      <c r="H20" s="120"/>
    </row>
    <row r="21" spans="2:8">
      <c r="B21" s="122">
        <v>6</v>
      </c>
      <c r="C21" s="123">
        <f t="shared" si="2"/>
        <v>28269.274841123024</v>
      </c>
      <c r="D21" s="138">
        <f>IF($C$12&lt;B21,0,DDM!$C$11)</f>
        <v>4.2510316586672814E-2</v>
      </c>
      <c r="E21" s="124">
        <f t="shared" si="0"/>
        <v>0.63016962688310452</v>
      </c>
      <c r="F21" s="125">
        <f t="shared" si="1"/>
        <v>17814.438378886429</v>
      </c>
      <c r="H21" s="120"/>
    </row>
    <row r="22" spans="2:8">
      <c r="B22" s="122">
        <v>7</v>
      </c>
      <c r="C22" s="123">
        <f t="shared" si="2"/>
        <v>29471.01066429483</v>
      </c>
      <c r="D22" s="138">
        <f>IF($C$12&lt;B22,0,DDM!$C$11)</f>
        <v>4.2510316586672814E-2</v>
      </c>
      <c r="E22" s="124">
        <f t="shared" si="0"/>
        <v>0.58349039526213387</v>
      </c>
      <c r="F22" s="125">
        <f t="shared" si="1"/>
        <v>17196.051661283953</v>
      </c>
      <c r="H22" s="120"/>
    </row>
    <row r="23" spans="2:8">
      <c r="B23" s="122">
        <v>8</v>
      </c>
      <c r="C23" s="123">
        <f t="shared" si="2"/>
        <v>30723.832657763218</v>
      </c>
      <c r="D23" s="138">
        <f>IF($C$12&lt;B23,0,DDM!$C$11)</f>
        <v>4.2510316586672814E-2</v>
      </c>
      <c r="E23" s="124">
        <f t="shared" si="0"/>
        <v>0.54026888450197574</v>
      </c>
      <c r="F23" s="125">
        <f t="shared" si="1"/>
        <v>16599.130797635105</v>
      </c>
      <c r="H23" s="120"/>
    </row>
    <row r="24" spans="2:8">
      <c r="B24" s="122">
        <v>9</v>
      </c>
      <c r="C24" s="123">
        <f t="shared" si="2"/>
        <v>32029.912510800688</v>
      </c>
      <c r="D24" s="138">
        <f>IF($C$12&lt;B24,0,DDM!$C$11)</f>
        <v>4.2510316586672814E-2</v>
      </c>
      <c r="E24" s="124">
        <f t="shared" si="0"/>
        <v>0.50024896713145905</v>
      </c>
      <c r="F24" s="125">
        <f t="shared" si="1"/>
        <v>16022.930650839042</v>
      </c>
      <c r="H24" s="120"/>
    </row>
    <row r="25" spans="2:8">
      <c r="B25" s="122">
        <v>10</v>
      </c>
      <c r="C25" s="123">
        <f t="shared" si="2"/>
        <v>33391.51423187826</v>
      </c>
      <c r="D25" s="138">
        <f>IF($C$12&lt;B25,0,DDM!$C$11)</f>
        <v>4.2510316586672814E-2</v>
      </c>
      <c r="E25" s="124">
        <f t="shared" si="0"/>
        <v>0.46319348808468425</v>
      </c>
      <c r="F25" s="125">
        <f t="shared" si="1"/>
        <v>15466.731949493067</v>
      </c>
      <c r="H25" s="120"/>
    </row>
    <row r="26" spans="2:8">
      <c r="B26" s="122">
        <v>11</v>
      </c>
      <c r="C26" s="123">
        <f t="shared" si="2"/>
        <v>34810.9980731838</v>
      </c>
      <c r="D26" s="138">
        <f>IF($C$12&lt;B26,0,DDM!$C$11)</f>
        <v>4.2510316586672814E-2</v>
      </c>
      <c r="E26" s="124">
        <f t="shared" si="0"/>
        <v>0.42888285933767062</v>
      </c>
      <c r="F26" s="125">
        <f t="shared" si="1"/>
        <v>14929.840390025211</v>
      </c>
      <c r="H26" s="120"/>
    </row>
    <row r="27" spans="2:8">
      <c r="B27" s="122">
        <v>12</v>
      </c>
      <c r="C27" s="123">
        <f t="shared" si="2"/>
        <v>36290.824621972904</v>
      </c>
      <c r="D27" s="138">
        <f>IF($C$12&lt;B27,0,DDM!$C$11)</f>
        <v>4.2510316586672814E-2</v>
      </c>
      <c r="E27" s="124">
        <f t="shared" si="0"/>
        <v>0.39711375864599124</v>
      </c>
      <c r="F27" s="125">
        <f t="shared" si="1"/>
        <v>14411.585769994144</v>
      </c>
      <c r="H27" s="120"/>
    </row>
    <row r="28" spans="2:8">
      <c r="B28" s="122">
        <v>13</v>
      </c>
      <c r="C28" s="123">
        <f t="shared" si="2"/>
        <v>37833.559065844398</v>
      </c>
      <c r="D28" s="138">
        <f>IF($C$12&lt;B28,0,DDM!$C$11)</f>
        <v>4.2510316586672814E-2</v>
      </c>
      <c r="E28" s="124">
        <f t="shared" si="0"/>
        <v>0.36769792467221413</v>
      </c>
      <c r="F28" s="125">
        <f t="shared" si="1"/>
        <v>13911.321151474618</v>
      </c>
      <c r="H28" s="120"/>
    </row>
    <row r="29" spans="2:8">
      <c r="B29" s="122">
        <v>14</v>
      </c>
      <c r="C29" s="123">
        <f t="shared" si="2"/>
        <v>39441.87563933403</v>
      </c>
      <c r="D29" s="138">
        <f>IF($C$12&lt;B29,0,DDM!$C$11)</f>
        <v>4.2510316586672814E-2</v>
      </c>
      <c r="E29" s="124">
        <f t="shared" si="0"/>
        <v>0.34046104136316119</v>
      </c>
      <c r="F29" s="125">
        <f t="shared" si="1"/>
        <v>13428.422053483962</v>
      </c>
      <c r="H29" s="120"/>
    </row>
    <row r="30" spans="2:8">
      <c r="B30" s="122">
        <v>15</v>
      </c>
      <c r="C30" s="123">
        <f t="shared" si="2"/>
        <v>41118.562259534301</v>
      </c>
      <c r="D30" s="138">
        <f>IF($C$12&lt;B30,0,DDM!$C$11)</f>
        <v>4.2510316586672814E-2</v>
      </c>
      <c r="E30" s="124">
        <f t="shared" si="0"/>
        <v>0.31524170496588994</v>
      </c>
      <c r="F30" s="125">
        <f t="shared" si="1"/>
        <v>12962.285672441689</v>
      </c>
      <c r="H30" s="120"/>
    </row>
    <row r="31" spans="2:8">
      <c r="B31" s="122">
        <v>16</v>
      </c>
      <c r="C31" s="123">
        <f t="shared" si="2"/>
        <v>42866.525358775922</v>
      </c>
      <c r="D31" s="138">
        <f>IF($C$12&lt;B31,0,DDM!$C$11)</f>
        <v>4.2510316586672814E-2</v>
      </c>
      <c r="E31" s="124">
        <f t="shared" si="0"/>
        <v>0.29189046756100923</v>
      </c>
      <c r="F31" s="125">
        <f t="shared" si="1"/>
        <v>12512.330129688962</v>
      </c>
      <c r="H31" s="120"/>
    </row>
    <row r="32" spans="2:8">
      <c r="B32" s="122">
        <v>17</v>
      </c>
      <c r="C32" s="123">
        <f t="shared" si="2"/>
        <v>44688.794922748122</v>
      </c>
      <c r="D32" s="138">
        <f>IF($C$12&lt;B32,0,DDM!$C$11)</f>
        <v>4.2510316586672814E-2</v>
      </c>
      <c r="E32" s="124">
        <f t="shared" si="0"/>
        <v>0.27026895144537894</v>
      </c>
      <c r="F32" s="125">
        <f t="shared" si="1"/>
        <v>12077.99374512871</v>
      </c>
      <c r="H32" s="120"/>
    </row>
    <row r="33" spans="2:8">
      <c r="B33" s="122">
        <v>18</v>
      </c>
      <c r="C33" s="123">
        <f t="shared" si="2"/>
        <v>46588.529742791055</v>
      </c>
      <c r="D33" s="138">
        <f>IF($C$12&lt;B33,0,DDM!$C$11)</f>
        <v>4.2510316586672814E-2</v>
      </c>
      <c r="E33" s="124">
        <f t="shared" si="0"/>
        <v>0.25024902911609154</v>
      </c>
      <c r="F33" s="125">
        <f t="shared" si="1"/>
        <v>11658.734336079615</v>
      </c>
      <c r="H33" s="120"/>
    </row>
    <row r="34" spans="2:8">
      <c r="B34" s="122">
        <v>19</v>
      </c>
      <c r="C34" s="123">
        <f t="shared" si="2"/>
        <v>48569.022891464723</v>
      </c>
      <c r="D34" s="138">
        <f>IF($C$12&lt;B34,0,DDM!$C$11)</f>
        <v>4.2510316586672814E-2</v>
      </c>
      <c r="E34" s="124">
        <f t="shared" si="0"/>
        <v>0.23171206399638106</v>
      </c>
      <c r="F34" s="125">
        <f t="shared" si="1"/>
        <v>11254.028540468771</v>
      </c>
      <c r="H34" s="120"/>
    </row>
    <row r="35" spans="2:8">
      <c r="B35" s="122">
        <v>20</v>
      </c>
      <c r="C35" s="123">
        <f t="shared" si="2"/>
        <v>50633.707430886257</v>
      </c>
      <c r="D35" s="138">
        <f>IF($C$12&lt;B35,0,DDM!$C$11)</f>
        <v>4.2510316586672814E-2</v>
      </c>
      <c r="E35" s="124">
        <f t="shared" si="0"/>
        <v>0.21454820740405653</v>
      </c>
      <c r="F35" s="125">
        <f t="shared" si="1"/>
        <v>10863.371163518103</v>
      </c>
      <c r="H35" s="120"/>
    </row>
    <row r="36" spans="2:8">
      <c r="B36" s="122">
        <v>21</v>
      </c>
      <c r="C36" s="123">
        <f t="shared" si="2"/>
        <v>52786.162363730204</v>
      </c>
      <c r="D36" s="138">
        <f>IF($C$12&lt;B36,0,DDM!$C$11)</f>
        <v>4.2510316586672814E-2</v>
      </c>
      <c r="E36" s="124">
        <f t="shared" si="0"/>
        <v>0.19865574759634863</v>
      </c>
      <c r="F36" s="125">
        <f t="shared" si="1"/>
        <v>10486.274547109066</v>
      </c>
      <c r="H36" s="120"/>
    </row>
    <row r="37" spans="2:8">
      <c r="B37" s="122">
        <v>22</v>
      </c>
      <c r="C37" s="123">
        <f t="shared" si="2"/>
        <v>55030.11883720789</v>
      </c>
      <c r="D37" s="138">
        <f>IF($C$12&lt;B37,0,DDM!$C$11)</f>
        <v>4.2510316586672814E-2</v>
      </c>
      <c r="E37" s="124">
        <f t="shared" si="0"/>
        <v>0.18394050703365611</v>
      </c>
      <c r="F37" s="125">
        <f t="shared" si="1"/>
        <v>10122.267961038369</v>
      </c>
      <c r="H37" s="120"/>
    </row>
    <row r="38" spans="2:8">
      <c r="B38" s="122">
        <v>23</v>
      </c>
      <c r="C38" s="123">
        <f t="shared" si="2"/>
        <v>57369.466610779826</v>
      </c>
      <c r="D38" s="138">
        <f>IF($C$12&lt;B38,0,DDM!$C$11)</f>
        <v>4.2510316586672814E-2</v>
      </c>
      <c r="E38" s="124">
        <f t="shared" si="0"/>
        <v>0.17031528429042234</v>
      </c>
      <c r="F38" s="125">
        <f t="shared" si="1"/>
        <v>9770.8970154048584</v>
      </c>
      <c r="H38" s="120"/>
    </row>
    <row r="39" spans="2:8">
      <c r="B39" s="122">
        <v>24</v>
      </c>
      <c r="C39" s="123">
        <f t="shared" si="2"/>
        <v>59808.260798812633</v>
      </c>
      <c r="D39" s="138">
        <f>IF($C$12&lt;B39,0,DDM!$C$11)</f>
        <v>4.2510316586672814E-2</v>
      </c>
      <c r="E39" s="124">
        <f t="shared" si="0"/>
        <v>0.1576993373059466</v>
      </c>
      <c r="F39" s="125">
        <f t="shared" si="1"/>
        <v>9431.7230933939773</v>
      </c>
      <c r="H39" s="120"/>
    </row>
    <row r="40" spans="2:8">
      <c r="B40" s="122">
        <v>25</v>
      </c>
      <c r="C40" s="123">
        <f t="shared" si="2"/>
        <v>62350.728899868453</v>
      </c>
      <c r="D40" s="138">
        <f>IF($C$12&lt;B40,0,DDM!$C$11)</f>
        <v>4.2510316586672814E-2</v>
      </c>
      <c r="E40" s="124">
        <f t="shared" si="0"/>
        <v>0.1460179049129135</v>
      </c>
      <c r="F40" s="125">
        <f t="shared" si="1"/>
        <v>9104.3228037518402</v>
      </c>
      <c r="H40" s="120"/>
    </row>
    <row r="41" spans="2:8">
      <c r="B41" s="122">
        <v>26</v>
      </c>
      <c r="C41" s="123">
        <f t="shared" si="2"/>
        <v>65001.278124811681</v>
      </c>
      <c r="D41" s="138">
        <f>IF($C$12&lt;B41,0,DDM!$C$11)</f>
        <v>4.2510316586672814E-2</v>
      </c>
      <c r="E41" s="124">
        <f t="shared" si="0"/>
        <v>0.13520176380825324</v>
      </c>
      <c r="F41" s="125">
        <f t="shared" si="1"/>
        <v>8788.2874522653674</v>
      </c>
      <c r="H41" s="120"/>
    </row>
    <row r="42" spans="2:8">
      <c r="B42" s="122">
        <v>27</v>
      </c>
      <c r="C42" s="123">
        <f t="shared" si="2"/>
        <v>67764.503036435795</v>
      </c>
      <c r="D42" s="138">
        <f>IF($C$12&lt;B42,0,DDM!$C$11)</f>
        <v>4.2510316586672814E-2</v>
      </c>
      <c r="E42" s="124">
        <f t="shared" si="0"/>
        <v>0.12518681834097523</v>
      </c>
      <c r="F42" s="125">
        <f t="shared" si="1"/>
        <v>8483.2225315887517</v>
      </c>
      <c r="H42" s="120"/>
    </row>
    <row r="43" spans="2:8">
      <c r="B43" s="122">
        <v>28</v>
      </c>
      <c r="C43" s="123">
        <f t="shared" si="2"/>
        <v>70645.193513853243</v>
      </c>
      <c r="D43" s="138">
        <f>IF($C$12&lt;B43,0,DDM!$C$11)</f>
        <v>4.2510316586672814E-2</v>
      </c>
      <c r="E43" s="124">
        <f t="shared" si="0"/>
        <v>0.11591372068608817</v>
      </c>
      <c r="F43" s="125">
        <f t="shared" si="1"/>
        <v>8188.7472287794326</v>
      </c>
      <c r="H43" s="120"/>
    </row>
    <row r="44" spans="2:8">
      <c r="B44" s="122">
        <v>29</v>
      </c>
      <c r="C44" s="123">
        <f t="shared" si="2"/>
        <v>73648.343055453908</v>
      </c>
      <c r="D44" s="138">
        <f>IF($C$12&lt;B44,0,DDM!$C$11)</f>
        <v>4.2510316586672814E-2</v>
      </c>
      <c r="E44" s="124">
        <f t="shared" si="0"/>
        <v>0.10732751915378534</v>
      </c>
      <c r="F44" s="125">
        <f t="shared" si="1"/>
        <v>7904.493949928783</v>
      </c>
      <c r="H44" s="120"/>
    </row>
    <row r="45" spans="2:8">
      <c r="B45" s="122">
        <v>30</v>
      </c>
      <c r="C45" s="123">
        <f t="shared" si="2"/>
        <v>76779.157434825145</v>
      </c>
      <c r="D45" s="138">
        <f>IF($C$12&lt;B45,0,DDM!$C$11)</f>
        <v>4.2510316586672814E-2</v>
      </c>
      <c r="E45" s="124">
        <f t="shared" si="0"/>
        <v>9.9377332549801231E-2</v>
      </c>
      <c r="F45" s="125">
        <f t="shared" si="1"/>
        <v>7630.1078612941619</v>
      </c>
      <c r="H45" s="120"/>
    </row>
    <row r="46" spans="2:8">
      <c r="B46" s="126" t="s">
        <v>132</v>
      </c>
      <c r="C46" s="123">
        <f>C$16*(1+F4)^$C$12/Equity_Cost</f>
        <v>519790.12802138977</v>
      </c>
      <c r="D46" s="139">
        <f>Terminal_Growth</f>
        <v>0</v>
      </c>
      <c r="E46" s="124">
        <f>1/(1+Equity_Cost)^C12</f>
        <v>9.9377332549801231E-2</v>
      </c>
      <c r="F46" s="125">
        <f t="shared" si="1"/>
        <v>51655.356408485408</v>
      </c>
      <c r="H46" s="120"/>
    </row>
    <row r="47" spans="2:8">
      <c r="C47" s="114"/>
      <c r="E47" s="127" t="s">
        <v>101</v>
      </c>
      <c r="F47" s="137">
        <f>SUM(F16:F46)</f>
        <v>451829.81286651577</v>
      </c>
      <c r="H47" s="120"/>
    </row>
    <row r="48" spans="2:8">
      <c r="C48" s="114"/>
      <c r="H48" s="120"/>
    </row>
    <row r="49" spans="1:8" ht="13.15">
      <c r="B49" s="119" t="s">
        <v>130</v>
      </c>
      <c r="C49" s="136"/>
      <c r="D49" s="136"/>
      <c r="E49" s="117"/>
      <c r="F49" s="117"/>
      <c r="H49" s="120"/>
    </row>
    <row r="50" spans="1:8" ht="13.15">
      <c r="A50" s="133">
        <f>F47</f>
        <v>451829.81286651577</v>
      </c>
      <c r="B50" s="131">
        <f>C73</f>
        <v>0</v>
      </c>
      <c r="C50" s="131">
        <f>C72</f>
        <v>0.02</v>
      </c>
      <c r="D50" s="131">
        <f>C71</f>
        <v>0.04</v>
      </c>
      <c r="E50" s="131">
        <f>C70</f>
        <v>0.06</v>
      </c>
      <c r="F50" s="131">
        <f>C69</f>
        <v>0.08</v>
      </c>
      <c r="H50" s="120"/>
    </row>
    <row r="51" spans="1:8" ht="13.15">
      <c r="A51" s="143">
        <v>5</v>
      </c>
      <c r="B51" s="123">
        <f t="dataTable" ref="B51:F56" dt2D="1" dtr="1" r1="C11" r2="C12"/>
        <v>294757.8175345526</v>
      </c>
      <c r="C51" s="123">
        <v>304029.09778932447</v>
      </c>
      <c r="D51" s="123">
        <v>313566.36959432089</v>
      </c>
      <c r="E51" s="123">
        <v>323381.30551804398</v>
      </c>
      <c r="F51" s="123">
        <v>333485.93954267877</v>
      </c>
      <c r="H51" s="120"/>
    </row>
    <row r="52" spans="1:8" ht="13.15">
      <c r="A52" s="143">
        <v>10</v>
      </c>
      <c r="B52" s="123">
        <v>303181.07679074019</v>
      </c>
      <c r="C52" s="123">
        <v>321510.31690939749</v>
      </c>
      <c r="D52" s="123">
        <v>341620.67346023262</v>
      </c>
      <c r="E52" s="123">
        <v>363725.30705092638</v>
      </c>
      <c r="F52" s="123">
        <v>388061.21087636997</v>
      </c>
      <c r="H52" s="120"/>
    </row>
    <row r="53" spans="1:8" ht="13.15">
      <c r="A53" s="143">
        <v>15</v>
      </c>
      <c r="B53" s="123">
        <v>305271.76595888828</v>
      </c>
      <c r="C53" s="123">
        <v>334646.03435178101</v>
      </c>
      <c r="D53" s="123">
        <v>368947.31489207054</v>
      </c>
      <c r="E53" s="123">
        <v>409154.45902432024</v>
      </c>
      <c r="F53" s="123">
        <v>456439.84048036946</v>
      </c>
      <c r="H53" s="120"/>
    </row>
    <row r="54" spans="1:8" ht="13.15">
      <c r="A54" s="144">
        <v>20</v>
      </c>
      <c r="B54" s="123">
        <v>303957.95673586661</v>
      </c>
      <c r="C54" s="123">
        <v>344516.45995201886</v>
      </c>
      <c r="D54" s="123">
        <v>394653.05571360677</v>
      </c>
      <c r="E54" s="123">
        <v>457056.13282183616</v>
      </c>
      <c r="F54" s="123">
        <v>535190.57358294923</v>
      </c>
      <c r="H54" s="120"/>
    </row>
    <row r="55" spans="1:8" ht="13.15">
      <c r="A55" s="144">
        <v>25</v>
      </c>
      <c r="B55" s="123">
        <v>301007.39445565315</v>
      </c>
      <c r="C55" s="123">
        <v>351933.2837347443</v>
      </c>
      <c r="D55" s="123">
        <v>418251.41279293416</v>
      </c>
      <c r="E55" s="123">
        <v>505587.47654576774</v>
      </c>
      <c r="F55" s="123">
        <v>621735.10069409781</v>
      </c>
      <c r="H55" s="120"/>
    </row>
    <row r="56" spans="1:8" ht="13.15">
      <c r="A56" s="144">
        <v>30</v>
      </c>
      <c r="B56" s="123">
        <v>297454.06928013661</v>
      </c>
      <c r="C56" s="123">
        <v>357506.42487900006</v>
      </c>
      <c r="D56" s="123">
        <v>439529.78198205412</v>
      </c>
      <c r="E56" s="123">
        <v>553473.32676061383</v>
      </c>
      <c r="F56" s="123">
        <v>714136.03148038499</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14.634858113071347</v>
      </c>
      <c r="D61" s="124">
        <f t="shared" si="4"/>
        <v>15.093947787930817</v>
      </c>
      <c r="E61" s="124">
        <f t="shared" si="4"/>
        <v>15.566403206431939</v>
      </c>
      <c r="F61" s="124">
        <f t="shared" si="4"/>
        <v>16.052803640832188</v>
      </c>
      <c r="H61" s="120"/>
    </row>
    <row r="62" spans="1:8" ht="13.15">
      <c r="A62" s="143">
        <f t="shared" si="3"/>
        <v>10</v>
      </c>
      <c r="B62" s="124">
        <f t="shared" si="4"/>
        <v>14.594037457807008</v>
      </c>
      <c r="C62" s="124">
        <f t="shared" si="4"/>
        <v>15.476340600524106</v>
      </c>
      <c r="D62" s="124">
        <f t="shared" si="4"/>
        <v>16.444380228522771</v>
      </c>
      <c r="E62" s="124">
        <f t="shared" si="4"/>
        <v>17.508417120364619</v>
      </c>
      <c r="F62" s="124">
        <f t="shared" si="4"/>
        <v>18.679859268923408</v>
      </c>
      <c r="H62" s="120"/>
    </row>
    <row r="63" spans="1:8" ht="13.15">
      <c r="A63" s="143">
        <f t="shared" si="3"/>
        <v>15</v>
      </c>
      <c r="B63" s="124">
        <f t="shared" si="4"/>
        <v>14.694675651837979</v>
      </c>
      <c r="C63" s="124">
        <f t="shared" si="4"/>
        <v>16.108646397503744</v>
      </c>
      <c r="D63" s="124">
        <f t="shared" si="4"/>
        <v>17.759785638628777</v>
      </c>
      <c r="E63" s="124">
        <f t="shared" si="4"/>
        <v>19.695211733650211</v>
      </c>
      <c r="F63" s="124">
        <f t="shared" si="4"/>
        <v>21.971358502046915</v>
      </c>
      <c r="H63" s="120"/>
    </row>
    <row r="64" spans="1:8" ht="13.15">
      <c r="A64" s="144">
        <f t="shared" si="3"/>
        <v>20</v>
      </c>
      <c r="B64" s="124">
        <f t="shared" si="4"/>
        <v>14.631433640772675</v>
      </c>
      <c r="C64" s="124">
        <f t="shared" si="4"/>
        <v>16.583772887782008</v>
      </c>
      <c r="D64" s="124">
        <f t="shared" si="4"/>
        <v>18.997166772046651</v>
      </c>
      <c r="E64" s="124">
        <f t="shared" si="4"/>
        <v>22.00102458019246</v>
      </c>
      <c r="F64" s="124">
        <f t="shared" si="4"/>
        <v>25.762133179986556</v>
      </c>
      <c r="H64" s="120"/>
    </row>
    <row r="65" spans="1:8" ht="13.15">
      <c r="A65" s="144">
        <f t="shared" si="3"/>
        <v>25</v>
      </c>
      <c r="B65" s="124">
        <f t="shared" si="4"/>
        <v>14.489404273719702</v>
      </c>
      <c r="C65" s="124">
        <f t="shared" si="4"/>
        <v>16.940791885302616</v>
      </c>
      <c r="D65" s="124">
        <f t="shared" si="4"/>
        <v>20.133106095186253</v>
      </c>
      <c r="E65" s="124">
        <f t="shared" si="4"/>
        <v>24.337147453301789</v>
      </c>
      <c r="F65" s="124">
        <f t="shared" si="4"/>
        <v>29.928072834921089</v>
      </c>
    </row>
    <row r="66" spans="1:8" ht="13.15">
      <c r="A66" s="144">
        <f t="shared" si="3"/>
        <v>30</v>
      </c>
      <c r="B66" s="124">
        <f t="shared" si="4"/>
        <v>14.318360086990827</v>
      </c>
      <c r="C66" s="124">
        <f t="shared" si="4"/>
        <v>17.209062687286252</v>
      </c>
      <c r="D66" s="124">
        <f t="shared" si="4"/>
        <v>21.157369615436895</v>
      </c>
      <c r="E66" s="124">
        <f t="shared" si="4"/>
        <v>26.642198609963373</v>
      </c>
      <c r="F66" s="124">
        <f t="shared" si="4"/>
        <v>34.375918522737756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34.375918522737756</v>
      </c>
      <c r="F69" s="142">
        <f>Scenarios!C58</f>
        <v>0.05</v>
      </c>
    </row>
    <row r="70" spans="1:8">
      <c r="B70" s="127" t="str">
        <f>Scenarios!B36</f>
        <v>Optimistic</v>
      </c>
      <c r="C70" s="142">
        <f>Scenarios!C38</f>
        <v>0.06</v>
      </c>
      <c r="D70" s="145">
        <f>Scenarios!C37</f>
        <v>30</v>
      </c>
      <c r="E70" s="135">
        <f>INDEX(B$60:F$66, MATCH(D70, A$60:A$66, 0), MATCH(C70, B$59:F$59, 0))</f>
        <v>26.642198609963373</v>
      </c>
      <c r="F70" s="142">
        <f>Scenarios!C40*(1-F$69-F$73)</f>
        <v>0.18</v>
      </c>
      <c r="H70" s="120"/>
    </row>
    <row r="71" spans="1:8">
      <c r="B71" s="127" t="str">
        <f>Scenarios!B24</f>
        <v>Base</v>
      </c>
      <c r="C71" s="142">
        <f>Scenarios!C26</f>
        <v>0.04</v>
      </c>
      <c r="D71" s="145">
        <f>Scenarios!C25</f>
        <v>30</v>
      </c>
      <c r="E71" s="135">
        <f>INDEX(B$60:F$66, MATCH(D71, A$60:A$66, 0), MATCH(C71, B$59:F$59, 0))</f>
        <v>21.157369615436895</v>
      </c>
      <c r="F71" s="142">
        <f>Scenarios!C28*(1-F$69-F$73)</f>
        <v>0.53999999999999992</v>
      </c>
      <c r="H71" s="120"/>
    </row>
    <row r="72" spans="1:8">
      <c r="B72" s="127" t="str">
        <f>Scenarios!B30</f>
        <v>Pessimistic</v>
      </c>
      <c r="C72" s="142">
        <f>Scenarios!C32</f>
        <v>0.02</v>
      </c>
      <c r="D72" s="145">
        <f>Scenarios!C31</f>
        <v>30</v>
      </c>
      <c r="E72" s="135">
        <f>INDEX(B$60:F$66, MATCH(D72, A$60:A$66, 0), MATCH(C72, B$59:F$59, 0))</f>
        <v>17.209062687286252</v>
      </c>
      <c r="F72" s="142">
        <f>Scenarios!C34*(1-F$69-F$73)</f>
        <v>0.18</v>
      </c>
      <c r="H72" s="120"/>
    </row>
    <row r="73" spans="1:8">
      <c r="B73" s="127" t="str">
        <f>Scenarios!B48</f>
        <v>Devil's advocate</v>
      </c>
      <c r="C73" s="142">
        <f>Scenarios!C50</f>
        <v>0</v>
      </c>
      <c r="D73" s="145">
        <f>Scenarios!C49</f>
        <v>30</v>
      </c>
      <c r="E73" s="135">
        <f>INDEX(B$60:F$66, MATCH(D73, A$60:A$66, 0), MATCH(C73, B$59:F$59, 0))</f>
        <v>14.318360086990827</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-22.7</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22.812920556327281</v>
      </c>
    </row>
    <row r="7" spans="2:9" ht="12.75" customHeight="1">
      <c r="B7" s="100" t="s">
        <v>276</v>
      </c>
      <c r="C7" s="356">
        <f>Normalized_FCF!G8</f>
        <v>-721</v>
      </c>
      <c r="D7" t="str">
        <f>Reporting_currency</f>
        <v>CNY</v>
      </c>
      <c r="E7" s="33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30"/>
      <c r="H7" s="247">
        <v>4</v>
      </c>
      <c r="I7" s="124" t="str">
        <f t="shared" si="0"/>
        <v/>
      </c>
    </row>
    <row r="8" spans="2:9">
      <c r="B8" s="100" t="s">
        <v>66</v>
      </c>
      <c r="C8" s="356">
        <f>Normalized_FCF!G19</f>
        <v>-206364</v>
      </c>
      <c r="D8" t="str">
        <f>Reporting_currency</f>
        <v>CNY</v>
      </c>
      <c r="E8" s="330"/>
      <c r="F8" s="330"/>
      <c r="H8" s="247">
        <v>5</v>
      </c>
      <c r="I8" s="124" t="str">
        <f t="shared" si="0"/>
        <v/>
      </c>
    </row>
    <row r="9" spans="2:9">
      <c r="B9" s="100" t="s">
        <v>57</v>
      </c>
      <c r="C9" s="356">
        <f>Normalized_FCF!C19</f>
        <v>4524.9375</v>
      </c>
      <c r="D9" t="str">
        <f>Reporting_currency</f>
        <v>CNY</v>
      </c>
      <c r="E9" s="330"/>
      <c r="F9" s="330"/>
      <c r="H9" s="247">
        <v>6</v>
      </c>
      <c r="I9" s="124" t="str">
        <f t="shared" si="0"/>
        <v/>
      </c>
    </row>
    <row r="10" spans="2:9">
      <c r="E10" s="330"/>
      <c r="F10" s="330"/>
      <c r="H10" s="247">
        <v>7</v>
      </c>
      <c r="I10" s="124" t="str">
        <f t="shared" si="0"/>
        <v/>
      </c>
    </row>
    <row r="11" spans="2:9" ht="13.15">
      <c r="B11" s="159" t="s">
        <v>456</v>
      </c>
      <c r="E11" s="330"/>
      <c r="F11" s="330"/>
      <c r="H11" s="247">
        <v>8</v>
      </c>
      <c r="I11" s="124" t="str">
        <f t="shared" si="0"/>
        <v/>
      </c>
    </row>
    <row r="12" spans="2:9">
      <c r="B12" s="118" t="s">
        <v>145</v>
      </c>
      <c r="C12" s="158">
        <f ca="1">(Normalized_FCF!G4/OFFSET(Normalized_FCF!G4, 0, $C$4))^(1/$C$4) - 1</f>
        <v>-5.5054441259114184E-2</v>
      </c>
      <c r="D12" s="158"/>
      <c r="E12" s="330"/>
      <c r="F12" s="330"/>
      <c r="H12" s="247">
        <v>9</v>
      </c>
      <c r="I12" s="124" t="str">
        <f t="shared" si="0"/>
        <v/>
      </c>
    </row>
    <row r="13" spans="2:9">
      <c r="B13" s="148" t="s">
        <v>153</v>
      </c>
      <c r="C13" s="158">
        <f ca="1">(Normalized_FCF!G8/OFFSET(Normalized_FCF!G8, 0, $C$4))^(1/$C$4) - 1</f>
        <v>-1.3520092995664894</v>
      </c>
      <c r="E13" s="330"/>
      <c r="F13" s="330"/>
      <c r="H13" s="247">
        <v>10</v>
      </c>
      <c r="I13" s="124" t="str">
        <f t="shared" si="0"/>
        <v/>
      </c>
    </row>
    <row r="14" spans="2:9">
      <c r="B14" s="100" t="s">
        <v>66</v>
      </c>
      <c r="C14" s="158">
        <f ca="1">(Normalized_FCF!G19/OFFSET(Normalized_FCF!G19, 0, $C$4))^(1/$C$4) - 1</f>
        <v>7.6158467823697729E-2</v>
      </c>
      <c r="E14" s="330"/>
      <c r="F14" s="330"/>
    </row>
    <row r="16" spans="2:9" ht="13.9">
      <c r="B16" s="36" t="s">
        <v>163</v>
      </c>
      <c r="C16" s="37"/>
      <c r="D16" s="37"/>
      <c r="E16" s="37"/>
      <c r="F16" s="37"/>
    </row>
    <row r="17" spans="2:6" ht="13.15">
      <c r="B17" s="109" t="s">
        <v>152</v>
      </c>
      <c r="E17" s="159" t="s">
        <v>332</v>
      </c>
    </row>
    <row r="18" spans="2:6">
      <c r="B18" s="152" t="s">
        <v>134</v>
      </c>
      <c r="C18" s="150">
        <v>30</v>
      </c>
      <c r="E18" s="330" t="s">
        <v>333</v>
      </c>
      <c r="F18" s="331"/>
    </row>
    <row r="19" spans="2:6">
      <c r="E19" s="331"/>
      <c r="F19" s="331"/>
    </row>
    <row r="20" spans="2:6" ht="13.15">
      <c r="B20" s="159" t="s">
        <v>305</v>
      </c>
      <c r="E20" s="331"/>
      <c r="F20" s="331"/>
    </row>
    <row r="21" spans="2:6">
      <c r="B21" s="100" t="s">
        <v>278</v>
      </c>
      <c r="C21" s="160">
        <f>Market_Price</f>
        <v>22.7</v>
      </c>
      <c r="D21" t="str">
        <f>Market_currency</f>
        <v>CNY</v>
      </c>
      <c r="E21" s="331"/>
      <c r="F21" s="331"/>
    </row>
    <row r="22" spans="2:6">
      <c r="B22" s="100" t="s">
        <v>279</v>
      </c>
      <c r="C22" s="160">
        <f>IF(valuation_method="DCF",DCF!C12,DDM!C7)</f>
        <v>13.25</v>
      </c>
      <c r="D22" t="str">
        <f>Market_currency</f>
        <v>CNY</v>
      </c>
      <c r="E22" s="331"/>
      <c r="F22" s="331"/>
    </row>
    <row r="24" spans="2:6" ht="13.15">
      <c r="B24" s="159" t="s">
        <v>116</v>
      </c>
      <c r="E24" s="159" t="s">
        <v>150</v>
      </c>
      <c r="F24" s="159"/>
    </row>
    <row r="25" spans="2:6">
      <c r="B25" s="152" t="s">
        <v>134</v>
      </c>
      <c r="C25" s="166">
        <f>C18</f>
        <v>30</v>
      </c>
      <c r="D25" s="163"/>
      <c r="E25" s="329"/>
      <c r="F25" s="329"/>
    </row>
    <row r="26" spans="2:6">
      <c r="B26" s="118" t="s">
        <v>135</v>
      </c>
      <c r="C26" s="164">
        <v>0.04</v>
      </c>
      <c r="D26" s="164"/>
      <c r="E26" s="329"/>
      <c r="F26" s="329"/>
    </row>
    <row r="27" spans="2:6">
      <c r="B27" s="100" t="s">
        <v>114</v>
      </c>
      <c r="C27" s="160">
        <f>IF(valuation_method="DCF",DCF!E76,DDM!E71)</f>
        <v>21.157369615436895</v>
      </c>
      <c r="D27" s="160" t="str">
        <f>Market_currency</f>
        <v>CNY</v>
      </c>
      <c r="E27" s="329"/>
      <c r="F27" s="329"/>
    </row>
    <row r="28" spans="2:6">
      <c r="B28" s="100" t="s">
        <v>148</v>
      </c>
      <c r="C28" s="165">
        <v>0.6</v>
      </c>
      <c r="D28" s="165"/>
      <c r="E28" s="329"/>
      <c r="F28" s="329"/>
    </row>
    <row r="30" spans="2:6" ht="13.15">
      <c r="B30" s="159" t="s">
        <v>117</v>
      </c>
      <c r="E30" s="159" t="s">
        <v>150</v>
      </c>
      <c r="F30" s="159"/>
    </row>
    <row r="31" spans="2:6">
      <c r="B31" s="152" t="s">
        <v>134</v>
      </c>
      <c r="C31" s="166">
        <f>C18</f>
        <v>30</v>
      </c>
      <c r="D31" s="163"/>
      <c r="E31" s="329"/>
      <c r="F31" s="329"/>
    </row>
    <row r="32" spans="2:6">
      <c r="B32" s="118" t="s">
        <v>135</v>
      </c>
      <c r="C32" s="164">
        <v>0.02</v>
      </c>
      <c r="D32" s="164"/>
      <c r="E32" s="329"/>
      <c r="F32" s="329"/>
    </row>
    <row r="33" spans="2:6">
      <c r="B33" s="100" t="s">
        <v>114</v>
      </c>
      <c r="C33" s="160">
        <f>IF(valuation_method="DCF",DCF!E77,DDM!E72)</f>
        <v>17.209062687286252</v>
      </c>
      <c r="D33" t="str">
        <f>Market_currency</f>
        <v>CNY</v>
      </c>
      <c r="E33" s="329"/>
      <c r="F33" s="329"/>
    </row>
    <row r="34" spans="2:6">
      <c r="B34" s="100" t="s">
        <v>148</v>
      </c>
      <c r="C34" s="165">
        <v>0.2</v>
      </c>
      <c r="D34" s="165"/>
      <c r="E34" s="329"/>
      <c r="F34" s="329"/>
    </row>
    <row r="36" spans="2:6" ht="13.15">
      <c r="B36" s="159" t="s">
        <v>115</v>
      </c>
      <c r="E36" s="159" t="s">
        <v>150</v>
      </c>
      <c r="F36" s="159"/>
    </row>
    <row r="37" spans="2:6">
      <c r="B37" s="152" t="s">
        <v>134</v>
      </c>
      <c r="C37" s="166">
        <f>C18</f>
        <v>30</v>
      </c>
      <c r="D37" s="163"/>
      <c r="E37" s="329"/>
      <c r="F37" s="329"/>
    </row>
    <row r="38" spans="2:6">
      <c r="B38" s="118" t="s">
        <v>135</v>
      </c>
      <c r="C38" s="164">
        <v>0.06</v>
      </c>
      <c r="D38" s="164"/>
      <c r="E38" s="329"/>
      <c r="F38" s="329"/>
    </row>
    <row r="39" spans="2:6">
      <c r="B39" s="100" t="s">
        <v>114</v>
      </c>
      <c r="C39" s="160">
        <f>IF(valuation_method="DCF",DCF!E75,DDM!E70)</f>
        <v>26.642198609963373</v>
      </c>
      <c r="D39" t="str">
        <f>Market_currency</f>
        <v>CNY</v>
      </c>
      <c r="E39" s="329"/>
      <c r="F39" s="329"/>
    </row>
    <row r="40" spans="2:6">
      <c r="B40" s="100" t="s">
        <v>148</v>
      </c>
      <c r="C40" s="167">
        <f>1-C28-C34</f>
        <v>0.2</v>
      </c>
      <c r="D40" s="165"/>
      <c r="E40" s="329"/>
      <c r="F40" s="329"/>
    </row>
    <row r="42" spans="2:6" ht="13.15">
      <c r="B42" s="100" t="s">
        <v>121</v>
      </c>
      <c r="C42" s="154">
        <f>C27*C28+C33*C34+C39*C40</f>
        <v>21.464674028712061</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29"/>
      <c r="F49" s="329"/>
    </row>
    <row r="50" spans="2:6">
      <c r="B50" s="118" t="s">
        <v>135</v>
      </c>
      <c r="C50" s="164">
        <v>0</v>
      </c>
      <c r="D50" s="164"/>
      <c r="E50" s="329"/>
      <c r="F50" s="329"/>
    </row>
    <row r="51" spans="2:6">
      <c r="B51" s="100" t="s">
        <v>114</v>
      </c>
      <c r="C51" s="160">
        <f>IF(valuation_method="DCF",DCF!E78,DDM!E73)</f>
        <v>14.318360086990827</v>
      </c>
      <c r="D51" t="str">
        <f>Market_currency</f>
        <v>CNY</v>
      </c>
      <c r="E51" s="329"/>
      <c r="F51" s="329"/>
    </row>
    <row r="52" spans="2:6">
      <c r="B52" s="100" t="s">
        <v>148</v>
      </c>
      <c r="C52" s="165">
        <v>0.05</v>
      </c>
      <c r="D52" s="165"/>
      <c r="E52" s="329"/>
      <c r="F52" s="329"/>
    </row>
    <row r="54" spans="2:6" ht="13.15">
      <c r="B54" s="159" t="s">
        <v>318</v>
      </c>
      <c r="E54" s="159" t="s">
        <v>150</v>
      </c>
      <c r="F54" s="159"/>
    </row>
    <row r="55" spans="2:6">
      <c r="B55" s="152" t="s">
        <v>134</v>
      </c>
      <c r="C55" s="166">
        <f>C46</f>
        <v>30</v>
      </c>
      <c r="D55" s="163"/>
      <c r="E55" s="329"/>
      <c r="F55" s="329"/>
    </row>
    <row r="56" spans="2:6">
      <c r="B56" s="118" t="s">
        <v>135</v>
      </c>
      <c r="C56" s="164">
        <v>0.08</v>
      </c>
      <c r="D56" s="164"/>
      <c r="E56" s="329"/>
      <c r="F56" s="329"/>
    </row>
    <row r="57" spans="2:6">
      <c r="B57" s="100" t="s">
        <v>114</v>
      </c>
      <c r="C57" s="160">
        <f>IF(valuation_method="DCF",DCF!E74,DDM!E69)</f>
        <v>34.375918522737756</v>
      </c>
      <c r="D57" t="str">
        <f>Market_currency</f>
        <v>CNY</v>
      </c>
      <c r="E57" s="329"/>
      <c r="F57" s="329"/>
    </row>
    <row r="58" spans="2:6">
      <c r="B58" s="100" t="s">
        <v>148</v>
      </c>
      <c r="C58" s="165">
        <v>0.05</v>
      </c>
      <c r="D58" s="165"/>
      <c r="E58" s="329"/>
      <c r="F58" s="329"/>
    </row>
    <row r="60" spans="2:6" ht="13.15">
      <c r="B60" s="100" t="s">
        <v>121</v>
      </c>
      <c r="C60" s="154">
        <f>C51*C52+C57*C58+C42*(1-C52-C58)</f>
        <v>21.752920556327282</v>
      </c>
      <c r="D60" t="str">
        <f>Market_currency</f>
        <v>CNY</v>
      </c>
      <c r="E60" s="100" t="s">
        <v>298</v>
      </c>
      <c r="F60" s="279">
        <f>Thesis!F28</f>
        <v>3</v>
      </c>
    </row>
    <row r="62" spans="2:6" ht="13.9">
      <c r="B62" s="36" t="s">
        <v>352</v>
      </c>
      <c r="C62" s="37"/>
      <c r="D62" s="37"/>
      <c r="E62" s="37"/>
      <c r="F62" s="37"/>
    </row>
    <row r="63" spans="2:6" ht="13.15">
      <c r="B63" s="109" t="s">
        <v>306</v>
      </c>
      <c r="E63" s="252" t="s">
        <v>313</v>
      </c>
    </row>
    <row r="64" spans="2:6">
      <c r="B64" s="152" t="s">
        <v>134</v>
      </c>
      <c r="C64" s="166">
        <f>C18</f>
        <v>30</v>
      </c>
      <c r="D64" s="150"/>
      <c r="E64" s="251" t="s">
        <v>399</v>
      </c>
    </row>
    <row r="65" spans="2:6">
      <c r="B65" s="118" t="s">
        <v>135</v>
      </c>
      <c r="C65" s="151">
        <v>4.2510316586672814E-2</v>
      </c>
      <c r="D65" s="151"/>
      <c r="E65" s="251" t="s">
        <v>314</v>
      </c>
    </row>
    <row r="66" spans="2:6">
      <c r="B66" s="100" t="s">
        <v>103</v>
      </c>
      <c r="C66" s="160">
        <f>IF(valuation_method="DCF",DCF!C18,DDM!C13)</f>
        <v>21.74944849239106</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3">
        <f>BS!D89/C60</f>
        <v>0</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1.06</v>
      </c>
      <c r="D77" t="str">
        <f>Market_currency</f>
        <v>CNY</v>
      </c>
    </row>
    <row r="79" spans="2:6" ht="13.15">
      <c r="B79" s="109" t="s">
        <v>303</v>
      </c>
    </row>
    <row r="80" spans="2:6">
      <c r="B80" s="148" t="s">
        <v>301</v>
      </c>
      <c r="C80" s="167">
        <f>Thesis!F29</f>
        <v>0.4</v>
      </c>
    </row>
    <row r="81" spans="2:8">
      <c r="B81" s="100" t="s">
        <v>122</v>
      </c>
      <c r="C81" s="116">
        <f>PV(C80, C76, -C77, 0)</f>
        <v>1.6842565597667636</v>
      </c>
      <c r="D81" s="116"/>
      <c r="E81" s="100"/>
      <c r="F81" s="100"/>
    </row>
    <row r="82" spans="2:8">
      <c r="B82" s="100" t="s">
        <v>123</v>
      </c>
      <c r="C82" s="116">
        <f>C60/(1+C80)^C76</f>
        <v>7.9274491823350175</v>
      </c>
      <c r="D82" s="116"/>
    </row>
    <row r="83" spans="2:8" ht="13.15">
      <c r="B83" s="110" t="s">
        <v>102</v>
      </c>
      <c r="C83" s="111">
        <f>C81+C82</f>
        <v>9.6117057421017815</v>
      </c>
      <c r="D83" t="str">
        <f>Market_currency</f>
        <v>CNY</v>
      </c>
      <c r="E83" s="146" t="s">
        <v>127</v>
      </c>
      <c r="F83" s="293">
        <f>(1-C83/C60)</f>
        <v>0.55814182664745582</v>
      </c>
    </row>
    <row r="84" spans="2:8">
      <c r="E84" s="120"/>
    </row>
    <row r="85" spans="2:8" ht="13.15">
      <c r="B85" s="109" t="s">
        <v>304</v>
      </c>
    </row>
    <row r="86" spans="2:8">
      <c r="B86" s="148" t="s">
        <v>302</v>
      </c>
      <c r="C86" s="116">
        <f>Market_Price</f>
        <v>22.7</v>
      </c>
      <c r="D86" t="str">
        <f>Market_currency</f>
        <v>CNY</v>
      </c>
    </row>
    <row r="87" spans="2:8" ht="13.15">
      <c r="B87" s="100" t="s">
        <v>300</v>
      </c>
      <c r="C87" s="237">
        <f ca="1">IRR(OFFSET($I$3, 0, 0, $C$76 + 1, 1))</f>
        <v>3.3241061492891966E-2</v>
      </c>
    </row>
    <row r="88" spans="2:8">
      <c r="B88" s="100"/>
    </row>
    <row r="89" spans="2:8" ht="13.15">
      <c r="B89" s="109" t="s">
        <v>417</v>
      </c>
    </row>
    <row r="90" spans="2:8">
      <c r="B90" s="148" t="s">
        <v>418</v>
      </c>
      <c r="C90" s="167">
        <f>Thesis!F30</f>
        <v>0.22</v>
      </c>
    </row>
    <row r="91" spans="2:8">
      <c r="B91" s="100" t="s">
        <v>122</v>
      </c>
      <c r="C91" s="116">
        <f>PV(C90, C76, -C77, 0)</f>
        <v>2.1647759063533951</v>
      </c>
      <c r="D91" s="116"/>
      <c r="E91" s="100"/>
      <c r="F91" s="100"/>
    </row>
    <row r="92" spans="2:8">
      <c r="B92" s="100" t="s">
        <v>123</v>
      </c>
      <c r="C92" s="116">
        <f>C60/(1+C90)^C76</f>
        <v>11.97948317057776</v>
      </c>
      <c r="D92" s="116"/>
    </row>
    <row r="93" spans="2:8" ht="13.15">
      <c r="B93" s="110" t="s">
        <v>102</v>
      </c>
      <c r="C93" s="111">
        <f>C91+C92</f>
        <v>14.144259076931155</v>
      </c>
      <c r="D93" t="str">
        <f>Market_currency</f>
        <v>CNY</v>
      </c>
      <c r="E93" s="146" t="s">
        <v>127</v>
      </c>
      <c r="F93" s="293">
        <f>(1-C93/C60)</f>
        <v>0.34977654884061038</v>
      </c>
    </row>
    <row r="95" spans="2:8" ht="13.15">
      <c r="B95" s="109" t="s">
        <v>401</v>
      </c>
      <c r="G95" s="2"/>
      <c r="H95" s="283"/>
    </row>
    <row r="96" spans="2:8">
      <c r="B96" s="148" t="s">
        <v>407</v>
      </c>
      <c r="C96" s="134">
        <f>Thesis!F31</f>
        <v>0.08</v>
      </c>
      <c r="G96" s="2"/>
      <c r="H96" s="283"/>
    </row>
    <row r="97" spans="2:8">
      <c r="B97" s="100" t="s">
        <v>122</v>
      </c>
      <c r="C97" s="116">
        <f>PV(C96, C76, -C77, 0)</f>
        <v>2.731722806482753</v>
      </c>
      <c r="D97" s="116"/>
      <c r="G97" s="2"/>
      <c r="H97" s="283"/>
    </row>
    <row r="98" spans="2:8">
      <c r="B98" s="100" t="s">
        <v>123</v>
      </c>
      <c r="C98" s="116">
        <f>C60/(1+C96)^C76</f>
        <v>17.268169673963001</v>
      </c>
      <c r="D98" s="116"/>
      <c r="G98" s="2"/>
      <c r="H98" s="283"/>
    </row>
    <row r="99" spans="2:8" ht="13.15">
      <c r="B99" s="110" t="s">
        <v>402</v>
      </c>
      <c r="C99" s="111">
        <f>C97+C98</f>
        <v>19.999892480445755</v>
      </c>
      <c r="D99" t="s">
        <v>400</v>
      </c>
      <c r="E99" s="146" t="s">
        <v>127</v>
      </c>
      <c r="F99" s="293">
        <f>(1-C99/C60)</f>
        <v>8.0588170739750331E-2</v>
      </c>
    </row>
    <row r="100" spans="2:8">
      <c r="B100" s="100"/>
    </row>
    <row r="101" spans="2:8" ht="13.15">
      <c r="B101" s="109" t="s">
        <v>427</v>
      </c>
    </row>
    <row r="102" spans="2:8">
      <c r="B102" s="148" t="s">
        <v>426</v>
      </c>
      <c r="C102" s="134">
        <f>Thesis!F32</f>
        <v>0.12</v>
      </c>
    </row>
    <row r="103" spans="2:8">
      <c r="B103" s="100" t="s">
        <v>122</v>
      </c>
      <c r="C103" s="116">
        <f>PV(C102, C76, -C77, 0)</f>
        <v>2.5459411443148712</v>
      </c>
      <c r="D103" s="116"/>
    </row>
    <row r="104" spans="2:8">
      <c r="B104" s="100" t="s">
        <v>123</v>
      </c>
      <c r="C104" s="116">
        <f>C60/(1+C102)^C76</f>
        <v>15.483299184248073</v>
      </c>
      <c r="D104" s="116"/>
    </row>
    <row r="105" spans="2:8" ht="13.15">
      <c r="B105" s="110" t="s">
        <v>402</v>
      </c>
      <c r="C105" s="111">
        <f>C103+C104</f>
        <v>18.029240328562945</v>
      </c>
      <c r="D105" t="s">
        <v>400</v>
      </c>
      <c r="E105" s="146" t="s">
        <v>127</v>
      </c>
      <c r="F105" s="293">
        <f>(1-C105/C66)</f>
        <v>0.17104839072722289</v>
      </c>
    </row>
    <row r="106" spans="2:8">
      <c r="B106" s="100"/>
    </row>
    <row r="107" spans="2:8" ht="14.65">
      <c r="E107" s="287" t="s">
        <v>327</v>
      </c>
      <c r="F107" s="284"/>
    </row>
    <row r="108" spans="2:8" ht="13.9">
      <c r="E108" s="280" t="s">
        <v>328</v>
      </c>
      <c r="F108" s="285" t="s">
        <v>329</v>
      </c>
    </row>
    <row r="109" spans="2:8" ht="13.9">
      <c r="E109" s="281" t="s">
        <v>328</v>
      </c>
      <c r="F109" s="285" t="s">
        <v>330</v>
      </c>
    </row>
    <row r="110" spans="2:8" ht="13.9">
      <c r="E110" s="282" t="s">
        <v>328</v>
      </c>
      <c r="F110" s="286"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2025-05-20T09:39:42Z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