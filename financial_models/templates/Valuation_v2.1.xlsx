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D9FBBDB9-106A-4663-A0E2-7E49C719F80B}" xr6:coauthVersionLast="47" xr6:coauthVersionMax="47" xr10:uidLastSave="{00000000-0000-0000-0000-000000000000}"/>
  <bookViews>
    <workbookView minimized="1" xWindow="40860" yWindow="3390" windowWidth="12690" windowHeight="765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83" i="9" l="1"/>
  <c r="C72" i="9"/>
  <c r="F72" i="9"/>
  <c r="H50" i="2"/>
  <c r="I50" i="2"/>
  <c r="J50" i="2"/>
  <c r="K50" i="2"/>
  <c r="L50" i="2"/>
  <c r="M50" i="2"/>
  <c r="N50" i="2"/>
  <c r="O50" i="2"/>
  <c r="P50" i="2"/>
  <c r="Q50" i="2"/>
  <c r="G50" i="2"/>
  <c r="G12" i="2" s="1"/>
  <c r="H48" i="2"/>
  <c r="I48" i="2"/>
  <c r="J48" i="2"/>
  <c r="K48" i="2"/>
  <c r="L48" i="2"/>
  <c r="M48" i="2"/>
  <c r="N48" i="2"/>
  <c r="O48" i="2"/>
  <c r="P48" i="2"/>
  <c r="Q48" i="2"/>
  <c r="G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80"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C30" i="2"/>
  <c r="C5" i="2"/>
  <c r="C6" i="2" s="1"/>
  <c r="C8" i="2" s="1"/>
  <c r="C34" i="6"/>
  <c r="I55" i="2"/>
  <c r="I43" i="2"/>
  <c r="H55" i="2"/>
  <c r="H43" i="2"/>
  <c r="J55" i="2"/>
  <c r="J43" i="2"/>
  <c r="G55" i="2"/>
  <c r="C7" i="9"/>
  <c r="K55" i="2"/>
  <c r="C13" i="9"/>
  <c r="G79" i="2"/>
  <c r="L74" i="2"/>
  <c r="I74" i="2"/>
  <c r="H74" i="2"/>
  <c r="G74" i="2"/>
  <c r="K74" i="2"/>
  <c r="J74" i="2"/>
  <c r="C104" i="2"/>
  <c r="D76" i="3" l="1"/>
  <c r="D75" i="3" s="1"/>
  <c r="D55" i="3"/>
  <c r="G29" i="3"/>
  <c r="D62" i="3" s="1"/>
  <c r="C48" i="2" l="1"/>
  <c r="C40" i="6" s="1"/>
  <c r="D66" i="3"/>
  <c r="C8" i="8" s="1"/>
  <c r="D51" i="3"/>
  <c r="C46" i="3"/>
  <c r="C47" i="3" s="1"/>
  <c r="C62" i="3"/>
  <c r="C83" i="2" s="1"/>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C82" i="9"/>
  <c r="C112" i="6"/>
  <c r="C87" i="9" l="1"/>
  <c r="C21" i="6" s="1"/>
  <c r="C83" i="9"/>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<sst xmlns="http://schemas.openxmlformats.org/spreadsheetml/2006/main" count="561" uniqueCount="392">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</sst>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B12" sqref="B12:F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290" t="s">
        <v>345</v>
      </c>
      <c r="F1" s="291" t="s">
        <v>347</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367</v>
      </c>
      <c r="D5" s="49" t="s">
        <v>368</v>
      </c>
    </row>
    <row r="6" spans="1:10" x14ac:dyDescent="0.35">
      <c r="B6" s="4" t="s">
        <v>98</v>
      </c>
      <c r="C6" s="50">
        <v>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9" t="s">
        <v>285</v>
      </c>
      <c r="C12" s="339"/>
      <c r="D12" s="339"/>
      <c r="E12" s="339"/>
      <c r="F12" s="339"/>
    </row>
    <row r="14" spans="1:10" x14ac:dyDescent="0.35">
      <c r="B14" s="45" t="s">
        <v>332</v>
      </c>
      <c r="C14" s="46"/>
      <c r="D14" s="5"/>
    </row>
    <row r="15" spans="1:10" x14ac:dyDescent="0.35">
      <c r="B15" s="2" t="s">
        <v>389</v>
      </c>
      <c r="C15" s="32" t="str">
        <f>IF(Scenarios!C69="Y",Scenarios!B69,"")&amp;IF(Scenarios!C70="Y",Scenarios!B70,"")&amp;IF(Scenarios!C71="Y",Scenarios!B71,"")&amp;" "&amp;IF(Scenarios!C72="Y",Scenarios!B72,"")</f>
        <v>Negative Growth Asset Play</v>
      </c>
      <c r="E15" s="5"/>
    </row>
    <row r="16" spans="1:10" x14ac:dyDescent="0.35">
      <c r="B16" s="4" t="s">
        <v>388</v>
      </c>
      <c r="C16" s="48" t="s">
        <v>42</v>
      </c>
      <c r="D16" s="32"/>
      <c r="E16" s="5"/>
    </row>
    <row r="17" spans="1:6" x14ac:dyDescent="0.35">
      <c r="B17" s="4" t="s">
        <v>1</v>
      </c>
      <c r="C17" s="50">
        <v>1</v>
      </c>
      <c r="D17" s="32" t="str">
        <f>IF(C16=D6,D6,C16&amp;"/"&amp;D6)</f>
        <v>HKD</v>
      </c>
      <c r="E17" s="5"/>
    </row>
    <row r="18" spans="1:6" x14ac:dyDescent="0.35">
      <c r="B18" s="2" t="s">
        <v>59</v>
      </c>
      <c r="C18" s="48" t="s">
        <v>348</v>
      </c>
      <c r="E18" s="5"/>
    </row>
    <row r="19" spans="1:6" x14ac:dyDescent="0.35">
      <c r="B19" s="2" t="s">
        <v>292</v>
      </c>
      <c r="C19" s="255">
        <v>0.2</v>
      </c>
      <c r="E19" s="5"/>
    </row>
    <row r="20" spans="1:6" x14ac:dyDescent="0.35">
      <c r="B20" s="2" t="str">
        <f>"Target Buy Price ("&amp;Market_currency&amp;"):"</f>
        <v>Target Buy Price (HKD):</v>
      </c>
      <c r="C20" s="258">
        <f>C127</f>
        <v>6.4501768017717804</v>
      </c>
      <c r="D20" s="1" t="s">
        <v>335</v>
      </c>
      <c r="E20" s="337">
        <v>3</v>
      </c>
    </row>
    <row r="21" spans="1:6" x14ac:dyDescent="0.35">
      <c r="B21" s="1" t="s">
        <v>334</v>
      </c>
      <c r="C21" s="286">
        <f ca="1">Scenarios!C87</f>
        <v>0.11614149089878545</v>
      </c>
      <c r="D21" s="5"/>
      <c r="E21" s="5"/>
    </row>
    <row r="22" spans="1:6" x14ac:dyDescent="0.35">
      <c r="D22" s="5"/>
      <c r="E22" s="5"/>
    </row>
    <row r="23" spans="1:6" ht="13.9" x14ac:dyDescent="0.45">
      <c r="A23" s="253" t="s">
        <v>234</v>
      </c>
      <c r="B23" s="36"/>
      <c r="C23" s="36"/>
      <c r="D23" s="36"/>
      <c r="E23" s="36"/>
      <c r="F23" s="36"/>
    </row>
    <row r="25" spans="1:6" x14ac:dyDescent="0.35">
      <c r="B25" s="339" t="s">
        <v>235</v>
      </c>
      <c r="C25" s="339"/>
      <c r="D25" s="339"/>
      <c r="E25" s="339"/>
      <c r="F25" s="339"/>
    </row>
    <row r="26" spans="1:6" ht="24.4" customHeight="1" x14ac:dyDescent="0.35">
      <c r="B26" s="340" t="s">
        <v>378</v>
      </c>
      <c r="C26" s="340"/>
      <c r="D26" s="340"/>
      <c r="E26" s="340"/>
      <c r="F26" s="340"/>
    </row>
    <row r="28" spans="1:6" x14ac:dyDescent="0.35">
      <c r="B28" s="240" t="s">
        <v>236</v>
      </c>
      <c r="C28" s="111">
        <f>Data!C3</f>
        <v>1000000</v>
      </c>
    </row>
    <row r="29" spans="1:6" ht="24.4" customHeight="1" x14ac:dyDescent="0.35">
      <c r="B29" s="338" t="s">
        <v>237</v>
      </c>
      <c r="C29" s="338"/>
      <c r="D29" s="338"/>
      <c r="E29" s="338"/>
      <c r="F29" s="338"/>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8" t="s">
        <v>239</v>
      </c>
      <c r="C32" s="338"/>
      <c r="D32" s="338"/>
      <c r="E32" s="338"/>
      <c r="F32" s="338"/>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8" t="s">
        <v>242</v>
      </c>
      <c r="C36" s="338"/>
      <c r="D36" s="338"/>
      <c r="E36" s="338"/>
      <c r="F36" s="338"/>
    </row>
    <row r="37" spans="2:6" x14ac:dyDescent="0.35">
      <c r="B37" s="47" t="s">
        <v>243</v>
      </c>
      <c r="C37" s="191">
        <f>Normalized_FCF!C11</f>
        <v>639</v>
      </c>
      <c r="D37" s="1" t="str">
        <f>Reporting_currency</f>
        <v>HKD</v>
      </c>
    </row>
    <row r="39" spans="2:6" x14ac:dyDescent="0.35">
      <c r="B39" s="338" t="s">
        <v>246</v>
      </c>
      <c r="C39" s="338"/>
      <c r="D39" s="338"/>
      <c r="E39" s="338"/>
      <c r="F39" s="338"/>
    </row>
    <row r="40" spans="2:6" x14ac:dyDescent="0.35">
      <c r="B40" s="47" t="s">
        <v>379</v>
      </c>
      <c r="C40" s="329">
        <f>Normalized_FCF!C48</f>
        <v>185.19539222287685</v>
      </c>
      <c r="D40" s="1" t="str">
        <f>Reporting_currency</f>
        <v>HKD</v>
      </c>
      <c r="E40" s="328"/>
      <c r="F40" s="328"/>
    </row>
    <row r="41" spans="2:6" x14ac:dyDescent="0.35">
      <c r="B41" s="47" t="s">
        <v>380</v>
      </c>
      <c r="C41" s="329">
        <f>Normalized_FCF!C47</f>
        <v>-43</v>
      </c>
      <c r="D41" s="1" t="str">
        <f>Reporting_currency</f>
        <v>HKD</v>
      </c>
      <c r="E41" s="328"/>
      <c r="F41" s="328"/>
    </row>
    <row r="42" spans="2:6" x14ac:dyDescent="0.35">
      <c r="B42" s="47" t="s">
        <v>244</v>
      </c>
      <c r="C42" s="191">
        <f>Normalized_FCF!C12</f>
        <v>142.19539222287685</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8" t="s">
        <v>247</v>
      </c>
      <c r="C47" s="338"/>
      <c r="D47" s="338"/>
      <c r="E47" s="338"/>
      <c r="F47" s="338"/>
    </row>
    <row r="48" spans="2:6" x14ac:dyDescent="0.35">
      <c r="B48" s="47" t="s">
        <v>245</v>
      </c>
      <c r="C48" s="191">
        <f>Normalized_FCF!C14</f>
        <v>-809.52375635047554</v>
      </c>
      <c r="D48" s="1" t="str">
        <f>Reporting_currency</f>
        <v>HKD</v>
      </c>
    </row>
    <row r="50" spans="1:6" x14ac:dyDescent="0.35">
      <c r="B50" s="338" t="s">
        <v>377</v>
      </c>
      <c r="C50" s="342"/>
      <c r="D50" s="342"/>
      <c r="E50" s="342"/>
      <c r="F50" s="342"/>
    </row>
    <row r="51" spans="1:6" x14ac:dyDescent="0.35">
      <c r="B51" s="47" t="s">
        <v>248</v>
      </c>
      <c r="C51" s="1">
        <f>Normalized_FCF!C17</f>
        <v>0</v>
      </c>
      <c r="D51" s="1" t="str">
        <f>Reporting_currency</f>
        <v>HKD</v>
      </c>
    </row>
    <row r="53" spans="1:6" ht="24.4" customHeight="1" x14ac:dyDescent="0.35">
      <c r="B53" s="339" t="s">
        <v>382</v>
      </c>
      <c r="C53" s="339"/>
      <c r="D53" s="339"/>
      <c r="E53" s="339"/>
      <c r="F53" s="339"/>
    </row>
    <row r="54" spans="1:6" ht="24.4" customHeight="1" x14ac:dyDescent="0.35">
      <c r="B54" s="339" t="s">
        <v>267</v>
      </c>
      <c r="C54" s="339"/>
      <c r="D54" s="339"/>
      <c r="E54" s="339"/>
      <c r="F54" s="339"/>
    </row>
    <row r="56" spans="1:6" x14ac:dyDescent="0.35">
      <c r="B56" s="47" t="s">
        <v>284</v>
      </c>
      <c r="C56" s="191">
        <f>Normalized_FCF!G19</f>
        <v>2807.968614974819</v>
      </c>
      <c r="D56" s="1" t="str">
        <f>Reporting_currency</f>
        <v>HKD</v>
      </c>
    </row>
    <row r="57" spans="1:6" x14ac:dyDescent="0.35">
      <c r="B57" s="47" t="s">
        <v>254</v>
      </c>
      <c r="C57" s="191">
        <f>Normalized_FCF!C19</f>
        <v>2540.6221871727971</v>
      </c>
      <c r="D57" s="1" t="str">
        <f>Reporting_currency</f>
        <v>HKD</v>
      </c>
    </row>
    <row r="58" spans="1:6" x14ac:dyDescent="0.35">
      <c r="B58" s="260" t="s">
        <v>283</v>
      </c>
      <c r="C58" s="94">
        <f>Normalized_FCF!C121</f>
        <v>3.9354193616452378E-2</v>
      </c>
    </row>
    <row r="59" spans="1:6" x14ac:dyDescent="0.35">
      <c r="B59" s="260" t="s">
        <v>336</v>
      </c>
      <c r="C59" s="94">
        <f>Normalized_FCF!C93</f>
        <v>7.3417721518987331E-2</v>
      </c>
    </row>
    <row r="61" spans="1:6" ht="13.9" x14ac:dyDescent="0.45">
      <c r="A61" s="253" t="s">
        <v>301</v>
      </c>
      <c r="B61" s="36"/>
      <c r="C61" s="36"/>
      <c r="D61" s="36"/>
      <c r="E61" s="36"/>
      <c r="F61" s="36"/>
    </row>
    <row r="62" spans="1:6" x14ac:dyDescent="0.35">
      <c r="A62" s="239"/>
    </row>
    <row r="63" spans="1:6" ht="24.4" customHeight="1" x14ac:dyDescent="0.35">
      <c r="A63" s="17"/>
      <c r="B63" s="338" t="s">
        <v>302</v>
      </c>
      <c r="C63" s="338"/>
      <c r="D63" s="338"/>
      <c r="E63" s="338"/>
      <c r="F63" s="338"/>
    </row>
    <row r="64" spans="1:6" x14ac:dyDescent="0.35">
      <c r="B64" s="340" t="s">
        <v>258</v>
      </c>
      <c r="C64" s="340"/>
      <c r="D64" s="340"/>
      <c r="E64" s="340"/>
      <c r="F64" s="340"/>
    </row>
    <row r="66" spans="1:6" x14ac:dyDescent="0.35">
      <c r="B66" s="240" t="s">
        <v>236</v>
      </c>
    </row>
    <row r="67" spans="1:6" x14ac:dyDescent="0.35">
      <c r="B67" s="1" t="s">
        <v>307</v>
      </c>
      <c r="C67" s="318">
        <v>0.08</v>
      </c>
    </row>
    <row r="68" spans="1:6" x14ac:dyDescent="0.35">
      <c r="B68" s="1" t="s">
        <v>309</v>
      </c>
      <c r="C68" s="269">
        <f>IF(D68="Y",1%,0)</f>
        <v>0.01</v>
      </c>
      <c r="D68" s="293" t="s">
        <v>306</v>
      </c>
    </row>
    <row r="69" spans="1:6" x14ac:dyDescent="0.35">
      <c r="B69" s="1" t="s">
        <v>308</v>
      </c>
      <c r="C69" s="269">
        <f>IF(D69="Y",1%,0)</f>
        <v>0</v>
      </c>
      <c r="D69" s="293" t="s">
        <v>353</v>
      </c>
    </row>
    <row r="70" spans="1:6" x14ac:dyDescent="0.35">
      <c r="B70" s="82" t="s">
        <v>253</v>
      </c>
      <c r="C70" s="269">
        <f>SUM(C67:C69)</f>
        <v>0.09</v>
      </c>
    </row>
    <row r="71" spans="1:6" x14ac:dyDescent="0.35">
      <c r="C71" s="125"/>
    </row>
    <row r="72" spans="1:6" x14ac:dyDescent="0.35">
      <c r="B72" s="339" t="s">
        <v>383</v>
      </c>
      <c r="C72" s="339"/>
      <c r="D72" s="339"/>
      <c r="E72" s="339"/>
      <c r="F72" s="339"/>
    </row>
    <row r="73" spans="1:6" ht="24.4" customHeight="1" x14ac:dyDescent="0.35">
      <c r="B73" s="339" t="s">
        <v>384</v>
      </c>
      <c r="C73" s="339"/>
      <c r="D73" s="339"/>
      <c r="E73" s="339"/>
      <c r="F73" s="339"/>
    </row>
    <row r="75" spans="1:6" x14ac:dyDescent="0.35">
      <c r="B75" s="47" t="s">
        <v>257</v>
      </c>
      <c r="C75" s="269">
        <v>0</v>
      </c>
    </row>
    <row r="76" spans="1:6" x14ac:dyDescent="0.35">
      <c r="B76" s="47" t="s">
        <v>300</v>
      </c>
      <c r="C76" s="254">
        <f>Valuation_Model!C6*C28*Exchange_Rate/Common_Shares</f>
        <v>3.4544236618885975</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9" t="s">
        <v>260</v>
      </c>
      <c r="C80" s="339"/>
      <c r="D80" s="339"/>
      <c r="E80" s="339"/>
      <c r="F80" s="339"/>
    </row>
    <row r="81" spans="2:6" x14ac:dyDescent="0.35">
      <c r="B81" s="1" t="s">
        <v>261</v>
      </c>
    </row>
    <row r="83" spans="2:6" x14ac:dyDescent="0.35">
      <c r="B83" s="240" t="s">
        <v>236</v>
      </c>
    </row>
    <row r="84" spans="2:6" ht="24.4" customHeight="1" x14ac:dyDescent="0.35">
      <c r="B84" s="339" t="s">
        <v>385</v>
      </c>
      <c r="C84" s="339"/>
      <c r="D84" s="339"/>
      <c r="E84" s="339"/>
      <c r="F84" s="339"/>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41505.820259237436</v>
      </c>
      <c r="D90" s="1" t="str">
        <f>Reporting_currency</f>
        <v>HKD</v>
      </c>
    </row>
    <row r="91" spans="2:6" x14ac:dyDescent="0.35">
      <c r="B91" s="47" t="s">
        <v>304</v>
      </c>
      <c r="C91" s="254">
        <f>C90*C28*Exchange_Rate/Common_Shares</f>
        <v>5.0791030441342784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9" t="s">
        <v>266</v>
      </c>
      <c r="C97" s="339"/>
      <c r="D97" s="339"/>
      <c r="E97" s="339"/>
      <c r="F97" s="339"/>
    </row>
    <row r="99" spans="1:6" x14ac:dyDescent="0.35">
      <c r="B99" s="47" t="s">
        <v>299</v>
      </c>
      <c r="C99" s="254">
        <f>Valuation_Model!C12</f>
        <v>9.111288498532895</v>
      </c>
      <c r="D99" s="1" t="str">
        <f>Market_currency</f>
        <v>HKD</v>
      </c>
    </row>
    <row r="101" spans="1:6" ht="13.9" x14ac:dyDescent="0.45">
      <c r="A101" s="253" t="s">
        <v>276</v>
      </c>
      <c r="B101" s="36"/>
      <c r="C101" s="36"/>
      <c r="D101" s="36"/>
      <c r="E101" s="36"/>
      <c r="F101" s="36"/>
    </row>
    <row r="103" spans="1:6" ht="24.4" customHeight="1" x14ac:dyDescent="0.35">
      <c r="B103" s="338" t="s">
        <v>365</v>
      </c>
      <c r="C103" s="338"/>
      <c r="D103" s="338"/>
      <c r="E103" s="338"/>
      <c r="F103" s="338"/>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10.16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9.34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9.11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8.62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7.26 HKD</v>
      </c>
      <c r="F110" s="252">
        <f>Valuation_Model!F78</f>
        <v>0.05</v>
      </c>
    </row>
    <row r="112" spans="1:6" x14ac:dyDescent="0.35">
      <c r="B112" s="241" t="s">
        <v>268</v>
      </c>
      <c r="C112" s="247">
        <f>Scenarios!C60</f>
        <v>9.0347055134616365</v>
      </c>
      <c r="D112" s="242" t="str">
        <f>Market_currency</f>
        <v>HKD</v>
      </c>
    </row>
    <row r="114" spans="1:6" ht="24.4" customHeight="1" x14ac:dyDescent="0.35">
      <c r="B114" s="343" t="s">
        <v>366</v>
      </c>
      <c r="C114" s="343"/>
      <c r="D114" s="343"/>
      <c r="E114" s="343"/>
      <c r="F114" s="343"/>
    </row>
    <row r="116" spans="1:6" ht="13.9" x14ac:dyDescent="0.45">
      <c r="A116" s="253" t="s">
        <v>298</v>
      </c>
      <c r="B116" s="36"/>
      <c r="C116" s="36"/>
      <c r="D116" s="36"/>
      <c r="E116" s="36"/>
      <c r="F116" s="36"/>
    </row>
    <row r="118" spans="1:6" x14ac:dyDescent="0.35">
      <c r="B118" s="341" t="s">
        <v>274</v>
      </c>
      <c r="C118" s="341"/>
      <c r="D118" s="341"/>
      <c r="E118" s="341"/>
      <c r="F118" s="341"/>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5.2284175425125214</v>
      </c>
    </row>
    <row r="127" spans="1:6" x14ac:dyDescent="0.35">
      <c r="B127" s="82" t="s">
        <v>270</v>
      </c>
      <c r="C127" s="245">
        <f>Scenarios!C83</f>
        <v>6.4501768017717804</v>
      </c>
      <c r="D127" s="47" t="str">
        <f>Reporting_currency</f>
        <v>HKD</v>
      </c>
    </row>
    <row r="128" spans="1:6" x14ac:dyDescent="0.35">
      <c r="B128" s="244" t="s">
        <v>272</v>
      </c>
      <c r="C128" s="94">
        <f>Scenarios!F83</f>
        <v>0.28606673541699057</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c r="F4" s="184"/>
      <c r="G4" s="184"/>
      <c r="H4" s="184"/>
      <c r="I4" s="184"/>
      <c r="J4" s="184"/>
      <c r="K4" s="184"/>
      <c r="L4" s="184"/>
      <c r="M4" s="184"/>
    </row>
    <row r="5" spans="2:13" x14ac:dyDescent="0.35">
      <c r="B5" s="40" t="s">
        <v>45</v>
      </c>
      <c r="C5" s="193">
        <v>5344</v>
      </c>
      <c r="D5" s="184">
        <v>6492</v>
      </c>
      <c r="E5" s="184"/>
      <c r="F5" s="184"/>
      <c r="G5" s="184"/>
      <c r="H5" s="184"/>
      <c r="I5" s="184"/>
      <c r="J5" s="184"/>
      <c r="K5" s="184"/>
      <c r="L5" s="184"/>
      <c r="M5" s="184"/>
    </row>
    <row r="6" spans="2:13" x14ac:dyDescent="0.35">
      <c r="B6" s="40" t="s">
        <v>57</v>
      </c>
      <c r="C6" s="193">
        <v>1084</v>
      </c>
      <c r="D6" s="184">
        <v>1129</v>
      </c>
      <c r="E6" s="184"/>
      <c r="F6" s="184"/>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c r="F12" s="184"/>
      <c r="G12" s="184"/>
      <c r="H12" s="184"/>
      <c r="I12" s="184"/>
      <c r="J12" s="184"/>
      <c r="K12" s="184"/>
      <c r="L12" s="184"/>
      <c r="M12" s="184"/>
    </row>
    <row r="13" spans="2:13" x14ac:dyDescent="0.35">
      <c r="B13" s="40" t="s">
        <v>70</v>
      </c>
      <c r="C13" s="193">
        <v>2340</v>
      </c>
      <c r="D13" s="184">
        <v>1390.845307</v>
      </c>
      <c r="E13" s="184"/>
      <c r="F13" s="184"/>
      <c r="G13" s="184"/>
      <c r="H13" s="184"/>
      <c r="I13" s="184"/>
      <c r="J13" s="184"/>
      <c r="K13" s="184"/>
      <c r="L13" s="184"/>
      <c r="M13" s="184"/>
    </row>
    <row r="14" spans="2:13" x14ac:dyDescent="0.35">
      <c r="B14" s="40" t="s">
        <v>52</v>
      </c>
      <c r="C14" s="193">
        <v>519</v>
      </c>
      <c r="D14" s="184">
        <v>860.83482800000002</v>
      </c>
      <c r="E14" s="184"/>
      <c r="F14" s="184"/>
      <c r="G14" s="184"/>
      <c r="H14" s="184"/>
      <c r="I14" s="184"/>
      <c r="J14" s="184"/>
      <c r="K14" s="184"/>
      <c r="L14" s="184"/>
      <c r="M14" s="184"/>
    </row>
    <row r="15" spans="2:13" x14ac:dyDescent="0.35">
      <c r="B15" s="43" t="s">
        <v>44</v>
      </c>
      <c r="C15" s="195">
        <v>4251</v>
      </c>
      <c r="D15" s="185">
        <v>5880</v>
      </c>
      <c r="E15" s="185"/>
      <c r="F15" s="185"/>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c r="F19" s="184"/>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90</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1">
        <v>0.6</v>
      </c>
      <c r="E4" s="25"/>
      <c r="F4" s="4" t="s">
        <v>81</v>
      </c>
      <c r="G4" s="19">
        <v>45665</v>
      </c>
      <c r="H4" s="301">
        <v>0.9</v>
      </c>
    </row>
    <row r="5" spans="2:8" ht="15" customHeight="1" x14ac:dyDescent="0.35">
      <c r="B5" s="1" t="s">
        <v>33</v>
      </c>
      <c r="C5" s="19">
        <v>0</v>
      </c>
      <c r="D5" s="301">
        <v>0.6</v>
      </c>
      <c r="E5" s="25"/>
      <c r="F5" s="1" t="s">
        <v>29</v>
      </c>
      <c r="G5" s="19">
        <v>2014</v>
      </c>
      <c r="H5" s="301">
        <v>0.7</v>
      </c>
    </row>
    <row r="6" spans="2:8" ht="15" customHeight="1" x14ac:dyDescent="0.35">
      <c r="B6" s="4" t="s">
        <v>10</v>
      </c>
      <c r="C6" s="19">
        <v>9844</v>
      </c>
      <c r="D6" s="301">
        <v>0.5</v>
      </c>
      <c r="E6" s="25"/>
      <c r="F6" s="4" t="s">
        <v>181</v>
      </c>
      <c r="G6" s="19">
        <v>156</v>
      </c>
      <c r="H6" s="301">
        <v>0.6</v>
      </c>
    </row>
    <row r="7" spans="2:8" ht="15" customHeight="1" x14ac:dyDescent="0.35">
      <c r="B7" s="1" t="s">
        <v>72</v>
      </c>
      <c r="C7" s="19">
        <v>5466</v>
      </c>
      <c r="D7" s="301">
        <v>0.6</v>
      </c>
      <c r="E7" s="25"/>
      <c r="F7" s="4" t="s">
        <v>182</v>
      </c>
      <c r="G7" s="19">
        <v>0</v>
      </c>
      <c r="H7" s="301">
        <v>0.6</v>
      </c>
    </row>
    <row r="8" spans="2:8" ht="15" customHeight="1" x14ac:dyDescent="0.35">
      <c r="B8" s="1" t="s">
        <v>177</v>
      </c>
      <c r="C8" s="19">
        <v>0</v>
      </c>
      <c r="D8" s="301">
        <v>0.6</v>
      </c>
      <c r="E8" s="25"/>
      <c r="F8" s="1" t="s">
        <v>183</v>
      </c>
      <c r="G8" s="19">
        <v>0</v>
      </c>
      <c r="H8" s="301">
        <v>0.6</v>
      </c>
    </row>
    <row r="9" spans="2:8" ht="15" customHeight="1" x14ac:dyDescent="0.35">
      <c r="B9" s="4" t="s">
        <v>25</v>
      </c>
      <c r="C9" s="19">
        <v>0</v>
      </c>
      <c r="D9" s="301">
        <v>0.1</v>
      </c>
      <c r="E9" s="25"/>
      <c r="F9" s="4" t="s">
        <v>184</v>
      </c>
      <c r="G9" s="19">
        <v>0</v>
      </c>
      <c r="H9" s="301">
        <v>0.6</v>
      </c>
    </row>
    <row r="10" spans="2:8" ht="15" customHeight="1" x14ac:dyDescent="0.35">
      <c r="B10" s="4" t="s">
        <v>11</v>
      </c>
      <c r="C10" s="19">
        <v>10</v>
      </c>
      <c r="D10" s="301">
        <v>0.9</v>
      </c>
      <c r="H10" s="302"/>
    </row>
    <row r="11" spans="2:8" ht="15" customHeight="1" x14ac:dyDescent="0.35">
      <c r="B11" s="4" t="s">
        <v>12</v>
      </c>
      <c r="C11" s="19">
        <v>0</v>
      </c>
      <c r="D11" s="301">
        <v>0.05</v>
      </c>
      <c r="H11" s="302"/>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1">
        <v>0.4</v>
      </c>
      <c r="F15" s="4" t="s">
        <v>82</v>
      </c>
      <c r="G15" s="19">
        <v>0</v>
      </c>
      <c r="H15" s="301">
        <v>0.8</v>
      </c>
    </row>
    <row r="16" spans="2:8" ht="15" customHeight="1" x14ac:dyDescent="0.35">
      <c r="B16" s="1" t="s">
        <v>34</v>
      </c>
      <c r="C16" s="19">
        <v>0</v>
      </c>
      <c r="D16" s="301">
        <v>0.5</v>
      </c>
      <c r="F16" s="4" t="s">
        <v>181</v>
      </c>
      <c r="G16" s="19">
        <v>1373</v>
      </c>
      <c r="H16" s="301">
        <v>0.6</v>
      </c>
    </row>
    <row r="17" spans="2:8" ht="15" customHeight="1" x14ac:dyDescent="0.35">
      <c r="B17" s="1" t="s">
        <v>72</v>
      </c>
      <c r="C17" s="19">
        <v>67668</v>
      </c>
      <c r="D17" s="301">
        <v>0.6</v>
      </c>
      <c r="F17" s="4" t="s">
        <v>182</v>
      </c>
      <c r="G17" s="19">
        <v>13024</v>
      </c>
      <c r="H17" s="301">
        <v>0.6</v>
      </c>
    </row>
    <row r="18" spans="2:8" ht="15" customHeight="1" x14ac:dyDescent="0.35">
      <c r="B18" s="4" t="s">
        <v>177</v>
      </c>
      <c r="C18" s="19">
        <v>0</v>
      </c>
      <c r="D18" s="301">
        <v>0.6</v>
      </c>
      <c r="F18" s="4" t="s">
        <v>185</v>
      </c>
      <c r="G18" s="19">
        <v>23696</v>
      </c>
      <c r="H18" s="301">
        <v>0.1</v>
      </c>
    </row>
    <row r="19" spans="2:8" ht="15" customHeight="1" x14ac:dyDescent="0.35">
      <c r="B19" s="4" t="s">
        <v>26</v>
      </c>
      <c r="C19" s="19">
        <v>1284</v>
      </c>
      <c r="D19" s="301">
        <v>0.1</v>
      </c>
      <c r="F19" s="4" t="s">
        <v>186</v>
      </c>
      <c r="G19" s="19">
        <v>0</v>
      </c>
      <c r="H19" s="301">
        <v>0.1</v>
      </c>
    </row>
    <row r="20" spans="2:8" ht="15" customHeight="1" x14ac:dyDescent="0.35">
      <c r="B20" s="4" t="s">
        <v>18</v>
      </c>
      <c r="C20" s="19">
        <v>0</v>
      </c>
      <c r="D20" s="301">
        <v>0.05</v>
      </c>
      <c r="F20" s="4" t="s">
        <v>183</v>
      </c>
      <c r="G20" s="19">
        <v>0</v>
      </c>
      <c r="H20" s="301">
        <v>0.2</v>
      </c>
    </row>
    <row r="21" spans="2:8" ht="15" customHeight="1" x14ac:dyDescent="0.35">
      <c r="B21" s="4" t="s">
        <v>19</v>
      </c>
      <c r="C21" s="19">
        <v>0</v>
      </c>
      <c r="D21" s="301">
        <v>0.05</v>
      </c>
      <c r="F21" s="1" t="s">
        <v>184</v>
      </c>
      <c r="G21" s="19">
        <v>0</v>
      </c>
      <c r="H21" s="301">
        <v>0.1</v>
      </c>
    </row>
    <row r="22" spans="2:8" ht="15" customHeight="1" x14ac:dyDescent="0.35">
      <c r="B22" s="4" t="s">
        <v>20</v>
      </c>
      <c r="C22" s="19">
        <v>10</v>
      </c>
      <c r="D22" s="301">
        <v>0.9</v>
      </c>
      <c r="H22" s="302"/>
    </row>
    <row r="23" spans="2:8" ht="15" customHeight="1" x14ac:dyDescent="0.35">
      <c r="B23" s="4" t="s">
        <v>21</v>
      </c>
      <c r="C23" s="19">
        <v>0</v>
      </c>
      <c r="D23" s="301">
        <v>0</v>
      </c>
      <c r="H23" s="302"/>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4"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4" t="s">
        <v>62</v>
      </c>
    </row>
    <row r="66" spans="2:6" ht="15" customHeight="1" x14ac:dyDescent="0.35">
      <c r="B66" s="108" t="s">
        <v>191</v>
      </c>
      <c r="C66" s="20">
        <f>G4+G5+G15</f>
        <v>47679</v>
      </c>
      <c r="D66" s="191">
        <f>C66-D75</f>
        <v>41505.820259237436</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2" t="s">
        <v>350</v>
      </c>
      <c r="C72" s="267" t="s">
        <v>99</v>
      </c>
      <c r="D72" s="209" t="s">
        <v>60</v>
      </c>
      <c r="F72" s="289"/>
    </row>
    <row r="73" spans="2:6" ht="15" customHeight="1" x14ac:dyDescent="0.35">
      <c r="B73" s="108" t="s">
        <v>349</v>
      </c>
      <c r="C73" s="191">
        <f>(Normalized_FCF!G25+Normalized_FCF!G35)/12</f>
        <v>-535.66666666666663</v>
      </c>
      <c r="D73" s="191">
        <f>(Normalized_FCF!C25+Normalized_FCF!C35)/12</f>
        <v>-514.43164506354685</v>
      </c>
    </row>
    <row r="74" spans="2:6" ht="15" customHeight="1" x14ac:dyDescent="0.35">
      <c r="B74" s="295" t="s">
        <v>355</v>
      </c>
      <c r="C74" s="296">
        <f>-$C$66/C73</f>
        <v>89.008711885500944</v>
      </c>
      <c r="D74" s="296">
        <f>-$C$66/D73</f>
        <v>92.682867505381196</v>
      </c>
      <c r="F74" s="289" t="s">
        <v>351</v>
      </c>
    </row>
    <row r="75" spans="2:6" ht="15" customHeight="1" x14ac:dyDescent="0.35">
      <c r="B75" s="82" t="s">
        <v>352</v>
      </c>
      <c r="C75" s="300"/>
      <c r="D75" s="299">
        <f>MAX(-D73*D76,G5)</f>
        <v>6173.1797407625618</v>
      </c>
      <c r="F75" s="289" t="s">
        <v>354</v>
      </c>
    </row>
    <row r="76" spans="2:6" ht="15" customHeight="1" x14ac:dyDescent="0.35">
      <c r="B76" s="297" t="s">
        <v>356</v>
      </c>
      <c r="C76" s="298"/>
      <c r="D76" s="334">
        <f>IF(D74&lt;=3,1,IF(D74&gt;18,IF(D74&gt;36,12,6),2))</f>
        <v>12</v>
      </c>
      <c r="F76" s="289" t="s">
        <v>357</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41505.820259237436</v>
      </c>
      <c r="D87" s="254">
        <f>C87*$H$1/Common_Shares</f>
        <v>5.0791030441342784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46227.220259237438</v>
      </c>
      <c r="D89" s="277">
        <f>SUM(D86:D88)</f>
        <v>5.6568648366442948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9"/>
      <c r="F3" s="9"/>
      <c r="G3" s="9"/>
    </row>
    <row r="4" spans="1:17" ht="15.75" customHeight="1" x14ac:dyDescent="0.35">
      <c r="A4" s="10"/>
      <c r="B4" s="26" t="s">
        <v>2</v>
      </c>
      <c r="C4" s="196">
        <f>G4</f>
        <v>8765</v>
      </c>
      <c r="D4" s="57"/>
      <c r="E4" s="307"/>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9"/>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9"/>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9"/>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5"/>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9"/>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9"/>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8"/>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142.19539222287685</v>
      </c>
      <c r="E12" s="309"/>
      <c r="G12" s="197">
        <f>G50</f>
        <v>259.96861497481899</v>
      </c>
      <c r="H12" s="197">
        <f t="shared" ref="H12:Q12" si="6">H50</f>
        <v>139.30261332735768</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3373.015651460315</v>
      </c>
      <c r="E13" s="309"/>
      <c r="G13" s="187">
        <f>IF(G$4="","",SUM(G8:G12))</f>
        <v>3326.968614974819</v>
      </c>
      <c r="H13" s="187">
        <f t="shared" ref="H13:Q13" si="7">IF(H$4="","",SUM(H8:H12))</f>
        <v>5416.3026133273579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-809.52375635047554</v>
      </c>
      <c r="E14" s="309"/>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6"/>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2540.6221871727971</v>
      </c>
      <c r="D16" s="62"/>
      <c r="E16" s="317"/>
      <c r="F16" s="62"/>
      <c r="G16" s="187">
        <f>IF(G$4="","",SUM(G13:G15))</f>
        <v>2807.968614974819</v>
      </c>
      <c r="H16" s="187">
        <f t="shared" ref="H16:Q16" si="8">IF(H$4="","",SUM(H13:H15))</f>
        <v>4524.4677853273579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8" t="s">
        <v>369</v>
      </c>
      <c r="F17" s="59"/>
      <c r="G17" s="201"/>
      <c r="H17" s="201"/>
      <c r="I17" s="201"/>
      <c r="J17" s="201"/>
      <c r="K17" s="201"/>
      <c r="L17" s="201"/>
      <c r="M17" s="201"/>
      <c r="N17" s="201"/>
      <c r="O17" s="201"/>
      <c r="P17" s="201"/>
      <c r="Q17" s="201"/>
    </row>
    <row r="18" spans="1:17" ht="15.75" customHeight="1" x14ac:dyDescent="0.35">
      <c r="A18" s="10"/>
      <c r="B18" s="27" t="s">
        <v>102</v>
      </c>
      <c r="C18" s="197">
        <v>0</v>
      </c>
      <c r="D18" s="59"/>
      <c r="E18" s="308" t="s">
        <v>370</v>
      </c>
      <c r="F18" s="59"/>
      <c r="G18" s="202"/>
      <c r="H18" s="202"/>
      <c r="I18" s="202"/>
      <c r="J18" s="202"/>
      <c r="K18" s="202"/>
      <c r="L18" s="202"/>
      <c r="M18" s="202"/>
      <c r="N18" s="202"/>
      <c r="O18" s="202"/>
      <c r="P18" s="202"/>
      <c r="Q18" s="202"/>
    </row>
    <row r="19" spans="1:17" ht="15.75" customHeight="1" x14ac:dyDescent="0.35">
      <c r="A19" s="10"/>
      <c r="B19" s="31" t="s">
        <v>69</v>
      </c>
      <c r="C19" s="187">
        <f>C16+C17</f>
        <v>2540.6221871727971</v>
      </c>
      <c r="D19" s="27"/>
      <c r="E19" s="306"/>
      <c r="F19" s="27"/>
      <c r="G19" s="189">
        <f>IF(G$4="","",G16+G17)</f>
        <v>2807.968614974819</v>
      </c>
      <c r="H19" s="189">
        <f t="shared" ref="H19:Q19" si="9">IF(H$4="","",H16+H17)</f>
        <v>4524.4677853273579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6"/>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8"/>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6"/>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4"/>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9"/>
    </row>
    <row r="27" spans="1:17" ht="15.75" customHeight="1" x14ac:dyDescent="0.35">
      <c r="A27" s="10"/>
      <c r="B27" s="65" t="s">
        <v>210</v>
      </c>
      <c r="E27" s="309"/>
    </row>
    <row r="28" spans="1:17" ht="15.75" customHeight="1" x14ac:dyDescent="0.35">
      <c r="A28" s="10"/>
      <c r="B28" s="26" t="s">
        <v>45</v>
      </c>
      <c r="C28" s="64">
        <f>AVERAGE(G28:H28)</f>
        <v>0.57805815639048053</v>
      </c>
      <c r="D28" s="26"/>
      <c r="E28" s="307" t="s">
        <v>371</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7" t="s">
        <v>371</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9"/>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9"/>
    </row>
    <row r="32" spans="1:17" ht="15.75" customHeight="1" x14ac:dyDescent="0.35">
      <c r="A32" s="10"/>
      <c r="B32" s="65" t="s">
        <v>47</v>
      </c>
      <c r="E32" s="309"/>
    </row>
    <row r="33" spans="1:17" ht="15.75" customHeight="1" x14ac:dyDescent="0.35">
      <c r="A33" s="10"/>
      <c r="B33" s="8" t="s">
        <v>178</v>
      </c>
      <c r="C33" s="204">
        <f>AVERAGE(G33:H33)</f>
        <v>-1106.5</v>
      </c>
      <c r="E33" s="307" t="s">
        <v>371</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7" t="s">
        <v>371</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8"/>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9"/>
    </row>
    <row r="37" spans="1:17" ht="15.75" customHeight="1" x14ac:dyDescent="0.35">
      <c r="A37" s="10"/>
      <c r="B37" s="65" t="s">
        <v>211</v>
      </c>
      <c r="E37" s="309"/>
    </row>
    <row r="38" spans="1:17" ht="15.75" customHeight="1" x14ac:dyDescent="0.35">
      <c r="A38" s="10"/>
      <c r="B38" s="2" t="str">
        <f>B33</f>
        <v>G&amp;A and other Opex</v>
      </c>
      <c r="C38" s="23">
        <f>ABS(C33/$C$4)</f>
        <v>0.1262407301768397</v>
      </c>
      <c r="D38" s="27"/>
      <c r="E38" s="306"/>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6"/>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9"/>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9"/>
    </row>
    <row r="42" spans="1:17" ht="15.75" customHeight="1" x14ac:dyDescent="0.35">
      <c r="A42" s="10"/>
      <c r="B42" s="65" t="s">
        <v>212</v>
      </c>
      <c r="E42" s="309"/>
    </row>
    <row r="43" spans="1:17" ht="15.75" customHeight="1" x14ac:dyDescent="0.35">
      <c r="A43" s="10"/>
      <c r="B43" s="27" t="s">
        <v>175</v>
      </c>
      <c r="C43" s="303">
        <v>0.24</v>
      </c>
      <c r="D43" s="27"/>
      <c r="E43" s="306" t="s">
        <v>372</v>
      </c>
      <c r="F43" s="27"/>
      <c r="G43" s="6">
        <f t="shared" ref="G43:Q43" si="18">IF(G$4="","",-G14/SUM(G8+G11,G12))</f>
        <v>0.16038474464748129</v>
      </c>
      <c r="H43" s="6">
        <f t="shared" si="18"/>
        <v>0.16161958688679046</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9"/>
    </row>
    <row r="47" spans="1:17" ht="15.75" customHeight="1" x14ac:dyDescent="0.35">
      <c r="A47" s="10"/>
      <c r="B47" s="2" t="s">
        <v>39</v>
      </c>
      <c r="C47" s="197">
        <f>-BS!G31*Normalized_FCF!C54</f>
        <v>-43</v>
      </c>
      <c r="E47" s="309"/>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386</v>
      </c>
      <c r="C48" s="197">
        <f>BS!D75*C53</f>
        <v>185.19539222287685</v>
      </c>
      <c r="E48" s="309"/>
      <c r="G48" s="335">
        <f>IF(G$4="","",($C$48/$C$49)*G49)</f>
        <v>302.96861497481899</v>
      </c>
      <c r="H48" s="335">
        <f t="shared" ref="H48:Q48" si="19">IF(H$4="","",($C$48/$C$49)*H49)</f>
        <v>180.07798132735766</v>
      </c>
      <c r="I48" s="335" t="str">
        <f t="shared" si="19"/>
        <v/>
      </c>
      <c r="J48" s="335" t="str">
        <f t="shared" si="19"/>
        <v/>
      </c>
      <c r="K48" s="335" t="str">
        <f t="shared" si="19"/>
        <v/>
      </c>
      <c r="L48" s="335" t="str">
        <f t="shared" si="19"/>
        <v/>
      </c>
      <c r="M48" s="335" t="str">
        <f t="shared" si="19"/>
        <v/>
      </c>
      <c r="N48" s="335" t="str">
        <f t="shared" si="19"/>
        <v/>
      </c>
      <c r="O48" s="335" t="str">
        <f t="shared" si="19"/>
        <v/>
      </c>
      <c r="P48" s="335" t="str">
        <f t="shared" si="19"/>
        <v/>
      </c>
      <c r="Q48" s="335" t="str">
        <f t="shared" si="19"/>
        <v/>
      </c>
    </row>
    <row r="49" spans="1:17" ht="15.75" customHeight="1" x14ac:dyDescent="0.35">
      <c r="A49" s="10"/>
      <c r="B49" s="330" t="s">
        <v>381</v>
      </c>
      <c r="C49" s="331">
        <f>BS!$C$66*C53</f>
        <v>1430.37</v>
      </c>
      <c r="D49" s="332"/>
      <c r="E49" s="333"/>
      <c r="F49" s="332"/>
      <c r="G49" s="331">
        <f>Data!C52</f>
        <v>2340</v>
      </c>
      <c r="H49" s="331">
        <f>Data!D52</f>
        <v>1390.845307</v>
      </c>
      <c r="I49" s="331" t="str">
        <f>Data!E52</f>
        <v/>
      </c>
      <c r="J49" s="331" t="str">
        <f>Data!F52</f>
        <v/>
      </c>
      <c r="K49" s="331" t="str">
        <f>Data!G52</f>
        <v/>
      </c>
      <c r="L49" s="331" t="str">
        <f>Data!H52</f>
        <v/>
      </c>
      <c r="M49" s="331" t="str">
        <f>Data!I52</f>
        <v/>
      </c>
      <c r="N49" s="331" t="str">
        <f>Data!J52</f>
        <v/>
      </c>
      <c r="O49" s="331" t="str">
        <f>Data!K52</f>
        <v/>
      </c>
      <c r="P49" s="331" t="str">
        <f>Data!L52</f>
        <v/>
      </c>
      <c r="Q49" s="331" t="str">
        <f>Data!M52</f>
        <v/>
      </c>
    </row>
    <row r="50" spans="1:17" ht="15.75" customHeight="1" x14ac:dyDescent="0.35">
      <c r="A50" s="10"/>
      <c r="B50" s="71" t="s">
        <v>71</v>
      </c>
      <c r="C50" s="187">
        <f>C47+C48</f>
        <v>142.19539222287685</v>
      </c>
      <c r="E50" s="309"/>
      <c r="G50" s="187">
        <f>IF(G$4="","",(G47+G48))</f>
        <v>259.96861497481899</v>
      </c>
      <c r="H50" s="187">
        <f t="shared" ref="H50:Q50" si="20">IF(H$4="","",(H47+H48))</f>
        <v>139.30261332735768</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9"/>
    </row>
    <row r="52" spans="1:17" ht="15.75" customHeight="1" x14ac:dyDescent="0.35">
      <c r="A52" s="10"/>
      <c r="B52" s="73" t="s">
        <v>159</v>
      </c>
      <c r="E52" s="309"/>
      <c r="G52" s="100" t="s">
        <v>223</v>
      </c>
    </row>
    <row r="53" spans="1:17" ht="15.75" customHeight="1" x14ac:dyDescent="0.35">
      <c r="A53" s="10"/>
      <c r="B53" s="8" t="s">
        <v>92</v>
      </c>
      <c r="C53" s="89">
        <v>0.03</v>
      </c>
      <c r="E53" s="306" t="s">
        <v>373</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6" t="s">
        <v>374</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9"/>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9"/>
    </row>
    <row r="57" spans="1:17" ht="15.75" customHeight="1" x14ac:dyDescent="0.35">
      <c r="A57" s="10"/>
      <c r="B57" s="65" t="s">
        <v>172</v>
      </c>
      <c r="E57" s="309"/>
      <c r="G57" s="100" t="s">
        <v>223</v>
      </c>
    </row>
    <row r="58" spans="1:17" ht="15.75" customHeight="1" x14ac:dyDescent="0.35">
      <c r="A58" s="10"/>
      <c r="B58" s="40" t="s">
        <v>171</v>
      </c>
      <c r="C58" s="197">
        <f>BS!$C79*C66</f>
        <v>0</v>
      </c>
      <c r="E58" s="309"/>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9"/>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9"/>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9"/>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4">
        <v>0</v>
      </c>
      <c r="E62" s="307" t="s">
        <v>375</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9"/>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9"/>
    </row>
    <row r="65" spans="1:17" ht="15.75" customHeight="1" x14ac:dyDescent="0.35">
      <c r="A65" s="10"/>
      <c r="B65" s="99" t="s">
        <v>173</v>
      </c>
      <c r="E65" s="309"/>
      <c r="G65" s="100" t="s">
        <v>223</v>
      </c>
    </row>
    <row r="66" spans="1:17" ht="15.75" customHeight="1" x14ac:dyDescent="0.35">
      <c r="A66" s="10"/>
      <c r="B66" s="40" t="s">
        <v>171</v>
      </c>
      <c r="C66" s="180">
        <f>G66</f>
        <v>0</v>
      </c>
      <c r="E66" s="309"/>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9"/>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9"/>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4"/>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6"/>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6"/>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6"/>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6"/>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6"/>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6"/>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7" t="s">
        <v>376</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6"/>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1.6223090955262618E-2</v>
      </c>
      <c r="D80" s="27"/>
      <c r="E80" s="306"/>
      <c r="F80" s="27"/>
      <c r="G80" s="6">
        <f t="shared" ref="G80:Q80" si="31">IF(G$4="","",ABS(G12/G$4))</f>
        <v>2.9659853391308499E-2</v>
      </c>
      <c r="H80" s="6">
        <f t="shared" si="31"/>
        <v>1.1724822264738463E-2</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0.3848277982270753</v>
      </c>
      <c r="D81" s="27"/>
      <c r="E81" s="306"/>
      <c r="F81" s="27"/>
      <c r="G81" s="66">
        <f t="shared" ref="G81:Q81" si="32">IF(G$4="","",G13/G$4)</f>
        <v>0.37957428579290575</v>
      </c>
      <c r="H81" s="66">
        <f t="shared" si="32"/>
        <v>0.4558793547115022</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9.2358671574498064E-2</v>
      </c>
      <c r="D82" s="27"/>
      <c r="E82" s="306"/>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5">
        <f>MIN(BS!C62,MAX(G83:K83))</f>
        <v>2.6092079791263361E-3</v>
      </c>
      <c r="D83" s="27"/>
      <c r="E83" s="306"/>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0.2898599186734509</v>
      </c>
      <c r="D84" s="27"/>
      <c r="E84" s="306"/>
      <c r="F84" s="27"/>
      <c r="G84" s="66">
        <f t="shared" ref="G84:Q84" si="35">IF(G$4="","",ABS(G16/G$4))</f>
        <v>0.32036150769821098</v>
      </c>
      <c r="H84" s="66">
        <f t="shared" si="35"/>
        <v>0.38081540150890986</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5">
        <v>0</v>
      </c>
      <c r="D85" s="27"/>
      <c r="E85" s="308"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8"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0.2898599186734509</v>
      </c>
      <c r="D87" s="77"/>
      <c r="E87" s="306"/>
      <c r="F87" s="77"/>
      <c r="G87" s="66">
        <f t="shared" ref="G87:Q87" si="36">IF(G$4="","",ABS(G19/G$4))</f>
        <v>0.32036150769821098</v>
      </c>
      <c r="H87" s="66">
        <f t="shared" si="36"/>
        <v>0.38081540150890986</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9"/>
    </row>
    <row r="89" spans="1:17" ht="15.75" customHeight="1" x14ac:dyDescent="0.35">
      <c r="A89" s="10"/>
      <c r="B89" s="65" t="s">
        <v>218</v>
      </c>
      <c r="E89" s="309"/>
    </row>
    <row r="90" spans="1:17" ht="15.75" customHeight="1" x14ac:dyDescent="0.35">
      <c r="A90" s="10"/>
      <c r="B90" s="2" t="str">
        <f>"Dividend per share ("&amp;Market_currency&amp;")"</f>
        <v>Dividend per share (HKD)</v>
      </c>
      <c r="C90" s="117">
        <f>G90</f>
        <v>0.57999999999999996</v>
      </c>
      <c r="E90" s="309"/>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9"/>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1.8655628478763795</v>
      </c>
      <c r="E92" s="309"/>
      <c r="G92" s="174">
        <f t="shared" ref="G92:Q92" si="38">IF(G$4="","",G90/(G19*$C$3/Common_Shares))</f>
        <v>1.6879427845465798</v>
      </c>
      <c r="H92" s="174">
        <f t="shared" si="38"/>
        <v>1.0475685954159291</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7.3417721518987331E-2</v>
      </c>
      <c r="E93" s="309"/>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9"/>
    </row>
    <row r="95" spans="1:17" ht="15.75" customHeight="1" x14ac:dyDescent="0.35">
      <c r="A95" s="10"/>
      <c r="B95" s="161" t="s">
        <v>88</v>
      </c>
      <c r="C95" s="63"/>
      <c r="D95" s="27"/>
      <c r="E95" s="306"/>
      <c r="F95" s="27"/>
      <c r="G95" s="12"/>
      <c r="H95" s="12"/>
      <c r="I95" s="12"/>
      <c r="J95" s="12"/>
      <c r="K95" s="12"/>
      <c r="L95" s="12"/>
      <c r="M95" s="12"/>
      <c r="N95" s="12"/>
      <c r="O95" s="12"/>
      <c r="P95" s="12"/>
      <c r="Q95" s="12"/>
    </row>
    <row r="96" spans="1:17" ht="15.75" customHeight="1" x14ac:dyDescent="0.35">
      <c r="A96" s="10"/>
      <c r="B96" s="27" t="s">
        <v>148</v>
      </c>
      <c r="C96" s="79">
        <f>C4/G4-1</f>
        <v>0</v>
      </c>
      <c r="D96" s="27"/>
      <c r="E96" s="306"/>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1.3840538284081383E-2</v>
      </c>
      <c r="D97" s="27"/>
      <c r="E97" s="306"/>
      <c r="F97" s="27"/>
      <c r="G97" s="6">
        <f t="shared" ref="G97:Q97" si="41">IF(H5="","",G13/H13-1)</f>
        <v>-0.38574912583568022</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9"/>
      <c r="G100" s="100" t="s">
        <v>223</v>
      </c>
    </row>
    <row r="101" spans="1:17" ht="15.75" customHeight="1" x14ac:dyDescent="0.35">
      <c r="A101" s="10"/>
      <c r="B101" s="26" t="s">
        <v>3</v>
      </c>
      <c r="C101" s="205">
        <f>BS!G32</f>
        <v>180996</v>
      </c>
      <c r="D101" s="26"/>
      <c r="E101" s="310"/>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1"/>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1"/>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10"/>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10"/>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9"/>
    </row>
    <row r="107" spans="1:17" ht="15.75" customHeight="1" x14ac:dyDescent="0.35">
      <c r="A107" s="10"/>
      <c r="B107" s="93" t="s">
        <v>224</v>
      </c>
      <c r="C107" s="26"/>
      <c r="D107" s="26"/>
      <c r="E107" s="310"/>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10"/>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10"/>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10"/>
      <c r="F110" s="26"/>
      <c r="G110" s="97">
        <f>BS!$G$38/G$4</f>
        <v>8.343867655447804</v>
      </c>
      <c r="H110" s="231"/>
      <c r="I110" s="231"/>
      <c r="J110" s="231"/>
      <c r="K110" s="231"/>
      <c r="L110" s="231"/>
      <c r="M110" s="231"/>
      <c r="N110" s="231"/>
      <c r="O110" s="231"/>
      <c r="P110" s="231"/>
      <c r="Q110" s="231"/>
    </row>
    <row r="111" spans="1:17" ht="15.75" customHeight="1" x14ac:dyDescent="0.35">
      <c r="A111" s="10"/>
      <c r="E111" s="309"/>
    </row>
    <row r="112" spans="1:17" ht="15.75" customHeight="1" x14ac:dyDescent="0.35">
      <c r="A112" s="10"/>
      <c r="B112" s="93" t="s">
        <v>38</v>
      </c>
      <c r="C112" s="55"/>
      <c r="D112" s="55"/>
      <c r="E112" s="312"/>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0.3848277982270753</v>
      </c>
      <c r="E113" s="309"/>
      <c r="G113" s="23">
        <f t="shared" ref="G113:Q113" si="45">G81</f>
        <v>0.37957428579290575</v>
      </c>
      <c r="H113" s="23">
        <f t="shared" si="45"/>
        <v>0.4558793547115022</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9"/>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3"/>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2"/>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6"/>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0.31089812956997381</v>
      </c>
      <c r="D120" s="27"/>
      <c r="E120" s="306"/>
      <c r="F120" s="27"/>
      <c r="G120" s="181">
        <f t="shared" ref="G120:Q120" si="49">IF(G$4="","",G16*$C$3/Common_Shares*Exchange_Rate)</f>
        <v>0.34361354265677985</v>
      </c>
      <c r="H120" s="181">
        <f t="shared" si="49"/>
        <v>0.55366302745045104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3.9354193616452378E-2</v>
      </c>
      <c r="D121" s="27"/>
      <c r="E121" s="306"/>
      <c r="F121" s="27"/>
      <c r="G121" s="79">
        <f t="shared" ref="G121" si="50">IF(G$4="","",G120/Market_Price)</f>
        <v>4.3495385146427826E-2</v>
      </c>
      <c r="H121" s="79">
        <f t="shared" ref="H121" si="51">IF(H$4="","",H120/Market_Price)</f>
        <v>7.0083927525373541E-2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2540.6221871727971</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28229.135413031079</v>
      </c>
      <c r="D6" t="str">
        <f>Reporting_currency</f>
        <v>HKD</v>
      </c>
      <c r="E6" s="344" t="s">
        <v>255</v>
      </c>
      <c r="F6" s="344"/>
      <c r="H6" s="124"/>
    </row>
    <row r="7" spans="2:8" x14ac:dyDescent="0.35">
      <c r="B7" s="152" t="s">
        <v>228</v>
      </c>
      <c r="C7" s="232">
        <f>BS!G31</f>
        <v>3093</v>
      </c>
      <c r="D7" t="str">
        <f>Reporting_currency</f>
        <v>HKD</v>
      </c>
      <c r="E7" s="344"/>
      <c r="F7" s="344"/>
      <c r="H7" s="124"/>
    </row>
    <row r="8" spans="2:8" x14ac:dyDescent="0.35">
      <c r="B8" s="152" t="s">
        <v>229</v>
      </c>
      <c r="C8" s="207">
        <f>BS!D66</f>
        <v>41505.820259237436</v>
      </c>
      <c r="D8" t="str">
        <f>Reporting_currency</f>
        <v>HKD</v>
      </c>
      <c r="E8" s="344"/>
      <c r="F8" s="344"/>
      <c r="H8" s="124"/>
    </row>
    <row r="9" spans="2:8" x14ac:dyDescent="0.35">
      <c r="B9" s="233" t="s">
        <v>194</v>
      </c>
      <c r="C9" s="235">
        <f>BS!H42</f>
        <v>7814.4</v>
      </c>
      <c r="D9" t="str">
        <f>Reporting_currency</f>
        <v>HKD</v>
      </c>
      <c r="E9" s="344"/>
      <c r="F9" s="344"/>
      <c r="H9" s="124"/>
    </row>
    <row r="10" spans="2:8" ht="13.15" x14ac:dyDescent="0.4">
      <c r="B10" s="153" t="s">
        <v>231</v>
      </c>
      <c r="C10" s="238">
        <f>C6-C7+C8+C9</f>
        <v>74456.355672268517</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9.111288498532895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9.0321281164495559</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104</v>
      </c>
      <c r="F52" s="141">
        <f>SUM(F21:F51)</f>
        <v>27582.246274958168</v>
      </c>
      <c r="H52" s="124"/>
    </row>
    <row r="53" spans="1:8" x14ac:dyDescent="0.35">
      <c r="C53" s="118"/>
      <c r="H53" s="124"/>
    </row>
    <row r="54" spans="1:8" ht="13.15" x14ac:dyDescent="0.35">
      <c r="B54" s="123" t="s">
        <v>133</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6" zoomScale="75" zoomScaleNormal="100" workbookViewId="0">
      <selection activeCell="E67" sqref="E67"/>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9.6147055134616366</v>
      </c>
    </row>
    <row r="7" spans="2:9" ht="12.75" customHeight="1" x14ac:dyDescent="0.35">
      <c r="B7" s="103" t="s">
        <v>291</v>
      </c>
      <c r="C7" s="118">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82">
        <v>4</v>
      </c>
      <c r="I7" s="270" t="str">
        <f t="shared" si="0"/>
        <v/>
      </c>
    </row>
    <row r="8" spans="2:9" x14ac:dyDescent="0.35">
      <c r="B8" s="103" t="s">
        <v>69</v>
      </c>
      <c r="C8" s="118">
        <f>Normalized_FCF!G19</f>
        <v>2807.968614974819</v>
      </c>
      <c r="D8" t="str">
        <f>Reporting_currency</f>
        <v>HKD</v>
      </c>
      <c r="E8" s="346"/>
      <c r="F8" s="346"/>
      <c r="H8" s="282">
        <v>5</v>
      </c>
      <c r="I8" s="270" t="str">
        <f t="shared" si="0"/>
        <v/>
      </c>
    </row>
    <row r="9" spans="2:9" x14ac:dyDescent="0.35">
      <c r="B9" s="103" t="s">
        <v>60</v>
      </c>
      <c r="C9" s="207">
        <f>Normalized_FCF!C19</f>
        <v>2540.6221871727971</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t="e">
        <f ca="1">(Normalized_FCF!G4/OFFSET(Normalized_FCF!G4, 0, $C$4))^(1/$C$4) - 1</f>
        <v>#VALUE!</v>
      </c>
      <c r="D12" s="162"/>
      <c r="E12" s="346"/>
      <c r="F12" s="346"/>
      <c r="H12" s="282">
        <v>9</v>
      </c>
      <c r="I12" s="270" t="str">
        <f t="shared" si="0"/>
        <v/>
      </c>
    </row>
    <row r="13" spans="2:9" x14ac:dyDescent="0.35">
      <c r="B13" s="152" t="s">
        <v>156</v>
      </c>
      <c r="C13" s="162" t="e">
        <f ca="1">(Normalized_FCF!G8/OFFSET(Normalized_FCF!G8, 0, $C$4))^(1/$C$4) - 1</f>
        <v>#VALUE!</v>
      </c>
      <c r="E13" s="346"/>
      <c r="F13" s="346"/>
      <c r="H13" s="282">
        <v>10</v>
      </c>
      <c r="I13" s="270" t="str">
        <f t="shared" si="0"/>
        <v/>
      </c>
    </row>
    <row r="14" spans="2:9" x14ac:dyDescent="0.35">
      <c r="B14" s="103" t="s">
        <v>69</v>
      </c>
      <c r="C14" s="162" t="e">
        <f ca="1">(Normalized_FCF!G19/OFFSET(Normalized_FCF!G19, 0, $C$4))^(1/$C$4) - 1</f>
        <v>#VALUE!</v>
      </c>
      <c r="E14" s="346"/>
      <c r="F14" s="346"/>
    </row>
    <row r="16" spans="2:9" ht="13.9" x14ac:dyDescent="0.45">
      <c r="B16" s="36" t="s">
        <v>166</v>
      </c>
      <c r="C16" s="37"/>
      <c r="D16" s="37"/>
      <c r="E16" s="37"/>
      <c r="F16" s="37"/>
    </row>
    <row r="17" spans="2:6" ht="13.15" x14ac:dyDescent="0.4">
      <c r="B17" s="112" t="s">
        <v>155</v>
      </c>
      <c r="E17" s="163" t="s">
        <v>363</v>
      </c>
    </row>
    <row r="18" spans="2:6" x14ac:dyDescent="0.35">
      <c r="B18" s="156" t="s">
        <v>137</v>
      </c>
      <c r="C18" s="154">
        <v>10</v>
      </c>
      <c r="E18" s="346" t="s">
        <v>364</v>
      </c>
      <c r="F18" s="347"/>
    </row>
    <row r="19" spans="2:6" x14ac:dyDescent="0.35">
      <c r="E19" s="347"/>
      <c r="F19" s="347"/>
    </row>
    <row r="20" spans="2:6" ht="13.15" x14ac:dyDescent="0.4">
      <c r="B20" s="163" t="s">
        <v>329</v>
      </c>
      <c r="E20" s="347"/>
      <c r="F20" s="347"/>
    </row>
    <row r="21" spans="2:6" x14ac:dyDescent="0.35">
      <c r="B21" s="103" t="s">
        <v>295</v>
      </c>
      <c r="C21" s="164">
        <f>Market_Price</f>
        <v>7.9</v>
      </c>
      <c r="D21" t="str">
        <f>Market_currency</f>
        <v>HKD</v>
      </c>
      <c r="E21" s="347"/>
      <c r="F21" s="347"/>
    </row>
    <row r="22" spans="2:6" x14ac:dyDescent="0.35">
      <c r="B22" s="103" t="s">
        <v>296</v>
      </c>
      <c r="C22" s="164">
        <f>Valuation_Model!C12</f>
        <v>9.111288498532895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v>
      </c>
      <c r="D26" s="168"/>
      <c r="E26" s="345"/>
      <c r="F26" s="345"/>
    </row>
    <row r="27" spans="2:6" x14ac:dyDescent="0.35">
      <c r="B27" s="103" t="s">
        <v>117</v>
      </c>
      <c r="C27" s="164">
        <f>Valuation_Model!E76</f>
        <v>9.1112884985328897</v>
      </c>
      <c r="D27" s="164" t="str">
        <f>Market_currency</f>
        <v>HKD</v>
      </c>
      <c r="E27" s="345"/>
      <c r="F27" s="345"/>
    </row>
    <row r="28" spans="2:6" x14ac:dyDescent="0.35">
      <c r="B28" s="103" t="s">
        <v>151</v>
      </c>
      <c r="C28" s="169">
        <v>0.55000000000000004</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-0.05</v>
      </c>
      <c r="D32" s="168"/>
      <c r="E32" s="345"/>
      <c r="F32" s="345"/>
    </row>
    <row r="33" spans="2:6" x14ac:dyDescent="0.35">
      <c r="B33" s="103" t="s">
        <v>117</v>
      </c>
      <c r="C33" s="164">
        <f>Valuation_Model!E77</f>
        <v>8.6191954792579697</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0.02</v>
      </c>
      <c r="D38" s="168"/>
      <c r="E38" s="345"/>
      <c r="F38" s="345"/>
    </row>
    <row r="39" spans="2:6" x14ac:dyDescent="0.35">
      <c r="B39" s="103" t="s">
        <v>117</v>
      </c>
      <c r="C39" s="164">
        <f>Valuation_Model!E75</f>
        <v>9.3427745886766083</v>
      </c>
      <c r="D39" t="str">
        <f>Market_currency</f>
        <v>HKD</v>
      </c>
      <c r="E39" s="345"/>
      <c r="F39" s="345"/>
    </row>
    <row r="40" spans="2:6" x14ac:dyDescent="0.35">
      <c r="B40" s="103" t="s">
        <v>151</v>
      </c>
      <c r="C40" s="171">
        <f>1-C28-C34</f>
        <v>0.24999999999999994</v>
      </c>
      <c r="D40" s="169"/>
      <c r="E40" s="345"/>
      <c r="F40" s="345"/>
    </row>
    <row r="42" spans="2:6" ht="13.15" x14ac:dyDescent="0.4">
      <c r="B42" s="103" t="s">
        <v>124</v>
      </c>
      <c r="C42" s="158">
        <f>C27*C28+C33*C34+C39*C40</f>
        <v>9.070741417213835</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-0.2</v>
      </c>
      <c r="D50" s="168"/>
      <c r="E50" s="345"/>
      <c r="F50" s="345"/>
    </row>
    <row r="51" spans="2:6" x14ac:dyDescent="0.35">
      <c r="B51" s="103" t="s">
        <v>117</v>
      </c>
      <c r="C51" s="164">
        <f>Valuation_Model!E78</f>
        <v>7.2649269878396519</v>
      </c>
      <c r="D51" t="str">
        <f>Market_currency</f>
        <v>HKD</v>
      </c>
      <c r="E51" s="345"/>
      <c r="F51" s="345"/>
    </row>
    <row r="52" spans="2:6" x14ac:dyDescent="0.35">
      <c r="B52" s="103" t="s">
        <v>151</v>
      </c>
      <c r="C52" s="169">
        <v>0.05</v>
      </c>
      <c r="D52" s="169"/>
      <c r="E52" s="345"/>
      <c r="F52" s="345"/>
    </row>
    <row r="54" spans="2:6" ht="13.15" x14ac:dyDescent="0.4">
      <c r="B54" s="163" t="s">
        <v>346</v>
      </c>
      <c r="E54" s="163" t="s">
        <v>153</v>
      </c>
      <c r="F54" s="163"/>
    </row>
    <row r="55" spans="2:6" x14ac:dyDescent="0.35">
      <c r="B55" s="156" t="s">
        <v>137</v>
      </c>
      <c r="C55" s="170">
        <f>C46</f>
        <v>15</v>
      </c>
      <c r="D55" s="167"/>
      <c r="E55" s="345"/>
      <c r="F55" s="345"/>
    </row>
    <row r="56" spans="2:6" x14ac:dyDescent="0.35">
      <c r="B56" s="122" t="s">
        <v>138</v>
      </c>
      <c r="C56" s="168">
        <v>0.05</v>
      </c>
      <c r="D56" s="168"/>
      <c r="E56" s="345"/>
      <c r="F56" s="345"/>
    </row>
    <row r="57" spans="2:6" x14ac:dyDescent="0.35">
      <c r="B57" s="103" t="s">
        <v>117</v>
      </c>
      <c r="C57" s="164">
        <f>Valuation_Model!E74</f>
        <v>10.155837771544068</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9.0347055134616365</v>
      </c>
      <c r="D60" t="str">
        <f>Market_currency</f>
        <v>HKD</v>
      </c>
      <c r="E60" s="103" t="s">
        <v>322</v>
      </c>
      <c r="F60" s="319">
        <f>Thesis!E20</f>
        <v>3</v>
      </c>
    </row>
    <row r="62" spans="2:6" ht="13.9" x14ac:dyDescent="0.45">
      <c r="B62" s="36" t="s">
        <v>390</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9.0321281164495559</v>
      </c>
      <c r="D66" s="164" t="str">
        <f>Market_currency</f>
        <v>HKD</v>
      </c>
      <c r="E66" s="287" t="s">
        <v>342</v>
      </c>
    </row>
    <row r="68" spans="2:6" ht="13.15" x14ac:dyDescent="0.4">
      <c r="B68" s="112" t="s">
        <v>391</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387</v>
      </c>
      <c r="F72" s="336">
        <f>BS!D89/C60</f>
        <v>0.62612608991135499</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5.2284175425125214</v>
      </c>
      <c r="D82" s="120"/>
    </row>
    <row r="83" spans="2:8" ht="13.15" x14ac:dyDescent="0.4">
      <c r="B83" s="114" t="s">
        <v>105</v>
      </c>
      <c r="C83" s="115">
        <f>C81+C82</f>
        <v>6.4501768017717804</v>
      </c>
      <c r="D83" t="str">
        <f>Market_currency</f>
        <v>HKD</v>
      </c>
      <c r="E83" s="150" t="s">
        <v>130</v>
      </c>
      <c r="F83" s="336">
        <f>(1-C83/C60)</f>
        <v>0.28606673541699057</v>
      </c>
    </row>
    <row r="84" spans="2:8" x14ac:dyDescent="0.35">
      <c r="E84" s="124"/>
    </row>
    <row r="85" spans="2:8" ht="13.15" x14ac:dyDescent="0.4">
      <c r="B85" s="112" t="s">
        <v>328</v>
      </c>
    </row>
    <row r="86" spans="2:8" x14ac:dyDescent="0.35">
      <c r="B86" s="152" t="s">
        <v>326</v>
      </c>
      <c r="C86" s="272">
        <f>Market_Price</f>
        <v>7.9</v>
      </c>
      <c r="D86" t="str">
        <f>Market_currency</f>
        <v>HKD</v>
      </c>
    </row>
    <row r="87" spans="2:8" ht="13.15" x14ac:dyDescent="0.4">
      <c r="B87" s="103" t="s">
        <v>324</v>
      </c>
      <c r="C87" s="271">
        <f ca="1">IRR(OFFSET($I$3, 0, 0, $C$76 + 1, 1))</f>
        <v>0.11614149089878545</v>
      </c>
    </row>
    <row r="88" spans="2:8" x14ac:dyDescent="0.35">
      <c r="B88" s="103"/>
    </row>
    <row r="89" spans="2:8" ht="14.65" x14ac:dyDescent="0.5">
      <c r="E89" s="327" t="s">
        <v>358</v>
      </c>
      <c r="F89" s="324"/>
      <c r="G89" s="2"/>
      <c r="H89" s="323"/>
    </row>
    <row r="90" spans="2:8" ht="13.9" x14ac:dyDescent="0.45">
      <c r="E90" s="320" t="s">
        <v>359</v>
      </c>
      <c r="F90" s="325" t="s">
        <v>360</v>
      </c>
      <c r="G90" s="2"/>
      <c r="H90" s="323"/>
    </row>
    <row r="91" spans="2:8" ht="13.9" x14ac:dyDescent="0.45">
      <c r="E91" s="321" t="s">
        <v>359</v>
      </c>
      <c r="F91" s="325" t="s">
        <v>361</v>
      </c>
      <c r="G91" s="2"/>
      <c r="H91" s="323"/>
    </row>
    <row r="92" spans="2:8" ht="13.9" x14ac:dyDescent="0.45">
      <c r="E92" s="322" t="s">
        <v>359</v>
      </c>
      <c r="F92" s="326" t="s">
        <v>362</v>
      </c>
      <c r="G92" s="2"/>
      <c r="H92" s="323"/>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2025-03-27T02:27:31Z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