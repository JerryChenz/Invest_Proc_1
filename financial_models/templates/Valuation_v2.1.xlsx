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F33A9E12-9D37-483E-8365-F13704F8D8D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60" i="6" l="1"/>
  <c r="D164" i="6"/>
  <c r="C164" i="6"/>
  <c r="C102" i="9"/>
  <c r="D62" i="4"/>
  <c r="E62" i="4"/>
  <c r="F62" i="4"/>
  <c r="G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Q92" i="2"/>
  <c r="Q91" i="2"/>
  <c r="C33" i="6"/>
  <c r="H1" i="3"/>
  <c r="C3" i="2"/>
  <c r="C3" i="8"/>
  <c r="C136" i="6"/>
  <c r="D109" i="6"/>
  <c r="Q48" i="2"/>
  <c r="C64" i="9"/>
  <c r="M69" i="4"/>
  <c r="M70" i="4"/>
  <c r="M71" i="4"/>
  <c r="M72" i="4"/>
  <c r="C20" i="4"/>
  <c r="C25" i="4"/>
  <c r="C32" i="4"/>
  <c r="C30" i="4"/>
  <c r="C29" i="4"/>
  <c r="C28" i="4"/>
  <c r="D64" i="4"/>
  <c r="E64" i="4"/>
  <c r="F64" i="4"/>
  <c r="G64" i="4"/>
  <c r="H64" i="4"/>
  <c r="I64" i="4"/>
  <c r="J64" i="4"/>
  <c r="K64" i="4"/>
  <c r="L64" i="4"/>
  <c r="M64" i="4"/>
  <c r="C64" i="4"/>
  <c r="E85" i="2"/>
  <c r="E86" i="2"/>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6" i="6"/>
  <c r="C103" i="6"/>
  <c r="C104" i="6" s="1"/>
  <c r="G67" i="2"/>
  <c r="C67" i="2" s="1"/>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3"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<sst xmlns="http://schemas.openxmlformats.org/spreadsheetml/2006/main" count="640" uniqueCount="442">
  <si>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</si>
  <si>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</si>
  <si>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</si>
  <si>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</si>
  <si>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</si>
  <si>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</si>
  <si>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</si>
  <si>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</si>
  <si>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</si>
  <si>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</si>
  <si>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</si>
  <si>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</si>
  <si>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</si>
  <si>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</si>
  <si>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</si>
  <si>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</si>
  <si>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</si>
  <si>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</si>
  <si>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</si>
  <si>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</si>
  <si>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</si>
  <si>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</si>
  <si>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</si>
  <si>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</si>
  <si>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</si>
  <si>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</si>
  <si>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</si>
  <si>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</si>
  <si>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</si>
  <si>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</si>
  <si>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</si>
  <si>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</si>
  <si>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</si>
  <si>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</si>
  <si>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</si>
  <si>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</si>
  <si>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</si>
  <si>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</si>
  <si>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</si>
  <si>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</si>
  <si>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</si>
  <si>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</si>
  <si>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</si>
  <si>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</si>
  <si>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</si>
  <si>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</si>
  <si>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</si>
  <si>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</si>
  <si>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</si>
  <si>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</si>
  <si>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</si>
  <si>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</si>
  <si>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</si>
  <si>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</si>
  <si>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</si>
  <si>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</si>
  <si>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</si>
  <si>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</si>
  <si>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</si>
  <si>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</si>
  <si>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</si>
  <si>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</si>
  <si>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</si>
  <si>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</si>
  <si>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</si>
  <si>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</si>
  <si>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</si>
  <si>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</si>
  <si>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</si>
  <si>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</si>
  <si>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</si>
  <si>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</si>
  <si>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</si>
  <si>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</si>
  <si>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</si>
  <si>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</si>
  <si>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</si>
  <si>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</si>
  <si>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</si>
  <si>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</si>
  <si>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</si>
  <si>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</si>
  <si>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</si>
  <si>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</si>
  <si>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</si>
  <si>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</si>
  <si>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</si>
  <si>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</si>
  <si>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</si>
  <si>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</si>
  <si>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</si>
  <si>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</si>
  <si>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</si>
  <si>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</si>
  <si>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</si>
  <si>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</si>
  <si>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</si>
  <si>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</si>
  <si>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</si>
  <si>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</si>
  <si>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</si>
  <si>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</si>
  <si>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</si>
  <si>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</si>
  <si>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</si>
  <si>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</si>
  <si>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</si>
  <si>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</si>
  <si>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</si>
  <si>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</si>
  <si>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</si>
  <si>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</si>
  <si>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</si>
  <si>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</si>
  <si>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</si>
  <si>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</si>
  <si>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</si>
  <si>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</si>
  <si>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</si>
  <si>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</si>
  <si>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</si>
  <si>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</si>
  <si>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</si>
  <si>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</si>
  <si>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</si>
  <si>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</si>
  <si>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</si>
  <si>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</si>
  <si>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</si>
  <si>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</si>
  <si>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</si>
  <si>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</si>
  <si>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</si>
  <si>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</si>
  <si>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</si>
  <si>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</si>
  <si>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</si>
  <si>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</si>
  <si>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</si>
  <si>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</si>
  <si>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</si>
  <si>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</si>
  <si>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</si>
  <si>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</si>
  <si>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</si>
  <si>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</si>
  <si>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</si>
  <si>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</si>
  <si>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</si>
  <si>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</si>
  <si>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</si>
  <si>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</si>
  <si>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</si>
  <si>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</si>
  <si>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</si>
  <si>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</si>
  <si>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</si>
  <si>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</si>
  <si>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</si>
  <si>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</si>
  <si>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</si>
  <si>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</si>
  <si>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</si>
  <si>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</si>
  <si>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</si>
  <si>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</si>
  <si>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</si>
  <si>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</si>
  <si>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</si>
  <si>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</si>
  <si>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</si>
  <si>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</si>
  <si>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</si>
  <si>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</si>
  <si>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</si>
  <si>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</si>
  <si>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</si>
  <si>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</si>
  <si>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</si>
  <si>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</si>
  <si>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</si>
  <si>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</si>
  <si>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</si>
  <si>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</si>
  <si>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</si>
  <si>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</si>
  <si>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</si>
  <si>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</si>
  <si>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</si>
  <si>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</si>
  <si>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</si>
  <si>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</si>
  <si>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</si>
  <si>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</si>
  <si>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</si>
  <si>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</si>
  <si>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</si>
  <si>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</si>
  <si>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</si>
  <si>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</si>
  <si>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</si>
  <si>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</si>
  <si>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</si>
  <si>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</si>
  <si>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</si>
  <si>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</si>
  <si>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</si>
  <si>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</si>
  <si>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</si>
  <si>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</si>
  <si>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</si>
  <si>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</si>
  <si>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</si>
  <si>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</si>
  <si>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</si>
  <si>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</si>
  <si>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</si>
  <si>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</si>
  <si>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</si>
  <si>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</si>
  <si>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</si>
  <si>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</si>
  <si>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</si>
  <si>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</si>
  <si>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</si>
  <si>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</si>
  <si>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</si>
  <si>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</si>
  <si>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</si>
  <si>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</si>
  <si>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</si>
  <si>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</si>
  <si>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</si>
  <si>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</si>
  <si>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</si>
  <si>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</si>
  <si>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</si>
  <si>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</si>
  <si>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</si>
  <si>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</si>
  <si>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</si>
  <si>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</si>
  <si>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</si>
  <si>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</si>
  <si>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</si>
  <si>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</si>
  <si>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</si>
  <si>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</si>
  <si>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</si>
  <si>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</si>
  <si>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</si>
  <si>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</si>
  <si>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</si>
  <si>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</si>
  <si>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</si>
  <si>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</si>
  <si>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</si>
  <si>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</si>
  <si>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</si>
  <si>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</si>
  <si>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</si>
  <si>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</si>
  <si>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</si>
  <si>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</si>
  <si>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</si>
  <si>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</si>
  <si>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</si>
  <si>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</si>
  <si>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</si>
  <si>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</si>
  <si>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</si>
  <si>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</si>
  <si>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</si>
  <si>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</si>
  <si>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</si>
  <si>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</si>
  <si>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</si>
  <si>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</si>
  <si>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</si>
  <si>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</si>
  <si>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</si>
  <si>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</si>
  <si>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</si>
  <si>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</si>
  <si>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</si>
  <si>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</si>
  <si>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</si>
  <si>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</si>
  <si>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</si>
  <si>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</si>
  <si>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</si>
  <si>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</si>
  <si>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</si>
  <si>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</si>
  <si>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</si>
  <si>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</si>
  <si>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</si>
  <si>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</si>
  <si>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</si>
  <si>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</si>
  <si>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</si>
  <si>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</si>
  <si>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</si>
  <si>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</si>
  <si>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</si>
  <si>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</si>
  <si>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</si>
  <si>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</si>
  <si>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</si>
  <si>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</si>
  <si>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</si>
  <si>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</si>
  <si>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</si>
  <si>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</si>
  <si>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</si>
  <si>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</si>
  <si>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</si>
  <si>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</si>
  <si>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</si>
  <si>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</si>
  <si>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</si>
  <si>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</si>
  <si>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</si>
  <si>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</si>
  <si>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</si>
  <si>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</si>
  <si>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</si>
  <si>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</si>
  <si>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</si>
  <si>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</si>
  <si>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</si>
  <si>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</si>
  <si>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</si>
  <si>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</si>
  <si>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</si>
  <si>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</si>
  <si>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</si>
  <si>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</si>
  <si>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</si>
  <si>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</si>
  <si>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</si>
  <si>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</si>
  <si>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</si>
  <si>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</si>
  <si>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</si>
  <si>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</si>
  <si>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</si>
  <si>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</si>
  <si>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</si>
  <si>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</si>
  <si>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</si>
  <si>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</si>
  <si>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</si>
  <si>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</si>
  <si>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</si>
  <si>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</si>
  <si>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</si>
  <si>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</si>
  <si>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</si>
  <si>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</si>
  <si>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</si>
  <si>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</si>
  <si>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</si>
  <si>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</si>
  <si>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</si>
  <si>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</si>
  <si>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</si>
  <si>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</si>
  <si>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</si>
  <si>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</si>
  <si>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</si>
  <si>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</si>
  <si>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</si>
  <si>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</si>
  <si>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</si>
  <si>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</si>
  <si>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</si>
  <si>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</si>
  <si>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</si>
  <si>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</si>
  <si>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</si>
  <si>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</si>
  <si>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</si>
  <si>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</si>
  <si>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</si>
  <si>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</si>
  <si>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</si>
  <si>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</si>
  <si>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</si>
  <si>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</si>
  <si>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</si>
  <si>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</si>
  <si>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</si>
  <si>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</si>
  <si>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</si>
  <si>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</si>
  <si>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</si>
  <si>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</si>
  <si>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</si>
  <si>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</si>
  <si>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</si>
  <si>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</si>
  <si>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</si>
  <si>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</si>
  <si>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</si>
  <si>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</si>
  <si>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</si>
  <si>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</si>
  <si>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</si>
  <si>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</si>
  <si>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</si>
  <si>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</si>
  <si>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</si>
  <si>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</si>
  <si>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</si>
  <si>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</si>
  <si>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</si>
  <si>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</si>
  <si>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</si>
  <si>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</si>
  <si>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</si>
  <si>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</si>
  <si>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</si>
  <si>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</si>
  <si>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</si>
  <si>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</si>
  <si>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</si>
  <si>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</si>
  <si>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</si>
  <si>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</si>
  <si>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</si>
  <si>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</si>
  <si>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</si>
  <si>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</si>
  <si>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</si>
  <si>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</si>
  <si>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</si>
  <si>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</si>
  <si>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</si>
  <si>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in contrast to a benchmark yield of</t>
  </si>
  <si>
    <t>Exit Price Output</t>
  </si>
  <si>
    <t>Benchmark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</si>
</sst>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topLeftCell="A7" zoomScaleNormal="100" workbookViewId="0">
      <selection activeCell="D23" sqref="D2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
        <v>431</v>
      </c>
      <c r="C4" s="46"/>
      <c r="D4" s="5"/>
      <c r="E4" s="2"/>
      <c r="F4" s="2"/>
    </row>
    <row r="5" spans="1:10" ht="12.4">
      <c r="B5" s="4" t="s">
        <v>324</v>
      </c>
      <c r="C5" s="333" t="s">
        <v>428</v>
      </c>
    </row>
    <row r="6" spans="1:10">
      <c r="B6" s="4" t="s">
        <v>0</v>
      </c>
      <c r="C6" s="51">
        <v>121281555698</v>
      </c>
      <c r="E6" s="48"/>
    </row>
    <row r="7" spans="1:10">
      <c r="B7" s="2" t="s">
        <v>315</v>
      </c>
      <c r="C7" s="279">
        <v>6</v>
      </c>
      <c r="D7" s="48"/>
      <c r="E7" s="48"/>
    </row>
    <row r="8" spans="1:10">
      <c r="B8" s="1" t="s">
        <v>269</v>
      </c>
      <c r="C8" s="33">
        <f>EOMONTH(EDATE(BS!C1,C7+2),0)</f>
        <v>45900</v>
      </c>
      <c r="E8" s="48"/>
    </row>
    <row r="9" spans="1:10">
      <c r="E9" s="34"/>
    </row>
    <row r="10" spans="1:10">
      <c r="B10" s="45" t="s">
        <v>434</v>
      </c>
      <c r="C10" s="46"/>
      <c r="E10" s="34"/>
    </row>
    <row r="11" spans="1:10">
      <c r="B11" s="1" t="s">
        <v>433</v>
      </c>
      <c r="C11" s="49" t="s">
        <v>427</v>
      </c>
      <c r="D11" s="49" t="s">
        <v>435</v>
      </c>
      <c r="E11" s="34"/>
    </row>
    <row r="12" spans="1:10">
      <c r="B12" s="4" t="s">
        <v>95</v>
      </c>
      <c r="C12" s="50">
        <v>3.99</v>
      </c>
      <c r="D12" s="50">
        <v>5.69</v>
      </c>
      <c r="E12" s="48"/>
    </row>
    <row r="13" spans="1:10">
      <c r="B13" s="1" t="s">
        <v>432</v>
      </c>
      <c r="C13" s="48" t="s">
        <v>429</v>
      </c>
      <c r="D13" s="48" t="s">
        <v>407</v>
      </c>
      <c r="E13" s="5"/>
    </row>
    <row r="14" spans="1:10">
      <c r="B14" s="4" t="s">
        <v>437</v>
      </c>
      <c r="C14" s="35">
        <f>Thesis!C12*Common_Shares/1000000</f>
        <v>483913.40723502001</v>
      </c>
      <c r="D14" s="35">
        <f>IF(D11="","",Thesis!D12*Common_Shares/1000000)</f>
        <v>690092.05192162003</v>
      </c>
      <c r="E14" s="5"/>
    </row>
    <row r="15" spans="1:10">
      <c r="B15" s="4" t="s">
        <v>436</v>
      </c>
      <c r="C15" s="32" t="str">
        <f>IF(C22=C13,C13,C22&amp;"/"&amp;C13)</f>
        <v>CNY</v>
      </c>
      <c r="D15" s="32" t="str">
        <f>IF(D11="","",IF(C22=D13,D13,C22&amp;"/"&amp;D13))</f>
        <v>CNY/HKD</v>
      </c>
      <c r="E15" s="5"/>
    </row>
    <row r="16" spans="1:10">
      <c r="B16" s="4" t="s">
        <v>1</v>
      </c>
      <c r="C16" s="50">
        <v>1.06</v>
      </c>
      <c r="D16" s="50">
        <v>1</v>
      </c>
      <c r="E16" s="5"/>
    </row>
    <row r="17" spans="1:6">
      <c r="D17" s="5"/>
      <c r="E17" s="5"/>
    </row>
    <row r="18" spans="1:6" ht="24.4" customHeight="1">
      <c r="B18" s="345" t="s">
        <v>370</v>
      </c>
      <c r="C18" s="345"/>
      <c r="D18" s="345"/>
      <c r="E18" s="345"/>
      <c r="F18" s="345"/>
    </row>
    <row r="20" spans="1:6">
      <c r="B20" s="45" t="s">
        <v>314</v>
      </c>
      <c r="C20" s="46"/>
      <c r="D20" s="5"/>
    </row>
    <row r="21" spans="1:6">
      <c r="B21" s="2" t="s">
        <v>358</v>
      </c>
      <c r="C21" s="32" t="str">
        <f>IF(Scenarios!C69="Y",Scenarios!B69,"")&amp;IF(Scenarios!C70="Y",Scenarios!B70,"")&amp;IF(Scenarios!C71="Y",Scenarios!B71,"")&amp;" "&amp;IF(Scenarios!C72="Y",Scenarios!B72,"")</f>
        <v xml:space="preserve">Low Growth </v>
      </c>
      <c r="E21" s="5"/>
    </row>
    <row r="22" spans="1:6">
      <c r="B22" s="4" t="s">
        <v>357</v>
      </c>
      <c r="C22" s="48" t="s">
        <v>429</v>
      </c>
      <c r="D22" s="32" t="str">
        <f>IF(D11="","",Market_currency&amp;"/"&amp;D13&amp;":")</f>
        <v>CNY/HKD:</v>
      </c>
      <c r="E22" s="341">
        <f>IF(D11="","",1/Exchange_Rate*D16)</f>
        <v>0.94339622641509424</v>
      </c>
    </row>
    <row r="23" spans="1:6">
      <c r="B23" s="2" t="s">
        <v>56</v>
      </c>
      <c r="C23" s="48" t="s">
        <v>430</v>
      </c>
      <c r="E23" s="5"/>
    </row>
    <row r="24" spans="1:6">
      <c r="B24" s="2" t="s">
        <v>277</v>
      </c>
      <c r="C24" s="249">
        <v>0.35</v>
      </c>
      <c r="D24" s="1" t="s">
        <v>420</v>
      </c>
      <c r="E24" s="339">
        <v>0.2</v>
      </c>
    </row>
    <row r="25" spans="1:6">
      <c r="B25" s="2" t="str">
        <f>"Target Buy Price ("&amp;Market_currency&amp;"):"</f>
        <v>Target Buy Price (CNY):</v>
      </c>
      <c r="C25" s="252">
        <f>C139</f>
        <v>15.9563545799849</v>
      </c>
      <c r="D25" s="1" t="s">
        <v>316</v>
      </c>
      <c r="E25" s="330">
        <v>3</v>
      </c>
    </row>
    <row r="26" spans="1:6">
      <c r="B26" s="1" t="s">
        <v>410</v>
      </c>
      <c r="C26" s="280">
        <f ca="1">Scenarios!C87</f>
        <v>1.2976894231064677</v>
      </c>
      <c r="D26" s="1" t="s">
        <v>439</v>
      </c>
      <c r="E26" s="339">
        <v>0.12</v>
      </c>
    </row>
    <row r="27" spans="1:6">
      <c r="D27" s="5"/>
      <c r="E27" s="5"/>
    </row>
    <row r="28" spans="1:6" ht="13.9">
      <c r="A28" s="247" t="s">
        <v>365</v>
      </c>
      <c r="B28" s="36"/>
      <c r="C28" s="36"/>
      <c r="D28" s="36"/>
      <c r="E28" s="36"/>
      <c r="F28" s="36"/>
    </row>
    <row r="30" spans="1:6" ht="24.4" customHeight="1">
      <c r="B30" s="345" t="s">
        <v>371</v>
      </c>
      <c r="C30" s="345"/>
      <c r="D30" s="345"/>
      <c r="E30" s="345"/>
      <c r="F30" s="345"/>
    </row>
    <row r="31" spans="1:6" ht="24.4" customHeight="1">
      <c r="B31" s="348" t="s">
        <v>349</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370950.79977478832</v>
      </c>
      <c r="D35" s="1" t="str">
        <f>Reporting_currency</f>
        <v>CNY</v>
      </c>
    </row>
    <row r="36" spans="2:6">
      <c r="B36" s="47"/>
      <c r="C36" s="76"/>
    </row>
    <row r="37" spans="2:6" ht="24.4" customHeight="1">
      <c r="B37" s="346" t="s">
        <v>234</v>
      </c>
      <c r="C37" s="346"/>
      <c r="D37" s="346"/>
      <c r="E37" s="346"/>
      <c r="F37" s="346"/>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350</v>
      </c>
      <c r="C45" s="322">
        <f>Normalized_FCF!C48</f>
        <v>0</v>
      </c>
      <c r="D45" s="1" t="str">
        <f>Reporting_currency</f>
        <v>CNY</v>
      </c>
      <c r="E45" s="321"/>
      <c r="F45" s="321"/>
    </row>
    <row r="46" spans="2:6">
      <c r="B46" s="47" t="s">
        <v>351</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-92737.69994369708</v>
      </c>
      <c r="D53" s="1" t="str">
        <f>Reporting_currency</f>
        <v>CNY</v>
      </c>
    </row>
    <row r="55" spans="2:6">
      <c r="B55" s="346" t="s">
        <v>348</v>
      </c>
      <c r="C55" s="347"/>
      <c r="D55" s="347"/>
      <c r="E55" s="347"/>
      <c r="F55" s="347"/>
    </row>
    <row r="56" spans="2:6">
      <c r="B56" s="47" t="s">
        <v>243</v>
      </c>
      <c r="C56" s="1">
        <f>Normalized_FCF!C17</f>
        <v>0</v>
      </c>
      <c r="D56" s="1" t="str">
        <f>Reporting_currency</f>
        <v>CNY</v>
      </c>
    </row>
    <row r="58" spans="2:6" ht="24.4" customHeight="1">
      <c r="B58" s="345" t="s">
        <v>353</v>
      </c>
      <c r="C58" s="345"/>
      <c r="D58" s="345"/>
      <c r="E58" s="345"/>
      <c r="F58" s="345"/>
    </row>
    <row r="59" spans="2:6" ht="24.4" customHeight="1">
      <c r="B59" s="345" t="s">
        <v>372</v>
      </c>
      <c r="C59" s="345"/>
      <c r="D59" s="345"/>
      <c r="E59" s="345"/>
      <c r="F59" s="345"/>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401</v>
      </c>
      <c r="C63" s="92">
        <f>Normalized_FCF!C125</f>
        <v>0.60941871295938521</v>
      </c>
    </row>
    <row r="64" spans="2:6">
      <c r="B64" s="254" t="s">
        <v>317</v>
      </c>
      <c r="C64" s="92">
        <f>Normalized_FCF!C93</f>
        <v>0.52016834539178136</v>
      </c>
    </row>
    <row r="66" spans="1:6" ht="13.9">
      <c r="A66" s="247" t="s">
        <v>366</v>
      </c>
      <c r="B66" s="36"/>
      <c r="C66" s="36"/>
      <c r="D66" s="36"/>
      <c r="E66" s="36"/>
      <c r="F66" s="36"/>
    </row>
    <row r="67" spans="1:6">
      <c r="A67" s="233"/>
    </row>
    <row r="68" spans="1:6" ht="24.4" customHeight="1">
      <c r="A68" s="17"/>
      <c r="B68" s="345" t="s">
        <v>373</v>
      </c>
      <c r="C68" s="345"/>
      <c r="D68" s="345"/>
      <c r="E68" s="345"/>
      <c r="F68" s="345"/>
    </row>
    <row r="69" spans="1:6">
      <c r="B69" s="348" t="s">
        <v>253</v>
      </c>
      <c r="C69" s="348"/>
      <c r="D69" s="348"/>
      <c r="E69" s="348"/>
      <c r="F69" s="348"/>
    </row>
    <row r="71" spans="1:6">
      <c r="B71" s="234" t="s">
        <v>231</v>
      </c>
    </row>
    <row r="72" spans="1:6">
      <c r="B72" s="1" t="s">
        <v>289</v>
      </c>
      <c r="C72" s="311">
        <v>0.08</v>
      </c>
    </row>
    <row r="73" spans="1:6">
      <c r="B73" s="1" t="s">
        <v>291</v>
      </c>
      <c r="C73" s="263">
        <f>IF(D73="Y",1%,0)</f>
        <v>0</v>
      </c>
      <c r="D73" s="286" t="s">
        <v>330</v>
      </c>
    </row>
    <row r="74" spans="1:6">
      <c r="B74" s="1" t="s">
        <v>290</v>
      </c>
      <c r="C74" s="263">
        <f>IF(D74="Y",1%,0)</f>
        <v>0</v>
      </c>
      <c r="D74" s="286" t="s">
        <v>330</v>
      </c>
    </row>
    <row r="75" spans="1:6">
      <c r="B75" s="80" t="s">
        <v>248</v>
      </c>
      <c r="C75" s="263">
        <f>SUM(C72:C74)</f>
        <v>0.08</v>
      </c>
    </row>
    <row r="76" spans="1:6">
      <c r="C76" s="122"/>
    </row>
    <row r="77" spans="1:6">
      <c r="B77" s="332" t="s">
        <v>367</v>
      </c>
      <c r="C77" s="122"/>
    </row>
    <row r="78" spans="1:6" ht="24.4" customHeight="1">
      <c r="B78" s="345" t="s">
        <v>374</v>
      </c>
      <c r="C78" s="345"/>
      <c r="D78" s="345"/>
      <c r="E78" s="345"/>
      <c r="F78" s="345"/>
    </row>
    <row r="79" spans="1:6" ht="24.4" customHeight="1">
      <c r="B79" s="345" t="s">
        <v>375</v>
      </c>
      <c r="C79" s="345"/>
      <c r="D79" s="345"/>
      <c r="E79" s="345"/>
      <c r="F79" s="345"/>
    </row>
    <row r="81" spans="1:6">
      <c r="B81" s="47" t="s">
        <v>252</v>
      </c>
      <c r="C81" s="263">
        <v>0</v>
      </c>
    </row>
    <row r="82" spans="1:6">
      <c r="B82" s="47" t="s">
        <v>284</v>
      </c>
      <c r="C82" s="248">
        <f>Valuation_Model!C6*scaling_factor*Exchange_Rate/Common_Shares</f>
        <v>30.39475830884934</v>
      </c>
      <c r="D82" s="1" t="str">
        <f>Market_currency</f>
        <v>CNY</v>
      </c>
    </row>
    <row r="84" spans="1:6" ht="13.9">
      <c r="A84" s="247" t="s">
        <v>368</v>
      </c>
      <c r="B84" s="36"/>
      <c r="C84" s="36"/>
      <c r="D84" s="36"/>
      <c r="E84" s="36"/>
      <c r="F84" s="36"/>
    </row>
    <row r="85" spans="1:6">
      <c r="A85" s="233"/>
    </row>
    <row r="86" spans="1:6">
      <c r="B86" s="345" t="s">
        <v>376</v>
      </c>
      <c r="C86" s="345"/>
      <c r="D86" s="345"/>
      <c r="E86" s="345"/>
      <c r="F86" s="345"/>
    </row>
    <row r="87" spans="1:6">
      <c r="B87" s="1" t="s">
        <v>254</v>
      </c>
    </row>
    <row r="89" spans="1:6">
      <c r="B89" s="234" t="s">
        <v>231</v>
      </c>
    </row>
    <row r="90" spans="1:6" ht="24.4" customHeight="1">
      <c r="B90" s="345" t="s">
        <v>354</v>
      </c>
      <c r="C90" s="345"/>
      <c r="D90" s="345"/>
      <c r="E90" s="345"/>
      <c r="F90" s="345"/>
    </row>
    <row r="91" spans="1:6">
      <c r="B91" s="47" t="s">
        <v>256</v>
      </c>
      <c r="C91" s="188">
        <f>Valuation_Model!C7</f>
        <v>0</v>
      </c>
      <c r="D91" s="1" t="str">
        <f>Reporting_currency</f>
        <v>CNY</v>
      </c>
    </row>
    <row r="92" spans="1:6">
      <c r="B92" s="47" t="s">
        <v>285</v>
      </c>
      <c r="C92" s="248">
        <f>C91*scaling_factor*Exchange_Rate/Common_Shares</f>
        <v>0</v>
      </c>
      <c r="D92" s="1" t="str">
        <f>Market_currency</f>
        <v>CNY</v>
      </c>
    </row>
    <row r="93" spans="1:6">
      <c r="B93" s="336" t="s">
        <v>415</v>
      </c>
      <c r="C93" s="337">
        <f>BS!G30/BS!G27</f>
        <v>0.5</v>
      </c>
    </row>
    <row r="94" spans="1:6">
      <c r="B94" s="336" t="s">
        <v>416</v>
      </c>
      <c r="C94" s="337">
        <f>BS!G31/BS!G27</f>
        <v>0</v>
      </c>
    </row>
    <row r="95" spans="1:6">
      <c r="B95" s="336" t="s">
        <v>418</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CNY</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CNY</v>
      </c>
    </row>
    <row r="106" spans="1:6" ht="24.4" customHeight="1">
      <c r="B106" s="345" t="s">
        <v>377</v>
      </c>
      <c r="C106" s="345"/>
      <c r="D106" s="345"/>
      <c r="E106" s="345"/>
      <c r="F106" s="345"/>
    </row>
    <row r="108" spans="1:6">
      <c r="B108" s="47" t="s">
        <v>283</v>
      </c>
      <c r="C108" s="248">
        <f>Valuation_Model!C12</f>
        <v>28.233641337632509</v>
      </c>
      <c r="D108" s="1" t="str">
        <f>Market_currency</f>
        <v>CNY</v>
      </c>
    </row>
    <row r="109" spans="1:6">
      <c r="B109" s="336" t="s">
        <v>417</v>
      </c>
      <c r="C109" s="248">
        <f>BS!D47</f>
        <v>5.243996058095486E-6</v>
      </c>
      <c r="D109" s="1" t="str">
        <f>Market_currency</f>
        <v>CNY</v>
      </c>
    </row>
    <row r="111" spans="1:6" ht="13.9">
      <c r="A111" s="247" t="s">
        <v>369</v>
      </c>
      <c r="B111" s="36"/>
      <c r="C111" s="36"/>
      <c r="D111" s="36"/>
      <c r="E111" s="36"/>
      <c r="F111" s="36"/>
    </row>
    <row r="113" spans="1:6" ht="24.4" customHeight="1">
      <c r="B113" s="346" t="s">
        <v>378</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CNY</v>
      </c>
      <c r="F116" s="259">
        <f>Valuation_Model!F74</f>
        <v>0.05</v>
      </c>
    </row>
    <row r="117" spans="1:6">
      <c r="B117" s="242" t="str">
        <f>Valuation_Model!B75</f>
        <v>Optimistic</v>
      </c>
      <c r="C117" s="243">
        <f>Valuation_Model!C75</f>
        <v>0.04</v>
      </c>
      <c r="D117" s="244">
        <f>Valuation_Model!D75</f>
        <v>10</v>
      </c>
      <c r="E117" s="245" t="str">
        <f>ROUND(Valuation_Model!E75,2)&amp;" "&amp;Market_currency</f>
        <v>32.35 CNY</v>
      </c>
      <c r="F117" s="246">
        <f>Valuation_Model!F75</f>
        <v>0.18</v>
      </c>
    </row>
    <row r="118" spans="1:6">
      <c r="B118" s="242" t="str">
        <f>Valuation_Model!B76</f>
        <v>Base</v>
      </c>
      <c r="C118" s="243">
        <f>Valuation_Model!C76</f>
        <v>0.02</v>
      </c>
      <c r="D118" s="244">
        <f>Valuation_Model!D76</f>
        <v>10</v>
      </c>
      <c r="E118" s="245" t="str">
        <f>ROUND(Valuation_Model!E76,2)&amp;" "&amp;Market_currency</f>
        <v>30.2 CNY</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CNY</v>
      </c>
      <c r="F120" s="246">
        <f>Valuation_Model!F78</f>
        <v>0.05</v>
      </c>
    </row>
    <row r="122" spans="1:6">
      <c r="B122" s="235" t="s">
        <v>259</v>
      </c>
      <c r="C122" s="241">
        <f>Scenarios!C60</f>
        <v>30.598710239352997</v>
      </c>
      <c r="D122" s="236" t="str">
        <f>Market_currency</f>
        <v>CNY</v>
      </c>
    </row>
    <row r="124" spans="1:6" ht="24.4" customHeight="1">
      <c r="B124" s="349" t="s">
        <v>381</v>
      </c>
      <c r="C124" s="349"/>
      <c r="D124" s="349"/>
      <c r="E124" s="349"/>
      <c r="F124" s="349"/>
    </row>
    <row r="126" spans="1:6" ht="13.9">
      <c r="A126" s="247" t="s">
        <v>413</v>
      </c>
      <c r="B126" s="36"/>
      <c r="C126" s="36"/>
      <c r="D126" s="36"/>
      <c r="E126" s="36"/>
      <c r="F126" s="36"/>
    </row>
    <row r="128" spans="1:6">
      <c r="B128" s="350" t="s">
        <v>379</v>
      </c>
      <c r="C128" s="350"/>
      <c r="D128" s="350"/>
      <c r="E128" s="350"/>
      <c r="F128" s="350"/>
    </row>
    <row r="129" spans="2:6" ht="24.4" customHeight="1">
      <c r="B129" s="345" t="s">
        <v>380</v>
      </c>
      <c r="C129" s="345"/>
      <c r="D129" s="345"/>
      <c r="E129" s="345"/>
      <c r="F129" s="345"/>
    </row>
    <row r="130" spans="2:6">
      <c r="B130" s="234" t="s">
        <v>231</v>
      </c>
    </row>
    <row r="131" spans="2:6">
      <c r="B131" s="1" t="s">
        <v>264</v>
      </c>
      <c r="C131" s="251">
        <f>E25</f>
        <v>3</v>
      </c>
    </row>
    <row r="132" spans="2:6">
      <c r="B132" s="1" t="s">
        <v>278</v>
      </c>
      <c r="C132" s="250">
        <f>C24</f>
        <v>0.35</v>
      </c>
    </row>
    <row r="133" spans="2:6">
      <c r="B133" s="236" t="s">
        <v>262</v>
      </c>
      <c r="C133" s="237">
        <f>Scenarios!C77</f>
        <v>2.0754716981132075</v>
      </c>
      <c r="D133" s="236" t="str">
        <f>Market_currency</f>
        <v>CNY</v>
      </c>
    </row>
    <row r="135" spans="2:6">
      <c r="B135" s="234" t="s">
        <v>421</v>
      </c>
      <c r="C135" s="270" t="str">
        <f>C11</f>
        <v>0386.HK</v>
      </c>
      <c r="D135" s="270" t="str">
        <f>IF(D11="","",D11)</f>
        <v>600028.SS</v>
      </c>
    </row>
    <row r="136" spans="2:6">
      <c r="B136" s="1" t="s">
        <v>419</v>
      </c>
      <c r="C136" s="337">
        <f>C24</f>
        <v>0.35</v>
      </c>
    </row>
    <row r="137" spans="2:6">
      <c r="B137" s="236" t="str">
        <f>"PV("&amp;C131&amp;" yrs of Dividends)"</f>
        <v>PV(3 yrs of Dividends)</v>
      </c>
      <c r="C137" s="240">
        <f>Scenarios!C81</f>
        <v>3.5197503065091129</v>
      </c>
    </row>
    <row r="138" spans="2:6">
      <c r="B138" s="236" t="str">
        <f>"+ PV(Equity Value realized at year "&amp;C131&amp;")"</f>
        <v>+ PV(Equity Value realized at year 3)</v>
      </c>
      <c r="C138" s="240">
        <f>Scenarios!C82</f>
        <v>12.436604273475787</v>
      </c>
    </row>
    <row r="139" spans="2:6">
      <c r="B139" s="80" t="s">
        <v>261</v>
      </c>
      <c r="C139" s="239">
        <f>Scenarios!C83</f>
        <v>15.9563545799849</v>
      </c>
      <c r="D139" s="342">
        <f>IF($D$11="","",C139*$E$22)</f>
        <v>15.053164698098961</v>
      </c>
    </row>
    <row r="140" spans="2:6">
      <c r="B140" s="290" t="s">
        <v>432</v>
      </c>
      <c r="C140" s="340" t="str">
        <f>Market_currency</f>
        <v>CNY</v>
      </c>
      <c r="D140" s="340" t="str">
        <f>IF($D$11="","",D$13)</f>
        <v>HKD</v>
      </c>
    </row>
    <row r="141" spans="2:6">
      <c r="B141" s="238" t="s">
        <v>263</v>
      </c>
      <c r="C141" s="92">
        <f>Scenarios!F83</f>
        <v>0.47852852439958615</v>
      </c>
    </row>
    <row r="143" spans="2:6">
      <c r="B143" s="234" t="s">
        <v>424</v>
      </c>
    </row>
    <row r="144" spans="2:6">
      <c r="B144" s="1" t="s">
        <v>423</v>
      </c>
      <c r="C144" s="337">
        <f>Scenarios!C90</f>
        <v>0.2</v>
      </c>
    </row>
    <row r="145" spans="2:4">
      <c r="B145" s="236" t="str">
        <f>"PV("&amp;C131&amp;" yrs of Dividends)"</f>
        <v>PV(3 yrs of Dividends)</v>
      </c>
      <c r="C145" s="240">
        <f>Scenarios!C91</f>
        <v>4.3719426974143953</v>
      </c>
    </row>
    <row r="146" spans="2:4">
      <c r="B146" s="236" t="str">
        <f>"+ PV(Equity Value realized at year "&amp;C131&amp;")"</f>
        <v>+ PV(Equity Value realized at year 3)</v>
      </c>
      <c r="C146" s="240">
        <f>Scenarios!C92</f>
        <v>17.707586944070023</v>
      </c>
    </row>
    <row r="147" spans="2:4">
      <c r="B147" s="80" t="s">
        <v>261</v>
      </c>
      <c r="C147" s="239">
        <f>Scenarios!C93</f>
        <v>22.07952964148442</v>
      </c>
      <c r="D147" s="342">
        <f>IF($D$11="","",C147*$E$22)</f>
        <v>20.829744944796619</v>
      </c>
    </row>
    <row r="148" spans="2:4">
      <c r="B148" s="290" t="s">
        <v>432</v>
      </c>
      <c r="C148" s="340" t="str">
        <f>Market_currency</f>
        <v>CNY</v>
      </c>
      <c r="D148" s="340" t="str">
        <f>IF($D$11="","",D$13)</f>
        <v>HKD</v>
      </c>
    </row>
    <row r="149" spans="2:4">
      <c r="B149" s="238" t="s">
        <v>263</v>
      </c>
      <c r="C149" s="92">
        <f>Scenarios!F93</f>
        <v>0.27841632968281327</v>
      </c>
    </row>
    <row r="151" spans="2:4">
      <c r="B151" s="234" t="s">
        <v>411</v>
      </c>
    </row>
    <row r="152" spans="2:4">
      <c r="B152" s="1" t="s">
        <v>422</v>
      </c>
      <c r="C152" s="92">
        <f>Scenarios!C96</f>
        <v>0.08</v>
      </c>
    </row>
    <row r="153" spans="2:4">
      <c r="B153" s="236" t="str">
        <f>"PV("&amp;C131&amp;" yrs of Dividends)"</f>
        <v>PV(3 yrs of Dividends)</v>
      </c>
      <c r="C153" s="240">
        <f>Scenarios!C97</f>
        <v>5.3486918603257889</v>
      </c>
    </row>
    <row r="154" spans="2:4">
      <c r="B154" s="236" t="str">
        <f>"+ PV(Equity Value realized at year "&amp;C131&amp;")"</f>
        <v>+ PV(Equity Value realized at year 3)</v>
      </c>
      <c r="C154" s="240">
        <f>Scenarios!C98</f>
        <v>24.290242721632399</v>
      </c>
    </row>
    <row r="155" spans="2:4">
      <c r="B155" s="80" t="s">
        <v>412</v>
      </c>
      <c r="C155" s="239">
        <f>Scenarios!C99</f>
        <v>29.638934581958189</v>
      </c>
      <c r="D155" s="342">
        <f>IF($D$11="","",C155*$E$22)</f>
        <v>27.961259039583194</v>
      </c>
    </row>
    <row r="156" spans="2:4">
      <c r="B156" s="290" t="s">
        <v>432</v>
      </c>
      <c r="C156" s="340" t="str">
        <f>Market_currency</f>
        <v>CNY</v>
      </c>
      <c r="D156" s="340" t="str">
        <f>IF($D$11="","",D$13)</f>
        <v>HKD</v>
      </c>
    </row>
    <row r="157" spans="2:4">
      <c r="B157" s="238" t="s">
        <v>263</v>
      </c>
      <c r="C157" s="92">
        <f>Scenarios!F99</f>
        <v>3.1366539631478951E-2</v>
      </c>
    </row>
    <row r="159" spans="2:4">
      <c r="B159" s="234" t="s">
        <v>411</v>
      </c>
    </row>
    <row r="160" spans="2:4">
      <c r="B160" s="1" t="s">
        <v>441</v>
      </c>
      <c r="C160" s="92">
        <f>E26</f>
        <v>0.12</v>
      </c>
    </row>
    <row r="161" spans="1:6">
      <c r="B161" s="236" t="str">
        <f>"PV("&amp;C131&amp;" yrs of Dividends)"</f>
        <v>PV(3 yrs of Dividends)</v>
      </c>
      <c r="C161" s="240">
        <f>Scenarios!C103</f>
        <v>4.9849328208372334</v>
      </c>
    </row>
    <row r="162" spans="1:6">
      <c r="B162" s="236" t="str">
        <f>"+ PV(Equity Value realized at year "&amp;C131&amp;")"</f>
        <v>+ PV(Equity Value realized at year 3)</v>
      </c>
      <c r="C162" s="240">
        <f>Scenarios!C104</f>
        <v>21.77955755693743</v>
      </c>
    </row>
    <row r="163" spans="1:6">
      <c r="B163" s="80" t="s">
        <v>412</v>
      </c>
      <c r="C163" s="239">
        <f>Scenarios!C105</f>
        <v>26.764490377774663</v>
      </c>
      <c r="D163" s="342">
        <f>IF($D$11="","",C163*$E$22)</f>
        <v>25.249519224315719</v>
      </c>
    </row>
    <row r="164" spans="1:6">
      <c r="B164" s="290" t="s">
        <v>432</v>
      </c>
      <c r="C164" s="340" t="str">
        <f>Market_currency</f>
        <v>CNY</v>
      </c>
      <c r="D164" s="340" t="str">
        <f>IF($D$11="","",D$13)</f>
        <v>HKD</v>
      </c>
    </row>
    <row r="165" spans="1:6">
      <c r="B165" s="238" t="s">
        <v>263</v>
      </c>
      <c r="C165" s="92">
        <f>Scenarios!F105</f>
        <v>0.19168638951624872</v>
      </c>
    </row>
    <row r="167" spans="1:6" ht="13.9">
      <c r="A167" s="247" t="s">
        <v>385</v>
      </c>
      <c r="B167" s="36"/>
      <c r="C167" s="36"/>
      <c r="D167" s="36"/>
      <c r="E167" s="36"/>
      <c r="F167" s="36"/>
    </row>
    <row r="169" spans="1:6">
      <c r="B169" s="344" t="s">
        <v>387</v>
      </c>
      <c r="C169" s="345"/>
      <c r="D169" s="345"/>
      <c r="E169" s="345"/>
      <c r="F169" s="345"/>
    </row>
    <row r="171" spans="1:6">
      <c r="B171" s="234" t="s">
        <v>386</v>
      </c>
    </row>
    <row r="172" spans="1:6">
      <c r="B172" s="347" t="s">
        <v>391</v>
      </c>
      <c r="C172" s="347"/>
      <c r="D172" s="347"/>
      <c r="E172" s="347"/>
      <c r="F172" s="347"/>
    </row>
    <row r="173" spans="1:6">
      <c r="B173" s="238" t="s">
        <v>388</v>
      </c>
    </row>
    <row r="174" spans="1:6">
      <c r="B174" s="238" t="s">
        <v>389</v>
      </c>
    </row>
    <row r="175" spans="1:6">
      <c r="B175" s="238" t="s">
        <v>390</v>
      </c>
    </row>
    <row r="177" spans="2:6">
      <c r="B177" s="1" t="s">
        <v>395</v>
      </c>
    </row>
    <row r="178" spans="2:6" ht="46.5" customHeight="1">
      <c r="B178" s="346" t="s">
        <v>392</v>
      </c>
      <c r="C178" s="346"/>
      <c r="D178" s="346"/>
      <c r="E178" s="346"/>
      <c r="F178" s="346"/>
    </row>
    <row r="180" spans="2:6">
      <c r="B180" s="1" t="s">
        <v>396</v>
      </c>
    </row>
    <row r="181" spans="2:6" ht="24.4" customHeight="1">
      <c r="B181" s="343" t="s">
        <v>393</v>
      </c>
      <c r="C181" s="343"/>
      <c r="D181" s="343"/>
      <c r="E181" s="343"/>
      <c r="F181" s="343"/>
    </row>
    <row r="182" spans="2:6" ht="24.4" customHeight="1">
      <c r="B182" s="343" t="s">
        <v>394</v>
      </c>
      <c r="C182" s="343"/>
      <c r="D182" s="343"/>
      <c r="E182" s="343"/>
      <c r="F182" s="343"/>
    </row>
    <row r="184" spans="2:6">
      <c r="B184" s="1" t="s">
        <v>400</v>
      </c>
    </row>
    <row r="185" spans="2:6">
      <c r="B185" s="238" t="s">
        <v>397</v>
      </c>
    </row>
    <row r="186" spans="2:6">
      <c r="B186" s="238" t="s">
        <v>398</v>
      </c>
    </row>
    <row r="187" spans="2:6">
      <c r="B187" s="238" t="s">
        <v>399</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81:F181"/>
    <mergeCell ref="B182:F182"/>
    <mergeCell ref="B169:F169"/>
    <mergeCell ref="B178:F178"/>
    <mergeCell ref="B172:F172"/>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382</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384</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383</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2</v>
      </c>
      <c r="D46" s="188">
        <f>H29</f>
        <v>0.60000000000000009</v>
      </c>
      <c r="F46" s="283"/>
    </row>
    <row r="47" spans="2:8" ht="15" customHeight="1">
      <c r="B47" s="1" t="str">
        <f>"Equity per share ("&amp;Market_currency&amp;")"</f>
        <v>Equity per share (CNY)</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-248775.78636286163</v>
      </c>
      <c r="D73" s="188">
        <f>(Normalized_FCF!C25+Normalized_FCF!C35-Normalized_FCF!C91)/12</f>
        <v>-247268.57388162927</v>
      </c>
      <c r="F73" s="1" t="s">
        <v>361</v>
      </c>
    </row>
    <row r="74" spans="2:6" ht="15" customHeight="1">
      <c r="B74" s="288" t="s">
        <v>331</v>
      </c>
      <c r="C74" s="289">
        <f>-$C$66/C73</f>
        <v>4.0196838069337299E-6</v>
      </c>
      <c r="D74" s="289">
        <f>-$C$66/D73</f>
        <v>4.0441855764441506E-6</v>
      </c>
      <c r="F74" s="283" t="s">
        <v>328</v>
      </c>
    </row>
    <row r="75" spans="2:6" ht="15" customHeight="1">
      <c r="B75" s="80" t="s">
        <v>329</v>
      </c>
      <c r="C75" s="293"/>
      <c r="D75" s="292">
        <f>MAX(-D73*D76,G5)</f>
        <v>247268.57388162927</v>
      </c>
      <c r="F75" s="283" t="s">
        <v>362</v>
      </c>
    </row>
    <row r="76" spans="2:6" ht="15" customHeight="1">
      <c r="B76" s="290" t="s">
        <v>332</v>
      </c>
      <c r="C76" s="291"/>
      <c r="D76" s="327">
        <f>IF(D74&lt;=3,1,IF(D74&gt;18,6,2))</f>
        <v>1</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0</v>
      </c>
      <c r="D86" s="248">
        <f>C86*scaling_factor/Common_Shares</f>
        <v>0</v>
      </c>
      <c r="E86" s="269" t="str">
        <f>Market_currency</f>
        <v>CNY</v>
      </c>
    </row>
    <row r="87" spans="2:8" ht="15" customHeight="1">
      <c r="B87" s="267" t="s">
        <v>295</v>
      </c>
      <c r="C87" s="188">
        <f>Valuation_Model!C8*Exchange_Rate</f>
        <v>-262103.62831452704</v>
      </c>
      <c r="D87" s="248">
        <f>C87*scaling_factor/Common_Shares</f>
        <v>-2.1611169712168299</v>
      </c>
      <c r="E87" s="269" t="str">
        <f>Market_currency</f>
        <v>CNY</v>
      </c>
    </row>
    <row r="88" spans="2:8" ht="15" customHeight="1">
      <c r="B88" s="268" t="s">
        <v>190</v>
      </c>
      <c r="C88" s="188">
        <f>Valuation_Model!C9*Exchange_Rate</f>
        <v>0</v>
      </c>
      <c r="D88" s="248">
        <f>C88*scaling_factor/Common_Shares</f>
        <v>0</v>
      </c>
      <c r="E88" s="269" t="str">
        <f>Market_currency</f>
        <v>CNY</v>
      </c>
    </row>
    <row r="89" spans="2:8" ht="15" customHeight="1">
      <c r="B89" s="80" t="s">
        <v>299</v>
      </c>
      <c r="C89" s="187">
        <f>SUM(C86:C88)</f>
        <v>-262103.62831452704</v>
      </c>
      <c r="D89" s="271">
        <f>SUM(D86:D88)</f>
        <v>-2.1611169712168299</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343</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343</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343</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343</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345</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346</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364</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403</v>
      </c>
      <c r="C114" s="170"/>
      <c r="E114" s="302"/>
      <c r="G114" s="334">
        <f>IF(G$4="","",Data!C$22/G19)</f>
        <v>0.49429456461306293</v>
      </c>
      <c r="H114" s="334">
        <f>IF(H$4="","",Data!D$22/H19)</f>
        <v>0.49831810887544747</v>
      </c>
      <c r="I114" s="334">
        <f>IF(I$4="","",Data!E$22/I19)</f>
        <v>0.35744831296595186</v>
      </c>
      <c r="J114" s="334">
        <f>IF(J$4="","",Data!F$22/J19)</f>
        <v>0.66175485205778972</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9"/>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405</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-3.8810272916738997E-2</v>
      </c>
      <c r="E14" s="353"/>
      <c r="F14" s="353"/>
    </row>
    <row r="16" spans="2:9" ht="13.9">
      <c r="B16" s="36" t="s">
        <v>163</v>
      </c>
      <c r="C16" s="37"/>
      <c r="D16" s="37"/>
      <c r="E16" s="37"/>
      <c r="F16" s="37"/>
    </row>
    <row r="17" spans="2:6" ht="13.15">
      <c r="B17" s="109" t="s">
        <v>152</v>
      </c>
      <c r="E17" s="160" t="s">
        <v>339</v>
      </c>
    </row>
    <row r="18" spans="2:6">
      <c r="B18" s="153" t="s">
        <v>134</v>
      </c>
      <c r="C18" s="151">
        <v>10</v>
      </c>
      <c r="E18" s="353" t="s">
        <v>340</v>
      </c>
      <c r="F18" s="354"/>
    </row>
    <row r="19" spans="2:6">
      <c r="E19" s="354"/>
      <c r="F19" s="354"/>
    </row>
    <row r="20" spans="2:6" ht="13.15">
      <c r="B20" s="160" t="s">
        <v>311</v>
      </c>
      <c r="E20" s="354"/>
      <c r="F20" s="354"/>
    </row>
    <row r="21" spans="2:6">
      <c r="B21" s="100" t="s">
        <v>280</v>
      </c>
      <c r="C21" s="161">
        <f>Market_Price</f>
        <v>3.99</v>
      </c>
      <c r="D21" t="str">
        <f>Market_currency</f>
        <v>CNY</v>
      </c>
      <c r="E21" s="354"/>
      <c r="F21" s="354"/>
    </row>
    <row r="22" spans="2:6">
      <c r="B22" s="100" t="s">
        <v>281</v>
      </c>
      <c r="C22" s="161">
        <f>Valuation_Model!C12</f>
        <v>28.233641337632509</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CNY</v>
      </c>
      <c r="E39" s="352"/>
      <c r="F39" s="352"/>
    </row>
    <row r="40" spans="2:6">
      <c r="B40" s="100" t="s">
        <v>148</v>
      </c>
      <c r="C40" s="168">
        <f>1-C28-C34</f>
        <v>0.2</v>
      </c>
      <c r="D40" s="166"/>
      <c r="E40" s="352"/>
      <c r="F40" s="352"/>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CNY</v>
      </c>
      <c r="E51" s="352"/>
      <c r="F51" s="352"/>
    </row>
    <row r="52" spans="2:6">
      <c r="B52" s="100" t="s">
        <v>148</v>
      </c>
      <c r="C52" s="166">
        <v>0.05</v>
      </c>
      <c r="D52" s="166"/>
      <c r="E52" s="352"/>
      <c r="F52" s="352"/>
    </row>
    <row r="54" spans="2:6" ht="13.15">
      <c r="B54" s="160" t="s">
        <v>325</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CNY</v>
      </c>
      <c r="E57" s="352"/>
      <c r="F57" s="352"/>
    </row>
    <row r="58" spans="2:6">
      <c r="B58" s="100" t="s">
        <v>148</v>
      </c>
      <c r="C58" s="166">
        <v>0.05</v>
      </c>
      <c r="D58" s="166"/>
      <c r="E58" s="352"/>
      <c r="F58" s="352"/>
    </row>
    <row r="60" spans="2:6" ht="13.15">
      <c r="B60" s="100" t="s">
        <v>121</v>
      </c>
      <c r="C60" s="155">
        <f>C51*C52+C57*C58+C42*(1-C52-C58)</f>
        <v>30.598710239352997</v>
      </c>
      <c r="D60" t="str">
        <f>Market_currency</f>
        <v>CNY</v>
      </c>
      <c r="E60" s="100" t="s">
        <v>304</v>
      </c>
      <c r="F60" s="312">
        <f>Thesis!E25</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33.111517646915438</v>
      </c>
      <c r="D66" s="161" t="str">
        <f>Market_currency</f>
        <v>CNY</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-7.0627714511882198E-2</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2.0754716981132075</v>
      </c>
      <c r="D77" t="str">
        <f>Market_currency</f>
        <v>CNY</v>
      </c>
    </row>
    <row r="79" spans="2:6" ht="13.15">
      <c r="B79" s="109" t="s">
        <v>309</v>
      </c>
    </row>
    <row r="80" spans="2:6">
      <c r="B80" s="149" t="s">
        <v>307</v>
      </c>
      <c r="C80" s="168">
        <f>Thesis!C132</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9">
        <f>(1-C83/C60)</f>
        <v>0.47852852439958615</v>
      </c>
    </row>
    <row r="84" spans="2:8">
      <c r="E84" s="121"/>
    </row>
    <row r="85" spans="2:8" ht="13.15">
      <c r="B85" s="109" t="s">
        <v>310</v>
      </c>
    </row>
    <row r="86" spans="2:8">
      <c r="B86" s="149" t="s">
        <v>308</v>
      </c>
      <c r="C86" s="266">
        <f>Market_Price</f>
        <v>3.99</v>
      </c>
      <c r="D86" t="str">
        <f>Market_currency</f>
        <v>CNY</v>
      </c>
    </row>
    <row r="87" spans="2:8" ht="13.15">
      <c r="B87" s="100" t="s">
        <v>306</v>
      </c>
      <c r="C87" s="265">
        <f ca="1">IRR(OFFSET($I$3, 0, 0, $C$76 + 1, 1))</f>
        <v>1.2976894231064677</v>
      </c>
    </row>
    <row r="88" spans="2:8">
      <c r="B88" s="100"/>
    </row>
    <row r="89" spans="2:8" ht="13.15">
      <c r="B89" s="109" t="s">
        <v>425</v>
      </c>
    </row>
    <row r="90" spans="2:8">
      <c r="B90" s="149" t="s">
        <v>426</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CNY</v>
      </c>
      <c r="E93" s="147" t="s">
        <v>127</v>
      </c>
      <c r="F93" s="329">
        <f>(1-C93/C60)</f>
        <v>0.27841632968281327</v>
      </c>
    </row>
    <row r="95" spans="2:8" ht="13.15">
      <c r="B95" s="109" t="s">
        <v>408</v>
      </c>
      <c r="G95" s="2"/>
      <c r="H95" s="316"/>
    </row>
    <row r="96" spans="2:8">
      <c r="B96" s="149" t="s">
        <v>414</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409</v>
      </c>
      <c r="C99" s="112">
        <f>C97+C98</f>
        <v>29.638934581958189</v>
      </c>
      <c r="D99" t="s">
        <v>407</v>
      </c>
      <c r="E99" s="147" t="s">
        <v>127</v>
      </c>
      <c r="F99" s="329">
        <f>(1-C99/C60)</f>
        <v>3.1366539631478951E-2</v>
      </c>
    </row>
    <row r="100" spans="2:8">
      <c r="B100" s="100"/>
    </row>
    <row r="101" spans="2:8" ht="13.15">
      <c r="B101" s="109" t="s">
        <v>440</v>
      </c>
    </row>
    <row r="102" spans="2:8">
      <c r="B102" s="149" t="s">
        <v>438</v>
      </c>
      <c r="C102" s="135">
        <f>Thesis!E26</f>
        <v>0.12</v>
      </c>
    </row>
    <row r="103" spans="2:8">
      <c r="B103" s="100" t="s">
        <v>122</v>
      </c>
      <c r="C103" s="117">
        <f>PV(C102, C76, -C77, 0)</f>
        <v>4.9849328208372334</v>
      </c>
      <c r="D103" s="117"/>
    </row>
    <row r="104" spans="2:8">
      <c r="B104" s="100" t="s">
        <v>123</v>
      </c>
      <c r="C104" s="117">
        <f>C60/(1+C102)^C76</f>
        <v>21.77955755693743</v>
      </c>
      <c r="D104" s="117"/>
    </row>
    <row r="105" spans="2:8" ht="13.15">
      <c r="B105" s="111" t="s">
        <v>409</v>
      </c>
      <c r="C105" s="112">
        <f>C103+C104</f>
        <v>26.764490377774663</v>
      </c>
      <c r="D105" t="s">
        <v>407</v>
      </c>
      <c r="E105" s="147" t="s">
        <v>127</v>
      </c>
      <c r="F105" s="329">
        <f>(1-C105/C66)</f>
        <v>0.19168638951624872</v>
      </c>
    </row>
    <row r="106" spans="2:8">
      <c r="B106" s="100"/>
    </row>
    <row r="107" spans="2:8" ht="14.65">
      <c r="E107" s="320" t="s">
        <v>334</v>
      </c>
      <c r="F107" s="317"/>
    </row>
    <row r="108" spans="2:8" ht="13.9">
      <c r="E108" s="313" t="s">
        <v>335</v>
      </c>
      <c r="F108" s="318" t="s">
        <v>336</v>
      </c>
    </row>
    <row r="109" spans="2:8" ht="13.9">
      <c r="E109" s="314" t="s">
        <v>335</v>
      </c>
      <c r="F109" s="318" t="s">
        <v>337</v>
      </c>
    </row>
    <row r="110" spans="2:8" ht="13.9">
      <c r="E110" s="315" t="s">
        <v>335</v>
      </c>
      <c r="F110"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2025-05-17T07:29:03Z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