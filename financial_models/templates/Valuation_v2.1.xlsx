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63FE59E-599E-EB4C-BE5C-EBF97C552282}"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D25" i="4"/>
  <c r="C25" i="4"/>
  <c r="C4" i="3"/>
  <c r="G4" i="3"/>
  <c r="C23" i="3"/>
  <c r="G15" i="3"/>
  <c r="G18" i="3"/>
  <c r="C17" i="3"/>
  <c r="C19" i="3"/>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<sst xmlns="http://schemas.openxmlformats.org/spreadsheetml/2006/main" count="765" uniqueCount="556">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</sst>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1"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6"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6"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13" fillId="0" borderId="1" xfId="0" applyNumberFormat="1" applyFont="1" applyBorder="1" applyAlignment="1">
      <alignment wrapText="1"/>
    </xf>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C24" sqref="C24"/>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3" t="s">
        <v>225</v>
      </c>
      <c r="B2" s="34"/>
      <c r="C2" s="34"/>
      <c r="D2" s="34"/>
      <c r="E2" s="34"/>
      <c r="F2" s="34"/>
      <c r="G2" s="21"/>
      <c r="H2" s="21"/>
      <c r="I2" s="21"/>
    </row>
    <row r="3" spans="1:9" x14ac:dyDescent="0.15">
      <c r="E3" s="438" t="s">
        <v>547</v>
      </c>
      <c r="F3" s="439">
        <v>45930</v>
      </c>
    </row>
    <row r="4" spans="1:9" ht="14" x14ac:dyDescent="0.2">
      <c r="B4" s="431" t="s">
        <v>542</v>
      </c>
      <c r="C4" s="430" t="s">
        <v>553</v>
      </c>
      <c r="E4" s="440" t="s">
        <v>546</v>
      </c>
      <c r="F4" s="441" t="s">
        <v>327</v>
      </c>
    </row>
    <row r="5" spans="1:9" x14ac:dyDescent="0.15">
      <c r="B5" s="1" t="s">
        <v>354</v>
      </c>
      <c r="C5" s="46" t="s">
        <v>552</v>
      </c>
      <c r="E5" s="443" t="s">
        <v>548</v>
      </c>
      <c r="F5" s="442" t="s">
        <v>506</v>
      </c>
    </row>
    <row r="6" spans="1:9" x14ac:dyDescent="0.15">
      <c r="B6" s="2" t="s">
        <v>53</v>
      </c>
      <c r="C6" s="45" t="s">
        <v>409</v>
      </c>
      <c r="D6" s="45"/>
      <c r="E6" s="45"/>
    </row>
    <row r="7" spans="1:9" x14ac:dyDescent="0.15">
      <c r="B7" s="1" t="s">
        <v>356</v>
      </c>
      <c r="C7" s="45" t="s">
        <v>311</v>
      </c>
      <c r="D7" s="45"/>
      <c r="E7" s="45"/>
    </row>
    <row r="8" spans="1:9" x14ac:dyDescent="0.15">
      <c r="B8" s="4" t="s">
        <v>355</v>
      </c>
      <c r="C8" s="47">
        <v>2.85</v>
      </c>
      <c r="E8" s="32"/>
    </row>
    <row r="9" spans="1:9" x14ac:dyDescent="0.15">
      <c r="B9" s="4" t="s">
        <v>351</v>
      </c>
      <c r="C9" s="48">
        <v>2319863422</v>
      </c>
      <c r="D9" s="1" t="s">
        <v>537</v>
      </c>
      <c r="E9" s="311">
        <f>Scenarios!F34</f>
        <v>0.17676784240120927</v>
      </c>
    </row>
    <row r="10" spans="1:9" x14ac:dyDescent="0.15">
      <c r="B10" s="4" t="s">
        <v>357</v>
      </c>
      <c r="C10" s="33">
        <f>Thesis!C8*Common_Shares/1000000</f>
        <v>6611.6107526999995</v>
      </c>
    </row>
    <row r="11" spans="1:9" x14ac:dyDescent="0.15">
      <c r="D11" s="5"/>
      <c r="E11" s="5"/>
    </row>
    <row r="12" spans="1:9" ht="24.5" customHeight="1" x14ac:dyDescent="0.15">
      <c r="B12" s="455" t="s">
        <v>360</v>
      </c>
      <c r="C12" s="455"/>
      <c r="D12" s="455"/>
      <c r="E12" s="455"/>
      <c r="F12" s="455"/>
    </row>
    <row r="14" spans="1:9" x14ac:dyDescent="0.15">
      <c r="B14" s="42" t="str">
        <f>Scenarios!B39&amp;" Valuation Conclusion"</f>
        <v>1-stage DCF Valuation Conclusion</v>
      </c>
      <c r="C14" s="43"/>
    </row>
    <row r="15" spans="1:9" x14ac:dyDescent="0.15">
      <c r="B15" s="1" t="s">
        <v>322</v>
      </c>
      <c r="C15" s="427" t="s">
        <v>260</v>
      </c>
      <c r="D15" s="4" t="s">
        <v>358</v>
      </c>
      <c r="E15" s="260" t="str">
        <f>IF(E17=C7,C7,E17&amp;"/"&amp;C7)</f>
        <v>CNY/HKD</v>
      </c>
    </row>
    <row r="16" spans="1:9" x14ac:dyDescent="0.15">
      <c r="B16" s="1" t="s">
        <v>323</v>
      </c>
      <c r="C16" s="427" t="s">
        <v>260</v>
      </c>
      <c r="D16" s="4" t="s">
        <v>359</v>
      </c>
      <c r="E16" s="426">
        <v>1.0900000000000001</v>
      </c>
    </row>
    <row r="17" spans="1:6" x14ac:dyDescent="0.15">
      <c r="B17" s="1" t="s">
        <v>541</v>
      </c>
      <c r="C17" s="425">
        <v>0</v>
      </c>
      <c r="D17" s="4" t="s">
        <v>276</v>
      </c>
      <c r="E17" s="228" t="s">
        <v>554</v>
      </c>
    </row>
    <row r="18" spans="1:6" x14ac:dyDescent="0.15">
      <c r="B18" s="1" t="str">
        <f>"Expected Equity Value ("&amp;C7&amp;") :"</f>
        <v>Expected Equity Value (HKD) :</v>
      </c>
      <c r="C18" s="259">
        <f>C125</f>
        <v>3.600088840982079</v>
      </c>
      <c r="D18" s="2" t="s">
        <v>352</v>
      </c>
      <c r="E18" s="428">
        <v>6</v>
      </c>
    </row>
    <row r="19" spans="1:6" x14ac:dyDescent="0.15">
      <c r="B19" s="2" t="s">
        <v>277</v>
      </c>
      <c r="C19" s="31" t="str">
        <f>IF(Scenarios!C50="Y",Scenarios!B50,"")&amp;IF(Scenarios!C51="Y",Scenarios!B51,"")&amp;IF(Scenarios!C52="Y",Scenarios!B52,"")&amp;" "&amp;IF(Scenarios!C53="Y",Scenarios!B53,"")</f>
        <v xml:space="preserve">Low Growth </v>
      </c>
      <c r="D19" s="1" t="s">
        <v>353</v>
      </c>
      <c r="E19" s="429">
        <f>EOMONTH(EDATE(BS!C1,E18+2),0)</f>
        <v>46081</v>
      </c>
    </row>
    <row r="20" spans="1:6" x14ac:dyDescent="0.15">
      <c r="D20" s="5"/>
      <c r="E20" s="5"/>
    </row>
    <row r="21" spans="1:6" x14ac:dyDescent="0.15">
      <c r="B21" s="42" t="s">
        <v>412</v>
      </c>
      <c r="C21" s="261" t="str">
        <f>C138&amp;" ("&amp;Market_currency&amp;")"</f>
        <v xml:space="preserve"> (HKD)</v>
      </c>
      <c r="D21" s="31" t="s">
        <v>319</v>
      </c>
      <c r="E21" s="452">
        <v>2</v>
      </c>
    </row>
    <row r="22" spans="1:6" x14ac:dyDescent="0.15">
      <c r="B22" s="1" t="s">
        <v>315</v>
      </c>
      <c r="C22" s="262">
        <f>E140</f>
        <v>2.1806358523907154</v>
      </c>
      <c r="D22" s="38" t="s">
        <v>414</v>
      </c>
      <c r="E22" s="79">
        <v>0.35</v>
      </c>
    </row>
    <row r="23" spans="1:6" x14ac:dyDescent="0.15">
      <c r="B23" s="1" t="s">
        <v>316</v>
      </c>
      <c r="C23" s="263">
        <f>E141</f>
        <v>2.5333048582285307</v>
      </c>
      <c r="D23" s="38" t="s">
        <v>415</v>
      </c>
      <c r="E23" s="453">
        <v>0.25</v>
      </c>
    </row>
    <row r="24" spans="1:6" x14ac:dyDescent="0.15">
      <c r="B24" s="1" t="s">
        <v>318</v>
      </c>
      <c r="C24" s="263">
        <f>E144</f>
        <v>3.1533183438974275</v>
      </c>
      <c r="D24" s="38" t="s">
        <v>416</v>
      </c>
      <c r="E24" s="453">
        <v>0.1174</v>
      </c>
    </row>
    <row r="25" spans="1:6" x14ac:dyDescent="0.15">
      <c r="B25" s="1" t="s">
        <v>317</v>
      </c>
      <c r="C25" s="263">
        <f>E145</f>
        <v>3.4011282561229459</v>
      </c>
      <c r="D25" s="38" t="s">
        <v>417</v>
      </c>
      <c r="E25" s="454">
        <v>7.4999999999999997E-2</v>
      </c>
    </row>
    <row r="26" spans="1:6" x14ac:dyDescent="0.15">
      <c r="D26" s="5"/>
      <c r="E26" s="5"/>
    </row>
    <row r="27" spans="1:6" ht="16" x14ac:dyDescent="0.25">
      <c r="A27" s="203" t="s">
        <v>283</v>
      </c>
      <c r="B27" s="34"/>
      <c r="C27" s="34"/>
      <c r="D27" s="34"/>
      <c r="E27" s="34"/>
      <c r="F27" s="34"/>
    </row>
    <row r="29" spans="1:6" x14ac:dyDescent="0.15">
      <c r="B29" s="455" t="s">
        <v>361</v>
      </c>
      <c r="C29" s="455"/>
      <c r="D29" s="455"/>
      <c r="E29" s="455"/>
      <c r="F29" s="455"/>
    </row>
    <row r="30" spans="1:6" ht="24.5" customHeight="1" x14ac:dyDescent="0.15">
      <c r="B30" s="457" t="s">
        <v>268</v>
      </c>
      <c r="C30" s="457"/>
      <c r="D30" s="457"/>
      <c r="E30" s="457"/>
      <c r="F30" s="457"/>
    </row>
    <row r="32" spans="1:6" x14ac:dyDescent="0.15">
      <c r="B32" s="193" t="s">
        <v>195</v>
      </c>
      <c r="C32" s="105">
        <f>scaling_factor</f>
        <v>1000</v>
      </c>
    </row>
    <row r="33" spans="2:6" ht="24.5" customHeight="1" x14ac:dyDescent="0.15">
      <c r="B33" s="456" t="s">
        <v>196</v>
      </c>
      <c r="C33" s="456"/>
      <c r="D33" s="456"/>
      <c r="E33" s="456"/>
      <c r="F33" s="456"/>
    </row>
    <row r="34" spans="2:6" x14ac:dyDescent="0.15">
      <c r="B34" s="44" t="s">
        <v>197</v>
      </c>
      <c r="C34" s="293">
        <f>Normalized_FCF!C8</f>
        <v>611412.69999999972</v>
      </c>
      <c r="D34" s="1" t="str">
        <f>Reporting_currency</f>
        <v>CNY</v>
      </c>
    </row>
    <row r="35" spans="2:6" x14ac:dyDescent="0.15">
      <c r="B35" s="44"/>
      <c r="C35" s="73"/>
    </row>
    <row r="36" spans="2:6" ht="24.5" customHeight="1" x14ac:dyDescent="0.15">
      <c r="B36" s="456" t="s">
        <v>198</v>
      </c>
      <c r="C36" s="456"/>
      <c r="D36" s="456"/>
      <c r="E36" s="456"/>
      <c r="F36" s="456"/>
    </row>
    <row r="37" spans="2:6" x14ac:dyDescent="0.15">
      <c r="B37" s="44" t="s">
        <v>199</v>
      </c>
      <c r="C37" s="293">
        <f>Normalized_FCF!C15</f>
        <v>173178.99999999997</v>
      </c>
      <c r="D37" s="1" t="str">
        <f>Reporting_currency</f>
        <v>CNY</v>
      </c>
    </row>
    <row r="38" spans="2:6" x14ac:dyDescent="0.15">
      <c r="B38" s="49" t="s">
        <v>200</v>
      </c>
      <c r="C38" s="293">
        <f>Normalized_FCF!C16</f>
        <v>-173178.99999999997</v>
      </c>
      <c r="D38" s="1" t="str">
        <f>Reporting_currency</f>
        <v>CNY</v>
      </c>
    </row>
    <row r="40" spans="2:6" x14ac:dyDescent="0.15">
      <c r="B40" s="456" t="s">
        <v>201</v>
      </c>
      <c r="C40" s="456"/>
      <c r="D40" s="456"/>
      <c r="E40" s="456"/>
      <c r="F40" s="456"/>
    </row>
    <row r="41" spans="2:6" x14ac:dyDescent="0.15">
      <c r="B41" s="44" t="s">
        <v>202</v>
      </c>
      <c r="C41" s="293">
        <f>Normalized_FCF!C9</f>
        <v>-2798</v>
      </c>
      <c r="D41" s="1" t="str">
        <f>Reporting_currency</f>
        <v>CNY</v>
      </c>
    </row>
    <row r="43" spans="2:6" x14ac:dyDescent="0.15">
      <c r="B43" s="456" t="s">
        <v>205</v>
      </c>
      <c r="C43" s="456"/>
      <c r="D43" s="456"/>
      <c r="E43" s="456"/>
      <c r="F43" s="456"/>
    </row>
    <row r="44" spans="2:6" x14ac:dyDescent="0.15">
      <c r="B44" s="44" t="s">
        <v>269</v>
      </c>
      <c r="C44" s="294">
        <f>Normalized_FCF!C46</f>
        <v>3636.4450703472003</v>
      </c>
      <c r="D44" s="1" t="str">
        <f>Reporting_currency</f>
        <v>CNY</v>
      </c>
      <c r="E44" s="251"/>
      <c r="F44" s="251"/>
    </row>
    <row r="45" spans="2:6" x14ac:dyDescent="0.15">
      <c r="B45" s="44" t="s">
        <v>270</v>
      </c>
      <c r="C45" s="294">
        <f>Normalized_FCF!C45</f>
        <v>-8088.24</v>
      </c>
      <c r="D45" s="1" t="str">
        <f>Reporting_currency</f>
        <v>CNY</v>
      </c>
      <c r="E45" s="251"/>
      <c r="F45" s="251"/>
    </row>
    <row r="46" spans="2:6" x14ac:dyDescent="0.15">
      <c r="B46" s="44" t="s">
        <v>203</v>
      </c>
      <c r="C46" s="293">
        <f>Normalized_FCF!C10</f>
        <v>-4451.7949296527995</v>
      </c>
      <c r="D46" s="1" t="str">
        <f>Reporting_currency</f>
        <v>CNY</v>
      </c>
    </row>
    <row r="48" spans="2:6" x14ac:dyDescent="0.15">
      <c r="B48" s="1" t="s">
        <v>211</v>
      </c>
    </row>
    <row r="49" spans="2:6" x14ac:dyDescent="0.15">
      <c r="B49" s="44" t="s">
        <v>223</v>
      </c>
      <c r="C49" s="293">
        <f>Normalized_FCF!C13</f>
        <v>-106049.44824717694</v>
      </c>
      <c r="D49" s="1" t="str">
        <f>Reporting_currency</f>
        <v>CNY</v>
      </c>
    </row>
    <row r="51" spans="2:6" x14ac:dyDescent="0.15">
      <c r="B51" s="456" t="s">
        <v>206</v>
      </c>
      <c r="C51" s="456"/>
      <c r="D51" s="456"/>
      <c r="E51" s="456"/>
      <c r="F51" s="456"/>
    </row>
    <row r="52" spans="2:6" x14ac:dyDescent="0.15">
      <c r="B52" s="44" t="s">
        <v>204</v>
      </c>
      <c r="C52" s="293">
        <f>Normalized_FCF!C12</f>
        <v>-151040.72626758672</v>
      </c>
      <c r="D52" s="1" t="str">
        <f>Reporting_currency</f>
        <v>CNY</v>
      </c>
    </row>
    <row r="54" spans="2:6" x14ac:dyDescent="0.15">
      <c r="B54" s="456" t="s">
        <v>267</v>
      </c>
      <c r="C54" s="459"/>
      <c r="D54" s="459"/>
      <c r="E54" s="459"/>
      <c r="F54" s="459"/>
    </row>
    <row r="55" spans="2:6" x14ac:dyDescent="0.15">
      <c r="B55" s="44" t="s">
        <v>207</v>
      </c>
      <c r="C55" s="293">
        <f>Normalized_FCF!C17</f>
        <v>0</v>
      </c>
      <c r="D55" s="1" t="str">
        <f>Reporting_currency</f>
        <v>CNY</v>
      </c>
    </row>
    <row r="57" spans="2:6" ht="24.5" customHeight="1" x14ac:dyDescent="0.15">
      <c r="B57" s="455" t="s">
        <v>272</v>
      </c>
      <c r="C57" s="455"/>
      <c r="D57" s="455"/>
      <c r="E57" s="455"/>
      <c r="F57" s="455"/>
    </row>
    <row r="58" spans="2:6" ht="24.5" customHeight="1" x14ac:dyDescent="0.15">
      <c r="B58" s="455" t="s">
        <v>285</v>
      </c>
      <c r="C58" s="455"/>
      <c r="D58" s="455"/>
      <c r="E58" s="455"/>
      <c r="F58" s="455"/>
    </row>
    <row r="60" spans="2:6" x14ac:dyDescent="0.15">
      <c r="B60" s="44" t="s">
        <v>227</v>
      </c>
      <c r="C60" s="293">
        <f>Normalized_FCF!G19</f>
        <v>631699.59365518577</v>
      </c>
      <c r="D60" s="1" t="str">
        <f>Reporting_currency</f>
        <v>CNY</v>
      </c>
    </row>
    <row r="61" spans="2:6" x14ac:dyDescent="0.15">
      <c r="B61" s="44" t="s">
        <v>213</v>
      </c>
      <c r="C61" s="293">
        <f>Normalized_FCF!C19</f>
        <v>347072.73055558326</v>
      </c>
      <c r="D61" s="1" t="str">
        <f>Reporting_currency</f>
        <v>CNY</v>
      </c>
    </row>
    <row r="62" spans="2:6" x14ac:dyDescent="0.15">
      <c r="B62" s="207" t="s">
        <v>305</v>
      </c>
      <c r="C62" s="89">
        <f>Normalized_FCF!C124</f>
        <v>5.7218927498279393E-2</v>
      </c>
      <c r="F62" s="264"/>
    </row>
    <row r="63" spans="2:6" x14ac:dyDescent="0.15">
      <c r="B63" s="207" t="s">
        <v>335</v>
      </c>
      <c r="C63" s="89">
        <f>Normalized_FCF!C92</f>
        <v>5.5859649122807019E-2</v>
      </c>
      <c r="E63" s="44" t="s">
        <v>325</v>
      </c>
      <c r="F63" s="265">
        <f>Normalized_FCF!C90</f>
        <v>1.0641062355754669</v>
      </c>
    </row>
    <row r="65" spans="1:6" x14ac:dyDescent="0.15">
      <c r="B65" s="193" t="s">
        <v>328</v>
      </c>
      <c r="C65" s="271" t="s">
        <v>330</v>
      </c>
      <c r="D65" s="271" t="s">
        <v>331</v>
      </c>
    </row>
    <row r="66" spans="1:6" x14ac:dyDescent="0.15">
      <c r="B66" s="44" t="s">
        <v>329</v>
      </c>
      <c r="C66" s="89">
        <f>Normalized_FCF!C119</f>
        <v>0.12416948697308672</v>
      </c>
      <c r="D66" s="89">
        <f>Normalized_FCF!G119</f>
        <v>0.21971961985098865</v>
      </c>
    </row>
    <row r="67" spans="1:6" x14ac:dyDescent="0.15">
      <c r="B67" s="233" t="str">
        <f>Normalized_FCF!B116</f>
        <v>Pre-tax Profit/Sales</v>
      </c>
      <c r="C67" s="270">
        <f>Normalized_FCF!C116</f>
        <v>0.41544958439449353</v>
      </c>
      <c r="D67" s="270">
        <f>Normalized_FCF!G116</f>
        <v>0.51460063887624929</v>
      </c>
    </row>
    <row r="68" spans="1:6" x14ac:dyDescent="0.15">
      <c r="B68" s="233" t="str">
        <f>Normalized_FCF!B117</f>
        <v>Sales/Total Assets</v>
      </c>
      <c r="C68" s="272">
        <f>Normalized_FCF!C117</f>
        <v>0.20090947033127624</v>
      </c>
      <c r="D68" s="272">
        <f>Normalized_FCF!G117</f>
        <v>0.28701352904468036</v>
      </c>
    </row>
    <row r="69" spans="1:6" x14ac:dyDescent="0.15">
      <c r="B69" s="233" t="str">
        <f>Normalized_FCF!B118</f>
        <v>Total Assets/Equity</v>
      </c>
      <c r="C69" s="272">
        <f>Normalized_FCF!C118</f>
        <v>1.4876341835211095</v>
      </c>
      <c r="D69" s="272">
        <f>Normalized_FCF!G118</f>
        <v>1.4876341835211095</v>
      </c>
    </row>
    <row r="71" spans="1:6" ht="16" x14ac:dyDescent="0.25">
      <c r="A71" s="203" t="s">
        <v>486</v>
      </c>
      <c r="B71" s="34"/>
      <c r="C71" s="34"/>
      <c r="D71" s="34"/>
      <c r="E71" s="34"/>
      <c r="F71" s="34"/>
    </row>
    <row r="72" spans="1:6" x14ac:dyDescent="0.15">
      <c r="A72" s="192"/>
    </row>
    <row r="73" spans="1:6" x14ac:dyDescent="0.15">
      <c r="A73" s="192"/>
      <c r="B73" s="455" t="s">
        <v>487</v>
      </c>
      <c r="C73" s="455"/>
      <c r="D73" s="455"/>
      <c r="E73" s="455"/>
      <c r="F73" s="455"/>
    </row>
    <row r="74" spans="1:6" x14ac:dyDescent="0.15">
      <c r="A74" s="192"/>
      <c r="B74" s="1" t="s">
        <v>474</v>
      </c>
    </row>
    <row r="75" spans="1:6" x14ac:dyDescent="0.15">
      <c r="A75" s="192"/>
    </row>
    <row r="76" spans="1:6" x14ac:dyDescent="0.15">
      <c r="A76" s="192"/>
      <c r="B76" s="193" t="s">
        <v>195</v>
      </c>
    </row>
    <row r="77" spans="1:6" x14ac:dyDescent="0.15">
      <c r="A77" s="192"/>
      <c r="B77" s="455" t="s">
        <v>273</v>
      </c>
      <c r="C77" s="455"/>
      <c r="D77" s="455"/>
      <c r="E77" s="455"/>
      <c r="F77" s="455"/>
    </row>
    <row r="78" spans="1:6" x14ac:dyDescent="0.15">
      <c r="A78" s="192"/>
      <c r="B78" s="1" t="s">
        <v>215</v>
      </c>
      <c r="C78" s="293">
        <f>DCF!F4</f>
        <v>-134804</v>
      </c>
      <c r="D78" s="1" t="str">
        <f>Reporting_currency</f>
        <v>CNY</v>
      </c>
    </row>
    <row r="79" spans="1:6" x14ac:dyDescent="0.15">
      <c r="A79" s="192"/>
      <c r="B79" s="44" t="s">
        <v>235</v>
      </c>
      <c r="C79" s="204">
        <f>C78*scaling_factor*Exchange_Rate/Common_Shares</f>
        <v>-6.333836664975874E-2</v>
      </c>
      <c r="D79" s="1" t="str">
        <f>Market_currency</f>
        <v>HKD</v>
      </c>
    </row>
    <row r="80" spans="1:6" x14ac:dyDescent="0.15">
      <c r="A80" s="192"/>
      <c r="B80" s="233" t="s">
        <v>312</v>
      </c>
      <c r="C80" s="346">
        <f>IF(BS!G31/BS!G27&gt;300%,"nm",BS!G31/BS!G27)</f>
        <v>2.7705347980559972E-2</v>
      </c>
    </row>
    <row r="81" spans="1:6" x14ac:dyDescent="0.15">
      <c r="A81" s="192"/>
      <c r="B81" s="233" t="s">
        <v>314</v>
      </c>
      <c r="C81" s="347">
        <f>IF(BS!C50&gt;30,"nm",BS!C50)</f>
        <v>0.22047955497162566</v>
      </c>
    </row>
    <row r="82" spans="1:6" x14ac:dyDescent="0.15">
      <c r="A82" s="192"/>
    </row>
    <row r="83" spans="1:6" x14ac:dyDescent="0.15">
      <c r="A83" s="192"/>
      <c r="B83" s="1" t="s">
        <v>475</v>
      </c>
    </row>
    <row r="84" spans="1:6" x14ac:dyDescent="0.15">
      <c r="A84" s="192"/>
      <c r="B84" s="1" t="s">
        <v>224</v>
      </c>
      <c r="C84" s="293">
        <f>DCF!F5</f>
        <v>1507763.8216088</v>
      </c>
      <c r="D84" s="1" t="str">
        <f>Reporting_currency</f>
        <v>CNY</v>
      </c>
    </row>
    <row r="85" spans="1:6" x14ac:dyDescent="0.15">
      <c r="A85" s="192"/>
      <c r="B85" s="233" t="s">
        <v>222</v>
      </c>
      <c r="C85" s="299">
        <f>BS!C66</f>
        <v>2113838</v>
      </c>
      <c r="D85" s="348" t="str">
        <f>Reporting_currency</f>
        <v>CNY</v>
      </c>
    </row>
    <row r="86" spans="1:6" x14ac:dyDescent="0.15">
      <c r="A86" s="192"/>
      <c r="B86" s="44" t="s">
        <v>236</v>
      </c>
      <c r="C86" s="204">
        <f>C84*scaling_factor*Exchange_Rate/Common_Shares</f>
        <v>0.70843074207219081</v>
      </c>
      <c r="D86" s="1" t="str">
        <f>Market_currency</f>
        <v>HKD</v>
      </c>
    </row>
    <row r="87" spans="1:6" x14ac:dyDescent="0.15">
      <c r="A87" s="192"/>
    </row>
    <row r="88" spans="1:6" x14ac:dyDescent="0.15">
      <c r="A88" s="192"/>
      <c r="B88" s="1" t="s">
        <v>216</v>
      </c>
    </row>
    <row r="89" spans="1:6" x14ac:dyDescent="0.15">
      <c r="A89" s="192"/>
      <c r="B89" s="1" t="s">
        <v>217</v>
      </c>
      <c r="C89" s="293">
        <f>DCF!F6</f>
        <v>187786.09999999998</v>
      </c>
      <c r="D89" s="1" t="str">
        <f>Reporting_currency</f>
        <v>CNY</v>
      </c>
    </row>
    <row r="90" spans="1:6" x14ac:dyDescent="0.15">
      <c r="A90" s="192"/>
      <c r="B90" s="44" t="s">
        <v>237</v>
      </c>
      <c r="C90" s="204">
        <f>C89*scaling_factor*Exchange_Rate/Common_Shares</f>
        <v>8.8232284305571493E-2</v>
      </c>
      <c r="D90" s="1" t="str">
        <f>Market_currency</f>
        <v>HKD</v>
      </c>
    </row>
    <row r="91" spans="1:6" x14ac:dyDescent="0.15">
      <c r="A91" s="192"/>
    </row>
    <row r="92" spans="1:6" x14ac:dyDescent="0.15">
      <c r="A92" s="192"/>
      <c r="B92" s="44" t="s">
        <v>478</v>
      </c>
      <c r="C92" s="220">
        <f>DCF!F8</f>
        <v>0.73332465972800365</v>
      </c>
      <c r="D92" s="44" t="str">
        <f>Market_currency</f>
        <v>HKD</v>
      </c>
    </row>
    <row r="94" spans="1:6" ht="16" x14ac:dyDescent="0.25">
      <c r="A94" s="203" t="s">
        <v>479</v>
      </c>
      <c r="B94" s="34"/>
      <c r="C94" s="34"/>
      <c r="D94" s="34"/>
      <c r="E94" s="34"/>
      <c r="F94" s="34"/>
    </row>
    <row r="95" spans="1:6" x14ac:dyDescent="0.15">
      <c r="A95" s="192"/>
    </row>
    <row r="96" spans="1:6" ht="11.75" customHeight="1" x14ac:dyDescent="0.15">
      <c r="B96" s="455" t="s">
        <v>494</v>
      </c>
      <c r="C96" s="455"/>
      <c r="D96" s="455"/>
      <c r="E96" s="455"/>
      <c r="F96" s="455"/>
    </row>
    <row r="97" spans="2:6" x14ac:dyDescent="0.15">
      <c r="B97" s="457" t="s">
        <v>493</v>
      </c>
      <c r="C97" s="457"/>
      <c r="D97" s="457"/>
      <c r="E97" s="457"/>
      <c r="F97" s="457"/>
    </row>
    <row r="98" spans="2:6" x14ac:dyDescent="0.15">
      <c r="B98" s="457" t="s">
        <v>492</v>
      </c>
      <c r="C98" s="457"/>
      <c r="D98" s="457"/>
      <c r="E98" s="457"/>
      <c r="F98" s="457"/>
    </row>
    <row r="100" spans="2:6" x14ac:dyDescent="0.15">
      <c r="B100" s="193" t="s">
        <v>195</v>
      </c>
    </row>
    <row r="101" spans="2:6" x14ac:dyDescent="0.15">
      <c r="B101" s="49" t="s">
        <v>476</v>
      </c>
      <c r="C101" s="215">
        <f>E25+C103</f>
        <v>7.4999999999999997E-2</v>
      </c>
    </row>
    <row r="102" spans="2:6" x14ac:dyDescent="0.15">
      <c r="B102" s="233" t="s">
        <v>321</v>
      </c>
      <c r="C102" s="270">
        <f>E25</f>
        <v>7.4999999999999997E-2</v>
      </c>
    </row>
    <row r="103" spans="2:6" x14ac:dyDescent="0.15">
      <c r="B103" s="233" t="s">
        <v>320</v>
      </c>
      <c r="C103" s="270">
        <f>IF(C15="Y",1%,0)+IF(C16="Y",1%,0)</f>
        <v>0</v>
      </c>
    </row>
    <row r="104" spans="2:6" x14ac:dyDescent="0.15">
      <c r="B104" s="44" t="s">
        <v>214</v>
      </c>
      <c r="C104" s="215">
        <f>Terminal_Growth</f>
        <v>0</v>
      </c>
    </row>
    <row r="106" spans="2:6" x14ac:dyDescent="0.15">
      <c r="B106" s="257" t="s">
        <v>284</v>
      </c>
      <c r="C106" s="117"/>
    </row>
    <row r="107" spans="2:6" x14ac:dyDescent="0.15">
      <c r="B107" s="455" t="s">
        <v>286</v>
      </c>
      <c r="C107" s="455"/>
      <c r="D107" s="455"/>
      <c r="E107" s="455"/>
      <c r="F107" s="455"/>
    </row>
    <row r="108" spans="2:6" x14ac:dyDescent="0.15">
      <c r="B108" s="455" t="s">
        <v>287</v>
      </c>
      <c r="C108" s="455"/>
      <c r="D108" s="455"/>
      <c r="E108" s="455"/>
      <c r="F108" s="455"/>
    </row>
    <row r="110" spans="2:6" x14ac:dyDescent="0.15">
      <c r="B110" s="193" t="s">
        <v>496</v>
      </c>
    </row>
    <row r="111" spans="2:6" x14ac:dyDescent="0.15">
      <c r="B111" s="49" t="s">
        <v>477</v>
      </c>
      <c r="C111" s="220">
        <f>BS!D47</f>
        <v>0.40638898525639144</v>
      </c>
      <c r="D111" s="1" t="str">
        <f>Market_currency</f>
        <v>HKD</v>
      </c>
    </row>
    <row r="112" spans="2:6" x14ac:dyDescent="0.15">
      <c r="B112" s="44" t="s">
        <v>326</v>
      </c>
      <c r="C112" s="220">
        <f>DCF!C11</f>
        <v>2.907643904662621</v>
      </c>
      <c r="D112" s="1" t="str">
        <f>Market_currency</f>
        <v>HKD</v>
      </c>
    </row>
    <row r="114" spans="2:6" ht="24.5" customHeight="1" x14ac:dyDescent="0.15">
      <c r="B114" s="455" t="s">
        <v>500</v>
      </c>
      <c r="C114" s="455"/>
      <c r="D114" s="455"/>
      <c r="E114" s="455"/>
      <c r="F114" s="455"/>
    </row>
    <row r="116" spans="2:6" x14ac:dyDescent="0.15">
      <c r="B116" s="193" t="s">
        <v>497</v>
      </c>
    </row>
    <row r="117" spans="2:6" ht="14" x14ac:dyDescent="0.2">
      <c r="B117" s="351" t="s">
        <v>101</v>
      </c>
      <c r="C117" s="351" t="s">
        <v>110</v>
      </c>
      <c r="D117" s="351" t="s">
        <v>99</v>
      </c>
      <c r="E117" s="351" t="s">
        <v>219</v>
      </c>
      <c r="F117" s="351" t="s">
        <v>124</v>
      </c>
    </row>
    <row r="118" spans="2:6" x14ac:dyDescent="0.15">
      <c r="B118" s="208" t="str">
        <f>DCF!B74</f>
        <v>Snowball Scenario</v>
      </c>
      <c r="C118" s="209">
        <f>DCF!C74</f>
        <v>0.08</v>
      </c>
      <c r="D118" s="210">
        <f>DCF!D74</f>
        <v>5</v>
      </c>
      <c r="E118" s="211" t="str">
        <f>ROUND(DCF!E74,2)&amp;" "&amp;Market_currency</f>
        <v>4.48 HKD</v>
      </c>
      <c r="F118" s="212">
        <f>DCF!F74</f>
        <v>0.05</v>
      </c>
    </row>
    <row r="119" spans="2:6" x14ac:dyDescent="0.15">
      <c r="B119" s="199" t="str">
        <f>DCF!B75</f>
        <v>Optimistic</v>
      </c>
      <c r="C119" s="200">
        <f>DCF!C75</f>
        <v>0.03</v>
      </c>
      <c r="D119" s="201">
        <f>DCF!D75</f>
        <v>5</v>
      </c>
      <c r="E119" s="211" t="str">
        <f>ROUND(DCF!E75,2)&amp;" "&amp;Market_currency</f>
        <v>3.75 HKD</v>
      </c>
      <c r="F119" s="202">
        <f>DCF!F75</f>
        <v>0.18</v>
      </c>
    </row>
    <row r="120" spans="2:6" x14ac:dyDescent="0.15">
      <c r="B120" s="199" t="str">
        <f>DCF!B76</f>
        <v>Base</v>
      </c>
      <c r="C120" s="200">
        <f>DCF!C76</f>
        <v>0.02</v>
      </c>
      <c r="D120" s="201">
        <f>DCF!D76</f>
        <v>5</v>
      </c>
      <c r="E120" s="211" t="str">
        <f>ROUND(DCF!E76,2)&amp;" "&amp;Market_currency</f>
        <v>3.62 HKD</v>
      </c>
      <c r="F120" s="202">
        <f>DCF!F76</f>
        <v>0.53999999999999992</v>
      </c>
    </row>
    <row r="121" spans="2:6" x14ac:dyDescent="0.15">
      <c r="B121" s="199" t="str">
        <f>DCF!B77</f>
        <v>Pessimistic</v>
      </c>
      <c r="C121" s="200">
        <f>DCF!C77</f>
        <v>0.01</v>
      </c>
      <c r="D121" s="201">
        <f>DCF!D77</f>
        <v>5</v>
      </c>
      <c r="E121" s="211" t="str">
        <f>ROUND(DCF!E77,2)&amp;" "&amp;Market_currency</f>
        <v>3.49 HKD</v>
      </c>
      <c r="F121" s="202">
        <f>DCF!F77</f>
        <v>0.18</v>
      </c>
    </row>
    <row r="122" spans="2:6" x14ac:dyDescent="0.15">
      <c r="B122" s="199" t="str">
        <f>DCF!B78</f>
        <v>Devil's advocate</v>
      </c>
      <c r="C122" s="200">
        <f>DCF!C78</f>
        <v>-0.1</v>
      </c>
      <c r="D122" s="201">
        <f>DCF!D78</f>
        <v>5</v>
      </c>
      <c r="E122" s="211" t="str">
        <f>ROUND(DCF!E78,2)&amp;" "&amp;Market_currency</f>
        <v>2.38 HKD</v>
      </c>
      <c r="F122" s="202">
        <f>DCF!F78</f>
        <v>0.05</v>
      </c>
    </row>
    <row r="124" spans="2:6" x14ac:dyDescent="0.15">
      <c r="B124" s="456" t="s">
        <v>362</v>
      </c>
      <c r="C124" s="456"/>
      <c r="D124" s="456"/>
      <c r="E124" s="456"/>
      <c r="F124" s="456"/>
    </row>
    <row r="125" spans="2:6" x14ac:dyDescent="0.15">
      <c r="B125" s="194" t="s">
        <v>218</v>
      </c>
      <c r="C125" s="198">
        <f>Scenarios!C36</f>
        <v>3.600088840982079</v>
      </c>
      <c r="D125" s="195" t="str">
        <f>Market_currency</f>
        <v>HKD</v>
      </c>
    </row>
    <row r="127" spans="2:6" ht="24.5" customHeight="1" x14ac:dyDescent="0.15">
      <c r="B127" s="460" t="s">
        <v>363</v>
      </c>
      <c r="C127" s="460"/>
      <c r="D127" s="460"/>
      <c r="E127" s="460"/>
      <c r="F127" s="460"/>
    </row>
    <row r="129" spans="1:6" ht="16" x14ac:dyDescent="0.25">
      <c r="A129" s="203" t="s">
        <v>483</v>
      </c>
      <c r="B129" s="34"/>
      <c r="C129" s="34"/>
      <c r="D129" s="34"/>
      <c r="E129" s="34"/>
      <c r="F129" s="34"/>
    </row>
    <row r="131" spans="1:6" x14ac:dyDescent="0.15">
      <c r="B131" s="458" t="s">
        <v>288</v>
      </c>
      <c r="C131" s="458"/>
      <c r="D131" s="458"/>
      <c r="E131" s="458"/>
      <c r="F131" s="458"/>
    </row>
    <row r="132" spans="1:6" x14ac:dyDescent="0.15">
      <c r="B132" s="455" t="s">
        <v>364</v>
      </c>
      <c r="C132" s="455"/>
      <c r="D132" s="455"/>
      <c r="E132" s="455"/>
      <c r="F132" s="455"/>
    </row>
    <row r="134" spans="1:6" x14ac:dyDescent="0.15">
      <c r="B134" s="193" t="s">
        <v>195</v>
      </c>
    </row>
    <row r="135" spans="1:6" x14ac:dyDescent="0.15">
      <c r="B135" s="1" t="s">
        <v>221</v>
      </c>
      <c r="C135" s="205">
        <f>E21</f>
        <v>2</v>
      </c>
    </row>
    <row r="136" spans="1:6" x14ac:dyDescent="0.15">
      <c r="B136" s="195" t="s">
        <v>220</v>
      </c>
      <c r="C136" s="196">
        <f>Scenarios!C58</f>
        <v>0.15920000000000001</v>
      </c>
      <c r="D136" s="195" t="str">
        <f>Market_currency</f>
        <v>HKD</v>
      </c>
    </row>
    <row r="138" spans="1:6" x14ac:dyDescent="0.15">
      <c r="B138" s="193" t="s">
        <v>503</v>
      </c>
      <c r="C138" s="218"/>
      <c r="D138" s="219"/>
    </row>
    <row r="139" spans="1:6" ht="14" x14ac:dyDescent="0.2">
      <c r="B139" s="349" t="s">
        <v>471</v>
      </c>
      <c r="C139" s="349" t="str">
        <f>"PV("&amp;Holding_Period&amp;" yrs of Dividends)"</f>
        <v>PV(2 yrs of Dividends)</v>
      </c>
      <c r="D139" s="349" t="s">
        <v>480</v>
      </c>
      <c r="E139" s="350" t="str">
        <f>"Buy below ("&amp;Market_currency&amp;")"</f>
        <v>Buy below (HKD)</v>
      </c>
      <c r="F139" s="350" t="s">
        <v>481</v>
      </c>
    </row>
    <row r="140" spans="1:6" x14ac:dyDescent="0.15">
      <c r="B140" s="345" t="s">
        <v>315</v>
      </c>
      <c r="C140" s="342">
        <f>Scenarios!C62</f>
        <v>0.20527846364883409</v>
      </c>
      <c r="D140" s="342">
        <f>Scenarios!D62</f>
        <v>1.9753573887418812</v>
      </c>
      <c r="E140" s="343">
        <f>Scenarios!E62</f>
        <v>2.1806358523907154</v>
      </c>
      <c r="F140" s="344">
        <f>E22</f>
        <v>0.35</v>
      </c>
    </row>
    <row r="141" spans="1:6" x14ac:dyDescent="0.15">
      <c r="B141" s="345" t="s">
        <v>316</v>
      </c>
      <c r="C141" s="342">
        <f>Scenarios!C63</f>
        <v>0.22924800000000001</v>
      </c>
      <c r="D141" s="342">
        <f>Scenarios!D63</f>
        <v>2.3040568582285306</v>
      </c>
      <c r="E141" s="343">
        <f>Scenarios!E63</f>
        <v>2.5333048582285307</v>
      </c>
      <c r="F141" s="344">
        <f>Scenarios!F63</f>
        <v>0.25</v>
      </c>
    </row>
    <row r="142" spans="1:6" x14ac:dyDescent="0.15">
      <c r="B142" s="195"/>
      <c r="C142" s="195"/>
      <c r="D142" s="195"/>
      <c r="E142" s="195"/>
      <c r="F142" s="195"/>
    </row>
    <row r="143" spans="1:6" ht="14" x14ac:dyDescent="0.2">
      <c r="B143" s="349" t="s">
        <v>472</v>
      </c>
      <c r="C143" s="349" t="str">
        <f>"PV("&amp;Holding_Period&amp;" yrs of Dividends)"</f>
        <v>PV(2 yrs of Dividends)</v>
      </c>
      <c r="D143" s="349" t="s">
        <v>480</v>
      </c>
      <c r="E143" s="350" t="str">
        <f>"Sell above ("&amp;Market_currency&amp;")"</f>
        <v>Sell above (HKD)</v>
      </c>
      <c r="F143" s="350" t="s">
        <v>481</v>
      </c>
    </row>
    <row r="144" spans="1:6" x14ac:dyDescent="0.15">
      <c r="B144" s="345" t="s">
        <v>318</v>
      </c>
      <c r="C144" s="342">
        <f>Scenarios!C66</f>
        <v>0.26997816308147637</v>
      </c>
      <c r="D144" s="342">
        <f>Scenarios!D66</f>
        <v>2.8833401808159511</v>
      </c>
      <c r="E144" s="343">
        <f>Scenarios!E66</f>
        <v>3.1533183438974275</v>
      </c>
      <c r="F144" s="344">
        <f>E24</f>
        <v>0.1174</v>
      </c>
    </row>
    <row r="145" spans="1:6" x14ac:dyDescent="0.15">
      <c r="B145" s="345" t="s">
        <v>317</v>
      </c>
      <c r="C145" s="342">
        <f>Scenarios!C67</f>
        <v>0.28585397512168731</v>
      </c>
      <c r="D145" s="342">
        <f>Scenarios!D67</f>
        <v>3.1152742810012586</v>
      </c>
      <c r="E145" s="343">
        <f>Scenarios!E67</f>
        <v>3.4011282561229459</v>
      </c>
      <c r="F145" s="344">
        <f>Scenarios!F67</f>
        <v>7.4999999999999997E-2</v>
      </c>
    </row>
    <row r="147" spans="1:6" ht="16" x14ac:dyDescent="0.25">
      <c r="A147" s="203" t="s">
        <v>484</v>
      </c>
      <c r="B147" s="34"/>
      <c r="C147" s="34"/>
      <c r="D147" s="34"/>
      <c r="E147" s="34"/>
      <c r="F147" s="34"/>
    </row>
    <row r="149" spans="1:6" x14ac:dyDescent="0.15">
      <c r="B149" s="462" t="s">
        <v>365</v>
      </c>
      <c r="C149" s="455"/>
      <c r="D149" s="455"/>
      <c r="E149" s="455"/>
      <c r="F149" s="455"/>
    </row>
    <row r="151" spans="1:6" x14ac:dyDescent="0.15">
      <c r="B151" s="193" t="s">
        <v>292</v>
      </c>
    </row>
    <row r="152" spans="1:6" x14ac:dyDescent="0.15">
      <c r="B152" s="459" t="s">
        <v>296</v>
      </c>
      <c r="C152" s="459"/>
      <c r="D152" s="459"/>
      <c r="E152" s="459"/>
      <c r="F152" s="459"/>
    </row>
    <row r="153" spans="1:6" x14ac:dyDescent="0.15">
      <c r="B153" s="197" t="s">
        <v>293</v>
      </c>
    </row>
    <row r="154" spans="1:6" x14ac:dyDescent="0.15">
      <c r="B154" s="197" t="s">
        <v>294</v>
      </c>
    </row>
    <row r="155" spans="1:6" x14ac:dyDescent="0.15">
      <c r="B155" s="197" t="s">
        <v>295</v>
      </c>
    </row>
    <row r="157" spans="1:6" x14ac:dyDescent="0.15">
      <c r="B157" s="1" t="s">
        <v>299</v>
      </c>
    </row>
    <row r="158" spans="1:6" ht="34.25" customHeight="1" x14ac:dyDescent="0.15">
      <c r="B158" s="456" t="s">
        <v>447</v>
      </c>
      <c r="C158" s="456"/>
      <c r="D158" s="456"/>
      <c r="E158" s="456"/>
      <c r="F158" s="456"/>
    </row>
    <row r="160" spans="1:6" x14ac:dyDescent="0.15">
      <c r="B160" s="1" t="s">
        <v>300</v>
      </c>
    </row>
    <row r="161" spans="2:6" ht="24.5" customHeight="1" x14ac:dyDescent="0.15">
      <c r="B161" s="461" t="s">
        <v>297</v>
      </c>
      <c r="C161" s="461"/>
      <c r="D161" s="461"/>
      <c r="E161" s="461"/>
      <c r="F161" s="461"/>
    </row>
    <row r="162" spans="2:6" ht="24.5" customHeight="1" x14ac:dyDescent="0.15">
      <c r="B162" s="461" t="s">
        <v>298</v>
      </c>
      <c r="C162" s="461"/>
      <c r="D162" s="461"/>
      <c r="E162" s="461"/>
      <c r="F162" s="461"/>
    </row>
    <row r="164" spans="2:6" x14ac:dyDescent="0.15">
      <c r="B164" s="1" t="s">
        <v>304</v>
      </c>
    </row>
    <row r="165" spans="2:6" x14ac:dyDescent="0.15">
      <c r="B165" s="197" t="s">
        <v>301</v>
      </c>
    </row>
    <row r="166" spans="2:6" x14ac:dyDescent="0.15">
      <c r="B166" s="197" t="s">
        <v>302</v>
      </c>
    </row>
    <row r="167" spans="2:6" x14ac:dyDescent="0.15">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3" activePane="bottomRight" state="frozen"/>
      <selection pane="topRight" activeCell="C1" sqref="C1"/>
      <selection pane="bottomLeft" activeCell="A2" sqref="A2"/>
      <selection pane="bottomRight" activeCell="D20" sqref="D20"/>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x14ac:dyDescent="0.15">
      <c r="B5" s="38" t="s">
        <v>40</v>
      </c>
      <c r="C5" s="295">
        <v>467126</v>
      </c>
      <c r="D5" s="295">
        <v>362473</v>
      </c>
      <c r="E5" s="295">
        <v>479666</v>
      </c>
      <c r="F5" s="295">
        <v>516304</v>
      </c>
      <c r="G5" s="295">
        <v>409351</v>
      </c>
      <c r="H5" s="295">
        <v>387398</v>
      </c>
      <c r="I5" s="295">
        <v>324344</v>
      </c>
      <c r="J5" s="295">
        <v>292316</v>
      </c>
      <c r="K5" s="295">
        <v>265303</v>
      </c>
      <c r="L5" s="295">
        <v>248161</v>
      </c>
      <c r="M5" s="295"/>
    </row>
    <row r="6" spans="2:13" x14ac:dyDescent="0.15">
      <c r="B6" s="38" t="s">
        <v>51</v>
      </c>
      <c r="C6" s="295">
        <v>528317</v>
      </c>
      <c r="D6" s="295">
        <v>555259</v>
      </c>
      <c r="E6" s="295">
        <v>506779</v>
      </c>
      <c r="F6" s="295">
        <v>522738</v>
      </c>
      <c r="G6" s="295">
        <v>421877</v>
      </c>
      <c r="H6" s="295">
        <v>454796</v>
      </c>
      <c r="I6" s="295">
        <v>445068</v>
      </c>
      <c r="J6" s="295">
        <v>543726</v>
      </c>
      <c r="K6" s="295">
        <v>496391</v>
      </c>
      <c r="L6" s="295">
        <v>455577</v>
      </c>
      <c r="M6" s="295"/>
    </row>
    <row r="7" spans="2:13" x14ac:dyDescent="0.15">
      <c r="B7" s="66" t="s">
        <v>58</v>
      </c>
      <c r="C7" s="296">
        <v>41597</v>
      </c>
      <c r="D7" s="296">
        <v>48899</v>
      </c>
      <c r="E7" s="296">
        <v>43155</v>
      </c>
      <c r="F7" s="296">
        <v>53122</v>
      </c>
      <c r="G7" s="296">
        <v>36072</v>
      </c>
      <c r="H7" s="296">
        <v>38671</v>
      </c>
      <c r="I7" s="296">
        <v>43876</v>
      </c>
      <c r="J7" s="296">
        <v>250830</v>
      </c>
      <c r="K7" s="296">
        <v>217517</v>
      </c>
      <c r="L7" s="296">
        <v>205442</v>
      </c>
      <c r="M7" s="296"/>
    </row>
    <row r="8" spans="2:13" x14ac:dyDescent="0.15">
      <c r="B8" s="38" t="s">
        <v>46</v>
      </c>
      <c r="C8" s="295"/>
      <c r="D8" s="295"/>
      <c r="E8" s="295"/>
      <c r="F8" s="295"/>
      <c r="G8" s="295"/>
      <c r="H8" s="295"/>
      <c r="I8" s="295"/>
      <c r="J8" s="295"/>
      <c r="K8" s="295"/>
      <c r="L8" s="295"/>
      <c r="M8" s="295"/>
    </row>
    <row r="9" spans="2:13" x14ac:dyDescent="0.15">
      <c r="B9" s="38" t="s">
        <v>134</v>
      </c>
      <c r="C9" s="295">
        <v>-2798</v>
      </c>
      <c r="D9" s="295">
        <v>-18436</v>
      </c>
      <c r="E9" s="295">
        <v>-7407</v>
      </c>
      <c r="F9" s="295">
        <v>-11577</v>
      </c>
      <c r="G9" s="295">
        <v>4</v>
      </c>
      <c r="H9" s="295">
        <v>-176</v>
      </c>
      <c r="I9" s="295">
        <v>0</v>
      </c>
      <c r="J9" s="295">
        <v>398</v>
      </c>
      <c r="K9" s="295">
        <v>485</v>
      </c>
      <c r="L9" s="295">
        <v>0</v>
      </c>
      <c r="M9" s="295"/>
    </row>
    <row r="10" spans="2:13" x14ac:dyDescent="0.15">
      <c r="B10" s="38" t="s">
        <v>138</v>
      </c>
      <c r="C10" s="295"/>
      <c r="D10" s="295"/>
      <c r="E10" s="295"/>
      <c r="F10" s="295"/>
      <c r="G10" s="295"/>
      <c r="H10" s="295"/>
      <c r="I10" s="295"/>
      <c r="J10" s="295"/>
      <c r="K10" s="295"/>
      <c r="L10" s="295"/>
      <c r="M10" s="295"/>
    </row>
    <row r="11" spans="2:13" x14ac:dyDescent="0.15">
      <c r="B11" s="38" t="s">
        <v>133</v>
      </c>
      <c r="C11" s="295"/>
      <c r="D11" s="295"/>
      <c r="E11" s="295"/>
      <c r="F11" s="295"/>
      <c r="G11" s="295"/>
      <c r="H11" s="295"/>
      <c r="I11" s="295"/>
      <c r="J11" s="295"/>
      <c r="K11" s="295"/>
      <c r="L11" s="295"/>
      <c r="M11" s="295"/>
    </row>
    <row r="12" spans="2:13" x14ac:dyDescent="0.15">
      <c r="B12" s="38" t="s">
        <v>37</v>
      </c>
      <c r="C12" s="295">
        <v>16422</v>
      </c>
      <c r="D12" s="295">
        <v>7392</v>
      </c>
      <c r="E12" s="295">
        <v>5008</v>
      </c>
      <c r="F12" s="295">
        <v>7246</v>
      </c>
      <c r="G12" s="295">
        <v>9525</v>
      </c>
      <c r="H12" s="295">
        <v>11128</v>
      </c>
      <c r="I12" s="295">
        <v>8293</v>
      </c>
      <c r="J12" s="295">
        <v>15585</v>
      </c>
      <c r="K12" s="295">
        <v>8256</v>
      </c>
      <c r="L12" s="295">
        <v>7799</v>
      </c>
      <c r="M12" s="295"/>
    </row>
    <row r="13" spans="2:13" x14ac:dyDescent="0.15">
      <c r="B13" s="38" t="s">
        <v>64</v>
      </c>
      <c r="C13" s="295">
        <v>21811</v>
      </c>
      <c r="D13" s="295">
        <v>17341</v>
      </c>
      <c r="E13" s="295"/>
      <c r="F13" s="295"/>
      <c r="G13" s="295"/>
      <c r="H13" s="295"/>
      <c r="I13" s="295"/>
      <c r="J13" s="295"/>
      <c r="K13" s="295"/>
      <c r="L13" s="295"/>
      <c r="M13" s="295"/>
    </row>
    <row r="14" spans="2:13" x14ac:dyDescent="0.15">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x14ac:dyDescent="0.15">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x14ac:dyDescent="0.15">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x14ac:dyDescent="0.15">
      <c r="B18" s="16" t="s">
        <v>48</v>
      </c>
      <c r="C18" s="9"/>
    </row>
    <row r="19" spans="2:13" ht="13" x14ac:dyDescent="0.15">
      <c r="B19" s="26" t="s">
        <v>44</v>
      </c>
      <c r="C19" s="295">
        <v>173179</v>
      </c>
      <c r="D19" s="295">
        <v>166609</v>
      </c>
      <c r="E19" s="295"/>
      <c r="F19" s="295"/>
      <c r="G19" s="295"/>
      <c r="H19" s="295"/>
      <c r="I19" s="295"/>
      <c r="J19" s="295"/>
      <c r="K19" s="295"/>
      <c r="L19" s="295"/>
      <c r="M19" s="295"/>
    </row>
    <row r="20" spans="2:13" ht="13" x14ac:dyDescent="0.15">
      <c r="B20" s="26" t="s">
        <v>50</v>
      </c>
      <c r="C20" s="295"/>
      <c r="D20" s="295"/>
      <c r="E20" s="295"/>
      <c r="F20" s="295"/>
      <c r="G20" s="295"/>
      <c r="H20" s="295"/>
      <c r="I20" s="295"/>
      <c r="J20" s="295"/>
      <c r="K20" s="295"/>
      <c r="L20" s="295"/>
      <c r="M20" s="295"/>
    </row>
    <row r="21" spans="2:13" ht="13" x14ac:dyDescent="0.15">
      <c r="B21" s="26" t="s">
        <v>49</v>
      </c>
      <c r="C21" s="295"/>
      <c r="D21" s="295"/>
      <c r="E21" s="295"/>
      <c r="F21" s="295"/>
      <c r="G21" s="295"/>
      <c r="H21" s="295"/>
      <c r="I21" s="295"/>
      <c r="J21" s="295"/>
      <c r="K21" s="295"/>
      <c r="L21" s="295"/>
      <c r="M21" s="295"/>
    </row>
    <row r="22" spans="2:13" ht="13" x14ac:dyDescent="0.15">
      <c r="B22" s="26" t="s">
        <v>289</v>
      </c>
      <c r="C22" s="295">
        <v>708532</v>
      </c>
      <c r="D22" s="295">
        <v>1102878</v>
      </c>
      <c r="E22" s="295">
        <v>852933</v>
      </c>
      <c r="F22" s="295">
        <v>992369</v>
      </c>
      <c r="G22" s="295">
        <v>822349</v>
      </c>
      <c r="H22" s="295">
        <v>707084</v>
      </c>
      <c r="I22" s="295">
        <v>670523</v>
      </c>
      <c r="J22" s="295">
        <v>648172</v>
      </c>
      <c r="K22" s="295">
        <v>455423</v>
      </c>
      <c r="L22" s="295">
        <v>366578</v>
      </c>
      <c r="M22" s="295"/>
    </row>
    <row r="23" spans="2:13" ht="13" x14ac:dyDescent="0.15">
      <c r="B23" s="26" t="s">
        <v>291</v>
      </c>
      <c r="C23" s="295">
        <v>130841</v>
      </c>
      <c r="D23" s="295">
        <v>-362126</v>
      </c>
      <c r="E23" s="295">
        <v>413235</v>
      </c>
      <c r="F23" s="295">
        <v>-648300</v>
      </c>
      <c r="G23" s="295">
        <v>-1109086</v>
      </c>
      <c r="H23" s="295">
        <v>-12368</v>
      </c>
      <c r="I23" s="295">
        <v>-1021467</v>
      </c>
      <c r="J23" s="295">
        <v>134672</v>
      </c>
      <c r="K23" s="295">
        <v>-340500</v>
      </c>
      <c r="L23" s="295">
        <v>-381434</v>
      </c>
      <c r="M23" s="295"/>
    </row>
    <row r="24" spans="2:13" ht="13" x14ac:dyDescent="0.15">
      <c r="B24" s="26" t="s">
        <v>290</v>
      </c>
      <c r="C24" s="295">
        <v>-1078214</v>
      </c>
      <c r="D24" s="295">
        <v>-387518</v>
      </c>
      <c r="E24" s="295">
        <v>-399541</v>
      </c>
      <c r="F24" s="295">
        <v>-502485</v>
      </c>
      <c r="G24" s="295">
        <v>-486383</v>
      </c>
      <c r="H24" s="295">
        <v>-181225</v>
      </c>
      <c r="I24" s="295">
        <v>-92397</v>
      </c>
      <c r="J24" s="295">
        <v>-84758</v>
      </c>
      <c r="K24" s="295">
        <v>-152778</v>
      </c>
      <c r="L24" s="295">
        <v>-5140</v>
      </c>
      <c r="M24" s="295"/>
    </row>
    <row r="25" spans="2:13" x14ac:dyDescent="0.15">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x14ac:dyDescent="0.15">
      <c r="B27" s="16" t="s">
        <v>26</v>
      </c>
      <c r="C27" s="94" t="s">
        <v>188</v>
      </c>
    </row>
    <row r="28" spans="2:13" ht="13" x14ac:dyDescent="0.15">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ht="13" x14ac:dyDescent="0.15">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ht="13" x14ac:dyDescent="0.15">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ht="13" x14ac:dyDescent="0.15">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ht="13" x14ac:dyDescent="0.15">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x14ac:dyDescent="0.15">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ht="13" x14ac:dyDescent="0.15">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x14ac:dyDescent="0.15">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x14ac:dyDescent="0.15">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x14ac:dyDescent="0.15">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x14ac:dyDescent="0.15">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x14ac:dyDescent="0.15">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x14ac:dyDescent="0.15">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x14ac:dyDescent="0.15">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x14ac:dyDescent="0.15">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x14ac:dyDescent="0.15">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x14ac:dyDescent="0.15">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x14ac:dyDescent="0.15">
      <c r="B50" s="16" t="s">
        <v>65</v>
      </c>
    </row>
    <row r="51" spans="2:13" x14ac:dyDescent="0.15">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x14ac:dyDescent="0.15">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x14ac:dyDescent="0.15">
      <c r="B54" s="157" t="s">
        <v>139</v>
      </c>
    </row>
    <row r="55" spans="2:13" x14ac:dyDescent="0.15">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x14ac:dyDescent="0.15">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x14ac:dyDescent="0.15">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x14ac:dyDescent="0.15">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x14ac:dyDescent="0.15">
      <c r="B60" s="16" t="s">
        <v>48</v>
      </c>
      <c r="C60" s="9"/>
    </row>
    <row r="61" spans="2:13" ht="13" x14ac:dyDescent="0.15">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ht="13" x14ac:dyDescent="0.15">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ht="13" x14ac:dyDescent="0.15">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ht="13" x14ac:dyDescent="0.15">
      <c r="B64" s="26" t="s">
        <v>308</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x14ac:dyDescent="0.15">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ht="13" x14ac:dyDescent="0.15">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x14ac:dyDescent="0.15">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x14ac:dyDescent="0.15">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x14ac:dyDescent="0.15">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ht="13" x14ac:dyDescent="0.15">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ht="13" x14ac:dyDescent="0.15">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ht="13" x14ac:dyDescent="0.15">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ht="13" x14ac:dyDescent="0.15">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150" zoomScaleNormal="100" workbookViewId="0">
      <selection activeCell="D54" sqref="D54"/>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5" t="s">
        <v>113</v>
      </c>
      <c r="D3" s="166" t="s">
        <v>33</v>
      </c>
      <c r="F3" s="16" t="s">
        <v>155</v>
      </c>
      <c r="G3" s="165" t="s">
        <v>113</v>
      </c>
      <c r="H3" s="166" t="s">
        <v>33</v>
      </c>
    </row>
    <row r="4" spans="2:8" ht="15" customHeight="1" x14ac:dyDescent="0.15">
      <c r="B4" s="4" t="s">
        <v>22</v>
      </c>
      <c r="C4" s="18">
        <f>144049</f>
        <v>144049</v>
      </c>
      <c r="D4" s="235">
        <v>0.6</v>
      </c>
      <c r="E4" s="24"/>
      <c r="F4" s="4" t="s">
        <v>74</v>
      </c>
      <c r="G4" s="18">
        <f>171238+1622742</f>
        <v>1793980</v>
      </c>
      <c r="H4" s="235">
        <v>0.9</v>
      </c>
    </row>
    <row r="5" spans="2:8" ht="15" customHeight="1" x14ac:dyDescent="0.15">
      <c r="B5" s="1" t="s">
        <v>31</v>
      </c>
      <c r="C5" s="18">
        <v>0</v>
      </c>
      <c r="D5" s="235">
        <v>0.6</v>
      </c>
      <c r="E5" s="24"/>
      <c r="F5" s="1" t="s">
        <v>27</v>
      </c>
      <c r="G5" s="18">
        <v>0</v>
      </c>
      <c r="H5" s="235">
        <v>0.7</v>
      </c>
    </row>
    <row r="6" spans="2:8" ht="15" customHeight="1" x14ac:dyDescent="0.15">
      <c r="B6" s="4" t="s">
        <v>8</v>
      </c>
      <c r="C6" s="18">
        <v>558421</v>
      </c>
      <c r="D6" s="235">
        <v>0.5</v>
      </c>
      <c r="E6" s="24"/>
      <c r="F6" s="4" t="s">
        <v>147</v>
      </c>
      <c r="G6" s="18">
        <v>0</v>
      </c>
      <c r="H6" s="235">
        <v>0.6</v>
      </c>
    </row>
    <row r="7" spans="2:8" ht="15" customHeight="1" x14ac:dyDescent="0.15">
      <c r="B7" s="1" t="s">
        <v>66</v>
      </c>
      <c r="C7" s="18">
        <v>0</v>
      </c>
      <c r="D7" s="235">
        <v>0.6</v>
      </c>
      <c r="E7" s="24"/>
      <c r="F7" s="4" t="s">
        <v>148</v>
      </c>
      <c r="G7" s="18">
        <v>311892</v>
      </c>
      <c r="H7" s="235">
        <v>0.6</v>
      </c>
    </row>
    <row r="8" spans="2:8" ht="15" customHeight="1" x14ac:dyDescent="0.15">
      <c r="B8" s="1" t="s">
        <v>144</v>
      </c>
      <c r="C8" s="18">
        <v>0</v>
      </c>
      <c r="D8" s="235">
        <v>0.6</v>
      </c>
      <c r="E8" s="24"/>
      <c r="F8" s="1" t="s">
        <v>149</v>
      </c>
      <c r="G8" s="18">
        <v>0</v>
      </c>
      <c r="H8" s="235">
        <v>0.6</v>
      </c>
    </row>
    <row r="9" spans="2:8" ht="15" customHeight="1" x14ac:dyDescent="0.15">
      <c r="B9" s="4" t="s">
        <v>23</v>
      </c>
      <c r="C9" s="18">
        <v>12976</v>
      </c>
      <c r="D9" s="235">
        <v>0.1</v>
      </c>
      <c r="E9" s="24"/>
      <c r="F9" s="4" t="s">
        <v>150</v>
      </c>
      <c r="G9" s="18">
        <v>0</v>
      </c>
      <c r="H9" s="235">
        <v>0.6</v>
      </c>
    </row>
    <row r="10" spans="2:8" ht="15" customHeight="1" x14ac:dyDescent="0.15">
      <c r="B10" s="4" t="s">
        <v>9</v>
      </c>
      <c r="C10" s="18">
        <v>0</v>
      </c>
      <c r="D10" s="235">
        <v>0.9</v>
      </c>
      <c r="F10" s="1" t="s">
        <v>410</v>
      </c>
      <c r="G10" s="18">
        <v>26801</v>
      </c>
      <c r="H10" s="235">
        <v>0.6</v>
      </c>
    </row>
    <row r="11" spans="2:8" ht="15" customHeight="1" x14ac:dyDescent="0.15">
      <c r="B11" s="4" t="s">
        <v>10</v>
      </c>
      <c r="C11" s="18">
        <v>0</v>
      </c>
      <c r="D11" s="235">
        <v>0.05</v>
      </c>
      <c r="H11" s="236"/>
    </row>
    <row r="12" spans="2:8" ht="15" customHeight="1" x14ac:dyDescent="0.15">
      <c r="B12" s="77" t="s">
        <v>69</v>
      </c>
      <c r="C12" s="78">
        <f>SUM(C4:C11)</f>
        <v>715446</v>
      </c>
      <c r="D12" s="19">
        <f>C4*D4+C5*D5+C9*D9+C6*D6+C8*D8+C7*D7+C10*D10+C11*D11</f>
        <v>366937.5</v>
      </c>
      <c r="F12" s="77" t="s">
        <v>67</v>
      </c>
      <c r="G12" s="78">
        <f>SUM(G4:G10)</f>
        <v>2132673</v>
      </c>
      <c r="H12" s="19">
        <f>G4*H4+G5*H5+G6*H6+G7*H7+G8*H8+G9*H9+G10*H10</f>
        <v>1817797.8</v>
      </c>
    </row>
    <row r="13" spans="2:8" ht="15" customHeight="1" x14ac:dyDescent="0.15">
      <c r="F13" s="77"/>
      <c r="G13" s="78"/>
      <c r="H13" s="19"/>
    </row>
    <row r="14" spans="2:8" ht="15" customHeight="1" x14ac:dyDescent="0.15">
      <c r="B14" s="16" t="s">
        <v>153</v>
      </c>
      <c r="C14" s="165" t="s">
        <v>113</v>
      </c>
      <c r="D14" s="166" t="s">
        <v>33</v>
      </c>
      <c r="F14" s="16" t="s">
        <v>156</v>
      </c>
      <c r="G14" s="165" t="s">
        <v>113</v>
      </c>
      <c r="H14" s="166" t="s">
        <v>33</v>
      </c>
    </row>
    <row r="15" spans="2:8" ht="15" customHeight="1" x14ac:dyDescent="0.15">
      <c r="B15" s="4" t="s">
        <v>332</v>
      </c>
      <c r="C15" s="18">
        <v>0</v>
      </c>
      <c r="D15" s="235">
        <v>0.4</v>
      </c>
      <c r="F15" s="4" t="s">
        <v>75</v>
      </c>
      <c r="G15" s="18">
        <f>210586+109272</f>
        <v>319858</v>
      </c>
      <c r="H15" s="235">
        <v>0.8</v>
      </c>
    </row>
    <row r="16" spans="2:8" ht="15" customHeight="1" x14ac:dyDescent="0.15">
      <c r="B16" s="1" t="s">
        <v>32</v>
      </c>
      <c r="C16" s="18">
        <v>0</v>
      </c>
      <c r="D16" s="235">
        <v>0.5</v>
      </c>
      <c r="F16" s="4" t="s">
        <v>147</v>
      </c>
      <c r="G16" s="18">
        <v>0</v>
      </c>
      <c r="H16" s="235">
        <v>0.6</v>
      </c>
    </row>
    <row r="17" spans="2:8" ht="15" customHeight="1" x14ac:dyDescent="0.15">
      <c r="B17" s="1" t="s">
        <v>66</v>
      </c>
      <c r="C17" s="18">
        <f>1922097+21963</f>
        <v>1944060</v>
      </c>
      <c r="D17" s="235">
        <v>0.6</v>
      </c>
      <c r="F17" s="4" t="s">
        <v>148</v>
      </c>
      <c r="G17" s="18">
        <v>0</v>
      </c>
      <c r="H17" s="235">
        <v>0.6</v>
      </c>
    </row>
    <row r="18" spans="2:8" ht="15" customHeight="1" x14ac:dyDescent="0.15">
      <c r="B18" s="4" t="s">
        <v>144</v>
      </c>
      <c r="C18" s="18">
        <v>0</v>
      </c>
      <c r="D18" s="235">
        <v>0.6</v>
      </c>
      <c r="F18" s="4" t="s">
        <v>151</v>
      </c>
      <c r="G18" s="18">
        <f>13948+51286</f>
        <v>65234</v>
      </c>
      <c r="H18" s="235">
        <v>0.1</v>
      </c>
    </row>
    <row r="19" spans="2:8" ht="15" customHeight="1" x14ac:dyDescent="0.15">
      <c r="B19" s="4" t="s">
        <v>24</v>
      </c>
      <c r="C19" s="18">
        <f>571235+160809</f>
        <v>732044</v>
      </c>
      <c r="D19" s="235">
        <v>0.1</v>
      </c>
      <c r="F19" s="4" t="s">
        <v>152</v>
      </c>
      <c r="G19" s="18">
        <v>0</v>
      </c>
      <c r="H19" s="235">
        <v>0.1</v>
      </c>
    </row>
    <row r="20" spans="2:8" ht="15" customHeight="1" x14ac:dyDescent="0.15">
      <c r="B20" s="4" t="s">
        <v>16</v>
      </c>
      <c r="C20" s="18">
        <v>0</v>
      </c>
      <c r="D20" s="235">
        <v>0.05</v>
      </c>
      <c r="F20" s="4" t="s">
        <v>149</v>
      </c>
      <c r="G20" s="18">
        <v>0</v>
      </c>
      <c r="H20" s="235">
        <v>0.2</v>
      </c>
    </row>
    <row r="21" spans="2:8" ht="15" customHeight="1" x14ac:dyDescent="0.15">
      <c r="B21" s="4" t="s">
        <v>17</v>
      </c>
      <c r="C21" s="18">
        <v>255046</v>
      </c>
      <c r="D21" s="235">
        <v>0.05</v>
      </c>
      <c r="F21" s="1" t="s">
        <v>150</v>
      </c>
      <c r="G21" s="18">
        <v>6509</v>
      </c>
      <c r="H21" s="235">
        <v>0.1</v>
      </c>
    </row>
    <row r="22" spans="2:8" ht="15" customHeight="1" x14ac:dyDescent="0.15">
      <c r="B22" s="4" t="s">
        <v>18</v>
      </c>
      <c r="C22" s="18">
        <v>124199</v>
      </c>
      <c r="D22" s="235">
        <v>0.9</v>
      </c>
      <c r="H22" s="236"/>
    </row>
    <row r="23" spans="2:8" ht="15" customHeight="1" x14ac:dyDescent="0.15">
      <c r="B23" s="4" t="s">
        <v>19</v>
      </c>
      <c r="C23" s="18">
        <f>940923+2287</f>
        <v>943210</v>
      </c>
      <c r="D23" s="235">
        <v>0</v>
      </c>
      <c r="H23" s="236"/>
    </row>
    <row r="24" spans="2:8" ht="15" customHeight="1" x14ac:dyDescent="0.15">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x14ac:dyDescent="0.15">
      <c r="B26" s="16" t="s">
        <v>169</v>
      </c>
      <c r="C26" s="165" t="s">
        <v>113</v>
      </c>
      <c r="F26" s="167" t="s">
        <v>165</v>
      </c>
      <c r="G26" s="168" t="s">
        <v>113</v>
      </c>
      <c r="H26" s="169" t="s">
        <v>33</v>
      </c>
    </row>
    <row r="27" spans="2:8" ht="15" customHeight="1" x14ac:dyDescent="0.15">
      <c r="B27" s="4" t="s">
        <v>3</v>
      </c>
      <c r="C27" s="18">
        <v>30472</v>
      </c>
      <c r="F27" s="170" t="s">
        <v>28</v>
      </c>
      <c r="G27" s="82">
        <f>G32-G30</f>
        <v>4865631</v>
      </c>
      <c r="H27" s="171">
        <f>H32-G30</f>
        <v>1439319.7999999998</v>
      </c>
    </row>
    <row r="28" spans="2:8" ht="15" customHeight="1" x14ac:dyDescent="0.15">
      <c r="B28" s="4" t="s">
        <v>4</v>
      </c>
      <c r="C28" s="18">
        <v>13400</v>
      </c>
      <c r="F28" s="172" t="s">
        <v>209</v>
      </c>
      <c r="G28" s="295">
        <v>574396</v>
      </c>
      <c r="H28" s="171"/>
    </row>
    <row r="29" spans="2:8" ht="15" customHeight="1" x14ac:dyDescent="0.15">
      <c r="B29" s="4" t="s">
        <v>5</v>
      </c>
      <c r="C29" s="18">
        <v>0</v>
      </c>
      <c r="F29" s="173" t="s">
        <v>72</v>
      </c>
      <c r="G29" s="14">
        <f>G27-G28</f>
        <v>4291235</v>
      </c>
      <c r="H29" s="171">
        <f>H27-G28</f>
        <v>864923.79999999981</v>
      </c>
    </row>
    <row r="30" spans="2:8" ht="15" customHeight="1" x14ac:dyDescent="0.15">
      <c r="B30" s="2" t="s">
        <v>6</v>
      </c>
      <c r="C30" s="18">
        <v>0</v>
      </c>
      <c r="F30" s="170" t="s">
        <v>21</v>
      </c>
      <c r="G30" s="82">
        <f>C33+C42</f>
        <v>2372648</v>
      </c>
      <c r="H30" s="171"/>
    </row>
    <row r="31" spans="2:8" ht="15" customHeight="1" x14ac:dyDescent="0.15">
      <c r="B31" s="77" t="s">
        <v>172</v>
      </c>
      <c r="C31" s="78">
        <f>SUM(C27:C30)</f>
        <v>43872</v>
      </c>
      <c r="F31" s="173" t="s">
        <v>73</v>
      </c>
      <c r="G31" s="174">
        <f>C31+C40</f>
        <v>134804</v>
      </c>
      <c r="H31" s="171"/>
    </row>
    <row r="32" spans="2:8" ht="15" customHeight="1" x14ac:dyDescent="0.15">
      <c r="B32" s="4" t="s">
        <v>7</v>
      </c>
      <c r="C32" s="20">
        <f>C33-C31</f>
        <v>1513696</v>
      </c>
      <c r="F32" s="175" t="s">
        <v>71</v>
      </c>
      <c r="G32" s="176">
        <f>G35+G40</f>
        <v>7238279</v>
      </c>
      <c r="H32" s="171">
        <f>H35+H40</f>
        <v>3811967.8</v>
      </c>
    </row>
    <row r="33" spans="2:8" ht="15" customHeight="1" x14ac:dyDescent="0.15">
      <c r="B33" s="80" t="s">
        <v>2</v>
      </c>
      <c r="C33" s="81">
        <v>1557568</v>
      </c>
      <c r="F33" s="177"/>
      <c r="G33" s="2"/>
      <c r="H33" s="178"/>
    </row>
    <row r="34" spans="2:8" ht="15" customHeight="1" x14ac:dyDescent="0.15">
      <c r="B34" s="80"/>
      <c r="C34" s="81"/>
      <c r="F34" s="179" t="s">
        <v>171</v>
      </c>
      <c r="G34" s="180" t="s">
        <v>113</v>
      </c>
      <c r="H34" s="181" t="s">
        <v>33</v>
      </c>
    </row>
    <row r="35" spans="2:8" ht="15" customHeight="1" x14ac:dyDescent="0.15">
      <c r="B35" s="16" t="s">
        <v>170</v>
      </c>
      <c r="C35" s="165" t="s">
        <v>113</v>
      </c>
      <c r="F35" s="182" t="s">
        <v>29</v>
      </c>
      <c r="G35" s="176">
        <f>C12+C24</f>
        <v>4714005</v>
      </c>
      <c r="H35" s="183">
        <f>D12+D24</f>
        <v>1731109.3</v>
      </c>
    </row>
    <row r="36" spans="2:8" ht="15" customHeight="1" x14ac:dyDescent="0.15">
      <c r="B36" s="4" t="s">
        <v>11</v>
      </c>
      <c r="C36" s="18">
        <v>0</v>
      </c>
      <c r="F36" s="173" t="s">
        <v>166</v>
      </c>
      <c r="G36" s="174">
        <f>C4+C15</f>
        <v>144049</v>
      </c>
      <c r="H36" s="178"/>
    </row>
    <row r="37" spans="2:8" ht="15" customHeight="1" x14ac:dyDescent="0.15">
      <c r="B37" s="4" t="s">
        <v>12</v>
      </c>
      <c r="C37" s="18">
        <v>90932</v>
      </c>
      <c r="F37" s="173" t="s">
        <v>167</v>
      </c>
      <c r="G37" s="174">
        <f>C6</f>
        <v>558421</v>
      </c>
      <c r="H37" s="178"/>
    </row>
    <row r="38" spans="2:8" ht="15" customHeight="1" x14ac:dyDescent="0.15">
      <c r="B38" s="4" t="s">
        <v>13</v>
      </c>
      <c r="C38" s="18">
        <v>0</v>
      </c>
      <c r="F38" s="173" t="s">
        <v>168</v>
      </c>
      <c r="G38" s="174">
        <f>C7+C17</f>
        <v>1944060</v>
      </c>
      <c r="H38" s="178"/>
    </row>
    <row r="39" spans="2:8" ht="15" customHeight="1" x14ac:dyDescent="0.15">
      <c r="B39" s="2" t="s">
        <v>14</v>
      </c>
      <c r="C39" s="18">
        <v>0</v>
      </c>
      <c r="F39" s="173" t="s">
        <v>76</v>
      </c>
      <c r="G39" s="174">
        <f>C7+C17+C19+C20</f>
        <v>2676104</v>
      </c>
      <c r="H39" s="171">
        <f>C7*D7+C17*D17+C19*D19+C20*D20</f>
        <v>1239640.3999999999</v>
      </c>
    </row>
    <row r="40" spans="2:8" ht="15" customHeight="1" x14ac:dyDescent="0.15">
      <c r="B40" s="77" t="s">
        <v>173</v>
      </c>
      <c r="C40" s="78">
        <f>SUM(C36:C39)</f>
        <v>90932</v>
      </c>
      <c r="F40" s="182" t="s">
        <v>115</v>
      </c>
      <c r="G40" s="176">
        <f>G12+G24</f>
        <v>2524274</v>
      </c>
      <c r="H40" s="183">
        <f>H12+H24</f>
        <v>2080858.5</v>
      </c>
    </row>
    <row r="41" spans="2:8" ht="15" customHeight="1" x14ac:dyDescent="0.15">
      <c r="B41" s="4" t="s">
        <v>15</v>
      </c>
      <c r="C41" s="20">
        <f>C42-C40</f>
        <v>724148</v>
      </c>
      <c r="F41" s="173" t="s">
        <v>160</v>
      </c>
      <c r="G41" s="174">
        <f>C70</f>
        <v>2179072</v>
      </c>
      <c r="H41" s="183">
        <f>H40-H42</f>
        <v>1893072.4</v>
      </c>
    </row>
    <row r="42" spans="2:8" ht="15" customHeight="1" x14ac:dyDescent="0.15">
      <c r="B42" s="80" t="s">
        <v>20</v>
      </c>
      <c r="C42" s="81">
        <v>815080</v>
      </c>
      <c r="F42" s="184" t="s">
        <v>161</v>
      </c>
      <c r="G42" s="185">
        <f>C82</f>
        <v>318401</v>
      </c>
      <c r="H42" s="186">
        <f>D82</f>
        <v>187786.09999999998</v>
      </c>
    </row>
    <row r="44" spans="2:8" ht="15" customHeight="1" x14ac:dyDescent="0.15">
      <c r="B44" s="76" t="s">
        <v>92</v>
      </c>
      <c r="C44" s="35"/>
      <c r="D44" s="35"/>
      <c r="E44" s="35"/>
      <c r="F44" s="35"/>
      <c r="G44" s="35"/>
      <c r="H44" s="35"/>
    </row>
    <row r="45" spans="2:8" ht="15" customHeight="1" x14ac:dyDescent="0.15">
      <c r="B45" s="16" t="s">
        <v>228</v>
      </c>
      <c r="C45" s="213" t="s">
        <v>113</v>
      </c>
      <c r="D45" s="165" t="s">
        <v>313</v>
      </c>
      <c r="F45" s="230" t="s">
        <v>56</v>
      </c>
    </row>
    <row r="46" spans="2:8" ht="15" customHeight="1" x14ac:dyDescent="0.15">
      <c r="B46" s="1" t="s">
        <v>230</v>
      </c>
      <c r="C46" s="73">
        <f>G29</f>
        <v>4291235</v>
      </c>
      <c r="D46" s="73">
        <f>H29</f>
        <v>864923.79999999981</v>
      </c>
      <c r="F46" s="227"/>
    </row>
    <row r="47" spans="2:8" ht="15" customHeight="1" x14ac:dyDescent="0.15">
      <c r="B47" s="1" t="str">
        <f>"Equity per share ("&amp;Market_currency&amp;")"</f>
        <v>Equity per share (HKD)</v>
      </c>
      <c r="C47" s="135">
        <f>C46*H1/Common_Shares*Exchange_Rate</f>
        <v>2.0162592787326599</v>
      </c>
      <c r="D47" s="135">
        <f>D46*H1/Common_Shares*Exchange_Rate</f>
        <v>0.40638898525639144</v>
      </c>
      <c r="F47" s="227"/>
    </row>
    <row r="48" spans="2:8" ht="15" customHeight="1" x14ac:dyDescent="0.15">
      <c r="F48" s="227"/>
    </row>
    <row r="49" spans="2:8" ht="15" customHeight="1" x14ac:dyDescent="0.15">
      <c r="B49" s="144" t="s">
        <v>120</v>
      </c>
      <c r="C49" s="214" t="s">
        <v>54</v>
      </c>
      <c r="D49" s="180" t="s">
        <v>91</v>
      </c>
      <c r="E49" s="2"/>
      <c r="F49" s="227"/>
    </row>
    <row r="50" spans="2:8" ht="15" customHeight="1" x14ac:dyDescent="0.15">
      <c r="B50" s="8" t="s">
        <v>90</v>
      </c>
      <c r="C50" s="92">
        <f>G31/Normalized_FCF!C8</f>
        <v>0.22047955497162566</v>
      </c>
      <c r="D50" s="92">
        <f>G31/Normalized_FCF!G8</f>
        <v>0.12458307956907363</v>
      </c>
      <c r="F50" s="227"/>
    </row>
    <row r="51" spans="2:8" ht="15" customHeight="1" x14ac:dyDescent="0.15">
      <c r="B51" s="1" t="s">
        <v>146</v>
      </c>
      <c r="C51" s="164"/>
      <c r="D51" s="89">
        <f>G29/G32</f>
        <v>0.59285294197695337</v>
      </c>
      <c r="F51" s="227"/>
    </row>
    <row r="52" spans="2:8" ht="15" customHeight="1" x14ac:dyDescent="0.15">
      <c r="F52" s="227"/>
    </row>
    <row r="53" spans="2:8" ht="15" customHeight="1" x14ac:dyDescent="0.15">
      <c r="B53" s="144" t="s">
        <v>119</v>
      </c>
      <c r="C53" s="214" t="s">
        <v>54</v>
      </c>
      <c r="D53" s="180" t="s">
        <v>91</v>
      </c>
      <c r="F53" s="227"/>
    </row>
    <row r="54" spans="2:8" ht="15" customHeight="1" x14ac:dyDescent="0.15">
      <c r="B54" s="1" t="s">
        <v>116</v>
      </c>
      <c r="C54" s="89">
        <f>Normalized_FCF!C8/G35</f>
        <v>0.12970132615472399</v>
      </c>
      <c r="D54" s="89">
        <f>Normalized_FCF!G8/G35</f>
        <v>0.2295375164005978</v>
      </c>
      <c r="F54" s="227"/>
    </row>
    <row r="55" spans="2:8" ht="15" customHeight="1" x14ac:dyDescent="0.15">
      <c r="B55" s="1" t="s">
        <v>118</v>
      </c>
      <c r="C55" s="89">
        <f>Normalized_FCF!C9/G40</f>
        <v>-1.1084375151033524E-3</v>
      </c>
      <c r="D55" s="89">
        <f>Normalized_FCF!G9/G40</f>
        <v>-1.1084375151033524E-3</v>
      </c>
      <c r="F55" s="227"/>
    </row>
    <row r="56" spans="2:8" ht="15" customHeight="1" x14ac:dyDescent="0.15">
      <c r="F56" s="227"/>
    </row>
    <row r="57" spans="2:8" ht="15" customHeight="1" x14ac:dyDescent="0.15">
      <c r="B57" s="144" t="s">
        <v>145</v>
      </c>
      <c r="C57" s="214" t="s">
        <v>54</v>
      </c>
      <c r="D57" s="180" t="s">
        <v>91</v>
      </c>
      <c r="F57" s="227"/>
    </row>
    <row r="58" spans="2:8" ht="15" customHeight="1" x14ac:dyDescent="0.15">
      <c r="B58" s="2" t="s">
        <v>86</v>
      </c>
      <c r="C58" s="95"/>
      <c r="D58" s="22">
        <f>Normalized_FCF!G15/BS!$G$39</f>
        <v>6.4713105320271552E-2</v>
      </c>
      <c r="F58" s="5"/>
    </row>
    <row r="59" spans="2:8" ht="15" customHeight="1" x14ac:dyDescent="0.15">
      <c r="B59" s="1" t="s">
        <v>89</v>
      </c>
      <c r="C59" s="95"/>
      <c r="D59" s="89">
        <f>G39/G32</f>
        <v>0.3697155083411402</v>
      </c>
      <c r="F59" s="227"/>
    </row>
    <row r="60" spans="2:8" ht="15" customHeight="1" x14ac:dyDescent="0.15">
      <c r="F60" s="227"/>
    </row>
    <row r="61" spans="2:8" ht="15" customHeight="1" x14ac:dyDescent="0.15">
      <c r="B61" s="144" t="s">
        <v>231</v>
      </c>
      <c r="C61" s="214" t="s">
        <v>114</v>
      </c>
      <c r="D61" s="180" t="s">
        <v>91</v>
      </c>
      <c r="F61" s="227"/>
    </row>
    <row r="62" spans="2:8" ht="15" customHeight="1" x14ac:dyDescent="0.15">
      <c r="B62" s="1" t="s">
        <v>210</v>
      </c>
      <c r="C62" s="89">
        <f>IF(G28&lt;=0,0,G28/G29)</f>
        <v>0.1338533079637913</v>
      </c>
      <c r="D62" s="89">
        <f>G28/G29</f>
        <v>0.1338533079637913</v>
      </c>
      <c r="F62" s="227" t="s">
        <v>229</v>
      </c>
    </row>
    <row r="64" spans="2:8" ht="15" customHeight="1" x14ac:dyDescent="0.15">
      <c r="B64" s="76" t="s">
        <v>162</v>
      </c>
      <c r="C64" s="35"/>
      <c r="D64" s="35"/>
      <c r="E64" s="35"/>
      <c r="F64" s="35"/>
      <c r="G64" s="35"/>
      <c r="H64" s="35"/>
    </row>
    <row r="65" spans="2:6" ht="15" customHeight="1" x14ac:dyDescent="0.15">
      <c r="B65" s="16" t="s">
        <v>158</v>
      </c>
      <c r="C65" s="213" t="s">
        <v>113</v>
      </c>
      <c r="D65" s="166" t="s">
        <v>239</v>
      </c>
      <c r="F65" s="230" t="s">
        <v>56</v>
      </c>
    </row>
    <row r="66" spans="2:6" ht="15" customHeight="1" x14ac:dyDescent="0.15">
      <c r="B66" s="102" t="s">
        <v>157</v>
      </c>
      <c r="C66" s="19">
        <f>G4+G5+G15</f>
        <v>2113838</v>
      </c>
      <c r="D66" s="73">
        <f>C66-D75</f>
        <v>1507763.8216088</v>
      </c>
      <c r="F66" s="5" t="s">
        <v>193</v>
      </c>
    </row>
    <row r="67" spans="2:6" ht="15" customHeight="1" x14ac:dyDescent="0.15">
      <c r="B67" s="102" t="s">
        <v>147</v>
      </c>
      <c r="C67" s="19">
        <f>G6+G16</f>
        <v>0</v>
      </c>
      <c r="F67" s="227"/>
    </row>
    <row r="68" spans="2:6" ht="15" customHeight="1" x14ac:dyDescent="0.15">
      <c r="B68" s="102" t="s">
        <v>151</v>
      </c>
      <c r="C68" s="19">
        <f>G18</f>
        <v>65234</v>
      </c>
      <c r="F68" s="227"/>
    </row>
    <row r="69" spans="2:6" ht="15" customHeight="1" x14ac:dyDescent="0.15">
      <c r="B69" s="102" t="s">
        <v>149</v>
      </c>
      <c r="C69" s="19">
        <f>G8+G20</f>
        <v>0</v>
      </c>
      <c r="F69" s="227"/>
    </row>
    <row r="70" spans="2:6" ht="15" customHeight="1" x14ac:dyDescent="0.15">
      <c r="B70" s="77" t="s">
        <v>158</v>
      </c>
      <c r="C70" s="78">
        <f>SUM(C66:C69)</f>
        <v>2179072</v>
      </c>
      <c r="F70" s="227"/>
    </row>
    <row r="71" spans="2:6" ht="15" customHeight="1" x14ac:dyDescent="0.15">
      <c r="F71" s="227"/>
    </row>
    <row r="72" spans="2:6" ht="15" customHeight="1" x14ac:dyDescent="0.15">
      <c r="B72" s="229" t="s">
        <v>257</v>
      </c>
      <c r="C72" s="213" t="s">
        <v>91</v>
      </c>
      <c r="D72" s="165" t="s">
        <v>54</v>
      </c>
      <c r="F72" s="227"/>
    </row>
    <row r="73" spans="2:6" ht="15" customHeight="1" x14ac:dyDescent="0.15">
      <c r="B73" s="102" t="s">
        <v>256</v>
      </c>
      <c r="C73" s="293">
        <f>(Normalized_FCF!G26+Normalized_FCF!G35-Normalized_FCF!G89)/12</f>
        <v>-113730.4380652</v>
      </c>
      <c r="D73" s="293">
        <f>(Normalized_FCF!C26+Normalized_FCF!C35-Normalized_FCF!C89)/12</f>
        <v>-101012.3630652</v>
      </c>
      <c r="F73" s="1" t="s">
        <v>280</v>
      </c>
    </row>
    <row r="74" spans="2:6" ht="15" customHeight="1" x14ac:dyDescent="0.15">
      <c r="B74" s="231" t="s">
        <v>261</v>
      </c>
      <c r="C74" s="232">
        <f>-$C$66/C73</f>
        <v>18.586387566608753</v>
      </c>
      <c r="D74" s="232">
        <f>-$C$66/D73</f>
        <v>20.926527564112032</v>
      </c>
      <c r="F74" s="227" t="s">
        <v>258</v>
      </c>
    </row>
    <row r="75" spans="2:6" ht="15" customHeight="1" x14ac:dyDescent="0.15">
      <c r="B75" s="77" t="s">
        <v>259</v>
      </c>
      <c r="C75" s="268"/>
      <c r="D75" s="269">
        <f>MAX(-D73*D76,G5)</f>
        <v>606074.17839120002</v>
      </c>
      <c r="F75" s="227" t="s">
        <v>281</v>
      </c>
    </row>
    <row r="76" spans="2:6" ht="15" customHeight="1" x14ac:dyDescent="0.15">
      <c r="B76" s="233" t="s">
        <v>262</v>
      </c>
      <c r="C76" s="234"/>
      <c r="D76" s="255">
        <f>IF(D74&lt;=3,1,IF(D74&gt;18,6,2))</f>
        <v>6</v>
      </c>
      <c r="F76" s="227" t="s">
        <v>263</v>
      </c>
    </row>
    <row r="77" spans="2:6" ht="15" customHeight="1" x14ac:dyDescent="0.15">
      <c r="F77" s="227"/>
    </row>
    <row r="78" spans="2:6" ht="15" customHeight="1" x14ac:dyDescent="0.15">
      <c r="B78" s="16" t="s">
        <v>159</v>
      </c>
      <c r="C78" s="213" t="s">
        <v>113</v>
      </c>
      <c r="D78" s="166" t="s">
        <v>33</v>
      </c>
      <c r="F78" s="227"/>
    </row>
    <row r="79" spans="2:6" ht="15" customHeight="1" x14ac:dyDescent="0.15">
      <c r="B79" s="102" t="s">
        <v>148</v>
      </c>
      <c r="C79" s="19">
        <f>G7+G17</f>
        <v>311892</v>
      </c>
      <c r="D79" s="73">
        <f>G7*H7+G17*H17</f>
        <v>187135.19999999998</v>
      </c>
      <c r="F79" s="227"/>
    </row>
    <row r="80" spans="2:6" ht="15" customHeight="1" x14ac:dyDescent="0.15">
      <c r="B80" s="102" t="s">
        <v>152</v>
      </c>
      <c r="C80" s="19">
        <f>G19</f>
        <v>0</v>
      </c>
      <c r="D80" s="73">
        <f>G19*H19</f>
        <v>0</v>
      </c>
      <c r="F80" s="227"/>
    </row>
    <row r="81" spans="2:8" ht="15" customHeight="1" x14ac:dyDescent="0.15">
      <c r="B81" s="102" t="s">
        <v>150</v>
      </c>
      <c r="C81" s="19">
        <f>G9+G21</f>
        <v>6509</v>
      </c>
      <c r="D81" s="73">
        <f>G9*H9+G21*H21</f>
        <v>650.90000000000009</v>
      </c>
      <c r="F81" s="227"/>
    </row>
    <row r="82" spans="2:8" ht="15" customHeight="1" x14ac:dyDescent="0.15">
      <c r="B82" s="77" t="s">
        <v>159</v>
      </c>
      <c r="C82" s="78">
        <f>SUM(C79:C81)</f>
        <v>318401</v>
      </c>
      <c r="D82" s="78">
        <f>SUM(D79:D81)</f>
        <v>187786.09999999998</v>
      </c>
      <c r="F82" s="227"/>
    </row>
    <row r="84" spans="2:8" ht="15" customHeight="1" x14ac:dyDescent="0.15">
      <c r="B84" s="76" t="s">
        <v>242</v>
      </c>
      <c r="C84" s="35"/>
      <c r="D84" s="35"/>
      <c r="E84" s="35"/>
      <c r="F84" s="35"/>
      <c r="G84" s="35"/>
      <c r="H84" s="35"/>
    </row>
    <row r="85" spans="2:8" ht="15" customHeight="1" x14ac:dyDescent="0.15">
      <c r="B85" s="16" t="s">
        <v>243</v>
      </c>
      <c r="D85" s="219" t="s">
        <v>244</v>
      </c>
    </row>
    <row r="86" spans="2:8" ht="15" customHeight="1" x14ac:dyDescent="0.15">
      <c r="B86" s="216" t="s">
        <v>240</v>
      </c>
      <c r="C86" s="73">
        <f>-DCF!F4*Exchange_Rate</f>
        <v>146936.36000000002</v>
      </c>
      <c r="D86" s="204">
        <f>C86*scaling_factor/Common_Shares</f>
        <v>6.3338366649758754E-2</v>
      </c>
      <c r="E86" s="218" t="str">
        <f>Market_currency</f>
        <v>HKD</v>
      </c>
    </row>
    <row r="87" spans="2:8" ht="15" customHeight="1" x14ac:dyDescent="0.15">
      <c r="B87" s="216" t="s">
        <v>241</v>
      </c>
      <c r="C87" s="73">
        <f>DCF!F5*Exchange_Rate</f>
        <v>1643462.5655535921</v>
      </c>
      <c r="D87" s="204">
        <f>C87*scaling_factor/Common_Shares</f>
        <v>0.70843074207219081</v>
      </c>
      <c r="E87" s="218" t="str">
        <f>Market_currency</f>
        <v>HKD</v>
      </c>
    </row>
    <row r="88" spans="2:8" ht="15" customHeight="1" x14ac:dyDescent="0.15">
      <c r="B88" s="217" t="s">
        <v>159</v>
      </c>
      <c r="C88" s="73">
        <f>DCF!F6*Exchange_Rate</f>
        <v>204686.84899999999</v>
      </c>
      <c r="D88" s="204">
        <f>C88*scaling_factor/Common_Shares</f>
        <v>8.8232284305571507E-2</v>
      </c>
      <c r="E88" s="218" t="str">
        <f>Market_currency</f>
        <v>HKD</v>
      </c>
    </row>
    <row r="89" spans="2:8" ht="15" customHeight="1" x14ac:dyDescent="0.15">
      <c r="B89" s="77" t="s">
        <v>245</v>
      </c>
      <c r="C89" s="163">
        <f>SUM(C86:C88)</f>
        <v>1995085.7745535921</v>
      </c>
      <c r="D89" s="220">
        <f>SUM(D86:D88)</f>
        <v>0.8600013930275211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398</v>
      </c>
      <c r="C3" s="104">
        <f>scaling_factor</f>
        <v>1000</v>
      </c>
      <c r="D3" s="9"/>
      <c r="E3" s="242"/>
      <c r="F3" s="9"/>
      <c r="G3" s="16" t="s">
        <v>418</v>
      </c>
      <c r="H3" s="104">
        <f>scaling_factor</f>
        <v>1000</v>
      </c>
    </row>
    <row r="4" spans="1:17" ht="15.75" customHeight="1" x14ac:dyDescent="0.15">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x14ac:dyDescent="0.15">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x14ac:dyDescent="0.15">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x14ac:dyDescent="0.15">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x14ac:dyDescent="0.15">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x14ac:dyDescent="0.15">
      <c r="A9" s="10"/>
      <c r="B9" s="26" t="s">
        <v>423</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x14ac:dyDescent="0.15">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x14ac:dyDescent="0.15">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x14ac:dyDescent="0.15">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x14ac:dyDescent="0.15">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x14ac:dyDescent="0.15">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x14ac:dyDescent="0.15">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x14ac:dyDescent="0.15">
      <c r="A16" s="10"/>
      <c r="B16" s="2" t="s">
        <v>404</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x14ac:dyDescent="0.15">
      <c r="A17" s="10"/>
      <c r="B17" s="26" t="s">
        <v>49</v>
      </c>
      <c r="C17" s="274">
        <f>-C4*C83</f>
        <v>0</v>
      </c>
      <c r="D17" s="55"/>
      <c r="E17" s="241" t="s">
        <v>264</v>
      </c>
      <c r="F17" s="55"/>
      <c r="G17" s="280"/>
      <c r="H17" s="280"/>
      <c r="I17" s="280"/>
      <c r="J17" s="280"/>
      <c r="K17" s="280"/>
      <c r="L17" s="280"/>
      <c r="M17" s="280"/>
      <c r="N17" s="280"/>
      <c r="O17" s="280"/>
      <c r="P17" s="280"/>
      <c r="Q17" s="280"/>
    </row>
    <row r="18" spans="1:17" ht="15.75" customHeight="1" x14ac:dyDescent="0.15">
      <c r="A18" s="10"/>
      <c r="B18" s="26" t="s">
        <v>94</v>
      </c>
      <c r="C18" s="274">
        <v>0</v>
      </c>
      <c r="D18" s="55"/>
      <c r="E18" s="241" t="s">
        <v>265</v>
      </c>
      <c r="F18" s="55"/>
      <c r="G18" s="281"/>
      <c r="H18" s="281"/>
      <c r="I18" s="281"/>
      <c r="J18" s="281"/>
      <c r="K18" s="281"/>
      <c r="L18" s="281"/>
      <c r="M18" s="281"/>
      <c r="N18" s="281"/>
      <c r="O18" s="281"/>
      <c r="P18" s="281"/>
      <c r="Q18" s="281"/>
    </row>
    <row r="19" spans="1:17" ht="15.75" customHeight="1" x14ac:dyDescent="0.15">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9"/>
      <c r="F22" s="26"/>
      <c r="G22" s="12"/>
      <c r="H22" s="12"/>
      <c r="I22" s="12"/>
      <c r="J22" s="12"/>
      <c r="K22" s="12"/>
      <c r="L22" s="12"/>
      <c r="M22" s="12"/>
      <c r="N22" s="12"/>
      <c r="O22" s="12"/>
      <c r="P22" s="12"/>
      <c r="Q22" s="12"/>
    </row>
    <row r="23" spans="1:17" ht="15.75" customHeight="1" x14ac:dyDescent="0.15">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x14ac:dyDescent="0.2">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x14ac:dyDescent="0.15">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x14ac:dyDescent="0.15">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x14ac:dyDescent="0.15">
      <c r="A27" s="10"/>
      <c r="E27" s="242"/>
    </row>
    <row r="28" spans="1:17" ht="15.75" customHeight="1" x14ac:dyDescent="0.15">
      <c r="A28" s="10"/>
      <c r="B28" s="61" t="s">
        <v>175</v>
      </c>
      <c r="E28" s="242"/>
    </row>
    <row r="29" spans="1:17" ht="15.75" customHeight="1" x14ac:dyDescent="0.15">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x14ac:dyDescent="0.2">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x14ac:dyDescent="0.15">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x14ac:dyDescent="0.15">
      <c r="A33" s="10"/>
      <c r="E33" s="242"/>
    </row>
    <row r="34" spans="1:17" ht="15.75" customHeight="1" x14ac:dyDescent="0.15">
      <c r="A34" s="10"/>
      <c r="B34" s="61" t="s">
        <v>42</v>
      </c>
      <c r="E34" s="242"/>
    </row>
    <row r="35" spans="1:17" ht="15.75" customHeight="1" x14ac:dyDescent="0.15">
      <c r="A35" s="10"/>
      <c r="B35" s="306" t="s">
        <v>402</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x14ac:dyDescent="0.15">
      <c r="A36" s="10"/>
      <c r="E36" s="242"/>
    </row>
    <row r="37" spans="1:17" ht="15.75" customHeight="1" x14ac:dyDescent="0.15">
      <c r="A37" s="10"/>
      <c r="B37" s="61" t="s">
        <v>176</v>
      </c>
      <c r="E37" s="242"/>
    </row>
    <row r="38" spans="1:17" ht="15.75" customHeight="1" x14ac:dyDescent="0.15">
      <c r="A38" s="10"/>
      <c r="B38" s="306" t="s">
        <v>402</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x14ac:dyDescent="0.15">
      <c r="A39" s="10"/>
      <c r="E39" s="242"/>
    </row>
    <row r="40" spans="1:17" ht="15.75" customHeight="1" x14ac:dyDescent="0.15">
      <c r="A40" s="10"/>
      <c r="B40" s="61" t="s">
        <v>177</v>
      </c>
      <c r="E40" s="242"/>
    </row>
    <row r="41" spans="1:17" ht="15.75" customHeight="1" x14ac:dyDescent="0.15">
      <c r="A41" s="10"/>
      <c r="B41" s="26" t="s">
        <v>142</v>
      </c>
      <c r="C41" s="237">
        <v>0.25</v>
      </c>
      <c r="D41" s="26"/>
      <c r="E41" s="239" t="s">
        <v>411</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42"/>
    </row>
    <row r="45" spans="1:17" ht="15.75" customHeight="1" x14ac:dyDescent="0.15">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x14ac:dyDescent="0.15">
      <c r="A46" s="10"/>
      <c r="B46" s="2" t="s">
        <v>274</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x14ac:dyDescent="0.15">
      <c r="A47" s="10"/>
      <c r="B47" s="252" t="s">
        <v>271</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x14ac:dyDescent="0.15">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x14ac:dyDescent="0.15">
      <c r="A49" s="10"/>
      <c r="E49" s="242"/>
    </row>
    <row r="50" spans="1:17" ht="15.75" customHeight="1" x14ac:dyDescent="0.15">
      <c r="A50" s="10"/>
      <c r="B50" s="69" t="s">
        <v>130</v>
      </c>
      <c r="E50" s="242"/>
      <c r="G50" s="94" t="s">
        <v>188</v>
      </c>
    </row>
    <row r="51" spans="1:17" ht="15.75" customHeight="1" x14ac:dyDescent="0.15">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x14ac:dyDescent="0.15">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x14ac:dyDescent="0.15">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x14ac:dyDescent="0.15">
      <c r="A54" s="10"/>
      <c r="E54" s="242"/>
    </row>
    <row r="55" spans="1:17" ht="15.75" customHeight="1" x14ac:dyDescent="0.15">
      <c r="A55" s="10"/>
      <c r="B55" s="61" t="s">
        <v>139</v>
      </c>
      <c r="E55" s="242"/>
      <c r="G55" s="94" t="s">
        <v>188</v>
      </c>
    </row>
    <row r="56" spans="1:17" ht="15.75" customHeight="1" x14ac:dyDescent="0.15">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x14ac:dyDescent="0.15">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x14ac:dyDescent="0.15">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x14ac:dyDescent="0.15">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x14ac:dyDescent="0.15">
      <c r="A60" s="10"/>
      <c r="B60" s="38" t="s">
        <v>135</v>
      </c>
      <c r="C60" s="287">
        <v>0</v>
      </c>
      <c r="E60" s="240" t="s">
        <v>266</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x14ac:dyDescent="0.15">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x14ac:dyDescent="0.15">
      <c r="A62" s="10"/>
      <c r="E62" s="242"/>
    </row>
    <row r="63" spans="1:17" ht="15.75" customHeight="1" x14ac:dyDescent="0.15">
      <c r="A63" s="10"/>
      <c r="B63" s="93" t="s">
        <v>140</v>
      </c>
      <c r="E63" s="242"/>
      <c r="G63" s="94" t="s">
        <v>188</v>
      </c>
    </row>
    <row r="64" spans="1:17" ht="15.75" customHeight="1" x14ac:dyDescent="0.15">
      <c r="A64" s="10"/>
      <c r="B64" s="38" t="s">
        <v>138</v>
      </c>
      <c r="C64" s="159">
        <f>G64</f>
        <v>0</v>
      </c>
      <c r="E64" s="242"/>
      <c r="G64" s="22">
        <f>IFERROR(G56/BS!$C$67,0)</f>
        <v>0</v>
      </c>
      <c r="H64" s="158"/>
      <c r="I64" s="158"/>
      <c r="J64" s="158"/>
      <c r="K64" s="158"/>
      <c r="L64" s="158"/>
      <c r="M64" s="158"/>
      <c r="N64" s="158"/>
      <c r="O64" s="158"/>
      <c r="P64" s="158"/>
      <c r="Q64" s="158"/>
    </row>
    <row r="65" spans="1:17" ht="15.75" customHeight="1" x14ac:dyDescent="0.15">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x14ac:dyDescent="0.15">
      <c r="A66" s="10"/>
      <c r="B66" s="102" t="s">
        <v>133</v>
      </c>
      <c r="C66" s="159">
        <f>G66</f>
        <v>0</v>
      </c>
      <c r="E66" s="242"/>
      <c r="G66" s="22">
        <f>IFERROR(G58/BS!$C$69,0)</f>
        <v>0</v>
      </c>
      <c r="H66" s="158"/>
      <c r="I66" s="158"/>
      <c r="J66" s="158"/>
      <c r="K66" s="158"/>
      <c r="L66" s="158"/>
      <c r="M66" s="158"/>
      <c r="N66" s="158"/>
      <c r="O66" s="158"/>
      <c r="P66" s="158"/>
      <c r="Q66" s="158"/>
    </row>
    <row r="67" spans="1:17" ht="15.75" customHeight="1" x14ac:dyDescent="0.15">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9"/>
      <c r="F70" s="26"/>
      <c r="G70" s="94"/>
      <c r="H70" s="12"/>
      <c r="I70" s="12"/>
      <c r="J70" s="12"/>
      <c r="K70" s="12"/>
      <c r="L70" s="12"/>
      <c r="M70" s="12"/>
      <c r="N70" s="12"/>
      <c r="O70" s="12"/>
      <c r="P70" s="12"/>
      <c r="Q70" s="12"/>
    </row>
    <row r="71" spans="1:17" ht="15.75" customHeight="1" x14ac:dyDescent="0.15">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x14ac:dyDescent="0.15">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x14ac:dyDescent="0.15">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x14ac:dyDescent="0.15">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x14ac:dyDescent="0.15">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x14ac:dyDescent="0.15">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x14ac:dyDescent="0.15">
      <c r="A77" s="10"/>
      <c r="B77" s="67" t="s">
        <v>137</v>
      </c>
      <c r="C77" s="75">
        <f>C11/C4</f>
        <v>0.41544958439449353</v>
      </c>
      <c r="D77" s="26"/>
      <c r="E77" s="239"/>
      <c r="F77" s="26"/>
      <c r="G77" s="62">
        <f t="shared" ref="G77:Q77" si="29">IF(G$4="","",G11/G$4)</f>
        <v>0.51460063887624929</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x14ac:dyDescent="0.15">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x14ac:dyDescent="0.15">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x14ac:dyDescent="0.15">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x14ac:dyDescent="0.15">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0.11908566873611129</v>
      </c>
      <c r="D82" s="26"/>
      <c r="E82" s="240" t="s">
        <v>282</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x14ac:dyDescent="0.15">
      <c r="A84" s="10"/>
      <c r="B84" s="8" t="s">
        <v>94</v>
      </c>
      <c r="C84" s="74">
        <v>0</v>
      </c>
      <c r="E84" s="241" t="str">
        <f>E18</f>
        <v>Net borrowing is excluded</v>
      </c>
      <c r="G84" s="152"/>
      <c r="H84" s="152"/>
      <c r="I84" s="152"/>
      <c r="J84" s="152"/>
      <c r="K84" s="152"/>
      <c r="L84" s="152"/>
      <c r="M84" s="152"/>
      <c r="N84" s="152"/>
      <c r="O84" s="152"/>
      <c r="P84" s="152"/>
      <c r="Q84" s="152"/>
    </row>
    <row r="85" spans="1:17" ht="15.75" customHeight="1" x14ac:dyDescent="0.15">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x14ac:dyDescent="0.15">
      <c r="A86" s="10"/>
      <c r="E86" s="242"/>
    </row>
    <row r="87" spans="1:17" ht="15.75" customHeight="1" x14ac:dyDescent="0.15">
      <c r="A87" s="10"/>
      <c r="B87" s="61" t="s">
        <v>183</v>
      </c>
      <c r="E87" s="242"/>
    </row>
    <row r="88" spans="1:17" ht="15.75" customHeight="1" x14ac:dyDescent="0.15">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x14ac:dyDescent="0.15">
      <c r="A91" s="10"/>
      <c r="B91" s="2" t="s">
        <v>334</v>
      </c>
      <c r="C91" s="300">
        <v>0</v>
      </c>
      <c r="E91" s="242"/>
      <c r="G91" s="301"/>
      <c r="H91" s="301"/>
      <c r="I91" s="301"/>
      <c r="J91" s="301"/>
      <c r="K91" s="301"/>
      <c r="L91" s="301"/>
      <c r="M91" s="301"/>
      <c r="N91" s="301"/>
      <c r="O91" s="301"/>
      <c r="P91" s="301"/>
      <c r="Q91" s="301"/>
    </row>
    <row r="92" spans="1:17" ht="15.75" customHeight="1" x14ac:dyDescent="0.15">
      <c r="A92" s="10"/>
      <c r="B92" s="2" t="s">
        <v>333</v>
      </c>
      <c r="C92" s="22">
        <f>(C88*(1-dividend_tax_rate))/Market_Price</f>
        <v>5.5859649122807019E-2</v>
      </c>
      <c r="E92" s="242"/>
      <c r="G92" s="22">
        <f t="shared" ref="G92:Q92" si="38">IF(G$4="","",(G88*(1-dividend_tax_rate))/Market_Price)</f>
        <v>5.5859649122807019E-2</v>
      </c>
      <c r="H92" s="22">
        <f t="shared" si="38"/>
        <v>5.5859649122807019E-2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42"/>
    </row>
    <row r="94" spans="1:17" ht="15.75" customHeight="1" x14ac:dyDescent="0.15">
      <c r="A94" s="10"/>
      <c r="B94" s="144" t="s">
        <v>81</v>
      </c>
      <c r="C94" s="59"/>
      <c r="D94" s="26"/>
      <c r="E94" s="239"/>
      <c r="F94" s="26"/>
      <c r="G94" s="12"/>
      <c r="H94" s="12"/>
      <c r="I94" s="12"/>
      <c r="J94" s="12"/>
      <c r="K94" s="12"/>
      <c r="L94" s="12"/>
      <c r="M94" s="12"/>
      <c r="N94" s="12"/>
      <c r="O94" s="12"/>
      <c r="P94" s="12"/>
      <c r="Q94" s="12"/>
    </row>
    <row r="95" spans="1:17" ht="15.75" customHeight="1" x14ac:dyDescent="0.15">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x14ac:dyDescent="0.15">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42"/>
      <c r="G99" s="94" t="s">
        <v>188</v>
      </c>
    </row>
    <row r="100" spans="1:17" ht="15.75" customHeight="1" x14ac:dyDescent="0.15">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x14ac:dyDescent="0.15">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x14ac:dyDescent="0.15">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x14ac:dyDescent="0.15">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x14ac:dyDescent="0.15">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x14ac:dyDescent="0.15">
      <c r="A105" s="10"/>
      <c r="E105" s="242"/>
    </row>
    <row r="106" spans="1:17" ht="15.75" customHeight="1" x14ac:dyDescent="0.15">
      <c r="A106" s="10"/>
      <c r="B106" s="88" t="s">
        <v>189</v>
      </c>
      <c r="C106" s="25"/>
      <c r="D106" s="25"/>
      <c r="E106" s="243"/>
      <c r="F106" s="25"/>
      <c r="G106" s="94" t="s">
        <v>188</v>
      </c>
      <c r="H106" s="12"/>
      <c r="I106" s="12"/>
      <c r="J106" s="12"/>
      <c r="K106" s="12"/>
      <c r="L106" s="12"/>
      <c r="M106" s="12"/>
      <c r="N106" s="12"/>
      <c r="O106" s="12"/>
      <c r="P106" s="12"/>
      <c r="Q106" s="12"/>
    </row>
    <row r="107" spans="1:17" ht="15.75" customHeight="1" x14ac:dyDescent="0.15">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x14ac:dyDescent="0.15">
      <c r="A110" s="10"/>
      <c r="E110" s="242"/>
    </row>
    <row r="111" spans="1:17" ht="15.75" customHeight="1" x14ac:dyDescent="0.15">
      <c r="A111" s="10"/>
      <c r="B111" s="61" t="s">
        <v>48</v>
      </c>
      <c r="E111" s="242"/>
    </row>
    <row r="112" spans="1:17" ht="15.75" customHeight="1" x14ac:dyDescent="0.15">
      <c r="A112" s="10"/>
      <c r="B112" s="2" t="s">
        <v>306</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x14ac:dyDescent="0.15">
      <c r="A113" s="10"/>
      <c r="B113" s="2" t="s">
        <v>307</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x14ac:dyDescent="0.15">
      <c r="A114" s="10"/>
      <c r="E114" s="242"/>
    </row>
    <row r="115" spans="1:17" ht="15.75" customHeight="1" x14ac:dyDescent="0.15">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0.41544958439449353</v>
      </c>
      <c r="E116" s="242"/>
      <c r="G116" s="22">
        <f t="shared" ref="G116:Q116" si="44">IF(G4="","",G77)</f>
        <v>0.51460063887624929</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x14ac:dyDescent="0.15">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x14ac:dyDescent="0.15">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x14ac:dyDescent="0.15">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1" t="s">
        <v>141</v>
      </c>
      <c r="C122" s="162"/>
      <c r="D122" s="26"/>
      <c r="E122" s="239"/>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60">
        <f>C14*$C$3/Common_Shares*Exchange_Rate</f>
        <v>0.16307394337009629</v>
      </c>
      <c r="D123" s="26"/>
      <c r="E123" s="239"/>
      <c r="F123" s="26"/>
      <c r="G123" s="160">
        <f t="shared" ref="G123:Q123" si="48">IF(G$4="","",G14*$C$3/Common_Shares*Exchange_Rate)</f>
        <v>0.29680736829349108</v>
      </c>
      <c r="H123" s="160">
        <f t="shared" si="48"/>
        <v>0.49293780959360128</v>
      </c>
      <c r="I123" s="160">
        <f t="shared" si="48"/>
        <v>0.34729679444034101</v>
      </c>
      <c r="J123" s="160">
        <f t="shared" si="48"/>
        <v>0.38000999612295283</v>
      </c>
      <c r="K123" s="160">
        <f t="shared" si="48"/>
        <v>0.32502847488751863</v>
      </c>
      <c r="L123" s="160">
        <f t="shared" si="48"/>
        <v>0.29553237207772143</v>
      </c>
      <c r="M123" s="160">
        <f t="shared" si="48"/>
        <v>0.27589195291859731</v>
      </c>
      <c r="N123" s="160">
        <f t="shared" si="48"/>
        <v>0.16846424935786589</v>
      </c>
      <c r="O123" s="160">
        <f t="shared" si="48"/>
        <v>0.13163041716341178</v>
      </c>
      <c r="P123" s="160">
        <f t="shared" si="48"/>
        <v>0.10396064169677659</v>
      </c>
      <c r="Q123" s="160" t="str">
        <f t="shared" si="48"/>
        <v/>
      </c>
    </row>
    <row r="124" spans="1:17" ht="15.75" customHeight="1" x14ac:dyDescent="0.15">
      <c r="A124" s="10"/>
      <c r="B124" s="26" t="s">
        <v>226</v>
      </c>
      <c r="C124" s="74">
        <f>C19*Exchange_Rate*$C$3/(Market_Price*Common_Shares)</f>
        <v>5.7218927498279393E-2</v>
      </c>
      <c r="D124" s="26"/>
      <c r="E124" s="239"/>
      <c r="F124" s="26"/>
      <c r="G124" s="74">
        <f t="shared" ref="G124" si="49">IF(G$4="","",G123/Market_Price)</f>
        <v>0.10414293624333019</v>
      </c>
      <c r="H124" s="74">
        <f t="shared" ref="H124" si="50">IF(H$4="","",H123/Market_Price)</f>
        <v>0.17296063494512326</v>
      </c>
      <c r="I124" s="74">
        <f t="shared" ref="I124" si="51">IF(I$4="","",I123/Market_Price)</f>
        <v>0.12185852436503193</v>
      </c>
      <c r="J124" s="74">
        <f t="shared" ref="J124" si="52">IF(J$4="","",J123/Market_Price)</f>
        <v>0.13333684074489571</v>
      </c>
      <c r="K124" s="74">
        <f t="shared" ref="K124" si="53">IF(K$4="","",K123/Market_Price)</f>
        <v>0.11404507890790126</v>
      </c>
      <c r="L124" s="74">
        <f t="shared" ref="L124" si="54">IF(L$4="","",L123/Market_Price)</f>
        <v>0.10369556915007769</v>
      </c>
      <c r="M124" s="74">
        <f t="shared" ref="M124" si="55">IF(M$4="","",M123/Market_Price)</f>
        <v>9.6804194006525374E-2</v>
      </c>
      <c r="N124" s="74">
        <f t="shared" ref="N124" si="56">IF(N$4="","",N123/Market_Price)</f>
        <v>5.911026293258452E-2</v>
      </c>
      <c r="O124" s="74">
        <f t="shared" ref="O124" si="57">IF(O$4="","",O123/Market_Price)</f>
        <v>4.6186111285407644E-2</v>
      </c>
      <c r="P124" s="74">
        <f t="shared" ref="P124" si="58">IF(P$4="","",P123/Market_Price)</f>
        <v>3.6477418139219855E-2</v>
      </c>
      <c r="Q124" s="74" t="str">
        <f t="shared" ref="Q124" si="59">IF(Q$4="","",Q123/Market_Price)</f>
        <v/>
      </c>
    </row>
    <row r="125" spans="1:17" ht="15.75" customHeight="1" x14ac:dyDescent="0.15">
      <c r="B125" s="2" t="s">
        <v>309</v>
      </c>
      <c r="C125" s="152"/>
      <c r="G125" s="22">
        <f>IF(G$4="","",(Data!C47*$C$3)/(Market_Price*Common_Shares))</f>
        <v>7.5220399173817815E-2</v>
      </c>
      <c r="H125" s="22">
        <f>IF(H$4="","",(Data!D47*$C$3)/(Market_Price*Common_Shares))</f>
        <v>0.14760639071219714</v>
      </c>
      <c r="I125" s="22">
        <f>IF(I$4="","",(Data!E47*$C$3)/(Market_Price*Common_Shares))</f>
        <v>0.1226220100251547</v>
      </c>
      <c r="J125" s="22">
        <f>IF(J$4="","",(Data!F47*$C$3)/(Market_Price*Common_Shares))</f>
        <v>0.13455783065218924</v>
      </c>
      <c r="K125" s="22">
        <f>IF(K$4="","",(Data!G47*$C$3)/(Market_Price*Common_Shares))</f>
        <v>0.11454167952805411</v>
      </c>
      <c r="L125" s="22">
        <f>IF(L$4="","",(Data!H47*$C$3)/(Market_Price*Common_Shares))</f>
        <v>0.11121631740037266</v>
      </c>
      <c r="M125" s="22">
        <f>IF(M$4="","",(Data!I47*$C$3)/(Market_Price*Common_Shares))</f>
        <v>9.3113920801915398E-2</v>
      </c>
      <c r="N125" s="22">
        <f>IF(N$4="","",(Data!J47*$C$3)/(Market_Price*Common_Shares))</f>
        <v>8.3213156457422194E-2</v>
      </c>
      <c r="O125" s="22">
        <f>IF(O$4="","",(Data!K47*$C$3)/(Market_Price*Common_Shares))</f>
        <v>6.7835965663411588E-2</v>
      </c>
      <c r="P125" s="22">
        <f>IF(P$4="","",(Data!L47*$C$3)/(Market_Price*Common_Shares))</f>
        <v>5.5231472882893935E-2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433</v>
      </c>
      <c r="H3" s="106" t="s">
        <v>422</v>
      </c>
    </row>
    <row r="4" spans="2:15" x14ac:dyDescent="0.15">
      <c r="B4" s="97" t="s">
        <v>398</v>
      </c>
      <c r="C4" s="283">
        <f>Normalized_FCF!C19</f>
        <v>347072.73055558326</v>
      </c>
      <c r="D4" t="str">
        <f>Reporting_currency</f>
        <v>CNY</v>
      </c>
      <c r="E4" s="136" t="s">
        <v>440</v>
      </c>
      <c r="F4" s="283">
        <f>-BS!G31</f>
        <v>-134804</v>
      </c>
      <c r="G4" t="str">
        <f>Reporting_currency</f>
        <v>CNY</v>
      </c>
      <c r="H4" s="316" t="s">
        <v>399</v>
      </c>
      <c r="I4" s="313">
        <f>Normalized_FCF!C4</f>
        <v>1454238.7999999998</v>
      </c>
      <c r="J4" s="313"/>
    </row>
    <row r="5" spans="2:15" x14ac:dyDescent="0.15">
      <c r="B5" s="188" t="s">
        <v>105</v>
      </c>
      <c r="C5" s="189">
        <f>Equity_Cost</f>
        <v>7.4999999999999997E-2</v>
      </c>
      <c r="E5" s="136" t="s">
        <v>441</v>
      </c>
      <c r="F5" s="283">
        <f>BS!D66</f>
        <v>1507763.8216088</v>
      </c>
      <c r="G5" t="str">
        <f>Reporting_currency</f>
        <v>CNY</v>
      </c>
      <c r="H5" s="316" t="s">
        <v>401</v>
      </c>
      <c r="I5" s="313">
        <f>Normalized_FCF!C7</f>
        <v>-486720</v>
      </c>
      <c r="J5" s="313"/>
    </row>
    <row r="6" spans="2:15" ht="13.25" customHeight="1" x14ac:dyDescent="0.15">
      <c r="B6" s="137" t="s">
        <v>194</v>
      </c>
      <c r="C6" s="291">
        <f>(C4*(1+Terminal_Growth))/(Equity_Cost-Terminal_Growth)</f>
        <v>4627636.4074077774</v>
      </c>
      <c r="D6" t="str">
        <f>Reporting_currency</f>
        <v>CNY</v>
      </c>
      <c r="E6" s="188" t="s">
        <v>442</v>
      </c>
      <c r="F6" s="292">
        <f>BS!H42</f>
        <v>187786.09999999998</v>
      </c>
      <c r="G6" t="str">
        <f>Reporting_currency</f>
        <v>CNY</v>
      </c>
      <c r="H6" s="316" t="s">
        <v>424</v>
      </c>
      <c r="I6" s="313">
        <f>I7+I8</f>
        <v>-7249.7949296527995</v>
      </c>
      <c r="J6" s="313"/>
      <c r="N6" s="136"/>
    </row>
    <row r="7" spans="2:15" ht="12.75" customHeight="1" x14ac:dyDescent="0.15">
      <c r="B7" s="326" t="s">
        <v>439</v>
      </c>
      <c r="C7" s="283">
        <f>F7</f>
        <v>1560745.9216088001</v>
      </c>
      <c r="E7" s="141" t="s">
        <v>433</v>
      </c>
      <c r="F7" s="291">
        <f>SUM(F4:F6)</f>
        <v>1560745.9216088001</v>
      </c>
      <c r="G7" t="str">
        <f>Reporting_currency</f>
        <v>CNY</v>
      </c>
      <c r="H7" s="320" t="s">
        <v>425</v>
      </c>
      <c r="I7" s="321">
        <f>Normalized_FCF!C9</f>
        <v>-2798</v>
      </c>
      <c r="J7" s="321"/>
      <c r="N7" s="312"/>
      <c r="O7" s="312"/>
    </row>
    <row r="8" spans="2:15" ht="14" x14ac:dyDescent="0.15">
      <c r="B8" s="137" t="s">
        <v>435</v>
      </c>
      <c r="C8" s="291">
        <f>C6+C7</f>
        <v>6188382.3290165775</v>
      </c>
      <c r="D8" t="str">
        <f>Reporting_currency</f>
        <v>CNY</v>
      </c>
      <c r="E8" s="141" t="s">
        <v>473</v>
      </c>
      <c r="F8" s="108">
        <f>FV_adjustments*scaling_factor/Common_Shares*Exchange_Rate</f>
        <v>0.73332465972800365</v>
      </c>
      <c r="G8" s="302" t="str">
        <f>Market_currency</f>
        <v>HKD</v>
      </c>
      <c r="H8" s="322" t="str">
        <f>Normalized_FCF!B10</f>
        <v>Net Interest Income</v>
      </c>
      <c r="I8" s="321">
        <f>Normalized_FCF!C10</f>
        <v>-4451.7949296527995</v>
      </c>
      <c r="J8" s="321"/>
      <c r="N8" s="312"/>
      <c r="O8" s="312"/>
    </row>
    <row r="9" spans="2:15" ht="14" thickBot="1" x14ac:dyDescent="0.2">
      <c r="B9" s="190" t="str">
        <f>"*"&amp;Thesis!E15</f>
        <v>*CNY/HKD</v>
      </c>
      <c r="C9" s="191">
        <f>Exchange_Rate</f>
        <v>1.0900000000000001</v>
      </c>
      <c r="D9" t="str">
        <f>Thesis!E15</f>
        <v>CNY/HKD</v>
      </c>
      <c r="F9" s="331"/>
      <c r="H9" s="316" t="str">
        <f>Normalized_FCF!B79</f>
        <v>NCI’s Share of Profits</v>
      </c>
      <c r="I9" s="145">
        <f>Normalized_FCF!C79</f>
        <v>7.2924369950228912E-2</v>
      </c>
      <c r="J9" s="314"/>
      <c r="N9" s="312"/>
      <c r="O9" s="312"/>
    </row>
    <row r="10" spans="2:15" ht="14" thickTop="1" x14ac:dyDescent="0.15">
      <c r="B10" s="107" t="s">
        <v>436</v>
      </c>
      <c r="C10" s="291">
        <f>C8*Exchange_Rate</f>
        <v>6745336.7386280699</v>
      </c>
      <c r="D10" t="str">
        <f>Market_currency</f>
        <v>HKD</v>
      </c>
      <c r="H10" s="316" t="s">
        <v>403</v>
      </c>
      <c r="I10" s="314">
        <f>Normalized_FCF!C41</f>
        <v>0.25</v>
      </c>
      <c r="N10" s="312"/>
      <c r="O10" s="312"/>
    </row>
    <row r="11" spans="2:15" x14ac:dyDescent="0.15">
      <c r="B11" s="137" t="s">
        <v>434</v>
      </c>
      <c r="C11" s="108">
        <f>(C10*scaling_factor)/Common_Shares</f>
        <v>2.907643904662621</v>
      </c>
      <c r="D11" t="str">
        <f>Market_currency</f>
        <v>HKD</v>
      </c>
      <c r="E11" s="315"/>
      <c r="I11" s="315"/>
      <c r="J11" s="315"/>
    </row>
    <row r="13" spans="2:15" ht="16" x14ac:dyDescent="0.25">
      <c r="B13" s="34" t="s">
        <v>437</v>
      </c>
      <c r="C13" s="35"/>
      <c r="D13" s="35"/>
      <c r="E13" s="35"/>
      <c r="F13" s="35"/>
      <c r="G13" s="35"/>
      <c r="H13" s="35"/>
      <c r="I13" s="35"/>
      <c r="J13" s="35"/>
      <c r="K13" s="35"/>
      <c r="L13" s="35"/>
    </row>
    <row r="14" spans="2:15" x14ac:dyDescent="0.15">
      <c r="B14" s="106" t="s">
        <v>405</v>
      </c>
      <c r="C14" s="317" t="s">
        <v>413</v>
      </c>
      <c r="E14" s="106" t="s">
        <v>405</v>
      </c>
      <c r="F14" s="317" t="str">
        <f>IF(F17=C17,"I","II")</f>
        <v>I</v>
      </c>
      <c r="H14" s="106" t="s">
        <v>421</v>
      </c>
    </row>
    <row r="15" spans="2:15" x14ac:dyDescent="0.15">
      <c r="B15" s="140" t="s">
        <v>430</v>
      </c>
      <c r="C15" s="149">
        <f>Scenarios!C45</f>
        <v>5</v>
      </c>
      <c r="E15" s="316" t="str">
        <f>IF(F14="II","Change year","Terminal Year")</f>
        <v>Terminal Year</v>
      </c>
      <c r="F15" s="318">
        <f>IF(F14="II",_xlfn.CEILING.MATH(C15/2),C15+1)</f>
        <v>6</v>
      </c>
      <c r="H15" s="97" t="s">
        <v>438</v>
      </c>
      <c r="I15" s="127">
        <f>Terminal_Growth</f>
        <v>0</v>
      </c>
      <c r="J15" s="127"/>
    </row>
    <row r="16" spans="2:15" ht="13.25" customHeight="1" x14ac:dyDescent="0.15">
      <c r="B16" s="114" t="s">
        <v>431</v>
      </c>
      <c r="C16" s="148">
        <f>Scenarios!C46</f>
        <v>1.8613012126595961E-2</v>
      </c>
      <c r="E16" s="316" t="s">
        <v>406</v>
      </c>
      <c r="F16" s="319">
        <f>Scenarios!C41</f>
        <v>1.8613012126595961E-2</v>
      </c>
    </row>
    <row r="17" spans="1:21" ht="13.25" customHeight="1" x14ac:dyDescent="0.15">
      <c r="B17" s="316" t="s">
        <v>400</v>
      </c>
      <c r="C17" s="314">
        <f>Normalized_FCF!C32</f>
        <v>0.24487456943110034</v>
      </c>
      <c r="E17" s="316" t="s">
        <v>407</v>
      </c>
      <c r="F17" s="319">
        <f>Scenarios!C40</f>
        <v>0.24487456943110034</v>
      </c>
      <c r="H17" s="106" t="s">
        <v>420</v>
      </c>
    </row>
    <row r="18" spans="1:21" ht="13.25" customHeight="1" x14ac:dyDescent="0.15">
      <c r="B18" s="316" t="s">
        <v>432</v>
      </c>
      <c r="C18" s="314">
        <f>Normalized_FCF!C81-Normalized_FCF!C82</f>
        <v>0</v>
      </c>
      <c r="E18" s="316" t="s">
        <v>432</v>
      </c>
      <c r="F18" s="145">
        <f>IF(F14="II",C18/2,C18)</f>
        <v>0</v>
      </c>
      <c r="H18" s="141" t="s">
        <v>97</v>
      </c>
      <c r="I18" s="130">
        <f>(L52+FV_adjustments)*Exchange_Rate/Common_Shares*scaling_factor</f>
        <v>3.6001835392802444</v>
      </c>
      <c r="J18" t="str">
        <f>Market_currency</f>
        <v>HKD</v>
      </c>
    </row>
    <row r="19" spans="1:21" x14ac:dyDescent="0.15">
      <c r="L19" s="283"/>
    </row>
    <row r="20" spans="1:21" ht="14" x14ac:dyDescent="0.2">
      <c r="A20" s="122" t="s">
        <v>405</v>
      </c>
      <c r="B20" s="122" t="s">
        <v>98</v>
      </c>
      <c r="C20" s="122" t="s">
        <v>399</v>
      </c>
      <c r="D20" s="122" t="s">
        <v>102</v>
      </c>
      <c r="E20" s="122" t="s">
        <v>400</v>
      </c>
      <c r="F20" s="122" t="s">
        <v>401</v>
      </c>
      <c r="G20" s="122" t="s">
        <v>555</v>
      </c>
      <c r="H20" s="122" t="str">
        <f>B18</f>
        <v>D&amp;A - maint. Capx</v>
      </c>
      <c r="I20" s="122" t="s">
        <v>427</v>
      </c>
      <c r="J20" s="122" t="s">
        <v>539</v>
      </c>
      <c r="K20" s="122" t="s">
        <v>540</v>
      </c>
      <c r="L20" s="123" t="s">
        <v>428</v>
      </c>
    </row>
    <row r="21" spans="1:21" x14ac:dyDescent="0.15">
      <c r="A21" s="310" t="str">
        <f t="shared" ref="A21:A50" si="0">IF($C$15&lt;B21,"",IF(B21&gt;=$F$15,"II","I"))</f>
        <v>I</v>
      </c>
      <c r="B21" s="118">
        <v>1</v>
      </c>
      <c r="C21" s="285">
        <f>I4*(1+D21)</f>
        <v>1481306.5644193662</v>
      </c>
      <c r="D21" s="307">
        <f t="shared" ref="D21:D50" si="1">IF(A21="",0,IF(A21="I",$C$16,$F$16))</f>
        <v>1.8613012126595961E-2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0.93023255813953487</v>
      </c>
      <c r="L21" s="285">
        <f t="shared" ref="L21:L50" si="4">I21*K21</f>
        <v>328961.86501295894</v>
      </c>
    </row>
    <row r="22" spans="1:21" x14ac:dyDescent="0.15">
      <c r="A22" s="310" t="str">
        <f t="shared" si="0"/>
        <v>I</v>
      </c>
      <c r="B22" s="118">
        <v>2</v>
      </c>
      <c r="C22" s="285">
        <f t="shared" ref="C22:C50" si="5">IF(A22="",0,C21*(1+D22))</f>
        <v>1508878.14146611</v>
      </c>
      <c r="D22" s="307">
        <f t="shared" si="1"/>
        <v>1.8613012126595961E-2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0.86533261222282321</v>
      </c>
      <c r="L22" s="285">
        <f t="shared" si="4"/>
        <v>311794.40069314104</v>
      </c>
    </row>
    <row r="23" spans="1:21" x14ac:dyDescent="0.15">
      <c r="A23" s="310" t="str">
        <f t="shared" si="0"/>
        <v>I</v>
      </c>
      <c r="B23" s="118">
        <v>3</v>
      </c>
      <c r="C23" s="285">
        <f t="shared" si="5"/>
        <v>1536962.9086107742</v>
      </c>
      <c r="D23" s="307">
        <f t="shared" si="1"/>
        <v>1.8613012126595961E-2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0.80496056950960304</v>
      </c>
      <c r="L23" s="285">
        <f t="shared" si="4"/>
        <v>295521.31160870468</v>
      </c>
      <c r="N23" s="283"/>
      <c r="O23" s="283"/>
      <c r="P23" s="283"/>
      <c r="Q23" s="283"/>
      <c r="R23" s="283"/>
      <c r="S23" s="283"/>
      <c r="T23" s="283"/>
      <c r="U23" s="283"/>
    </row>
    <row r="24" spans="1:21" x14ac:dyDescent="0.15">
      <c r="A24" s="310" t="str">
        <f t="shared" si="0"/>
        <v>I</v>
      </c>
      <c r="B24" s="118">
        <v>4</v>
      </c>
      <c r="C24" s="285">
        <f t="shared" si="5"/>
        <v>1565570.4178668747</v>
      </c>
      <c r="D24" s="307">
        <f t="shared" si="1"/>
        <v>1.8613012126595961E-2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0.7488005297763749</v>
      </c>
      <c r="L24" s="285">
        <f t="shared" si="4"/>
        <v>280096.11136212555</v>
      </c>
      <c r="N24" s="283"/>
      <c r="O24" s="283"/>
      <c r="P24" s="283"/>
      <c r="Q24" s="283"/>
      <c r="R24" s="283"/>
      <c r="S24" s="283"/>
      <c r="T24" s="283"/>
      <c r="U24" s="283"/>
    </row>
    <row r="25" spans="1:21" x14ac:dyDescent="0.15">
      <c r="A25" s="310" t="str">
        <f t="shared" si="0"/>
        <v>I</v>
      </c>
      <c r="B25" s="118">
        <v>5</v>
      </c>
      <c r="C25" s="285">
        <f t="shared" si="5"/>
        <v>1594710.3990396708</v>
      </c>
      <c r="D25" s="307">
        <f t="shared" si="1"/>
        <v>1.8613012126595961E-2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0.69655863235011617</v>
      </c>
      <c r="L25" s="285">
        <f t="shared" si="4"/>
        <v>265474.72216716083</v>
      </c>
      <c r="N25" s="283"/>
      <c r="O25" s="283"/>
      <c r="P25" s="283"/>
      <c r="Q25" s="283"/>
      <c r="R25" s="283"/>
      <c r="S25" s="283"/>
      <c r="T25" s="283"/>
      <c r="U25" s="283"/>
    </row>
    <row r="26" spans="1:21" x14ac:dyDescent="0.15">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x14ac:dyDescent="0.15">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x14ac:dyDescent="0.15">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x14ac:dyDescent="0.15">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x14ac:dyDescent="0.15">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x14ac:dyDescent="0.15">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x14ac:dyDescent="0.15">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x14ac:dyDescent="0.15">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x14ac:dyDescent="0.15">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x14ac:dyDescent="0.15">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x14ac:dyDescent="0.15">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x14ac:dyDescent="0.15">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x14ac:dyDescent="0.15">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x14ac:dyDescent="0.15">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x14ac:dyDescent="0.15">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x14ac:dyDescent="0.15">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x14ac:dyDescent="0.15">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x14ac:dyDescent="0.15">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x14ac:dyDescent="0.15">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x14ac:dyDescent="0.15">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x14ac:dyDescent="0.15">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x14ac:dyDescent="0.15">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x14ac:dyDescent="0.15">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x14ac:dyDescent="0.15">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x14ac:dyDescent="0.15">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x14ac:dyDescent="0.15">
      <c r="A51" s="323" t="s">
        <v>426</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(G51+C51*H51)*(1-$I$10)/Equity_Cost</f>
        <v>6632220.634714039</v>
      </c>
      <c r="J51" s="424">
        <f>(G51+C51*H51)*(1-$I$10)/VLOOKUP(C15,B21:I50,8,FALSE)-1</f>
        <v>0.3051328852653632</v>
      </c>
      <c r="K51" s="120">
        <f>1/(1+Equity_Cost)^C15</f>
        <v>0.69655863235011617</v>
      </c>
      <c r="L51" s="285">
        <f>I51*K51</f>
        <v>4619730.5347606307</v>
      </c>
    </row>
    <row r="52" spans="1:21" x14ac:dyDescent="0.15">
      <c r="G52" s="111"/>
      <c r="H52" s="111"/>
      <c r="I52" s="111"/>
      <c r="J52" s="463" t="s">
        <v>429</v>
      </c>
      <c r="K52" s="463"/>
      <c r="L52" s="325">
        <f>SUM(L21:L51)</f>
        <v>6101578.945604722</v>
      </c>
    </row>
    <row r="53" spans="1:21" x14ac:dyDescent="0.15">
      <c r="C53" s="111"/>
    </row>
    <row r="54" spans="1:21" x14ac:dyDescent="0.15">
      <c r="B54" s="115" t="s">
        <v>108</v>
      </c>
      <c r="C54" s="129"/>
      <c r="D54" s="129"/>
      <c r="E54" s="113"/>
      <c r="F54" s="113"/>
      <c r="G54" s="113"/>
      <c r="H54" s="113"/>
      <c r="I54" s="113"/>
      <c r="J54" s="113"/>
      <c r="K54" s="113"/>
      <c r="L54" s="113"/>
    </row>
    <row r="55" spans="1:21" x14ac:dyDescent="0.15">
      <c r="A55" s="126">
        <f>L52</f>
        <v>6101578.945604722</v>
      </c>
      <c r="B55" s="124">
        <f>C78</f>
        <v>-0.1</v>
      </c>
      <c r="C55" s="124">
        <f>C77</f>
        <v>0.01</v>
      </c>
      <c r="D55" s="124">
        <f>C76</f>
        <v>0.02</v>
      </c>
      <c r="E55" s="124">
        <f>C75</f>
        <v>0.03</v>
      </c>
      <c r="F55" s="124">
        <f>C74</f>
        <v>0.08</v>
      </c>
      <c r="G55" s="124"/>
      <c r="H55" s="124"/>
      <c r="I55" s="124"/>
      <c r="J55" s="124"/>
      <c r="K55" s="124"/>
      <c r="L55" s="124"/>
    </row>
    <row r="56" spans="1:21" x14ac:dyDescent="0.15">
      <c r="A56" s="132">
        <v>5</v>
      </c>
      <c r="B56" s="119">
        <f t="dataTable" ref="B56:F61" dt2D="1" dtr="1" r1="C16" r2="C15"/>
        <v>3509548.9067757959</v>
      </c>
      <c r="C56" s="119">
        <v>5871060.8169498891</v>
      </c>
      <c r="D56" s="119">
        <v>6139394.746508453</v>
      </c>
      <c r="E56" s="119">
        <v>6417853.549433928</v>
      </c>
      <c r="F56" s="119">
        <v>7972444.0677513061</v>
      </c>
      <c r="G56" s="303"/>
      <c r="H56" s="303"/>
      <c r="I56" s="303"/>
      <c r="J56" s="303"/>
      <c r="K56" s="303"/>
      <c r="L56" s="303"/>
    </row>
    <row r="57" spans="1:21" x14ac:dyDescent="0.15">
      <c r="A57" s="132">
        <v>10</v>
      </c>
      <c r="B57" s="119">
        <v>2468076.7266450538</v>
      </c>
      <c r="C57" s="119">
        <v>5746189.4977070298</v>
      </c>
      <c r="D57" s="119">
        <v>6214582.1406233367</v>
      </c>
      <c r="E57" s="119">
        <v>6721655.7214456452</v>
      </c>
      <c r="F57" s="119">
        <v>9948581.4062245712</v>
      </c>
      <c r="G57" s="303"/>
      <c r="H57" s="303"/>
      <c r="I57" s="303"/>
      <c r="J57" s="303"/>
      <c r="K57" s="303"/>
      <c r="L57" s="303"/>
    </row>
    <row r="58" spans="1:21" x14ac:dyDescent="0.15">
      <c r="A58" s="132">
        <v>15</v>
      </c>
      <c r="B58" s="119">
        <v>2039707.8598114038</v>
      </c>
      <c r="C58" s="285">
        <v>5654772.4382328764</v>
      </c>
      <c r="D58" s="119">
        <v>6272405.5334528992</v>
      </c>
      <c r="E58" s="119">
        <v>6966976.6934463568</v>
      </c>
      <c r="F58" s="119">
        <v>11971104.924028479</v>
      </c>
      <c r="G58" s="303"/>
      <c r="H58" s="303"/>
      <c r="I58" s="303"/>
      <c r="J58" s="303"/>
      <c r="K58" s="303"/>
      <c r="L58" s="303"/>
      <c r="M58" s="283"/>
      <c r="N58" s="283"/>
      <c r="O58" s="283"/>
      <c r="P58" s="283"/>
      <c r="Q58" s="283"/>
      <c r="R58" s="283"/>
      <c r="S58" s="283"/>
      <c r="T58" s="283"/>
      <c r="U58" s="283"/>
    </row>
    <row r="59" spans="1:21" x14ac:dyDescent="0.15">
      <c r="A59" s="133">
        <v>20</v>
      </c>
      <c r="B59" s="119">
        <v>1863515.0727421327</v>
      </c>
      <c r="C59" s="285">
        <v>5587846.911910478</v>
      </c>
      <c r="D59" s="119">
        <v>6316875.0192980003</v>
      </c>
      <c r="E59" s="119">
        <v>7165073.9582053907</v>
      </c>
      <c r="F59" s="119">
        <v>14041103.451170441</v>
      </c>
      <c r="G59" s="303"/>
      <c r="H59" s="303"/>
      <c r="I59" s="303"/>
      <c r="J59" s="303"/>
      <c r="K59" s="303"/>
      <c r="L59" s="303"/>
      <c r="M59" s="283"/>
      <c r="N59" s="283"/>
      <c r="O59" s="283"/>
      <c r="P59" s="283"/>
      <c r="Q59" s="283"/>
      <c r="R59" s="283"/>
      <c r="S59" s="283"/>
      <c r="T59" s="283"/>
      <c r="U59" s="283"/>
    </row>
    <row r="60" spans="1:21" x14ac:dyDescent="0.15">
      <c r="A60" s="133">
        <v>25</v>
      </c>
      <c r="B60" s="119">
        <v>1791045.0577181585</v>
      </c>
      <c r="C60" s="285">
        <v>5538851.3951076595</v>
      </c>
      <c r="D60" s="119">
        <v>6351074.5893086437</v>
      </c>
      <c r="E60" s="119">
        <v>7325037.9677434601</v>
      </c>
      <c r="F60" s="119">
        <v>16159691.375934105</v>
      </c>
      <c r="G60" s="303"/>
      <c r="H60" s="303"/>
      <c r="I60" s="303"/>
      <c r="J60" s="303"/>
      <c r="K60" s="303"/>
      <c r="L60" s="303"/>
      <c r="M60" s="283"/>
      <c r="N60" s="283"/>
      <c r="O60" s="283"/>
      <c r="P60" s="283"/>
      <c r="Q60" s="283"/>
      <c r="R60" s="283"/>
      <c r="S60" s="283"/>
      <c r="T60" s="283"/>
      <c r="U60" s="283"/>
    </row>
    <row r="61" spans="1:21" x14ac:dyDescent="0.15">
      <c r="A61" s="133">
        <v>30</v>
      </c>
      <c r="B61" s="119">
        <v>1761237.3501216481</v>
      </c>
      <c r="C61" s="285">
        <v>5502982.2611809243</v>
      </c>
      <c r="D61" s="119">
        <v>6377376.0085107237</v>
      </c>
      <c r="E61" s="119">
        <v>7454209.2835545167</v>
      </c>
      <c r="F61" s="119">
        <v>18328009.244812761</v>
      </c>
      <c r="G61" s="303"/>
      <c r="H61" s="303"/>
      <c r="I61" s="303"/>
      <c r="J61" s="303"/>
      <c r="K61" s="303"/>
      <c r="L61" s="303"/>
      <c r="M61" s="283"/>
      <c r="N61" s="283"/>
      <c r="O61" s="283"/>
      <c r="P61" s="283"/>
      <c r="Q61" s="283"/>
      <c r="R61" s="283"/>
      <c r="S61" s="283"/>
      <c r="T61" s="283"/>
      <c r="U61" s="283"/>
    </row>
    <row r="62" spans="1:21" x14ac:dyDescent="0.15">
      <c r="C62" s="283"/>
      <c r="D62" s="111"/>
      <c r="E62" s="111"/>
      <c r="F62" s="111"/>
      <c r="G62" s="111"/>
      <c r="H62" s="111"/>
      <c r="I62" s="111"/>
      <c r="J62" s="111"/>
      <c r="K62" s="111"/>
      <c r="L62" s="111"/>
      <c r="M62" s="283"/>
      <c r="N62" s="283"/>
      <c r="O62" s="283"/>
      <c r="P62" s="283"/>
      <c r="Q62" s="283"/>
      <c r="R62" s="283"/>
      <c r="S62" s="283"/>
      <c r="T62" s="283"/>
      <c r="U62" s="283"/>
    </row>
    <row r="63" spans="1:21" x14ac:dyDescent="0.15">
      <c r="B63" s="115" t="s">
        <v>109</v>
      </c>
      <c r="C63" s="283"/>
      <c r="D63" s="111"/>
      <c r="E63" s="111"/>
      <c r="F63" s="111"/>
      <c r="G63" s="111"/>
      <c r="H63" s="111"/>
      <c r="I63" s="111"/>
      <c r="J63" s="111"/>
      <c r="K63" s="111"/>
      <c r="L63" s="111"/>
      <c r="M63" s="283"/>
      <c r="N63" s="283"/>
      <c r="O63" s="283"/>
      <c r="P63" s="283"/>
      <c r="Q63" s="283"/>
      <c r="R63" s="283"/>
      <c r="S63" s="283"/>
      <c r="T63" s="283"/>
      <c r="U63" s="283"/>
    </row>
    <row r="64" spans="1:21" x14ac:dyDescent="0.15">
      <c r="B64" s="125">
        <f>B55</f>
        <v>-0.1</v>
      </c>
      <c r="C64" s="125">
        <f>C55</f>
        <v>0.01</v>
      </c>
      <c r="D64" s="125">
        <f>D55</f>
        <v>0.02</v>
      </c>
      <c r="E64" s="125">
        <f>E55</f>
        <v>0.03</v>
      </c>
      <c r="F64" s="125">
        <f>F55</f>
        <v>0.08</v>
      </c>
      <c r="G64" s="125"/>
      <c r="H64" s="125"/>
      <c r="I64" s="125"/>
      <c r="J64" s="125"/>
      <c r="K64" s="125"/>
      <c r="L64" s="125"/>
    </row>
    <row r="65" spans="1:12" x14ac:dyDescent="0.15">
      <c r="A65" s="132">
        <v>0</v>
      </c>
      <c r="B65" s="120">
        <f>C11</f>
        <v>2.907643904662621</v>
      </c>
      <c r="C65" s="120">
        <f>C11</f>
        <v>2.907643904662621</v>
      </c>
      <c r="D65" s="120">
        <f>C11</f>
        <v>2.907643904662621</v>
      </c>
      <c r="E65" s="120">
        <f>C11</f>
        <v>2.907643904662621</v>
      </c>
      <c r="F65" s="120">
        <f>C11</f>
        <v>2.907643904662621</v>
      </c>
      <c r="G65" s="304"/>
      <c r="H65" s="304"/>
      <c r="I65" s="304"/>
      <c r="J65" s="304"/>
      <c r="K65" s="304"/>
      <c r="L65" s="304"/>
    </row>
    <row r="66" spans="1:12" x14ac:dyDescent="0.15">
      <c r="A66" s="132">
        <f t="shared" ref="A66:A71" si="11">A56</f>
        <v>5</v>
      </c>
      <c r="B66" s="120">
        <f t="shared" ref="B66:F71" si="12">(B56+FV_adjustments)/Common_Shares*scaling_factor*Exchange_Rate</f>
        <v>2.3823046264398617</v>
      </c>
      <c r="C66" s="120">
        <f t="shared" si="12"/>
        <v>3.4918733871174301</v>
      </c>
      <c r="D66" s="120">
        <f t="shared" si="12"/>
        <v>3.6179514917356226</v>
      </c>
      <c r="E66" s="120">
        <f t="shared" si="12"/>
        <v>3.7487868212254503</v>
      </c>
      <c r="F66" s="120">
        <f t="shared" si="12"/>
        <v>4.4792193324226286</v>
      </c>
      <c r="G66" s="304"/>
      <c r="H66" s="304"/>
      <c r="I66" s="304"/>
      <c r="J66" s="304"/>
      <c r="K66" s="304"/>
      <c r="L66" s="304"/>
    </row>
    <row r="67" spans="1:12" x14ac:dyDescent="0.15">
      <c r="A67" s="132">
        <f t="shared" si="11"/>
        <v>10</v>
      </c>
      <c r="B67" s="120">
        <f t="shared" si="12"/>
        <v>1.892963458517215</v>
      </c>
      <c r="C67" s="120">
        <f t="shared" si="12"/>
        <v>3.4332019426332656</v>
      </c>
      <c r="D67" s="120">
        <f t="shared" si="12"/>
        <v>3.6532786833314832</v>
      </c>
      <c r="E67" s="120">
        <f t="shared" si="12"/>
        <v>3.8915298656445416</v>
      </c>
      <c r="F67" s="120">
        <f t="shared" si="12"/>
        <v>5.4077178287172352</v>
      </c>
      <c r="G67" s="304"/>
      <c r="H67" s="304"/>
      <c r="I67" s="304"/>
      <c r="J67" s="304"/>
      <c r="K67" s="304"/>
      <c r="L67" s="304"/>
    </row>
    <row r="68" spans="1:12" x14ac:dyDescent="0.15">
      <c r="A68" s="132">
        <f t="shared" si="11"/>
        <v>15</v>
      </c>
      <c r="B68" s="120">
        <f t="shared" si="12"/>
        <v>1.6916920989963447</v>
      </c>
      <c r="C68" s="120">
        <f t="shared" si="12"/>
        <v>3.3902491576193436</v>
      </c>
      <c r="D68" s="120">
        <f t="shared" si="12"/>
        <v>3.6804473078231297</v>
      </c>
      <c r="E68" s="120">
        <f t="shared" si="12"/>
        <v>4.0067952114165974</v>
      </c>
      <c r="F68" s="120">
        <f t="shared" si="12"/>
        <v>6.3580111147356311</v>
      </c>
      <c r="G68" s="304"/>
      <c r="H68" s="304"/>
      <c r="I68" s="304"/>
      <c r="J68" s="304"/>
      <c r="K68" s="304"/>
      <c r="L68" s="304"/>
    </row>
    <row r="69" spans="1:12" x14ac:dyDescent="0.15">
      <c r="A69" s="133">
        <f t="shared" si="11"/>
        <v>20</v>
      </c>
      <c r="B69" s="120">
        <f t="shared" si="12"/>
        <v>1.6089069935956413</v>
      </c>
      <c r="C69" s="120">
        <f t="shared" si="12"/>
        <v>3.3588038479517066</v>
      </c>
      <c r="D69" s="120">
        <f t="shared" si="12"/>
        <v>3.7013415290567968</v>
      </c>
      <c r="E69" s="120">
        <f t="shared" si="12"/>
        <v>4.0998722505817708</v>
      </c>
      <c r="F69" s="120">
        <f t="shared" si="12"/>
        <v>7.3306107829693499</v>
      </c>
      <c r="G69" s="304"/>
      <c r="H69" s="304"/>
      <c r="I69" s="304"/>
      <c r="J69" s="304"/>
      <c r="K69" s="304"/>
      <c r="L69" s="304"/>
    </row>
    <row r="70" spans="1:12" x14ac:dyDescent="0.15">
      <c r="A70" s="133">
        <f t="shared" si="11"/>
        <v>25</v>
      </c>
      <c r="B70" s="120">
        <f t="shared" si="12"/>
        <v>1.5748565768223854</v>
      </c>
      <c r="C70" s="120">
        <f t="shared" si="12"/>
        <v>3.3357830473267152</v>
      </c>
      <c r="D70" s="120">
        <f t="shared" si="12"/>
        <v>3.7174103764544868</v>
      </c>
      <c r="E70" s="120">
        <f t="shared" si="12"/>
        <v>4.1750321797150889</v>
      </c>
      <c r="F70" s="120">
        <f t="shared" si="12"/>
        <v>8.326040434600106</v>
      </c>
      <c r="G70" s="304"/>
      <c r="H70" s="304"/>
      <c r="I70" s="304"/>
      <c r="J70" s="304"/>
      <c r="K70" s="304"/>
      <c r="L70" s="304"/>
    </row>
    <row r="71" spans="1:12" x14ac:dyDescent="0.15">
      <c r="A71" s="133">
        <f t="shared" si="11"/>
        <v>30</v>
      </c>
      <c r="B71" s="120">
        <f t="shared" si="12"/>
        <v>1.5608512690219007</v>
      </c>
      <c r="C71" s="120">
        <f t="shared" si="12"/>
        <v>3.3189297465636751</v>
      </c>
      <c r="D71" s="120">
        <f t="shared" si="12"/>
        <v>3.7297682362570916</v>
      </c>
      <c r="E71" s="120">
        <f t="shared" si="12"/>
        <v>4.2357240001467709</v>
      </c>
      <c r="F71" s="120">
        <f t="shared" si="12"/>
        <v>9.3448359613816532</v>
      </c>
      <c r="G71" s="304"/>
      <c r="H71" s="304"/>
      <c r="I71" s="304"/>
      <c r="J71" s="304"/>
      <c r="K71" s="304"/>
      <c r="L71" s="304"/>
    </row>
    <row r="73" spans="1:12" ht="14" x14ac:dyDescent="0.2">
      <c r="B73" s="154" t="s">
        <v>101</v>
      </c>
      <c r="C73" s="154" t="s">
        <v>110</v>
      </c>
      <c r="D73" s="154" t="s">
        <v>99</v>
      </c>
      <c r="E73" s="155" t="s">
        <v>100</v>
      </c>
      <c r="F73" s="155" t="s">
        <v>466</v>
      </c>
      <c r="G73" s="332"/>
      <c r="H73" s="332"/>
      <c r="I73" s="332"/>
      <c r="J73" s="332"/>
      <c r="K73" s="332"/>
      <c r="L73" s="332"/>
    </row>
    <row r="74" spans="1:12" x14ac:dyDescent="0.15">
      <c r="B74" s="121" t="str">
        <f>Scenarios!B29</f>
        <v>Snowball Scenario</v>
      </c>
      <c r="C74" s="131">
        <f>Scenarios!C29</f>
        <v>0.08</v>
      </c>
      <c r="D74" s="134">
        <f>Scenarios!D29</f>
        <v>5</v>
      </c>
      <c r="E74" s="128">
        <f>INDEX(B$65:F$71, MATCH(D74, A$65:A$71, 0), MATCH(C74, B$64:F$64, 0))</f>
        <v>4.4792193324226286</v>
      </c>
      <c r="F74" s="131">
        <f>Scenarios!F29</f>
        <v>0.05</v>
      </c>
      <c r="G74" s="305"/>
      <c r="H74" s="305"/>
      <c r="I74" s="305"/>
      <c r="J74" s="305"/>
      <c r="K74" s="305"/>
      <c r="L74" s="305"/>
    </row>
    <row r="75" spans="1:12" x14ac:dyDescent="0.15">
      <c r="B75" s="121" t="str">
        <f>Scenarios!B22</f>
        <v>Optimistic</v>
      </c>
      <c r="C75" s="131">
        <f>Scenarios!C22</f>
        <v>0.03</v>
      </c>
      <c r="D75" s="134">
        <f>Scenarios!D22</f>
        <v>5</v>
      </c>
      <c r="E75" s="128">
        <f>INDEX(B$65:F$71, MATCH(D75, A$65:A$71, 0), MATCH(C75, B$64:F$64, 0))</f>
        <v>3.7487868212254503</v>
      </c>
      <c r="F75" s="131">
        <f>Scenarios!F22*(1-F$74-F$78)</f>
        <v>0.18</v>
      </c>
      <c r="G75" s="305"/>
      <c r="H75" s="305"/>
      <c r="I75" s="305"/>
      <c r="J75" s="305"/>
      <c r="K75" s="305"/>
      <c r="L75" s="305"/>
    </row>
    <row r="76" spans="1:12" x14ac:dyDescent="0.15">
      <c r="B76" s="121" t="str">
        <f>Scenarios!B23</f>
        <v>Base</v>
      </c>
      <c r="C76" s="131">
        <f>Scenarios!C23</f>
        <v>0.02</v>
      </c>
      <c r="D76" s="134">
        <f>Scenarios!D23</f>
        <v>5</v>
      </c>
      <c r="E76" s="128">
        <f>INDEX(B$65:F$71, MATCH(D76, A$65:A$71, 0), MATCH(C76, B$64:F$64, 0))</f>
        <v>3.6179514917356226</v>
      </c>
      <c r="F76" s="131">
        <f>Scenarios!F23*(1-F$74-F$78)</f>
        <v>0.53999999999999992</v>
      </c>
      <c r="G76" s="305"/>
      <c r="H76" s="305"/>
      <c r="I76" s="305"/>
      <c r="J76" s="305"/>
      <c r="K76" s="305"/>
      <c r="L76" s="305"/>
    </row>
    <row r="77" spans="1:12" x14ac:dyDescent="0.15">
      <c r="B77" s="121" t="str">
        <f>Scenarios!B24</f>
        <v>Pessimistic</v>
      </c>
      <c r="C77" s="131">
        <f>Scenarios!C24</f>
        <v>0.01</v>
      </c>
      <c r="D77" s="134">
        <f>Scenarios!D24</f>
        <v>5</v>
      </c>
      <c r="E77" s="128">
        <f>INDEX(B$65:F$71, MATCH(D77, A$65:A$71, 0), MATCH(C77, B$64:F$64, 0))</f>
        <v>3.4918733871174301</v>
      </c>
      <c r="F77" s="131">
        <f>Scenarios!F24*(1-F$74-F$78)</f>
        <v>0.18</v>
      </c>
      <c r="G77" s="305"/>
      <c r="H77" s="305"/>
      <c r="I77" s="305"/>
      <c r="J77" s="305"/>
      <c r="K77" s="305"/>
      <c r="L77" s="305"/>
    </row>
    <row r="78" spans="1:12" x14ac:dyDescent="0.15">
      <c r="B78" s="121" t="str">
        <f>Scenarios!B30</f>
        <v>Devil's advocate</v>
      </c>
      <c r="C78" s="131">
        <f>Scenarios!C30</f>
        <v>-0.1</v>
      </c>
      <c r="D78" s="134">
        <f>Scenarios!D30</f>
        <v>5</v>
      </c>
      <c r="E78" s="128">
        <f>INDEX(B$65:F$71, MATCH(D78, A$65:A$71, 0), MATCH(C78, B$64:F$64, 0))</f>
        <v>2.3823046264398617</v>
      </c>
      <c r="F78" s="131">
        <f>Scenarios!F30</f>
        <v>0.05</v>
      </c>
      <c r="G78" s="305"/>
      <c r="H78" s="305"/>
      <c r="I78" s="305"/>
      <c r="J78" s="305"/>
      <c r="K78" s="305"/>
      <c r="L78" s="305"/>
    </row>
    <row r="79" spans="1:12" x14ac:dyDescent="0.15">
      <c r="B79" s="142"/>
      <c r="C79" s="142"/>
      <c r="D79" s="142"/>
      <c r="E79" s="142"/>
      <c r="F79" s="143"/>
      <c r="G79" s="143"/>
      <c r="H79" s="143"/>
      <c r="I79" s="143"/>
      <c r="J79" s="143"/>
      <c r="K79" s="143"/>
      <c r="L79" s="143"/>
    </row>
    <row r="89" spans="3:3" x14ac:dyDescent="0.15">
      <c r="C89" s="112"/>
    </row>
    <row r="90" spans="3:3" x14ac:dyDescent="0.15">
      <c r="C90" s="112"/>
    </row>
    <row r="91" spans="3:3" x14ac:dyDescent="0.15">
      <c r="C91" s="112"/>
    </row>
    <row r="98" spans="3:21" x14ac:dyDescent="0.15">
      <c r="C98" s="283"/>
      <c r="M98" s="283"/>
      <c r="N98" s="283"/>
      <c r="O98" s="283"/>
      <c r="P98" s="283"/>
      <c r="Q98" s="283"/>
      <c r="R98" s="283"/>
      <c r="S98" s="283"/>
      <c r="T98" s="283"/>
      <c r="U98" s="283"/>
    </row>
    <row r="99" spans="3:21" x14ac:dyDescent="0.15">
      <c r="C99" s="283"/>
      <c r="M99" s="283"/>
      <c r="N99" s="283"/>
      <c r="O99" s="283"/>
      <c r="P99" s="283"/>
      <c r="Q99" s="283"/>
      <c r="R99" s="283"/>
      <c r="S99" s="283"/>
      <c r="T99" s="283"/>
      <c r="U99" s="283"/>
    </row>
    <row r="100" spans="3:21" x14ac:dyDescent="0.15">
      <c r="C100" s="283"/>
      <c r="M100" s="283"/>
      <c r="N100" s="283"/>
      <c r="O100" s="283"/>
      <c r="P100" s="283"/>
      <c r="Q100" s="283"/>
      <c r="R100" s="283"/>
      <c r="S100" s="283"/>
      <c r="T100" s="283"/>
      <c r="U100" s="283"/>
    </row>
    <row r="101" spans="3:21" x14ac:dyDescent="0.15">
      <c r="C101" s="283"/>
      <c r="M101" s="283"/>
      <c r="N101" s="283"/>
      <c r="O101" s="283"/>
      <c r="P101" s="283"/>
      <c r="Q101" s="283"/>
      <c r="R101" s="283"/>
      <c r="S101" s="283"/>
      <c r="T101" s="283"/>
      <c r="U101" s="283"/>
    </row>
    <row r="102" spans="3:21" x14ac:dyDescent="0.15">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8" zoomScaleNormal="100" workbookViewId="0">
      <selection activeCell="C46" sqref="C46"/>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6" t="s">
        <v>125</v>
      </c>
      <c r="E3" s="97" t="s">
        <v>234</v>
      </c>
    </row>
    <row r="4" spans="2:7" ht="12.75" customHeight="1" x14ac:dyDescent="0.15">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4"/>
      <c r="G4" s="464"/>
    </row>
    <row r="5" spans="2:7" x14ac:dyDescent="0.15">
      <c r="E5" s="464"/>
      <c r="F5" s="464"/>
      <c r="G5" s="464"/>
    </row>
    <row r="6" spans="2:7" x14ac:dyDescent="0.15">
      <c r="B6" s="146" t="s">
        <v>91</v>
      </c>
      <c r="C6" s="104">
        <f>DCF!C3</f>
        <v>1000</v>
      </c>
      <c r="E6" s="464"/>
      <c r="F6" s="464"/>
      <c r="G6" s="464"/>
    </row>
    <row r="7" spans="2:7" ht="12.75" customHeight="1" x14ac:dyDescent="0.15">
      <c r="B7" s="97" t="s">
        <v>232</v>
      </c>
      <c r="C7" s="283">
        <f>Normalized_FCF!G8</f>
        <v>1082041</v>
      </c>
      <c r="D7" t="str">
        <f>Reporting_currency</f>
        <v>CNY</v>
      </c>
      <c r="E7" s="464"/>
      <c r="F7" s="464"/>
      <c r="G7" s="464"/>
    </row>
    <row r="8" spans="2:7" x14ac:dyDescent="0.15">
      <c r="B8" s="97" t="s">
        <v>63</v>
      </c>
      <c r="C8" s="283">
        <f>Normalized_FCF!G19</f>
        <v>631699.59365518577</v>
      </c>
      <c r="D8" t="str">
        <f>Reporting_currency</f>
        <v>CNY</v>
      </c>
      <c r="E8" s="464"/>
      <c r="F8" s="464"/>
      <c r="G8" s="464"/>
    </row>
    <row r="9" spans="2:7" x14ac:dyDescent="0.15">
      <c r="B9" s="97" t="s">
        <v>54</v>
      </c>
      <c r="C9" s="283">
        <f>Normalized_FCF!C19</f>
        <v>347072.73055558326</v>
      </c>
      <c r="D9" t="str">
        <f>Reporting_currency</f>
        <v>CNY</v>
      </c>
      <c r="E9" s="464"/>
      <c r="F9" s="464"/>
      <c r="G9" s="464"/>
    </row>
    <row r="10" spans="2:7" x14ac:dyDescent="0.15">
      <c r="E10" s="464"/>
      <c r="F10" s="464"/>
      <c r="G10" s="464"/>
    </row>
    <row r="11" spans="2:7" x14ac:dyDescent="0.15">
      <c r="B11" s="146" t="s">
        <v>324</v>
      </c>
      <c r="E11" s="464"/>
      <c r="F11" s="464"/>
      <c r="G11" s="464"/>
    </row>
    <row r="12" spans="2:7" ht="14" x14ac:dyDescent="0.15">
      <c r="B12" s="114" t="s">
        <v>121</v>
      </c>
      <c r="C12" s="145">
        <f ca="1">(Normalized_FCF!G4/OFFSET(Normalized_FCF!G4, 0, $C$4))^(1/$C$4) - 1</f>
        <v>-2.1915610445164879E-2</v>
      </c>
      <c r="D12" s="145"/>
      <c r="E12" s="464"/>
      <c r="F12" s="464"/>
      <c r="G12" s="464"/>
    </row>
    <row r="13" spans="2:7" x14ac:dyDescent="0.15">
      <c r="B13" s="136" t="s">
        <v>127</v>
      </c>
      <c r="C13" s="145">
        <f ca="1">(Normalized_FCF!G8/OFFSET(Normalized_FCF!G8, 0, $C$4))^(1/$C$4) - 1</f>
        <v>-4.450258101128779E-2</v>
      </c>
      <c r="E13" s="464"/>
      <c r="F13" s="464"/>
      <c r="G13" s="464"/>
    </row>
    <row r="14" spans="2:7" x14ac:dyDescent="0.15">
      <c r="B14" s="97" t="s">
        <v>63</v>
      </c>
      <c r="C14" s="145">
        <f ca="1">(Normalized_FCF!G19/OFFSET(Normalized_FCF!G19, 0, $C$4))^(1/$C$4) - 1</f>
        <v>-7.5542496754235966E-2</v>
      </c>
      <c r="E14" s="464"/>
      <c r="F14" s="464"/>
      <c r="G14" s="464"/>
    </row>
    <row r="16" spans="2:7" ht="16" x14ac:dyDescent="0.25">
      <c r="B16" s="34" t="s">
        <v>462</v>
      </c>
      <c r="C16" s="35"/>
      <c r="D16" s="35"/>
      <c r="E16" s="35"/>
      <c r="F16" s="35"/>
      <c r="G16" s="35"/>
    </row>
    <row r="17" spans="2:7" x14ac:dyDescent="0.15">
      <c r="B17" s="106" t="s">
        <v>126</v>
      </c>
      <c r="E17" s="146"/>
    </row>
    <row r="18" spans="2:7" ht="12.75" customHeight="1" x14ac:dyDescent="0.15">
      <c r="B18" s="140" t="s">
        <v>111</v>
      </c>
      <c r="C18" s="138">
        <v>5</v>
      </c>
      <c r="E18" s="327"/>
      <c r="F18" s="328"/>
    </row>
    <row r="19" spans="2:7" x14ac:dyDescent="0.15">
      <c r="E19" s="328"/>
      <c r="F19" s="328"/>
    </row>
    <row r="20" spans="2:7" x14ac:dyDescent="0.15">
      <c r="B20" s="106" t="s">
        <v>459</v>
      </c>
      <c r="E20" s="328"/>
      <c r="F20" s="328"/>
    </row>
    <row r="21" spans="2:7" ht="14" x14ac:dyDescent="0.2">
      <c r="B21" s="154" t="s">
        <v>445</v>
      </c>
      <c r="C21" s="154" t="s">
        <v>384</v>
      </c>
      <c r="D21" s="154" t="s">
        <v>457</v>
      </c>
      <c r="E21" s="155" t="str">
        <f>"Value per share ("&amp;Market_currency&amp;")"</f>
        <v>Value per share (HKD)</v>
      </c>
      <c r="F21" s="155" t="s">
        <v>458</v>
      </c>
      <c r="G21" s="155" t="s">
        <v>466</v>
      </c>
    </row>
    <row r="22" spans="2:7" x14ac:dyDescent="0.15">
      <c r="B22" s="310" t="s">
        <v>454</v>
      </c>
      <c r="C22" s="333">
        <v>0.03</v>
      </c>
      <c r="D22" s="334">
        <f>C18</f>
        <v>5</v>
      </c>
      <c r="E22" s="335">
        <f>DCF!E75</f>
        <v>3.7487868212254503</v>
      </c>
      <c r="F22" s="337">
        <f>1-F23-F24</f>
        <v>0.2</v>
      </c>
      <c r="G22" s="337">
        <f>F22*(1-F$29-F$30)</f>
        <v>0.18</v>
      </c>
    </row>
    <row r="23" spans="2:7" x14ac:dyDescent="0.15">
      <c r="B23" s="310" t="s">
        <v>446</v>
      </c>
      <c r="C23" s="333">
        <v>0.02</v>
      </c>
      <c r="D23" s="334">
        <f>C18</f>
        <v>5</v>
      </c>
      <c r="E23" s="335">
        <f>DCF!E76</f>
        <v>3.6179514917356226</v>
      </c>
      <c r="F23" s="336">
        <v>0.6</v>
      </c>
      <c r="G23" s="337">
        <f t="shared" ref="G23:G24" si="0">F23*(1-F$29-F$30)</f>
        <v>0.53999999999999992</v>
      </c>
    </row>
    <row r="24" spans="2:7" x14ac:dyDescent="0.15">
      <c r="B24" s="310" t="s">
        <v>455</v>
      </c>
      <c r="C24" s="333">
        <v>0.01</v>
      </c>
      <c r="D24" s="334">
        <f>C18</f>
        <v>5</v>
      </c>
      <c r="E24" s="335">
        <f>DCF!E77</f>
        <v>3.4918733871174301</v>
      </c>
      <c r="F24" s="336">
        <v>0.2</v>
      </c>
      <c r="G24" s="337">
        <f t="shared" si="0"/>
        <v>0.18</v>
      </c>
    </row>
    <row r="25" spans="2:7" x14ac:dyDescent="0.15">
      <c r="B25" s="142" t="s">
        <v>460</v>
      </c>
      <c r="C25" s="451">
        <f>E23*F23+E24*F24+E22*F22</f>
        <v>3.6189029367099499</v>
      </c>
      <c r="D25" s="142" t="str">
        <f>Market_currency</f>
        <v>HKD</v>
      </c>
      <c r="G25" s="150"/>
    </row>
    <row r="27" spans="2:7" x14ac:dyDescent="0.15">
      <c r="B27" s="106" t="s">
        <v>461</v>
      </c>
    </row>
    <row r="28" spans="2:7" ht="14" x14ac:dyDescent="0.2">
      <c r="B28" s="154" t="s">
        <v>445</v>
      </c>
      <c r="C28" s="154" t="s">
        <v>384</v>
      </c>
      <c r="D28" s="154" t="s">
        <v>457</v>
      </c>
      <c r="E28" s="155" t="str">
        <f>"Value per share ("&amp;Market_currency&amp;")"</f>
        <v>Value per share (HKD)</v>
      </c>
      <c r="F28" s="155" t="s">
        <v>458</v>
      </c>
      <c r="G28" s="155" t="s">
        <v>466</v>
      </c>
    </row>
    <row r="29" spans="2:7" x14ac:dyDescent="0.15">
      <c r="B29" s="310" t="s">
        <v>453</v>
      </c>
      <c r="C29" s="333">
        <v>0.08</v>
      </c>
      <c r="D29" s="334">
        <f>C18</f>
        <v>5</v>
      </c>
      <c r="E29" s="335">
        <f>DCF!E74</f>
        <v>4.4792193324226286</v>
      </c>
      <c r="F29" s="336">
        <v>0.05</v>
      </c>
      <c r="G29" s="337">
        <f>F29</f>
        <v>0.05</v>
      </c>
    </row>
    <row r="30" spans="2:7" x14ac:dyDescent="0.15">
      <c r="B30" s="323" t="s">
        <v>456</v>
      </c>
      <c r="C30" s="333">
        <v>-0.1</v>
      </c>
      <c r="D30" s="334">
        <f>C18</f>
        <v>5</v>
      </c>
      <c r="E30" s="335">
        <f>DCF!E78</f>
        <v>2.3823046264398617</v>
      </c>
      <c r="F30" s="336">
        <v>0.05</v>
      </c>
      <c r="G30" s="337">
        <f>F30</f>
        <v>0.05</v>
      </c>
    </row>
    <row r="31" spans="2:7" x14ac:dyDescent="0.15">
      <c r="E31" s="338"/>
      <c r="F31" s="338"/>
    </row>
    <row r="32" spans="2:7" x14ac:dyDescent="0.15">
      <c r="B32" s="146" t="s">
        <v>465</v>
      </c>
    </row>
    <row r="33" spans="2:7" x14ac:dyDescent="0.15">
      <c r="B33" s="97" t="s">
        <v>467</v>
      </c>
      <c r="C33" s="156">
        <f>Normalized_FCF!C88*(1-dividend_tax_rate)</f>
        <v>0.15920000000000001</v>
      </c>
      <c r="D33" t="str">
        <f>Market_currency</f>
        <v>HKD</v>
      </c>
      <c r="E33" s="97" t="s">
        <v>464</v>
      </c>
      <c r="F33" s="223">
        <f>Holding_Period</f>
        <v>2</v>
      </c>
    </row>
    <row r="34" spans="2:7" x14ac:dyDescent="0.15">
      <c r="B34" s="97" t="s">
        <v>233</v>
      </c>
      <c r="C34" s="147">
        <f>Market_Price</f>
        <v>2.85</v>
      </c>
      <c r="D34" t="str">
        <f>Market_currency</f>
        <v>HKD</v>
      </c>
      <c r="E34" s="97" t="s">
        <v>463</v>
      </c>
      <c r="F34" s="339">
        <f>RATE(Holding_Period,$C$33,-C34,$C$36)</f>
        <v>0.17676784240120927</v>
      </c>
    </row>
    <row r="35" spans="2:7" x14ac:dyDescent="0.15">
      <c r="B35" s="97" t="s">
        <v>443</v>
      </c>
      <c r="C35" s="329">
        <f>DCF!C11</f>
        <v>2.907643904662621</v>
      </c>
      <c r="D35" s="97" t="str">
        <f>Market_currency</f>
        <v>HKD</v>
      </c>
      <c r="E35" s="97" t="s">
        <v>463</v>
      </c>
      <c r="F35" s="339">
        <f>RATE(Holding_Period,$C$33,-C35,$C$36)</f>
        <v>0.16476263394177712</v>
      </c>
    </row>
    <row r="36" spans="2:7" x14ac:dyDescent="0.15">
      <c r="B36" s="97" t="s">
        <v>444</v>
      </c>
      <c r="C36" s="330">
        <f>E22*G22+E23*G23+E24*G24+E30*G30+E29*G29</f>
        <v>3.600088840982079</v>
      </c>
      <c r="D36" t="str">
        <f>Market_currency</f>
        <v>HKD</v>
      </c>
      <c r="E36" s="97" t="s">
        <v>469</v>
      </c>
      <c r="F36" s="340" t="s">
        <v>468</v>
      </c>
    </row>
    <row r="38" spans="2:7" ht="16" x14ac:dyDescent="0.25">
      <c r="B38" s="34" t="s">
        <v>419</v>
      </c>
      <c r="C38" s="35"/>
      <c r="D38" s="35"/>
      <c r="E38" s="35"/>
      <c r="F38" s="35"/>
      <c r="G38" s="35"/>
    </row>
    <row r="39" spans="2:7" x14ac:dyDescent="0.15">
      <c r="B39" s="423" t="str">
        <f>IF(DCF!F14="II","2","1")&amp;"-stage DCF"</f>
        <v>1-stage DCF</v>
      </c>
      <c r="E39" s="226" t="s">
        <v>252</v>
      </c>
    </row>
    <row r="40" spans="2:7" x14ac:dyDescent="0.15">
      <c r="B40" t="s">
        <v>407</v>
      </c>
      <c r="C40" s="139">
        <f>DCF!C17</f>
        <v>0.24487456943110034</v>
      </c>
      <c r="E40" s="97" t="s">
        <v>408</v>
      </c>
    </row>
    <row r="41" spans="2:7" x14ac:dyDescent="0.15">
      <c r="B41" s="97" t="s">
        <v>406</v>
      </c>
      <c r="C41" s="139">
        <f>DCF!C16</f>
        <v>1.8613012126595961E-2</v>
      </c>
      <c r="E41" s="97"/>
    </row>
    <row r="43" spans="2:7" ht="16" x14ac:dyDescent="0.25">
      <c r="B43" s="34" t="s">
        <v>278</v>
      </c>
      <c r="C43" s="35"/>
      <c r="D43" s="35"/>
      <c r="E43" s="35"/>
      <c r="F43" s="35"/>
      <c r="G43" s="35"/>
    </row>
    <row r="44" spans="2:7" x14ac:dyDescent="0.15">
      <c r="B44" s="106" t="s">
        <v>250</v>
      </c>
      <c r="E44" s="226" t="s">
        <v>252</v>
      </c>
    </row>
    <row r="45" spans="2:7" x14ac:dyDescent="0.15">
      <c r="B45" s="140" t="s">
        <v>111</v>
      </c>
      <c r="C45" s="151">
        <f>C18</f>
        <v>5</v>
      </c>
      <c r="D45" s="138"/>
      <c r="E45" s="225" t="s">
        <v>310</v>
      </c>
    </row>
    <row r="46" spans="2:7" ht="14" x14ac:dyDescent="0.15">
      <c r="B46" s="114" t="s">
        <v>112</v>
      </c>
      <c r="C46" s="139">
        <v>1.8613012126595961E-2</v>
      </c>
      <c r="D46" s="139"/>
      <c r="E46" s="225" t="s">
        <v>253</v>
      </c>
    </row>
    <row r="47" spans="2:7" x14ac:dyDescent="0.15">
      <c r="B47" s="97" t="s">
        <v>96</v>
      </c>
      <c r="C47" s="147">
        <f>DCF!I18</f>
        <v>3.6001835392802444</v>
      </c>
      <c r="D47" s="147" t="str">
        <f>Market_currency</f>
        <v>HKD</v>
      </c>
      <c r="E47" s="225" t="s">
        <v>254</v>
      </c>
    </row>
    <row r="49" spans="2:7" x14ac:dyDescent="0.15">
      <c r="B49" s="106" t="s">
        <v>279</v>
      </c>
      <c r="E49" s="226" t="s">
        <v>255</v>
      </c>
    </row>
    <row r="50" spans="2:7" x14ac:dyDescent="0.15">
      <c r="B50" s="97" t="s">
        <v>251</v>
      </c>
      <c r="C50" s="222" t="str">
        <f>IF(C36&lt;C35,"Y","N")</f>
        <v>N</v>
      </c>
      <c r="E50" s="127"/>
    </row>
    <row r="51" spans="2:7" x14ac:dyDescent="0.15">
      <c r="B51" s="97" t="s">
        <v>247</v>
      </c>
      <c r="C51" s="222" t="str">
        <f>IF(C50="Y","N",IF(C46&gt;8%,"N","Y"))</f>
        <v>Y</v>
      </c>
      <c r="E51" s="225" t="s">
        <v>248</v>
      </c>
    </row>
    <row r="52" spans="2:7" x14ac:dyDescent="0.15">
      <c r="B52" s="97" t="s">
        <v>246</v>
      </c>
      <c r="C52" s="222" t="str">
        <f>IF(C46&gt;8%,"Y","N")</f>
        <v>N</v>
      </c>
      <c r="E52" s="225"/>
    </row>
    <row r="53" spans="2:7" x14ac:dyDescent="0.15">
      <c r="B53" s="97" t="s">
        <v>238</v>
      </c>
      <c r="C53" s="221" t="str">
        <f>IF(F53&gt;50%,"Y","N")</f>
        <v>N</v>
      </c>
      <c r="E53" s="127" t="s">
        <v>275</v>
      </c>
      <c r="F53" s="256">
        <f>BS!D89/C36</f>
        <v>0.23888338066482792</v>
      </c>
    </row>
    <row r="55" spans="2:7" ht="16" x14ac:dyDescent="0.25">
      <c r="B55" s="34" t="s">
        <v>107</v>
      </c>
      <c r="C55" s="35"/>
      <c r="D55" s="35"/>
      <c r="E55" s="35"/>
      <c r="F55" s="35"/>
      <c r="G55" s="35"/>
    </row>
    <row r="56" spans="2:7" x14ac:dyDescent="0.15">
      <c r="B56" s="106" t="s">
        <v>106</v>
      </c>
    </row>
    <row r="57" spans="2:7" x14ac:dyDescent="0.15">
      <c r="B57" s="224" t="s">
        <v>249</v>
      </c>
      <c r="C57" s="223">
        <f>Holding_Period</f>
        <v>2</v>
      </c>
      <c r="D57" s="127"/>
    </row>
    <row r="58" spans="2:7" x14ac:dyDescent="0.15">
      <c r="B58" s="97" t="s">
        <v>336</v>
      </c>
      <c r="C58" s="156">
        <f>C33</f>
        <v>0.15920000000000001</v>
      </c>
      <c r="D58" t="str">
        <f>Market_currency</f>
        <v>HKD</v>
      </c>
    </row>
    <row r="60" spans="2:7" x14ac:dyDescent="0.15">
      <c r="B60" s="106" t="s">
        <v>482</v>
      </c>
      <c r="E60" s="422"/>
    </row>
    <row r="61" spans="2:7" ht="14" x14ac:dyDescent="0.2">
      <c r="B61" s="154" t="s">
        <v>471</v>
      </c>
      <c r="C61" s="154" t="s">
        <v>103</v>
      </c>
      <c r="D61" s="154" t="s">
        <v>104</v>
      </c>
      <c r="E61" s="155" t="str">
        <f>"Buy below ("&amp;Market_currency&amp;")"</f>
        <v>Buy below (HKD)</v>
      </c>
      <c r="F61" s="155" t="s">
        <v>463</v>
      </c>
      <c r="G61" s="155" t="s">
        <v>470</v>
      </c>
    </row>
    <row r="62" spans="2:7" x14ac:dyDescent="0.15">
      <c r="B62" s="310" t="s">
        <v>315</v>
      </c>
      <c r="C62" s="120">
        <f>PV(F62, Holding_Period, -C58, 0)</f>
        <v>0.20527846364883409</v>
      </c>
      <c r="D62" s="120">
        <f>C36/(1+F62)^Holding_Period</f>
        <v>1.9753573887418812</v>
      </c>
      <c r="E62" s="341">
        <f>C62+D62</f>
        <v>2.1806358523907154</v>
      </c>
      <c r="F62" s="309">
        <f>Thesis!E22</f>
        <v>0.35</v>
      </c>
      <c r="G62" s="450">
        <f>(1-E62/C36)</f>
        <v>0.39428276670087581</v>
      </c>
    </row>
    <row r="63" spans="2:7" x14ac:dyDescent="0.15">
      <c r="B63" s="310" t="s">
        <v>316</v>
      </c>
      <c r="C63" s="120">
        <f>PV(F63, Holding_Period, -C58, 0)</f>
        <v>0.22924800000000001</v>
      </c>
      <c r="D63" s="120">
        <f>C36/(1+F63)^Holding_Period</f>
        <v>2.3040568582285306</v>
      </c>
      <c r="E63" s="341">
        <f>C63+D63</f>
        <v>2.5333048582285307</v>
      </c>
      <c r="F63" s="309">
        <f>Thesis!E23</f>
        <v>0.25</v>
      </c>
      <c r="G63" s="450">
        <f>(1-E63/C36)</f>
        <v>0.29632157145948024</v>
      </c>
    </row>
    <row r="65" spans="2:7" ht="14" x14ac:dyDescent="0.2">
      <c r="B65" s="154" t="s">
        <v>472</v>
      </c>
      <c r="C65" s="154" t="s">
        <v>103</v>
      </c>
      <c r="D65" s="154" t="s">
        <v>104</v>
      </c>
      <c r="E65" s="155" t="str">
        <f>"Sell above ("&amp;Market_currency&amp;")"</f>
        <v>Sell above (HKD)</v>
      </c>
      <c r="F65" s="155" t="s">
        <v>463</v>
      </c>
      <c r="G65" s="155" t="s">
        <v>470</v>
      </c>
    </row>
    <row r="66" spans="2:7" x14ac:dyDescent="0.15">
      <c r="B66" s="310" t="s">
        <v>318</v>
      </c>
      <c r="C66" s="120">
        <f>PV(F66, Holding_Period, -C58, 0)</f>
        <v>0.26997816308147637</v>
      </c>
      <c r="D66" s="120">
        <f>C36/(1+F66)^Holding_Period</f>
        <v>2.8833401808159511</v>
      </c>
      <c r="E66" s="341">
        <f>C66+D66</f>
        <v>3.1533183438974275</v>
      </c>
      <c r="F66" s="309">
        <f>Thesis!E24</f>
        <v>0.1174</v>
      </c>
      <c r="G66" s="450">
        <f>(1-E66/C47)</f>
        <v>0.12412289276567134</v>
      </c>
    </row>
    <row r="67" spans="2:7" x14ac:dyDescent="0.15">
      <c r="B67" s="310" t="s">
        <v>317</v>
      </c>
      <c r="C67" s="120">
        <f>PV(F67, Holding_Period, -C58, 0)</f>
        <v>0.28585397512168731</v>
      </c>
      <c r="D67" s="120">
        <f>C36/(1+F67)^Holding_Period</f>
        <v>3.1152742810012586</v>
      </c>
      <c r="E67" s="341">
        <f>C67+D67</f>
        <v>3.4011282561229459</v>
      </c>
      <c r="F67" s="309">
        <f>Thesis!E25</f>
        <v>7.4999999999999997E-2</v>
      </c>
      <c r="G67" s="450">
        <f>(1-E67/C36)</f>
        <v>5.5265465283589554E-2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baseColWidth="10" defaultColWidth="8.83203125" defaultRowHeight="13" x14ac:dyDescent="0.15"/>
  <cols>
    <col min="1" max="1" width="2.6640625" customWidth="1"/>
    <col min="2" max="2" width="22.6640625" customWidth="1"/>
    <col min="3" max="5" width="20.6640625" customWidth="1"/>
  </cols>
  <sheetData>
    <row r="2" spans="2:5" ht="16" x14ac:dyDescent="0.25">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baseColWidth="10" defaultColWidth="9" defaultRowHeight="14" x14ac:dyDescent="0.2"/>
  <cols>
    <col min="1" max="1" width="2.6640625" style="352" customWidth="1"/>
    <col min="2" max="2" width="32.6640625" style="352" customWidth="1"/>
    <col min="3" max="4" width="25.6640625" style="352" customWidth="1"/>
    <col min="5" max="6" width="15.6640625" style="352" customWidth="1"/>
    <col min="7" max="16384" width="9" style="352"/>
  </cols>
  <sheetData>
    <row r="2" spans="1:10" ht="16" x14ac:dyDescent="0.25">
      <c r="A2" s="354" t="s">
        <v>338</v>
      </c>
      <c r="B2" s="354"/>
      <c r="C2" s="354"/>
      <c r="D2" s="354"/>
      <c r="E2" s="354"/>
      <c r="F2" s="354"/>
      <c r="G2" s="355"/>
      <c r="H2" s="355"/>
      <c r="I2" s="355"/>
      <c r="J2" s="355"/>
    </row>
    <row r="3" spans="1:10" x14ac:dyDescent="0.2">
      <c r="E3" s="445" t="s">
        <v>551</v>
      </c>
      <c r="F3" s="446">
        <f>Thesis!F3</f>
        <v>45930</v>
      </c>
    </row>
    <row r="4" spans="1:10" x14ac:dyDescent="0.2">
      <c r="B4" s="432" t="s">
        <v>543</v>
      </c>
      <c r="C4" s="433" t="str">
        <f>Thesis!C4</f>
        <v>福寿园</v>
      </c>
      <c r="D4" s="358"/>
      <c r="E4" s="444" t="s">
        <v>549</v>
      </c>
      <c r="F4" s="447" t="str">
        <f>Thesis!F4</f>
        <v>INT</v>
      </c>
    </row>
    <row r="5" spans="1:10" x14ac:dyDescent="0.2">
      <c r="B5" s="352" t="s">
        <v>369</v>
      </c>
      <c r="C5" s="364" t="str">
        <f>Thesis!C5</f>
        <v>1448.HK</v>
      </c>
      <c r="E5" s="448" t="s">
        <v>550</v>
      </c>
      <c r="F5" s="449" t="str">
        <f>Thesis!F5</f>
        <v>Y</v>
      </c>
    </row>
    <row r="6" spans="1:10" x14ac:dyDescent="0.2">
      <c r="B6" s="359" t="s">
        <v>340</v>
      </c>
      <c r="C6" s="361" t="str">
        <f>Thesis!C6</f>
        <v>CNS_01</v>
      </c>
      <c r="E6" s="363"/>
    </row>
    <row r="7" spans="1:10" x14ac:dyDescent="0.2">
      <c r="B7" s="352" t="s">
        <v>371</v>
      </c>
      <c r="C7" s="361" t="str">
        <f>Market_currency</f>
        <v>HKD</v>
      </c>
      <c r="D7" s="363"/>
      <c r="E7" s="363"/>
    </row>
    <row r="8" spans="1:10" x14ac:dyDescent="0.2">
      <c r="B8" s="360" t="s">
        <v>370</v>
      </c>
      <c r="C8" s="365">
        <f>Market_Price</f>
        <v>2.85</v>
      </c>
      <c r="D8" s="352" t="s">
        <v>538</v>
      </c>
      <c r="E8" s="369">
        <f>Scenarios!F34</f>
        <v>0.17676784240120927</v>
      </c>
    </row>
    <row r="9" spans="1:10" x14ac:dyDescent="0.2">
      <c r="B9" s="360" t="s">
        <v>366</v>
      </c>
      <c r="C9" s="362">
        <f>Common_Shares</f>
        <v>2319863422</v>
      </c>
    </row>
    <row r="10" spans="1:10" x14ac:dyDescent="0.2">
      <c r="B10" s="360" t="s">
        <v>372</v>
      </c>
      <c r="C10" s="366">
        <f>投资主题!C8*Common_Shares/1000000</f>
        <v>6611.6107526999995</v>
      </c>
      <c r="E10" s="362"/>
    </row>
    <row r="11" spans="1:10" x14ac:dyDescent="0.2">
      <c r="D11" s="358"/>
      <c r="E11" s="358"/>
    </row>
    <row r="12" spans="1:10" ht="24.5" customHeight="1" x14ac:dyDescent="0.2">
      <c r="B12" s="466" t="s">
        <v>507</v>
      </c>
      <c r="C12" s="466"/>
      <c r="D12" s="466"/>
      <c r="E12" s="466"/>
      <c r="F12" s="466"/>
    </row>
    <row r="14" spans="1:10" x14ac:dyDescent="0.2">
      <c r="B14" s="356" t="s">
        <v>375</v>
      </c>
      <c r="C14" s="357"/>
      <c r="D14" s="358"/>
    </row>
    <row r="15" spans="1:10" x14ac:dyDescent="0.2">
      <c r="B15" s="352" t="s">
        <v>341</v>
      </c>
      <c r="C15" s="367" t="str">
        <f>Thesis!C15</f>
        <v>N</v>
      </c>
      <c r="D15" s="360" t="s">
        <v>373</v>
      </c>
      <c r="E15" s="353" t="str">
        <f>IF(E17=C7,C7,E17&amp;"/"&amp;C7)</f>
        <v>CNY/HKD</v>
      </c>
    </row>
    <row r="16" spans="1:10" x14ac:dyDescent="0.2">
      <c r="B16" s="352" t="s">
        <v>342</v>
      </c>
      <c r="C16" s="367" t="str">
        <f>Thesis!C16</f>
        <v>N</v>
      </c>
      <c r="D16" s="360" t="s">
        <v>374</v>
      </c>
      <c r="E16" s="435">
        <f>Exchange_Rate</f>
        <v>1.0900000000000001</v>
      </c>
    </row>
    <row r="17" spans="1:6" x14ac:dyDescent="0.2">
      <c r="B17" s="352" t="s">
        <v>544</v>
      </c>
      <c r="C17" s="434">
        <f>Terminal_Growth</f>
        <v>0</v>
      </c>
      <c r="D17" s="360" t="s">
        <v>343</v>
      </c>
      <c r="E17" s="353" t="str">
        <f>Reporting_currency</f>
        <v>CNY</v>
      </c>
    </row>
    <row r="18" spans="1:6" x14ac:dyDescent="0.2">
      <c r="B18" s="352" t="str">
        <f>"预期股权价值 ("&amp;C7&amp;") :"</f>
        <v>预期股权价值 (HKD) :</v>
      </c>
      <c r="C18" s="368">
        <f>C125</f>
        <v>3.600088840982079</v>
      </c>
      <c r="D18" s="359" t="s">
        <v>367</v>
      </c>
      <c r="E18" s="436">
        <f>Thesis!E18</f>
        <v>6</v>
      </c>
    </row>
    <row r="19" spans="1:6" x14ac:dyDescent="0.2">
      <c r="B19" s="359" t="s">
        <v>339</v>
      </c>
      <c r="C19" s="361" t="str">
        <f>IF(Scenarios!C50="Y",Scenarios!B50,"")&amp;IF(Scenarios!C51="Y",Scenarios!B51,"")&amp;IF(Scenarios!C52="Y",Scenarios!B52,"")&amp;" "&amp;IF(Scenarios!C53="Y",Scenarios!B53,"")</f>
        <v xml:space="preserve">Low Growth </v>
      </c>
      <c r="D19" s="352" t="s">
        <v>368</v>
      </c>
      <c r="E19" s="437">
        <f>EOMONTH(EDATE(BS!C1,E18+2),0)</f>
        <v>46081</v>
      </c>
    </row>
    <row r="20" spans="1:6" x14ac:dyDescent="0.2">
      <c r="D20" s="358"/>
      <c r="E20" s="358"/>
    </row>
    <row r="21" spans="1:6" x14ac:dyDescent="0.2">
      <c r="B21" s="356" t="s">
        <v>344</v>
      </c>
      <c r="C21" s="370" t="str">
        <f>C138&amp;" ("&amp;Market_currency&amp;")"</f>
        <v xml:space="preserve"> (HKD)</v>
      </c>
      <c r="D21" s="371" t="s">
        <v>349</v>
      </c>
      <c r="E21" s="372">
        <f>Holding_Period</f>
        <v>2</v>
      </c>
    </row>
    <row r="22" spans="1:6" x14ac:dyDescent="0.2">
      <c r="B22" s="352" t="s">
        <v>345</v>
      </c>
      <c r="C22" s="373">
        <f>E140</f>
        <v>2.1806358523907154</v>
      </c>
      <c r="D22" s="374" t="s">
        <v>449</v>
      </c>
      <c r="E22" s="375">
        <f>Thesis!E22</f>
        <v>0.35</v>
      </c>
    </row>
    <row r="23" spans="1:6" x14ac:dyDescent="0.2">
      <c r="B23" s="352" t="s">
        <v>346</v>
      </c>
      <c r="C23" s="376">
        <f>E141</f>
        <v>2.5333048582285307</v>
      </c>
      <c r="D23" s="374" t="s">
        <v>450</v>
      </c>
      <c r="E23" s="377">
        <f>Thesis!E23</f>
        <v>0.25</v>
      </c>
    </row>
    <row r="24" spans="1:6" x14ac:dyDescent="0.2">
      <c r="B24" s="352" t="s">
        <v>348</v>
      </c>
      <c r="C24" s="376">
        <f>E144</f>
        <v>3.1533183438974275</v>
      </c>
      <c r="D24" s="374" t="s">
        <v>452</v>
      </c>
      <c r="E24" s="377">
        <f>Thesis!E24</f>
        <v>0.1174</v>
      </c>
    </row>
    <row r="25" spans="1:6" x14ac:dyDescent="0.2">
      <c r="B25" s="352" t="s">
        <v>347</v>
      </c>
      <c r="C25" s="376">
        <f>E145</f>
        <v>3.4011282561229459</v>
      </c>
      <c r="D25" s="374" t="s">
        <v>451</v>
      </c>
      <c r="E25" s="377">
        <f>Thesis!E25</f>
        <v>7.4999999999999997E-2</v>
      </c>
    </row>
    <row r="27" spans="1:6" ht="16" x14ac:dyDescent="0.25">
      <c r="A27" s="354" t="s">
        <v>350</v>
      </c>
      <c r="B27" s="354"/>
      <c r="C27" s="354"/>
      <c r="D27" s="354"/>
      <c r="E27" s="354"/>
      <c r="F27" s="354"/>
    </row>
    <row r="29" spans="1:6" x14ac:dyDescent="0.2">
      <c r="B29" s="466" t="s">
        <v>508</v>
      </c>
      <c r="C29" s="466"/>
      <c r="D29" s="466"/>
      <c r="E29" s="466"/>
      <c r="F29" s="466"/>
    </row>
    <row r="30" spans="1:6" ht="24.5" customHeight="1" x14ac:dyDescent="0.2">
      <c r="B30" s="467" t="s">
        <v>509</v>
      </c>
      <c r="C30" s="467"/>
      <c r="D30" s="467"/>
      <c r="E30" s="467"/>
      <c r="F30" s="467"/>
    </row>
    <row r="32" spans="1:6" x14ac:dyDescent="0.2">
      <c r="B32" s="378" t="s">
        <v>376</v>
      </c>
      <c r="C32" s="379">
        <f>scaling_factor</f>
        <v>1000</v>
      </c>
    </row>
    <row r="33" spans="2:6" x14ac:dyDescent="0.2">
      <c r="B33" s="465" t="s">
        <v>510</v>
      </c>
      <c r="C33" s="465"/>
      <c r="D33" s="465"/>
      <c r="E33" s="465"/>
      <c r="F33" s="465"/>
    </row>
    <row r="34" spans="2:6" x14ac:dyDescent="0.2">
      <c r="B34" s="381" t="s">
        <v>197</v>
      </c>
      <c r="C34" s="382">
        <f>Normalized_FCF!C8</f>
        <v>611412.69999999972</v>
      </c>
      <c r="D34" s="352" t="str">
        <f>Reporting_currency</f>
        <v>CNY</v>
      </c>
    </row>
    <row r="35" spans="2:6" x14ac:dyDescent="0.2">
      <c r="B35" s="381"/>
      <c r="C35" s="383"/>
    </row>
    <row r="36" spans="2:6" ht="24.5" customHeight="1" x14ac:dyDescent="0.2">
      <c r="B36" s="465" t="s">
        <v>511</v>
      </c>
      <c r="C36" s="465"/>
      <c r="D36" s="465"/>
      <c r="E36" s="465"/>
      <c r="F36" s="465"/>
    </row>
    <row r="37" spans="2:6" x14ac:dyDescent="0.2">
      <c r="B37" s="381" t="s">
        <v>199</v>
      </c>
      <c r="C37" s="382">
        <f>Normalized_FCF!C15</f>
        <v>173178.99999999997</v>
      </c>
      <c r="D37" s="352" t="str">
        <f>Reporting_currency</f>
        <v>CNY</v>
      </c>
    </row>
    <row r="38" spans="2:6" x14ac:dyDescent="0.2">
      <c r="B38" s="384" t="s">
        <v>200</v>
      </c>
      <c r="C38" s="382">
        <f>Normalized_FCF!C16</f>
        <v>-173178.99999999997</v>
      </c>
      <c r="D38" s="352" t="str">
        <f>Reporting_currency</f>
        <v>CNY</v>
      </c>
    </row>
    <row r="40" spans="2:6" x14ac:dyDescent="0.2">
      <c r="B40" s="465" t="s">
        <v>512</v>
      </c>
      <c r="C40" s="465"/>
      <c r="D40" s="465"/>
      <c r="E40" s="465"/>
      <c r="F40" s="465"/>
    </row>
    <row r="41" spans="2:6" x14ac:dyDescent="0.2">
      <c r="B41" s="381" t="s">
        <v>202</v>
      </c>
      <c r="C41" s="382">
        <f>Normalized_FCF!C9</f>
        <v>-2798</v>
      </c>
      <c r="D41" s="352" t="str">
        <f>Reporting_currency</f>
        <v>CNY</v>
      </c>
    </row>
    <row r="43" spans="2:6" x14ac:dyDescent="0.2">
      <c r="B43" s="465" t="s">
        <v>513</v>
      </c>
      <c r="C43" s="465"/>
      <c r="D43" s="465"/>
      <c r="E43" s="465"/>
      <c r="F43" s="465"/>
    </row>
    <row r="44" spans="2:6" x14ac:dyDescent="0.2">
      <c r="B44" s="381" t="s">
        <v>269</v>
      </c>
      <c r="C44" s="385">
        <f>Normalized_FCF!C46</f>
        <v>3636.4450703472003</v>
      </c>
      <c r="D44" s="352" t="str">
        <f>Reporting_currency</f>
        <v>CNY</v>
      </c>
      <c r="E44" s="380"/>
      <c r="F44" s="380"/>
    </row>
    <row r="45" spans="2:6" x14ac:dyDescent="0.2">
      <c r="B45" s="381" t="s">
        <v>270</v>
      </c>
      <c r="C45" s="385">
        <f>Normalized_FCF!C45</f>
        <v>-8088.24</v>
      </c>
      <c r="D45" s="352" t="str">
        <f>Reporting_currency</f>
        <v>CNY</v>
      </c>
      <c r="E45" s="380"/>
      <c r="F45" s="380"/>
    </row>
    <row r="46" spans="2:6" x14ac:dyDescent="0.2">
      <c r="B46" s="381" t="s">
        <v>203</v>
      </c>
      <c r="C46" s="382">
        <f>Normalized_FCF!C10</f>
        <v>-4451.7949296527995</v>
      </c>
      <c r="D46" s="352" t="str">
        <f>Reporting_currency</f>
        <v>CNY</v>
      </c>
    </row>
    <row r="48" spans="2:6" x14ac:dyDescent="0.2">
      <c r="B48" s="352" t="s">
        <v>514</v>
      </c>
    </row>
    <row r="49" spans="2:6" x14ac:dyDescent="0.2">
      <c r="B49" s="381" t="s">
        <v>223</v>
      </c>
      <c r="C49" s="382">
        <f>Normalized_FCF!C13</f>
        <v>-106049.44824717694</v>
      </c>
      <c r="D49" s="352" t="str">
        <f>Reporting_currency</f>
        <v>CNY</v>
      </c>
    </row>
    <row r="51" spans="2:6" x14ac:dyDescent="0.2">
      <c r="B51" s="465" t="s">
        <v>515</v>
      </c>
      <c r="C51" s="465"/>
      <c r="D51" s="465"/>
      <c r="E51" s="465"/>
      <c r="F51" s="465"/>
    </row>
    <row r="52" spans="2:6" x14ac:dyDescent="0.2">
      <c r="B52" s="381" t="s">
        <v>505</v>
      </c>
      <c r="C52" s="382">
        <f>Normalized_FCF!C12</f>
        <v>-151040.72626758672</v>
      </c>
      <c r="D52" s="352" t="str">
        <f>Reporting_currency</f>
        <v>CNY</v>
      </c>
    </row>
    <row r="54" spans="2:6" x14ac:dyDescent="0.2">
      <c r="B54" s="465" t="s">
        <v>516</v>
      </c>
      <c r="C54" s="468"/>
      <c r="D54" s="468"/>
      <c r="E54" s="468"/>
      <c r="F54" s="468"/>
    </row>
    <row r="55" spans="2:6" x14ac:dyDescent="0.2">
      <c r="B55" s="381" t="s">
        <v>207</v>
      </c>
      <c r="C55" s="382">
        <f>Normalized_FCF!C17</f>
        <v>0</v>
      </c>
      <c r="D55" s="352" t="str">
        <f>Reporting_currency</f>
        <v>CNY</v>
      </c>
    </row>
    <row r="57" spans="2:6" x14ac:dyDescent="0.2">
      <c r="B57" s="466" t="s">
        <v>517</v>
      </c>
      <c r="C57" s="466"/>
      <c r="D57" s="466"/>
      <c r="E57" s="466"/>
      <c r="F57" s="466"/>
    </row>
    <row r="58" spans="2:6" x14ac:dyDescent="0.2">
      <c r="B58" s="466" t="s">
        <v>518</v>
      </c>
      <c r="C58" s="466"/>
      <c r="D58" s="466"/>
      <c r="E58" s="466"/>
      <c r="F58" s="466"/>
    </row>
    <row r="60" spans="2:6" x14ac:dyDescent="0.2">
      <c r="B60" s="381" t="s">
        <v>377</v>
      </c>
      <c r="C60" s="382">
        <f>Normalized_FCF!G19</f>
        <v>631699.59365518577</v>
      </c>
      <c r="D60" s="352" t="str">
        <f>Reporting_currency</f>
        <v>CNY</v>
      </c>
    </row>
    <row r="61" spans="2:6" x14ac:dyDescent="0.2">
      <c r="B61" s="381" t="s">
        <v>213</v>
      </c>
      <c r="C61" s="382">
        <f>Normalized_FCF!C19</f>
        <v>347072.73055558326</v>
      </c>
      <c r="D61" s="352" t="str">
        <f>Reporting_currency</f>
        <v>CNY</v>
      </c>
    </row>
    <row r="62" spans="2:6" x14ac:dyDescent="0.2">
      <c r="B62" s="386" t="s">
        <v>305</v>
      </c>
      <c r="C62" s="387">
        <f>Normalized_FCF!C124</f>
        <v>5.7218927498279393E-2</v>
      </c>
      <c r="F62" s="388"/>
    </row>
    <row r="63" spans="2:6" x14ac:dyDescent="0.2">
      <c r="B63" s="386" t="s">
        <v>335</v>
      </c>
      <c r="C63" s="387">
        <f>Normalized_FCF!C92</f>
        <v>5.5859649122807019E-2</v>
      </c>
      <c r="E63" s="381" t="s">
        <v>378</v>
      </c>
      <c r="F63" s="389">
        <f>Normalized_FCF!C90</f>
        <v>1.0641062355754669</v>
      </c>
    </row>
    <row r="65" spans="1:6" x14ac:dyDescent="0.2">
      <c r="B65" s="378" t="s">
        <v>381</v>
      </c>
      <c r="C65" s="390" t="s">
        <v>330</v>
      </c>
      <c r="D65" s="390" t="s">
        <v>379</v>
      </c>
    </row>
    <row r="66" spans="1:6" x14ac:dyDescent="0.2">
      <c r="B66" s="381" t="s">
        <v>329</v>
      </c>
      <c r="C66" s="387">
        <f>Normalized_FCF!C119</f>
        <v>0.12416948697308672</v>
      </c>
      <c r="D66" s="387">
        <f>Normalized_FCF!G119</f>
        <v>0.21971961985098865</v>
      </c>
    </row>
    <row r="67" spans="1:6" x14ac:dyDescent="0.2">
      <c r="B67" s="391" t="str">
        <f>Normalized_FCF!B116</f>
        <v>Pre-tax Profit/Sales</v>
      </c>
      <c r="C67" s="392">
        <f>Normalized_FCF!C116</f>
        <v>0.41544958439449353</v>
      </c>
      <c r="D67" s="392">
        <f>Normalized_FCF!G116</f>
        <v>0.51460063887624929</v>
      </c>
    </row>
    <row r="68" spans="1:6" x14ac:dyDescent="0.2">
      <c r="B68" s="391" t="str">
        <f>Normalized_FCF!B117</f>
        <v>Sales/Total Assets</v>
      </c>
      <c r="C68" s="393">
        <f>Normalized_FCF!C117</f>
        <v>0.20090947033127624</v>
      </c>
      <c r="D68" s="393">
        <f>Normalized_FCF!G117</f>
        <v>0.28701352904468036</v>
      </c>
    </row>
    <row r="69" spans="1:6" x14ac:dyDescent="0.2">
      <c r="B69" s="391" t="str">
        <f>Normalized_FCF!B118</f>
        <v>Total Assets/Equity</v>
      </c>
      <c r="C69" s="393">
        <f>Normalized_FCF!C118</f>
        <v>1.4876341835211095</v>
      </c>
      <c r="D69" s="393">
        <f>Normalized_FCF!G118</f>
        <v>1.4876341835211095</v>
      </c>
    </row>
    <row r="71" spans="1:6" ht="16" x14ac:dyDescent="0.25">
      <c r="A71" s="354" t="s">
        <v>485</v>
      </c>
      <c r="B71" s="354"/>
      <c r="C71" s="354"/>
      <c r="D71" s="354"/>
      <c r="E71" s="354"/>
      <c r="F71" s="354"/>
    </row>
    <row r="72" spans="1:6" x14ac:dyDescent="0.2">
      <c r="A72" s="394"/>
    </row>
    <row r="73" spans="1:6" x14ac:dyDescent="0.2">
      <c r="A73" s="395"/>
      <c r="B73" s="466" t="s">
        <v>519</v>
      </c>
      <c r="C73" s="466"/>
      <c r="D73" s="466"/>
      <c r="E73" s="466"/>
      <c r="F73" s="466"/>
    </row>
    <row r="74" spans="1:6" x14ac:dyDescent="0.2">
      <c r="B74" s="467" t="s">
        <v>488</v>
      </c>
      <c r="C74" s="467"/>
      <c r="D74" s="467"/>
      <c r="E74" s="467"/>
      <c r="F74" s="467"/>
    </row>
    <row r="76" spans="1:6" x14ac:dyDescent="0.2">
      <c r="B76" s="378" t="s">
        <v>376</v>
      </c>
    </row>
    <row r="77" spans="1:6" x14ac:dyDescent="0.2">
      <c r="B77" s="466" t="s">
        <v>520</v>
      </c>
      <c r="C77" s="466"/>
      <c r="D77" s="466"/>
      <c r="E77" s="466"/>
      <c r="F77" s="466"/>
    </row>
    <row r="78" spans="1:6" x14ac:dyDescent="0.2">
      <c r="B78" s="352" t="s">
        <v>215</v>
      </c>
      <c r="C78" s="382">
        <f>DCF!F4</f>
        <v>-134804</v>
      </c>
      <c r="D78" s="352" t="str">
        <f>Reporting_currency</f>
        <v>CNY</v>
      </c>
    </row>
    <row r="79" spans="1:6" x14ac:dyDescent="0.2">
      <c r="B79" s="381" t="s">
        <v>235</v>
      </c>
      <c r="C79" s="396">
        <f>C78*scaling_factor*Exchange_Rate/Common_Shares</f>
        <v>-6.333836664975874E-2</v>
      </c>
      <c r="D79" s="352" t="str">
        <f>Market_currency</f>
        <v>HKD</v>
      </c>
    </row>
    <row r="80" spans="1:6" x14ac:dyDescent="0.2">
      <c r="B80" s="391" t="s">
        <v>312</v>
      </c>
      <c r="C80" s="397">
        <f>IF(BS!G31/BS!G27&gt;300%,"nm",BS!G31/BS!G27)</f>
        <v>2.7705347980559972E-2</v>
      </c>
    </row>
    <row r="81" spans="1:6" x14ac:dyDescent="0.2">
      <c r="B81" s="391" t="s">
        <v>314</v>
      </c>
      <c r="C81" s="398">
        <f>IF(BS!C50&gt;30,"nm",BS!C50)</f>
        <v>0.22047955497162566</v>
      </c>
    </row>
    <row r="83" spans="1:6" x14ac:dyDescent="0.2">
      <c r="B83" s="352" t="s">
        <v>521</v>
      </c>
    </row>
    <row r="84" spans="1:6" x14ac:dyDescent="0.2">
      <c r="B84" s="352" t="s">
        <v>224</v>
      </c>
      <c r="C84" s="382">
        <f>DCF!F5</f>
        <v>1507763.8216088</v>
      </c>
      <c r="D84" s="352" t="str">
        <f>Reporting_currency</f>
        <v>CNY</v>
      </c>
    </row>
    <row r="85" spans="1:6" x14ac:dyDescent="0.2">
      <c r="B85" s="391" t="s">
        <v>490</v>
      </c>
      <c r="C85" s="399">
        <f>BS!C66</f>
        <v>2113838</v>
      </c>
      <c r="D85" s="400" t="str">
        <f>Reporting_currency</f>
        <v>CNY</v>
      </c>
    </row>
    <row r="86" spans="1:6" x14ac:dyDescent="0.2">
      <c r="B86" s="381" t="s">
        <v>236</v>
      </c>
      <c r="C86" s="396">
        <f>C84*scaling_factor*Exchange_Rate/Common_Shares</f>
        <v>0.70843074207219081</v>
      </c>
      <c r="D86" s="352" t="str">
        <f>Market_currency</f>
        <v>HKD</v>
      </c>
    </row>
    <row r="88" spans="1:6" x14ac:dyDescent="0.2">
      <c r="B88" s="352" t="s">
        <v>522</v>
      </c>
    </row>
    <row r="89" spans="1:6" x14ac:dyDescent="0.2">
      <c r="B89" s="352" t="s">
        <v>217</v>
      </c>
      <c r="C89" s="382">
        <f>DCF!F6</f>
        <v>187786.09999999998</v>
      </c>
      <c r="D89" s="352" t="str">
        <f>Reporting_currency</f>
        <v>CNY</v>
      </c>
    </row>
    <row r="90" spans="1:6" x14ac:dyDescent="0.2">
      <c r="B90" s="381" t="s">
        <v>237</v>
      </c>
      <c r="C90" s="396">
        <f>C89*scaling_factor*Exchange_Rate/Common_Shares</f>
        <v>8.8232284305571493E-2</v>
      </c>
      <c r="D90" s="352" t="str">
        <f>Market_currency</f>
        <v>HKD</v>
      </c>
    </row>
    <row r="92" spans="1:6" x14ac:dyDescent="0.2">
      <c r="B92" s="381" t="s">
        <v>489</v>
      </c>
      <c r="C92" s="396">
        <f>DCF!F8</f>
        <v>0.73332465972800365</v>
      </c>
      <c r="D92" s="352" t="str">
        <f>Market_currency</f>
        <v>HKD</v>
      </c>
    </row>
    <row r="94" spans="1:6" ht="16" x14ac:dyDescent="0.25">
      <c r="A94" s="354" t="s">
        <v>491</v>
      </c>
      <c r="B94" s="354"/>
      <c r="C94" s="354"/>
      <c r="D94" s="354"/>
      <c r="E94" s="354"/>
      <c r="F94" s="354"/>
    </row>
    <row r="95" spans="1:6" x14ac:dyDescent="0.2">
      <c r="A95" s="394"/>
    </row>
    <row r="96" spans="1:6" x14ac:dyDescent="0.2">
      <c r="A96" s="394"/>
      <c r="B96" s="466" t="s">
        <v>523</v>
      </c>
      <c r="C96" s="466"/>
      <c r="D96" s="466"/>
      <c r="E96" s="466"/>
      <c r="F96" s="466"/>
    </row>
    <row r="97" spans="1:6" x14ac:dyDescent="0.2">
      <c r="A97" s="394"/>
      <c r="B97" s="467" t="s">
        <v>524</v>
      </c>
      <c r="C97" s="467"/>
      <c r="D97" s="467"/>
      <c r="E97" s="467"/>
      <c r="F97" s="467"/>
    </row>
    <row r="98" spans="1:6" x14ac:dyDescent="0.2">
      <c r="A98" s="394"/>
      <c r="B98" s="467" t="s">
        <v>525</v>
      </c>
      <c r="C98" s="467"/>
      <c r="D98" s="467"/>
      <c r="E98" s="467"/>
      <c r="F98" s="467"/>
    </row>
    <row r="99" spans="1:6" x14ac:dyDescent="0.2">
      <c r="A99" s="394"/>
    </row>
    <row r="100" spans="1:6" x14ac:dyDescent="0.2">
      <c r="A100" s="394"/>
      <c r="B100" s="378" t="s">
        <v>376</v>
      </c>
    </row>
    <row r="101" spans="1:6" x14ac:dyDescent="0.2">
      <c r="A101" s="394"/>
      <c r="B101" s="381" t="s">
        <v>212</v>
      </c>
      <c r="C101" s="377">
        <f>E25+C103</f>
        <v>7.4999999999999997E-2</v>
      </c>
    </row>
    <row r="102" spans="1:6" x14ac:dyDescent="0.2">
      <c r="A102" s="394"/>
      <c r="B102" s="391" t="s">
        <v>321</v>
      </c>
      <c r="C102" s="392">
        <f>E25</f>
        <v>7.4999999999999997E-2</v>
      </c>
    </row>
    <row r="103" spans="1:6" x14ac:dyDescent="0.2">
      <c r="A103" s="394"/>
      <c r="B103" s="391" t="s">
        <v>320</v>
      </c>
      <c r="C103" s="392">
        <f>IF(C15="Y",1%,0)+IF(C16="Y",1%,0)</f>
        <v>0</v>
      </c>
    </row>
    <row r="104" spans="1:6" x14ac:dyDescent="0.2">
      <c r="A104" s="394"/>
      <c r="B104" s="381" t="s">
        <v>544</v>
      </c>
      <c r="C104" s="377">
        <v>0</v>
      </c>
    </row>
    <row r="105" spans="1:6" x14ac:dyDescent="0.2">
      <c r="A105" s="394"/>
      <c r="C105" s="401"/>
    </row>
    <row r="106" spans="1:6" x14ac:dyDescent="0.2">
      <c r="A106" s="394"/>
      <c r="B106" s="402" t="s">
        <v>380</v>
      </c>
      <c r="C106" s="401"/>
    </row>
    <row r="107" spans="1:6" x14ac:dyDescent="0.2">
      <c r="A107" s="394"/>
      <c r="B107" s="466" t="s">
        <v>526</v>
      </c>
      <c r="C107" s="466"/>
      <c r="D107" s="466"/>
      <c r="E107" s="466"/>
      <c r="F107" s="466"/>
    </row>
    <row r="108" spans="1:6" x14ac:dyDescent="0.2">
      <c r="A108" s="394"/>
      <c r="B108" s="466" t="s">
        <v>545</v>
      </c>
      <c r="C108" s="466"/>
      <c r="D108" s="466"/>
      <c r="E108" s="466"/>
      <c r="F108" s="466"/>
    </row>
    <row r="109" spans="1:6" x14ac:dyDescent="0.2">
      <c r="A109" s="394"/>
    </row>
    <row r="110" spans="1:6" x14ac:dyDescent="0.2">
      <c r="A110" s="394"/>
      <c r="B110" s="378" t="s">
        <v>498</v>
      </c>
    </row>
    <row r="111" spans="1:6" x14ac:dyDescent="0.2">
      <c r="A111" s="394"/>
      <c r="B111" s="384" t="s">
        <v>495</v>
      </c>
      <c r="C111" s="403">
        <f>BS!D47</f>
        <v>0.40638898525639144</v>
      </c>
      <c r="D111" s="352" t="str">
        <f>Market_currency</f>
        <v>HKD</v>
      </c>
    </row>
    <row r="112" spans="1:6" x14ac:dyDescent="0.2">
      <c r="A112" s="394"/>
      <c r="B112" s="381" t="s">
        <v>382</v>
      </c>
      <c r="C112" s="403">
        <f>DCF!C11</f>
        <v>2.907643904662621</v>
      </c>
      <c r="D112" s="352" t="str">
        <f>Market_currency</f>
        <v>HKD</v>
      </c>
    </row>
    <row r="113" spans="1:6" x14ac:dyDescent="0.2">
      <c r="A113" s="394"/>
    </row>
    <row r="114" spans="1:6" x14ac:dyDescent="0.2">
      <c r="A114" s="394"/>
      <c r="B114" s="466" t="s">
        <v>527</v>
      </c>
      <c r="C114" s="466"/>
      <c r="D114" s="466"/>
      <c r="E114" s="466"/>
      <c r="F114" s="466"/>
    </row>
    <row r="115" spans="1:6" x14ac:dyDescent="0.2">
      <c r="A115" s="394"/>
    </row>
    <row r="116" spans="1:6" x14ac:dyDescent="0.2">
      <c r="A116" s="394"/>
      <c r="B116" s="378" t="s">
        <v>499</v>
      </c>
    </row>
    <row r="117" spans="1:6" x14ac:dyDescent="0.2">
      <c r="A117" s="394"/>
      <c r="B117" s="351" t="s">
        <v>383</v>
      </c>
      <c r="C117" s="351" t="s">
        <v>384</v>
      </c>
      <c r="D117" s="351" t="s">
        <v>99</v>
      </c>
      <c r="E117" s="351" t="s">
        <v>385</v>
      </c>
      <c r="F117" s="351" t="s">
        <v>386</v>
      </c>
    </row>
    <row r="118" spans="1:6" x14ac:dyDescent="0.2">
      <c r="A118" s="394"/>
      <c r="B118" s="404" t="str">
        <f>DCF!B74</f>
        <v>Snowball Scenario</v>
      </c>
      <c r="C118" s="405">
        <f>DCF!C74</f>
        <v>0.08</v>
      </c>
      <c r="D118" s="406">
        <f>DCF!D74</f>
        <v>5</v>
      </c>
      <c r="E118" s="407" t="str">
        <f>ROUND(DCF!E74,2)&amp;" "&amp;Market_currency</f>
        <v>4.48 HKD</v>
      </c>
      <c r="F118" s="408">
        <f>DCF!F74</f>
        <v>0.05</v>
      </c>
    </row>
    <row r="119" spans="1:6" x14ac:dyDescent="0.2">
      <c r="A119" s="394"/>
      <c r="B119" s="409" t="str">
        <f>DCF!B75</f>
        <v>Optimistic</v>
      </c>
      <c r="C119" s="410">
        <f>DCF!C75</f>
        <v>0.03</v>
      </c>
      <c r="D119" s="411">
        <f>DCF!D75</f>
        <v>5</v>
      </c>
      <c r="E119" s="407" t="str">
        <f>ROUND(DCF!E75,2)&amp;" "&amp;Market_currency</f>
        <v>3.75 HKD</v>
      </c>
      <c r="F119" s="412">
        <f>DCF!F75</f>
        <v>0.18</v>
      </c>
    </row>
    <row r="120" spans="1:6" x14ac:dyDescent="0.2">
      <c r="B120" s="409" t="str">
        <f>DCF!B76</f>
        <v>Base</v>
      </c>
      <c r="C120" s="410">
        <f>DCF!C76</f>
        <v>0.02</v>
      </c>
      <c r="D120" s="411">
        <f>DCF!D76</f>
        <v>5</v>
      </c>
      <c r="E120" s="407" t="str">
        <f>ROUND(DCF!E76,2)&amp;" "&amp;Market_currency</f>
        <v>3.62 HKD</v>
      </c>
      <c r="F120" s="412">
        <f>DCF!F76</f>
        <v>0.53999999999999992</v>
      </c>
    </row>
    <row r="121" spans="1:6" x14ac:dyDescent="0.2">
      <c r="B121" s="409" t="str">
        <f>DCF!B77</f>
        <v>Pessimistic</v>
      </c>
      <c r="C121" s="410">
        <f>DCF!C77</f>
        <v>0.01</v>
      </c>
      <c r="D121" s="411">
        <f>DCF!D77</f>
        <v>5</v>
      </c>
      <c r="E121" s="407" t="str">
        <f>ROUND(DCF!E77,2)&amp;" "&amp;Market_currency</f>
        <v>3.49 HKD</v>
      </c>
      <c r="F121" s="412">
        <f>DCF!F77</f>
        <v>0.18</v>
      </c>
    </row>
    <row r="122" spans="1:6" x14ac:dyDescent="0.2">
      <c r="B122" s="409" t="str">
        <f>DCF!B78</f>
        <v>Devil's advocate</v>
      </c>
      <c r="C122" s="410">
        <f>DCF!C78</f>
        <v>-0.1</v>
      </c>
      <c r="D122" s="411">
        <f>DCF!D78</f>
        <v>5</v>
      </c>
      <c r="E122" s="407" t="str">
        <f>ROUND(DCF!E78,2)&amp;" "&amp;Market_currency</f>
        <v>2.38 HKD</v>
      </c>
      <c r="F122" s="412">
        <f>DCF!F78</f>
        <v>0.05</v>
      </c>
    </row>
    <row r="124" spans="1:6" x14ac:dyDescent="0.2">
      <c r="B124" s="465" t="s">
        <v>528</v>
      </c>
      <c r="C124" s="465"/>
      <c r="D124" s="465"/>
      <c r="E124" s="465"/>
      <c r="F124" s="465"/>
    </row>
    <row r="125" spans="1:6" x14ac:dyDescent="0.2">
      <c r="B125" s="381" t="s">
        <v>218</v>
      </c>
      <c r="C125" s="413">
        <f>Scenarios!C36</f>
        <v>3.600088840982079</v>
      </c>
      <c r="D125" s="352" t="str">
        <f>Market_currency</f>
        <v>HKD</v>
      </c>
    </row>
    <row r="127" spans="1:6" x14ac:dyDescent="0.2">
      <c r="B127" s="470" t="s">
        <v>529</v>
      </c>
      <c r="C127" s="470"/>
      <c r="D127" s="470"/>
      <c r="E127" s="470"/>
      <c r="F127" s="470"/>
    </row>
    <row r="129" spans="1:6" ht="16" x14ac:dyDescent="0.25">
      <c r="A129" s="354" t="s">
        <v>501</v>
      </c>
      <c r="B129" s="354"/>
      <c r="C129" s="354"/>
      <c r="D129" s="354"/>
      <c r="E129" s="354"/>
      <c r="F129" s="354"/>
    </row>
    <row r="131" spans="1:6" x14ac:dyDescent="0.2">
      <c r="B131" s="471" t="s">
        <v>530</v>
      </c>
      <c r="C131" s="471"/>
      <c r="D131" s="471"/>
      <c r="E131" s="471"/>
      <c r="F131" s="471"/>
    </row>
    <row r="132" spans="1:6" ht="24.5" customHeight="1" x14ac:dyDescent="0.2">
      <c r="B132" s="466" t="s">
        <v>531</v>
      </c>
      <c r="C132" s="466"/>
      <c r="D132" s="466"/>
      <c r="E132" s="466"/>
      <c r="F132" s="466"/>
    </row>
    <row r="134" spans="1:6" x14ac:dyDescent="0.2">
      <c r="B134" s="378" t="s">
        <v>376</v>
      </c>
    </row>
    <row r="135" spans="1:6" x14ac:dyDescent="0.2">
      <c r="B135" s="352" t="s">
        <v>387</v>
      </c>
      <c r="C135" s="414">
        <f>E21</f>
        <v>2</v>
      </c>
    </row>
    <row r="136" spans="1:6" x14ac:dyDescent="0.2">
      <c r="B136" s="352" t="s">
        <v>388</v>
      </c>
      <c r="C136" s="415">
        <f>Scenarios!C58</f>
        <v>0.15920000000000001</v>
      </c>
      <c r="D136" s="352" t="str">
        <f>Market_currency</f>
        <v>HKD</v>
      </c>
    </row>
    <row r="138" spans="1:6" x14ac:dyDescent="0.2">
      <c r="B138" s="378" t="s">
        <v>502</v>
      </c>
      <c r="C138" s="416"/>
      <c r="D138" s="416"/>
    </row>
    <row r="139" spans="1:6" x14ac:dyDescent="0.2">
      <c r="B139" s="349" t="s">
        <v>471</v>
      </c>
      <c r="C139" s="349" t="str">
        <f>"PV("&amp;Holding_Period&amp;" yrs of Dividends)"</f>
        <v>PV(2 yrs of Dividends)</v>
      </c>
      <c r="D139" s="349" t="s">
        <v>480</v>
      </c>
      <c r="E139" s="350" t="str">
        <f>"Buy below ("&amp;Market_currency&amp;")"</f>
        <v>Buy below (HKD)</v>
      </c>
      <c r="F139" s="350" t="s">
        <v>504</v>
      </c>
    </row>
    <row r="140" spans="1:6" x14ac:dyDescent="0.2">
      <c r="B140" s="417" t="s">
        <v>315</v>
      </c>
      <c r="C140" s="418">
        <f>Scenarios!C62</f>
        <v>0.20527846364883409</v>
      </c>
      <c r="D140" s="418">
        <f>Scenarios!D62</f>
        <v>1.9753573887418812</v>
      </c>
      <c r="E140" s="419">
        <f>Scenarios!E62</f>
        <v>2.1806358523907154</v>
      </c>
      <c r="F140" s="420">
        <f>E22</f>
        <v>0.35</v>
      </c>
    </row>
    <row r="141" spans="1:6" x14ac:dyDescent="0.2">
      <c r="B141" s="417" t="s">
        <v>316</v>
      </c>
      <c r="C141" s="418">
        <f>Scenarios!C63</f>
        <v>0.22924800000000001</v>
      </c>
      <c r="D141" s="418">
        <f>Scenarios!D63</f>
        <v>2.3040568582285306</v>
      </c>
      <c r="E141" s="419">
        <f>Scenarios!E63</f>
        <v>2.5333048582285307</v>
      </c>
      <c r="F141" s="420">
        <f>Scenarios!F63</f>
        <v>0.25</v>
      </c>
    </row>
    <row r="143" spans="1:6" x14ac:dyDescent="0.2">
      <c r="B143" s="349" t="s">
        <v>472</v>
      </c>
      <c r="C143" s="349" t="str">
        <f>"PV("&amp;Holding_Period&amp;" yrs of Dividends)"</f>
        <v>PV(2 yrs of Dividends)</v>
      </c>
      <c r="D143" s="349" t="s">
        <v>480</v>
      </c>
      <c r="E143" s="350" t="str">
        <f>"Sell above ("&amp;Market_currency&amp;")"</f>
        <v>Sell above (HKD)</v>
      </c>
      <c r="F143" s="350" t="s">
        <v>504</v>
      </c>
    </row>
    <row r="144" spans="1:6" x14ac:dyDescent="0.2">
      <c r="B144" s="417" t="s">
        <v>318</v>
      </c>
      <c r="C144" s="418">
        <f>Scenarios!C66</f>
        <v>0.26997816308147637</v>
      </c>
      <c r="D144" s="418">
        <f>Scenarios!D66</f>
        <v>2.8833401808159511</v>
      </c>
      <c r="E144" s="419">
        <f>Scenarios!E66</f>
        <v>3.1533183438974275</v>
      </c>
      <c r="F144" s="420">
        <f>E24</f>
        <v>0.1174</v>
      </c>
    </row>
    <row r="145" spans="1:6" x14ac:dyDescent="0.2">
      <c r="B145" s="417" t="s">
        <v>317</v>
      </c>
      <c r="C145" s="418">
        <f>Scenarios!C67</f>
        <v>0.28585397512168731</v>
      </c>
      <c r="D145" s="418">
        <f>Scenarios!D67</f>
        <v>3.1152742810012586</v>
      </c>
      <c r="E145" s="419">
        <f>Scenarios!E67</f>
        <v>3.4011282561229459</v>
      </c>
      <c r="F145" s="420">
        <f>Scenarios!F67</f>
        <v>7.4999999999999997E-2</v>
      </c>
    </row>
    <row r="147" spans="1:6" ht="16" x14ac:dyDescent="0.25">
      <c r="A147" s="354" t="s">
        <v>484</v>
      </c>
      <c r="B147" s="354"/>
      <c r="C147" s="354"/>
      <c r="D147" s="354"/>
      <c r="E147" s="354"/>
      <c r="F147" s="354"/>
    </row>
    <row r="149" spans="1:6" x14ac:dyDescent="0.2">
      <c r="B149" s="472" t="s">
        <v>532</v>
      </c>
      <c r="C149" s="466"/>
      <c r="D149" s="466"/>
      <c r="E149" s="466"/>
      <c r="F149" s="466"/>
    </row>
    <row r="151" spans="1:6" x14ac:dyDescent="0.2">
      <c r="B151" s="378" t="s">
        <v>389</v>
      </c>
    </row>
    <row r="152" spans="1:6" x14ac:dyDescent="0.2">
      <c r="B152" s="468" t="s">
        <v>533</v>
      </c>
      <c r="C152" s="468"/>
      <c r="D152" s="468"/>
      <c r="E152" s="468"/>
      <c r="F152" s="468"/>
    </row>
    <row r="153" spans="1:6" x14ac:dyDescent="0.2">
      <c r="B153" s="421" t="s">
        <v>390</v>
      </c>
    </row>
    <row r="154" spans="1:6" x14ac:dyDescent="0.2">
      <c r="B154" s="421" t="s">
        <v>391</v>
      </c>
    </row>
    <row r="155" spans="1:6" x14ac:dyDescent="0.2">
      <c r="B155" s="421" t="s">
        <v>392</v>
      </c>
    </row>
    <row r="157" spans="1:6" x14ac:dyDescent="0.2">
      <c r="B157" s="352" t="s">
        <v>534</v>
      </c>
    </row>
    <row r="158" spans="1:6" ht="24.5" customHeight="1" x14ac:dyDescent="0.2">
      <c r="B158" s="465" t="s">
        <v>448</v>
      </c>
      <c r="C158" s="465"/>
      <c r="D158" s="465"/>
      <c r="E158" s="465"/>
      <c r="F158" s="465"/>
    </row>
    <row r="160" spans="1:6" x14ac:dyDescent="0.2">
      <c r="B160" s="352" t="s">
        <v>535</v>
      </c>
    </row>
    <row r="161" spans="2:6" x14ac:dyDescent="0.2">
      <c r="B161" s="469" t="s">
        <v>393</v>
      </c>
      <c r="C161" s="469"/>
      <c r="D161" s="469"/>
      <c r="E161" s="469"/>
      <c r="F161" s="469"/>
    </row>
    <row r="162" spans="2:6" x14ac:dyDescent="0.2">
      <c r="B162" s="469" t="s">
        <v>394</v>
      </c>
      <c r="C162" s="469"/>
      <c r="D162" s="469"/>
      <c r="E162" s="469"/>
      <c r="F162" s="469"/>
    </row>
    <row r="164" spans="2:6" x14ac:dyDescent="0.2">
      <c r="B164" s="352" t="s">
        <v>536</v>
      </c>
    </row>
    <row r="165" spans="2:6" x14ac:dyDescent="0.2">
      <c r="B165" s="421" t="s">
        <v>395</v>
      </c>
    </row>
    <row r="166" spans="2:6" x14ac:dyDescent="0.2">
      <c r="B166" s="421" t="s">
        <v>396</v>
      </c>
    </row>
    <row r="167" spans="2:6" x14ac:dyDescent="0.2">
      <c r="B167" s="421" t="s">
        <v>397</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2025-10-01T14:24:59Z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