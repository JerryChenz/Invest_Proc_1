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showObjects="none" codeName="ThisWorkbook"/>
  <mc:AlternateContent xmlns:mc="http://schemas.openxmlformats.org/markup-compatibility/2006">
    <mc:Choice Requires="x15">
      <x15ac:absPath xmlns:x15ac="http://schemas.microsoft.com/office/spreadsheetml/2010/11/ac" url="C:\Users\jerry\PycharmProjects\Invest_Proc\financial_models\templates\"/>
    </mc:Choice>
  </mc:AlternateContent>
  <xr:revisionPtr revIDLastSave="0" documentId="13_ncr:1_{79B6FBB4-833F-438A-92F8-088CE90E1531}" xr6:coauthVersionLast="47" xr6:coauthVersionMax="47" xr10:uidLastSave="{00000000-0000-0000-0000-000000000000}"/>
  <bookViews>
    <workbookView xWindow="-28920" yWindow="6150" windowWidth="29040" windowHeight="15720" activeTab="6"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DCF!$B$81:$M$81</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B71" i="8" l="1"/>
  <c r="C71" i="8"/>
  <c r="D71" i="8"/>
  <c r="E71" i="8"/>
  <c r="F71" i="8"/>
  <c r="B72" i="8"/>
  <c r="C72" i="8"/>
  <c r="D72" i="8"/>
  <c r="E72" i="8"/>
  <c r="F72" i="8"/>
  <c r="B73" i="8"/>
  <c r="C73" i="8"/>
  <c r="D73" i="8"/>
  <c r="E73" i="8"/>
  <c r="F73" i="8"/>
  <c r="B74" i="8"/>
  <c r="C74" i="8"/>
  <c r="D74" i="8"/>
  <c r="E74" i="8"/>
  <c r="F74" i="8"/>
  <c r="A72" i="8"/>
  <c r="A74" i="8"/>
  <c r="D4" i="9"/>
  <c r="C4" i="2"/>
  <c r="C104" i="6"/>
  <c r="C17" i="12"/>
  <c r="D51" i="8"/>
  <c r="C143" i="6" l="1"/>
  <c r="C139" i="6"/>
  <c r="C139" i="12"/>
  <c r="C143" i="12"/>
  <c r="E143" i="12"/>
  <c r="E139" i="12"/>
  <c r="E143" i="6" l="1"/>
  <c r="E139" i="6"/>
  <c r="D92" i="6"/>
  <c r="G8" i="8"/>
  <c r="C9" i="8"/>
  <c r="G23" i="9"/>
  <c r="G24" i="9"/>
  <c r="G30" i="9"/>
  <c r="G29" i="9"/>
  <c r="C57" i="9"/>
  <c r="F33" i="9"/>
  <c r="E21" i="12"/>
  <c r="E65" i="9"/>
  <c r="E61" i="9"/>
  <c r="D33" i="9"/>
  <c r="D25" i="9"/>
  <c r="B86" i="8"/>
  <c r="B82" i="8"/>
  <c r="E28" i="9"/>
  <c r="B84" i="8"/>
  <c r="B85" i="8"/>
  <c r="B83" i="8"/>
  <c r="D30" i="9"/>
  <c r="D29" i="9"/>
  <c r="E21" i="9"/>
  <c r="D10" i="8"/>
  <c r="G7" i="8"/>
  <c r="H8" i="8"/>
  <c r="H20" i="8"/>
  <c r="H3" i="2"/>
  <c r="H12" i="3"/>
  <c r="G12" i="3"/>
  <c r="C16" i="8" l="1"/>
  <c r="C41" i="9" s="1"/>
  <c r="F16" i="8"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40" i="12" l="1"/>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C32" i="4"/>
  <c r="C30" i="4"/>
  <c r="C29" i="4"/>
  <c r="C28" i="4"/>
  <c r="D64" i="4"/>
  <c r="E64" i="4"/>
  <c r="F64" i="4"/>
  <c r="G64" i="4"/>
  <c r="H64" i="4"/>
  <c r="I64" i="4"/>
  <c r="J64" i="4"/>
  <c r="K64" i="4"/>
  <c r="L64" i="4"/>
  <c r="M64" i="4"/>
  <c r="C64" i="4"/>
  <c r="E83" i="2"/>
  <c r="E84" i="2"/>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86" i="8"/>
  <c r="F122" i="12" s="1"/>
  <c r="F82" i="8"/>
  <c r="D89" i="6"/>
  <c r="D84" i="6"/>
  <c r="D78" i="6"/>
  <c r="D61" i="6"/>
  <c r="D49" i="6"/>
  <c r="B79" i="2"/>
  <c r="H9" i="8" s="1"/>
  <c r="D55" i="6"/>
  <c r="D52" i="6"/>
  <c r="D46" i="6"/>
  <c r="D41" i="6"/>
  <c r="D38" i="6"/>
  <c r="D37" i="6"/>
  <c r="D34" i="6"/>
  <c r="F118" i="6" l="1"/>
  <c r="F118" i="12"/>
  <c r="F84" i="8"/>
  <c r="F85" i="8"/>
  <c r="F122" i="6"/>
  <c r="F121" i="6" l="1"/>
  <c r="F121" i="12"/>
  <c r="F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C56" i="2" s="1"/>
  <c r="D79" i="3"/>
  <c r="D82" i="3" s="1"/>
  <c r="H42" i="3" s="1"/>
  <c r="F6" i="8" s="1"/>
  <c r="C79" i="3"/>
  <c r="C82" i="3" s="1"/>
  <c r="G42" i="3" s="1"/>
  <c r="B47" i="3"/>
  <c r="D58" i="9"/>
  <c r="D36" i="9"/>
  <c r="D11" i="8"/>
  <c r="D8" i="8"/>
  <c r="C82"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66" i="2"/>
  <c r="C58" i="2" s="1"/>
  <c r="B122" i="6" l="1"/>
  <c r="B122" i="12"/>
  <c r="B120" i="6"/>
  <c r="B120" i="12"/>
  <c r="B118" i="6"/>
  <c r="B118" i="12"/>
  <c r="B121" i="6"/>
  <c r="B121" i="12"/>
  <c r="B119" i="6"/>
  <c r="B119" i="12"/>
  <c r="C88" i="3"/>
  <c r="D88" i="3" s="1"/>
  <c r="C89" i="12"/>
  <c r="C90" i="12" s="1"/>
  <c r="F83" i="8"/>
  <c r="D82" i="8"/>
  <c r="F55" i="8"/>
  <c r="F68" i="8" s="1"/>
  <c r="C118" i="6"/>
  <c r="C89" i="6"/>
  <c r="C90" i="6" s="1"/>
  <c r="G65" i="2"/>
  <c r="C65" i="2" l="1"/>
  <c r="C57" i="2" s="1"/>
  <c r="D118" i="6"/>
  <c r="D118" i="12"/>
  <c r="F119" i="6"/>
  <c r="F119" i="12"/>
  <c r="C85" i="8"/>
  <c r="C121" i="12" s="1"/>
  <c r="D24" i="9"/>
  <c r="D86" i="8"/>
  <c r="D23" i="9"/>
  <c r="C84" i="8"/>
  <c r="C120" i="12" s="1"/>
  <c r="C86" i="8"/>
  <c r="C122" i="12" s="1"/>
  <c r="D83" i="8"/>
  <c r="C83" i="8"/>
  <c r="C119" i="12" s="1"/>
  <c r="C15" i="8"/>
  <c r="B51" i="8" s="1"/>
  <c r="Q95" i="2"/>
  <c r="A79" i="8"/>
  <c r="A78" i="8"/>
  <c r="D122" i="6" l="1"/>
  <c r="D122" i="12"/>
  <c r="D119" i="6"/>
  <c r="D119" i="12"/>
  <c r="D85" i="8"/>
  <c r="D84" i="8"/>
  <c r="C59" i="2"/>
  <c r="C61" i="2" s="1"/>
  <c r="D55" i="8"/>
  <c r="C120" i="6"/>
  <c r="B55" i="8"/>
  <c r="B68"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6" l="1"/>
  <c r="D120" i="12"/>
  <c r="D121" i="6"/>
  <c r="D121" i="12"/>
  <c r="C9" i="2"/>
  <c r="I7" i="8" s="1"/>
  <c r="H32" i="3"/>
  <c r="H27" i="3" s="1"/>
  <c r="H29" i="3" s="1"/>
  <c r="D46" i="3" s="1"/>
  <c r="D47" i="3" s="1"/>
  <c r="D68" i="8"/>
  <c r="E68" i="8"/>
  <c r="A75" i="8"/>
  <c r="A76" i="8"/>
  <c r="A77" i="8"/>
  <c r="A70"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C33" i="9" s="1"/>
  <c r="C58" i="9" s="1"/>
  <c r="G103" i="2"/>
  <c r="E77" i="4"/>
  <c r="F77" i="4"/>
  <c r="G77" i="4"/>
  <c r="H77" i="4"/>
  <c r="E78" i="4"/>
  <c r="F78" i="4"/>
  <c r="G78" i="4"/>
  <c r="H78" i="4"/>
  <c r="D78" i="4"/>
  <c r="D80" i="4"/>
  <c r="H104" i="2" s="1"/>
  <c r="D77" i="4"/>
  <c r="C62" i="9" l="1"/>
  <c r="C66" i="9"/>
  <c r="C63" i="9"/>
  <c r="C67" i="9"/>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136" i="6" l="1"/>
  <c r="C136" i="12"/>
  <c r="C63" i="6"/>
  <c r="C89" i="2"/>
  <c r="G72" i="4"/>
  <c r="I72" i="4"/>
  <c r="F72" i="4"/>
  <c r="E72" i="4"/>
  <c r="D72" i="4"/>
  <c r="J72" i="4"/>
  <c r="H72" i="4"/>
  <c r="L69" i="4"/>
  <c r="L70" i="4"/>
  <c r="L72" i="4"/>
  <c r="L71" i="4"/>
  <c r="K72" i="4"/>
  <c r="C72" i="4"/>
  <c r="C15" i="2"/>
  <c r="G41" i="3"/>
  <c r="G32" i="3"/>
  <c r="G27" i="3"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31" i="4"/>
  <c r="C80" i="4" s="1"/>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C30" i="2" s="1"/>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82" i="2"/>
  <c r="C18" i="8" s="1"/>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40" i="9"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C79" i="2" s="1"/>
  <c r="I9" i="8" s="1"/>
  <c r="F18" i="8" l="1"/>
  <c r="H51" i="8" s="1"/>
  <c r="E15" i="8"/>
  <c r="F15" i="8"/>
  <c r="C13" i="2"/>
  <c r="C49" i="12" s="1"/>
  <c r="G1" i="2"/>
  <c r="A41" i="8" l="1"/>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F8" i="8" l="1"/>
  <c r="B70" i="8"/>
  <c r="B76" i="8"/>
  <c r="D76" i="8"/>
  <c r="F79" i="8"/>
  <c r="E77" i="8"/>
  <c r="F70" i="8"/>
  <c r="C75" i="8"/>
  <c r="C79" i="8"/>
  <c r="C70" i="8"/>
  <c r="E79" i="8"/>
  <c r="F76" i="8"/>
  <c r="C77" i="8"/>
  <c r="F78" i="8"/>
  <c r="D79" i="8"/>
  <c r="F75" i="8"/>
  <c r="E70" i="8"/>
  <c r="F77" i="8"/>
  <c r="B75" i="8"/>
  <c r="E76" i="8"/>
  <c r="C76" i="8"/>
  <c r="B78" i="8"/>
  <c r="B79" i="8"/>
  <c r="E78" i="8"/>
  <c r="C78" i="8"/>
  <c r="E75" i="8"/>
  <c r="D75" i="8"/>
  <c r="D78" i="8"/>
  <c r="B77" i="8"/>
  <c r="D70" i="8"/>
  <c r="D77"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86" i="8"/>
  <c r="C48" i="2"/>
  <c r="C10" i="2" s="1"/>
  <c r="I8" i="8" s="1"/>
  <c r="I6" i="8" s="1"/>
  <c r="I1" i="2"/>
  <c r="G21" i="8" l="1"/>
  <c r="I21" i="8" s="1"/>
  <c r="G26" i="8"/>
  <c r="I26" i="8" s="1"/>
  <c r="G27" i="8"/>
  <c r="I27" i="8" s="1"/>
  <c r="G28" i="8"/>
  <c r="I28" i="8" s="1"/>
  <c r="J28" i="8" s="1"/>
  <c r="E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68" i="8"/>
  <c r="G36" i="8" l="1"/>
  <c r="C37" i="8"/>
  <c r="G35" i="8"/>
  <c r="E82" i="8"/>
  <c r="E83" i="8"/>
  <c r="E85" i="8"/>
  <c r="E84" i="8"/>
  <c r="E120" i="6" l="1"/>
  <c r="E120" i="12"/>
  <c r="E121" i="6"/>
  <c r="E121" i="12"/>
  <c r="E118" i="12"/>
  <c r="E118" i="6"/>
  <c r="E119" i="12"/>
  <c r="E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E10" i="12" l="1"/>
  <c r="C42" i="8"/>
  <c r="G41" i="8"/>
  <c r="G40" i="8"/>
  <c r="H119" i="2"/>
  <c r="H115" i="2" s="1"/>
  <c r="E66" i="9"/>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69" i="8" l="1"/>
  <c r="C112" i="6"/>
  <c r="C112" i="12"/>
  <c r="C35" i="9"/>
  <c r="F35" i="9" s="1"/>
  <c r="I18" i="8"/>
  <c r="C69" i="8"/>
  <c r="D69" i="8"/>
  <c r="E69" i="8"/>
  <c r="F69" i="8"/>
  <c r="A55" i="8"/>
  <c r="C50" i="9" l="1"/>
  <c r="C51" i="9" s="1"/>
  <c r="C19" i="6" s="1"/>
  <c r="C47" i="9"/>
  <c r="G66" i="9" s="1"/>
  <c r="C19" i="12" l="1"/>
</calcChain>
</file>

<file path=xl/sharedStrings.xml><?xml version="1.0" encoding="utf-8"?>
<sst xmlns="http://schemas.openxmlformats.org/spreadsheetml/2006/main" count="766" uniqueCount="555">
  <si>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</si>
  <si>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</si>
  <si>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</si>
  <si>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</si>
  <si>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</si>
  <si>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</si>
  <si>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</si>
  <si>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</si>
  <si>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</si>
  <si>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</si>
  <si>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</si>
  <si>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</si>
  <si>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</si>
  <si>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</si>
  <si>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</si>
  <si>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</si>
  <si>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</si>
  <si>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</si>
  <si>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</si>
  <si>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</si>
  <si>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</si>
  <si>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</si>
  <si>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</si>
  <si>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</si>
  <si>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</si>
  <si>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</si>
  <si>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</si>
  <si>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</si>
  <si>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</si>
  <si>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</si>
  <si>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</si>
  <si>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</si>
  <si>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</si>
  <si>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</si>
  <si>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</si>
  <si>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</si>
  <si>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</si>
  <si>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</si>
  <si>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</si>
  <si>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</si>
  <si>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</si>
  <si>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</si>
  <si>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</si>
  <si>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</si>
  <si>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</si>
  <si>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</si>
  <si>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</si>
  <si>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</si>
  <si>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</si>
  <si>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</si>
  <si>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</si>
  <si>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</si>
  <si>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</si>
  <si>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</si>
  <si>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</si>
  <si>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</si>
  <si>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</si>
  <si>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</si>
  <si>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</si>
  <si>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</si>
  <si>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</si>
  <si>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</si>
  <si>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</si>
  <si>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</si>
  <si>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</si>
  <si>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</si>
  <si>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</si>
  <si>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</si>
  <si>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</si>
  <si>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</si>
  <si>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</si>
  <si>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</si>
  <si>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</si>
  <si>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</si>
  <si>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</si>
  <si>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</si>
  <si>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</si>
  <si>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</si>
  <si>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</si>
  <si>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</si>
  <si>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</si>
  <si>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</si>
  <si>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</si>
  <si>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</si>
  <si>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</si>
  <si>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</si>
  <si>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</si>
  <si>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</si>
  <si>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</si>
  <si>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</si>
  <si>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</si>
  <si>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</si>
  <si>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</si>
  <si>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</si>
  <si>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</si>
  <si>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</si>
  <si>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</si>
  <si>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</si>
  <si>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</si>
  <si>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</si>
  <si>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</si>
  <si>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</si>
  <si>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</si>
  <si>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</si>
  <si>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</si>
  <si>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</si>
  <si>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</si>
  <si>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</si>
  <si>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</si>
  <si>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</si>
  <si>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</si>
  <si>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</si>
  <si>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</si>
  <si>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</si>
  <si>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</si>
  <si>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</si>
  <si>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</si>
  <si>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</si>
  <si>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</si>
  <si>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</si>
  <si>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</si>
  <si>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</si>
  <si>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</si>
  <si>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</si>
  <si>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</si>
  <si>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</si>
  <si>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</si>
  <si>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</si>
  <si>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</si>
  <si>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</si>
  <si>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</si>
  <si>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</si>
  <si>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</si>
  <si>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</si>
  <si>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</si>
  <si>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</si>
  <si>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</si>
  <si>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</si>
  <si>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</si>
  <si>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</si>
  <si>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</si>
  <si>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</si>
  <si>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</si>
  <si>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</si>
  <si>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</si>
  <si>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</si>
  <si>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</si>
  <si>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</si>
  <si>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</si>
  <si>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</si>
  <si>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</si>
  <si>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</si>
  <si>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</si>
  <si>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</si>
  <si>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</si>
  <si>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</si>
  <si>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</si>
  <si>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</si>
  <si>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</si>
  <si>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</si>
  <si>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</si>
  <si>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</si>
  <si>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</si>
  <si>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</si>
  <si>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</si>
  <si>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</si>
  <si>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</si>
  <si>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</si>
  <si>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</si>
  <si>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</si>
  <si>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</si>
  <si>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</si>
  <si>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</si>
  <si>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</si>
  <si>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</si>
  <si>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</si>
  <si>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</si>
  <si>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</si>
  <si>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</si>
  <si>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</si>
  <si>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</si>
  <si>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</si>
  <si>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</si>
  <si>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</si>
  <si>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</si>
  <si>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</si>
  <si>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</si>
  <si>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</si>
  <si>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</si>
  <si>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</si>
  <si>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</si>
  <si>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</si>
  <si>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</si>
  <si>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</si>
  <si>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</si>
  <si>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</si>
  <si>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</si>
  <si>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</si>
  <si>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</si>
  <si>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</si>
  <si>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</si>
  <si>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</si>
  <si>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</si>
  <si>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</si>
  <si>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</si>
  <si>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</si>
  <si>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</si>
  <si>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</si>
  <si>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</si>
  <si>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</si>
  <si>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</si>
  <si>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</si>
  <si>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</si>
  <si>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</si>
  <si>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</si>
  <si>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</si>
  <si>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</si>
  <si>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</si>
  <si>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</si>
  <si>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</si>
  <si>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</si>
  <si>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</si>
  <si>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</si>
  <si>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</si>
  <si>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</si>
  <si>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</si>
  <si>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</si>
  <si>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</si>
  <si>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</si>
  <si>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</si>
  <si>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</si>
  <si>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</si>
  <si>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</si>
  <si>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</si>
  <si>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</si>
  <si>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</si>
  <si>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</si>
  <si>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</si>
  <si>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</si>
  <si>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</si>
  <si>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</si>
  <si>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</si>
  <si>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</si>
  <si>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</si>
  <si>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</si>
  <si>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</si>
  <si>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</si>
  <si>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</si>
  <si>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</si>
  <si>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</si>
  <si>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</si>
  <si>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</si>
  <si>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</si>
  <si>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</si>
  <si>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</si>
  <si>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</si>
  <si>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</si>
  <si>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</si>
  <si>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</si>
  <si>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</si>
  <si>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</si>
  <si>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</si>
  <si>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</si>
  <si>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</si>
  <si>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</si>
  <si>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</si>
  <si>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</si>
  <si>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</si>
  <si>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</si>
  <si>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</si>
  <si>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</si>
  <si>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</si>
  <si>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</si>
  <si>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</si>
  <si>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</si>
  <si>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</si>
  <si>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</si>
  <si>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</si>
  <si>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</si>
  <si>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</si>
  <si>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</si>
  <si>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Historical Average or D&amp;A</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</si>
  <si>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</si>
  <si>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</si>
  <si>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</si>
  <si>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</si>
  <si>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</si>
  <si>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</si>
  <si>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</si>
  <si>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</si>
  <si>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</si>
  <si>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</si>
  <si>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</si>
  <si>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</si>
  <si>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</si>
  <si>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</si>
  <si>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</si>
  <si>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</si>
  <si>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</si>
  <si>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</si>
  <si>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</si>
  <si>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</si>
  <si>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</si>
  <si>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</si>
  <si>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</si>
  <si>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</si>
  <si>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</si>
  <si>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</si>
  <si>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</si>
  <si>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</si>
  <si>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</si>
  <si>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</si>
  <si>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</si>
  <si>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</si>
  <si>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</si>
  <si>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</si>
  <si>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</si>
  <si>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</si>
  <si>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</si>
  <si>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</si>
  <si>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</si>
  <si>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</si>
  <si>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</si>
  <si>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</si>
  <si>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</si>
  <si>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</si>
  <si>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</si>
  <si>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</si>
  <si>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</si>
  <si>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</si>
  <si>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</si>
  <si>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</si>
  <si>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</si>
  <si>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</si>
  <si>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</si>
  <si>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</si>
  <si>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</si>
  <si>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</si>
  <si>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</si>
  <si>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</si>
  <si>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</si>
  <si>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</si>
  <si>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</si>
  <si>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</si>
  <si>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</si>
  <si>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</si>
  <si>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</si>
  <si>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</si>
  <si>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</si>
  <si>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</si>
  <si>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</si>
  <si>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</si>
  <si>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</si>
  <si>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</si>
  <si>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</si>
  <si>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</si>
  <si>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</si>
  <si>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</si>
  <si>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</si>
  <si>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</si>
  <si>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</si>
  <si>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</si>
  <si>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</si>
  <si>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</si>
  <si>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</si>
  <si>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</si>
  <si>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</si>
  <si>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</si>
  <si>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</si>
  <si>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</si>
  <si>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</si>
  <si>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</si>
  <si>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</si>
  <si>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</si>
  <si>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</si>
  <si>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</si>
  <si>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</si>
  <si>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</si>
  <si>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</si>
  <si>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</si>
  <si>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</si>
  <si>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</si>
  <si>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</si>
  <si>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</si>
  <si>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</si>
  <si>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</si>
  <si>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</si>
  <si>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</si>
  <si>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</si>
  <si>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</si>
  <si>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</si>
  <si>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</si>
  <si>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</si>
  <si>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</si>
  <si>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</si>
  <si>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</si>
  <si>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</si>
  <si>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</si>
  <si>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</si>
  <si>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</si>
  <si>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</si>
  <si>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</si>
  <si>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</si>
  <si>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</si>
  <si>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</si>
  <si>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</si>
  <si>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CNS_01</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</si>
  <si>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</si>
  <si>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</si>
  <si>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</si>
  <si>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</si>
  <si>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</si>
  <si>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</si>
  <si>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</si>
  <si>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</si>
  <si>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</si>
  <si>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</si>
  <si>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</si>
  <si>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</si>
  <si>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</si>
  <si>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</si>
  <si>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</si>
  <si>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</si>
  <si>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</si>
  <si>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</si>
  <si>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</si>
  <si>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</si>
  <si>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</si>
  <si>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</si>
  <si>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</si>
  <si>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</si>
  <si>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</si>
  <si>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</si>
  <si>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</si>
  <si>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</si>
  <si>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</si>
  <si>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</si>
  <si>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</si>
  <si>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</si>
  <si>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</si>
  <si>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</si>
  <si>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</si>
  <si>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</si>
  <si>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</si>
  <si>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</si>
  <si>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</si>
  <si>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</si>
  <si>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</si>
  <si>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</si>
  <si>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</si>
  <si>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</si>
  <si>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</si>
  <si>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</si>
  <si>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</si>
  <si>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</si>
  <si>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</si>
  <si>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</si>
  <si>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</si>
  <si>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</si>
  <si>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</si>
  <si>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</si>
  <si>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</si>
  <si>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</si>
  <si>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</si>
  <si>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</si>
  <si>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</si>
  <si>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</si>
  <si>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</si>
  <si>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</si>
  <si>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</si>
  <si>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</si>
  <si>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</si>
  <si>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</si>
  <si>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</si>
  <si>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</si>
  <si>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</si>
  <si>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</si>
  <si>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</si>
  <si>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</si>
  <si>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</si>
  <si>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</si>
  <si>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</si>
  <si>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</si>
  <si>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</si>
  <si>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</si>
  <si>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</si>
  <si>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</si>
  <si>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</si>
  <si>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</si>
  <si>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</si>
  <si>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</si>
  <si>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</si>
  <si>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</si>
  <si>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</si>
  <si>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</si>
  <si>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</si>
  <si>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</si>
  <si>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</si>
  <si>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</si>
  <si>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</si>
  <si>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</si>
  <si>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</si>
  <si>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</si>
  <si>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</si>
  <si>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</si>
  <si>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</si>
  <si>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</si>
  <si>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</si>
  <si>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</si>
  <si>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</si>
  <si>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</si>
  <si>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</si>
  <si>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</si>
  <si>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</si>
  <si>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</si>
  <si>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</si>
  <si>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</si>
  <si>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</si>
  <si>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</si>
  <si>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</si>
  <si>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</si>
  <si>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</si>
  <si>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</si>
  <si>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</si>
  <si>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</si>
  <si>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</si>
  <si>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</si>
  <si>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</si>
  <si>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</si>
  <si>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</si>
  <si>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</si>
  <si>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</si>
  <si>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</si>
  <si>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</si>
  <si>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</si>
  <si>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</si>
  <si>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</si>
  <si>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</si>
  <si>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</si>
  <si>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</si>
  <si>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</si>
  <si>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</si>
  <si>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</si>
  <si>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</si>
  <si>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</si>
  <si>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</si>
  <si>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</si>
  <si>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</si>
  <si>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</si>
  <si>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1448.HK</t>
  </si>
  <si>
    <t>福寿园</t>
  </si>
  <si>
    <t>CNY</t>
  </si>
  <si>
    <t>EBIT</t>
  </si>
  <si>
    <t>Prompt for fundamental Analysis</t>
  </si>
  <si>
    <t>accepts 5-10, 15, 20, 25, or 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</si>
</sst>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7">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opLeftCell="A7" zoomScaleNormal="100" workbookViewId="0">
      <selection activeCell="D10" sqref="D10:E10"/>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2" t="s">
        <v>225</v>
      </c>
      <c r="B2" s="34"/>
      <c r="C2" s="34"/>
      <c r="D2" s="34"/>
      <c r="E2" s="34"/>
      <c r="F2" s="34"/>
      <c r="G2" s="21"/>
      <c r="H2" s="21"/>
      <c r="I2" s="21"/>
    </row>
    <row r="3" spans="1:9">
      <c r="E3" s="436" t="s">
        <v>544</v>
      </c>
      <c r="F3" s="437">
        <v>45930</v>
      </c>
    </row>
    <row r="4" spans="1:9" ht="12.4">
      <c r="B4" s="429" t="s">
        <v>539</v>
      </c>
      <c r="C4" s="428" t="s">
        <v>550</v>
      </c>
      <c r="E4" s="438" t="s">
        <v>543</v>
      </c>
      <c r="F4" s="439" t="s">
        <v>326</v>
      </c>
    </row>
    <row r="5" spans="1:9">
      <c r="B5" s="1" t="s">
        <v>351</v>
      </c>
      <c r="C5" s="46" t="s">
        <v>549</v>
      </c>
      <c r="E5" s="441" t="s">
        <v>545</v>
      </c>
      <c r="F5" s="440" t="s">
        <v>503</v>
      </c>
    </row>
    <row r="6" spans="1:9">
      <c r="B6" s="2" t="s">
        <v>53</v>
      </c>
      <c r="C6" s="45" t="s">
        <v>406</v>
      </c>
      <c r="D6" s="45"/>
      <c r="E6" s="45"/>
    </row>
    <row r="7" spans="1:9">
      <c r="B7" s="1" t="s">
        <v>353</v>
      </c>
      <c r="C7" s="45" t="s">
        <v>310</v>
      </c>
      <c r="D7" s="45"/>
      <c r="E7" s="45"/>
    </row>
    <row r="8" spans="1:9">
      <c r="B8" s="4" t="s">
        <v>352</v>
      </c>
      <c r="C8" s="47">
        <v>2.85</v>
      </c>
      <c r="E8" s="32"/>
    </row>
    <row r="9" spans="1:9">
      <c r="B9" s="4" t="s">
        <v>348</v>
      </c>
      <c r="C9" s="48">
        <v>2319863422</v>
      </c>
    </row>
    <row r="10" spans="1:9">
      <c r="B10" s="4" t="s">
        <v>354</v>
      </c>
      <c r="C10" s="33">
        <f>Thesis!C8*Common_Shares/1000000</f>
        <v>6611.6107526999995</v>
      </c>
      <c r="D10" s="1" t="s">
        <v>534</v>
      </c>
      <c r="E10" s="310">
        <f>Scenarios!F34</f>
        <v>3.9918854928095174E-2</v>
      </c>
    </row>
    <row r="11" spans="1:9">
      <c r="D11" s="5"/>
      <c r="E11" s="5"/>
    </row>
    <row r="12" spans="1:9" ht="24.5" customHeight="1">
      <c r="B12" s="461" t="s">
        <v>357</v>
      </c>
      <c r="C12" s="461"/>
      <c r="D12" s="461"/>
      <c r="E12" s="461"/>
      <c r="F12" s="461"/>
    </row>
    <row r="14" spans="1:9">
      <c r="B14" s="42" t="str">
        <f>Scenarios!B39&amp;" Valuation Conclusion"</f>
        <v>1-stage DCF Valuation Conclusion</v>
      </c>
      <c r="C14" s="43"/>
    </row>
    <row r="15" spans="1:9">
      <c r="B15" s="1" t="s">
        <v>321</v>
      </c>
      <c r="C15" s="425" t="s">
        <v>259</v>
      </c>
      <c r="D15" s="4" t="s">
        <v>355</v>
      </c>
      <c r="E15" s="259" t="str">
        <f>IF(E17=C7,C7,E17&amp;"/"&amp;C7)</f>
        <v>CNY/HKD</v>
      </c>
    </row>
    <row r="16" spans="1:9">
      <c r="B16" s="1" t="s">
        <v>322</v>
      </c>
      <c r="C16" s="425" t="s">
        <v>259</v>
      </c>
      <c r="D16" s="4" t="s">
        <v>356</v>
      </c>
      <c r="E16" s="424">
        <v>1.0900000000000001</v>
      </c>
    </row>
    <row r="17" spans="1:6">
      <c r="B17" s="1" t="s">
        <v>538</v>
      </c>
      <c r="C17" s="423">
        <v>0</v>
      </c>
      <c r="D17" s="4" t="s">
        <v>275</v>
      </c>
      <c r="E17" s="227" t="s">
        <v>551</v>
      </c>
    </row>
    <row r="18" spans="1:6">
      <c r="B18" s="1" t="str">
        <f>"Expected Equity Value ("&amp;C7&amp;") :"</f>
        <v>Expected Equity Value (HKD) :</v>
      </c>
      <c r="C18" s="258">
        <f>C125</f>
        <v>3.0820789907744803</v>
      </c>
      <c r="D18" s="2" t="s">
        <v>349</v>
      </c>
      <c r="E18" s="426">
        <v>6</v>
      </c>
    </row>
    <row r="19" spans="1:6">
      <c r="B19" s="2" t="s">
        <v>276</v>
      </c>
      <c r="C19" s="31" t="str">
        <f>IF(Scenarios!C50="Y",Scenarios!B50,"")&amp;IF(Scenarios!C51="Y",Scenarios!B51,"")&amp;IF(Scenarios!C52="Y",Scenarios!B52,"")&amp;" "&amp;IF(Scenarios!C53="Y",Scenarios!B53,"")</f>
        <v xml:space="preserve">Low Growth </v>
      </c>
      <c r="D19" s="1" t="s">
        <v>350</v>
      </c>
      <c r="E19" s="427">
        <f>EOMONTH(EDATE(BS!C1,E18+2),0)</f>
        <v>46081</v>
      </c>
    </row>
    <row r="20" spans="1:6">
      <c r="D20" s="5"/>
      <c r="E20" s="5"/>
    </row>
    <row r="21" spans="1:6">
      <c r="B21" s="42" t="s">
        <v>409</v>
      </c>
      <c r="C21" s="260" t="str">
        <f>C138&amp;" ("&amp;Market_currency&amp;")"</f>
        <v xml:space="preserve"> (HKD)</v>
      </c>
      <c r="D21" s="31" t="s">
        <v>318</v>
      </c>
      <c r="E21" s="450">
        <v>2</v>
      </c>
    </row>
    <row r="22" spans="1:6">
      <c r="B22" s="1" t="s">
        <v>314</v>
      </c>
      <c r="C22" s="261">
        <f>E140</f>
        <v>1.6911270182576021</v>
      </c>
      <c r="D22" s="38" t="s">
        <v>411</v>
      </c>
      <c r="E22" s="79">
        <v>0.35</v>
      </c>
    </row>
    <row r="23" spans="1:6">
      <c r="B23" s="1" t="s">
        <v>315</v>
      </c>
      <c r="C23" s="262">
        <f>E141</f>
        <v>1.9725305540956675</v>
      </c>
      <c r="D23" s="38" t="s">
        <v>412</v>
      </c>
      <c r="E23" s="451">
        <v>0.25</v>
      </c>
    </row>
    <row r="24" spans="1:6">
      <c r="B24" s="1" t="s">
        <v>317</v>
      </c>
      <c r="C24" s="262">
        <f>E144</f>
        <v>2.468461914991106</v>
      </c>
      <c r="D24" s="38" t="s">
        <v>413</v>
      </c>
      <c r="E24" s="451">
        <v>0.1174</v>
      </c>
    </row>
    <row r="25" spans="1:6">
      <c r="B25" s="1" t="s">
        <v>316</v>
      </c>
      <c r="C25" s="262">
        <f>E145</f>
        <v>2.6670234641639636</v>
      </c>
      <c r="D25" s="38" t="s">
        <v>414</v>
      </c>
      <c r="E25" s="452">
        <v>7.4999999999999997E-2</v>
      </c>
    </row>
    <row r="26" spans="1:6">
      <c r="D26" s="5"/>
      <c r="E26" s="5"/>
    </row>
    <row r="27" spans="1:6" ht="13.9">
      <c r="A27" s="202" t="s">
        <v>282</v>
      </c>
      <c r="B27" s="34"/>
      <c r="C27" s="34"/>
      <c r="D27" s="34"/>
      <c r="E27" s="34"/>
      <c r="F27" s="34"/>
    </row>
    <row r="29" spans="1:6">
      <c r="B29" s="461" t="s">
        <v>358</v>
      </c>
      <c r="C29" s="461"/>
      <c r="D29" s="461"/>
      <c r="E29" s="461"/>
      <c r="F29" s="461"/>
    </row>
    <row r="30" spans="1:6" ht="24.5" customHeight="1">
      <c r="B30" s="465" t="s">
        <v>267</v>
      </c>
      <c r="C30" s="465"/>
      <c r="D30" s="465"/>
      <c r="E30" s="465"/>
      <c r="F30" s="465"/>
    </row>
    <row r="32" spans="1:6">
      <c r="B32" s="192" t="s">
        <v>195</v>
      </c>
      <c r="C32" s="105">
        <f>scaling_factor</f>
        <v>1000</v>
      </c>
    </row>
    <row r="33" spans="2:6" ht="24.5" customHeight="1">
      <c r="B33" s="462" t="s">
        <v>196</v>
      </c>
      <c r="C33" s="462"/>
      <c r="D33" s="462"/>
      <c r="E33" s="462"/>
      <c r="F33" s="462"/>
    </row>
    <row r="34" spans="2:6">
      <c r="B34" s="44" t="s">
        <v>197</v>
      </c>
      <c r="C34" s="292">
        <f>Normalized_FCF!C8</f>
        <v>611412.69999999972</v>
      </c>
      <c r="D34" s="1" t="str">
        <f>Reporting_currency</f>
        <v>CNY</v>
      </c>
    </row>
    <row r="35" spans="2:6">
      <c r="B35" s="44"/>
      <c r="C35" s="73"/>
    </row>
    <row r="36" spans="2:6" ht="24.5" customHeight="1">
      <c r="B36" s="462" t="s">
        <v>198</v>
      </c>
      <c r="C36" s="462"/>
      <c r="D36" s="462"/>
      <c r="E36" s="462"/>
      <c r="F36" s="462"/>
    </row>
    <row r="37" spans="2:6">
      <c r="B37" s="44" t="s">
        <v>199</v>
      </c>
      <c r="C37" s="292">
        <f>Normalized_FCF!C15</f>
        <v>0</v>
      </c>
      <c r="D37" s="1" t="str">
        <f>Reporting_currency</f>
        <v>CNY</v>
      </c>
    </row>
    <row r="38" spans="2:6">
      <c r="B38" s="49" t="s">
        <v>200</v>
      </c>
      <c r="C38" s="292">
        <f>Normalized_FCF!C16</f>
        <v>0</v>
      </c>
      <c r="D38" s="1" t="str">
        <f>Reporting_currency</f>
        <v>CNY</v>
      </c>
    </row>
    <row r="40" spans="2:6">
      <c r="B40" s="462" t="s">
        <v>201</v>
      </c>
      <c r="C40" s="462"/>
      <c r="D40" s="462"/>
      <c r="E40" s="462"/>
      <c r="F40" s="462"/>
    </row>
    <row r="41" spans="2:6">
      <c r="B41" s="44" t="s">
        <v>202</v>
      </c>
      <c r="C41" s="292">
        <f>Normalized_FCF!C9</f>
        <v>0</v>
      </c>
      <c r="D41" s="1" t="str">
        <f>Reporting_currency</f>
        <v>CNY</v>
      </c>
    </row>
    <row r="43" spans="2:6">
      <c r="B43" s="462" t="s">
        <v>205</v>
      </c>
      <c r="C43" s="462"/>
      <c r="D43" s="462"/>
      <c r="E43" s="462"/>
      <c r="F43" s="462"/>
    </row>
    <row r="44" spans="2:6">
      <c r="B44" s="44" t="s">
        <v>268</v>
      </c>
      <c r="C44" s="293">
        <f>Normalized_FCF!C46</f>
        <v>421.41305</v>
      </c>
      <c r="D44" s="1" t="str">
        <f>Reporting_currency</f>
        <v>CNY</v>
      </c>
      <c r="E44" s="250"/>
      <c r="F44" s="250"/>
    </row>
    <row r="45" spans="2:6">
      <c r="B45" s="44" t="s">
        <v>269</v>
      </c>
      <c r="C45" s="293">
        <f>Normalized_FCF!C45</f>
        <v>0</v>
      </c>
      <c r="D45" s="1" t="str">
        <f>Reporting_currency</f>
        <v>CNY</v>
      </c>
      <c r="E45" s="250"/>
      <c r="F45" s="250"/>
    </row>
    <row r="46" spans="2:6">
      <c r="B46" s="44" t="s">
        <v>203</v>
      </c>
      <c r="C46" s="292">
        <f>Normalized_FCF!C10</f>
        <v>421.41305</v>
      </c>
      <c r="D46" s="1" t="str">
        <f>Reporting_currency</f>
        <v>CNY</v>
      </c>
    </row>
    <row r="48" spans="2:6">
      <c r="B48" s="1" t="s">
        <v>211</v>
      </c>
    </row>
    <row r="49" spans="2:6">
      <c r="B49" s="44" t="s">
        <v>223</v>
      </c>
      <c r="C49" s="292">
        <f>Normalized_FCF!C13</f>
        <v>0</v>
      </c>
      <c r="D49" s="1" t="str">
        <f>Reporting_currency</f>
        <v>CNY</v>
      </c>
    </row>
    <row r="51" spans="2:6">
      <c r="B51" s="462" t="s">
        <v>206</v>
      </c>
      <c r="C51" s="462"/>
      <c r="D51" s="462"/>
      <c r="E51" s="462"/>
      <c r="F51" s="462"/>
    </row>
    <row r="52" spans="2:6">
      <c r="B52" s="44" t="s">
        <v>204</v>
      </c>
      <c r="C52" s="292">
        <f>Normalized_FCF!C12</f>
        <v>-152958.52826249992</v>
      </c>
      <c r="D52" s="1" t="str">
        <f>Reporting_currency</f>
        <v>CNY</v>
      </c>
    </row>
    <row r="54" spans="2:6">
      <c r="B54" s="462" t="s">
        <v>266</v>
      </c>
      <c r="C54" s="463"/>
      <c r="D54" s="463"/>
      <c r="E54" s="463"/>
      <c r="F54" s="463"/>
    </row>
    <row r="55" spans="2:6">
      <c r="B55" s="44" t="s">
        <v>207</v>
      </c>
      <c r="C55" s="292">
        <f>Normalized_FCF!C17</f>
        <v>0</v>
      </c>
      <c r="D55" s="1" t="str">
        <f>Reporting_currency</f>
        <v>CNY</v>
      </c>
    </row>
    <row r="57" spans="2:6" ht="24.5" customHeight="1">
      <c r="B57" s="461" t="s">
        <v>271</v>
      </c>
      <c r="C57" s="461"/>
      <c r="D57" s="461"/>
      <c r="E57" s="461"/>
      <c r="F57" s="461"/>
    </row>
    <row r="58" spans="2:6" ht="24.5" customHeight="1">
      <c r="B58" s="461" t="s">
        <v>284</v>
      </c>
      <c r="C58" s="461"/>
      <c r="D58" s="461"/>
      <c r="E58" s="461"/>
      <c r="F58" s="461"/>
    </row>
    <row r="60" spans="2:6">
      <c r="B60" s="44" t="s">
        <v>227</v>
      </c>
      <c r="C60" s="292">
        <f>Normalized_FCF!G19</f>
        <v>1532532118.2583332</v>
      </c>
      <c r="D60" s="1" t="str">
        <f>Reporting_currency</f>
        <v>CNY</v>
      </c>
    </row>
    <row r="61" spans="2:6">
      <c r="B61" s="44" t="s">
        <v>213</v>
      </c>
      <c r="C61" s="292">
        <f>Normalized_FCF!C19</f>
        <v>458875.58478749974</v>
      </c>
      <c r="D61" s="1" t="str">
        <f>Reporting_currency</f>
        <v>CNY</v>
      </c>
    </row>
    <row r="62" spans="2:6">
      <c r="B62" s="206" t="s">
        <v>304</v>
      </c>
      <c r="C62" s="89">
        <f>Normalized_FCF!C124</f>
        <v>7.5650912633372633E-2</v>
      </c>
      <c r="F62" s="263"/>
    </row>
    <row r="63" spans="2:6">
      <c r="B63" s="206" t="s">
        <v>334</v>
      </c>
      <c r="C63" s="89">
        <f>Normalized_FCF!C92</f>
        <v>0</v>
      </c>
      <c r="E63" s="44" t="s">
        <v>324</v>
      </c>
      <c r="F63" s="264">
        <f>Normalized_FCF!C90</f>
        <v>0</v>
      </c>
    </row>
    <row r="65" spans="1:6">
      <c r="B65" s="192" t="s">
        <v>327</v>
      </c>
      <c r="C65" s="270" t="s">
        <v>329</v>
      </c>
      <c r="D65" s="270" t="s">
        <v>330</v>
      </c>
    </row>
    <row r="66" spans="1:6">
      <c r="B66" s="44" t="s">
        <v>328</v>
      </c>
      <c r="C66" s="89" t="e">
        <f>Normalized_FCF!C119</f>
        <v>#DIV/0!</v>
      </c>
      <c r="D66" s="89" t="e">
        <f>Normalized_FCF!G119</f>
        <v>#DIV/0!</v>
      </c>
    </row>
    <row r="67" spans="1:6">
      <c r="B67" s="232" t="str">
        <f>Normalized_FCF!B116</f>
        <v>Pre-tax Profit/Sales</v>
      </c>
      <c r="C67" s="269">
        <f>Normalized_FCF!C116</f>
        <v>0.42072465199663206</v>
      </c>
      <c r="D67" s="269">
        <f>Normalized_FCF!G116</f>
        <v>737.89713579422664</v>
      </c>
    </row>
    <row r="68" spans="1:6">
      <c r="B68" s="232" t="str">
        <f>Normalized_FCF!B117</f>
        <v>Sales/Total Assets</v>
      </c>
      <c r="C68" s="271">
        <f>Normalized_FCF!C117</f>
        <v>727119.39999999991</v>
      </c>
      <c r="D68" s="271">
        <f>Normalized_FCF!G117</f>
        <v>1038742</v>
      </c>
    </row>
    <row r="69" spans="1:6">
      <c r="B69" s="232" t="str">
        <f>Normalized_FCF!B118</f>
        <v>Total Assets/Equity</v>
      </c>
      <c r="C69" s="271" t="e">
        <f>Normalized_FCF!C118</f>
        <v>#DIV/0!</v>
      </c>
      <c r="D69" s="271" t="e">
        <f>Normalized_FCF!G118</f>
        <v>#DIV/0!</v>
      </c>
    </row>
    <row r="71" spans="1:6" ht="13.9">
      <c r="A71" s="202" t="s">
        <v>483</v>
      </c>
      <c r="B71" s="34"/>
      <c r="C71" s="34"/>
      <c r="D71" s="34"/>
      <c r="E71" s="34"/>
      <c r="F71" s="34"/>
    </row>
    <row r="72" spans="1:6">
      <c r="A72" s="191"/>
    </row>
    <row r="73" spans="1:6">
      <c r="A73" s="191"/>
      <c r="B73" s="461" t="s">
        <v>484</v>
      </c>
      <c r="C73" s="461"/>
      <c r="D73" s="461"/>
      <c r="E73" s="461"/>
      <c r="F73" s="461"/>
    </row>
    <row r="74" spans="1:6">
      <c r="A74" s="191"/>
      <c r="B74" s="1" t="s">
        <v>471</v>
      </c>
    </row>
    <row r="75" spans="1:6">
      <c r="A75" s="191"/>
    </row>
    <row r="76" spans="1:6">
      <c r="A76" s="191"/>
      <c r="B76" s="192" t="s">
        <v>195</v>
      </c>
    </row>
    <row r="77" spans="1:6">
      <c r="A77" s="191"/>
      <c r="B77" s="461" t="s">
        <v>272</v>
      </c>
      <c r="C77" s="461"/>
      <c r="D77" s="461"/>
      <c r="E77" s="461"/>
      <c r="F77" s="461"/>
    </row>
    <row r="78" spans="1:6">
      <c r="A78" s="191"/>
      <c r="B78" s="1" t="s">
        <v>215</v>
      </c>
      <c r="C78" s="292">
        <f>DCF!F4</f>
        <v>0</v>
      </c>
      <c r="D78" s="1" t="str">
        <f>Reporting_currency</f>
        <v>CNY</v>
      </c>
    </row>
    <row r="79" spans="1:6">
      <c r="A79" s="191"/>
      <c r="B79" s="44" t="s">
        <v>234</v>
      </c>
      <c r="C79" s="203">
        <f>C78*scaling_factor*Exchange_Rate/Common_Shares</f>
        <v>0</v>
      </c>
      <c r="D79" s="1" t="str">
        <f>Market_currency</f>
        <v>HKD</v>
      </c>
    </row>
    <row r="80" spans="1:6">
      <c r="A80" s="191"/>
      <c r="B80" s="232" t="s">
        <v>311</v>
      </c>
      <c r="C80" s="344" t="e">
        <f>IF(BS!G31/BS!G27&gt;300%,"nm",BS!G31/BS!G27)</f>
        <v>#DIV/0!</v>
      </c>
    </row>
    <row r="81" spans="1:6">
      <c r="A81" s="191"/>
      <c r="B81" s="232" t="s">
        <v>313</v>
      </c>
      <c r="C81" s="345">
        <f>IF(BS!C50&gt;30,"nm",BS!C50)</f>
        <v>0</v>
      </c>
    </row>
    <row r="82" spans="1:6">
      <c r="A82" s="191"/>
    </row>
    <row r="83" spans="1:6">
      <c r="A83" s="191"/>
      <c r="B83" s="1" t="s">
        <v>472</v>
      </c>
    </row>
    <row r="84" spans="1:6">
      <c r="A84" s="191"/>
      <c r="B84" s="1" t="s">
        <v>224</v>
      </c>
      <c r="C84" s="292">
        <f>DCF!F5</f>
        <v>-70234.508333333331</v>
      </c>
      <c r="D84" s="1" t="str">
        <f>Reporting_currency</f>
        <v>CNY</v>
      </c>
    </row>
    <row r="85" spans="1:6">
      <c r="A85" s="191"/>
      <c r="B85" s="232" t="s">
        <v>222</v>
      </c>
      <c r="C85" s="298">
        <f>BS!C66</f>
        <v>1</v>
      </c>
      <c r="D85" s="346" t="str">
        <f>Reporting_currency</f>
        <v>CNY</v>
      </c>
    </row>
    <row r="86" spans="1:6">
      <c r="A86" s="191"/>
      <c r="B86" s="44" t="s">
        <v>235</v>
      </c>
      <c r="C86" s="203">
        <f>C84*scaling_factor*Exchange_Rate/Common_Shares</f>
        <v>-3.3000052226063045E-2</v>
      </c>
      <c r="D86" s="1" t="str">
        <f>Market_currency</f>
        <v>HKD</v>
      </c>
    </row>
    <row r="87" spans="1:6">
      <c r="A87" s="191"/>
    </row>
    <row r="88" spans="1:6">
      <c r="A88" s="191"/>
      <c r="B88" s="1" t="s">
        <v>216</v>
      </c>
    </row>
    <row r="89" spans="1:6">
      <c r="A89" s="191"/>
      <c r="B89" s="1" t="s">
        <v>217</v>
      </c>
      <c r="C89" s="292">
        <f>DCF!F6</f>
        <v>0</v>
      </c>
      <c r="D89" s="1" t="str">
        <f>Reporting_currency</f>
        <v>CNY</v>
      </c>
    </row>
    <row r="90" spans="1:6">
      <c r="A90" s="191"/>
      <c r="B90" s="44" t="s">
        <v>236</v>
      </c>
      <c r="C90" s="203">
        <f>C89*scaling_factor*Exchange_Rate/Common_Shares</f>
        <v>0</v>
      </c>
      <c r="D90" s="1" t="str">
        <f>Market_currency</f>
        <v>HKD</v>
      </c>
    </row>
    <row r="91" spans="1:6">
      <c r="A91" s="191"/>
    </row>
    <row r="92" spans="1:6">
      <c r="A92" s="191"/>
      <c r="B92" s="44" t="s">
        <v>475</v>
      </c>
      <c r="C92" s="219">
        <f>DCF!F8</f>
        <v>-3.3000052226063045E-2</v>
      </c>
      <c r="D92" s="44" t="str">
        <f>Market_currency</f>
        <v>HKD</v>
      </c>
    </row>
    <row r="94" spans="1:6" ht="13.9">
      <c r="A94" s="202" t="s">
        <v>476</v>
      </c>
      <c r="B94" s="34"/>
      <c r="C94" s="34"/>
      <c r="D94" s="34"/>
      <c r="E94" s="34"/>
      <c r="F94" s="34"/>
    </row>
    <row r="95" spans="1:6">
      <c r="A95" s="191"/>
    </row>
    <row r="96" spans="1:6" ht="11.75" customHeight="1">
      <c r="B96" s="461" t="s">
        <v>491</v>
      </c>
      <c r="C96" s="461"/>
      <c r="D96" s="461"/>
      <c r="E96" s="461"/>
      <c r="F96" s="461"/>
    </row>
    <row r="97" spans="2:6">
      <c r="B97" s="465" t="s">
        <v>490</v>
      </c>
      <c r="C97" s="465"/>
      <c r="D97" s="465"/>
      <c r="E97" s="465"/>
      <c r="F97" s="465"/>
    </row>
    <row r="98" spans="2:6">
      <c r="B98" s="465" t="s">
        <v>489</v>
      </c>
      <c r="C98" s="465"/>
      <c r="D98" s="465"/>
      <c r="E98" s="465"/>
      <c r="F98" s="465"/>
    </row>
    <row r="100" spans="2:6">
      <c r="B100" s="192" t="s">
        <v>195</v>
      </c>
    </row>
    <row r="101" spans="2:6">
      <c r="B101" s="49" t="s">
        <v>473</v>
      </c>
      <c r="C101" s="214">
        <f>E25+C103</f>
        <v>7.4999999999999997E-2</v>
      </c>
    </row>
    <row r="102" spans="2:6">
      <c r="B102" s="232" t="s">
        <v>320</v>
      </c>
      <c r="C102" s="269">
        <f>E25</f>
        <v>7.4999999999999997E-2</v>
      </c>
    </row>
    <row r="103" spans="2:6">
      <c r="B103" s="232" t="s">
        <v>319</v>
      </c>
      <c r="C103" s="269">
        <f>IF(C15="Y",1%,0)+IF(C16="Y",1%,0)</f>
        <v>0</v>
      </c>
    </row>
    <row r="104" spans="2:6">
      <c r="B104" s="44" t="s">
        <v>214</v>
      </c>
      <c r="C104" s="214">
        <f>Terminal_Growth</f>
        <v>0</v>
      </c>
    </row>
    <row r="106" spans="2:6">
      <c r="B106" s="256" t="s">
        <v>283</v>
      </c>
      <c r="C106" s="116"/>
    </row>
    <row r="107" spans="2:6">
      <c r="B107" s="461" t="s">
        <v>285</v>
      </c>
      <c r="C107" s="461"/>
      <c r="D107" s="461"/>
      <c r="E107" s="461"/>
      <c r="F107" s="461"/>
    </row>
    <row r="108" spans="2:6">
      <c r="B108" s="461" t="s">
        <v>286</v>
      </c>
      <c r="C108" s="461"/>
      <c r="D108" s="461"/>
      <c r="E108" s="461"/>
      <c r="F108" s="461"/>
    </row>
    <row r="110" spans="2:6">
      <c r="B110" s="192" t="s">
        <v>493</v>
      </c>
    </row>
    <row r="111" spans="2:6">
      <c r="B111" s="49" t="s">
        <v>474</v>
      </c>
      <c r="C111" s="219">
        <f>BS!D47</f>
        <v>-4.6985524650424879E-7</v>
      </c>
      <c r="D111" s="1" t="str">
        <f>Market_currency</f>
        <v>HKD</v>
      </c>
    </row>
    <row r="112" spans="2:6">
      <c r="B112" s="44" t="s">
        <v>325</v>
      </c>
      <c r="C112" s="219">
        <f>DCF!C11</f>
        <v>2.8417346278420972</v>
      </c>
      <c r="D112" s="1" t="str">
        <f>Market_currency</f>
        <v>HKD</v>
      </c>
    </row>
    <row r="114" spans="2:6" ht="24.5" customHeight="1">
      <c r="B114" s="461" t="s">
        <v>497</v>
      </c>
      <c r="C114" s="461"/>
      <c r="D114" s="461"/>
      <c r="E114" s="461"/>
      <c r="F114" s="461"/>
    </row>
    <row r="116" spans="2:6">
      <c r="B116" s="192" t="s">
        <v>494</v>
      </c>
    </row>
    <row r="117" spans="2:6" ht="12.4">
      <c r="B117" s="349" t="s">
        <v>101</v>
      </c>
      <c r="C117" s="349" t="s">
        <v>110</v>
      </c>
      <c r="D117" s="349" t="s">
        <v>99</v>
      </c>
      <c r="E117" s="349" t="s">
        <v>219</v>
      </c>
      <c r="F117" s="349" t="s">
        <v>124</v>
      </c>
    </row>
    <row r="118" spans="2:6">
      <c r="B118" s="207" t="str">
        <f>DCF!B82</f>
        <v>Snowball Scenario</v>
      </c>
      <c r="C118" s="208">
        <f>DCF!C82</f>
        <v>0.08</v>
      </c>
      <c r="D118" s="209">
        <f>DCF!D82</f>
        <v>5</v>
      </c>
      <c r="E118" s="210" t="str">
        <f>ROUND(DCF!E82,2)&amp;" "&amp;Market_currency</f>
        <v>4 HKD</v>
      </c>
      <c r="F118" s="211">
        <f>DCF!F82</f>
        <v>0.05</v>
      </c>
    </row>
    <row r="119" spans="2:6">
      <c r="B119" s="198" t="str">
        <f>DCF!B83</f>
        <v>Optimistic</v>
      </c>
      <c r="C119" s="199">
        <f>DCF!C83</f>
        <v>0.03</v>
      </c>
      <c r="D119" s="200">
        <f>DCF!D83</f>
        <v>5</v>
      </c>
      <c r="E119" s="210" t="str">
        <f>ROUND(DCF!E83,2)&amp;" "&amp;Market_currency</f>
        <v>3.24 HKD</v>
      </c>
      <c r="F119" s="201">
        <f>DCF!F83</f>
        <v>0.18</v>
      </c>
    </row>
    <row r="120" spans="2:6">
      <c r="B120" s="198" t="str">
        <f>DCF!B84</f>
        <v>Base</v>
      </c>
      <c r="C120" s="199">
        <f>DCF!C84</f>
        <v>0.02</v>
      </c>
      <c r="D120" s="200">
        <f>DCF!D84</f>
        <v>5</v>
      </c>
      <c r="E120" s="210" t="str">
        <f>ROUND(DCF!E84,2)&amp;" "&amp;Market_currency</f>
        <v>3.1 HKD</v>
      </c>
      <c r="F120" s="201">
        <f>DCF!F84</f>
        <v>0.53999999999999992</v>
      </c>
    </row>
    <row r="121" spans="2:6">
      <c r="B121" s="198" t="str">
        <f>DCF!B85</f>
        <v>Pessimistic</v>
      </c>
      <c r="C121" s="199">
        <f>DCF!C85</f>
        <v>0.01</v>
      </c>
      <c r="D121" s="200">
        <f>DCF!D85</f>
        <v>5</v>
      </c>
      <c r="E121" s="210" t="str">
        <f>ROUND(DCF!E85,2)&amp;" "&amp;Market_currency</f>
        <v>2.97 HKD</v>
      </c>
      <c r="F121" s="201">
        <f>DCF!F85</f>
        <v>0.18</v>
      </c>
    </row>
    <row r="122" spans="2:6">
      <c r="B122" s="198" t="str">
        <f>DCF!B86</f>
        <v>Devil's advocate</v>
      </c>
      <c r="C122" s="199">
        <f>DCF!C86</f>
        <v>-0.1</v>
      </c>
      <c r="D122" s="200">
        <f>DCF!D86</f>
        <v>5</v>
      </c>
      <c r="E122" s="210" t="str">
        <f>ROUND(DCF!E86,2)&amp;" "&amp;Market_currency</f>
        <v>1.8 HKD</v>
      </c>
      <c r="F122" s="201">
        <f>DCF!F86</f>
        <v>0.05</v>
      </c>
    </row>
    <row r="124" spans="2:6">
      <c r="B124" s="462" t="s">
        <v>359</v>
      </c>
      <c r="C124" s="462"/>
      <c r="D124" s="462"/>
      <c r="E124" s="462"/>
      <c r="F124" s="462"/>
    </row>
    <row r="125" spans="2:6">
      <c r="B125" s="193" t="s">
        <v>218</v>
      </c>
      <c r="C125" s="197">
        <f>Scenarios!C36</f>
        <v>3.0820789907744803</v>
      </c>
      <c r="D125" s="194" t="str">
        <f>Market_currency</f>
        <v>HKD</v>
      </c>
    </row>
    <row r="127" spans="2:6" ht="24.5" customHeight="1">
      <c r="B127" s="464" t="s">
        <v>360</v>
      </c>
      <c r="C127" s="464"/>
      <c r="D127" s="464"/>
      <c r="E127" s="464"/>
      <c r="F127" s="464"/>
    </row>
    <row r="129" spans="1:6" ht="13.9">
      <c r="A129" s="202" t="s">
        <v>480</v>
      </c>
      <c r="B129" s="34"/>
      <c r="C129" s="34"/>
      <c r="D129" s="34"/>
      <c r="E129" s="34"/>
      <c r="F129" s="34"/>
    </row>
    <row r="131" spans="1:6">
      <c r="B131" s="466" t="s">
        <v>287</v>
      </c>
      <c r="C131" s="466"/>
      <c r="D131" s="466"/>
      <c r="E131" s="466"/>
      <c r="F131" s="466"/>
    </row>
    <row r="132" spans="1:6">
      <c r="B132" s="461" t="s">
        <v>361</v>
      </c>
      <c r="C132" s="461"/>
      <c r="D132" s="461"/>
      <c r="E132" s="461"/>
      <c r="F132" s="461"/>
    </row>
    <row r="134" spans="1:6">
      <c r="B134" s="192" t="s">
        <v>195</v>
      </c>
    </row>
    <row r="135" spans="1:6">
      <c r="B135" s="1" t="s">
        <v>221</v>
      </c>
      <c r="C135" s="204">
        <f>E21</f>
        <v>2</v>
      </c>
    </row>
    <row r="136" spans="1:6">
      <c r="B136" s="194" t="s">
        <v>220</v>
      </c>
      <c r="C136" s="195">
        <f>Scenarios!C58</f>
        <v>0</v>
      </c>
      <c r="D136" s="194" t="str">
        <f>Market_currency</f>
        <v>HKD</v>
      </c>
    </row>
    <row r="138" spans="1:6">
      <c r="B138" s="192" t="s">
        <v>500</v>
      </c>
      <c r="C138" s="217"/>
      <c r="D138" s="218"/>
    </row>
    <row r="139" spans="1:6" ht="12.4">
      <c r="B139" s="347" t="s">
        <v>468</v>
      </c>
      <c r="C139" s="347" t="str">
        <f>"PV("&amp;Holding_Period&amp;" yrs of Dividends)"</f>
        <v>PV(2 yrs of Dividends)</v>
      </c>
      <c r="D139" s="347" t="s">
        <v>477</v>
      </c>
      <c r="E139" s="348" t="str">
        <f>"Buy below ("&amp;Market_currency&amp;")"</f>
        <v>Buy below (HKD)</v>
      </c>
      <c r="F139" s="348" t="s">
        <v>478</v>
      </c>
    </row>
    <row r="140" spans="1:6">
      <c r="B140" s="343" t="s">
        <v>314</v>
      </c>
      <c r="C140" s="340">
        <f>Scenarios!C62</f>
        <v>0</v>
      </c>
      <c r="D140" s="340">
        <f>Scenarios!D62</f>
        <v>1.6911270182576021</v>
      </c>
      <c r="E140" s="341">
        <f>Scenarios!E62</f>
        <v>1.6911270182576021</v>
      </c>
      <c r="F140" s="342">
        <f>E22</f>
        <v>0.35</v>
      </c>
    </row>
    <row r="141" spans="1:6">
      <c r="B141" s="343" t="s">
        <v>315</v>
      </c>
      <c r="C141" s="340">
        <f>Scenarios!C63</f>
        <v>0</v>
      </c>
      <c r="D141" s="340">
        <f>Scenarios!D63</f>
        <v>1.9725305540956675</v>
      </c>
      <c r="E141" s="341">
        <f>Scenarios!E63</f>
        <v>1.9725305540956675</v>
      </c>
      <c r="F141" s="342">
        <f>Scenarios!F63</f>
        <v>0.25</v>
      </c>
    </row>
    <row r="142" spans="1:6">
      <c r="B142" s="194"/>
      <c r="C142" s="194"/>
      <c r="D142" s="194"/>
      <c r="E142" s="194"/>
      <c r="F142" s="194"/>
    </row>
    <row r="143" spans="1:6" ht="12.4">
      <c r="B143" s="347" t="s">
        <v>469</v>
      </c>
      <c r="C143" s="347" t="str">
        <f>"PV("&amp;Holding_Period&amp;" yrs of Dividends)"</f>
        <v>PV(2 yrs of Dividends)</v>
      </c>
      <c r="D143" s="347" t="s">
        <v>477</v>
      </c>
      <c r="E143" s="348" t="str">
        <f>"Sell above ("&amp;Market_currency&amp;")"</f>
        <v>Sell above (HKD)</v>
      </c>
      <c r="F143" s="348" t="s">
        <v>478</v>
      </c>
    </row>
    <row r="144" spans="1:6">
      <c r="B144" s="343" t="s">
        <v>317</v>
      </c>
      <c r="C144" s="340">
        <f>Scenarios!C66</f>
        <v>0</v>
      </c>
      <c r="D144" s="340">
        <f>Scenarios!D66</f>
        <v>2.468461914991106</v>
      </c>
      <c r="E144" s="341">
        <f>Scenarios!E66</f>
        <v>2.468461914991106</v>
      </c>
      <c r="F144" s="342">
        <f>E24</f>
        <v>0.1174</v>
      </c>
    </row>
    <row r="145" spans="1:6">
      <c r="B145" s="343" t="s">
        <v>316</v>
      </c>
      <c r="C145" s="340">
        <f>Scenarios!C67</f>
        <v>0</v>
      </c>
      <c r="D145" s="340">
        <f>Scenarios!D67</f>
        <v>2.6670234641639636</v>
      </c>
      <c r="E145" s="341">
        <f>Scenarios!E67</f>
        <v>2.6670234641639636</v>
      </c>
      <c r="F145" s="342">
        <f>Scenarios!F67</f>
        <v>7.4999999999999997E-2</v>
      </c>
    </row>
    <row r="147" spans="1:6" ht="13.9">
      <c r="A147" s="202" t="s">
        <v>481</v>
      </c>
      <c r="B147" s="34"/>
      <c r="C147" s="34"/>
      <c r="D147" s="34"/>
      <c r="E147" s="34"/>
      <c r="F147" s="34"/>
    </row>
    <row r="149" spans="1:6">
      <c r="B149" s="460" t="s">
        <v>362</v>
      </c>
      <c r="C149" s="461"/>
      <c r="D149" s="461"/>
      <c r="E149" s="461"/>
      <c r="F149" s="461"/>
    </row>
    <row r="151" spans="1:6">
      <c r="B151" s="192" t="s">
        <v>291</v>
      </c>
    </row>
    <row r="152" spans="1:6">
      <c r="B152" s="463" t="s">
        <v>295</v>
      </c>
      <c r="C152" s="463"/>
      <c r="D152" s="463"/>
      <c r="E152" s="463"/>
      <c r="F152" s="463"/>
    </row>
    <row r="153" spans="1:6">
      <c r="B153" s="196" t="s">
        <v>292</v>
      </c>
    </row>
    <row r="154" spans="1:6">
      <c r="B154" s="196" t="s">
        <v>293</v>
      </c>
    </row>
    <row r="155" spans="1:6">
      <c r="B155" s="196" t="s">
        <v>294</v>
      </c>
    </row>
    <row r="157" spans="1:6">
      <c r="B157" s="1" t="s">
        <v>298</v>
      </c>
    </row>
    <row r="158" spans="1:6" ht="34.25" customHeight="1">
      <c r="B158" s="462" t="s">
        <v>444</v>
      </c>
      <c r="C158" s="462"/>
      <c r="D158" s="462"/>
      <c r="E158" s="462"/>
      <c r="F158" s="462"/>
    </row>
    <row r="160" spans="1:6">
      <c r="B160" s="1" t="s">
        <v>299</v>
      </c>
    </row>
    <row r="161" spans="2:6" ht="24.5" customHeight="1">
      <c r="B161" s="459" t="s">
        <v>296</v>
      </c>
      <c r="C161" s="459"/>
      <c r="D161" s="459"/>
      <c r="E161" s="459"/>
      <c r="F161" s="459"/>
    </row>
    <row r="162" spans="2:6" ht="24.5" customHeight="1">
      <c r="B162" s="459" t="s">
        <v>297</v>
      </c>
      <c r="C162" s="459"/>
      <c r="D162" s="459"/>
      <c r="E162" s="459"/>
      <c r="F162" s="459"/>
    </row>
    <row r="164" spans="2:6">
      <c r="B164" s="1" t="s">
        <v>303</v>
      </c>
    </row>
    <row r="165" spans="2:6">
      <c r="B165" s="196" t="s">
        <v>300</v>
      </c>
    </row>
    <row r="166" spans="2:6">
      <c r="B166" s="196" t="s">
        <v>301</v>
      </c>
    </row>
    <row r="167" spans="2:6">
      <c r="B167" s="196" t="s">
        <v>302</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E29" sqref="E2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4">
        <v>2077484</v>
      </c>
      <c r="D4" s="294"/>
      <c r="E4" s="294"/>
      <c r="F4" s="294"/>
      <c r="G4" s="294"/>
      <c r="H4" s="294"/>
      <c r="I4" s="294"/>
      <c r="J4" s="294"/>
      <c r="K4" s="294"/>
      <c r="L4" s="294"/>
      <c r="M4" s="294"/>
    </row>
    <row r="5" spans="2:13">
      <c r="B5" s="38" t="s">
        <v>40</v>
      </c>
      <c r="C5" s="294">
        <v>467126</v>
      </c>
      <c r="D5" s="294"/>
      <c r="E5" s="294"/>
      <c r="F5" s="294"/>
      <c r="G5" s="294"/>
      <c r="H5" s="294"/>
      <c r="I5" s="294"/>
      <c r="J5" s="294"/>
      <c r="K5" s="294"/>
      <c r="L5" s="294"/>
      <c r="M5" s="294"/>
    </row>
    <row r="6" spans="2:13">
      <c r="B6" s="38" t="s">
        <v>51</v>
      </c>
      <c r="C6" s="294">
        <v>528317</v>
      </c>
      <c r="D6" s="294"/>
      <c r="E6" s="294"/>
      <c r="F6" s="294"/>
      <c r="G6" s="294"/>
      <c r="H6" s="294"/>
      <c r="I6" s="294"/>
      <c r="J6" s="294"/>
      <c r="K6" s="294"/>
      <c r="L6" s="294"/>
      <c r="M6" s="294"/>
    </row>
    <row r="7" spans="2:13">
      <c r="B7" s="66" t="s">
        <v>58</v>
      </c>
      <c r="C7" s="295">
        <v>41597</v>
      </c>
      <c r="D7" s="295"/>
      <c r="E7" s="295"/>
      <c r="F7" s="295"/>
      <c r="G7" s="295"/>
      <c r="H7" s="295"/>
      <c r="I7" s="295"/>
      <c r="J7" s="295"/>
      <c r="K7" s="295"/>
      <c r="L7" s="295"/>
      <c r="M7" s="295"/>
    </row>
    <row r="8" spans="2:13">
      <c r="B8" s="38" t="s">
        <v>46</v>
      </c>
      <c r="C8" s="294"/>
      <c r="D8" s="294"/>
      <c r="E8" s="294"/>
      <c r="F8" s="294"/>
      <c r="G8" s="294"/>
      <c r="H8" s="294"/>
      <c r="I8" s="294"/>
      <c r="J8" s="294"/>
      <c r="K8" s="294"/>
      <c r="L8" s="294"/>
      <c r="M8" s="294"/>
    </row>
    <row r="9" spans="2:13">
      <c r="B9" s="38" t="s">
        <v>134</v>
      </c>
      <c r="C9" s="294">
        <v>-2798</v>
      </c>
      <c r="D9" s="294"/>
      <c r="E9" s="294"/>
      <c r="F9" s="294"/>
      <c r="G9" s="294"/>
      <c r="H9" s="294"/>
      <c r="I9" s="294"/>
      <c r="J9" s="294"/>
      <c r="K9" s="294"/>
      <c r="L9" s="294"/>
      <c r="M9" s="294"/>
    </row>
    <row r="10" spans="2:13">
      <c r="B10" s="38" t="s">
        <v>138</v>
      </c>
      <c r="C10" s="294"/>
      <c r="D10" s="294"/>
      <c r="E10" s="294"/>
      <c r="F10" s="294"/>
      <c r="G10" s="294"/>
      <c r="H10" s="294"/>
      <c r="I10" s="294"/>
      <c r="J10" s="294"/>
      <c r="K10" s="294"/>
      <c r="L10" s="294"/>
      <c r="M10" s="294"/>
    </row>
    <row r="11" spans="2:13">
      <c r="B11" s="38" t="s">
        <v>133</v>
      </c>
      <c r="C11" s="294"/>
      <c r="D11" s="294"/>
      <c r="E11" s="294"/>
      <c r="F11" s="294"/>
      <c r="G11" s="294"/>
      <c r="H11" s="294"/>
      <c r="I11" s="294"/>
      <c r="J11" s="294"/>
      <c r="K11" s="294"/>
      <c r="L11" s="294"/>
      <c r="M11" s="294"/>
    </row>
    <row r="12" spans="2:13">
      <c r="B12" s="38" t="s">
        <v>37</v>
      </c>
      <c r="C12" s="294">
        <v>16422</v>
      </c>
      <c r="D12" s="294"/>
      <c r="E12" s="294"/>
      <c r="F12" s="294"/>
      <c r="G12" s="294"/>
      <c r="H12" s="294"/>
      <c r="I12" s="294"/>
      <c r="J12" s="294"/>
      <c r="K12" s="294"/>
      <c r="L12" s="294"/>
      <c r="M12" s="294"/>
    </row>
    <row r="13" spans="2:13">
      <c r="B13" s="38" t="s">
        <v>64</v>
      </c>
      <c r="C13" s="294">
        <v>21811</v>
      </c>
      <c r="D13" s="294"/>
      <c r="E13" s="294"/>
      <c r="F13" s="294"/>
      <c r="G13" s="294"/>
      <c r="H13" s="294"/>
      <c r="I13" s="294"/>
      <c r="J13" s="294"/>
      <c r="K13" s="294"/>
      <c r="L13" s="294"/>
      <c r="M13" s="294"/>
    </row>
    <row r="14" spans="2:13">
      <c r="B14" s="38" t="s">
        <v>47</v>
      </c>
      <c r="C14" s="294">
        <v>313181</v>
      </c>
      <c r="D14" s="294"/>
      <c r="E14" s="294"/>
      <c r="F14" s="294"/>
      <c r="G14" s="294"/>
      <c r="H14" s="294"/>
      <c r="I14" s="294"/>
      <c r="J14" s="294"/>
      <c r="K14" s="294"/>
      <c r="L14" s="294"/>
      <c r="M14" s="294"/>
    </row>
    <row r="15" spans="2:13">
      <c r="B15" s="41" t="s">
        <v>39</v>
      </c>
      <c r="C15" s="296">
        <v>497328</v>
      </c>
      <c r="D15" s="296"/>
      <c r="E15" s="296"/>
      <c r="F15" s="296"/>
      <c r="G15" s="296"/>
      <c r="H15" s="296"/>
      <c r="I15" s="296"/>
      <c r="J15" s="296"/>
      <c r="K15" s="296"/>
      <c r="L15" s="296"/>
      <c r="M15" s="296"/>
    </row>
    <row r="16" spans="2:13">
      <c r="B16" s="27" t="s">
        <v>41</v>
      </c>
      <c r="C16" s="294">
        <v>124194</v>
      </c>
      <c r="D16" s="294"/>
      <c r="E16" s="294"/>
      <c r="F16" s="294"/>
      <c r="G16" s="294"/>
      <c r="H16" s="294"/>
      <c r="I16" s="294"/>
      <c r="J16" s="294"/>
      <c r="K16" s="294"/>
      <c r="L16" s="294"/>
      <c r="M16" s="294"/>
    </row>
    <row r="18" spans="2:13">
      <c r="B18" s="16" t="s">
        <v>48</v>
      </c>
      <c r="C18" s="9"/>
    </row>
    <row r="19" spans="2:13">
      <c r="B19" s="26" t="s">
        <v>44</v>
      </c>
      <c r="C19" s="294"/>
      <c r="D19" s="294"/>
      <c r="E19" s="294"/>
      <c r="F19" s="294"/>
      <c r="G19" s="294"/>
      <c r="H19" s="294"/>
      <c r="I19" s="294"/>
      <c r="J19" s="294"/>
      <c r="K19" s="294"/>
      <c r="L19" s="294"/>
      <c r="M19" s="294"/>
    </row>
    <row r="20" spans="2:13">
      <c r="B20" s="26" t="s">
        <v>50</v>
      </c>
      <c r="C20" s="294"/>
      <c r="D20" s="294"/>
      <c r="E20" s="294"/>
      <c r="F20" s="294"/>
      <c r="G20" s="294"/>
      <c r="H20" s="294"/>
      <c r="I20" s="294"/>
      <c r="J20" s="294"/>
      <c r="K20" s="294"/>
      <c r="L20" s="294"/>
      <c r="M20" s="294"/>
    </row>
    <row r="21" spans="2:13">
      <c r="B21" s="26" t="s">
        <v>49</v>
      </c>
      <c r="C21" s="294"/>
      <c r="D21" s="294"/>
      <c r="E21" s="294"/>
      <c r="F21" s="294"/>
      <c r="G21" s="294"/>
      <c r="H21" s="294"/>
      <c r="I21" s="294"/>
      <c r="J21" s="294"/>
      <c r="K21" s="294"/>
      <c r="L21" s="294"/>
      <c r="M21" s="294"/>
    </row>
    <row r="22" spans="2:13">
      <c r="B22" s="26" t="s">
        <v>288</v>
      </c>
      <c r="C22" s="294"/>
      <c r="D22" s="294"/>
      <c r="E22" s="294"/>
      <c r="F22" s="294"/>
      <c r="G22" s="294"/>
      <c r="H22" s="294"/>
      <c r="I22" s="294"/>
      <c r="J22" s="294"/>
      <c r="K22" s="294"/>
      <c r="L22" s="294"/>
      <c r="M22" s="294"/>
    </row>
    <row r="23" spans="2:13">
      <c r="B23" s="26" t="s">
        <v>290</v>
      </c>
      <c r="C23" s="294"/>
      <c r="D23" s="294"/>
      <c r="E23" s="294"/>
      <c r="F23" s="294"/>
      <c r="G23" s="294"/>
      <c r="H23" s="294"/>
      <c r="I23" s="294"/>
      <c r="J23" s="294"/>
      <c r="K23" s="294"/>
      <c r="L23" s="294"/>
      <c r="M23" s="294"/>
    </row>
    <row r="24" spans="2:13">
      <c r="B24" s="26" t="s">
        <v>289</v>
      </c>
      <c r="C24" s="294"/>
      <c r="D24" s="294"/>
      <c r="E24" s="294"/>
      <c r="F24" s="294"/>
      <c r="G24" s="294"/>
      <c r="H24" s="294"/>
      <c r="I24" s="294"/>
      <c r="J24" s="294"/>
      <c r="K24" s="294"/>
      <c r="L24" s="294"/>
      <c r="M24" s="294"/>
    </row>
    <row r="25" spans="2:13">
      <c r="B25" s="23" t="str">
        <f>"Dividend per share ("&amp;Market_currency&amp;")"</f>
        <v>Dividend per share (HKD)</v>
      </c>
      <c r="C25" s="37"/>
      <c r="D25" s="37"/>
      <c r="E25" s="37"/>
      <c r="F25" s="37"/>
      <c r="G25" s="37"/>
      <c r="H25" s="37"/>
      <c r="I25" s="37"/>
      <c r="J25" s="37"/>
      <c r="K25" s="37"/>
      <c r="L25" s="37"/>
      <c r="M25" s="37"/>
    </row>
    <row r="27" spans="2:13">
      <c r="B27" s="16" t="s">
        <v>26</v>
      </c>
      <c r="C27" s="94" t="s">
        <v>188</v>
      </c>
    </row>
    <row r="28" spans="2:13">
      <c r="B28" s="25" t="s">
        <v>22</v>
      </c>
      <c r="C28" s="277">
        <f>BS!C4</f>
        <v>0</v>
      </c>
      <c r="D28" s="294"/>
      <c r="E28" s="294"/>
      <c r="F28" s="294"/>
      <c r="G28" s="294"/>
      <c r="H28" s="294"/>
      <c r="I28" s="294"/>
      <c r="J28" s="294"/>
      <c r="K28" s="294"/>
      <c r="L28" s="294"/>
      <c r="M28" s="294"/>
    </row>
    <row r="29" spans="2:13">
      <c r="B29" s="25" t="s">
        <v>30</v>
      </c>
      <c r="C29" s="277">
        <f>BS!C6</f>
        <v>0</v>
      </c>
      <c r="D29" s="294"/>
      <c r="E29" s="294"/>
      <c r="F29" s="294"/>
      <c r="G29" s="294"/>
      <c r="H29" s="294"/>
      <c r="I29" s="294"/>
      <c r="J29" s="294"/>
      <c r="K29" s="294"/>
      <c r="L29" s="294"/>
      <c r="M29" s="294"/>
    </row>
    <row r="30" spans="2:13">
      <c r="B30" s="28" t="s">
        <v>38</v>
      </c>
      <c r="C30" s="278">
        <f>BS!C33+BS!C42</f>
        <v>2</v>
      </c>
      <c r="D30" s="296"/>
      <c r="E30" s="296"/>
      <c r="F30" s="296"/>
      <c r="G30" s="296"/>
      <c r="H30" s="296"/>
      <c r="I30" s="296"/>
      <c r="J30" s="296"/>
      <c r="K30" s="296"/>
      <c r="L30" s="296"/>
      <c r="M30" s="296"/>
    </row>
    <row r="31" spans="2:13">
      <c r="B31" s="28" t="s">
        <v>28</v>
      </c>
      <c r="C31" s="278">
        <f>BS!G27</f>
        <v>0</v>
      </c>
      <c r="D31" s="296"/>
      <c r="E31" s="296"/>
      <c r="F31" s="296"/>
      <c r="G31" s="296"/>
      <c r="H31" s="296"/>
      <c r="I31" s="296"/>
      <c r="J31" s="296"/>
      <c r="K31" s="296"/>
      <c r="L31" s="296"/>
      <c r="M31" s="296"/>
    </row>
    <row r="32" spans="2:13">
      <c r="B32" s="25" t="s">
        <v>143</v>
      </c>
      <c r="C32" s="277">
        <f>BS!G28</f>
        <v>0</v>
      </c>
      <c r="D32" s="294"/>
      <c r="E32" s="294"/>
      <c r="F32" s="294"/>
      <c r="G32" s="294"/>
      <c r="H32" s="294"/>
      <c r="I32" s="294"/>
      <c r="J32" s="294"/>
      <c r="K32" s="294"/>
      <c r="L32" s="294"/>
      <c r="M32" s="294"/>
    </row>
    <row r="34" spans="2:13" ht="13.9">
      <c r="B34" s="34" t="s">
        <v>78</v>
      </c>
      <c r="C34" s="35"/>
      <c r="D34" s="35"/>
      <c r="E34" s="35"/>
      <c r="F34" s="35"/>
      <c r="G34" s="35"/>
      <c r="H34" s="35"/>
      <c r="I34" s="35"/>
      <c r="J34" s="35"/>
      <c r="K34" s="35"/>
      <c r="L34" s="35"/>
      <c r="M34" s="35"/>
    </row>
    <row r="35" spans="2:13">
      <c r="B35" s="16" t="s">
        <v>25</v>
      </c>
    </row>
    <row r="36" spans="2:13">
      <c r="B36" s="31" t="s">
        <v>0</v>
      </c>
      <c r="C36" s="277">
        <f t="shared" ref="C36:M36" si="1">IF(C$4="","",C4)</f>
        <v>2077484</v>
      </c>
      <c r="D36" s="277" t="str">
        <f t="shared" si="1"/>
        <v/>
      </c>
      <c r="E36" s="277" t="str">
        <f t="shared" si="1"/>
        <v/>
      </c>
      <c r="F36" s="277" t="str">
        <f t="shared" si="1"/>
        <v/>
      </c>
      <c r="G36" s="277" t="str">
        <f t="shared" si="1"/>
        <v/>
      </c>
      <c r="H36" s="277" t="str">
        <f t="shared" si="1"/>
        <v/>
      </c>
      <c r="I36" s="277" t="str">
        <f t="shared" si="1"/>
        <v/>
      </c>
      <c r="J36" s="277" t="str">
        <f t="shared" si="1"/>
        <v/>
      </c>
      <c r="K36" s="277" t="str">
        <f t="shared" si="1"/>
        <v/>
      </c>
      <c r="L36" s="277" t="str">
        <f t="shared" si="1"/>
        <v/>
      </c>
      <c r="M36" s="277" t="str">
        <f t="shared" si="1"/>
        <v/>
      </c>
    </row>
    <row r="37" spans="2:13">
      <c r="B37" s="38" t="s">
        <v>40</v>
      </c>
      <c r="C37" s="277">
        <f t="shared" ref="C37:M37" si="2">IF(C$4="","",-C5)</f>
        <v>-467126</v>
      </c>
      <c r="D37" s="277" t="str">
        <f t="shared" si="2"/>
        <v/>
      </c>
      <c r="E37" s="277" t="str">
        <f t="shared" si="2"/>
        <v/>
      </c>
      <c r="F37" s="277" t="str">
        <f t="shared" si="2"/>
        <v/>
      </c>
      <c r="G37" s="277" t="str">
        <f t="shared" si="2"/>
        <v/>
      </c>
      <c r="H37" s="277" t="str">
        <f t="shared" si="2"/>
        <v/>
      </c>
      <c r="I37" s="277" t="str">
        <f t="shared" si="2"/>
        <v/>
      </c>
      <c r="J37" s="277" t="str">
        <f t="shared" si="2"/>
        <v/>
      </c>
      <c r="K37" s="277" t="str">
        <f t="shared" si="2"/>
        <v/>
      </c>
      <c r="L37" s="277" t="str">
        <f t="shared" si="2"/>
        <v/>
      </c>
      <c r="M37" s="277" t="str">
        <f t="shared" si="2"/>
        <v/>
      </c>
    </row>
    <row r="38" spans="2:13">
      <c r="B38" s="30" t="s">
        <v>55</v>
      </c>
      <c r="C38" s="274">
        <f>IF(C36="","",C36+C37)</f>
        <v>1610358</v>
      </c>
      <c r="D38" s="274" t="str">
        <f t="shared" ref="D38" si="3">IF(D36="","",D36+D37)</f>
        <v/>
      </c>
      <c r="E38" s="274" t="str">
        <f t="shared" ref="E38" si="4">IF(E36="","",E36+E37)</f>
        <v/>
      </c>
      <c r="F38" s="274" t="str">
        <f t="shared" ref="F38" si="5">IF(F36="","",F36+F37)</f>
        <v/>
      </c>
      <c r="G38" s="274" t="str">
        <f t="shared" ref="G38" si="6">IF(G36="","",G36+G37)</f>
        <v/>
      </c>
      <c r="H38" s="274" t="str">
        <f t="shared" ref="H38" si="7">IF(H36="","",H36+H37)</f>
        <v/>
      </c>
      <c r="I38" s="274" t="str">
        <f t="shared" ref="I38" si="8">IF(I36="","",I36+I37)</f>
        <v/>
      </c>
      <c r="J38" s="274" t="str">
        <f t="shared" ref="J38" si="9">IF(J36="","",J36+J37)</f>
        <v/>
      </c>
      <c r="K38" s="274" t="str">
        <f t="shared" ref="K38" si="10">IF(K36="","",K36+K37)</f>
        <v/>
      </c>
      <c r="L38" s="274" t="str">
        <f t="shared" ref="L38" si="11">IF(L36="","",L36+L37)</f>
        <v/>
      </c>
      <c r="M38" s="274" t="str">
        <f t="shared" ref="M38" si="12">IF(M36="","",M36+M37)</f>
        <v/>
      </c>
    </row>
    <row r="39" spans="2:13">
      <c r="B39" s="38" t="s">
        <v>51</v>
      </c>
      <c r="C39" s="277">
        <f t="shared" ref="C39:M39" si="13">IF(C$4="","",-C6)</f>
        <v>-528317</v>
      </c>
      <c r="D39" s="277" t="str">
        <f t="shared" si="13"/>
        <v/>
      </c>
      <c r="E39" s="277" t="str">
        <f t="shared" si="13"/>
        <v/>
      </c>
      <c r="F39" s="277" t="str">
        <f t="shared" si="13"/>
        <v/>
      </c>
      <c r="G39" s="277" t="str">
        <f t="shared" si="13"/>
        <v/>
      </c>
      <c r="H39" s="277" t="str">
        <f t="shared" si="13"/>
        <v/>
      </c>
      <c r="I39" s="277" t="str">
        <f t="shared" si="13"/>
        <v/>
      </c>
      <c r="J39" s="277" t="str">
        <f t="shared" si="13"/>
        <v/>
      </c>
      <c r="K39" s="277" t="str">
        <f t="shared" si="13"/>
        <v/>
      </c>
      <c r="L39" s="277" t="str">
        <f t="shared" si="13"/>
        <v/>
      </c>
      <c r="M39" s="277" t="str">
        <f t="shared" si="13"/>
        <v/>
      </c>
    </row>
    <row r="40" spans="2:13">
      <c r="B40" s="66" t="s">
        <v>58</v>
      </c>
      <c r="C40" s="289">
        <f t="shared" ref="C40:M40" si="14">IF(C$4="","",-C7)</f>
        <v>-41597</v>
      </c>
      <c r="D40" s="289" t="str">
        <f t="shared" si="14"/>
        <v/>
      </c>
      <c r="E40" s="289" t="str">
        <f t="shared" si="14"/>
        <v/>
      </c>
      <c r="F40" s="289" t="str">
        <f t="shared" si="14"/>
        <v/>
      </c>
      <c r="G40" s="289" t="str">
        <f t="shared" si="14"/>
        <v/>
      </c>
      <c r="H40" s="289" t="str">
        <f t="shared" si="14"/>
        <v/>
      </c>
      <c r="I40" s="289" t="str">
        <f t="shared" si="14"/>
        <v/>
      </c>
      <c r="J40" s="289" t="str">
        <f t="shared" si="14"/>
        <v/>
      </c>
      <c r="K40" s="289" t="str">
        <f t="shared" si="14"/>
        <v/>
      </c>
      <c r="L40" s="289" t="str">
        <f t="shared" si="14"/>
        <v/>
      </c>
      <c r="M40" s="289" t="str">
        <f t="shared" si="14"/>
        <v/>
      </c>
    </row>
    <row r="41" spans="2:13">
      <c r="B41" s="66" t="s">
        <v>61</v>
      </c>
      <c r="C41" s="289">
        <f>IF(C$4="","",C39-C40)</f>
        <v>-486720</v>
      </c>
      <c r="D41" s="289" t="str">
        <f t="shared" ref="D41:M41" si="15">IF(D$4="","",D39-D40)</f>
        <v/>
      </c>
      <c r="E41" s="289" t="str">
        <f t="shared" si="15"/>
        <v/>
      </c>
      <c r="F41" s="289" t="str">
        <f t="shared" si="15"/>
        <v/>
      </c>
      <c r="G41" s="289" t="str">
        <f t="shared" si="15"/>
        <v/>
      </c>
      <c r="H41" s="289" t="str">
        <f t="shared" si="15"/>
        <v/>
      </c>
      <c r="I41" s="289" t="str">
        <f t="shared" si="15"/>
        <v/>
      </c>
      <c r="J41" s="289" t="str">
        <f t="shared" si="15"/>
        <v/>
      </c>
      <c r="K41" s="289" t="str">
        <f t="shared" si="15"/>
        <v/>
      </c>
      <c r="L41" s="289" t="str">
        <f t="shared" si="15"/>
        <v/>
      </c>
      <c r="M41" s="289" t="str">
        <f t="shared" si="15"/>
        <v/>
      </c>
    </row>
    <row r="42" spans="2:13">
      <c r="B42" s="38" t="s">
        <v>46</v>
      </c>
      <c r="C42" s="277">
        <f t="shared" ref="C42:M42" si="16">IF(C$4="","",-C8)</f>
        <v>0</v>
      </c>
      <c r="D42" s="277" t="str">
        <f t="shared" si="16"/>
        <v/>
      </c>
      <c r="E42" s="277" t="str">
        <f t="shared" si="16"/>
        <v/>
      </c>
      <c r="F42" s="277" t="str">
        <f t="shared" si="16"/>
        <v/>
      </c>
      <c r="G42" s="277" t="str">
        <f t="shared" si="16"/>
        <v/>
      </c>
      <c r="H42" s="277" t="str">
        <f t="shared" si="16"/>
        <v/>
      </c>
      <c r="I42" s="277" t="str">
        <f t="shared" si="16"/>
        <v/>
      </c>
      <c r="J42" s="277" t="str">
        <f t="shared" si="16"/>
        <v/>
      </c>
      <c r="K42" s="277" t="str">
        <f t="shared" si="16"/>
        <v/>
      </c>
      <c r="L42" s="277" t="str">
        <f t="shared" si="16"/>
        <v/>
      </c>
      <c r="M42" s="277" t="str">
        <f t="shared" si="16"/>
        <v/>
      </c>
    </row>
    <row r="43" spans="2:13">
      <c r="B43" s="41" t="s">
        <v>127</v>
      </c>
      <c r="C43" s="278">
        <f>IF(C$4="","",C38+C39+C42)</f>
        <v>1082041</v>
      </c>
      <c r="D43" s="278" t="str">
        <f t="shared" ref="D43:M43" si="17">IF(D$4="","",D38+D39+D42)</f>
        <v/>
      </c>
      <c r="E43" s="278" t="str">
        <f t="shared" si="17"/>
        <v/>
      </c>
      <c r="F43" s="278" t="str">
        <f t="shared" si="17"/>
        <v/>
      </c>
      <c r="G43" s="278" t="str">
        <f t="shared" si="17"/>
        <v/>
      </c>
      <c r="H43" s="278" t="str">
        <f t="shared" si="17"/>
        <v/>
      </c>
      <c r="I43" s="278" t="str">
        <f t="shared" si="17"/>
        <v/>
      </c>
      <c r="J43" s="278" t="str">
        <f t="shared" si="17"/>
        <v/>
      </c>
      <c r="K43" s="278" t="str">
        <f t="shared" si="17"/>
        <v/>
      </c>
      <c r="L43" s="278" t="str">
        <f t="shared" si="17"/>
        <v/>
      </c>
      <c r="M43" s="278" t="str">
        <f t="shared" si="17"/>
        <v/>
      </c>
    </row>
    <row r="44" spans="2:13">
      <c r="B44" s="41" t="s">
        <v>139</v>
      </c>
      <c r="C44" s="297">
        <f t="shared" ref="C44:M44" si="18">IF(C$4="","",C47-C46-C45-C43)</f>
        <v>-276921</v>
      </c>
      <c r="D44" s="297" t="str">
        <f t="shared" si="18"/>
        <v/>
      </c>
      <c r="E44" s="297" t="str">
        <f t="shared" si="18"/>
        <v/>
      </c>
      <c r="F44" s="297" t="str">
        <f t="shared" si="18"/>
        <v/>
      </c>
      <c r="G44" s="297" t="str">
        <f t="shared" si="18"/>
        <v/>
      </c>
      <c r="H44" s="297" t="str">
        <f t="shared" si="18"/>
        <v/>
      </c>
      <c r="I44" s="297" t="str">
        <f t="shared" si="18"/>
        <v/>
      </c>
      <c r="J44" s="297" t="str">
        <f t="shared" si="18"/>
        <v/>
      </c>
      <c r="K44" s="297" t="str">
        <f t="shared" si="18"/>
        <v/>
      </c>
      <c r="L44" s="297" t="str">
        <f t="shared" si="18"/>
        <v/>
      </c>
      <c r="M44" s="297" t="str">
        <f t="shared" si="18"/>
        <v/>
      </c>
    </row>
    <row r="45" spans="2:13">
      <c r="B45" s="38" t="s">
        <v>65</v>
      </c>
      <c r="C45" s="292">
        <f t="shared" ref="C45:M45" si="19">IF(C$4="","",C51+C52)</f>
        <v>5389</v>
      </c>
      <c r="D45" s="292" t="str">
        <f t="shared" si="19"/>
        <v/>
      </c>
      <c r="E45" s="292" t="str">
        <f t="shared" si="19"/>
        <v/>
      </c>
      <c r="F45" s="292" t="str">
        <f t="shared" si="19"/>
        <v/>
      </c>
      <c r="G45" s="292" t="str">
        <f t="shared" si="19"/>
        <v/>
      </c>
      <c r="H45" s="292" t="str">
        <f t="shared" si="19"/>
        <v/>
      </c>
      <c r="I45" s="292" t="str">
        <f t="shared" si="19"/>
        <v/>
      </c>
      <c r="J45" s="292" t="str">
        <f t="shared" si="19"/>
        <v/>
      </c>
      <c r="K45" s="292" t="str">
        <f t="shared" si="19"/>
        <v/>
      </c>
      <c r="L45" s="292" t="str">
        <f t="shared" si="19"/>
        <v/>
      </c>
      <c r="M45" s="292" t="str">
        <f t="shared" si="19"/>
        <v/>
      </c>
    </row>
    <row r="46" spans="2:13">
      <c r="B46" s="38" t="s">
        <v>47</v>
      </c>
      <c r="C46" s="277">
        <f>IF(C$4="","",-C14)</f>
        <v>-313181</v>
      </c>
      <c r="D46" s="277" t="str">
        <f t="shared" ref="D46:M46" si="20">IF(D$4="","",-D14)</f>
        <v/>
      </c>
      <c r="E46" s="277" t="str">
        <f t="shared" si="20"/>
        <v/>
      </c>
      <c r="F46" s="277" t="str">
        <f t="shared" si="20"/>
        <v/>
      </c>
      <c r="G46" s="277" t="str">
        <f t="shared" si="20"/>
        <v/>
      </c>
      <c r="H46" s="277" t="str">
        <f t="shared" si="20"/>
        <v/>
      </c>
      <c r="I46" s="277" t="str">
        <f t="shared" si="20"/>
        <v/>
      </c>
      <c r="J46" s="277" t="str">
        <f t="shared" si="20"/>
        <v/>
      </c>
      <c r="K46" s="277" t="str">
        <f t="shared" si="20"/>
        <v/>
      </c>
      <c r="L46" s="277" t="str">
        <f t="shared" si="20"/>
        <v/>
      </c>
      <c r="M46" s="277" t="str">
        <f t="shared" si="20"/>
        <v/>
      </c>
    </row>
    <row r="47" spans="2:13">
      <c r="B47" s="41" t="s">
        <v>39</v>
      </c>
      <c r="C47" s="278">
        <f t="shared" ref="C47:M47" si="21">IF(C$4="","",C15)</f>
        <v>497328</v>
      </c>
      <c r="D47" s="278" t="str">
        <f t="shared" si="21"/>
        <v/>
      </c>
      <c r="E47" s="278" t="str">
        <f t="shared" si="21"/>
        <v/>
      </c>
      <c r="F47" s="278" t="str">
        <f t="shared" si="21"/>
        <v/>
      </c>
      <c r="G47" s="278" t="str">
        <f t="shared" si="21"/>
        <v/>
      </c>
      <c r="H47" s="278" t="str">
        <f t="shared" si="21"/>
        <v/>
      </c>
      <c r="I47" s="278" t="str">
        <f t="shared" si="21"/>
        <v/>
      </c>
      <c r="J47" s="278" t="str">
        <f t="shared" si="21"/>
        <v/>
      </c>
      <c r="K47" s="278" t="str">
        <f t="shared" si="21"/>
        <v/>
      </c>
      <c r="L47" s="278" t="str">
        <f t="shared" si="21"/>
        <v/>
      </c>
      <c r="M47" s="278" t="str">
        <f t="shared" si="21"/>
        <v/>
      </c>
    </row>
    <row r="48" spans="2:13">
      <c r="B48" s="27" t="s">
        <v>41</v>
      </c>
      <c r="C48" s="277">
        <f t="shared" ref="C48:M48" si="22">IF(C$4="","",MIN(-C16,0))</f>
        <v>-124194</v>
      </c>
      <c r="D48" s="277" t="str">
        <f t="shared" si="22"/>
        <v/>
      </c>
      <c r="E48" s="277" t="str">
        <f t="shared" si="22"/>
        <v/>
      </c>
      <c r="F48" s="277" t="str">
        <f t="shared" si="22"/>
        <v/>
      </c>
      <c r="G48" s="277" t="str">
        <f t="shared" si="22"/>
        <v/>
      </c>
      <c r="H48" s="277" t="str">
        <f t="shared" si="22"/>
        <v/>
      </c>
      <c r="I48" s="277" t="str">
        <f t="shared" si="22"/>
        <v/>
      </c>
      <c r="J48" s="277" t="str">
        <f t="shared" si="22"/>
        <v/>
      </c>
      <c r="K48" s="277" t="str">
        <f t="shared" si="22"/>
        <v/>
      </c>
      <c r="L48" s="277" t="str">
        <f t="shared" si="22"/>
        <v/>
      </c>
      <c r="M48" s="277" t="str">
        <f t="shared" si="22"/>
        <v/>
      </c>
    </row>
    <row r="50" spans="2:13">
      <c r="B50" s="16" t="s">
        <v>65</v>
      </c>
    </row>
    <row r="51" spans="2:13">
      <c r="B51" s="38" t="s">
        <v>37</v>
      </c>
      <c r="C51" s="277">
        <f t="shared" ref="C51:M51" si="23">IF(C$4="","",-C12)</f>
        <v>-16422</v>
      </c>
      <c r="D51" s="277" t="str">
        <f t="shared" si="23"/>
        <v/>
      </c>
      <c r="E51" s="277" t="str">
        <f t="shared" si="23"/>
        <v/>
      </c>
      <c r="F51" s="277" t="str">
        <f t="shared" si="23"/>
        <v/>
      </c>
      <c r="G51" s="277" t="str">
        <f t="shared" si="23"/>
        <v/>
      </c>
      <c r="H51" s="277" t="str">
        <f t="shared" si="23"/>
        <v/>
      </c>
      <c r="I51" s="277" t="str">
        <f t="shared" si="23"/>
        <v/>
      </c>
      <c r="J51" s="277" t="str">
        <f t="shared" si="23"/>
        <v/>
      </c>
      <c r="K51" s="277" t="str">
        <f t="shared" si="23"/>
        <v/>
      </c>
      <c r="L51" s="277" t="str">
        <f t="shared" si="23"/>
        <v/>
      </c>
      <c r="M51" s="277" t="str">
        <f t="shared" si="23"/>
        <v/>
      </c>
    </row>
    <row r="52" spans="2:13">
      <c r="B52" s="38" t="s">
        <v>64</v>
      </c>
      <c r="C52" s="277">
        <f>IF(C$4="","",C13)</f>
        <v>21811</v>
      </c>
      <c r="D52" s="277" t="str">
        <f t="shared" ref="D52:M52" si="24">IF(D$4="","",D13)</f>
        <v/>
      </c>
      <c r="E52" s="277" t="str">
        <f t="shared" si="24"/>
        <v/>
      </c>
      <c r="F52" s="277" t="str">
        <f t="shared" si="24"/>
        <v/>
      </c>
      <c r="G52" s="277" t="str">
        <f t="shared" si="24"/>
        <v/>
      </c>
      <c r="H52" s="277" t="str">
        <f t="shared" si="24"/>
        <v/>
      </c>
      <c r="I52" s="277" t="str">
        <f t="shared" si="24"/>
        <v/>
      </c>
      <c r="J52" s="277" t="str">
        <f t="shared" si="24"/>
        <v/>
      </c>
      <c r="K52" s="277" t="str">
        <f t="shared" si="24"/>
        <v/>
      </c>
      <c r="L52" s="277" t="str">
        <f t="shared" si="24"/>
        <v/>
      </c>
      <c r="M52" s="277" t="str">
        <f t="shared" si="24"/>
        <v/>
      </c>
    </row>
    <row r="54" spans="2:13">
      <c r="B54" s="156" t="s">
        <v>139</v>
      </c>
    </row>
    <row r="55" spans="2:13">
      <c r="B55" s="38" t="s">
        <v>134</v>
      </c>
      <c r="C55" s="292">
        <f t="shared" ref="C55:M55" si="25">IF(C$4="","",C9)</f>
        <v>-2798</v>
      </c>
      <c r="D55" s="292" t="str">
        <f t="shared" si="25"/>
        <v/>
      </c>
      <c r="E55" s="292" t="str">
        <f t="shared" si="25"/>
        <v/>
      </c>
      <c r="F55" s="292" t="str">
        <f t="shared" si="25"/>
        <v/>
      </c>
      <c r="G55" s="292" t="str">
        <f t="shared" si="25"/>
        <v/>
      </c>
      <c r="H55" s="292" t="str">
        <f t="shared" si="25"/>
        <v/>
      </c>
      <c r="I55" s="292" t="str">
        <f t="shared" si="25"/>
        <v/>
      </c>
      <c r="J55" s="292" t="str">
        <f t="shared" si="25"/>
        <v/>
      </c>
      <c r="K55" s="292" t="str">
        <f t="shared" si="25"/>
        <v/>
      </c>
      <c r="L55" s="292" t="str">
        <f t="shared" si="25"/>
        <v/>
      </c>
      <c r="M55" s="292" t="str">
        <f t="shared" si="25"/>
        <v/>
      </c>
    </row>
    <row r="56" spans="2:13">
      <c r="B56" s="38" t="s">
        <v>138</v>
      </c>
      <c r="C56" s="292">
        <f t="shared" ref="C56:M56" si="26">IF(C$4="","",C10)</f>
        <v>0</v>
      </c>
      <c r="D56" s="292" t="str">
        <f t="shared" si="26"/>
        <v/>
      </c>
      <c r="E56" s="292" t="str">
        <f t="shared" si="26"/>
        <v/>
      </c>
      <c r="F56" s="292" t="str">
        <f t="shared" si="26"/>
        <v/>
      </c>
      <c r="G56" s="292" t="str">
        <f t="shared" si="26"/>
        <v/>
      </c>
      <c r="H56" s="292" t="str">
        <f t="shared" si="26"/>
        <v/>
      </c>
      <c r="I56" s="292" t="str">
        <f t="shared" si="26"/>
        <v/>
      </c>
      <c r="J56" s="292" t="str">
        <f t="shared" si="26"/>
        <v/>
      </c>
      <c r="K56" s="292" t="str">
        <f t="shared" si="26"/>
        <v/>
      </c>
      <c r="L56" s="292" t="str">
        <f t="shared" si="26"/>
        <v/>
      </c>
      <c r="M56" s="292" t="str">
        <f t="shared" si="26"/>
        <v/>
      </c>
    </row>
    <row r="57" spans="2:13">
      <c r="B57" s="38" t="s">
        <v>133</v>
      </c>
      <c r="C57" s="292">
        <f t="shared" ref="C57:M57" si="27">IF(C$4="","",C11)</f>
        <v>0</v>
      </c>
      <c r="D57" s="292" t="str">
        <f t="shared" si="27"/>
        <v/>
      </c>
      <c r="E57" s="292" t="str">
        <f t="shared" si="27"/>
        <v/>
      </c>
      <c r="F57" s="292" t="str">
        <f t="shared" si="27"/>
        <v/>
      </c>
      <c r="G57" s="292" t="str">
        <f t="shared" si="27"/>
        <v/>
      </c>
      <c r="H57" s="292" t="str">
        <f t="shared" si="27"/>
        <v/>
      </c>
      <c r="I57" s="292" t="str">
        <f t="shared" si="27"/>
        <v/>
      </c>
      <c r="J57" s="292" t="str">
        <f t="shared" si="27"/>
        <v/>
      </c>
      <c r="K57" s="292" t="str">
        <f t="shared" si="27"/>
        <v/>
      </c>
      <c r="L57" s="292" t="str">
        <f t="shared" si="27"/>
        <v/>
      </c>
      <c r="M57" s="292" t="str">
        <f t="shared" si="27"/>
        <v/>
      </c>
    </row>
    <row r="58" spans="2:13">
      <c r="B58" s="38" t="s">
        <v>135</v>
      </c>
      <c r="C58" s="292">
        <f>IF(C$4="","",C44-C55-C56-C57)</f>
        <v>-274123</v>
      </c>
      <c r="D58" s="292" t="str">
        <f t="shared" ref="D58:M58" si="28">IF(D$4="","",D44-D55-D56-D57)</f>
        <v/>
      </c>
      <c r="E58" s="292" t="str">
        <f t="shared" si="28"/>
        <v/>
      </c>
      <c r="F58" s="292" t="str">
        <f t="shared" si="28"/>
        <v/>
      </c>
      <c r="G58" s="292" t="str">
        <f t="shared" si="28"/>
        <v/>
      </c>
      <c r="H58" s="292" t="str">
        <f t="shared" si="28"/>
        <v/>
      </c>
      <c r="I58" s="292" t="str">
        <f t="shared" si="28"/>
        <v/>
      </c>
      <c r="J58" s="292" t="str">
        <f t="shared" si="28"/>
        <v/>
      </c>
      <c r="K58" s="292" t="str">
        <f t="shared" si="28"/>
        <v/>
      </c>
      <c r="L58" s="292" t="str">
        <f t="shared" si="28"/>
        <v/>
      </c>
      <c r="M58" s="292" t="str">
        <f t="shared" si="28"/>
        <v/>
      </c>
    </row>
    <row r="60" spans="2:13">
      <c r="B60" s="16" t="s">
        <v>48</v>
      </c>
      <c r="C60" s="9"/>
    </row>
    <row r="61" spans="2:13">
      <c r="B61" s="26" t="s">
        <v>44</v>
      </c>
      <c r="C61" s="277">
        <f>IF(C$4="","",-C19)</f>
        <v>0</v>
      </c>
      <c r="D61" s="277" t="str">
        <f t="shared" ref="D61:M61" si="29">IF(D$4="","",-D19)</f>
        <v/>
      </c>
      <c r="E61" s="277" t="str">
        <f t="shared" si="29"/>
        <v/>
      </c>
      <c r="F61" s="277" t="str">
        <f t="shared" si="29"/>
        <v/>
      </c>
      <c r="G61" s="277" t="str">
        <f t="shared" si="29"/>
        <v/>
      </c>
      <c r="H61" s="277" t="str">
        <f t="shared" si="29"/>
        <v/>
      </c>
      <c r="I61" s="277" t="str">
        <f t="shared" si="29"/>
        <v/>
      </c>
      <c r="J61" s="277" t="str">
        <f t="shared" si="29"/>
        <v/>
      </c>
      <c r="K61" s="277" t="str">
        <f t="shared" si="29"/>
        <v/>
      </c>
      <c r="L61" s="277" t="str">
        <f t="shared" si="29"/>
        <v/>
      </c>
      <c r="M61" s="277" t="str">
        <f t="shared" si="29"/>
        <v/>
      </c>
    </row>
    <row r="62" spans="2:13">
      <c r="B62" s="26" t="s">
        <v>50</v>
      </c>
      <c r="C62" s="277">
        <f>IF(C$4="","",IF(C20=0,C61,-C20))</f>
        <v>0</v>
      </c>
      <c r="D62" s="277" t="str">
        <f t="shared" ref="D62:M62" si="30">IF(D$4="","",IF(D20=0,D61,-D20))</f>
        <v/>
      </c>
      <c r="E62" s="277" t="str">
        <f t="shared" si="30"/>
        <v/>
      </c>
      <c r="F62" s="277" t="str">
        <f t="shared" si="30"/>
        <v/>
      </c>
      <c r="G62" s="277" t="str">
        <f t="shared" si="30"/>
        <v/>
      </c>
      <c r="H62" s="277" t="str">
        <f t="shared" si="30"/>
        <v/>
      </c>
      <c r="I62" s="277" t="str">
        <f t="shared" si="30"/>
        <v/>
      </c>
      <c r="J62" s="277" t="str">
        <f t="shared" si="30"/>
        <v/>
      </c>
      <c r="K62" s="277" t="str">
        <f t="shared" si="30"/>
        <v/>
      </c>
      <c r="L62" s="277" t="str">
        <f t="shared" si="30"/>
        <v/>
      </c>
      <c r="M62" s="277" t="str">
        <f t="shared" si="30"/>
        <v/>
      </c>
    </row>
    <row r="63" spans="2:13">
      <c r="B63" s="26" t="s">
        <v>49</v>
      </c>
      <c r="C63" s="277">
        <f>IF(C$4="","",-C21)</f>
        <v>0</v>
      </c>
      <c r="D63" s="277" t="str">
        <f t="shared" ref="D63:M63" si="31">IF(D$4="","",-D21)</f>
        <v/>
      </c>
      <c r="E63" s="277" t="str">
        <f t="shared" si="31"/>
        <v/>
      </c>
      <c r="F63" s="277" t="str">
        <f t="shared" si="31"/>
        <v/>
      </c>
      <c r="G63" s="277" t="str">
        <f t="shared" si="31"/>
        <v/>
      </c>
      <c r="H63" s="277" t="str">
        <f t="shared" si="31"/>
        <v/>
      </c>
      <c r="I63" s="277" t="str">
        <f t="shared" si="31"/>
        <v/>
      </c>
      <c r="J63" s="277" t="str">
        <f t="shared" si="31"/>
        <v/>
      </c>
      <c r="K63" s="277" t="str">
        <f t="shared" si="31"/>
        <v/>
      </c>
      <c r="L63" s="277" t="str">
        <f t="shared" si="31"/>
        <v/>
      </c>
      <c r="M63" s="277" t="str">
        <f t="shared" si="31"/>
        <v/>
      </c>
    </row>
    <row r="64" spans="2:13">
      <c r="B64" s="26" t="s">
        <v>307</v>
      </c>
      <c r="C64" s="277">
        <f>IF(C$4="","",C22+C23+C24)</f>
        <v>0</v>
      </c>
      <c r="D64" s="277" t="str">
        <f t="shared" ref="D64:M64" si="32">IF(D$4="","",D22+D23+D24)</f>
        <v/>
      </c>
      <c r="E64" s="277" t="str">
        <f t="shared" si="32"/>
        <v/>
      </c>
      <c r="F64" s="277" t="str">
        <f t="shared" si="32"/>
        <v/>
      </c>
      <c r="G64" s="277" t="str">
        <f t="shared" si="32"/>
        <v/>
      </c>
      <c r="H64" s="277" t="str">
        <f t="shared" si="32"/>
        <v/>
      </c>
      <c r="I64" s="277" t="str">
        <f t="shared" si="32"/>
        <v/>
      </c>
      <c r="J64" s="277" t="str">
        <f t="shared" si="32"/>
        <v/>
      </c>
      <c r="K64" s="277" t="str">
        <f t="shared" si="32"/>
        <v/>
      </c>
      <c r="L64" s="277" t="str">
        <f t="shared" si="32"/>
        <v/>
      </c>
      <c r="M64" s="277" t="str">
        <f t="shared" si="32"/>
        <v/>
      </c>
    </row>
    <row r="65" spans="2:13">
      <c r="B65" s="23" t="s">
        <v>34</v>
      </c>
      <c r="C65" s="70">
        <f>IF(C$4="","",C25)</f>
        <v>0</v>
      </c>
      <c r="D65" s="70" t="str">
        <f t="shared" ref="D65:M65" si="33">IF(D$4="","",D25)</f>
        <v/>
      </c>
      <c r="E65" s="70" t="str">
        <f t="shared" si="33"/>
        <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81</v>
      </c>
    </row>
    <row r="68" spans="2:13">
      <c r="B68" s="1" t="str">
        <f>B36</f>
        <v>Sales</v>
      </c>
      <c r="C68" s="89" t="str">
        <f t="shared" ref="C68:M68" si="34">IF(D$36="","",C36/D36-1)</f>
        <v/>
      </c>
      <c r="D68" s="89" t="str">
        <f t="shared" si="34"/>
        <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55</v>
      </c>
      <c r="C69" s="89" t="str">
        <f>IF(D$36="","",C38/D38-1)</f>
        <v/>
      </c>
      <c r="D69" s="89" t="str">
        <f t="shared" ref="D69:M69" si="35">IF(E$36="","",D38/E38-1)</f>
        <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t="str">
        <f>IF(D$36="","",C43/D43-1)</f>
        <v/>
      </c>
      <c r="D70" s="98" t="str">
        <f t="shared" ref="D70:M70" si="36">IF(E$36="","",D43/E43-1)</f>
        <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139</v>
      </c>
      <c r="C71" s="98" t="str">
        <f>IF(D$36="","",C44/D44-1)</f>
        <v/>
      </c>
      <c r="D71" s="98" t="str">
        <f t="shared" ref="D71:M71" si="37">IF(E$36="","",D44/E44-1)</f>
        <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t="str">
        <f>IF(D$36="","",C47/D47-1)</f>
        <v/>
      </c>
      <c r="D72" s="98" t="str">
        <f t="shared" ref="D72:M72" si="38">IF(E$36="","",D47/E47-1)</f>
        <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v>
      </c>
      <c r="D76" s="292" t="str">
        <f t="shared" ref="D76:M76" si="39">IF(D$4="","",D79+D80)</f>
        <v/>
      </c>
      <c r="E76" s="292" t="str">
        <f t="shared" si="39"/>
        <v/>
      </c>
      <c r="F76" s="292" t="str">
        <f t="shared" si="39"/>
        <v/>
      </c>
      <c r="G76" s="292" t="str">
        <f t="shared" si="39"/>
        <v/>
      </c>
      <c r="H76" s="292" t="str">
        <f t="shared" si="39"/>
        <v/>
      </c>
      <c r="I76" s="292" t="str">
        <f t="shared" si="39"/>
        <v/>
      </c>
      <c r="J76" s="292" t="str">
        <f t="shared" si="39"/>
        <v/>
      </c>
      <c r="K76" s="292" t="str">
        <f t="shared" si="39"/>
        <v/>
      </c>
      <c r="L76" s="292" t="str">
        <f t="shared" si="39"/>
        <v/>
      </c>
      <c r="M76" s="292" t="str">
        <f t="shared" si="39"/>
        <v/>
      </c>
    </row>
    <row r="77" spans="2:13">
      <c r="B77" s="90" t="s">
        <v>82</v>
      </c>
      <c r="C77" s="266">
        <f t="shared" ref="C77:H78" si="40">IF(C$4="","",C28)</f>
        <v>0</v>
      </c>
      <c r="D77" s="289" t="str">
        <f t="shared" si="40"/>
        <v/>
      </c>
      <c r="E77" s="289" t="str">
        <f t="shared" si="40"/>
        <v/>
      </c>
      <c r="F77" s="289" t="str">
        <f t="shared" si="40"/>
        <v/>
      </c>
      <c r="G77" s="289" t="str">
        <f t="shared" si="40"/>
        <v/>
      </c>
      <c r="H77" s="289" t="str">
        <f t="shared" si="40"/>
        <v/>
      </c>
      <c r="I77" s="298"/>
      <c r="J77" s="298"/>
      <c r="K77" s="298"/>
      <c r="L77" s="298"/>
      <c r="M77" s="298"/>
    </row>
    <row r="78" spans="2:13">
      <c r="B78" s="90" t="s">
        <v>83</v>
      </c>
      <c r="C78" s="266">
        <f t="shared" si="40"/>
        <v>0</v>
      </c>
      <c r="D78" s="289" t="str">
        <f t="shared" si="40"/>
        <v/>
      </c>
      <c r="E78" s="289" t="str">
        <f t="shared" si="40"/>
        <v/>
      </c>
      <c r="F78" s="289" t="str">
        <f t="shared" si="40"/>
        <v/>
      </c>
      <c r="G78" s="289" t="str">
        <f t="shared" si="40"/>
        <v/>
      </c>
      <c r="H78" s="289" t="str">
        <f t="shared" si="40"/>
        <v/>
      </c>
      <c r="I78" s="298"/>
      <c r="J78" s="298"/>
      <c r="K78" s="298"/>
      <c r="L78" s="298"/>
      <c r="M78" s="298"/>
    </row>
    <row r="79" spans="2:13">
      <c r="B79" s="25" t="s">
        <v>38</v>
      </c>
      <c r="C79" s="265">
        <f t="shared" ref="C79:M79" si="41">IF(C$4="","",C30)</f>
        <v>2</v>
      </c>
      <c r="D79" s="277" t="str">
        <f t="shared" si="41"/>
        <v/>
      </c>
      <c r="E79" s="277" t="str">
        <f t="shared" si="41"/>
        <v/>
      </c>
      <c r="F79" s="277" t="str">
        <f t="shared" si="41"/>
        <v/>
      </c>
      <c r="G79" s="277" t="str">
        <f t="shared" si="41"/>
        <v/>
      </c>
      <c r="H79" s="277" t="str">
        <f t="shared" si="41"/>
        <v/>
      </c>
      <c r="I79" s="277" t="str">
        <f t="shared" si="41"/>
        <v/>
      </c>
      <c r="J79" s="277" t="str">
        <f t="shared" si="41"/>
        <v/>
      </c>
      <c r="K79" s="277" t="str">
        <f t="shared" si="41"/>
        <v/>
      </c>
      <c r="L79" s="277" t="str">
        <f t="shared" si="41"/>
        <v/>
      </c>
      <c r="M79" s="277" t="str">
        <f t="shared" si="41"/>
        <v/>
      </c>
    </row>
    <row r="80" spans="2:13">
      <c r="B80" s="25" t="s">
        <v>28</v>
      </c>
      <c r="C80" s="265">
        <f t="shared" ref="C80:M80" si="42">IF(C$4="","",C31)</f>
        <v>0</v>
      </c>
      <c r="D80" s="277" t="str">
        <f t="shared" si="42"/>
        <v/>
      </c>
      <c r="E80" s="277" t="str">
        <f t="shared" si="42"/>
        <v/>
      </c>
      <c r="F80" s="277" t="str">
        <f t="shared" si="42"/>
        <v/>
      </c>
      <c r="G80" s="277" t="str">
        <f t="shared" si="42"/>
        <v/>
      </c>
      <c r="H80" s="277" t="str">
        <f t="shared" si="42"/>
        <v/>
      </c>
      <c r="I80" s="277" t="str">
        <f t="shared" si="42"/>
        <v/>
      </c>
      <c r="J80" s="277" t="str">
        <f t="shared" si="42"/>
        <v/>
      </c>
      <c r="K80" s="277" t="str">
        <f t="shared" si="42"/>
        <v/>
      </c>
      <c r="L80" s="277" t="str">
        <f t="shared" si="42"/>
        <v/>
      </c>
      <c r="M80" s="277"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0</v>
      </c>
      <c r="D4" s="234">
        <v>0.6</v>
      </c>
      <c r="E4" s="24"/>
      <c r="F4" s="4" t="s">
        <v>74</v>
      </c>
      <c r="G4" s="18">
        <v>1</v>
      </c>
      <c r="H4" s="234">
        <v>0.9</v>
      </c>
    </row>
    <row r="5" spans="2:8" ht="15" customHeight="1">
      <c r="B5" s="1" t="s">
        <v>31</v>
      </c>
      <c r="C5" s="18">
        <v>0</v>
      </c>
      <c r="D5" s="234">
        <v>0.6</v>
      </c>
      <c r="E5" s="24"/>
      <c r="F5" s="1" t="s">
        <v>27</v>
      </c>
      <c r="G5" s="18">
        <v>0</v>
      </c>
      <c r="H5" s="234">
        <v>0.7</v>
      </c>
    </row>
    <row r="6" spans="2:8" ht="15" customHeight="1">
      <c r="B6" s="4" t="s">
        <v>8</v>
      </c>
      <c r="C6" s="18">
        <v>0</v>
      </c>
      <c r="D6" s="234">
        <v>0.5</v>
      </c>
      <c r="E6" s="24"/>
      <c r="F6" s="4" t="s">
        <v>147</v>
      </c>
      <c r="G6" s="18">
        <v>0</v>
      </c>
      <c r="H6" s="234">
        <v>0.6</v>
      </c>
    </row>
    <row r="7" spans="2:8" ht="15" customHeight="1">
      <c r="B7" s="1" t="s">
        <v>66</v>
      </c>
      <c r="C7" s="18">
        <v>0</v>
      </c>
      <c r="D7" s="234">
        <v>0.6</v>
      </c>
      <c r="E7" s="24"/>
      <c r="F7" s="4" t="s">
        <v>148</v>
      </c>
      <c r="G7" s="18">
        <v>0</v>
      </c>
      <c r="H7" s="234">
        <v>0.6</v>
      </c>
    </row>
    <row r="8" spans="2:8" ht="15" customHeight="1">
      <c r="B8" s="1" t="s">
        <v>144</v>
      </c>
      <c r="C8" s="18">
        <v>0</v>
      </c>
      <c r="D8" s="234">
        <v>0.6</v>
      </c>
      <c r="E8" s="24"/>
      <c r="F8" s="1" t="s">
        <v>149</v>
      </c>
      <c r="G8" s="18">
        <v>0</v>
      </c>
      <c r="H8" s="234">
        <v>0.6</v>
      </c>
    </row>
    <row r="9" spans="2:8" ht="15" customHeight="1">
      <c r="B9" s="4" t="s">
        <v>23</v>
      </c>
      <c r="C9" s="18">
        <v>0</v>
      </c>
      <c r="D9" s="234">
        <v>0.1</v>
      </c>
      <c r="E9" s="24"/>
      <c r="F9" s="4" t="s">
        <v>150</v>
      </c>
      <c r="G9" s="18">
        <v>0</v>
      </c>
      <c r="H9" s="234">
        <v>0.6</v>
      </c>
    </row>
    <row r="10" spans="2:8" ht="15" customHeight="1">
      <c r="B10" s="4" t="s">
        <v>9</v>
      </c>
      <c r="C10" s="18">
        <v>0</v>
      </c>
      <c r="D10" s="234">
        <v>0.9</v>
      </c>
      <c r="F10" s="1" t="s">
        <v>407</v>
      </c>
      <c r="G10" s="18">
        <v>0</v>
      </c>
      <c r="H10" s="234">
        <v>0.6</v>
      </c>
    </row>
    <row r="11" spans="2:8" ht="15" customHeight="1">
      <c r="B11" s="4" t="s">
        <v>10</v>
      </c>
      <c r="C11" s="18">
        <v>0</v>
      </c>
      <c r="D11" s="234">
        <v>0.05</v>
      </c>
      <c r="H11" s="235"/>
    </row>
    <row r="12" spans="2:8" ht="15" customHeight="1">
      <c r="B12" s="77" t="s">
        <v>69</v>
      </c>
      <c r="C12" s="78">
        <f>SUM(C4:C11)</f>
        <v>0</v>
      </c>
      <c r="D12" s="19">
        <f>C4*D4+C5*D5+C9*D9+C6*D6+C8*D8+C7*D7+C10*D10+C11*D11</f>
        <v>0</v>
      </c>
      <c r="F12" s="77" t="s">
        <v>67</v>
      </c>
      <c r="G12" s="78">
        <f>SUM(G4:G10)</f>
        <v>1</v>
      </c>
      <c r="H12" s="19">
        <f>G4*H4+G5*H5+G6*H6+G7*H7+G8*H8+G9*H9+G10*H10</f>
        <v>0.9</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331</v>
      </c>
      <c r="C15" s="18">
        <v>0</v>
      </c>
      <c r="D15" s="234">
        <v>0.4</v>
      </c>
      <c r="F15" s="4" t="s">
        <v>75</v>
      </c>
      <c r="G15" s="18">
        <v>0</v>
      </c>
      <c r="H15" s="234">
        <v>0.8</v>
      </c>
    </row>
    <row r="16" spans="2:8" ht="15" customHeight="1">
      <c r="B16" s="1" t="s">
        <v>32</v>
      </c>
      <c r="C16" s="18">
        <v>0</v>
      </c>
      <c r="D16" s="234">
        <v>0.5</v>
      </c>
      <c r="F16" s="4" t="s">
        <v>147</v>
      </c>
      <c r="G16" s="18">
        <v>0</v>
      </c>
      <c r="H16" s="234">
        <v>0.6</v>
      </c>
    </row>
    <row r="17" spans="2:8" ht="15" customHeight="1">
      <c r="B17" s="1" t="s">
        <v>66</v>
      </c>
      <c r="C17" s="18">
        <v>0</v>
      </c>
      <c r="D17" s="234">
        <v>0.6</v>
      </c>
      <c r="F17" s="4" t="s">
        <v>148</v>
      </c>
      <c r="G17" s="18">
        <v>0</v>
      </c>
      <c r="H17" s="234">
        <v>0.6</v>
      </c>
    </row>
    <row r="18" spans="2:8" ht="15" customHeight="1">
      <c r="B18" s="4" t="s">
        <v>144</v>
      </c>
      <c r="C18" s="18">
        <v>0</v>
      </c>
      <c r="D18" s="234">
        <v>0.6</v>
      </c>
      <c r="F18" s="4" t="s">
        <v>151</v>
      </c>
      <c r="G18" s="18">
        <v>0</v>
      </c>
      <c r="H18" s="234">
        <v>0.1</v>
      </c>
    </row>
    <row r="19" spans="2:8" ht="15" customHeight="1">
      <c r="B19" s="4" t="s">
        <v>24</v>
      </c>
      <c r="C19" s="18">
        <v>1</v>
      </c>
      <c r="D19" s="234">
        <v>0.1</v>
      </c>
      <c r="F19" s="4" t="s">
        <v>152</v>
      </c>
      <c r="G19" s="18">
        <v>0</v>
      </c>
      <c r="H19" s="234">
        <v>0.1</v>
      </c>
    </row>
    <row r="20" spans="2:8" ht="15" customHeight="1">
      <c r="B20" s="4" t="s">
        <v>16</v>
      </c>
      <c r="C20" s="18">
        <v>0</v>
      </c>
      <c r="D20" s="234">
        <v>0.05</v>
      </c>
      <c r="F20" s="4" t="s">
        <v>149</v>
      </c>
      <c r="G20" s="18">
        <v>0</v>
      </c>
      <c r="H20" s="234">
        <v>0.2</v>
      </c>
    </row>
    <row r="21" spans="2:8" ht="15" customHeight="1">
      <c r="B21" s="4" t="s">
        <v>17</v>
      </c>
      <c r="C21" s="18">
        <v>0</v>
      </c>
      <c r="D21" s="234">
        <v>0.05</v>
      </c>
      <c r="F21" s="1" t="s">
        <v>150</v>
      </c>
      <c r="G21" s="18">
        <v>0</v>
      </c>
      <c r="H21" s="234">
        <v>0.1</v>
      </c>
    </row>
    <row r="22" spans="2:8" ht="15" customHeight="1">
      <c r="B22" s="4" t="s">
        <v>18</v>
      </c>
      <c r="C22" s="18">
        <v>0</v>
      </c>
      <c r="D22" s="234">
        <v>0.9</v>
      </c>
      <c r="H22" s="235"/>
    </row>
    <row r="23" spans="2:8" ht="15" customHeight="1">
      <c r="B23" s="4" t="s">
        <v>19</v>
      </c>
      <c r="C23" s="18">
        <v>0</v>
      </c>
      <c r="D23" s="234">
        <v>0</v>
      </c>
      <c r="H23" s="235"/>
    </row>
    <row r="24" spans="2:8" ht="15" customHeight="1">
      <c r="B24" s="77" t="s">
        <v>70</v>
      </c>
      <c r="C24" s="78">
        <f>SUM(C15:C23)</f>
        <v>1</v>
      </c>
      <c r="D24" s="19">
        <f>C15*D15+C16*D16+C18*D18+C17*D17+C19*D19+C20*D20+C21*D21+C22*D22+C23*D23</f>
        <v>0.1</v>
      </c>
      <c r="F24" s="77" t="s">
        <v>68</v>
      </c>
      <c r="G24" s="78">
        <f>SUM(G15:G21)</f>
        <v>0</v>
      </c>
      <c r="H24" s="19">
        <f>G15*H15+G16*H16+G17*H17+G18*H18+G19*H19+G20*H20+G21*H21</f>
        <v>0</v>
      </c>
    </row>
    <row r="26" spans="2:8" ht="15" customHeight="1">
      <c r="B26" s="16" t="s">
        <v>169</v>
      </c>
      <c r="C26" s="164" t="s">
        <v>113</v>
      </c>
      <c r="F26" s="166" t="s">
        <v>165</v>
      </c>
      <c r="G26" s="167" t="s">
        <v>113</v>
      </c>
      <c r="H26" s="168" t="s">
        <v>33</v>
      </c>
    </row>
    <row r="27" spans="2:8" ht="15" customHeight="1">
      <c r="B27" s="4" t="s">
        <v>3</v>
      </c>
      <c r="C27" s="18">
        <v>0</v>
      </c>
      <c r="F27" s="169" t="s">
        <v>28</v>
      </c>
      <c r="G27" s="82">
        <f>G32-G30</f>
        <v>0</v>
      </c>
      <c r="H27" s="170">
        <f>H32-G30</f>
        <v>-1</v>
      </c>
    </row>
    <row r="28" spans="2:8" ht="15" customHeight="1">
      <c r="B28" s="4" t="s">
        <v>4</v>
      </c>
      <c r="C28" s="18">
        <v>0</v>
      </c>
      <c r="F28" s="171" t="s">
        <v>209</v>
      </c>
      <c r="G28" s="294">
        <v>0</v>
      </c>
      <c r="H28" s="170"/>
    </row>
    <row r="29" spans="2:8" ht="15" customHeight="1">
      <c r="B29" s="4" t="s">
        <v>5</v>
      </c>
      <c r="C29" s="18">
        <v>0</v>
      </c>
      <c r="F29" s="172" t="s">
        <v>72</v>
      </c>
      <c r="G29" s="14">
        <f>G27-G28</f>
        <v>0</v>
      </c>
      <c r="H29" s="170">
        <f>H27-G28</f>
        <v>-1</v>
      </c>
    </row>
    <row r="30" spans="2:8" ht="15" customHeight="1">
      <c r="B30" s="2" t="s">
        <v>6</v>
      </c>
      <c r="C30" s="18">
        <v>0</v>
      </c>
      <c r="F30" s="169" t="s">
        <v>21</v>
      </c>
      <c r="G30" s="82">
        <f>C33+C42</f>
        <v>2</v>
      </c>
      <c r="H30" s="170"/>
    </row>
    <row r="31" spans="2:8" ht="15" customHeight="1">
      <c r="B31" s="77" t="s">
        <v>172</v>
      </c>
      <c r="C31" s="78">
        <f>SUM(C27:C30)</f>
        <v>0</v>
      </c>
      <c r="F31" s="172" t="s">
        <v>73</v>
      </c>
      <c r="G31" s="173">
        <f>C31+C40</f>
        <v>0</v>
      </c>
      <c r="H31" s="170"/>
    </row>
    <row r="32" spans="2:8" ht="15" customHeight="1">
      <c r="B32" s="4" t="s">
        <v>7</v>
      </c>
      <c r="C32" s="20">
        <f>C33-C31</f>
        <v>1</v>
      </c>
      <c r="F32" s="174" t="s">
        <v>71</v>
      </c>
      <c r="G32" s="175">
        <f>G35+G40</f>
        <v>2</v>
      </c>
      <c r="H32" s="170">
        <f>H35+H40</f>
        <v>1</v>
      </c>
    </row>
    <row r="33" spans="2:8" ht="15" customHeight="1">
      <c r="B33" s="80" t="s">
        <v>2</v>
      </c>
      <c r="C33" s="81">
        <v>1</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v>
      </c>
      <c r="H35" s="182">
        <f>D12+D24</f>
        <v>0.1</v>
      </c>
    </row>
    <row r="36" spans="2:8" ht="15" customHeight="1">
      <c r="B36" s="4" t="s">
        <v>11</v>
      </c>
      <c r="C36" s="18">
        <v>0</v>
      </c>
      <c r="F36" s="172" t="s">
        <v>166</v>
      </c>
      <c r="G36" s="173">
        <f>C4+C15</f>
        <v>0</v>
      </c>
      <c r="H36" s="177"/>
    </row>
    <row r="37" spans="2:8" ht="15" customHeight="1">
      <c r="B37" s="4" t="s">
        <v>12</v>
      </c>
      <c r="C37" s="18">
        <v>0</v>
      </c>
      <c r="F37" s="172" t="s">
        <v>167</v>
      </c>
      <c r="G37" s="173">
        <f>C6</f>
        <v>0</v>
      </c>
      <c r="H37" s="177"/>
    </row>
    <row r="38" spans="2:8" ht="15" customHeight="1">
      <c r="B38" s="4" t="s">
        <v>13</v>
      </c>
      <c r="C38" s="18">
        <v>0</v>
      </c>
      <c r="F38" s="172" t="s">
        <v>168</v>
      </c>
      <c r="G38" s="173">
        <f>C7+C17</f>
        <v>0</v>
      </c>
      <c r="H38" s="177"/>
    </row>
    <row r="39" spans="2:8" ht="15" customHeight="1">
      <c r="B39" s="2" t="s">
        <v>14</v>
      </c>
      <c r="C39" s="18">
        <v>0</v>
      </c>
      <c r="F39" s="172" t="s">
        <v>76</v>
      </c>
      <c r="G39" s="173">
        <f>C7+C17+C19+C20</f>
        <v>1</v>
      </c>
      <c r="H39" s="170">
        <f>C7*D7+C17*D17+C19*D19+C20*D20</f>
        <v>0.1</v>
      </c>
    </row>
    <row r="40" spans="2:8" ht="15" customHeight="1">
      <c r="B40" s="77" t="s">
        <v>173</v>
      </c>
      <c r="C40" s="78">
        <f>SUM(C36:C39)</f>
        <v>0</v>
      </c>
      <c r="F40" s="181" t="s">
        <v>115</v>
      </c>
      <c r="G40" s="175">
        <f>G12+G24</f>
        <v>1</v>
      </c>
      <c r="H40" s="182">
        <f>H12+H24</f>
        <v>0.9</v>
      </c>
    </row>
    <row r="41" spans="2:8" ht="15" customHeight="1">
      <c r="B41" s="4" t="s">
        <v>15</v>
      </c>
      <c r="C41" s="20">
        <f>C42-C40</f>
        <v>1</v>
      </c>
      <c r="F41" s="172" t="s">
        <v>160</v>
      </c>
      <c r="G41" s="173">
        <f>C70</f>
        <v>1</v>
      </c>
      <c r="H41" s="182">
        <f>H40-H42</f>
        <v>0.9</v>
      </c>
    </row>
    <row r="42" spans="2:8" ht="15" customHeight="1">
      <c r="B42" s="80" t="s">
        <v>20</v>
      </c>
      <c r="C42" s="81">
        <v>1</v>
      </c>
      <c r="F42" s="183" t="s">
        <v>161</v>
      </c>
      <c r="G42" s="184">
        <f>C82</f>
        <v>0</v>
      </c>
      <c r="H42" s="185">
        <f>D82</f>
        <v>0</v>
      </c>
    </row>
    <row r="44" spans="2:8" ht="15" customHeight="1">
      <c r="B44" s="76" t="s">
        <v>92</v>
      </c>
      <c r="C44" s="35"/>
      <c r="D44" s="35"/>
      <c r="E44" s="35"/>
      <c r="F44" s="35"/>
      <c r="G44" s="35"/>
      <c r="H44" s="35"/>
    </row>
    <row r="45" spans="2:8" ht="15" customHeight="1">
      <c r="B45" s="16" t="s">
        <v>228</v>
      </c>
      <c r="C45" s="212" t="s">
        <v>113</v>
      </c>
      <c r="D45" s="164" t="s">
        <v>312</v>
      </c>
      <c r="F45" s="229" t="s">
        <v>56</v>
      </c>
    </row>
    <row r="46" spans="2:8" ht="15" customHeight="1">
      <c r="B46" s="1" t="s">
        <v>230</v>
      </c>
      <c r="C46" s="73">
        <f>G29</f>
        <v>0</v>
      </c>
      <c r="D46" s="73">
        <f>H29</f>
        <v>-1</v>
      </c>
      <c r="F46" s="226"/>
    </row>
    <row r="47" spans="2:8" ht="15" customHeight="1">
      <c r="B47" s="1" t="str">
        <f>"Equity per share ("&amp;Market_currency&amp;")"</f>
        <v>Equity per share (HKD)</v>
      </c>
      <c r="C47" s="134">
        <f>C46*H1/Common_Shares*Exchange_Rate</f>
        <v>0</v>
      </c>
      <c r="D47" s="134">
        <f>D46*H1/Common_Shares*Exchange_Rate</f>
        <v>-4.6985524650424879E-7</v>
      </c>
      <c r="F47" s="226"/>
    </row>
    <row r="48" spans="2:8" ht="15" customHeight="1">
      <c r="F48" s="226"/>
    </row>
    <row r="49" spans="2:8" ht="15" customHeight="1">
      <c r="B49" s="143" t="s">
        <v>120</v>
      </c>
      <c r="C49" s="213" t="s">
        <v>54</v>
      </c>
      <c r="D49" s="179" t="s">
        <v>91</v>
      </c>
      <c r="E49" s="2"/>
      <c r="F49" s="226"/>
    </row>
    <row r="50" spans="2:8" ht="15" customHeight="1">
      <c r="B50" s="8" t="s">
        <v>90</v>
      </c>
      <c r="C50" s="92">
        <f>G31/Normalized_FCF!C8</f>
        <v>0</v>
      </c>
      <c r="D50" s="92">
        <f>G31/Normalized_FCF!G8</f>
        <v>0</v>
      </c>
      <c r="F50" s="226"/>
    </row>
    <row r="51" spans="2:8" ht="15" customHeight="1">
      <c r="B51" s="1" t="s">
        <v>146</v>
      </c>
      <c r="C51" s="163"/>
      <c r="D51" s="89">
        <f>G29/G32</f>
        <v>0</v>
      </c>
      <c r="F51" s="226"/>
    </row>
    <row r="52" spans="2:8" ht="15" customHeight="1">
      <c r="F52" s="226"/>
    </row>
    <row r="53" spans="2:8" ht="15" customHeight="1">
      <c r="B53" s="143" t="s">
        <v>119</v>
      </c>
      <c r="C53" s="213" t="s">
        <v>54</v>
      </c>
      <c r="D53" s="179" t="s">
        <v>91</v>
      </c>
      <c r="F53" s="226"/>
    </row>
    <row r="54" spans="2:8" ht="15" customHeight="1">
      <c r="B54" s="1" t="s">
        <v>116</v>
      </c>
      <c r="C54" s="89">
        <f>Normalized_FCF!C8/G35</f>
        <v>611412.69999999972</v>
      </c>
      <c r="D54" s="89">
        <f>Normalized_FCF!G8/G35</f>
        <v>1082041</v>
      </c>
      <c r="F54" s="226"/>
    </row>
    <row r="55" spans="2:8" ht="15" customHeight="1">
      <c r="B55" s="1" t="s">
        <v>118</v>
      </c>
      <c r="C55" s="89">
        <f>Normalized_FCF!C9/G40</f>
        <v>0</v>
      </c>
      <c r="D55" s="89">
        <f>Normalized_FCF!G9/G40</f>
        <v>-2798</v>
      </c>
      <c r="F55" s="226"/>
    </row>
    <row r="56" spans="2:8" ht="15" customHeight="1">
      <c r="F56" s="226"/>
    </row>
    <row r="57" spans="2:8" ht="15" customHeight="1">
      <c r="B57" s="143" t="s">
        <v>145</v>
      </c>
      <c r="C57" s="213" t="s">
        <v>54</v>
      </c>
      <c r="D57" s="179" t="s">
        <v>91</v>
      </c>
      <c r="F57" s="226"/>
    </row>
    <row r="58" spans="2:8" ht="15" customHeight="1">
      <c r="B58" s="2" t="s">
        <v>86</v>
      </c>
      <c r="C58" s="95"/>
      <c r="D58" s="22">
        <f>Normalized_FCF!G15/BS!$G$39</f>
        <v>0</v>
      </c>
      <c r="F58" s="5"/>
    </row>
    <row r="59" spans="2:8" ht="15" customHeight="1">
      <c r="B59" s="1" t="s">
        <v>89</v>
      </c>
      <c r="C59" s="95"/>
      <c r="D59" s="89">
        <f>G39/G32</f>
        <v>0.5</v>
      </c>
      <c r="F59" s="226"/>
    </row>
    <row r="60" spans="2:8" ht="15" customHeight="1">
      <c r="F60" s="226"/>
    </row>
    <row r="61" spans="2:8" ht="15" customHeight="1">
      <c r="B61" s="143" t="s">
        <v>231</v>
      </c>
      <c r="C61" s="213" t="s">
        <v>114</v>
      </c>
      <c r="D61" s="179" t="s">
        <v>91</v>
      </c>
      <c r="F61" s="226"/>
    </row>
    <row r="62" spans="2:8" ht="15" customHeight="1">
      <c r="B62" s="1" t="s">
        <v>210</v>
      </c>
      <c r="C62" s="89">
        <f>IF(G28&lt;=0,0,G28/G29)</f>
        <v>0</v>
      </c>
      <c r="D62" s="89" t="e">
        <f>G28/G29</f>
        <v>#DIV/0!</v>
      </c>
      <c r="F62" s="226" t="s">
        <v>229</v>
      </c>
    </row>
    <row r="64" spans="2:8" ht="15" customHeight="1">
      <c r="B64" s="76" t="s">
        <v>162</v>
      </c>
      <c r="C64" s="35"/>
      <c r="D64" s="35"/>
      <c r="E64" s="35"/>
      <c r="F64" s="35"/>
      <c r="G64" s="35"/>
      <c r="H64" s="35"/>
    </row>
    <row r="65" spans="2:6" ht="15" customHeight="1">
      <c r="B65" s="16" t="s">
        <v>158</v>
      </c>
      <c r="C65" s="212" t="s">
        <v>113</v>
      </c>
      <c r="D65" s="165" t="s">
        <v>238</v>
      </c>
      <c r="F65" s="229" t="s">
        <v>56</v>
      </c>
    </row>
    <row r="66" spans="2:6" ht="15" customHeight="1">
      <c r="B66" s="102" t="s">
        <v>157</v>
      </c>
      <c r="C66" s="19">
        <f>G4+G5+G15</f>
        <v>1</v>
      </c>
      <c r="D66" s="73">
        <f>C66-D75</f>
        <v>-70234.508333333331</v>
      </c>
      <c r="F66" s="5" t="s">
        <v>193</v>
      </c>
    </row>
    <row r="67" spans="2:6" ht="15" customHeight="1">
      <c r="B67" s="102" t="s">
        <v>147</v>
      </c>
      <c r="C67" s="19">
        <f>G6+G16</f>
        <v>0</v>
      </c>
      <c r="F67" s="226"/>
    </row>
    <row r="68" spans="2:6" ht="15" customHeight="1">
      <c r="B68" s="102" t="s">
        <v>151</v>
      </c>
      <c r="C68" s="19">
        <f>G18</f>
        <v>0</v>
      </c>
      <c r="F68" s="226"/>
    </row>
    <row r="69" spans="2:6" ht="15" customHeight="1">
      <c r="B69" s="102" t="s">
        <v>149</v>
      </c>
      <c r="C69" s="19">
        <f>G8+G20</f>
        <v>0</v>
      </c>
      <c r="F69" s="226"/>
    </row>
    <row r="70" spans="2:6" ht="15" customHeight="1">
      <c r="B70" s="77" t="s">
        <v>158</v>
      </c>
      <c r="C70" s="78">
        <f>SUM(C66:C69)</f>
        <v>1</v>
      </c>
      <c r="F70" s="226"/>
    </row>
    <row r="71" spans="2:6" ht="15" customHeight="1">
      <c r="F71" s="226"/>
    </row>
    <row r="72" spans="2:6" ht="15" customHeight="1">
      <c r="B72" s="228" t="s">
        <v>256</v>
      </c>
      <c r="C72" s="212" t="s">
        <v>91</v>
      </c>
      <c r="D72" s="164" t="s">
        <v>54</v>
      </c>
      <c r="F72" s="226"/>
    </row>
    <row r="73" spans="2:6" ht="15" customHeight="1">
      <c r="B73" s="102" t="s">
        <v>255</v>
      </c>
      <c r="C73" s="292">
        <f>(Normalized_FCF!G26+Normalized_FCF!G35-Normalized_FCF!G89)/12</f>
        <v>-82953.583333333328</v>
      </c>
      <c r="D73" s="292">
        <f>(Normalized_FCF!C26+Normalized_FCF!C35-Normalized_FCF!C89)/12</f>
        <v>-70235.508333333331</v>
      </c>
      <c r="F73" s="1" t="s">
        <v>279</v>
      </c>
    </row>
    <row r="74" spans="2:6" ht="15" customHeight="1">
      <c r="B74" s="230" t="s">
        <v>260</v>
      </c>
      <c r="C74" s="231">
        <f>-$C$66/C73</f>
        <v>1.2054934335768096E-5</v>
      </c>
      <c r="D74" s="231">
        <f>-$C$66/D73</f>
        <v>1.4237812521467952E-5</v>
      </c>
      <c r="F74" s="226" t="s">
        <v>257</v>
      </c>
    </row>
    <row r="75" spans="2:6" ht="15" customHeight="1">
      <c r="B75" s="77" t="s">
        <v>258</v>
      </c>
      <c r="C75" s="267"/>
      <c r="D75" s="268">
        <f>MAX(-D73*D76,G5)</f>
        <v>70235.508333333331</v>
      </c>
      <c r="F75" s="226" t="s">
        <v>280</v>
      </c>
    </row>
    <row r="76" spans="2:6" ht="15" customHeight="1">
      <c r="B76" s="232" t="s">
        <v>261</v>
      </c>
      <c r="C76" s="233"/>
      <c r="D76" s="254">
        <f>IF(D74&lt;=3,1,IF(D74&gt;18,6,2))</f>
        <v>1</v>
      </c>
      <c r="F76" s="226" t="s">
        <v>262</v>
      </c>
    </row>
    <row r="77" spans="2:6" ht="15" customHeight="1">
      <c r="F77" s="226"/>
    </row>
    <row r="78" spans="2:6" ht="15" customHeight="1">
      <c r="B78" s="16" t="s">
        <v>159</v>
      </c>
      <c r="C78" s="212" t="s">
        <v>113</v>
      </c>
      <c r="D78" s="165" t="s">
        <v>33</v>
      </c>
      <c r="F78" s="226"/>
    </row>
    <row r="79" spans="2:6" ht="15" customHeight="1">
      <c r="B79" s="102" t="s">
        <v>148</v>
      </c>
      <c r="C79" s="19">
        <f>G7+G17</f>
        <v>0</v>
      </c>
      <c r="D79" s="73">
        <f>G7*H7+G17*H17</f>
        <v>0</v>
      </c>
      <c r="F79" s="226"/>
    </row>
    <row r="80" spans="2:6" ht="15" customHeight="1">
      <c r="B80" s="102" t="s">
        <v>152</v>
      </c>
      <c r="C80" s="19">
        <f>G19</f>
        <v>0</v>
      </c>
      <c r="D80" s="73">
        <f>G19*H19</f>
        <v>0</v>
      </c>
      <c r="F80" s="226"/>
    </row>
    <row r="81" spans="2:8" ht="15" customHeight="1">
      <c r="B81" s="102" t="s">
        <v>150</v>
      </c>
      <c r="C81" s="19">
        <f>G9+G21</f>
        <v>0</v>
      </c>
      <c r="D81" s="73">
        <f>G9*H9+G21*H21</f>
        <v>0</v>
      </c>
      <c r="F81" s="226"/>
    </row>
    <row r="82" spans="2:8" ht="15" customHeight="1">
      <c r="B82" s="77" t="s">
        <v>159</v>
      </c>
      <c r="C82" s="78">
        <f>SUM(C79:C81)</f>
        <v>0</v>
      </c>
      <c r="D82" s="78">
        <f>SUM(D79:D81)</f>
        <v>0</v>
      </c>
      <c r="F82" s="226"/>
    </row>
    <row r="84" spans="2:8" ht="15" customHeight="1">
      <c r="B84" s="76" t="s">
        <v>241</v>
      </c>
      <c r="C84" s="35"/>
      <c r="D84" s="35"/>
      <c r="E84" s="35"/>
      <c r="F84" s="35"/>
      <c r="G84" s="35"/>
      <c r="H84" s="35"/>
    </row>
    <row r="85" spans="2:8" ht="15" customHeight="1">
      <c r="B85" s="16" t="s">
        <v>242</v>
      </c>
      <c r="D85" s="218" t="s">
        <v>243</v>
      </c>
    </row>
    <row r="86" spans="2:8" ht="15" customHeight="1">
      <c r="B86" s="215" t="s">
        <v>239</v>
      </c>
      <c r="C86" s="73">
        <f>-DCF!F4*Exchange_Rate</f>
        <v>0</v>
      </c>
      <c r="D86" s="203">
        <f>C86*scaling_factor/Common_Shares</f>
        <v>0</v>
      </c>
      <c r="E86" s="217" t="str">
        <f>Market_currency</f>
        <v>HKD</v>
      </c>
    </row>
    <row r="87" spans="2:8" ht="15" customHeight="1">
      <c r="B87" s="215" t="s">
        <v>240</v>
      </c>
      <c r="C87" s="73">
        <f>DCF!F5*Exchange_Rate</f>
        <v>-76555.614083333334</v>
      </c>
      <c r="D87" s="203">
        <f>C87*scaling_factor/Common_Shares</f>
        <v>-3.3000052226063045E-2</v>
      </c>
      <c r="E87" s="217" t="str">
        <f>Market_currency</f>
        <v>HKD</v>
      </c>
    </row>
    <row r="88" spans="2:8" ht="15" customHeight="1">
      <c r="B88" s="216" t="s">
        <v>159</v>
      </c>
      <c r="C88" s="73">
        <f>DCF!F6*Exchange_Rate</f>
        <v>0</v>
      </c>
      <c r="D88" s="203">
        <f>C88*scaling_factor/Common_Shares</f>
        <v>0</v>
      </c>
      <c r="E88" s="217" t="str">
        <f>Market_currency</f>
        <v>HKD</v>
      </c>
    </row>
    <row r="89" spans="2:8" ht="15" customHeight="1">
      <c r="B89" s="77" t="s">
        <v>244</v>
      </c>
      <c r="C89" s="162">
        <f>SUM(C86:C88)</f>
        <v>-76555.614083333334</v>
      </c>
      <c r="D89" s="219">
        <f>SUM(D86:D88)</f>
        <v>-3.3000052226063045E-2</v>
      </c>
      <c r="E89" s="217"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5" sqref="C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395</v>
      </c>
      <c r="C3" s="104">
        <f>scaling_factor</f>
        <v>1000</v>
      </c>
      <c r="D3" s="9"/>
      <c r="E3" s="241"/>
      <c r="F3" s="9"/>
      <c r="G3" s="16" t="s">
        <v>415</v>
      </c>
      <c r="H3" s="104">
        <f>scaling_factor</f>
        <v>1000</v>
      </c>
    </row>
    <row r="4" spans="1:17" ht="15.75" customHeight="1">
      <c r="A4" s="10"/>
      <c r="B4" s="25" t="s">
        <v>0</v>
      </c>
      <c r="C4" s="272">
        <f>G4*0.7</f>
        <v>1454238.7999999998</v>
      </c>
      <c r="D4" s="54"/>
      <c r="E4" s="239"/>
      <c r="F4" s="54"/>
      <c r="G4" s="277">
        <f>Data!C36</f>
        <v>2077484</v>
      </c>
      <c r="H4" s="277" t="str">
        <f>Data!D36</f>
        <v/>
      </c>
      <c r="I4" s="277" t="str">
        <f>Data!E36</f>
        <v/>
      </c>
      <c r="J4" s="277" t="str">
        <f>Data!F36</f>
        <v/>
      </c>
      <c r="K4" s="277" t="str">
        <f>Data!G36</f>
        <v/>
      </c>
      <c r="L4" s="277" t="str">
        <f>Data!H36</f>
        <v/>
      </c>
      <c r="M4" s="277" t="str">
        <f>Data!I36</f>
        <v/>
      </c>
      <c r="N4" s="277" t="str">
        <f>Data!J36</f>
        <v/>
      </c>
      <c r="O4" s="277" t="str">
        <f>Data!K36</f>
        <v/>
      </c>
      <c r="P4" s="277" t="str">
        <f>Data!L36</f>
        <v/>
      </c>
      <c r="Q4" s="277" t="str">
        <f>Data!M36</f>
        <v/>
      </c>
    </row>
    <row r="5" spans="1:17" ht="15.75" customHeight="1">
      <c r="A5" s="10"/>
      <c r="B5" s="2" t="s">
        <v>43</v>
      </c>
      <c r="C5" s="273">
        <f>C26</f>
        <v>-356106.1</v>
      </c>
      <c r="E5" s="241"/>
      <c r="G5" s="277">
        <f t="shared" ref="G5:Q5" si="1">G26</f>
        <v>-508723</v>
      </c>
      <c r="H5" s="277" t="str">
        <f t="shared" si="1"/>
        <v/>
      </c>
      <c r="I5" s="277" t="str">
        <f t="shared" si="1"/>
        <v/>
      </c>
      <c r="J5" s="277" t="str">
        <f t="shared" si="1"/>
        <v/>
      </c>
      <c r="K5" s="277" t="str">
        <f t="shared" si="1"/>
        <v/>
      </c>
      <c r="L5" s="277" t="str">
        <f t="shared" si="1"/>
        <v/>
      </c>
      <c r="M5" s="277" t="str">
        <f t="shared" si="1"/>
        <v/>
      </c>
      <c r="N5" s="277" t="str">
        <f t="shared" si="1"/>
        <v/>
      </c>
      <c r="O5" s="277" t="str">
        <f t="shared" si="1"/>
        <v/>
      </c>
      <c r="P5" s="277" t="str">
        <f t="shared" si="1"/>
        <v/>
      </c>
      <c r="Q5" s="277" t="str">
        <f t="shared" si="1"/>
        <v/>
      </c>
    </row>
    <row r="6" spans="1:17" ht="15.75" customHeight="1">
      <c r="A6" s="10"/>
      <c r="B6" s="30" t="s">
        <v>45</v>
      </c>
      <c r="C6" s="274">
        <f>C4+C5</f>
        <v>1098132.6999999997</v>
      </c>
      <c r="E6" s="241"/>
      <c r="G6" s="274">
        <f>IF(G4="","",G4+G5)</f>
        <v>1568761</v>
      </c>
      <c r="H6" s="274" t="str">
        <f t="shared" ref="H6:Q6" si="2">IF(H4="","",H4+H5)</f>
        <v/>
      </c>
      <c r="I6" s="274" t="str">
        <f t="shared" si="2"/>
        <v/>
      </c>
      <c r="J6" s="274" t="str">
        <f t="shared" si="2"/>
        <v/>
      </c>
      <c r="K6" s="274" t="str">
        <f t="shared" si="2"/>
        <v/>
      </c>
      <c r="L6" s="274" t="str">
        <f t="shared" si="2"/>
        <v/>
      </c>
      <c r="M6" s="274" t="str">
        <f t="shared" si="2"/>
        <v/>
      </c>
      <c r="N6" s="274" t="str">
        <f t="shared" si="2"/>
        <v/>
      </c>
      <c r="O6" s="274" t="str">
        <f t="shared" si="2"/>
        <v/>
      </c>
      <c r="P6" s="274" t="str">
        <f t="shared" si="2"/>
        <v/>
      </c>
      <c r="Q6" s="274" t="str">
        <f t="shared" si="2"/>
        <v/>
      </c>
    </row>
    <row r="7" spans="1:17" ht="15.75" customHeight="1">
      <c r="A7" s="10"/>
      <c r="B7" s="8" t="s">
        <v>42</v>
      </c>
      <c r="C7" s="273">
        <f>C35</f>
        <v>-486720</v>
      </c>
      <c r="E7" s="241"/>
      <c r="G7" s="273">
        <f t="shared" ref="G7:Q7" si="3">G35</f>
        <v>-486720</v>
      </c>
      <c r="H7" s="273" t="str">
        <f t="shared" si="3"/>
        <v/>
      </c>
      <c r="I7" s="273" t="str">
        <f t="shared" si="3"/>
        <v/>
      </c>
      <c r="J7" s="273" t="str">
        <f t="shared" si="3"/>
        <v/>
      </c>
      <c r="K7" s="273" t="str">
        <f t="shared" si="3"/>
        <v/>
      </c>
      <c r="L7" s="273" t="str">
        <f t="shared" si="3"/>
        <v/>
      </c>
      <c r="M7" s="273" t="str">
        <f t="shared" si="3"/>
        <v/>
      </c>
      <c r="N7" s="273" t="str">
        <f t="shared" si="3"/>
        <v/>
      </c>
      <c r="O7" s="273" t="str">
        <f t="shared" si="3"/>
        <v/>
      </c>
      <c r="P7" s="273" t="str">
        <f t="shared" si="3"/>
        <v/>
      </c>
      <c r="Q7" s="273" t="str">
        <f t="shared" si="3"/>
        <v/>
      </c>
    </row>
    <row r="8" spans="1:17" ht="15.75" customHeight="1">
      <c r="A8" s="10"/>
      <c r="B8" s="28" t="s">
        <v>127</v>
      </c>
      <c r="C8" s="275">
        <f>C6+C7</f>
        <v>611412.69999999972</v>
      </c>
      <c r="D8" s="56"/>
      <c r="E8" s="247"/>
      <c r="F8" s="56"/>
      <c r="G8" s="274">
        <f>IF(G$4="","",G6+G7)</f>
        <v>1082041</v>
      </c>
      <c r="H8" s="274" t="str">
        <f t="shared" ref="H8:Q8" si="4">IF(H$4="","",H6+H7)</f>
        <v/>
      </c>
      <c r="I8" s="274" t="str">
        <f t="shared" si="4"/>
        <v/>
      </c>
      <c r="J8" s="274" t="str">
        <f t="shared" si="4"/>
        <v/>
      </c>
      <c r="K8" s="274" t="str">
        <f t="shared" si="4"/>
        <v/>
      </c>
      <c r="L8" s="274" t="str">
        <f t="shared" si="4"/>
        <v/>
      </c>
      <c r="M8" s="274" t="str">
        <f t="shared" si="4"/>
        <v/>
      </c>
      <c r="N8" s="274" t="str">
        <f t="shared" si="4"/>
        <v/>
      </c>
      <c r="O8" s="274" t="str">
        <f t="shared" si="4"/>
        <v/>
      </c>
      <c r="P8" s="274" t="str">
        <f t="shared" si="4"/>
        <v/>
      </c>
      <c r="Q8" s="274" t="str">
        <f t="shared" si="4"/>
        <v/>
      </c>
    </row>
    <row r="9" spans="1:17" ht="15.75" customHeight="1">
      <c r="A9" s="10"/>
      <c r="B9" s="26" t="s">
        <v>420</v>
      </c>
      <c r="C9" s="307">
        <f>C61</f>
        <v>0</v>
      </c>
      <c r="D9" s="55"/>
      <c r="E9" s="240"/>
      <c r="F9" s="55"/>
      <c r="G9" s="277">
        <f>G59</f>
        <v>-2798</v>
      </c>
      <c r="H9" s="277" t="str">
        <f t="shared" ref="H9:Q9" si="5">H59</f>
        <v/>
      </c>
      <c r="I9" s="277" t="str">
        <f t="shared" si="5"/>
        <v/>
      </c>
      <c r="J9" s="277" t="str">
        <f t="shared" si="5"/>
        <v/>
      </c>
      <c r="K9" s="277" t="str">
        <f t="shared" si="5"/>
        <v/>
      </c>
      <c r="L9" s="277" t="str">
        <f t="shared" si="5"/>
        <v/>
      </c>
      <c r="M9" s="277" t="str">
        <f t="shared" si="5"/>
        <v/>
      </c>
      <c r="N9" s="277" t="str">
        <f t="shared" si="5"/>
        <v/>
      </c>
      <c r="O9" s="277" t="str">
        <f t="shared" si="5"/>
        <v/>
      </c>
      <c r="P9" s="277" t="str">
        <f t="shared" si="5"/>
        <v/>
      </c>
      <c r="Q9" s="277" t="str">
        <f t="shared" si="5"/>
        <v/>
      </c>
    </row>
    <row r="10" spans="1:17" ht="15.75" customHeight="1">
      <c r="A10" s="10"/>
      <c r="B10" s="2" t="s">
        <v>65</v>
      </c>
      <c r="C10" s="273">
        <f>C48</f>
        <v>421.41305</v>
      </c>
      <c r="E10" s="241"/>
      <c r="G10" s="273">
        <f>G48</f>
        <v>1531890250.2583332</v>
      </c>
      <c r="H10" s="273" t="str">
        <f t="shared" ref="H10:Q10" si="6">H48</f>
        <v/>
      </c>
      <c r="I10" s="273" t="str">
        <f t="shared" si="6"/>
        <v/>
      </c>
      <c r="J10" s="273" t="str">
        <f t="shared" si="6"/>
        <v/>
      </c>
      <c r="K10" s="273" t="str">
        <f t="shared" si="6"/>
        <v/>
      </c>
      <c r="L10" s="273" t="str">
        <f t="shared" si="6"/>
        <v/>
      </c>
      <c r="M10" s="273" t="str">
        <f t="shared" si="6"/>
        <v/>
      </c>
      <c r="N10" s="273" t="str">
        <f t="shared" si="6"/>
        <v/>
      </c>
      <c r="O10" s="273" t="str">
        <f t="shared" si="6"/>
        <v/>
      </c>
      <c r="P10" s="273" t="str">
        <f t="shared" si="6"/>
        <v/>
      </c>
      <c r="Q10" s="273" t="str">
        <f t="shared" si="6"/>
        <v/>
      </c>
    </row>
    <row r="11" spans="1:17" ht="15.75" customHeight="1">
      <c r="A11" s="10"/>
      <c r="B11" s="67" t="s">
        <v>137</v>
      </c>
      <c r="C11" s="274">
        <f>SUM(C8:C10)</f>
        <v>611834.11304999969</v>
      </c>
      <c r="E11" s="241"/>
      <c r="G11" s="274">
        <f t="shared" ref="G11:Q11" si="7">IF(G$4="","",SUM(G8:G10))</f>
        <v>1532969493.2583332</v>
      </c>
      <c r="H11" s="274" t="str">
        <f t="shared" si="7"/>
        <v/>
      </c>
      <c r="I11" s="274" t="str">
        <f t="shared" si="7"/>
        <v/>
      </c>
      <c r="J11" s="274" t="str">
        <f t="shared" si="7"/>
        <v/>
      </c>
      <c r="K11" s="274" t="str">
        <f t="shared" si="7"/>
        <v/>
      </c>
      <c r="L11" s="274" t="str">
        <f t="shared" si="7"/>
        <v/>
      </c>
      <c r="M11" s="274" t="str">
        <f t="shared" si="7"/>
        <v/>
      </c>
      <c r="N11" s="274" t="str">
        <f t="shared" si="7"/>
        <v/>
      </c>
      <c r="O11" s="274" t="str">
        <f t="shared" si="7"/>
        <v/>
      </c>
      <c r="P11" s="274" t="str">
        <f t="shared" si="7"/>
        <v/>
      </c>
      <c r="Q11" s="274" t="str">
        <f t="shared" si="7"/>
        <v/>
      </c>
    </row>
    <row r="12" spans="1:17" ht="15.75" customHeight="1">
      <c r="A12" s="10"/>
      <c r="B12" s="2" t="s">
        <v>60</v>
      </c>
      <c r="C12" s="273">
        <f>-C11*C41</f>
        <v>-152958.52826249992</v>
      </c>
      <c r="E12" s="241"/>
      <c r="G12" s="273">
        <f>Data!C46</f>
        <v>-313181</v>
      </c>
      <c r="H12" s="273" t="str">
        <f>Data!D46</f>
        <v/>
      </c>
      <c r="I12" s="273" t="str">
        <f>Data!E46</f>
        <v/>
      </c>
      <c r="J12" s="273" t="str">
        <f>Data!F46</f>
        <v/>
      </c>
      <c r="K12" s="273" t="str">
        <f>Data!G46</f>
        <v/>
      </c>
      <c r="L12" s="273" t="str">
        <f>Data!H46</f>
        <v/>
      </c>
      <c r="M12" s="273" t="str">
        <f>Data!I46</f>
        <v/>
      </c>
      <c r="N12" s="273" t="str">
        <f>Data!J46</f>
        <v/>
      </c>
      <c r="O12" s="273" t="str">
        <f>Data!K46</f>
        <v/>
      </c>
      <c r="P12" s="273" t="str">
        <f>Data!L46</f>
        <v/>
      </c>
      <c r="Q12" s="273" t="str">
        <f>Data!M46</f>
        <v/>
      </c>
    </row>
    <row r="13" spans="1:17" ht="15.75" customHeight="1">
      <c r="A13" s="10"/>
      <c r="B13" s="38" t="s">
        <v>208</v>
      </c>
      <c r="C13" s="273">
        <f>-C4*C79</f>
        <v>0</v>
      </c>
      <c r="D13" s="57"/>
      <c r="E13" s="248"/>
      <c r="F13" s="57"/>
      <c r="G13" s="277">
        <f>Data!C48</f>
        <v>-124194</v>
      </c>
      <c r="H13" s="277" t="str">
        <f>Data!D48</f>
        <v/>
      </c>
      <c r="I13" s="277" t="str">
        <f>Data!E48</f>
        <v/>
      </c>
      <c r="J13" s="277" t="str">
        <f>Data!F48</f>
        <v/>
      </c>
      <c r="K13" s="277" t="str">
        <f>Data!G48</f>
        <v/>
      </c>
      <c r="L13" s="277" t="str">
        <f>Data!H48</f>
        <v/>
      </c>
      <c r="M13" s="277" t="str">
        <f>Data!I48</f>
        <v/>
      </c>
      <c r="N13" s="277" t="str">
        <f>Data!J48</f>
        <v/>
      </c>
      <c r="O13" s="277" t="str">
        <f>Data!K48</f>
        <v/>
      </c>
      <c r="P13" s="277" t="str">
        <f>Data!L48</f>
        <v/>
      </c>
      <c r="Q13" s="277" t="str">
        <f>Data!M48</f>
        <v/>
      </c>
    </row>
    <row r="14" spans="1:17" ht="15.75" customHeight="1">
      <c r="A14" s="10"/>
      <c r="B14" s="39" t="s">
        <v>129</v>
      </c>
      <c r="C14" s="276">
        <f>SUM(C11:C13)</f>
        <v>458875.58478749974</v>
      </c>
      <c r="D14" s="58"/>
      <c r="E14" s="249"/>
      <c r="F14" s="58"/>
      <c r="G14" s="274">
        <f t="shared" ref="G14:Q14" si="8">IF(G$4="","",SUM(G11:G13))</f>
        <v>1532532118.2583332</v>
      </c>
      <c r="H14" s="274" t="str">
        <f t="shared" si="8"/>
        <v/>
      </c>
      <c r="I14" s="274" t="str">
        <f t="shared" si="8"/>
        <v/>
      </c>
      <c r="J14" s="274" t="str">
        <f t="shared" si="8"/>
        <v/>
      </c>
      <c r="K14" s="274" t="str">
        <f t="shared" si="8"/>
        <v/>
      </c>
      <c r="L14" s="274" t="str">
        <f t="shared" si="8"/>
        <v/>
      </c>
      <c r="M14" s="274" t="str">
        <f t="shared" si="8"/>
        <v/>
      </c>
      <c r="N14" s="274" t="str">
        <f t="shared" si="8"/>
        <v/>
      </c>
      <c r="O14" s="274" t="str">
        <f t="shared" si="8"/>
        <v/>
      </c>
      <c r="P14" s="274" t="str">
        <f t="shared" si="8"/>
        <v/>
      </c>
      <c r="Q14" s="274" t="str">
        <f t="shared" si="8"/>
        <v/>
      </c>
    </row>
    <row r="15" spans="1:17" ht="15.75" customHeight="1">
      <c r="A15" s="10"/>
      <c r="B15" s="2" t="s">
        <v>62</v>
      </c>
      <c r="C15" s="273">
        <f>BS!$G$39*BS!D58</f>
        <v>0</v>
      </c>
      <c r="E15" s="241"/>
      <c r="G15" s="273">
        <f>IF(Data!C61="","",-Data!C61)</f>
        <v>0</v>
      </c>
      <c r="H15" s="273" t="str">
        <f>IF(Data!D61="","",-Data!D61)</f>
        <v/>
      </c>
      <c r="I15" s="273" t="str">
        <f>IF(Data!E61="","",-Data!E61)</f>
        <v/>
      </c>
      <c r="J15" s="273" t="str">
        <f>IF(Data!F61="","",-Data!F61)</f>
        <v/>
      </c>
      <c r="K15" s="273" t="str">
        <f>IF(Data!G61="","",-Data!G61)</f>
        <v/>
      </c>
      <c r="L15" s="273" t="str">
        <f>IF(Data!H61="","",-Data!H61)</f>
        <v/>
      </c>
      <c r="M15" s="273" t="str">
        <f>IF(Data!I61="","",-Data!I61)</f>
        <v/>
      </c>
      <c r="N15" s="273" t="str">
        <f>IF(Data!J61="","",-Data!J61)</f>
        <v/>
      </c>
      <c r="O15" s="273" t="str">
        <f>IF(Data!K61="","",-Data!K61)</f>
        <v/>
      </c>
      <c r="P15" s="273" t="str">
        <f>IF(Data!L61="","",-Data!L61)</f>
        <v/>
      </c>
      <c r="Q15" s="273" t="str">
        <f>IF(Data!M61="","",-Data!M61)</f>
        <v/>
      </c>
    </row>
    <row r="16" spans="1:17" ht="15.75" customHeight="1">
      <c r="A16" s="10"/>
      <c r="B16" s="2" t="s">
        <v>401</v>
      </c>
      <c r="C16" s="273">
        <f>-C4*C82</f>
        <v>0</v>
      </c>
      <c r="E16" s="241"/>
      <c r="G16" s="273">
        <f>Data!C62</f>
        <v>0</v>
      </c>
      <c r="H16" s="273" t="str">
        <f>Data!D62</f>
        <v/>
      </c>
      <c r="I16" s="273" t="str">
        <f>Data!E62</f>
        <v/>
      </c>
      <c r="J16" s="273" t="str">
        <f>Data!F62</f>
        <v/>
      </c>
      <c r="K16" s="273" t="str">
        <f>Data!G62</f>
        <v/>
      </c>
      <c r="L16" s="273" t="str">
        <f>Data!H62</f>
        <v/>
      </c>
      <c r="M16" s="273" t="str">
        <f>Data!I62</f>
        <v/>
      </c>
      <c r="N16" s="273" t="str">
        <f>Data!J62</f>
        <v/>
      </c>
      <c r="O16" s="273" t="str">
        <f>Data!K62</f>
        <v/>
      </c>
      <c r="P16" s="273" t="str">
        <f>Data!L62</f>
        <v/>
      </c>
      <c r="Q16" s="273" t="str">
        <f>Data!M62</f>
        <v/>
      </c>
    </row>
    <row r="17" spans="1:17" ht="15.75" customHeight="1">
      <c r="A17" s="10"/>
      <c r="B17" s="26" t="s">
        <v>49</v>
      </c>
      <c r="C17" s="273">
        <f>-C4*C83</f>
        <v>0</v>
      </c>
      <c r="D17" s="55"/>
      <c r="E17" s="240" t="s">
        <v>263</v>
      </c>
      <c r="F17" s="55"/>
      <c r="G17" s="279"/>
      <c r="H17" s="279"/>
      <c r="I17" s="279"/>
      <c r="J17" s="279"/>
      <c r="K17" s="279"/>
      <c r="L17" s="279"/>
      <c r="M17" s="279"/>
      <c r="N17" s="279"/>
      <c r="O17" s="279"/>
      <c r="P17" s="279"/>
      <c r="Q17" s="279"/>
    </row>
    <row r="18" spans="1:17" ht="15.75" customHeight="1">
      <c r="A18" s="10"/>
      <c r="B18" s="26" t="s">
        <v>94</v>
      </c>
      <c r="C18" s="273">
        <v>0</v>
      </c>
      <c r="D18" s="55"/>
      <c r="E18" s="240" t="s">
        <v>264</v>
      </c>
      <c r="F18" s="55"/>
      <c r="G18" s="280"/>
      <c r="H18" s="280"/>
      <c r="I18" s="280"/>
      <c r="J18" s="280"/>
      <c r="K18" s="280"/>
      <c r="L18" s="280"/>
      <c r="M18" s="280"/>
      <c r="N18" s="280"/>
      <c r="O18" s="280"/>
      <c r="P18" s="280"/>
      <c r="Q18" s="280"/>
    </row>
    <row r="19" spans="1:17" ht="15.75" customHeight="1">
      <c r="A19" s="10"/>
      <c r="B19" s="30" t="s">
        <v>63</v>
      </c>
      <c r="C19" s="274">
        <f>C14+C17</f>
        <v>458875.58478749974</v>
      </c>
      <c r="D19" s="26"/>
      <c r="E19" s="238"/>
      <c r="F19" s="26"/>
      <c r="G19" s="278">
        <f t="shared" ref="G19:Q19" si="9">IF(G$4="","",G14+G17)</f>
        <v>1532532118.2583332</v>
      </c>
      <c r="H19" s="278" t="str">
        <f t="shared" si="9"/>
        <v/>
      </c>
      <c r="I19" s="278" t="str">
        <f t="shared" si="9"/>
        <v/>
      </c>
      <c r="J19" s="278" t="str">
        <f t="shared" si="9"/>
        <v/>
      </c>
      <c r="K19" s="278" t="str">
        <f t="shared" si="9"/>
        <v/>
      </c>
      <c r="L19" s="278" t="str">
        <f t="shared" si="9"/>
        <v/>
      </c>
      <c r="M19" s="278" t="str">
        <f t="shared" si="9"/>
        <v/>
      </c>
      <c r="N19" s="278" t="str">
        <f t="shared" si="9"/>
        <v/>
      </c>
      <c r="O19" s="278" t="str">
        <f t="shared" si="9"/>
        <v/>
      </c>
      <c r="P19" s="278" t="str">
        <f t="shared" si="9"/>
        <v/>
      </c>
      <c r="Q19" s="278"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8"/>
      <c r="F22" s="26"/>
      <c r="G22" s="12"/>
      <c r="H22" s="12"/>
      <c r="I22" s="12"/>
      <c r="J22" s="12"/>
      <c r="K22" s="12"/>
      <c r="L22" s="12"/>
      <c r="M22" s="12"/>
      <c r="N22" s="12"/>
      <c r="O22" s="12"/>
      <c r="P22" s="12"/>
      <c r="Q22" s="12"/>
    </row>
    <row r="23" spans="1:17" ht="15.75" customHeight="1">
      <c r="A23" s="10"/>
      <c r="B23" s="26" t="s">
        <v>40</v>
      </c>
      <c r="C23" s="281">
        <f>-C4*C29</f>
        <v>-326988.19999999995</v>
      </c>
      <c r="D23" s="55"/>
      <c r="E23" s="240"/>
      <c r="F23" s="55"/>
      <c r="G23" s="277">
        <f>Data!C37</f>
        <v>-467126</v>
      </c>
      <c r="H23" s="277" t="str">
        <f>Data!D37</f>
        <v/>
      </c>
      <c r="I23" s="277" t="str">
        <f>Data!E37</f>
        <v/>
      </c>
      <c r="J23" s="277" t="str">
        <f>Data!F37</f>
        <v/>
      </c>
      <c r="K23" s="277" t="str">
        <f>Data!G37</f>
        <v/>
      </c>
      <c r="L23" s="277" t="str">
        <f>Data!H37</f>
        <v/>
      </c>
      <c r="M23" s="277" t="str">
        <f>Data!I37</f>
        <v/>
      </c>
      <c r="N23" s="277" t="str">
        <f>Data!J37</f>
        <v/>
      </c>
      <c r="O23" s="277" t="str">
        <f>Data!K37</f>
        <v/>
      </c>
      <c r="P23" s="277" t="str">
        <f>Data!L37</f>
        <v/>
      </c>
      <c r="Q23" s="277" t="str">
        <f>Data!M37</f>
        <v/>
      </c>
    </row>
    <row r="24" spans="1:17" ht="15.75" customHeight="1">
      <c r="A24" s="10"/>
      <c r="B24" s="65" t="s">
        <v>59</v>
      </c>
      <c r="C24" s="273">
        <f>-C4*C30</f>
        <v>-29117.899999999998</v>
      </c>
      <c r="D24" s="26"/>
      <c r="E24" s="238"/>
      <c r="F24" s="26"/>
      <c r="G24" s="277">
        <f>Data!C40</f>
        <v>-41597</v>
      </c>
      <c r="H24" s="277" t="str">
        <f>Data!D40</f>
        <v/>
      </c>
      <c r="I24" s="277" t="str">
        <f>Data!E40</f>
        <v/>
      </c>
      <c r="J24" s="277" t="str">
        <f>Data!F40</f>
        <v/>
      </c>
      <c r="K24" s="277" t="str">
        <f>Data!G40</f>
        <v/>
      </c>
      <c r="L24" s="277" t="str">
        <f>Data!H40</f>
        <v/>
      </c>
      <c r="M24" s="277" t="str">
        <f>Data!I40</f>
        <v/>
      </c>
      <c r="N24" s="277" t="str">
        <f>Data!J40</f>
        <v/>
      </c>
      <c r="O24" s="277" t="str">
        <f>Data!K40</f>
        <v/>
      </c>
      <c r="P24" s="277" t="str">
        <f>Data!L40</f>
        <v/>
      </c>
      <c r="Q24" s="277" t="str">
        <f>Data!M40</f>
        <v/>
      </c>
    </row>
    <row r="25" spans="1:17" ht="15.75" customHeight="1">
      <c r="A25" s="10"/>
      <c r="B25" s="26" t="s">
        <v>46</v>
      </c>
      <c r="C25" s="273">
        <f>-C4*C31</f>
        <v>0</v>
      </c>
      <c r="D25" s="55"/>
      <c r="E25" s="239"/>
      <c r="F25" s="55"/>
      <c r="G25" s="277">
        <f>Data!C42</f>
        <v>0</v>
      </c>
      <c r="H25" s="277" t="str">
        <f>Data!D42</f>
        <v/>
      </c>
      <c r="I25" s="277" t="str">
        <f>Data!E42</f>
        <v/>
      </c>
      <c r="J25" s="277" t="str">
        <f>Data!F42</f>
        <v/>
      </c>
      <c r="K25" s="277" t="str">
        <f>Data!G42</f>
        <v/>
      </c>
      <c r="L25" s="277" t="str">
        <f>Data!H42</f>
        <v/>
      </c>
      <c r="M25" s="277" t="str">
        <f>Data!I42</f>
        <v/>
      </c>
      <c r="N25" s="277" t="str">
        <f>Data!J42</f>
        <v/>
      </c>
      <c r="O25" s="277" t="str">
        <f>Data!K42</f>
        <v/>
      </c>
      <c r="P25" s="277" t="str">
        <f>Data!L42</f>
        <v/>
      </c>
      <c r="Q25" s="277" t="str">
        <f>Data!M42</f>
        <v/>
      </c>
    </row>
    <row r="26" spans="1:17" ht="15.75" customHeight="1">
      <c r="A26" s="10"/>
      <c r="B26" s="67" t="s">
        <v>43</v>
      </c>
      <c r="C26" s="274">
        <f>SUM(C23:C25)</f>
        <v>-356106.1</v>
      </c>
      <c r="D26" s="9"/>
      <c r="E26" s="246"/>
      <c r="F26" s="9"/>
      <c r="G26" s="274">
        <f>IF(G$4="","",SUM(G23:G25))</f>
        <v>-508723</v>
      </c>
      <c r="H26" s="274" t="str">
        <f t="shared" ref="H26:Q26" si="10">IF(H$4="","",SUM(H23:H25))</f>
        <v/>
      </c>
      <c r="I26" s="274" t="str">
        <f t="shared" si="10"/>
        <v/>
      </c>
      <c r="J26" s="274" t="str">
        <f t="shared" si="10"/>
        <v/>
      </c>
      <c r="K26" s="274" t="str">
        <f t="shared" si="10"/>
        <v/>
      </c>
      <c r="L26" s="274" t="str">
        <f t="shared" si="10"/>
        <v/>
      </c>
      <c r="M26" s="274" t="str">
        <f t="shared" si="10"/>
        <v/>
      </c>
      <c r="N26" s="274" t="str">
        <f t="shared" si="10"/>
        <v/>
      </c>
      <c r="O26" s="274" t="str">
        <f t="shared" si="10"/>
        <v/>
      </c>
      <c r="P26" s="274" t="str">
        <f t="shared" si="10"/>
        <v/>
      </c>
      <c r="Q26" s="274" t="str">
        <f t="shared" si="10"/>
        <v/>
      </c>
    </row>
    <row r="27" spans="1:17" ht="15.75" customHeight="1">
      <c r="A27" s="10"/>
      <c r="E27" s="241"/>
    </row>
    <row r="28" spans="1:17" ht="15.75" customHeight="1">
      <c r="A28" s="10"/>
      <c r="B28" s="61" t="s">
        <v>175</v>
      </c>
      <c r="E28" s="241"/>
    </row>
    <row r="29" spans="1:17" ht="15.75" customHeight="1">
      <c r="A29" s="10"/>
      <c r="B29" s="25" t="s">
        <v>40</v>
      </c>
      <c r="C29" s="60">
        <f>G29</f>
        <v>0.22485179187902291</v>
      </c>
      <c r="D29" s="25"/>
      <c r="E29" s="239"/>
      <c r="F29" s="25"/>
      <c r="G29" s="13">
        <f t="shared" ref="G29:Q29" si="11">IF(G$4="","",ABS(G23/G$4))</f>
        <v>0.22485179187902291</v>
      </c>
      <c r="H29" s="13" t="str">
        <f t="shared" si="11"/>
        <v/>
      </c>
      <c r="I29" s="13" t="str">
        <f t="shared" si="11"/>
        <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G30</f>
        <v>2.0022777552077417E-2</v>
      </c>
      <c r="D30" s="25"/>
      <c r="E30" s="239"/>
      <c r="F30" s="25"/>
      <c r="G30" s="13">
        <f t="shared" ref="G30:Q30" si="12">IF(G$4="","",ABS(G24/G$4))</f>
        <v>2.0022777552077417E-2</v>
      </c>
      <c r="H30" s="13" t="str">
        <f t="shared" si="12"/>
        <v/>
      </c>
      <c r="I30" s="13" t="str">
        <f t="shared" si="12"/>
        <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v>0</v>
      </c>
      <c r="D31" s="26"/>
      <c r="E31" s="238"/>
      <c r="F31" s="26"/>
      <c r="G31" s="13">
        <f t="shared" ref="G31:Q31" si="13">IF(G$4="","",ABS(G25/G$4))</f>
        <v>0</v>
      </c>
      <c r="H31" s="13" t="str">
        <f t="shared" si="13"/>
        <v/>
      </c>
      <c r="I31" s="13" t="str">
        <f t="shared" si="13"/>
        <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43</v>
      </c>
      <c r="C32" s="68">
        <f>ABS(C26/$C$4)</f>
        <v>0.24487456943110034</v>
      </c>
      <c r="E32" s="241"/>
      <c r="G32" s="29">
        <f t="shared" ref="G32:Q32" si="14">IF(G$4="","",ABS(G26/G$4))</f>
        <v>0.24487456943110031</v>
      </c>
      <c r="H32" s="29" t="str">
        <f t="shared" si="14"/>
        <v/>
      </c>
      <c r="I32" s="29" t="str">
        <f t="shared" si="14"/>
        <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41"/>
    </row>
    <row r="34" spans="1:17" ht="15.75" customHeight="1">
      <c r="A34" s="10"/>
      <c r="B34" s="61" t="s">
        <v>42</v>
      </c>
      <c r="E34" s="241"/>
    </row>
    <row r="35" spans="1:17" ht="15.75" customHeight="1">
      <c r="A35" s="10"/>
      <c r="B35" s="305" t="s">
        <v>399</v>
      </c>
      <c r="C35" s="283">
        <f>G35</f>
        <v>-486720</v>
      </c>
      <c r="D35" s="55"/>
      <c r="E35" s="240"/>
      <c r="F35" s="55"/>
      <c r="G35" s="274">
        <f>IF(G4="","",Data!C41)</f>
        <v>-486720</v>
      </c>
      <c r="H35" s="274" t="str">
        <f>IF(H4="","",Data!D41)</f>
        <v/>
      </c>
      <c r="I35" s="274" t="str">
        <f>IF(I4="","",Data!E41)</f>
        <v/>
      </c>
      <c r="J35" s="274" t="str">
        <f>IF(J4="","",Data!F41)</f>
        <v/>
      </c>
      <c r="K35" s="274" t="str">
        <f>IF(K4="","",Data!G41)</f>
        <v/>
      </c>
      <c r="L35" s="274" t="str">
        <f>IF(L4="","",Data!H41)</f>
        <v/>
      </c>
      <c r="M35" s="274" t="str">
        <f>IF(M4="","",Data!I41)</f>
        <v/>
      </c>
      <c r="N35" s="274" t="str">
        <f>IF(N4="","",Data!J41)</f>
        <v/>
      </c>
      <c r="O35" s="274" t="str">
        <f>IF(O4="","",Data!K41)</f>
        <v/>
      </c>
      <c r="P35" s="274" t="str">
        <f>IF(P4="","",Data!L41)</f>
        <v/>
      </c>
      <c r="Q35" s="274" t="str">
        <f>IF(Q4="","",Data!M41)</f>
        <v/>
      </c>
    </row>
    <row r="36" spans="1:17" ht="15.75" customHeight="1">
      <c r="A36" s="10"/>
      <c r="E36" s="241"/>
    </row>
    <row r="37" spans="1:17" ht="15.75" customHeight="1">
      <c r="A37" s="10"/>
      <c r="B37" s="61" t="s">
        <v>176</v>
      </c>
      <c r="E37" s="241"/>
    </row>
    <row r="38" spans="1:17" ht="15.75" customHeight="1">
      <c r="A38" s="10"/>
      <c r="B38" s="305" t="s">
        <v>399</v>
      </c>
      <c r="C38" s="68">
        <f>ABS(C35/$C$4)</f>
        <v>0.33469056113755186</v>
      </c>
      <c r="E38" s="241"/>
      <c r="G38" s="29">
        <f t="shared" ref="G38:Q38" si="15">IF(G$4="","",ABS(G35/G$4))</f>
        <v>0.23428339279628627</v>
      </c>
      <c r="H38" s="29" t="str">
        <f t="shared" si="15"/>
        <v/>
      </c>
      <c r="I38" s="29" t="str">
        <f t="shared" si="15"/>
        <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41"/>
    </row>
    <row r="40" spans="1:17" ht="15.75" customHeight="1">
      <c r="A40" s="10"/>
      <c r="B40" s="61" t="s">
        <v>177</v>
      </c>
      <c r="E40" s="241"/>
    </row>
    <row r="41" spans="1:17" ht="15.75" customHeight="1">
      <c r="A41" s="10"/>
      <c r="B41" s="26" t="s">
        <v>142</v>
      </c>
      <c r="C41" s="236">
        <v>0.25</v>
      </c>
      <c r="D41" s="26"/>
      <c r="E41" s="238" t="s">
        <v>408</v>
      </c>
      <c r="F41" s="26"/>
      <c r="G41" s="6">
        <f t="shared" ref="G41:Q41" si="16">IF(G$4="","",-G12/SUM(G8+G9,G10))</f>
        <v>2.042969552736059E-4</v>
      </c>
      <c r="H41" s="6" t="str">
        <f t="shared" si="16"/>
        <v/>
      </c>
      <c r="I41" s="6" t="str">
        <f t="shared" si="16"/>
        <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41"/>
    </row>
    <row r="45" spans="1:17" ht="15.75" customHeight="1">
      <c r="A45" s="10"/>
      <c r="B45" s="2" t="s">
        <v>37</v>
      </c>
      <c r="C45" s="273">
        <f>-BS!G31*Normalized_FCF!C52</f>
        <v>0</v>
      </c>
      <c r="E45" s="241"/>
      <c r="G45" s="273">
        <f>Data!C51</f>
        <v>-16422</v>
      </c>
      <c r="H45" s="273" t="str">
        <f>Data!D51</f>
        <v/>
      </c>
      <c r="I45" s="273" t="str">
        <f>Data!E51</f>
        <v/>
      </c>
      <c r="J45" s="273" t="str">
        <f>Data!F51</f>
        <v/>
      </c>
      <c r="K45" s="273" t="str">
        <f>Data!G51</f>
        <v/>
      </c>
      <c r="L45" s="273" t="str">
        <f>Data!H51</f>
        <v/>
      </c>
      <c r="M45" s="273" t="str">
        <f>Data!I51</f>
        <v/>
      </c>
      <c r="N45" s="273" t="str">
        <f>Data!J51</f>
        <v/>
      </c>
      <c r="O45" s="273" t="str">
        <f>Data!K51</f>
        <v/>
      </c>
      <c r="P45" s="273" t="str">
        <f>Data!L51</f>
        <v/>
      </c>
      <c r="Q45" s="273" t="str">
        <f>Data!M51</f>
        <v/>
      </c>
    </row>
    <row r="46" spans="1:17" ht="15.75" customHeight="1">
      <c r="A46" s="10"/>
      <c r="B46" s="2" t="s">
        <v>273</v>
      </c>
      <c r="C46" s="273">
        <f>BS!D75*C51</f>
        <v>421.41305</v>
      </c>
      <c r="E46" s="241"/>
      <c r="G46" s="281">
        <f t="shared" ref="G46:Q46" si="17">IFERROR(IF(G$4="","",($C$46/$C$47)*G47),0)</f>
        <v>1531906672.2583332</v>
      </c>
      <c r="H46" s="281" t="str">
        <f t="shared" si="17"/>
        <v/>
      </c>
      <c r="I46" s="281" t="str">
        <f t="shared" si="17"/>
        <v/>
      </c>
      <c r="J46" s="281" t="str">
        <f t="shared" si="17"/>
        <v/>
      </c>
      <c r="K46" s="281" t="str">
        <f t="shared" si="17"/>
        <v/>
      </c>
      <c r="L46" s="281" t="str">
        <f t="shared" si="17"/>
        <v/>
      </c>
      <c r="M46" s="281" t="str">
        <f t="shared" si="17"/>
        <v/>
      </c>
      <c r="N46" s="281" t="str">
        <f t="shared" si="17"/>
        <v/>
      </c>
      <c r="O46" s="281" t="str">
        <f t="shared" si="17"/>
        <v/>
      </c>
      <c r="P46" s="281" t="str">
        <f t="shared" si="17"/>
        <v/>
      </c>
      <c r="Q46" s="281" t="str">
        <f t="shared" si="17"/>
        <v/>
      </c>
    </row>
    <row r="47" spans="1:17" ht="15.75" customHeight="1">
      <c r="A47" s="10"/>
      <c r="B47" s="251" t="s">
        <v>270</v>
      </c>
      <c r="C47" s="285">
        <f>BS!$C$66*C51</f>
        <v>6.0000000000000001E-3</v>
      </c>
      <c r="D47" s="252"/>
      <c r="E47" s="253"/>
      <c r="F47" s="252"/>
      <c r="G47" s="285">
        <f>Data!C52</f>
        <v>21811</v>
      </c>
      <c r="H47" s="285" t="str">
        <f>Data!D52</f>
        <v/>
      </c>
      <c r="I47" s="285" t="str">
        <f>Data!E52</f>
        <v/>
      </c>
      <c r="J47" s="285" t="str">
        <f>Data!F52</f>
        <v/>
      </c>
      <c r="K47" s="285" t="str">
        <f>Data!G52</f>
        <v/>
      </c>
      <c r="L47" s="285" t="str">
        <f>Data!H52</f>
        <v/>
      </c>
      <c r="M47" s="285" t="str">
        <f>Data!I52</f>
        <v/>
      </c>
      <c r="N47" s="285" t="str">
        <f>Data!J52</f>
        <v/>
      </c>
      <c r="O47" s="285" t="str">
        <f>Data!K52</f>
        <v/>
      </c>
      <c r="P47" s="285" t="str">
        <f>Data!L52</f>
        <v/>
      </c>
      <c r="Q47" s="285" t="str">
        <f>Data!M52</f>
        <v/>
      </c>
    </row>
    <row r="48" spans="1:17" ht="15.75" customHeight="1">
      <c r="A48" s="10"/>
      <c r="B48" s="67" t="s">
        <v>65</v>
      </c>
      <c r="C48" s="274">
        <f>C45+C46</f>
        <v>421.41305</v>
      </c>
      <c r="E48" s="241"/>
      <c r="G48" s="274">
        <f>IF(G$4="","",(G45+G46))</f>
        <v>1531890250.2583332</v>
      </c>
      <c r="H48" s="274" t="str">
        <f t="shared" ref="H48:Q48" si="18">IF(H$4="","",(H45+H46))</f>
        <v/>
      </c>
      <c r="I48" s="274" t="str">
        <f t="shared" si="18"/>
        <v/>
      </c>
      <c r="J48" s="274" t="str">
        <f t="shared" si="18"/>
        <v/>
      </c>
      <c r="K48" s="274" t="str">
        <f t="shared" si="18"/>
        <v/>
      </c>
      <c r="L48" s="274" t="str">
        <f t="shared" si="18"/>
        <v/>
      </c>
      <c r="M48" s="274" t="str">
        <f t="shared" si="18"/>
        <v/>
      </c>
      <c r="N48" s="274" t="str">
        <f t="shared" si="18"/>
        <v/>
      </c>
      <c r="O48" s="274" t="str">
        <f t="shared" si="18"/>
        <v/>
      </c>
      <c r="P48" s="274" t="str">
        <f t="shared" si="18"/>
        <v/>
      </c>
      <c r="Q48" s="274" t="str">
        <f t="shared" si="18"/>
        <v/>
      </c>
    </row>
    <row r="49" spans="1:17" ht="15.75" customHeight="1">
      <c r="A49" s="10"/>
      <c r="E49" s="241"/>
    </row>
    <row r="50" spans="1:17" ht="15.75" customHeight="1">
      <c r="A50" s="10"/>
      <c r="B50" s="69" t="s">
        <v>130</v>
      </c>
      <c r="E50" s="241"/>
      <c r="G50" s="94" t="s">
        <v>188</v>
      </c>
    </row>
    <row r="51" spans="1:17" ht="15.75" customHeight="1">
      <c r="A51" s="10"/>
      <c r="B51" s="8" t="s">
        <v>85</v>
      </c>
      <c r="C51" s="84">
        <v>6.0000000000000001E-3</v>
      </c>
      <c r="E51" s="238"/>
      <c r="G51" s="6">
        <f>IF(Normalized_FCF!G4="","",Normalized_FCF!G47/BS!$C$66)</f>
        <v>21811</v>
      </c>
      <c r="H51" s="151"/>
      <c r="I51" s="151"/>
      <c r="J51" s="151"/>
      <c r="K51" s="151"/>
      <c r="L51" s="151"/>
      <c r="M51" s="151"/>
      <c r="N51" s="151"/>
      <c r="O51" s="151"/>
      <c r="P51" s="151"/>
      <c r="Q51" s="151"/>
    </row>
    <row r="52" spans="1:17" ht="15.75" customHeight="1">
      <c r="A52" s="10"/>
      <c r="B52" s="8" t="s">
        <v>84</v>
      </c>
      <c r="C52" s="79">
        <v>0.06</v>
      </c>
      <c r="E52" s="238"/>
      <c r="G52" s="22">
        <f>IFERROR(ABS(Normalized_FCF!G45/BS!$G$31),0)</f>
        <v>0</v>
      </c>
      <c r="H52" s="151"/>
      <c r="I52" s="151"/>
      <c r="J52" s="151"/>
      <c r="K52" s="151"/>
      <c r="L52" s="151"/>
      <c r="M52" s="151"/>
      <c r="N52" s="151"/>
      <c r="O52" s="151"/>
      <c r="P52" s="151"/>
      <c r="Q52" s="151"/>
    </row>
    <row r="53" spans="1:17" ht="15.75" customHeight="1">
      <c r="A53" s="10"/>
      <c r="B53" s="25" t="s">
        <v>87</v>
      </c>
      <c r="C53" s="40" t="e">
        <f>-C8/C45</f>
        <v>#DIV/0!</v>
      </c>
      <c r="E53" s="241"/>
      <c r="G53" s="40">
        <f t="shared" ref="G53:Q53" si="19">IF(G4="","",-G8/G45)</f>
        <v>65.889721105833644</v>
      </c>
      <c r="H53" s="40" t="str">
        <f t="shared" si="19"/>
        <v/>
      </c>
      <c r="I53" s="40" t="str">
        <f t="shared" si="19"/>
        <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41"/>
    </row>
    <row r="55" spans="1:17" ht="15.75" customHeight="1">
      <c r="A55" s="10"/>
      <c r="B55" s="61" t="s">
        <v>139</v>
      </c>
      <c r="E55" s="241"/>
      <c r="G55" s="94" t="s">
        <v>188</v>
      </c>
    </row>
    <row r="56" spans="1:17" ht="15.75" customHeight="1">
      <c r="A56" s="10"/>
      <c r="B56" s="38" t="s">
        <v>138</v>
      </c>
      <c r="C56" s="273">
        <f>BS!$C67*C64</f>
        <v>0</v>
      </c>
      <c r="E56" s="241"/>
      <c r="G56" s="273">
        <f>Data!C56</f>
        <v>0</v>
      </c>
      <c r="H56" s="273" t="str">
        <f>Data!D56</f>
        <v/>
      </c>
      <c r="I56" s="273" t="str">
        <f>Data!E56</f>
        <v/>
      </c>
      <c r="J56" s="273" t="str">
        <f>Data!F56</f>
        <v/>
      </c>
      <c r="K56" s="273" t="str">
        <f>Data!G56</f>
        <v/>
      </c>
      <c r="L56" s="273" t="str">
        <f>Data!H56</f>
        <v/>
      </c>
      <c r="M56" s="273" t="str">
        <f>Data!I56</f>
        <v/>
      </c>
      <c r="N56" s="273" t="str">
        <f>Data!J56</f>
        <v/>
      </c>
      <c r="O56" s="273" t="str">
        <f>Data!K56</f>
        <v/>
      </c>
      <c r="P56" s="273" t="str">
        <f>Data!L56</f>
        <v/>
      </c>
      <c r="Q56" s="273" t="str">
        <f>Data!M56</f>
        <v/>
      </c>
    </row>
    <row r="57" spans="1:17" ht="15.75" customHeight="1">
      <c r="A57" s="10"/>
      <c r="B57" s="38" t="s">
        <v>134</v>
      </c>
      <c r="C57" s="273">
        <f>BS!$C68*C65</f>
        <v>0</v>
      </c>
      <c r="E57" s="241"/>
      <c r="G57" s="273">
        <f>Data!C55</f>
        <v>-2798</v>
      </c>
      <c r="H57" s="273" t="str">
        <f>Data!D55</f>
        <v/>
      </c>
      <c r="I57" s="273" t="str">
        <f>Data!E55</f>
        <v/>
      </c>
      <c r="J57" s="273" t="str">
        <f>Data!F55</f>
        <v/>
      </c>
      <c r="K57" s="273" t="str">
        <f>Data!G55</f>
        <v/>
      </c>
      <c r="L57" s="273" t="str">
        <f>Data!H55</f>
        <v/>
      </c>
      <c r="M57" s="273" t="str">
        <f>Data!I55</f>
        <v/>
      </c>
      <c r="N57" s="273" t="str">
        <f>Data!J55</f>
        <v/>
      </c>
      <c r="O57" s="273" t="str">
        <f>Data!K55</f>
        <v/>
      </c>
      <c r="P57" s="273" t="str">
        <f>Data!L55</f>
        <v/>
      </c>
      <c r="Q57" s="273" t="str">
        <f>Data!M55</f>
        <v/>
      </c>
    </row>
    <row r="58" spans="1:17" ht="15.75" customHeight="1">
      <c r="A58" s="10"/>
      <c r="B58" s="38" t="s">
        <v>133</v>
      </c>
      <c r="C58" s="273">
        <f>BS!$C69*C66</f>
        <v>0</v>
      </c>
      <c r="E58" s="241"/>
      <c r="G58" s="273">
        <f>Data!C57</f>
        <v>0</v>
      </c>
      <c r="H58" s="273" t="str">
        <f>Data!D57</f>
        <v/>
      </c>
      <c r="I58" s="273" t="str">
        <f>Data!E57</f>
        <v/>
      </c>
      <c r="J58" s="273" t="str">
        <f>Data!F57</f>
        <v/>
      </c>
      <c r="K58" s="273" t="str">
        <f>Data!G57</f>
        <v/>
      </c>
      <c r="L58" s="273" t="str">
        <f>Data!H57</f>
        <v/>
      </c>
      <c r="M58" s="273" t="str">
        <f>Data!I57</f>
        <v/>
      </c>
      <c r="N58" s="273" t="str">
        <f>Data!J57</f>
        <v/>
      </c>
      <c r="O58" s="273" t="str">
        <f>Data!K57</f>
        <v/>
      </c>
      <c r="P58" s="273" t="str">
        <f>Data!L57</f>
        <v/>
      </c>
      <c r="Q58" s="273" t="str">
        <f>Data!M57</f>
        <v/>
      </c>
    </row>
    <row r="59" spans="1:17" ht="15.75" customHeight="1">
      <c r="A59" s="10"/>
      <c r="B59" s="30" t="s">
        <v>163</v>
      </c>
      <c r="C59" s="274">
        <f>SUM(C56:C58)</f>
        <v>0</v>
      </c>
      <c r="E59" s="241"/>
      <c r="G59" s="274">
        <f t="shared" ref="G59:Q59" si="20">IF(G4="","",SUM(G56:G58))</f>
        <v>-2798</v>
      </c>
      <c r="H59" s="274" t="str">
        <f t="shared" si="20"/>
        <v/>
      </c>
      <c r="I59" s="274" t="str">
        <f t="shared" si="20"/>
        <v/>
      </c>
      <c r="J59" s="274" t="str">
        <f t="shared" si="20"/>
        <v/>
      </c>
      <c r="K59" s="274" t="str">
        <f t="shared" si="20"/>
        <v/>
      </c>
      <c r="L59" s="274" t="str">
        <f t="shared" si="20"/>
        <v/>
      </c>
      <c r="M59" s="274" t="str">
        <f t="shared" si="20"/>
        <v/>
      </c>
      <c r="N59" s="274" t="str">
        <f t="shared" si="20"/>
        <v/>
      </c>
      <c r="O59" s="274" t="str">
        <f t="shared" si="20"/>
        <v/>
      </c>
      <c r="P59" s="274" t="str">
        <f t="shared" si="20"/>
        <v/>
      </c>
      <c r="Q59" s="274" t="str">
        <f t="shared" si="20"/>
        <v/>
      </c>
    </row>
    <row r="60" spans="1:17" ht="15.75" customHeight="1">
      <c r="A60" s="10"/>
      <c r="B60" s="38" t="s">
        <v>135</v>
      </c>
      <c r="C60" s="286">
        <v>0</v>
      </c>
      <c r="E60" s="239" t="s">
        <v>265</v>
      </c>
      <c r="G60" s="273">
        <f>Data!C58</f>
        <v>-274123</v>
      </c>
      <c r="H60" s="273" t="str">
        <f>Data!D58</f>
        <v/>
      </c>
      <c r="I60" s="273" t="str">
        <f>Data!E58</f>
        <v/>
      </c>
      <c r="J60" s="273" t="str">
        <f>Data!F58</f>
        <v/>
      </c>
      <c r="K60" s="273" t="str">
        <f>Data!G58</f>
        <v/>
      </c>
      <c r="L60" s="273" t="str">
        <f>Data!H58</f>
        <v/>
      </c>
      <c r="M60" s="273" t="str">
        <f>Data!I58</f>
        <v/>
      </c>
      <c r="N60" s="273" t="str">
        <f>Data!J58</f>
        <v/>
      </c>
      <c r="O60" s="273" t="str">
        <f>Data!K58</f>
        <v/>
      </c>
      <c r="P60" s="273" t="str">
        <f>Data!L58</f>
        <v/>
      </c>
      <c r="Q60" s="273" t="str">
        <f>Data!M58</f>
        <v/>
      </c>
    </row>
    <row r="61" spans="1:17" ht="15.75" customHeight="1">
      <c r="A61" s="10"/>
      <c r="B61" s="30" t="s">
        <v>164</v>
      </c>
      <c r="C61" s="274">
        <f>C59+C60</f>
        <v>0</v>
      </c>
      <c r="E61" s="241"/>
      <c r="G61" s="274">
        <f t="shared" ref="G61:Q61" si="21">IF(G4="","",G59+G60)</f>
        <v>-276921</v>
      </c>
      <c r="H61" s="274" t="str">
        <f t="shared" si="21"/>
        <v/>
      </c>
      <c r="I61" s="274" t="str">
        <f t="shared" si="21"/>
        <v/>
      </c>
      <c r="J61" s="274" t="str">
        <f t="shared" si="21"/>
        <v/>
      </c>
      <c r="K61" s="274" t="str">
        <f t="shared" si="21"/>
        <v/>
      </c>
      <c r="L61" s="274" t="str">
        <f t="shared" si="21"/>
        <v/>
      </c>
      <c r="M61" s="274" t="str">
        <f t="shared" si="21"/>
        <v/>
      </c>
      <c r="N61" s="274" t="str">
        <f t="shared" si="21"/>
        <v/>
      </c>
      <c r="O61" s="274" t="str">
        <f t="shared" si="21"/>
        <v/>
      </c>
      <c r="P61" s="274" t="str">
        <f t="shared" si="21"/>
        <v/>
      </c>
      <c r="Q61" s="274" t="str">
        <f t="shared" si="21"/>
        <v/>
      </c>
    </row>
    <row r="62" spans="1:17" ht="15.75" customHeight="1">
      <c r="A62" s="10"/>
      <c r="E62" s="241"/>
    </row>
    <row r="63" spans="1:17" ht="15.75" customHeight="1">
      <c r="A63" s="10"/>
      <c r="B63" s="93" t="s">
        <v>140</v>
      </c>
      <c r="E63" s="241"/>
      <c r="G63" s="94" t="s">
        <v>188</v>
      </c>
    </row>
    <row r="64" spans="1:17" ht="15.75" customHeight="1">
      <c r="A64" s="10"/>
      <c r="B64" s="38" t="s">
        <v>138</v>
      </c>
      <c r="C64" s="158">
        <f>G64</f>
        <v>0</v>
      </c>
      <c r="E64" s="241"/>
      <c r="G64" s="22">
        <f>IFERROR(G56/BS!$C$67,0)</f>
        <v>0</v>
      </c>
      <c r="H64" s="157"/>
      <c r="I64" s="157"/>
      <c r="J64" s="157"/>
      <c r="K64" s="157"/>
      <c r="L64" s="157"/>
      <c r="M64" s="157"/>
      <c r="N64" s="157"/>
      <c r="O64" s="157"/>
      <c r="P64" s="157"/>
      <c r="Q64" s="157"/>
    </row>
    <row r="65" spans="1:17" ht="15.75" customHeight="1">
      <c r="A65" s="10"/>
      <c r="B65" s="102" t="s">
        <v>132</v>
      </c>
      <c r="C65" s="158">
        <f>G65</f>
        <v>0</v>
      </c>
      <c r="E65" s="241"/>
      <c r="G65" s="22">
        <f>IFERROR(G57/BS!$C$68,0)</f>
        <v>0</v>
      </c>
      <c r="H65" s="157"/>
      <c r="I65" s="157"/>
      <c r="J65" s="157"/>
      <c r="K65" s="157"/>
      <c r="L65" s="157"/>
      <c r="M65" s="157"/>
      <c r="N65" s="157"/>
      <c r="O65" s="157"/>
      <c r="P65" s="157"/>
      <c r="Q65" s="157"/>
    </row>
    <row r="66" spans="1:17" ht="15.75" customHeight="1">
      <c r="A66" s="10"/>
      <c r="B66" s="102" t="s">
        <v>133</v>
      </c>
      <c r="C66" s="158">
        <f>G66</f>
        <v>0</v>
      </c>
      <c r="E66" s="241"/>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6"/>
      <c r="F67" s="9"/>
      <c r="G67" s="68">
        <f>G59/BS!C70</f>
        <v>-2798</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8"/>
      <c r="F70" s="26"/>
      <c r="G70" s="94"/>
      <c r="H70" s="12"/>
      <c r="I70" s="12"/>
      <c r="J70" s="12"/>
      <c r="K70" s="12"/>
      <c r="L70" s="12"/>
      <c r="M70" s="12"/>
      <c r="N70" s="12"/>
      <c r="O70" s="12"/>
      <c r="P70" s="12"/>
      <c r="Q70" s="12"/>
    </row>
    <row r="71" spans="1:17" ht="15.75" customHeight="1">
      <c r="A71" s="10"/>
      <c r="B71" s="2" t="s">
        <v>43</v>
      </c>
      <c r="C71" s="74">
        <f t="shared" ref="C71:C76" si="22">ABS(C5/C$4)</f>
        <v>0.24487456943110034</v>
      </c>
      <c r="D71" s="26"/>
      <c r="E71" s="238"/>
      <c r="F71" s="26"/>
      <c r="G71" s="6">
        <f t="shared" ref="G71:Q71" si="23">IF(G$4="","",ABS(G5/G$4))</f>
        <v>0.24487456943110031</v>
      </c>
      <c r="H71" s="6" t="str">
        <f t="shared" si="23"/>
        <v/>
      </c>
      <c r="I71" s="6" t="str">
        <f t="shared" si="23"/>
        <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45</v>
      </c>
      <c r="C72" s="75">
        <f t="shared" si="22"/>
        <v>0.75512543056889958</v>
      </c>
      <c r="D72" s="26"/>
      <c r="E72" s="238"/>
      <c r="F72" s="26"/>
      <c r="G72" s="62">
        <f t="shared" ref="G72:Q72" si="24">IF(G$4="","",ABS(G6/G$4))</f>
        <v>0.75512543056889969</v>
      </c>
      <c r="H72" s="62" t="str">
        <f t="shared" si="24"/>
        <v/>
      </c>
      <c r="I72" s="62" t="str">
        <f t="shared" si="24"/>
        <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42</v>
      </c>
      <c r="C73" s="74">
        <f t="shared" si="22"/>
        <v>0.33469056113755186</v>
      </c>
      <c r="D73" s="26"/>
      <c r="E73" s="238"/>
      <c r="F73" s="26"/>
      <c r="G73" s="6">
        <f t="shared" ref="G73:Q73" si="25">IF(G$4="","",ABS(G7/G$4))</f>
        <v>0.23428339279628627</v>
      </c>
      <c r="H73" s="6" t="str">
        <f t="shared" si="25"/>
        <v/>
      </c>
      <c r="I73" s="6" t="str">
        <f t="shared" si="25"/>
        <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127</v>
      </c>
      <c r="C74" s="75">
        <f t="shared" si="22"/>
        <v>0.42043486943134772</v>
      </c>
      <c r="D74" s="26"/>
      <c r="E74" s="238"/>
      <c r="F74" s="26"/>
      <c r="G74" s="62">
        <f t="shared" ref="G74:Q74" si="26">IF(G$4="","",ABS(G8/G$4))</f>
        <v>0.5208420377726134</v>
      </c>
      <c r="H74" s="62" t="str">
        <f t="shared" si="26"/>
        <v/>
      </c>
      <c r="I74" s="62" t="str">
        <f t="shared" si="26"/>
        <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128</v>
      </c>
      <c r="C75" s="74">
        <f t="shared" si="22"/>
        <v>0</v>
      </c>
      <c r="D75" s="26"/>
      <c r="E75" s="238"/>
      <c r="F75" s="26"/>
      <c r="G75" s="6">
        <f t="shared" ref="G75:Q75" si="27">IF(G$4="","",G9/G$4)</f>
        <v>-1.3468214436308534E-3</v>
      </c>
      <c r="H75" s="6" t="str">
        <f t="shared" si="27"/>
        <v/>
      </c>
      <c r="I75" s="6" t="str">
        <f t="shared" si="27"/>
        <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65</v>
      </c>
      <c r="C76" s="74">
        <f t="shared" si="22"/>
        <v>2.8978256528432611E-4</v>
      </c>
      <c r="D76" s="26"/>
      <c r="E76" s="238"/>
      <c r="F76" s="26"/>
      <c r="G76" s="6">
        <f t="shared" ref="G76:Q76" si="28">IF(G$4="","",ABS(G10/G$4))</f>
        <v>737.37764057789764</v>
      </c>
      <c r="H76" s="6" t="str">
        <f t="shared" si="28"/>
        <v/>
      </c>
      <c r="I76" s="6" t="str">
        <f t="shared" si="28"/>
        <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137</v>
      </c>
      <c r="C77" s="75">
        <f>C11/C4</f>
        <v>0.42072465199663206</v>
      </c>
      <c r="D77" s="26"/>
      <c r="E77" s="238"/>
      <c r="F77" s="26"/>
      <c r="G77" s="62">
        <f t="shared" ref="G77:Q77" si="29">IF(G$4="","",G11/G$4)</f>
        <v>737.89713579422664</v>
      </c>
      <c r="H77" s="62" t="str">
        <f t="shared" si="29"/>
        <v/>
      </c>
      <c r="I77" s="62" t="str">
        <f t="shared" si="29"/>
        <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60</v>
      </c>
      <c r="C78" s="74">
        <f>ABS(C12/C$4)</f>
        <v>0.10518116299915801</v>
      </c>
      <c r="D78" s="26"/>
      <c r="E78" s="238"/>
      <c r="F78" s="26"/>
      <c r="G78" s="6">
        <f t="shared" ref="G78:Q78" si="30">IF(G$4="","",ABS(G12/G$4))</f>
        <v>0.15075013814787502</v>
      </c>
      <c r="H78" s="6" t="str">
        <f t="shared" si="30"/>
        <v/>
      </c>
      <c r="I78" s="6" t="str">
        <f t="shared" si="30"/>
        <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7">
        <f>MIN(BS!C62,MAX(G79:K79))</f>
        <v>0</v>
      </c>
      <c r="D79" s="26"/>
      <c r="E79" s="238"/>
      <c r="F79" s="26"/>
      <c r="G79" s="6">
        <f t="shared" ref="G79:Q79" si="31">IF(G$4="","",-G13/G$4)</f>
        <v>5.9780965822119447E-2</v>
      </c>
      <c r="H79" s="6" t="str">
        <f t="shared" si="31"/>
        <v/>
      </c>
      <c r="I79" s="6" t="str">
        <f t="shared" si="31"/>
        <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129</v>
      </c>
      <c r="C80" s="75">
        <f>ABS(C14/C$4)</f>
        <v>0.31554348899747403</v>
      </c>
      <c r="D80" s="26"/>
      <c r="E80" s="238"/>
      <c r="F80" s="26"/>
      <c r="G80" s="62">
        <f t="shared" ref="G80:Q80" si="32">IF(G$4="","",ABS(G14/G$4))</f>
        <v>737.68660469025667</v>
      </c>
      <c r="H80" s="62" t="str">
        <f t="shared" si="32"/>
        <v/>
      </c>
      <c r="I80" s="62" t="str">
        <f t="shared" si="32"/>
        <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62</v>
      </c>
      <c r="C81" s="74">
        <f>ABS(C15/C$4)</f>
        <v>0</v>
      </c>
      <c r="D81" s="26"/>
      <c r="E81" s="238"/>
      <c r="F81" s="26"/>
      <c r="G81" s="6">
        <f t="shared" ref="G81:Q81" si="33">IF(G$4="","",G15/G$4)</f>
        <v>0</v>
      </c>
      <c r="H81" s="6" t="str">
        <f t="shared" si="33"/>
        <v/>
      </c>
      <c r="I81" s="6" t="str">
        <f t="shared" si="33"/>
        <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77</v>
      </c>
      <c r="C82" s="85">
        <f>MAX(AVERAGE(G82:J82),C81)</f>
        <v>0</v>
      </c>
      <c r="D82" s="26"/>
      <c r="E82" s="239" t="s">
        <v>281</v>
      </c>
      <c r="F82" s="26"/>
      <c r="G82" s="6">
        <f t="shared" ref="G82:Q82" si="34">IF(G$4="","",-G16/G$4)</f>
        <v>0</v>
      </c>
      <c r="H82" s="6" t="str">
        <f t="shared" si="34"/>
        <v/>
      </c>
      <c r="I82" s="6" t="str">
        <f t="shared" si="34"/>
        <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49</v>
      </c>
      <c r="C83" s="237">
        <v>0</v>
      </c>
      <c r="D83" s="26"/>
      <c r="E83" s="240" t="str">
        <f>E17</f>
        <v>WCInv is by default excluded</v>
      </c>
      <c r="F83" s="26"/>
      <c r="G83" s="205"/>
      <c r="H83" s="205"/>
      <c r="I83" s="205"/>
      <c r="J83" s="205"/>
      <c r="K83" s="205"/>
      <c r="L83" s="205"/>
      <c r="M83" s="205"/>
      <c r="N83" s="205"/>
      <c r="O83" s="205"/>
      <c r="P83" s="205"/>
      <c r="Q83" s="205"/>
    </row>
    <row r="84" spans="1:17" ht="15.75" customHeight="1">
      <c r="A84" s="10"/>
      <c r="B84" s="8" t="s">
        <v>94</v>
      </c>
      <c r="C84" s="74">
        <v>0</v>
      </c>
      <c r="E84" s="240" t="str">
        <f>E18</f>
        <v>Net borrowing is excluded</v>
      </c>
      <c r="G84" s="151"/>
      <c r="H84" s="151"/>
      <c r="I84" s="151"/>
      <c r="J84" s="151"/>
      <c r="K84" s="151"/>
      <c r="L84" s="151"/>
      <c r="M84" s="151"/>
      <c r="N84" s="151"/>
      <c r="O84" s="151"/>
      <c r="P84" s="151"/>
      <c r="Q84" s="151"/>
    </row>
    <row r="85" spans="1:17" ht="15.75" customHeight="1">
      <c r="A85" s="10"/>
      <c r="B85" s="30" t="s">
        <v>117</v>
      </c>
      <c r="C85" s="75">
        <f>ABS(C19/C$4)</f>
        <v>0.31554348899747403</v>
      </c>
      <c r="D85" s="72"/>
      <c r="E85" s="238"/>
      <c r="F85" s="72"/>
      <c r="G85" s="62">
        <f t="shared" ref="G85:Q85" si="35">IF(G$4="","",ABS(G19/G$4))</f>
        <v>737.68660469025667</v>
      </c>
      <c r="H85" s="62" t="str">
        <f t="shared" si="35"/>
        <v/>
      </c>
      <c r="I85" s="62" t="str">
        <f t="shared" si="35"/>
        <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41"/>
    </row>
    <row r="87" spans="1:17" ht="15.75" customHeight="1">
      <c r="A87" s="10"/>
      <c r="B87" s="61" t="s">
        <v>183</v>
      </c>
      <c r="E87" s="241"/>
    </row>
    <row r="88" spans="1:17" ht="15.75" customHeight="1">
      <c r="A88" s="10"/>
      <c r="B88" s="2" t="str">
        <f>"Dividend per share ("&amp;Market_currency&amp;")"</f>
        <v>Dividend per share (HKD)</v>
      </c>
      <c r="C88" s="110">
        <f>G88</f>
        <v>0</v>
      </c>
      <c r="E88" s="241"/>
      <c r="G88" s="109">
        <f>Data!C65</f>
        <v>0</v>
      </c>
      <c r="H88" s="109" t="str">
        <f>Data!D65</f>
        <v/>
      </c>
      <c r="I88" s="109" t="str">
        <f>Data!E65</f>
        <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0</v>
      </c>
      <c r="E89" s="241"/>
      <c r="G89" s="71">
        <f t="shared" ref="G89:Q89" si="36">IF(G$4="","",G88*Common_Shares/scaling_factor)</f>
        <v>0</v>
      </c>
      <c r="H89" s="71" t="str">
        <f t="shared" si="36"/>
        <v/>
      </c>
      <c r="I89" s="71" t="str">
        <f t="shared" si="36"/>
        <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182</v>
      </c>
      <c r="C90" s="22">
        <f>C88/(C19*scaling_factor/Common_Shares)</f>
        <v>0</v>
      </c>
      <c r="E90" s="241"/>
      <c r="G90" s="152">
        <f t="shared" ref="G90:Q90" si="37">IF(G$4="","",G88/(G19*scaling_factor/Common_Shares))</f>
        <v>0</v>
      </c>
      <c r="H90" s="152" t="str">
        <f t="shared" si="37"/>
        <v/>
      </c>
      <c r="I90" s="152" t="str">
        <f t="shared" si="37"/>
        <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333</v>
      </c>
      <c r="C91" s="299">
        <v>0</v>
      </c>
      <c r="E91" s="241"/>
      <c r="G91" s="300"/>
      <c r="H91" s="300"/>
      <c r="I91" s="300"/>
      <c r="J91" s="300"/>
      <c r="K91" s="300"/>
      <c r="L91" s="300"/>
      <c r="M91" s="300"/>
      <c r="N91" s="300"/>
      <c r="O91" s="300"/>
      <c r="P91" s="300"/>
      <c r="Q91" s="300"/>
    </row>
    <row r="92" spans="1:17" ht="15.75" customHeight="1">
      <c r="A92" s="10"/>
      <c r="B92" s="2" t="s">
        <v>332</v>
      </c>
      <c r="C92" s="22">
        <f>(C88*(1-dividend_tax_rate))/Market_Price</f>
        <v>0</v>
      </c>
      <c r="E92" s="241"/>
      <c r="G92" s="22">
        <f t="shared" ref="G92:Q92" si="38">IF(G$4="","",(G88*(1-dividend_tax_rate))/Market_Price)</f>
        <v>0</v>
      </c>
      <c r="H92" s="22" t="str">
        <f t="shared" si="38"/>
        <v/>
      </c>
      <c r="I92" s="22" t="str">
        <f t="shared" si="38"/>
        <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41"/>
    </row>
    <row r="94" spans="1:17" ht="15.75" customHeight="1">
      <c r="A94" s="10"/>
      <c r="B94" s="143" t="s">
        <v>81</v>
      </c>
      <c r="C94" s="59"/>
      <c r="D94" s="26"/>
      <c r="E94" s="238"/>
      <c r="F94" s="26"/>
      <c r="G94" s="12"/>
      <c r="H94" s="12"/>
      <c r="I94" s="12"/>
      <c r="J94" s="12"/>
      <c r="K94" s="12"/>
      <c r="L94" s="12"/>
      <c r="M94" s="12"/>
      <c r="N94" s="12"/>
      <c r="O94" s="12"/>
      <c r="P94" s="12"/>
      <c r="Q94" s="12"/>
    </row>
    <row r="95" spans="1:17" ht="15.75" customHeight="1">
      <c r="A95" s="10"/>
      <c r="B95" s="26" t="s">
        <v>121</v>
      </c>
      <c r="C95" s="74">
        <f>C4/G4-1</f>
        <v>-0.30000000000000004</v>
      </c>
      <c r="D95" s="26"/>
      <c r="E95" s="238"/>
      <c r="F95" s="26"/>
      <c r="G95" s="6" t="str">
        <f t="shared" ref="G95:Q95" si="39">IF(H4="","",G4/H4-1)</f>
        <v/>
      </c>
      <c r="H95" s="6" t="str">
        <f t="shared" si="39"/>
        <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137</v>
      </c>
      <c r="C96" s="74">
        <f>C11/G11-1</f>
        <v>-0.99960088304709216</v>
      </c>
      <c r="D96" s="26"/>
      <c r="E96" s="238"/>
      <c r="F96" s="26"/>
      <c r="G96" s="6" t="str">
        <f t="shared" ref="G96:Q96" si="40">IF(H5="","",G11/H11-1)</f>
        <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41"/>
      <c r="G99" s="94" t="s">
        <v>188</v>
      </c>
    </row>
    <row r="100" spans="1:17" ht="15.75" customHeight="1">
      <c r="A100" s="10"/>
      <c r="B100" s="25" t="s">
        <v>1</v>
      </c>
      <c r="C100" s="287">
        <f>BS!G32</f>
        <v>2</v>
      </c>
      <c r="D100" s="25"/>
      <c r="E100" s="242"/>
      <c r="F100" s="25"/>
      <c r="G100" s="277">
        <f t="shared" ref="G100:Q100" si="41">IF(G$4="","",G104+G103)</f>
        <v>2</v>
      </c>
      <c r="H100" s="277" t="str">
        <f t="shared" si="41"/>
        <v/>
      </c>
      <c r="I100" s="277" t="str">
        <f t="shared" si="41"/>
        <v/>
      </c>
      <c r="J100" s="277" t="str">
        <f t="shared" si="41"/>
        <v/>
      </c>
      <c r="K100" s="277" t="str">
        <f t="shared" si="41"/>
        <v/>
      </c>
      <c r="L100" s="277" t="str">
        <f t="shared" si="41"/>
        <v/>
      </c>
      <c r="M100" s="277" t="str">
        <f t="shared" si="41"/>
        <v/>
      </c>
      <c r="N100" s="277" t="str">
        <f t="shared" si="41"/>
        <v/>
      </c>
      <c r="O100" s="277" t="str">
        <f t="shared" si="41"/>
        <v/>
      </c>
      <c r="P100" s="277" t="str">
        <f t="shared" si="41"/>
        <v/>
      </c>
      <c r="Q100" s="277" t="str">
        <f t="shared" si="41"/>
        <v/>
      </c>
    </row>
    <row r="101" spans="1:17" ht="15.75" customHeight="1">
      <c r="A101" s="10"/>
      <c r="B101" s="90" t="s">
        <v>179</v>
      </c>
      <c r="C101" s="288">
        <f>BS!C4</f>
        <v>0</v>
      </c>
      <c r="D101" s="86"/>
      <c r="E101" s="243"/>
      <c r="F101" s="86"/>
      <c r="G101" s="289" t="str">
        <f>IF(G$4="","",Data!D77)</f>
        <v/>
      </c>
      <c r="H101" s="289" t="str">
        <f>IF(H$4="","",Data!E77)</f>
        <v/>
      </c>
      <c r="I101" s="289" t="str">
        <f>IF(I$4="","",Data!F77)</f>
        <v/>
      </c>
      <c r="J101" s="289" t="str">
        <f>IF(J$4="","",Data!G77)</f>
        <v/>
      </c>
      <c r="K101" s="289" t="str">
        <f>IF(K$4="","",Data!H77)</f>
        <v/>
      </c>
      <c r="L101" s="289" t="str">
        <f>IF(L$4="","",Data!I77)</f>
        <v/>
      </c>
      <c r="M101" s="289" t="str">
        <f>IF(M$4="","",Data!J77)</f>
        <v/>
      </c>
      <c r="N101" s="289" t="str">
        <f>IF(N$4="","",Data!K77)</f>
        <v/>
      </c>
      <c r="O101" s="289" t="str">
        <f>IF(O$4="","",Data!L77)</f>
        <v/>
      </c>
      <c r="P101" s="289" t="str">
        <f>IF(P$4="","",Data!M77)</f>
        <v/>
      </c>
      <c r="Q101" s="289" t="str">
        <f>IF(Q$4="","",Data!N77)</f>
        <v/>
      </c>
    </row>
    <row r="102" spans="1:17" ht="15.75" customHeight="1">
      <c r="A102" s="10"/>
      <c r="B102" s="90" t="s">
        <v>180</v>
      </c>
      <c r="C102" s="288">
        <f>BS!C6+BS!C7</f>
        <v>0</v>
      </c>
      <c r="D102" s="86"/>
      <c r="E102" s="243"/>
      <c r="F102" s="86"/>
      <c r="G102" s="289" t="str">
        <f>IF(G$4="","",Data!D78)</f>
        <v/>
      </c>
      <c r="H102" s="289" t="str">
        <f>IF(H$4="","",Data!E78)</f>
        <v/>
      </c>
      <c r="I102" s="289" t="str">
        <f>IF(I$4="","",Data!F78)</f>
        <v/>
      </c>
      <c r="J102" s="289" t="str">
        <f>IF(J$4="","",Data!G78)</f>
        <v/>
      </c>
      <c r="K102" s="289" t="str">
        <f>IF(K$4="","",Data!H78)</f>
        <v/>
      </c>
      <c r="L102" s="289" t="str">
        <f>IF(L$4="","",Data!I78)</f>
        <v/>
      </c>
      <c r="M102" s="289" t="str">
        <f>IF(M$4="","",Data!J78)</f>
        <v/>
      </c>
      <c r="N102" s="289" t="str">
        <f>IF(N$4="","",Data!K78)</f>
        <v/>
      </c>
      <c r="O102" s="289" t="str">
        <f>IF(O$4="","",Data!L78)</f>
        <v/>
      </c>
      <c r="P102" s="289" t="str">
        <f>IF(P$4="","",Data!M78)</f>
        <v/>
      </c>
      <c r="Q102" s="289" t="str">
        <f>IF(Q$4="","",Data!N78)</f>
        <v/>
      </c>
    </row>
    <row r="103" spans="1:17" ht="15.75" customHeight="1">
      <c r="A103" s="10"/>
      <c r="B103" s="25" t="s">
        <v>38</v>
      </c>
      <c r="C103" s="287">
        <f>BS!G30</f>
        <v>2</v>
      </c>
      <c r="D103" s="25"/>
      <c r="E103" s="242"/>
      <c r="F103" s="25"/>
      <c r="G103" s="277">
        <f>Data!C79</f>
        <v>2</v>
      </c>
      <c r="H103" s="277" t="str">
        <f>Data!D79</f>
        <v/>
      </c>
      <c r="I103" s="277" t="str">
        <f>Data!E79</f>
        <v/>
      </c>
      <c r="J103" s="277" t="str">
        <f>Data!F79</f>
        <v/>
      </c>
      <c r="K103" s="277" t="str">
        <f>Data!G79</f>
        <v/>
      </c>
      <c r="L103" s="277" t="str">
        <f>Data!H79</f>
        <v/>
      </c>
      <c r="M103" s="277" t="str">
        <f>Data!I79</f>
        <v/>
      </c>
      <c r="N103" s="277" t="str">
        <f>Data!J79</f>
        <v/>
      </c>
      <c r="O103" s="277" t="str">
        <f>Data!K79</f>
        <v/>
      </c>
      <c r="P103" s="277" t="str">
        <f>Data!L79</f>
        <v/>
      </c>
      <c r="Q103" s="277" t="str">
        <f>Data!M79</f>
        <v/>
      </c>
    </row>
    <row r="104" spans="1:17" ht="15.75" customHeight="1">
      <c r="A104" s="10"/>
      <c r="B104" s="25" t="s">
        <v>28</v>
      </c>
      <c r="C104" s="287">
        <f>BS!G27</f>
        <v>0</v>
      </c>
      <c r="D104" s="25"/>
      <c r="E104" s="242"/>
      <c r="F104" s="25"/>
      <c r="G104" s="277">
        <f>Data!C80</f>
        <v>0</v>
      </c>
      <c r="H104" s="277" t="str">
        <f>Data!D80</f>
        <v/>
      </c>
      <c r="I104" s="277" t="str">
        <f>Data!E80</f>
        <v/>
      </c>
      <c r="J104" s="277" t="str">
        <f>Data!F80</f>
        <v/>
      </c>
      <c r="K104" s="277" t="str">
        <f>Data!G80</f>
        <v/>
      </c>
      <c r="L104" s="277" t="str">
        <f>Data!H80</f>
        <v/>
      </c>
      <c r="M104" s="277" t="str">
        <f>Data!I80</f>
        <v/>
      </c>
      <c r="N104" s="277" t="str">
        <f>Data!J80</f>
        <v/>
      </c>
      <c r="O104" s="277" t="str">
        <f>Data!K80</f>
        <v/>
      </c>
      <c r="P104" s="277" t="str">
        <f>Data!L80</f>
        <v/>
      </c>
      <c r="Q104" s="277" t="str">
        <f>Data!M80</f>
        <v/>
      </c>
    </row>
    <row r="105" spans="1:17" ht="15.75" customHeight="1">
      <c r="A105" s="10"/>
      <c r="E105" s="241"/>
    </row>
    <row r="106" spans="1:17" ht="15.75" customHeight="1">
      <c r="A106" s="10"/>
      <c r="B106" s="88" t="s">
        <v>189</v>
      </c>
      <c r="C106" s="25"/>
      <c r="D106" s="25"/>
      <c r="E106" s="242"/>
      <c r="F106" s="25"/>
      <c r="G106" s="94" t="s">
        <v>188</v>
      </c>
      <c r="H106" s="12"/>
      <c r="I106" s="12"/>
      <c r="J106" s="12"/>
      <c r="K106" s="12"/>
      <c r="L106" s="12"/>
      <c r="M106" s="12"/>
      <c r="N106" s="12"/>
      <c r="O106" s="12"/>
      <c r="P106" s="12"/>
      <c r="Q106" s="12"/>
    </row>
    <row r="107" spans="1:17" ht="15.75" customHeight="1">
      <c r="A107" s="10"/>
      <c r="B107" s="25" t="s">
        <v>186</v>
      </c>
      <c r="C107" s="91">
        <f>C101/C$4</f>
        <v>0</v>
      </c>
      <c r="D107" s="25"/>
      <c r="E107" s="242"/>
      <c r="F107" s="25"/>
      <c r="G107" s="91" t="e">
        <f t="shared" ref="G107:Q107" si="42">IF(G$4="","",G101/G$4)</f>
        <v>#VALUE!</v>
      </c>
      <c r="H107" s="91" t="str">
        <f t="shared" si="42"/>
        <v/>
      </c>
      <c r="I107" s="91" t="str">
        <f t="shared" si="42"/>
        <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187</v>
      </c>
      <c r="C108" s="91">
        <f>C102/C$4</f>
        <v>0</v>
      </c>
      <c r="D108" s="25"/>
      <c r="E108" s="242"/>
      <c r="F108" s="25"/>
      <c r="G108" s="91" t="e">
        <f t="shared" ref="G108:Q108" si="43">IF(G$4="","",G102/G$4)</f>
        <v>#VALUE!</v>
      </c>
      <c r="H108" s="91" t="str">
        <f t="shared" si="43"/>
        <v/>
      </c>
      <c r="I108" s="91" t="str">
        <f t="shared" si="43"/>
        <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66</v>
      </c>
      <c r="C109" s="91">
        <f>BS!$G$38/C$4</f>
        <v>0</v>
      </c>
      <c r="D109" s="25"/>
      <c r="E109" s="242"/>
      <c r="F109" s="25"/>
      <c r="G109" s="91">
        <f>BS!$G$38/G$4</f>
        <v>0</v>
      </c>
      <c r="H109" s="186"/>
      <c r="I109" s="186"/>
      <c r="J109" s="186"/>
      <c r="K109" s="186"/>
      <c r="L109" s="186"/>
      <c r="M109" s="186"/>
      <c r="N109" s="186"/>
      <c r="O109" s="186"/>
      <c r="P109" s="186"/>
      <c r="Q109" s="186"/>
    </row>
    <row r="110" spans="1:17" ht="15.75" customHeight="1">
      <c r="A110" s="10"/>
      <c r="E110" s="241"/>
    </row>
    <row r="111" spans="1:17" ht="15.75" customHeight="1">
      <c r="A111" s="10"/>
      <c r="B111" s="61" t="s">
        <v>48</v>
      </c>
      <c r="E111" s="241"/>
    </row>
    <row r="112" spans="1:17" ht="15.75" customHeight="1">
      <c r="A112" s="10"/>
      <c r="B112" s="2" t="s">
        <v>305</v>
      </c>
      <c r="C112" s="151"/>
      <c r="E112" s="241"/>
      <c r="G112" s="257">
        <f>IF(G$4="","",Data!C$22/Data!C15)</f>
        <v>0</v>
      </c>
      <c r="H112" s="257" t="str">
        <f>IF(H$4="","",Data!D$22/Data!D15)</f>
        <v/>
      </c>
      <c r="I112" s="257" t="str">
        <f>IF(I$4="","",Data!E$22/Data!E15)</f>
        <v/>
      </c>
      <c r="J112" s="257" t="str">
        <f>IF(J$4="","",Data!F$22/Data!F15)</f>
        <v/>
      </c>
      <c r="K112" s="257" t="str">
        <f>IF(K$4="","",Data!G$22/Data!G15)</f>
        <v/>
      </c>
      <c r="L112" s="257" t="str">
        <f>IF(L$4="","",Data!H$22/Data!H15)</f>
        <v/>
      </c>
      <c r="M112" s="257" t="str">
        <f>IF(M$4="","",Data!I$22/Data!I15)</f>
        <v/>
      </c>
      <c r="N112" s="257" t="str">
        <f>IF(N$4="","",Data!J$22/Data!J15)</f>
        <v/>
      </c>
      <c r="O112" s="257" t="str">
        <f>IF(O$4="","",Data!K$22/Data!K15)</f>
        <v/>
      </c>
      <c r="P112" s="257" t="str">
        <f>IF(P$4="","",Data!L$22/Data!L15)</f>
        <v/>
      </c>
      <c r="Q112" s="257" t="str">
        <f>IF(Q$4="","",Data!M$22/Data!M15)</f>
        <v/>
      </c>
    </row>
    <row r="113" spans="1:17" ht="15.75" customHeight="1">
      <c r="A113" s="10"/>
      <c r="B113" s="2" t="s">
        <v>306</v>
      </c>
      <c r="C113" s="151"/>
      <c r="E113" s="241"/>
      <c r="G113" s="257">
        <f>IF(G$4="","",Data!C$22/G19)</f>
        <v>0</v>
      </c>
      <c r="H113" s="257" t="str">
        <f>IF(H$4="","",Data!D$22/H19)</f>
        <v/>
      </c>
      <c r="I113" s="257" t="str">
        <f>IF(I$4="","",Data!E$22/I19)</f>
        <v/>
      </c>
      <c r="J113" s="257" t="str">
        <f>IF(J$4="","",Data!F$22/J19)</f>
        <v/>
      </c>
      <c r="K113" s="257" t="str">
        <f>IF(K$4="","",Data!G$22/K19)</f>
        <v/>
      </c>
      <c r="L113" s="257" t="str">
        <f>IF(L$4="","",Data!H$22/L19)</f>
        <v/>
      </c>
      <c r="M113" s="257" t="str">
        <f>IF(M$4="","",Data!I$22/M19)</f>
        <v/>
      </c>
      <c r="N113" s="257" t="str">
        <f>IF(N$4="","",Data!J$22/N19)</f>
        <v/>
      </c>
      <c r="O113" s="257" t="str">
        <f>IF(O$4="","",Data!K$22/O19)</f>
        <v/>
      </c>
      <c r="P113" s="257" t="str">
        <f>IF(P$4="","",Data!L$22/P19)</f>
        <v/>
      </c>
      <c r="Q113" s="257" t="str">
        <f>IF(Q$4="","",Data!M$22/Q19)</f>
        <v/>
      </c>
    </row>
    <row r="114" spans="1:17" ht="15.75" customHeight="1">
      <c r="A114" s="10"/>
      <c r="E114" s="241"/>
    </row>
    <row r="115" spans="1:17" ht="15.75" customHeight="1">
      <c r="A115" s="10"/>
      <c r="B115" s="88" t="s">
        <v>36</v>
      </c>
      <c r="C115" s="52"/>
      <c r="D115" s="52"/>
      <c r="E115" s="244"/>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0.42072465199663206</v>
      </c>
      <c r="E116" s="241"/>
      <c r="G116" s="22">
        <f t="shared" ref="G116:Q116" si="44">IF(G4="","",G77)</f>
        <v>737.89713579422664</v>
      </c>
      <c r="H116" s="22" t="str">
        <f t="shared" si="44"/>
        <v/>
      </c>
      <c r="I116" s="22" t="str">
        <f t="shared" si="44"/>
        <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80</v>
      </c>
      <c r="C117" s="40">
        <f>C4/C100</f>
        <v>727119.39999999991</v>
      </c>
      <c r="E117" s="241"/>
      <c r="G117" s="40">
        <f t="shared" ref="G117:Q117" si="45">IF(G4="","",G4/G100)</f>
        <v>1038742</v>
      </c>
      <c r="H117" s="40" t="str">
        <f t="shared" si="45"/>
        <v/>
      </c>
      <c r="I117" s="40" t="str">
        <f t="shared" si="45"/>
        <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88</v>
      </c>
      <c r="C118" s="15" t="e">
        <f>C100/C104</f>
        <v>#DIV/0!</v>
      </c>
      <c r="D118" s="11"/>
      <c r="E118" s="245"/>
      <c r="F118" s="11"/>
      <c r="G118" s="15" t="e">
        <f t="shared" ref="G118:Q118" si="46">IF(G$4="","",G100/G104)</f>
        <v>#DIV/0!</v>
      </c>
      <c r="H118" s="15" t="str">
        <f t="shared" si="46"/>
        <v/>
      </c>
      <c r="I118" s="15" t="str">
        <f t="shared" si="46"/>
        <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191</v>
      </c>
      <c r="C119" s="99" t="e">
        <f>C11/C104</f>
        <v>#DIV/0!</v>
      </c>
      <c r="D119" s="100"/>
      <c r="E119" s="244"/>
      <c r="F119" s="100"/>
      <c r="G119" s="99" t="e">
        <f t="shared" ref="G119:Q119" si="47">IF(G$4="","",G11/G104)</f>
        <v>#DIV/0!</v>
      </c>
      <c r="H119" s="99" t="str">
        <f t="shared" si="47"/>
        <v/>
      </c>
      <c r="I119" s="99" t="str">
        <f t="shared" si="47"/>
        <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8"/>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0.21560510100511202</v>
      </c>
      <c r="D123" s="26"/>
      <c r="E123" s="238"/>
      <c r="F123" s="26"/>
      <c r="G123" s="159">
        <f t="shared" ref="G123:Q123" si="48">IF(G$4="","",G14*$C$3/Common_Shares*Exchange_Rate)</f>
        <v>720.06825619994777</v>
      </c>
      <c r="H123" s="159" t="str">
        <f t="shared" si="48"/>
        <v/>
      </c>
      <c r="I123" s="159" t="str">
        <f t="shared" si="48"/>
        <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226</v>
      </c>
      <c r="C124" s="74">
        <f>C19*Exchange_Rate*$C$3/(Market_Price*Common_Shares)</f>
        <v>7.5650912633372633E-2</v>
      </c>
      <c r="D124" s="26"/>
      <c r="E124" s="238"/>
      <c r="F124" s="26"/>
      <c r="G124" s="74">
        <f t="shared" ref="G124" si="49">IF(G$4="","",G123/Market_Price)</f>
        <v>252.65552849120974</v>
      </c>
      <c r="H124" s="74" t="str">
        <f t="shared" ref="H124" si="50">IF(H$4="","",H123/Market_Price)</f>
        <v/>
      </c>
      <c r="I124" s="74" t="str">
        <f t="shared" ref="I124" si="51">IF(I$4="","",I123/Market_Price)</f>
        <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308</v>
      </c>
      <c r="C125" s="151"/>
      <c r="G125" s="22">
        <f>IF(G$4="","",(Data!C47*$C$3)/(Market_Price*Common_Shares))</f>
        <v>7.5220399173817815E-2</v>
      </c>
      <c r="H125" s="22" t="str">
        <f>IF(H$4="","",(Data!D47*$C$3)/(Market_Price*Common_Shares))</f>
        <v/>
      </c>
      <c r="I125" s="22" t="str">
        <f>IF(I$4="","",(Data!E47*$C$3)/(Market_Price*Common_Shares))</f>
        <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0"/>
  <sheetViews>
    <sheetView showGridLines="0" topLeftCell="A46" zoomScaleNormal="100" workbookViewId="0">
      <selection activeCell="C72" sqref="C7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430</v>
      </c>
      <c r="H3" s="106" t="s">
        <v>419</v>
      </c>
    </row>
    <row r="4" spans="2:15">
      <c r="B4" s="97" t="s">
        <v>395</v>
      </c>
      <c r="C4" s="282">
        <f>Normalized_FCF!C19</f>
        <v>458875.58478749974</v>
      </c>
      <c r="D4" t="str">
        <f>Reporting_currency</f>
        <v>CNY</v>
      </c>
      <c r="E4" s="135" t="s">
        <v>437</v>
      </c>
      <c r="F4" s="282">
        <f>-BS!G31</f>
        <v>0</v>
      </c>
      <c r="G4" t="str">
        <f>Reporting_currency</f>
        <v>CNY</v>
      </c>
      <c r="H4" s="315" t="s">
        <v>396</v>
      </c>
      <c r="I4" s="312">
        <f>Normalized_FCF!C4</f>
        <v>1454238.7999999998</v>
      </c>
      <c r="J4" s="312"/>
    </row>
    <row r="5" spans="2:15">
      <c r="B5" s="187" t="s">
        <v>105</v>
      </c>
      <c r="C5" s="188">
        <f>Equity_Cost</f>
        <v>7.4999999999999997E-2</v>
      </c>
      <c r="E5" s="135" t="s">
        <v>438</v>
      </c>
      <c r="F5" s="282">
        <f>BS!D66</f>
        <v>-70234.508333333331</v>
      </c>
      <c r="G5" t="str">
        <f>Reporting_currency</f>
        <v>CNY</v>
      </c>
      <c r="H5" s="315" t="s">
        <v>398</v>
      </c>
      <c r="I5" s="312">
        <f>Normalized_FCF!C7</f>
        <v>-486720</v>
      </c>
      <c r="J5" s="312"/>
    </row>
    <row r="6" spans="2:15" ht="13.25" customHeight="1">
      <c r="B6" s="136" t="s">
        <v>194</v>
      </c>
      <c r="C6" s="290">
        <f>(C4*(1+Terminal_Growth))/(Equity_Cost-Terminal_Growth)</f>
        <v>6118341.1304999972</v>
      </c>
      <c r="D6" t="str">
        <f>Reporting_currency</f>
        <v>CNY</v>
      </c>
      <c r="E6" s="187" t="s">
        <v>439</v>
      </c>
      <c r="F6" s="291">
        <f>BS!H42</f>
        <v>0</v>
      </c>
      <c r="G6" t="str">
        <f>Reporting_currency</f>
        <v>CNY</v>
      </c>
      <c r="H6" s="315" t="s">
        <v>421</v>
      </c>
      <c r="I6" s="312">
        <f>I7+I8</f>
        <v>421.41305</v>
      </c>
      <c r="J6" s="312"/>
      <c r="N6" s="135"/>
    </row>
    <row r="7" spans="2:15" ht="12.75" customHeight="1">
      <c r="B7" s="325" t="s">
        <v>436</v>
      </c>
      <c r="C7" s="282">
        <f>F7</f>
        <v>-70234.508333333331</v>
      </c>
      <c r="E7" s="140" t="s">
        <v>430</v>
      </c>
      <c r="F7" s="290">
        <f>SUM(F4:F6)</f>
        <v>-70234.508333333331</v>
      </c>
      <c r="G7" t="str">
        <f>Reporting_currency</f>
        <v>CNY</v>
      </c>
      <c r="H7" s="319" t="s">
        <v>422</v>
      </c>
      <c r="I7" s="320">
        <f>Normalized_FCF!C9</f>
        <v>0</v>
      </c>
      <c r="J7" s="320"/>
      <c r="N7" s="311"/>
      <c r="O7" s="311"/>
    </row>
    <row r="8" spans="2:15" ht="13.15">
      <c r="B8" s="136" t="s">
        <v>432</v>
      </c>
      <c r="C8" s="290">
        <f>C6+C7</f>
        <v>6048106.6221666634</v>
      </c>
      <c r="D8" t="str">
        <f>Reporting_currency</f>
        <v>CNY</v>
      </c>
      <c r="E8" s="140" t="s">
        <v>470</v>
      </c>
      <c r="F8" s="108">
        <f>FV_adjustments*scaling_factor/Common_Shares*Exchange_Rate</f>
        <v>-3.3000052226063045E-2</v>
      </c>
      <c r="G8" s="301" t="str">
        <f>Market_currency</f>
        <v>HKD</v>
      </c>
      <c r="H8" s="321" t="str">
        <f>Normalized_FCF!B10</f>
        <v>Net Interest Income</v>
      </c>
      <c r="I8" s="320">
        <f>Normalized_FCF!C10</f>
        <v>421.41305</v>
      </c>
      <c r="J8" s="320"/>
      <c r="N8" s="311"/>
      <c r="O8" s="311"/>
    </row>
    <row r="9" spans="2:15" ht="13.15" thickBot="1">
      <c r="B9" s="189" t="str">
        <f>"*"&amp;Thesis!E15</f>
        <v>*CNY/HKD</v>
      </c>
      <c r="C9" s="190">
        <f>Exchange_Rate</f>
        <v>1.0900000000000001</v>
      </c>
      <c r="D9" t="str">
        <f>Thesis!E15</f>
        <v>CNY/HKD</v>
      </c>
      <c r="F9" s="329"/>
      <c r="H9" s="315" t="str">
        <f>Normalized_FCF!B79</f>
        <v>NCI’s Share of Profits</v>
      </c>
      <c r="I9" s="144">
        <f>Normalized_FCF!C79</f>
        <v>0</v>
      </c>
      <c r="J9" s="313"/>
      <c r="N9" s="311"/>
      <c r="O9" s="311"/>
    </row>
    <row r="10" spans="2:15" ht="13.5" thickTop="1">
      <c r="B10" s="107" t="s">
        <v>433</v>
      </c>
      <c r="C10" s="290">
        <f>C8*Exchange_Rate</f>
        <v>6592436.218161664</v>
      </c>
      <c r="D10" t="str">
        <f>Market_currency</f>
        <v>HKD</v>
      </c>
      <c r="H10" s="315" t="s">
        <v>400</v>
      </c>
      <c r="I10" s="313">
        <f>Normalized_FCF!C41</f>
        <v>0.25</v>
      </c>
      <c r="N10" s="311"/>
      <c r="O10" s="311"/>
    </row>
    <row r="11" spans="2:15" ht="13.15">
      <c r="B11" s="136" t="s">
        <v>431</v>
      </c>
      <c r="C11" s="108">
        <f>(C10*scaling_factor)/Common_Shares</f>
        <v>2.8417346278420972</v>
      </c>
      <c r="D11" t="str">
        <f>Market_currency</f>
        <v>HKD</v>
      </c>
      <c r="E11" s="314"/>
      <c r="I11" s="314"/>
      <c r="J11" s="314"/>
    </row>
    <row r="13" spans="2:15" ht="13.9">
      <c r="B13" s="34" t="s">
        <v>434</v>
      </c>
      <c r="C13" s="35"/>
      <c r="D13" s="35"/>
      <c r="E13" s="35"/>
      <c r="F13" s="35"/>
      <c r="G13" s="35"/>
      <c r="H13" s="35"/>
      <c r="I13" s="35"/>
      <c r="J13" s="35"/>
      <c r="K13" s="35"/>
      <c r="L13" s="35"/>
    </row>
    <row r="14" spans="2:15" ht="13.15">
      <c r="B14" s="106" t="s">
        <v>402</v>
      </c>
      <c r="C14" s="316" t="s">
        <v>410</v>
      </c>
      <c r="E14" s="106" t="s">
        <v>402</v>
      </c>
      <c r="F14" s="316" t="str">
        <f>IF(F17=C17,"I","II")</f>
        <v>I</v>
      </c>
      <c r="H14" s="106" t="s">
        <v>418</v>
      </c>
    </row>
    <row r="15" spans="2:15">
      <c r="B15" s="139" t="s">
        <v>427</v>
      </c>
      <c r="C15" s="148">
        <f>Scenarios!C45</f>
        <v>5</v>
      </c>
      <c r="E15" s="315" t="str">
        <f>IF(F14="II","Change year","Terminal Year")</f>
        <v>Terminal Year</v>
      </c>
      <c r="F15" s="317">
        <f>IF(F14="II",_xlfn.CEILING.MATH(C15/2),C15+1)</f>
        <v>6</v>
      </c>
      <c r="H15" s="97" t="s">
        <v>435</v>
      </c>
      <c r="I15" s="126">
        <f>Terminal_Growth</f>
        <v>0</v>
      </c>
      <c r="J15" s="126"/>
    </row>
    <row r="16" spans="2:15" ht="13.25" customHeight="1">
      <c r="B16" s="114" t="s">
        <v>428</v>
      </c>
      <c r="C16" s="147">
        <f>Scenarios!C46</f>
        <v>1.8613012126595961E-2</v>
      </c>
      <c r="E16" s="315" t="s">
        <v>403</v>
      </c>
      <c r="F16" s="318">
        <f>Scenarios!C41</f>
        <v>1.8613012126595961E-2</v>
      </c>
    </row>
    <row r="17" spans="1:21" ht="13.25" customHeight="1">
      <c r="B17" s="315" t="s">
        <v>397</v>
      </c>
      <c r="C17" s="313">
        <f>Normalized_FCF!C32</f>
        <v>0.24487456943110034</v>
      </c>
      <c r="E17" s="315" t="s">
        <v>404</v>
      </c>
      <c r="F17" s="318">
        <f>Scenarios!C40</f>
        <v>0.24487456943110034</v>
      </c>
      <c r="H17" s="106" t="s">
        <v>417</v>
      </c>
    </row>
    <row r="18" spans="1:21" ht="13.25" customHeight="1">
      <c r="B18" s="315" t="s">
        <v>429</v>
      </c>
      <c r="C18" s="313">
        <f>Normalized_FCF!C81-Normalized_FCF!C82</f>
        <v>0</v>
      </c>
      <c r="E18" s="315" t="s">
        <v>429</v>
      </c>
      <c r="F18" s="144">
        <f>IF(F14="II",C18/2,C18)</f>
        <v>0</v>
      </c>
      <c r="H18" s="140" t="s">
        <v>97</v>
      </c>
      <c r="I18" s="129">
        <f>(L52+FV_adjustments)*Exchange_Rate/Common_Shares*scaling_factor</f>
        <v>3.0824737328900413</v>
      </c>
      <c r="J18" t="str">
        <f>Market_currency</f>
        <v>HKD</v>
      </c>
    </row>
    <row r="19" spans="1:21">
      <c r="L19" s="282"/>
    </row>
    <row r="20" spans="1:21" ht="13.15">
      <c r="A20" s="121" t="s">
        <v>402</v>
      </c>
      <c r="B20" s="121" t="s">
        <v>98</v>
      </c>
      <c r="C20" s="121" t="s">
        <v>396</v>
      </c>
      <c r="D20" s="121" t="s">
        <v>102</v>
      </c>
      <c r="E20" s="121" t="s">
        <v>397</v>
      </c>
      <c r="F20" s="121" t="s">
        <v>398</v>
      </c>
      <c r="G20" s="121" t="s">
        <v>552</v>
      </c>
      <c r="H20" s="121" t="str">
        <f>B18</f>
        <v>D&amp;A - maint. Capx</v>
      </c>
      <c r="I20" s="121" t="s">
        <v>424</v>
      </c>
      <c r="J20" s="121" t="s">
        <v>536</v>
      </c>
      <c r="K20" s="121" t="s">
        <v>537</v>
      </c>
      <c r="L20" s="122" t="s">
        <v>425</v>
      </c>
    </row>
    <row r="21" spans="1:21">
      <c r="A21" s="309" t="str">
        <f t="shared" ref="A21:A50" si="0">IF($C$15&lt;B21,"",IF(B21&gt;=$F$15,"II","I"))</f>
        <v>I</v>
      </c>
      <c r="B21" s="117">
        <v>1</v>
      </c>
      <c r="C21" s="284">
        <f>I4*(1+D21)</f>
        <v>1481306.5644193662</v>
      </c>
      <c r="D21" s="306">
        <f t="shared" ref="D21:D50" si="1">IF(A21="",0,IF(A21="I",$C$16,$F$16))</f>
        <v>1.8613012126595961E-2</v>
      </c>
      <c r="E21" s="306">
        <f>$C$17</f>
        <v>0.24487456943110034</v>
      </c>
      <c r="F21" s="284">
        <f>I5*(1+D21)</f>
        <v>-495779.32526225678</v>
      </c>
      <c r="G21" s="284">
        <f>C21*(1-E21)+F21+$I$6</f>
        <v>623214.3450494546</v>
      </c>
      <c r="H21" s="306">
        <f t="shared" ref="H21:H50" si="2">IF(A21="",0%,IF(A21="I",$C$18,$F$18))</f>
        <v>0</v>
      </c>
      <c r="I21" s="284">
        <f>(G21*(1-$I$10)+C21*(H21-$I$9))</f>
        <v>467410.75878709095</v>
      </c>
      <c r="J21" s="306">
        <f>I21/C4-1</f>
        <v>1.8600192040166608E-2</v>
      </c>
      <c r="K21" s="119">
        <f t="shared" ref="K21:K50" si="3">IF($C$15&lt;B21,0,1/(1+Equity_Cost)^B21)</f>
        <v>0.93023255813953487</v>
      </c>
      <c r="L21" s="284">
        <f t="shared" ref="L21:L50" si="4">I21*K21</f>
        <v>434800.70584845671</v>
      </c>
    </row>
    <row r="22" spans="1:21">
      <c r="A22" s="309" t="str">
        <f t="shared" si="0"/>
        <v>I</v>
      </c>
      <c r="B22" s="117">
        <v>2</v>
      </c>
      <c r="C22" s="284">
        <f t="shared" ref="C22:C50" si="5">IF(A22="",0,C21*(1+D22))</f>
        <v>1508878.14146611</v>
      </c>
      <c r="D22" s="306">
        <f t="shared" si="1"/>
        <v>1.8613012126595961E-2</v>
      </c>
      <c r="E22" s="306">
        <f t="shared" ref="E22:E50" si="6">IF($C$15&lt;B22,0,IF(B22&gt;=$F$15,$F$17,$C$17))</f>
        <v>0.24487456943110034</v>
      </c>
      <c r="F22" s="284">
        <f t="shared" ref="F22:F50" si="7">IF(A22="",0,F21*(1+D22))</f>
        <v>-505007.2718554787</v>
      </c>
      <c r="G22" s="284">
        <f t="shared" ref="G22:G50" si="8">IF(A22="", 0,C22*(1-E22)+F22+$I$6)</f>
        <v>634806.39744511887</v>
      </c>
      <c r="H22" s="306">
        <f t="shared" si="2"/>
        <v>0</v>
      </c>
      <c r="I22" s="284">
        <f>IF(A22="", 0,G22*(1-$I$10)+C22*(H22-$I$9))</f>
        <v>476104.79808383912</v>
      </c>
      <c r="J22" s="306">
        <f>IF(A22="", 0,I22/I21-1)</f>
        <v>1.8600426141898829E-2</v>
      </c>
      <c r="K22" s="119">
        <f t="shared" si="3"/>
        <v>0.86533261222282321</v>
      </c>
      <c r="L22" s="284">
        <f t="shared" si="4"/>
        <v>411989.00861770828</v>
      </c>
    </row>
    <row r="23" spans="1:21">
      <c r="A23" s="309" t="str">
        <f t="shared" si="0"/>
        <v>I</v>
      </c>
      <c r="B23" s="117">
        <v>3</v>
      </c>
      <c r="C23" s="284">
        <f t="shared" si="5"/>
        <v>1536962.9086107742</v>
      </c>
      <c r="D23" s="306">
        <f t="shared" si="1"/>
        <v>1.8613012126595961E-2</v>
      </c>
      <c r="E23" s="306">
        <f t="shared" si="6"/>
        <v>0.24487456943110034</v>
      </c>
      <c r="F23" s="284">
        <f t="shared" si="7"/>
        <v>-514406.97833054385</v>
      </c>
      <c r="G23" s="284">
        <f t="shared" si="8"/>
        <v>646614.21285259537</v>
      </c>
      <c r="H23" s="306">
        <f t="shared" si="2"/>
        <v>0</v>
      </c>
      <c r="I23" s="284">
        <f t="shared" ref="I23:I50" si="9">IF(A23="", 0,G23*(1-$I$10)+C23*(H23-$I$9))</f>
        <v>484960.65963944653</v>
      </c>
      <c r="J23" s="306">
        <f t="shared" ref="J23:J50" si="10">IF(A23="", 0,I23/I22-1)</f>
        <v>1.8600655971645841E-2</v>
      </c>
      <c r="K23" s="119">
        <f t="shared" si="3"/>
        <v>0.80496056950960304</v>
      </c>
      <c r="L23" s="284">
        <f t="shared" si="4"/>
        <v>390374.20877312165</v>
      </c>
      <c r="N23" s="282"/>
      <c r="O23" s="282"/>
      <c r="P23" s="282"/>
      <c r="Q23" s="282"/>
      <c r="R23" s="282"/>
      <c r="S23" s="282"/>
      <c r="T23" s="282"/>
      <c r="U23" s="282"/>
    </row>
    <row r="24" spans="1:21">
      <c r="A24" s="309" t="str">
        <f t="shared" si="0"/>
        <v>I</v>
      </c>
      <c r="B24" s="117">
        <v>4</v>
      </c>
      <c r="C24" s="284">
        <f t="shared" si="5"/>
        <v>1565570.4178668747</v>
      </c>
      <c r="D24" s="306">
        <f t="shared" si="1"/>
        <v>1.8613012126595961E-2</v>
      </c>
      <c r="E24" s="306">
        <f t="shared" si="6"/>
        <v>0.24487456943110034</v>
      </c>
      <c r="F24" s="284">
        <f t="shared" si="7"/>
        <v>-523981.64165621583</v>
      </c>
      <c r="G24" s="284">
        <f t="shared" si="8"/>
        <v>658641.80727144016</v>
      </c>
      <c r="H24" s="306">
        <f t="shared" si="2"/>
        <v>0</v>
      </c>
      <c r="I24" s="284">
        <f t="shared" si="9"/>
        <v>493981.35545358015</v>
      </c>
      <c r="J24" s="306">
        <f t="shared" si="10"/>
        <v>1.8600881607263142E-2</v>
      </c>
      <c r="K24" s="119">
        <f t="shared" si="3"/>
        <v>0.7488005297763749</v>
      </c>
      <c r="L24" s="284">
        <f t="shared" si="4"/>
        <v>369893.50066329259</v>
      </c>
      <c r="N24" s="282"/>
      <c r="O24" s="282"/>
      <c r="P24" s="282"/>
      <c r="Q24" s="282"/>
      <c r="R24" s="282"/>
      <c r="S24" s="282"/>
      <c r="T24" s="282"/>
      <c r="U24" s="282"/>
    </row>
    <row r="25" spans="1:21">
      <c r="A25" s="309" t="str">
        <f t="shared" si="0"/>
        <v>I</v>
      </c>
      <c r="B25" s="117">
        <v>5</v>
      </c>
      <c r="C25" s="284">
        <f t="shared" si="5"/>
        <v>1594710.3990396708</v>
      </c>
      <c r="D25" s="306">
        <f t="shared" si="1"/>
        <v>1.8613012126595961E-2</v>
      </c>
      <c r="E25" s="306">
        <f t="shared" si="6"/>
        <v>0.24487456943110034</v>
      </c>
      <c r="F25" s="284">
        <f t="shared" si="7"/>
        <v>-533734.51830647665</v>
      </c>
      <c r="G25" s="284">
        <f t="shared" si="8"/>
        <v>670893.2714510567</v>
      </c>
      <c r="H25" s="306">
        <f t="shared" si="2"/>
        <v>0</v>
      </c>
      <c r="I25" s="284">
        <f t="shared" si="9"/>
        <v>503169.95358829253</v>
      </c>
      <c r="J25" s="306">
        <f t="shared" si="10"/>
        <v>1.8601103125188256E-2</v>
      </c>
      <c r="K25" s="119">
        <f t="shared" si="3"/>
        <v>0.69655863235011617</v>
      </c>
      <c r="L25" s="284">
        <f t="shared" si="4"/>
        <v>350487.37471113249</v>
      </c>
      <c r="N25" s="282"/>
      <c r="O25" s="282"/>
      <c r="P25" s="282"/>
      <c r="Q25" s="282"/>
      <c r="R25" s="282"/>
      <c r="S25" s="282"/>
      <c r="T25" s="282"/>
      <c r="U25" s="282"/>
    </row>
    <row r="26" spans="1:21">
      <c r="A26" s="309" t="str">
        <f t="shared" si="0"/>
        <v/>
      </c>
      <c r="B26" s="117">
        <v>6</v>
      </c>
      <c r="C26" s="284">
        <f t="shared" si="5"/>
        <v>0</v>
      </c>
      <c r="D26" s="306">
        <f t="shared" si="1"/>
        <v>0</v>
      </c>
      <c r="E26" s="306">
        <f t="shared" si="6"/>
        <v>0</v>
      </c>
      <c r="F26" s="284">
        <f t="shared" si="7"/>
        <v>0</v>
      </c>
      <c r="G26" s="284">
        <f t="shared" si="8"/>
        <v>0</v>
      </c>
      <c r="H26" s="306">
        <f t="shared" si="2"/>
        <v>0</v>
      </c>
      <c r="I26" s="284">
        <f t="shared" si="9"/>
        <v>0</v>
      </c>
      <c r="J26" s="306">
        <f t="shared" si="10"/>
        <v>0</v>
      </c>
      <c r="K26" s="119">
        <f t="shared" si="3"/>
        <v>0</v>
      </c>
      <c r="L26" s="284">
        <f t="shared" si="4"/>
        <v>0</v>
      </c>
    </row>
    <row r="27" spans="1:21">
      <c r="A27" s="309" t="str">
        <f t="shared" si="0"/>
        <v/>
      </c>
      <c r="B27" s="117">
        <v>7</v>
      </c>
      <c r="C27" s="284">
        <f t="shared" si="5"/>
        <v>0</v>
      </c>
      <c r="D27" s="306">
        <f t="shared" si="1"/>
        <v>0</v>
      </c>
      <c r="E27" s="306">
        <f t="shared" si="6"/>
        <v>0</v>
      </c>
      <c r="F27" s="284">
        <f t="shared" si="7"/>
        <v>0</v>
      </c>
      <c r="G27" s="284">
        <f t="shared" si="8"/>
        <v>0</v>
      </c>
      <c r="H27" s="306">
        <f t="shared" si="2"/>
        <v>0</v>
      </c>
      <c r="I27" s="284">
        <f t="shared" si="9"/>
        <v>0</v>
      </c>
      <c r="J27" s="306">
        <f t="shared" si="10"/>
        <v>0</v>
      </c>
      <c r="K27" s="119">
        <f t="shared" si="3"/>
        <v>0</v>
      </c>
      <c r="L27" s="284">
        <f t="shared" si="4"/>
        <v>0</v>
      </c>
    </row>
    <row r="28" spans="1:21">
      <c r="A28" s="309" t="str">
        <f t="shared" si="0"/>
        <v/>
      </c>
      <c r="B28" s="117">
        <v>8</v>
      </c>
      <c r="C28" s="284">
        <f t="shared" si="5"/>
        <v>0</v>
      </c>
      <c r="D28" s="306">
        <f t="shared" si="1"/>
        <v>0</v>
      </c>
      <c r="E28" s="306">
        <f t="shared" si="6"/>
        <v>0</v>
      </c>
      <c r="F28" s="284">
        <f t="shared" si="7"/>
        <v>0</v>
      </c>
      <c r="G28" s="284">
        <f t="shared" si="8"/>
        <v>0</v>
      </c>
      <c r="H28" s="306">
        <f t="shared" si="2"/>
        <v>0</v>
      </c>
      <c r="I28" s="284">
        <f t="shared" si="9"/>
        <v>0</v>
      </c>
      <c r="J28" s="306">
        <f t="shared" si="10"/>
        <v>0</v>
      </c>
      <c r="K28" s="119">
        <f t="shared" si="3"/>
        <v>0</v>
      </c>
      <c r="L28" s="284">
        <f t="shared" si="4"/>
        <v>0</v>
      </c>
    </row>
    <row r="29" spans="1:21">
      <c r="A29" s="309" t="str">
        <f t="shared" si="0"/>
        <v/>
      </c>
      <c r="B29" s="117">
        <v>9</v>
      </c>
      <c r="C29" s="284">
        <f t="shared" si="5"/>
        <v>0</v>
      </c>
      <c r="D29" s="306">
        <f t="shared" si="1"/>
        <v>0</v>
      </c>
      <c r="E29" s="306">
        <f t="shared" si="6"/>
        <v>0</v>
      </c>
      <c r="F29" s="284">
        <f t="shared" si="7"/>
        <v>0</v>
      </c>
      <c r="G29" s="284">
        <f t="shared" si="8"/>
        <v>0</v>
      </c>
      <c r="H29" s="306">
        <f t="shared" si="2"/>
        <v>0</v>
      </c>
      <c r="I29" s="284">
        <f t="shared" si="9"/>
        <v>0</v>
      </c>
      <c r="J29" s="306">
        <f t="shared" si="10"/>
        <v>0</v>
      </c>
      <c r="K29" s="119">
        <f t="shared" si="3"/>
        <v>0</v>
      </c>
      <c r="L29" s="284">
        <f t="shared" si="4"/>
        <v>0</v>
      </c>
    </row>
    <row r="30" spans="1:21">
      <c r="A30" s="309" t="str">
        <f t="shared" si="0"/>
        <v/>
      </c>
      <c r="B30" s="117">
        <v>10</v>
      </c>
      <c r="C30" s="284">
        <f t="shared" si="5"/>
        <v>0</v>
      </c>
      <c r="D30" s="306">
        <f t="shared" si="1"/>
        <v>0</v>
      </c>
      <c r="E30" s="306">
        <f t="shared" si="6"/>
        <v>0</v>
      </c>
      <c r="F30" s="284">
        <f t="shared" si="7"/>
        <v>0</v>
      </c>
      <c r="G30" s="284">
        <f t="shared" si="8"/>
        <v>0</v>
      </c>
      <c r="H30" s="306">
        <f t="shared" si="2"/>
        <v>0</v>
      </c>
      <c r="I30" s="284">
        <f t="shared" si="9"/>
        <v>0</v>
      </c>
      <c r="J30" s="306">
        <f t="shared" si="10"/>
        <v>0</v>
      </c>
      <c r="K30" s="119">
        <f t="shared" si="3"/>
        <v>0</v>
      </c>
      <c r="L30" s="284">
        <f t="shared" si="4"/>
        <v>0</v>
      </c>
    </row>
    <row r="31" spans="1:21">
      <c r="A31" s="309" t="str">
        <f t="shared" si="0"/>
        <v/>
      </c>
      <c r="B31" s="117">
        <v>11</v>
      </c>
      <c r="C31" s="284">
        <f t="shared" si="5"/>
        <v>0</v>
      </c>
      <c r="D31" s="306">
        <f t="shared" si="1"/>
        <v>0</v>
      </c>
      <c r="E31" s="306">
        <f t="shared" si="6"/>
        <v>0</v>
      </c>
      <c r="F31" s="284">
        <f t="shared" si="7"/>
        <v>0</v>
      </c>
      <c r="G31" s="284">
        <f t="shared" si="8"/>
        <v>0</v>
      </c>
      <c r="H31" s="306">
        <f t="shared" si="2"/>
        <v>0</v>
      </c>
      <c r="I31" s="284">
        <f t="shared" si="9"/>
        <v>0</v>
      </c>
      <c r="J31" s="306">
        <f t="shared" si="10"/>
        <v>0</v>
      </c>
      <c r="K31" s="119">
        <f t="shared" si="3"/>
        <v>0</v>
      </c>
      <c r="L31" s="284">
        <f t="shared" si="4"/>
        <v>0</v>
      </c>
    </row>
    <row r="32" spans="1:21">
      <c r="A32" s="309" t="str">
        <f t="shared" si="0"/>
        <v/>
      </c>
      <c r="B32" s="117">
        <v>12</v>
      </c>
      <c r="C32" s="284">
        <f t="shared" si="5"/>
        <v>0</v>
      </c>
      <c r="D32" s="306">
        <f t="shared" si="1"/>
        <v>0</v>
      </c>
      <c r="E32" s="306">
        <f t="shared" si="6"/>
        <v>0</v>
      </c>
      <c r="F32" s="284">
        <f t="shared" si="7"/>
        <v>0</v>
      </c>
      <c r="G32" s="284">
        <f t="shared" si="8"/>
        <v>0</v>
      </c>
      <c r="H32" s="306">
        <f t="shared" si="2"/>
        <v>0</v>
      </c>
      <c r="I32" s="284">
        <f t="shared" si="9"/>
        <v>0</v>
      </c>
      <c r="J32" s="306">
        <f t="shared" si="10"/>
        <v>0</v>
      </c>
      <c r="K32" s="119">
        <f t="shared" si="3"/>
        <v>0</v>
      </c>
      <c r="L32" s="284">
        <f t="shared" si="4"/>
        <v>0</v>
      </c>
    </row>
    <row r="33" spans="1:21">
      <c r="A33" s="309" t="str">
        <f t="shared" si="0"/>
        <v/>
      </c>
      <c r="B33" s="117">
        <v>13</v>
      </c>
      <c r="C33" s="284">
        <f t="shared" si="5"/>
        <v>0</v>
      </c>
      <c r="D33" s="306">
        <f t="shared" si="1"/>
        <v>0</v>
      </c>
      <c r="E33" s="306">
        <f t="shared" si="6"/>
        <v>0</v>
      </c>
      <c r="F33" s="284">
        <f t="shared" si="7"/>
        <v>0</v>
      </c>
      <c r="G33" s="284">
        <f t="shared" si="8"/>
        <v>0</v>
      </c>
      <c r="H33" s="306">
        <f t="shared" si="2"/>
        <v>0</v>
      </c>
      <c r="I33" s="284">
        <f t="shared" si="9"/>
        <v>0</v>
      </c>
      <c r="J33" s="306">
        <f t="shared" si="10"/>
        <v>0</v>
      </c>
      <c r="K33" s="119">
        <f t="shared" si="3"/>
        <v>0</v>
      </c>
      <c r="L33" s="284">
        <f t="shared" si="4"/>
        <v>0</v>
      </c>
      <c r="N33" s="282"/>
      <c r="O33" s="282"/>
      <c r="P33" s="282"/>
      <c r="Q33" s="282"/>
      <c r="R33" s="282"/>
      <c r="S33" s="282"/>
      <c r="T33" s="282"/>
      <c r="U33" s="282"/>
    </row>
    <row r="34" spans="1:21">
      <c r="A34" s="309" t="str">
        <f t="shared" si="0"/>
        <v/>
      </c>
      <c r="B34" s="117">
        <v>14</v>
      </c>
      <c r="C34" s="284">
        <f t="shared" si="5"/>
        <v>0</v>
      </c>
      <c r="D34" s="306">
        <f t="shared" si="1"/>
        <v>0</v>
      </c>
      <c r="E34" s="306">
        <f t="shared" si="6"/>
        <v>0</v>
      </c>
      <c r="F34" s="284">
        <f t="shared" si="7"/>
        <v>0</v>
      </c>
      <c r="G34" s="284">
        <f t="shared" si="8"/>
        <v>0</v>
      </c>
      <c r="H34" s="306">
        <f t="shared" si="2"/>
        <v>0</v>
      </c>
      <c r="I34" s="284">
        <f t="shared" si="9"/>
        <v>0</v>
      </c>
      <c r="J34" s="306">
        <f t="shared" si="10"/>
        <v>0</v>
      </c>
      <c r="K34" s="119">
        <f t="shared" si="3"/>
        <v>0</v>
      </c>
      <c r="L34" s="284">
        <f t="shared" si="4"/>
        <v>0</v>
      </c>
      <c r="N34" s="282"/>
      <c r="O34" s="282"/>
      <c r="P34" s="282"/>
      <c r="Q34" s="282"/>
      <c r="R34" s="282"/>
      <c r="S34" s="282"/>
      <c r="T34" s="282"/>
      <c r="U34" s="282"/>
    </row>
    <row r="35" spans="1:21">
      <c r="A35" s="309" t="str">
        <f t="shared" si="0"/>
        <v/>
      </c>
      <c r="B35" s="117">
        <v>15</v>
      </c>
      <c r="C35" s="284">
        <f t="shared" si="5"/>
        <v>0</v>
      </c>
      <c r="D35" s="306">
        <f t="shared" si="1"/>
        <v>0</v>
      </c>
      <c r="E35" s="306">
        <f t="shared" si="6"/>
        <v>0</v>
      </c>
      <c r="F35" s="284">
        <f t="shared" si="7"/>
        <v>0</v>
      </c>
      <c r="G35" s="284">
        <f t="shared" si="8"/>
        <v>0</v>
      </c>
      <c r="H35" s="306">
        <f t="shared" si="2"/>
        <v>0</v>
      </c>
      <c r="I35" s="284">
        <f t="shared" si="9"/>
        <v>0</v>
      </c>
      <c r="J35" s="306">
        <f t="shared" si="10"/>
        <v>0</v>
      </c>
      <c r="K35" s="119">
        <f t="shared" si="3"/>
        <v>0</v>
      </c>
      <c r="L35" s="284">
        <f t="shared" si="4"/>
        <v>0</v>
      </c>
      <c r="N35" s="282"/>
      <c r="O35" s="282"/>
      <c r="P35" s="282"/>
      <c r="Q35" s="282"/>
      <c r="R35" s="282"/>
      <c r="S35" s="282"/>
      <c r="T35" s="282"/>
      <c r="U35" s="282"/>
    </row>
    <row r="36" spans="1:21">
      <c r="A36" s="309" t="str">
        <f t="shared" si="0"/>
        <v/>
      </c>
      <c r="B36" s="117">
        <v>16</v>
      </c>
      <c r="C36" s="284">
        <f t="shared" si="5"/>
        <v>0</v>
      </c>
      <c r="D36" s="306">
        <f t="shared" si="1"/>
        <v>0</v>
      </c>
      <c r="E36" s="306">
        <f t="shared" si="6"/>
        <v>0</v>
      </c>
      <c r="F36" s="284">
        <f t="shared" si="7"/>
        <v>0</v>
      </c>
      <c r="G36" s="284">
        <f t="shared" si="8"/>
        <v>0</v>
      </c>
      <c r="H36" s="306">
        <f t="shared" si="2"/>
        <v>0</v>
      </c>
      <c r="I36" s="284">
        <f t="shared" si="9"/>
        <v>0</v>
      </c>
      <c r="J36" s="306">
        <f t="shared" si="10"/>
        <v>0</v>
      </c>
      <c r="K36" s="119">
        <f t="shared" si="3"/>
        <v>0</v>
      </c>
      <c r="L36" s="284">
        <f t="shared" si="4"/>
        <v>0</v>
      </c>
    </row>
    <row r="37" spans="1:21">
      <c r="A37" s="309" t="str">
        <f t="shared" si="0"/>
        <v/>
      </c>
      <c r="B37" s="117">
        <v>17</v>
      </c>
      <c r="C37" s="284">
        <f t="shared" si="5"/>
        <v>0</v>
      </c>
      <c r="D37" s="306">
        <f t="shared" si="1"/>
        <v>0</v>
      </c>
      <c r="E37" s="306">
        <f t="shared" si="6"/>
        <v>0</v>
      </c>
      <c r="F37" s="284">
        <f t="shared" si="7"/>
        <v>0</v>
      </c>
      <c r="G37" s="284">
        <f t="shared" si="8"/>
        <v>0</v>
      </c>
      <c r="H37" s="306">
        <f t="shared" si="2"/>
        <v>0</v>
      </c>
      <c r="I37" s="284">
        <f t="shared" si="9"/>
        <v>0</v>
      </c>
      <c r="J37" s="306">
        <f t="shared" si="10"/>
        <v>0</v>
      </c>
      <c r="K37" s="119">
        <f t="shared" si="3"/>
        <v>0</v>
      </c>
      <c r="L37" s="284">
        <f t="shared" si="4"/>
        <v>0</v>
      </c>
    </row>
    <row r="38" spans="1:21">
      <c r="A38" s="309" t="str">
        <f t="shared" si="0"/>
        <v/>
      </c>
      <c r="B38" s="117">
        <v>18</v>
      </c>
      <c r="C38" s="284">
        <f t="shared" si="5"/>
        <v>0</v>
      </c>
      <c r="D38" s="306">
        <f t="shared" si="1"/>
        <v>0</v>
      </c>
      <c r="E38" s="306">
        <f t="shared" si="6"/>
        <v>0</v>
      </c>
      <c r="F38" s="284">
        <f t="shared" si="7"/>
        <v>0</v>
      </c>
      <c r="G38" s="284">
        <f t="shared" si="8"/>
        <v>0</v>
      </c>
      <c r="H38" s="306">
        <f t="shared" si="2"/>
        <v>0</v>
      </c>
      <c r="I38" s="284">
        <f t="shared" si="9"/>
        <v>0</v>
      </c>
      <c r="J38" s="306">
        <f t="shared" si="10"/>
        <v>0</v>
      </c>
      <c r="K38" s="119">
        <f t="shared" si="3"/>
        <v>0</v>
      </c>
      <c r="L38" s="284">
        <f t="shared" si="4"/>
        <v>0</v>
      </c>
    </row>
    <row r="39" spans="1:21">
      <c r="A39" s="309" t="str">
        <f t="shared" si="0"/>
        <v/>
      </c>
      <c r="B39" s="117">
        <v>19</v>
      </c>
      <c r="C39" s="284">
        <f t="shared" si="5"/>
        <v>0</v>
      </c>
      <c r="D39" s="306">
        <f t="shared" si="1"/>
        <v>0</v>
      </c>
      <c r="E39" s="306">
        <f t="shared" si="6"/>
        <v>0</v>
      </c>
      <c r="F39" s="284">
        <f t="shared" si="7"/>
        <v>0</v>
      </c>
      <c r="G39" s="284">
        <f t="shared" si="8"/>
        <v>0</v>
      </c>
      <c r="H39" s="306">
        <f t="shared" si="2"/>
        <v>0</v>
      </c>
      <c r="I39" s="284">
        <f t="shared" si="9"/>
        <v>0</v>
      </c>
      <c r="J39" s="306">
        <f t="shared" si="10"/>
        <v>0</v>
      </c>
      <c r="K39" s="119">
        <f t="shared" si="3"/>
        <v>0</v>
      </c>
      <c r="L39" s="284">
        <f t="shared" si="4"/>
        <v>0</v>
      </c>
    </row>
    <row r="40" spans="1:21">
      <c r="A40" s="309" t="str">
        <f t="shared" si="0"/>
        <v/>
      </c>
      <c r="B40" s="117">
        <v>20</v>
      </c>
      <c r="C40" s="284">
        <f t="shared" si="5"/>
        <v>0</v>
      </c>
      <c r="D40" s="306">
        <f t="shared" si="1"/>
        <v>0</v>
      </c>
      <c r="E40" s="306">
        <f t="shared" si="6"/>
        <v>0</v>
      </c>
      <c r="F40" s="284">
        <f t="shared" si="7"/>
        <v>0</v>
      </c>
      <c r="G40" s="284">
        <f t="shared" si="8"/>
        <v>0</v>
      </c>
      <c r="H40" s="306">
        <f t="shared" si="2"/>
        <v>0</v>
      </c>
      <c r="I40" s="284">
        <f t="shared" si="9"/>
        <v>0</v>
      </c>
      <c r="J40" s="306">
        <f t="shared" si="10"/>
        <v>0</v>
      </c>
      <c r="K40" s="119">
        <f t="shared" si="3"/>
        <v>0</v>
      </c>
      <c r="L40" s="284">
        <f t="shared" si="4"/>
        <v>0</v>
      </c>
    </row>
    <row r="41" spans="1:21">
      <c r="A41" s="309" t="str">
        <f t="shared" si="0"/>
        <v/>
      </c>
      <c r="B41" s="117">
        <v>21</v>
      </c>
      <c r="C41" s="284">
        <f t="shared" si="5"/>
        <v>0</v>
      </c>
      <c r="D41" s="306">
        <f t="shared" si="1"/>
        <v>0</v>
      </c>
      <c r="E41" s="306">
        <f t="shared" si="6"/>
        <v>0</v>
      </c>
      <c r="F41" s="284">
        <f t="shared" si="7"/>
        <v>0</v>
      </c>
      <c r="G41" s="284">
        <f t="shared" si="8"/>
        <v>0</v>
      </c>
      <c r="H41" s="306">
        <f t="shared" si="2"/>
        <v>0</v>
      </c>
      <c r="I41" s="284">
        <f t="shared" si="9"/>
        <v>0</v>
      </c>
      <c r="J41" s="306">
        <f t="shared" si="10"/>
        <v>0</v>
      </c>
      <c r="K41" s="119">
        <f t="shared" si="3"/>
        <v>0</v>
      </c>
      <c r="L41" s="284">
        <f t="shared" si="4"/>
        <v>0</v>
      </c>
    </row>
    <row r="42" spans="1:21">
      <c r="A42" s="309" t="str">
        <f t="shared" si="0"/>
        <v/>
      </c>
      <c r="B42" s="117">
        <v>22</v>
      </c>
      <c r="C42" s="284">
        <f t="shared" si="5"/>
        <v>0</v>
      </c>
      <c r="D42" s="306">
        <f t="shared" si="1"/>
        <v>0</v>
      </c>
      <c r="E42" s="306">
        <f t="shared" si="6"/>
        <v>0</v>
      </c>
      <c r="F42" s="284">
        <f t="shared" si="7"/>
        <v>0</v>
      </c>
      <c r="G42" s="284">
        <f t="shared" si="8"/>
        <v>0</v>
      </c>
      <c r="H42" s="306">
        <f t="shared" si="2"/>
        <v>0</v>
      </c>
      <c r="I42" s="284">
        <f t="shared" si="9"/>
        <v>0</v>
      </c>
      <c r="J42" s="306">
        <f t="shared" si="10"/>
        <v>0</v>
      </c>
      <c r="K42" s="119">
        <f t="shared" si="3"/>
        <v>0</v>
      </c>
      <c r="L42" s="284">
        <f t="shared" si="4"/>
        <v>0</v>
      </c>
    </row>
    <row r="43" spans="1:21">
      <c r="A43" s="309" t="str">
        <f t="shared" si="0"/>
        <v/>
      </c>
      <c r="B43" s="117">
        <v>23</v>
      </c>
      <c r="C43" s="284">
        <f t="shared" si="5"/>
        <v>0</v>
      </c>
      <c r="D43" s="306">
        <f t="shared" si="1"/>
        <v>0</v>
      </c>
      <c r="E43" s="306">
        <f t="shared" si="6"/>
        <v>0</v>
      </c>
      <c r="F43" s="284">
        <f t="shared" si="7"/>
        <v>0</v>
      </c>
      <c r="G43" s="284">
        <f t="shared" si="8"/>
        <v>0</v>
      </c>
      <c r="H43" s="306">
        <f t="shared" si="2"/>
        <v>0</v>
      </c>
      <c r="I43" s="284">
        <f t="shared" si="9"/>
        <v>0</v>
      </c>
      <c r="J43" s="306">
        <f t="shared" si="10"/>
        <v>0</v>
      </c>
      <c r="K43" s="119">
        <f t="shared" si="3"/>
        <v>0</v>
      </c>
      <c r="L43" s="284">
        <f t="shared" si="4"/>
        <v>0</v>
      </c>
    </row>
    <row r="44" spans="1:21">
      <c r="A44" s="309" t="str">
        <f t="shared" si="0"/>
        <v/>
      </c>
      <c r="B44" s="117">
        <v>24</v>
      </c>
      <c r="C44" s="284">
        <f t="shared" si="5"/>
        <v>0</v>
      </c>
      <c r="D44" s="306">
        <f t="shared" si="1"/>
        <v>0</v>
      </c>
      <c r="E44" s="306">
        <f t="shared" si="6"/>
        <v>0</v>
      </c>
      <c r="F44" s="284">
        <f t="shared" si="7"/>
        <v>0</v>
      </c>
      <c r="G44" s="284">
        <f t="shared" si="8"/>
        <v>0</v>
      </c>
      <c r="H44" s="306">
        <f t="shared" si="2"/>
        <v>0</v>
      </c>
      <c r="I44" s="284">
        <f t="shared" si="9"/>
        <v>0</v>
      </c>
      <c r="J44" s="306">
        <f t="shared" si="10"/>
        <v>0</v>
      </c>
      <c r="K44" s="119">
        <f t="shared" si="3"/>
        <v>0</v>
      </c>
      <c r="L44" s="284">
        <f t="shared" si="4"/>
        <v>0</v>
      </c>
    </row>
    <row r="45" spans="1:21">
      <c r="A45" s="309" t="str">
        <f t="shared" si="0"/>
        <v/>
      </c>
      <c r="B45" s="117">
        <v>25</v>
      </c>
      <c r="C45" s="284">
        <f t="shared" si="5"/>
        <v>0</v>
      </c>
      <c r="D45" s="306">
        <f t="shared" si="1"/>
        <v>0</v>
      </c>
      <c r="E45" s="306">
        <f t="shared" si="6"/>
        <v>0</v>
      </c>
      <c r="F45" s="284">
        <f t="shared" si="7"/>
        <v>0</v>
      </c>
      <c r="G45" s="284">
        <f t="shared" si="8"/>
        <v>0</v>
      </c>
      <c r="H45" s="306">
        <f t="shared" si="2"/>
        <v>0</v>
      </c>
      <c r="I45" s="284">
        <f t="shared" si="9"/>
        <v>0</v>
      </c>
      <c r="J45" s="306">
        <f t="shared" si="10"/>
        <v>0</v>
      </c>
      <c r="K45" s="119">
        <f t="shared" si="3"/>
        <v>0</v>
      </c>
      <c r="L45" s="284">
        <f t="shared" si="4"/>
        <v>0</v>
      </c>
    </row>
    <row r="46" spans="1:21">
      <c r="A46" s="309" t="str">
        <f t="shared" si="0"/>
        <v/>
      </c>
      <c r="B46" s="117">
        <v>26</v>
      </c>
      <c r="C46" s="284">
        <f t="shared" si="5"/>
        <v>0</v>
      </c>
      <c r="D46" s="306">
        <f t="shared" si="1"/>
        <v>0</v>
      </c>
      <c r="E46" s="306">
        <f t="shared" si="6"/>
        <v>0</v>
      </c>
      <c r="F46" s="284">
        <f t="shared" si="7"/>
        <v>0</v>
      </c>
      <c r="G46" s="284">
        <f t="shared" si="8"/>
        <v>0</v>
      </c>
      <c r="H46" s="306">
        <f t="shared" si="2"/>
        <v>0</v>
      </c>
      <c r="I46" s="284">
        <f t="shared" si="9"/>
        <v>0</v>
      </c>
      <c r="J46" s="306">
        <f t="shared" si="10"/>
        <v>0</v>
      </c>
      <c r="K46" s="119">
        <f t="shared" si="3"/>
        <v>0</v>
      </c>
      <c r="L46" s="284">
        <f t="shared" si="4"/>
        <v>0</v>
      </c>
    </row>
    <row r="47" spans="1:21">
      <c r="A47" s="309" t="str">
        <f t="shared" si="0"/>
        <v/>
      </c>
      <c r="B47" s="117">
        <v>27</v>
      </c>
      <c r="C47" s="284">
        <f t="shared" si="5"/>
        <v>0</v>
      </c>
      <c r="D47" s="306">
        <f t="shared" si="1"/>
        <v>0</v>
      </c>
      <c r="E47" s="306">
        <f t="shared" si="6"/>
        <v>0</v>
      </c>
      <c r="F47" s="284">
        <f t="shared" si="7"/>
        <v>0</v>
      </c>
      <c r="G47" s="284">
        <f t="shared" si="8"/>
        <v>0</v>
      </c>
      <c r="H47" s="306">
        <f t="shared" si="2"/>
        <v>0</v>
      </c>
      <c r="I47" s="284">
        <f t="shared" si="9"/>
        <v>0</v>
      </c>
      <c r="J47" s="306">
        <f t="shared" si="10"/>
        <v>0</v>
      </c>
      <c r="K47" s="119">
        <f t="shared" si="3"/>
        <v>0</v>
      </c>
      <c r="L47" s="284">
        <f t="shared" si="4"/>
        <v>0</v>
      </c>
      <c r="N47" s="282"/>
      <c r="O47" s="282"/>
      <c r="P47" s="282"/>
      <c r="Q47" s="282"/>
      <c r="R47" s="282"/>
      <c r="S47" s="282"/>
      <c r="T47" s="282"/>
      <c r="U47" s="282"/>
    </row>
    <row r="48" spans="1:21">
      <c r="A48" s="309" t="str">
        <f t="shared" si="0"/>
        <v/>
      </c>
      <c r="B48" s="117">
        <v>28</v>
      </c>
      <c r="C48" s="284">
        <f t="shared" si="5"/>
        <v>0</v>
      </c>
      <c r="D48" s="306">
        <f t="shared" si="1"/>
        <v>0</v>
      </c>
      <c r="E48" s="306">
        <f t="shared" si="6"/>
        <v>0</v>
      </c>
      <c r="F48" s="284">
        <f t="shared" si="7"/>
        <v>0</v>
      </c>
      <c r="G48" s="284">
        <f t="shared" si="8"/>
        <v>0</v>
      </c>
      <c r="H48" s="306">
        <f t="shared" si="2"/>
        <v>0</v>
      </c>
      <c r="I48" s="284">
        <f t="shared" si="9"/>
        <v>0</v>
      </c>
      <c r="J48" s="306">
        <f t="shared" si="10"/>
        <v>0</v>
      </c>
      <c r="K48" s="119">
        <f t="shared" si="3"/>
        <v>0</v>
      </c>
      <c r="L48" s="284">
        <f t="shared" si="4"/>
        <v>0</v>
      </c>
      <c r="N48" s="282"/>
      <c r="O48" s="282"/>
      <c r="P48" s="282"/>
      <c r="Q48" s="282"/>
      <c r="R48" s="282"/>
      <c r="S48" s="282"/>
      <c r="T48" s="282"/>
      <c r="U48" s="282"/>
    </row>
    <row r="49" spans="1:21">
      <c r="A49" s="309" t="str">
        <f t="shared" si="0"/>
        <v/>
      </c>
      <c r="B49" s="117">
        <v>29</v>
      </c>
      <c r="C49" s="284">
        <f t="shared" si="5"/>
        <v>0</v>
      </c>
      <c r="D49" s="306">
        <f t="shared" si="1"/>
        <v>0</v>
      </c>
      <c r="E49" s="306">
        <f t="shared" si="6"/>
        <v>0</v>
      </c>
      <c r="F49" s="284">
        <f t="shared" si="7"/>
        <v>0</v>
      </c>
      <c r="G49" s="284">
        <f t="shared" si="8"/>
        <v>0</v>
      </c>
      <c r="H49" s="306">
        <f t="shared" si="2"/>
        <v>0</v>
      </c>
      <c r="I49" s="284">
        <f t="shared" si="9"/>
        <v>0</v>
      </c>
      <c r="J49" s="306">
        <f t="shared" si="10"/>
        <v>0</v>
      </c>
      <c r="K49" s="119">
        <f t="shared" si="3"/>
        <v>0</v>
      </c>
      <c r="L49" s="284">
        <f t="shared" si="4"/>
        <v>0</v>
      </c>
      <c r="N49" s="282"/>
      <c r="O49" s="282"/>
      <c r="P49" s="282"/>
      <c r="Q49" s="282"/>
      <c r="R49" s="282"/>
      <c r="S49" s="282"/>
      <c r="T49" s="282"/>
      <c r="U49" s="282"/>
    </row>
    <row r="50" spans="1:21">
      <c r="A50" s="309" t="str">
        <f t="shared" si="0"/>
        <v/>
      </c>
      <c r="B50" s="117">
        <v>30</v>
      </c>
      <c r="C50" s="284">
        <f t="shared" si="5"/>
        <v>0</v>
      </c>
      <c r="D50" s="306">
        <f t="shared" si="1"/>
        <v>0</v>
      </c>
      <c r="E50" s="306">
        <f t="shared" si="6"/>
        <v>0</v>
      </c>
      <c r="F50" s="284">
        <f t="shared" si="7"/>
        <v>0</v>
      </c>
      <c r="G50" s="284">
        <f t="shared" si="8"/>
        <v>0</v>
      </c>
      <c r="H50" s="306">
        <f t="shared" si="2"/>
        <v>0</v>
      </c>
      <c r="I50" s="284">
        <f t="shared" si="9"/>
        <v>0</v>
      </c>
      <c r="J50" s="306">
        <f t="shared" si="10"/>
        <v>0</v>
      </c>
      <c r="K50" s="119">
        <f t="shared" si="3"/>
        <v>0</v>
      </c>
      <c r="L50" s="284">
        <f t="shared" si="4"/>
        <v>0</v>
      </c>
      <c r="N50" s="282"/>
      <c r="O50" s="282"/>
      <c r="P50" s="282"/>
      <c r="Q50" s="282"/>
      <c r="R50" s="282"/>
      <c r="S50" s="282"/>
      <c r="T50" s="282"/>
      <c r="U50" s="282"/>
    </row>
    <row r="51" spans="1:21">
      <c r="A51" s="322" t="s">
        <v>423</v>
      </c>
      <c r="B51" s="323">
        <f>C15+1</f>
        <v>6</v>
      </c>
      <c r="C51" s="284">
        <f>VLOOKUP(C15,B21:C50,2,FALSE)*(1+Terminal_Growth)</f>
        <v>1594710.3990396708</v>
      </c>
      <c r="D51" s="308">
        <f>Terminal_Growth</f>
        <v>0</v>
      </c>
      <c r="E51" s="308">
        <f>F17</f>
        <v>0.24487456943110034</v>
      </c>
      <c r="F51" s="284">
        <f>VLOOKUP(C15,B21:F50,5,FALSE)*(1+Terminal_Growth)</f>
        <v>-533734.51830647665</v>
      </c>
      <c r="G51" s="284">
        <f>C51*(1-E51)+F51+$I$6</f>
        <v>670893.2714510567</v>
      </c>
      <c r="H51" s="306">
        <f>F18</f>
        <v>0</v>
      </c>
      <c r="I51" s="284">
        <f>(G51*(1-$I$10)+C51*(H51-$I$9))/Equity_Cost</f>
        <v>6708932.7145105675</v>
      </c>
      <c r="J51" s="422">
        <f>(G51*(1-$I$10)+C51*(H51-$I$9))/VLOOKUP(C15,B21:I50,8,FALSE)-1</f>
        <v>0</v>
      </c>
      <c r="K51" s="119">
        <f>1/(1+Equity_Cost)^C15</f>
        <v>0.69655863235011617</v>
      </c>
      <c r="L51" s="284">
        <f>I51*K51</f>
        <v>4673164.9961484335</v>
      </c>
    </row>
    <row r="52" spans="1:21" ht="13.15">
      <c r="G52" s="111"/>
      <c r="H52" s="111"/>
      <c r="I52" s="111"/>
      <c r="J52" s="467" t="s">
        <v>426</v>
      </c>
      <c r="K52" s="467"/>
      <c r="L52" s="324">
        <f>SUM(L21:L51)</f>
        <v>6630709.7947621457</v>
      </c>
    </row>
    <row r="53" spans="1:21">
      <c r="C53" s="111"/>
    </row>
    <row r="54" spans="1:21" ht="13.15">
      <c r="B54" s="115" t="s">
        <v>108</v>
      </c>
      <c r="C54" s="128"/>
      <c r="D54" s="128"/>
      <c r="E54" s="113"/>
      <c r="F54" s="113"/>
      <c r="G54" s="113"/>
      <c r="H54" s="113"/>
      <c r="I54" s="113"/>
      <c r="J54" s="113"/>
      <c r="K54" s="113"/>
      <c r="L54" s="113"/>
    </row>
    <row r="55" spans="1:21" ht="13.15">
      <c r="A55" s="125">
        <f>L52</f>
        <v>6630709.7947621457</v>
      </c>
      <c r="B55" s="123">
        <f>C86</f>
        <v>-0.1</v>
      </c>
      <c r="C55" s="123">
        <f>C85</f>
        <v>0.01</v>
      </c>
      <c r="D55" s="123">
        <f>C84</f>
        <v>0.02</v>
      </c>
      <c r="E55" s="123">
        <f>C83</f>
        <v>0.03</v>
      </c>
      <c r="F55" s="123">
        <f>C82</f>
        <v>0.08</v>
      </c>
      <c r="G55" s="123"/>
      <c r="H55" s="123"/>
      <c r="I55" s="123"/>
      <c r="J55" s="123"/>
      <c r="K55" s="123"/>
      <c r="L55" s="123"/>
    </row>
    <row r="56" spans="1:21" ht="13.15">
      <c r="A56" s="131">
        <v>5</v>
      </c>
      <c r="B56" s="118">
        <f t="dataTable" ref="B56:F65" dt2D="1" dtr="1" r1="C16" r2="C15"/>
        <v>3907330.3475387506</v>
      </c>
      <c r="C56" s="118">
        <v>6389246.9209493781</v>
      </c>
      <c r="D56" s="118">
        <v>6670310.5306012668</v>
      </c>
      <c r="E56" s="118">
        <v>6961825.5439103898</v>
      </c>
      <c r="F56" s="118">
        <v>8586848.231880242</v>
      </c>
      <c r="G56" s="302"/>
      <c r="H56" s="302"/>
      <c r="I56" s="302"/>
      <c r="J56" s="302"/>
      <c r="K56" s="302"/>
      <c r="L56" s="302"/>
    </row>
    <row r="57" spans="1:21" ht="13.15">
      <c r="A57" s="131">
        <v>6</v>
      </c>
      <c r="B57" s="118">
        <v>3655849.6354626757</v>
      </c>
      <c r="C57" s="118">
        <v>6434007.8408291824</v>
      </c>
      <c r="D57" s="118">
        <v>6764352.7757123644</v>
      </c>
      <c r="E57" s="118">
        <v>7109940.7040467001</v>
      </c>
      <c r="F57" s="118">
        <v>9087459.8202587552</v>
      </c>
      <c r="G57" s="302"/>
      <c r="H57" s="302"/>
      <c r="I57" s="302"/>
      <c r="J57" s="302"/>
      <c r="K57" s="302"/>
      <c r="L57" s="302"/>
    </row>
    <row r="58" spans="1:21" ht="13.15">
      <c r="A58" s="131">
        <v>7</v>
      </c>
      <c r="B58" s="118">
        <v>3445307.6439571241</v>
      </c>
      <c r="C58" s="118">
        <v>6476062.2864836976</v>
      </c>
      <c r="D58" s="118">
        <v>6853583.5571201043</v>
      </c>
      <c r="E58" s="118">
        <v>7251855.6946889311</v>
      </c>
      <c r="F58" s="118">
        <v>9590399.8346297275</v>
      </c>
      <c r="G58" s="302"/>
      <c r="H58" s="302"/>
      <c r="I58" s="302"/>
      <c r="J58" s="302"/>
      <c r="K58" s="302"/>
      <c r="L58" s="302"/>
    </row>
    <row r="59" spans="1:21" ht="13.15">
      <c r="A59" s="131">
        <v>8</v>
      </c>
      <c r="B59" s="118">
        <v>3269039.9301385223</v>
      </c>
      <c r="C59" s="118">
        <v>6515573.9051916581</v>
      </c>
      <c r="D59" s="118">
        <v>6938249.0427348912</v>
      </c>
      <c r="E59" s="118">
        <v>7387830.0578159057</v>
      </c>
      <c r="F59" s="118">
        <v>10095679.104881492</v>
      </c>
      <c r="G59" s="302"/>
      <c r="H59" s="302"/>
      <c r="I59" s="302"/>
      <c r="J59" s="302"/>
      <c r="K59" s="302"/>
      <c r="L59" s="302"/>
    </row>
    <row r="60" spans="1:21" ht="13.15">
      <c r="A60" s="131">
        <v>9</v>
      </c>
      <c r="B60" s="118">
        <v>3121466.9604299255</v>
      </c>
      <c r="C60" s="118">
        <v>6552696.4492800701</v>
      </c>
      <c r="D60" s="118">
        <v>7018582.80582985</v>
      </c>
      <c r="E60" s="118">
        <v>7518112.4708584957</v>
      </c>
      <c r="F60" s="118">
        <v>10603308.511273967</v>
      </c>
      <c r="G60" s="302"/>
      <c r="H60" s="302"/>
      <c r="I60" s="302"/>
      <c r="J60" s="302"/>
      <c r="K60" s="302"/>
      <c r="L60" s="302"/>
    </row>
    <row r="61" spans="1:21" ht="13.15">
      <c r="A61" s="131">
        <v>10</v>
      </c>
      <c r="B61" s="118">
        <v>2997917.4974180777</v>
      </c>
      <c r="C61" s="118">
        <v>6587574.3744236017</v>
      </c>
      <c r="D61" s="118">
        <v>7094806.469417626</v>
      </c>
      <c r="E61" s="118">
        <v>7642941.2014946537</v>
      </c>
      <c r="F61" s="118">
        <v>11113298.984672915</v>
      </c>
      <c r="G61" s="302"/>
      <c r="H61" s="302"/>
      <c r="I61" s="302"/>
      <c r="J61" s="302"/>
      <c r="K61" s="302"/>
      <c r="L61" s="302"/>
    </row>
    <row r="62" spans="1:21" ht="13.15">
      <c r="A62" s="131">
        <v>15</v>
      </c>
      <c r="B62" s="118">
        <v>2623866.0733644385</v>
      </c>
      <c r="C62" s="284">
        <v>6732767.9442484584</v>
      </c>
      <c r="D62" s="118">
        <v>7421268.0486981515</v>
      </c>
      <c r="E62" s="118">
        <v>8192943.7049561217</v>
      </c>
      <c r="F62" s="118">
        <v>13699053.509226527</v>
      </c>
      <c r="G62" s="302"/>
      <c r="H62" s="302"/>
      <c r="I62" s="302"/>
      <c r="J62" s="302"/>
      <c r="K62" s="302"/>
      <c r="L62" s="302"/>
      <c r="M62" s="282"/>
      <c r="N62" s="282"/>
      <c r="O62" s="282"/>
      <c r="P62" s="282"/>
      <c r="Q62" s="282"/>
      <c r="R62" s="282"/>
      <c r="S62" s="282"/>
      <c r="T62" s="282"/>
      <c r="U62" s="282"/>
    </row>
    <row r="63" spans="1:21" ht="13.15">
      <c r="A63" s="132">
        <v>20</v>
      </c>
      <c r="B63" s="118">
        <v>2470014.6429409622</v>
      </c>
      <c r="C63" s="284">
        <v>6839062.7226525284</v>
      </c>
      <c r="D63" s="118">
        <v>7672335.6161370948</v>
      </c>
      <c r="E63" s="118">
        <v>8637072.02654952</v>
      </c>
      <c r="F63" s="118">
        <v>16345503.852206212</v>
      </c>
      <c r="G63" s="302"/>
      <c r="H63" s="302"/>
      <c r="I63" s="302"/>
      <c r="J63" s="302"/>
      <c r="K63" s="302"/>
      <c r="L63" s="302"/>
      <c r="M63" s="282"/>
      <c r="N63" s="282"/>
      <c r="O63" s="282"/>
      <c r="P63" s="282"/>
      <c r="Q63" s="282"/>
      <c r="R63" s="282"/>
      <c r="S63" s="282"/>
      <c r="T63" s="282"/>
      <c r="U63" s="282"/>
    </row>
    <row r="64" spans="1:21" ht="13.15">
      <c r="A64" s="132">
        <v>25</v>
      </c>
      <c r="B64" s="118">
        <v>2406733.8715784787</v>
      </c>
      <c r="C64" s="284">
        <v>6916880.0800575363</v>
      </c>
      <c r="D64" s="118">
        <v>7865420.8899344839</v>
      </c>
      <c r="E64" s="118">
        <v>8995706.6960282344</v>
      </c>
      <c r="F64" s="118">
        <v>19054074.736005157</v>
      </c>
      <c r="G64" s="302"/>
      <c r="H64" s="302"/>
      <c r="I64" s="302"/>
      <c r="J64" s="302"/>
      <c r="K64" s="302"/>
      <c r="L64" s="302"/>
      <c r="M64" s="282"/>
      <c r="N64" s="282"/>
      <c r="O64" s="282"/>
      <c r="P64" s="282"/>
      <c r="Q64" s="282"/>
      <c r="R64" s="282"/>
      <c r="S64" s="282"/>
      <c r="T64" s="282"/>
      <c r="U64" s="282"/>
    </row>
    <row r="65" spans="1:21" ht="13.15">
      <c r="A65" s="132">
        <v>30</v>
      </c>
      <c r="B65" s="118">
        <v>2380705.8001253335</v>
      </c>
      <c r="C65" s="284">
        <v>6973849.3988182312</v>
      </c>
      <c r="D65" s="118">
        <v>8013914.4741027355</v>
      </c>
      <c r="E65" s="118">
        <v>9285305.0393418539</v>
      </c>
      <c r="F65" s="118">
        <v>21826224.325747047</v>
      </c>
      <c r="G65" s="302"/>
      <c r="H65" s="302"/>
      <c r="I65" s="302"/>
      <c r="J65" s="302"/>
      <c r="K65" s="302"/>
      <c r="L65" s="302"/>
      <c r="M65" s="282"/>
      <c r="N65" s="282"/>
      <c r="O65" s="282"/>
      <c r="P65" s="282"/>
      <c r="Q65" s="282"/>
      <c r="R65" s="282"/>
      <c r="S65" s="282"/>
      <c r="T65" s="282"/>
      <c r="U65" s="282"/>
    </row>
    <row r="66" spans="1:21">
      <c r="C66" s="282"/>
      <c r="D66" s="111"/>
      <c r="E66" s="111"/>
      <c r="F66" s="111"/>
      <c r="G66" s="111"/>
      <c r="H66" s="111"/>
      <c r="I66" s="111"/>
      <c r="J66" s="111"/>
      <c r="K66" s="111"/>
      <c r="L66" s="111"/>
      <c r="M66" s="282"/>
      <c r="N66" s="282"/>
      <c r="O66" s="282"/>
      <c r="P66" s="282"/>
      <c r="Q66" s="282"/>
      <c r="R66" s="282"/>
      <c r="S66" s="282"/>
      <c r="T66" s="282"/>
      <c r="U66" s="282"/>
    </row>
    <row r="67" spans="1:21" ht="13.15">
      <c r="B67" s="115" t="s">
        <v>109</v>
      </c>
      <c r="C67" s="282"/>
      <c r="D67" s="111"/>
      <c r="E67" s="111"/>
      <c r="F67" s="111"/>
      <c r="G67" s="111"/>
      <c r="H67" s="111"/>
      <c r="I67" s="111"/>
      <c r="J67" s="111"/>
      <c r="K67" s="111"/>
      <c r="L67" s="111"/>
      <c r="M67" s="282"/>
      <c r="N67" s="282"/>
      <c r="O67" s="282"/>
      <c r="P67" s="282"/>
      <c r="Q67" s="282"/>
      <c r="R67" s="282"/>
      <c r="S67" s="282"/>
      <c r="T67" s="282"/>
      <c r="U67" s="282"/>
    </row>
    <row r="68" spans="1:21" ht="13.15">
      <c r="B68" s="124">
        <f>B55</f>
        <v>-0.1</v>
      </c>
      <c r="C68" s="124">
        <f>C55</f>
        <v>0.01</v>
      </c>
      <c r="D68" s="124">
        <f>D55</f>
        <v>0.02</v>
      </c>
      <c r="E68" s="124">
        <f>E55</f>
        <v>0.03</v>
      </c>
      <c r="F68" s="124">
        <f>F55</f>
        <v>0.08</v>
      </c>
      <c r="G68" s="124"/>
      <c r="H68" s="124"/>
      <c r="I68" s="124"/>
      <c r="J68" s="124"/>
      <c r="K68" s="124"/>
      <c r="L68" s="124"/>
    </row>
    <row r="69" spans="1:21" ht="13.15">
      <c r="A69" s="131">
        <v>0</v>
      </c>
      <c r="B69" s="119">
        <f>C11</f>
        <v>2.8417346278420972</v>
      </c>
      <c r="C69" s="119">
        <f>C11</f>
        <v>2.8417346278420972</v>
      </c>
      <c r="D69" s="119">
        <f>C11</f>
        <v>2.8417346278420972</v>
      </c>
      <c r="E69" s="119">
        <f>C11</f>
        <v>2.8417346278420972</v>
      </c>
      <c r="F69" s="119">
        <f>C11</f>
        <v>2.8417346278420972</v>
      </c>
      <c r="G69" s="303"/>
      <c r="H69" s="303"/>
      <c r="I69" s="303"/>
      <c r="J69" s="303"/>
      <c r="K69" s="303"/>
      <c r="L69" s="303"/>
    </row>
    <row r="70" spans="1:21" ht="13.15">
      <c r="A70" s="131">
        <f>A56</f>
        <v>5</v>
      </c>
      <c r="B70" s="119">
        <f t="shared" ref="B70:F74" si="11">(B56+FV_adjustments)/Common_Shares*scaling_factor*Exchange_Rate</f>
        <v>1.8028796113902885</v>
      </c>
      <c r="C70" s="119">
        <f t="shared" si="11"/>
        <v>2.9690211347931195</v>
      </c>
      <c r="D70" s="119">
        <f t="shared" si="11"/>
        <v>3.1010803463894812</v>
      </c>
      <c r="E70" s="119">
        <f t="shared" si="11"/>
        <v>3.2380502048275286</v>
      </c>
      <c r="F70" s="119">
        <f t="shared" si="11"/>
        <v>4.0015756404586007</v>
      </c>
      <c r="G70" s="303"/>
      <c r="H70" s="303"/>
      <c r="I70" s="303"/>
      <c r="J70" s="303"/>
      <c r="K70" s="303"/>
      <c r="L70" s="303"/>
    </row>
    <row r="71" spans="1:21" ht="13.15">
      <c r="A71" s="131">
        <v>6</v>
      </c>
      <c r="B71" s="119">
        <f t="shared" si="11"/>
        <v>1.6847200794267205</v>
      </c>
      <c r="C71" s="119">
        <f t="shared" si="11"/>
        <v>2.9900522878370013</v>
      </c>
      <c r="D71" s="119">
        <f t="shared" si="11"/>
        <v>3.1452665886479694</v>
      </c>
      <c r="E71" s="119">
        <f t="shared" si="11"/>
        <v>3.307642889904391</v>
      </c>
      <c r="F71" s="119">
        <f t="shared" si="11"/>
        <v>4.2367906217190709</v>
      </c>
      <c r="G71" s="303"/>
      <c r="H71" s="303"/>
      <c r="I71" s="303"/>
      <c r="J71" s="303"/>
      <c r="K71" s="303"/>
      <c r="L71" s="303"/>
    </row>
    <row r="72" spans="1:21" ht="13.15">
      <c r="A72" s="131">
        <f t="shared" ref="A72" si="12">A58</f>
        <v>7</v>
      </c>
      <c r="B72" s="119">
        <f t="shared" si="11"/>
        <v>1.5857958201083839</v>
      </c>
      <c r="C72" s="119">
        <f t="shared" si="11"/>
        <v>3.0098117897666037</v>
      </c>
      <c r="D72" s="119">
        <f t="shared" si="11"/>
        <v>3.187192139442069</v>
      </c>
      <c r="E72" s="119">
        <f t="shared" si="11"/>
        <v>3.3743223928152446</v>
      </c>
      <c r="F72" s="119">
        <f t="shared" si="11"/>
        <v>4.4730996261481941</v>
      </c>
      <c r="G72" s="303"/>
      <c r="H72" s="303"/>
      <c r="I72" s="303"/>
      <c r="J72" s="303"/>
      <c r="K72" s="303"/>
      <c r="L72" s="303"/>
    </row>
    <row r="73" spans="1:21" ht="13.15">
      <c r="A73" s="131">
        <v>8</v>
      </c>
      <c r="B73" s="119">
        <f t="shared" si="11"/>
        <v>1.5029755099814044</v>
      </c>
      <c r="C73" s="119">
        <f t="shared" si="11"/>
        <v>3.028376531114414</v>
      </c>
      <c r="D73" s="119">
        <f t="shared" si="11"/>
        <v>3.2269726620560073</v>
      </c>
      <c r="E73" s="119">
        <f t="shared" si="11"/>
        <v>3.4382106607205274</v>
      </c>
      <c r="F73" s="119">
        <f t="shared" si="11"/>
        <v>4.7105077422258237</v>
      </c>
      <c r="G73" s="303"/>
      <c r="H73" s="303"/>
      <c r="I73" s="303"/>
      <c r="J73" s="303"/>
      <c r="K73" s="303"/>
      <c r="L73" s="303"/>
    </row>
    <row r="74" spans="1:21" ht="13.15">
      <c r="A74" s="131">
        <f t="shared" ref="A74" si="13">A60</f>
        <v>9</v>
      </c>
      <c r="B74" s="119">
        <f t="shared" si="11"/>
        <v>1.4336375759216078</v>
      </c>
      <c r="C74" s="119">
        <f t="shared" si="11"/>
        <v>3.0458187532179397</v>
      </c>
      <c r="D74" s="119">
        <f t="shared" si="11"/>
        <v>3.2647179021176029</v>
      </c>
      <c r="E74" s="119">
        <f t="shared" si="11"/>
        <v>3.4994245360158218</v>
      </c>
      <c r="F74" s="119">
        <f t="shared" si="11"/>
        <v>4.9490200820991657</v>
      </c>
      <c r="G74" s="303"/>
      <c r="H74" s="303"/>
      <c r="I74" s="303"/>
      <c r="J74" s="303"/>
      <c r="K74" s="303"/>
      <c r="L74" s="303"/>
    </row>
    <row r="75" spans="1:21" ht="13.15">
      <c r="A75" s="131">
        <f t="shared" ref="A75:A79" si="14">A61</f>
        <v>10</v>
      </c>
      <c r="B75" s="119">
        <f t="shared" ref="B75:F79" si="15">(B61+FV_adjustments)/Common_Shares*scaling_factor*Exchange_Rate</f>
        <v>1.3755872125227084</v>
      </c>
      <c r="C75" s="119">
        <f t="shared" si="15"/>
        <v>3.0622063293338107</v>
      </c>
      <c r="D75" s="119">
        <f t="shared" si="15"/>
        <v>3.300531990362094</v>
      </c>
      <c r="E75" s="119">
        <f t="shared" si="15"/>
        <v>3.5580759700196865</v>
      </c>
      <c r="F75" s="119">
        <f t="shared" si="15"/>
        <v>5.1886417816928478</v>
      </c>
      <c r="G75" s="303"/>
      <c r="H75" s="303"/>
      <c r="I75" s="303"/>
      <c r="J75" s="303"/>
      <c r="K75" s="303"/>
      <c r="L75" s="303"/>
    </row>
    <row r="76" spans="1:21" ht="13.15">
      <c r="A76" s="131">
        <f t="shared" si="14"/>
        <v>15</v>
      </c>
      <c r="B76" s="119">
        <f t="shared" si="15"/>
        <v>1.1998371884687205</v>
      </c>
      <c r="C76" s="119">
        <f t="shared" si="15"/>
        <v>3.1304262898747006</v>
      </c>
      <c r="D76" s="119">
        <f t="shared" si="15"/>
        <v>3.4539216761691121</v>
      </c>
      <c r="E76" s="119">
        <f t="shared" si="15"/>
        <v>3.8164975318615286</v>
      </c>
      <c r="F76" s="119">
        <f t="shared" si="15"/>
        <v>6.4035721112264614</v>
      </c>
      <c r="G76" s="303"/>
      <c r="H76" s="303"/>
      <c r="I76" s="303"/>
      <c r="J76" s="303"/>
      <c r="K76" s="303"/>
      <c r="L76" s="303"/>
    </row>
    <row r="77" spans="1:21" ht="13.15">
      <c r="A77" s="132">
        <f t="shared" si="14"/>
        <v>20</v>
      </c>
      <c r="B77" s="119">
        <f t="shared" si="15"/>
        <v>1.1275492867020669</v>
      </c>
      <c r="C77" s="119">
        <f t="shared" si="15"/>
        <v>3.1803694491838592</v>
      </c>
      <c r="D77" s="119">
        <f t="shared" si="15"/>
        <v>3.5718870899573592</v>
      </c>
      <c r="E77" s="119">
        <f t="shared" si="15"/>
        <v>4.0251735538833131</v>
      </c>
      <c r="F77" s="119">
        <f t="shared" si="15"/>
        <v>7.6470206894884347</v>
      </c>
      <c r="G77" s="303"/>
      <c r="H77" s="303"/>
      <c r="I77" s="303"/>
      <c r="J77" s="303"/>
      <c r="K77" s="303"/>
      <c r="L77" s="303"/>
    </row>
    <row r="78" spans="1:21" ht="13.15">
      <c r="A78" s="132">
        <f t="shared" si="14"/>
        <v>25</v>
      </c>
      <c r="B78" s="119">
        <f t="shared" si="15"/>
        <v>1.0978164842745681</v>
      </c>
      <c r="C78" s="119">
        <f t="shared" si="15"/>
        <v>3.2169323428296988</v>
      </c>
      <c r="D78" s="119">
        <f t="shared" si="15"/>
        <v>3.6626092188737713</v>
      </c>
      <c r="E78" s="119">
        <f t="shared" si="15"/>
        <v>4.1936799349162044</v>
      </c>
      <c r="F78" s="119">
        <f t="shared" si="15"/>
        <v>8.9196569297700172</v>
      </c>
      <c r="G78" s="303"/>
      <c r="H78" s="303"/>
      <c r="I78" s="303"/>
      <c r="J78" s="303"/>
      <c r="K78" s="303"/>
      <c r="L78" s="303"/>
    </row>
    <row r="79" spans="1:21" ht="13.15">
      <c r="A79" s="132">
        <f t="shared" si="14"/>
        <v>30</v>
      </c>
      <c r="B79" s="119">
        <f t="shared" si="15"/>
        <v>1.0855870583459204</v>
      </c>
      <c r="C79" s="119">
        <f t="shared" si="15"/>
        <v>3.2436996761391836</v>
      </c>
      <c r="D79" s="119">
        <f t="shared" si="15"/>
        <v>3.7323797084674446</v>
      </c>
      <c r="E79" s="119">
        <f t="shared" si="15"/>
        <v>4.3297492359010477</v>
      </c>
      <c r="F79" s="119">
        <f t="shared" si="15"/>
        <v>10.222165958604846</v>
      </c>
      <c r="G79" s="303"/>
      <c r="H79" s="303"/>
      <c r="I79" s="303"/>
      <c r="J79" s="303"/>
      <c r="K79" s="303"/>
      <c r="L79" s="303"/>
    </row>
    <row r="81" spans="2:12" ht="13.15">
      <c r="B81" s="153" t="s">
        <v>101</v>
      </c>
      <c r="C81" s="153" t="s">
        <v>110</v>
      </c>
      <c r="D81" s="153" t="s">
        <v>99</v>
      </c>
      <c r="E81" s="154" t="s">
        <v>100</v>
      </c>
      <c r="F81" s="154" t="s">
        <v>463</v>
      </c>
      <c r="G81" s="330"/>
      <c r="H81" s="330"/>
      <c r="I81" s="330"/>
      <c r="J81" s="330"/>
      <c r="K81" s="330"/>
      <c r="L81" s="330"/>
    </row>
    <row r="82" spans="2:12">
      <c r="B82" s="120" t="str">
        <f>Scenarios!B29</f>
        <v>Snowball Scenario</v>
      </c>
      <c r="C82" s="130">
        <f>Scenarios!C29</f>
        <v>0.08</v>
      </c>
      <c r="D82" s="133">
        <f>Scenarios!D29</f>
        <v>5</v>
      </c>
      <c r="E82" s="127">
        <f>INDEX(B$69:F$79, MATCH(D82, A$69:A$79, 0), MATCH(C82, B$68:F$68, 0))</f>
        <v>4.0015756404586007</v>
      </c>
      <c r="F82" s="130">
        <f>Scenarios!F29</f>
        <v>0.05</v>
      </c>
      <c r="G82" s="304"/>
      <c r="H82" s="304"/>
      <c r="I82" s="304"/>
      <c r="J82" s="304"/>
      <c r="K82" s="304"/>
      <c r="L82" s="304"/>
    </row>
    <row r="83" spans="2:12">
      <c r="B83" s="120" t="str">
        <f>Scenarios!B22</f>
        <v>Optimistic</v>
      </c>
      <c r="C83" s="130">
        <f>Scenarios!C22</f>
        <v>0.03</v>
      </c>
      <c r="D83" s="133">
        <f>Scenarios!D22</f>
        <v>5</v>
      </c>
      <c r="E83" s="127">
        <f>INDEX(B$69:F$79, MATCH(D83, A$69:A$79, 0), MATCH(C83, B$68:F$68, 0))</f>
        <v>3.2380502048275286</v>
      </c>
      <c r="F83" s="130">
        <f>Scenarios!F22*(1-F$82-F$86)</f>
        <v>0.18</v>
      </c>
      <c r="G83" s="304"/>
      <c r="H83" s="304"/>
      <c r="I83" s="304"/>
      <c r="J83" s="304"/>
      <c r="K83" s="304"/>
      <c r="L83" s="304"/>
    </row>
    <row r="84" spans="2:12">
      <c r="B84" s="120" t="str">
        <f>Scenarios!B23</f>
        <v>Base</v>
      </c>
      <c r="C84" s="130">
        <f>Scenarios!C23</f>
        <v>0.02</v>
      </c>
      <c r="D84" s="133">
        <f>Scenarios!D23</f>
        <v>5</v>
      </c>
      <c r="E84" s="127">
        <f>INDEX(B$69:F$79, MATCH(D84, A$69:A$79, 0), MATCH(C84, B$68:F$68, 0))</f>
        <v>3.1010803463894812</v>
      </c>
      <c r="F84" s="130">
        <f>Scenarios!F23*(1-F$82-F$86)</f>
        <v>0.53999999999999992</v>
      </c>
      <c r="G84" s="304"/>
      <c r="H84" s="304"/>
      <c r="I84" s="304"/>
      <c r="J84" s="304"/>
      <c r="K84" s="304"/>
      <c r="L84" s="304"/>
    </row>
    <row r="85" spans="2:12">
      <c r="B85" s="120" t="str">
        <f>Scenarios!B24</f>
        <v>Pessimistic</v>
      </c>
      <c r="C85" s="130">
        <f>Scenarios!C24</f>
        <v>0.01</v>
      </c>
      <c r="D85" s="133">
        <f>Scenarios!D24</f>
        <v>5</v>
      </c>
      <c r="E85" s="127">
        <f>INDEX(B$69:F$79, MATCH(D85, A$69:A$79, 0), MATCH(C85, B$68:F$68, 0))</f>
        <v>2.9690211347931195</v>
      </c>
      <c r="F85" s="130">
        <f>Scenarios!F24*(1-F$82-F$86)</f>
        <v>0.18</v>
      </c>
      <c r="G85" s="304"/>
      <c r="H85" s="304"/>
      <c r="I85" s="304"/>
      <c r="J85" s="304"/>
      <c r="K85" s="304"/>
      <c r="L85" s="304"/>
    </row>
    <row r="86" spans="2:12">
      <c r="B86" s="120" t="str">
        <f>Scenarios!B30</f>
        <v>Devil's advocate</v>
      </c>
      <c r="C86" s="130">
        <f>Scenarios!C30</f>
        <v>-0.1</v>
      </c>
      <c r="D86" s="133">
        <f>Scenarios!D30</f>
        <v>5</v>
      </c>
      <c r="E86" s="127">
        <f>INDEX(B$69:F$79, MATCH(D86, A$69:A$79, 0), MATCH(C86, B$68:F$68, 0))</f>
        <v>1.8028796113902885</v>
      </c>
      <c r="F86" s="130">
        <f>Scenarios!F30</f>
        <v>0.05</v>
      </c>
      <c r="G86" s="304"/>
      <c r="H86" s="304"/>
      <c r="I86" s="304"/>
      <c r="J86" s="304"/>
      <c r="K86" s="304"/>
      <c r="L86" s="304"/>
    </row>
    <row r="87" spans="2:12">
      <c r="B87" s="141"/>
      <c r="C87" s="141"/>
      <c r="D87" s="141"/>
      <c r="E87" s="141"/>
      <c r="F87" s="142"/>
      <c r="G87" s="142"/>
      <c r="H87" s="142"/>
      <c r="I87" s="142"/>
      <c r="J87" s="142"/>
      <c r="K87" s="142"/>
      <c r="L87" s="142"/>
    </row>
    <row r="97" spans="3:21">
      <c r="C97" s="112"/>
    </row>
    <row r="98" spans="3:21">
      <c r="C98" s="112"/>
    </row>
    <row r="99" spans="3:21">
      <c r="C99" s="112"/>
    </row>
    <row r="106" spans="3:21">
      <c r="C106" s="282"/>
      <c r="M106" s="282"/>
      <c r="N106" s="282"/>
      <c r="O106" s="282"/>
      <c r="P106" s="282"/>
      <c r="Q106" s="282"/>
      <c r="R106" s="282"/>
      <c r="S106" s="282"/>
      <c r="T106" s="282"/>
      <c r="U106" s="282"/>
    </row>
    <row r="107" spans="3:21">
      <c r="C107" s="282"/>
      <c r="M107" s="282"/>
      <c r="N107" s="282"/>
      <c r="O107" s="282"/>
      <c r="P107" s="282"/>
      <c r="Q107" s="282"/>
      <c r="R107" s="282"/>
      <c r="S107" s="282"/>
      <c r="T107" s="282"/>
      <c r="U107" s="282"/>
    </row>
    <row r="108" spans="3:21">
      <c r="C108" s="282"/>
      <c r="M108" s="282"/>
      <c r="N108" s="282"/>
      <c r="O108" s="282"/>
      <c r="P108" s="282"/>
      <c r="Q108" s="282"/>
      <c r="R108" s="282"/>
      <c r="S108" s="282"/>
      <c r="T108" s="282"/>
      <c r="U108" s="282"/>
    </row>
    <row r="109" spans="3:21">
      <c r="C109" s="282"/>
      <c r="M109" s="282"/>
      <c r="N109" s="282"/>
      <c r="O109" s="282"/>
      <c r="P109" s="282"/>
      <c r="Q109" s="282"/>
      <c r="R109" s="282"/>
      <c r="S109" s="282"/>
      <c r="T109" s="282"/>
      <c r="U109" s="282"/>
    </row>
    <row r="110" spans="3:21">
      <c r="C110" s="282"/>
      <c r="M110" s="282"/>
      <c r="N110" s="282"/>
      <c r="O110" s="282"/>
      <c r="P110" s="282"/>
      <c r="Q110" s="282"/>
      <c r="R110" s="282"/>
      <c r="S110" s="282"/>
      <c r="T110" s="282"/>
      <c r="U110" s="282"/>
    </row>
  </sheetData>
  <mergeCells count="1">
    <mergeCell ref="J52:K52"/>
  </mergeCells>
  <phoneticPr fontId="2" type="noConversion"/>
  <conditionalFormatting sqref="C21:L50">
    <cfRule type="cellIs" dxfId="1" priority="2" operator="equal">
      <formula>0</formula>
    </cfRule>
  </conditionalFormatting>
  <conditionalFormatting sqref="C70:L79">
    <cfRule type="expression" dxfId="0" priority="19">
      <formula>ISNUMBER(MATCH(C70, $E$82:$E$86, 0))</formula>
    </cfRule>
  </conditionalFormatting>
  <dataValidations disablePrompts="1" count="1">
    <dataValidation type="list" allowBlank="1" showInputMessage="1" showErrorMessage="1" sqref="C15" xr:uid="{A06882BF-7451-4B05-ADA9-B8AC5ACC7F23}">
      <formula1>$A$56:$A$65</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G19" sqref="G19"/>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553</v>
      </c>
      <c r="E3" s="97"/>
    </row>
    <row r="4" spans="2:7" ht="12.75" customHeight="1">
      <c r="B4" s="139" t="s">
        <v>123</v>
      </c>
      <c r="C4" s="457">
        <v>2</v>
      </c>
      <c r="D4" s="468"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1448.HK – 福寿园: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8"/>
      <c r="F4" s="468"/>
      <c r="G4" s="468"/>
    </row>
    <row r="5" spans="2:7">
      <c r="C5" s="453"/>
      <c r="D5" s="468"/>
      <c r="E5" s="468"/>
      <c r="F5" s="468"/>
      <c r="G5" s="468"/>
    </row>
    <row r="6" spans="2:7" ht="13.15">
      <c r="B6" s="145" t="s">
        <v>91</v>
      </c>
      <c r="C6" s="454" t="str">
        <f>DCF!C3&amp;" "&amp;Reporting_currency</f>
        <v>1000 CNY</v>
      </c>
      <c r="D6" s="468"/>
      <c r="E6" s="468"/>
      <c r="F6" s="468"/>
      <c r="G6" s="468"/>
    </row>
    <row r="7" spans="2:7" ht="12.75" customHeight="1">
      <c r="B7" s="97" t="s">
        <v>232</v>
      </c>
      <c r="C7" s="455">
        <f>Normalized_FCF!G8</f>
        <v>1082041</v>
      </c>
      <c r="D7" s="468"/>
      <c r="E7" s="468"/>
      <c r="F7" s="468"/>
      <c r="G7" s="468"/>
    </row>
    <row r="8" spans="2:7">
      <c r="B8" s="97" t="s">
        <v>63</v>
      </c>
      <c r="C8" s="455">
        <f>Normalized_FCF!G19</f>
        <v>1532532118.2583332</v>
      </c>
      <c r="D8" s="468"/>
      <c r="E8" s="468"/>
      <c r="F8" s="468"/>
      <c r="G8" s="468"/>
    </row>
    <row r="9" spans="2:7">
      <c r="B9" s="97" t="s">
        <v>54</v>
      </c>
      <c r="C9" s="455">
        <f>Normalized_FCF!C19</f>
        <v>458875.58478749974</v>
      </c>
      <c r="D9" s="468"/>
      <c r="E9" s="468"/>
      <c r="F9" s="468"/>
      <c r="G9" s="468"/>
    </row>
    <row r="10" spans="2:7">
      <c r="C10" s="456"/>
      <c r="D10" s="468"/>
      <c r="E10" s="468"/>
      <c r="F10" s="468"/>
      <c r="G10" s="468"/>
    </row>
    <row r="11" spans="2:7" ht="13.15">
      <c r="B11" s="145" t="s">
        <v>323</v>
      </c>
      <c r="C11" s="456"/>
      <c r="D11" s="468"/>
      <c r="E11" s="468"/>
      <c r="F11" s="468"/>
      <c r="G11" s="468"/>
    </row>
    <row r="12" spans="2:7">
      <c r="B12" s="114" t="s">
        <v>121</v>
      </c>
      <c r="C12" s="255" t="e">
        <f ca="1">(Normalized_FCF!G4/OFFSET(Normalized_FCF!G4, 0, $C$4))^(1/$C$4) - 1</f>
        <v>#VALUE!</v>
      </c>
      <c r="D12" s="468"/>
      <c r="E12" s="468"/>
      <c r="F12" s="468"/>
      <c r="G12" s="468"/>
    </row>
    <row r="13" spans="2:7">
      <c r="B13" s="135" t="s">
        <v>127</v>
      </c>
      <c r="C13" s="255" t="e">
        <f ca="1">(Normalized_FCF!G8/OFFSET(Normalized_FCF!G8, 0, $C$4))^(1/$C$4) - 1</f>
        <v>#VALUE!</v>
      </c>
      <c r="D13" s="468"/>
      <c r="E13" s="468"/>
      <c r="F13" s="468"/>
      <c r="G13" s="468"/>
    </row>
    <row r="14" spans="2:7">
      <c r="B14" s="97" t="s">
        <v>63</v>
      </c>
      <c r="C14" s="255" t="e">
        <f ca="1">(Normalized_FCF!G19/OFFSET(Normalized_FCF!G19, 0, $C$4))^(1/$C$4) - 1</f>
        <v>#VALUE!</v>
      </c>
      <c r="D14" s="468"/>
      <c r="E14" s="468"/>
      <c r="F14" s="468"/>
      <c r="G14" s="468"/>
    </row>
    <row r="16" spans="2:7" ht="13.9">
      <c r="B16" s="34" t="s">
        <v>459</v>
      </c>
      <c r="C16" s="35"/>
      <c r="D16" s="35"/>
      <c r="E16" s="35"/>
      <c r="F16" s="35"/>
      <c r="G16" s="35"/>
    </row>
    <row r="17" spans="2:7" ht="13.15">
      <c r="B17" s="106" t="s">
        <v>126</v>
      </c>
      <c r="E17" s="225" t="s">
        <v>251</v>
      </c>
    </row>
    <row r="18" spans="2:7" ht="12.75" customHeight="1">
      <c r="B18" s="139" t="s">
        <v>111</v>
      </c>
      <c r="C18" s="137">
        <v>5</v>
      </c>
      <c r="E18" s="458" t="s">
        <v>554</v>
      </c>
      <c r="F18" s="326"/>
    </row>
    <row r="19" spans="2:7">
      <c r="E19" s="326"/>
      <c r="F19" s="326"/>
    </row>
    <row r="20" spans="2:7" ht="13.15">
      <c r="B20" s="106" t="s">
        <v>456</v>
      </c>
      <c r="E20" s="326"/>
      <c r="F20" s="326"/>
    </row>
    <row r="21" spans="2:7" ht="13.15">
      <c r="B21" s="153" t="s">
        <v>442</v>
      </c>
      <c r="C21" s="153" t="s">
        <v>381</v>
      </c>
      <c r="D21" s="153" t="s">
        <v>454</v>
      </c>
      <c r="E21" s="154" t="str">
        <f>"Value per share ("&amp;Market_currency&amp;")"</f>
        <v>Value per share (HKD)</v>
      </c>
      <c r="F21" s="154" t="s">
        <v>455</v>
      </c>
      <c r="G21" s="154" t="s">
        <v>463</v>
      </c>
    </row>
    <row r="22" spans="2:7">
      <c r="B22" s="309" t="s">
        <v>451</v>
      </c>
      <c r="C22" s="331">
        <v>0.03</v>
      </c>
      <c r="D22" s="332">
        <f>C18</f>
        <v>5</v>
      </c>
      <c r="E22" s="333">
        <f>DCF!E83</f>
        <v>3.2380502048275286</v>
      </c>
      <c r="F22" s="335">
        <f>1-F23-F24</f>
        <v>0.2</v>
      </c>
      <c r="G22" s="335">
        <f>F22*(1-F$29-F$30)</f>
        <v>0.18</v>
      </c>
    </row>
    <row r="23" spans="2:7">
      <c r="B23" s="309" t="s">
        <v>443</v>
      </c>
      <c r="C23" s="331">
        <v>0.02</v>
      </c>
      <c r="D23" s="332">
        <f>C18</f>
        <v>5</v>
      </c>
      <c r="E23" s="333">
        <f>DCF!E84</f>
        <v>3.1010803463894812</v>
      </c>
      <c r="F23" s="334">
        <v>0.6</v>
      </c>
      <c r="G23" s="335">
        <f t="shared" ref="G23:G24" si="0">F23*(1-F$29-F$30)</f>
        <v>0.53999999999999992</v>
      </c>
    </row>
    <row r="24" spans="2:7">
      <c r="B24" s="309" t="s">
        <v>452</v>
      </c>
      <c r="C24" s="331">
        <v>0.01</v>
      </c>
      <c r="D24" s="332">
        <f>C18</f>
        <v>5</v>
      </c>
      <c r="E24" s="333">
        <f>DCF!E85</f>
        <v>2.9690211347931195</v>
      </c>
      <c r="F24" s="334">
        <v>0.2</v>
      </c>
      <c r="G24" s="335">
        <f t="shared" si="0"/>
        <v>0.18</v>
      </c>
    </row>
    <row r="25" spans="2:7">
      <c r="B25" s="141" t="s">
        <v>457</v>
      </c>
      <c r="C25" s="449">
        <f>E23*F23+E24*F24+E22*F22</f>
        <v>3.1020624757578181</v>
      </c>
      <c r="D25" s="141" t="str">
        <f>Market_currency</f>
        <v>HKD</v>
      </c>
      <c r="G25" s="149"/>
    </row>
    <row r="27" spans="2:7" ht="13.15">
      <c r="B27" s="106" t="s">
        <v>458</v>
      </c>
    </row>
    <row r="28" spans="2:7" ht="13.15">
      <c r="B28" s="153" t="s">
        <v>442</v>
      </c>
      <c r="C28" s="153" t="s">
        <v>381</v>
      </c>
      <c r="D28" s="153" t="s">
        <v>454</v>
      </c>
      <c r="E28" s="154" t="str">
        <f>"Value per share ("&amp;Market_currency&amp;")"</f>
        <v>Value per share (HKD)</v>
      </c>
      <c r="F28" s="154" t="s">
        <v>455</v>
      </c>
      <c r="G28" s="154" t="s">
        <v>463</v>
      </c>
    </row>
    <row r="29" spans="2:7">
      <c r="B29" s="309" t="s">
        <v>450</v>
      </c>
      <c r="C29" s="331">
        <v>0.08</v>
      </c>
      <c r="D29" s="332">
        <f>C18</f>
        <v>5</v>
      </c>
      <c r="E29" s="333">
        <f>DCF!E82</f>
        <v>4.0015756404586007</v>
      </c>
      <c r="F29" s="334">
        <v>0.05</v>
      </c>
      <c r="G29" s="335">
        <f>F29</f>
        <v>0.05</v>
      </c>
    </row>
    <row r="30" spans="2:7">
      <c r="B30" s="322" t="s">
        <v>453</v>
      </c>
      <c r="C30" s="331">
        <v>-0.1</v>
      </c>
      <c r="D30" s="332">
        <f>C18</f>
        <v>5</v>
      </c>
      <c r="E30" s="333">
        <f>DCF!E86</f>
        <v>1.8028796113902885</v>
      </c>
      <c r="F30" s="334">
        <v>0.05</v>
      </c>
      <c r="G30" s="335">
        <f>F30</f>
        <v>0.05</v>
      </c>
    </row>
    <row r="31" spans="2:7">
      <c r="E31" s="336"/>
      <c r="F31" s="336"/>
    </row>
    <row r="32" spans="2:7" ht="13.15">
      <c r="B32" s="145" t="s">
        <v>462</v>
      </c>
    </row>
    <row r="33" spans="2:7">
      <c r="B33" s="97" t="s">
        <v>464</v>
      </c>
      <c r="C33" s="155">
        <f>Normalized_FCF!C88*(1-dividend_tax_rate)</f>
        <v>0</v>
      </c>
      <c r="D33" t="str">
        <f>Market_currency</f>
        <v>HKD</v>
      </c>
      <c r="E33" s="97" t="s">
        <v>461</v>
      </c>
      <c r="F33" s="222">
        <f>Holding_Period</f>
        <v>2</v>
      </c>
    </row>
    <row r="34" spans="2:7">
      <c r="B34" s="97" t="s">
        <v>233</v>
      </c>
      <c r="C34" s="146">
        <f>Market_Price</f>
        <v>2.85</v>
      </c>
      <c r="D34" t="str">
        <f>Market_currency</f>
        <v>HKD</v>
      </c>
      <c r="E34" s="97" t="s">
        <v>460</v>
      </c>
      <c r="F34" s="337">
        <f>RATE(Holding_Period,$C$33,-C34,$C$36)</f>
        <v>3.9918854928095174E-2</v>
      </c>
    </row>
    <row r="35" spans="2:7">
      <c r="B35" s="97" t="s">
        <v>440</v>
      </c>
      <c r="C35" s="327">
        <f>DCF!C11</f>
        <v>2.8417346278420972</v>
      </c>
      <c r="D35" s="97" t="str">
        <f>Market_currency</f>
        <v>HKD</v>
      </c>
      <c r="E35" s="97" t="s">
        <v>460</v>
      </c>
      <c r="F35" s="337">
        <f>RATE(Holding_Period,$C$33,-C35,$C$36)</f>
        <v>4.1430093051267811E-2</v>
      </c>
    </row>
    <row r="36" spans="2:7">
      <c r="B36" s="97" t="s">
        <v>441</v>
      </c>
      <c r="C36" s="328">
        <f>E22*G22+E23*G23+E24*G24+E30*G30+E29*G29</f>
        <v>3.0820789907744803</v>
      </c>
      <c r="D36" t="str">
        <f>Market_currency</f>
        <v>HKD</v>
      </c>
      <c r="E36" s="97" t="s">
        <v>466</v>
      </c>
      <c r="F36" s="338" t="s">
        <v>465</v>
      </c>
    </row>
    <row r="38" spans="2:7" ht="13.9">
      <c r="B38" s="34" t="s">
        <v>416</v>
      </c>
      <c r="C38" s="35"/>
      <c r="D38" s="35"/>
      <c r="E38" s="35"/>
      <c r="F38" s="35"/>
      <c r="G38" s="35"/>
    </row>
    <row r="39" spans="2:7" ht="13.15">
      <c r="B39" s="421" t="str">
        <f>IF(DCF!F14="II","2","1")&amp;"-stage DCF"</f>
        <v>1-stage DCF</v>
      </c>
      <c r="E39" s="225" t="s">
        <v>251</v>
      </c>
    </row>
    <row r="40" spans="2:7">
      <c r="B40" t="s">
        <v>404</v>
      </c>
      <c r="C40" s="138">
        <f>DCF!C17</f>
        <v>0.24487456943110034</v>
      </c>
      <c r="E40" s="97" t="s">
        <v>405</v>
      </c>
    </row>
    <row r="41" spans="2:7">
      <c r="B41" s="97" t="s">
        <v>403</v>
      </c>
      <c r="C41" s="138">
        <f>DCF!C16</f>
        <v>1.8613012126595961E-2</v>
      </c>
      <c r="E41" s="97"/>
    </row>
    <row r="43" spans="2:7" ht="13.9">
      <c r="B43" s="34" t="s">
        <v>277</v>
      </c>
      <c r="C43" s="35"/>
      <c r="D43" s="35"/>
      <c r="E43" s="35"/>
      <c r="F43" s="35"/>
      <c r="G43" s="35"/>
    </row>
    <row r="44" spans="2:7" ht="13.15">
      <c r="B44" s="106" t="s">
        <v>249</v>
      </c>
      <c r="E44" s="225" t="s">
        <v>251</v>
      </c>
    </row>
    <row r="45" spans="2:7">
      <c r="B45" s="139" t="s">
        <v>111</v>
      </c>
      <c r="C45" s="150">
        <f>C18</f>
        <v>5</v>
      </c>
      <c r="D45" s="137"/>
      <c r="E45" s="224" t="s">
        <v>309</v>
      </c>
    </row>
    <row r="46" spans="2:7">
      <c r="B46" s="114" t="s">
        <v>112</v>
      </c>
      <c r="C46" s="138">
        <v>1.8613012126595961E-2</v>
      </c>
      <c r="D46" s="138"/>
      <c r="E46" s="224" t="s">
        <v>252</v>
      </c>
    </row>
    <row r="47" spans="2:7">
      <c r="B47" s="97" t="s">
        <v>96</v>
      </c>
      <c r="C47" s="146">
        <f>DCF!I18</f>
        <v>3.0824737328900413</v>
      </c>
      <c r="D47" s="146" t="str">
        <f>Market_currency</f>
        <v>HKD</v>
      </c>
      <c r="E47" s="224" t="s">
        <v>253</v>
      </c>
    </row>
    <row r="49" spans="2:7" ht="13.15">
      <c r="B49" s="106" t="s">
        <v>278</v>
      </c>
      <c r="E49" s="225" t="s">
        <v>254</v>
      </c>
    </row>
    <row r="50" spans="2:7">
      <c r="B50" s="97" t="s">
        <v>250</v>
      </c>
      <c r="C50" s="221" t="str">
        <f>IF(C36&lt;C35,"Y","N")</f>
        <v>N</v>
      </c>
      <c r="E50" s="126"/>
    </row>
    <row r="51" spans="2:7">
      <c r="B51" s="97" t="s">
        <v>246</v>
      </c>
      <c r="C51" s="221" t="str">
        <f>IF(C50="Y","N",IF(C46&gt;8%,"N","Y"))</f>
        <v>Y</v>
      </c>
      <c r="E51" s="224" t="s">
        <v>247</v>
      </c>
    </row>
    <row r="52" spans="2:7">
      <c r="B52" s="97" t="s">
        <v>245</v>
      </c>
      <c r="C52" s="221" t="str">
        <f>IF(C46&gt;8%,"Y","N")</f>
        <v>N</v>
      </c>
      <c r="E52" s="224"/>
    </row>
    <row r="53" spans="2:7">
      <c r="B53" s="97" t="s">
        <v>237</v>
      </c>
      <c r="C53" s="220" t="str">
        <f>IF(F53&gt;50%,"Y","N")</f>
        <v>N</v>
      </c>
      <c r="E53" s="126" t="s">
        <v>274</v>
      </c>
      <c r="F53" s="255">
        <f>BS!D89/C36</f>
        <v>-1.0707075426957383E-2</v>
      </c>
    </row>
    <row r="55" spans="2:7" ht="13.9">
      <c r="B55" s="34" t="s">
        <v>107</v>
      </c>
      <c r="C55" s="35"/>
      <c r="D55" s="35"/>
      <c r="E55" s="35"/>
      <c r="F55" s="35"/>
      <c r="G55" s="35"/>
    </row>
    <row r="56" spans="2:7" ht="13.15">
      <c r="B56" s="106" t="s">
        <v>106</v>
      </c>
    </row>
    <row r="57" spans="2:7">
      <c r="B57" s="223" t="s">
        <v>248</v>
      </c>
      <c r="C57" s="222">
        <f>Holding_Period</f>
        <v>2</v>
      </c>
      <c r="D57" s="126"/>
    </row>
    <row r="58" spans="2:7">
      <c r="B58" s="97" t="s">
        <v>335</v>
      </c>
      <c r="C58" s="155">
        <f>C33</f>
        <v>0</v>
      </c>
      <c r="D58" t="str">
        <f>Market_currency</f>
        <v>HKD</v>
      </c>
    </row>
    <row r="60" spans="2:7" ht="13.15">
      <c r="B60" s="106" t="s">
        <v>479</v>
      </c>
      <c r="E60" s="420"/>
    </row>
    <row r="61" spans="2:7" ht="13.15">
      <c r="B61" s="153" t="s">
        <v>468</v>
      </c>
      <c r="C61" s="153" t="s">
        <v>103</v>
      </c>
      <c r="D61" s="153" t="s">
        <v>104</v>
      </c>
      <c r="E61" s="154" t="str">
        <f>"Buy below ("&amp;Market_currency&amp;")"</f>
        <v>Buy below (HKD)</v>
      </c>
      <c r="F61" s="154" t="s">
        <v>460</v>
      </c>
      <c r="G61" s="154" t="s">
        <v>467</v>
      </c>
    </row>
    <row r="62" spans="2:7" ht="13.15">
      <c r="B62" s="309" t="s">
        <v>314</v>
      </c>
      <c r="C62" s="119">
        <f>PV(F62, Holding_Period, -C58, 0)</f>
        <v>0</v>
      </c>
      <c r="D62" s="119">
        <f>C36/(1+F62)^Holding_Period</f>
        <v>1.6911270182576021</v>
      </c>
      <c r="E62" s="339">
        <f>C62+D62</f>
        <v>1.6911270182576021</v>
      </c>
      <c r="F62" s="308">
        <f>Thesis!E22</f>
        <v>0.35</v>
      </c>
      <c r="G62" s="448">
        <f>(1-E62/C36)</f>
        <v>0.4513031550068588</v>
      </c>
    </row>
    <row r="63" spans="2:7" ht="13.15">
      <c r="B63" s="309" t="s">
        <v>315</v>
      </c>
      <c r="C63" s="119">
        <f>PV(F63, Holding_Period, -C58, 0)</f>
        <v>0</v>
      </c>
      <c r="D63" s="119">
        <f>C36/(1+F63)^Holding_Period</f>
        <v>1.9725305540956675</v>
      </c>
      <c r="E63" s="339">
        <f>C63+D63</f>
        <v>1.9725305540956675</v>
      </c>
      <c r="F63" s="308">
        <f>Thesis!E23</f>
        <v>0.25</v>
      </c>
      <c r="G63" s="448">
        <f>(1-E63/C36)</f>
        <v>0.36</v>
      </c>
    </row>
    <row r="65" spans="2:7" ht="13.15">
      <c r="B65" s="153" t="s">
        <v>469</v>
      </c>
      <c r="C65" s="153" t="s">
        <v>103</v>
      </c>
      <c r="D65" s="153" t="s">
        <v>104</v>
      </c>
      <c r="E65" s="154" t="str">
        <f>"Sell above ("&amp;Market_currency&amp;")"</f>
        <v>Sell above (HKD)</v>
      </c>
      <c r="F65" s="154" t="s">
        <v>460</v>
      </c>
      <c r="G65" s="154" t="s">
        <v>467</v>
      </c>
    </row>
    <row r="66" spans="2:7" ht="13.15">
      <c r="B66" s="309" t="s">
        <v>317</v>
      </c>
      <c r="C66" s="119">
        <f>PV(F66, Holding_Period, -C58, 0)</f>
        <v>0</v>
      </c>
      <c r="D66" s="119">
        <f>C36/(1+F66)^Holding_Period</f>
        <v>2.468461914991106</v>
      </c>
      <c r="E66" s="339">
        <f>C66+D66</f>
        <v>2.468461914991106</v>
      </c>
      <c r="F66" s="308">
        <f>Thesis!E24</f>
        <v>0.1174</v>
      </c>
      <c r="G66" s="448">
        <f>(1-E66/C47)</f>
        <v>0.19919450126936034</v>
      </c>
    </row>
    <row r="67" spans="2:7" ht="13.15">
      <c r="B67" s="309" t="s">
        <v>316</v>
      </c>
      <c r="C67" s="119">
        <f>PV(F67, Holding_Period, -C58, 0)</f>
        <v>0</v>
      </c>
      <c r="D67" s="119">
        <f>C36/(1+F67)^Holding_Period</f>
        <v>2.6670234641639636</v>
      </c>
      <c r="E67" s="339">
        <f>C67+D67</f>
        <v>2.6670234641639636</v>
      </c>
      <c r="F67" s="308">
        <f>Thesis!E25</f>
        <v>7.4999999999999997E-2</v>
      </c>
      <c r="G67" s="448">
        <f>(1-E67/C36)</f>
        <v>0.13466738777717679</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abSelected="1" zoomScale="85" zoomScaleNormal="100" workbookViewId="0">
      <selection activeCell="D10" sqref="D10:E10"/>
    </sheetView>
  </sheetViews>
  <sheetFormatPr defaultColWidth="9" defaultRowHeight="12.4"/>
  <cols>
    <col min="1" max="1" width="2.6640625" style="350" customWidth="1"/>
    <col min="2" max="2" width="32.6640625" style="350" customWidth="1"/>
    <col min="3" max="4" width="25.6640625" style="350" customWidth="1"/>
    <col min="5" max="6" width="15.6640625" style="350" customWidth="1"/>
    <col min="7" max="16384" width="9" style="350"/>
  </cols>
  <sheetData>
    <row r="2" spans="1:10" ht="13.9">
      <c r="A2" s="352" t="s">
        <v>336</v>
      </c>
      <c r="B2" s="352"/>
      <c r="C2" s="352"/>
      <c r="D2" s="352"/>
      <c r="E2" s="352"/>
      <c r="F2" s="352"/>
      <c r="G2" s="353"/>
      <c r="H2" s="353"/>
      <c r="I2" s="353"/>
      <c r="J2" s="353"/>
    </row>
    <row r="3" spans="1:10">
      <c r="E3" s="443" t="s">
        <v>548</v>
      </c>
      <c r="F3" s="444">
        <f>Thesis!F3</f>
        <v>45930</v>
      </c>
    </row>
    <row r="4" spans="1:10">
      <c r="B4" s="430" t="s">
        <v>540</v>
      </c>
      <c r="C4" s="431" t="str">
        <f>Thesis!C4</f>
        <v>福寿园</v>
      </c>
      <c r="D4" s="356"/>
      <c r="E4" s="442" t="s">
        <v>546</v>
      </c>
      <c r="F4" s="445" t="str">
        <f>Thesis!F4</f>
        <v>INT</v>
      </c>
    </row>
    <row r="5" spans="1:10">
      <c r="B5" s="350" t="s">
        <v>366</v>
      </c>
      <c r="C5" s="362" t="str">
        <f>Thesis!C5</f>
        <v>1448.HK</v>
      </c>
      <c r="E5" s="446" t="s">
        <v>547</v>
      </c>
      <c r="F5" s="447" t="str">
        <f>Thesis!F5</f>
        <v>Y</v>
      </c>
    </row>
    <row r="6" spans="1:10">
      <c r="B6" s="357" t="s">
        <v>338</v>
      </c>
      <c r="C6" s="359" t="str">
        <f>Thesis!C6</f>
        <v>CNS_01</v>
      </c>
      <c r="E6" s="361"/>
    </row>
    <row r="7" spans="1:10">
      <c r="B7" s="350" t="s">
        <v>368</v>
      </c>
      <c r="C7" s="359" t="str">
        <f>Market_currency</f>
        <v>HKD</v>
      </c>
      <c r="D7" s="361"/>
      <c r="E7" s="361"/>
    </row>
    <row r="8" spans="1:10">
      <c r="B8" s="358" t="s">
        <v>367</v>
      </c>
      <c r="C8" s="363">
        <f>Market_Price</f>
        <v>2.85</v>
      </c>
    </row>
    <row r="9" spans="1:10">
      <c r="B9" s="358" t="s">
        <v>363</v>
      </c>
      <c r="C9" s="360">
        <f>Common_Shares</f>
        <v>2319863422</v>
      </c>
    </row>
    <row r="10" spans="1:10">
      <c r="B10" s="358" t="s">
        <v>369</v>
      </c>
      <c r="C10" s="364">
        <f>投资主题!C8*Common_Shares/1000000</f>
        <v>6611.6107526999995</v>
      </c>
      <c r="D10" s="350" t="s">
        <v>535</v>
      </c>
      <c r="E10" s="367">
        <f>Scenarios!F34</f>
        <v>3.9918854928095174E-2</v>
      </c>
    </row>
    <row r="11" spans="1:10">
      <c r="D11" s="356"/>
      <c r="E11" s="356"/>
    </row>
    <row r="12" spans="1:10" ht="24.5" customHeight="1">
      <c r="B12" s="473" t="s">
        <v>504</v>
      </c>
      <c r="C12" s="473"/>
      <c r="D12" s="473"/>
      <c r="E12" s="473"/>
      <c r="F12" s="473"/>
    </row>
    <row r="14" spans="1:10">
      <c r="B14" s="354" t="s">
        <v>372</v>
      </c>
      <c r="C14" s="355"/>
      <c r="D14" s="356"/>
    </row>
    <row r="15" spans="1:10">
      <c r="B15" s="350" t="s">
        <v>339</v>
      </c>
      <c r="C15" s="365" t="str">
        <f>Thesis!C15</f>
        <v>N</v>
      </c>
      <c r="D15" s="358" t="s">
        <v>370</v>
      </c>
      <c r="E15" s="351" t="str">
        <f>IF(E17=C7,C7,E17&amp;"/"&amp;C7)</f>
        <v>CNY/HKD</v>
      </c>
    </row>
    <row r="16" spans="1:10">
      <c r="B16" s="350" t="s">
        <v>340</v>
      </c>
      <c r="C16" s="365" t="str">
        <f>Thesis!C16</f>
        <v>N</v>
      </c>
      <c r="D16" s="358" t="s">
        <v>371</v>
      </c>
      <c r="E16" s="433">
        <f>Exchange_Rate</f>
        <v>1.0900000000000001</v>
      </c>
    </row>
    <row r="17" spans="1:6">
      <c r="B17" s="350" t="s">
        <v>541</v>
      </c>
      <c r="C17" s="432">
        <f>Terminal_Growth</f>
        <v>0</v>
      </c>
      <c r="D17" s="358" t="s">
        <v>341</v>
      </c>
      <c r="E17" s="351" t="str">
        <f>Reporting_currency</f>
        <v>CNY</v>
      </c>
    </row>
    <row r="18" spans="1:6">
      <c r="B18" s="350" t="str">
        <f>"预期股权价值 ("&amp;C7&amp;") :"</f>
        <v>预期股权价值 (HKD) :</v>
      </c>
      <c r="C18" s="366">
        <f>C125</f>
        <v>3.0820789907744803</v>
      </c>
      <c r="D18" s="357" t="s">
        <v>364</v>
      </c>
      <c r="E18" s="434">
        <f>Thesis!E18</f>
        <v>6</v>
      </c>
    </row>
    <row r="19" spans="1:6">
      <c r="B19" s="357" t="s">
        <v>337</v>
      </c>
      <c r="C19" s="359" t="str">
        <f>IF(Scenarios!C50="Y",Scenarios!B50,"")&amp;IF(Scenarios!C51="Y",Scenarios!B51,"")&amp;IF(Scenarios!C52="Y",Scenarios!B52,"")&amp;" "&amp;IF(Scenarios!C53="Y",Scenarios!B53,"")</f>
        <v xml:space="preserve">Low Growth </v>
      </c>
      <c r="D19" s="350" t="s">
        <v>365</v>
      </c>
      <c r="E19" s="435">
        <f>EOMONTH(EDATE(BS!C1,E18+2),0)</f>
        <v>46081</v>
      </c>
    </row>
    <row r="20" spans="1:6">
      <c r="D20" s="356"/>
      <c r="E20" s="356"/>
    </row>
    <row r="21" spans="1:6">
      <c r="B21" s="354" t="s">
        <v>499</v>
      </c>
      <c r="C21" s="368" t="str">
        <f>C138&amp;" ("&amp;Market_currency&amp;")"</f>
        <v xml:space="preserve"> (HKD)</v>
      </c>
      <c r="D21" s="369" t="s">
        <v>346</v>
      </c>
      <c r="E21" s="370">
        <f>Holding_Period</f>
        <v>2</v>
      </c>
    </row>
    <row r="22" spans="1:6">
      <c r="B22" s="350" t="s">
        <v>342</v>
      </c>
      <c r="C22" s="371">
        <f>E140</f>
        <v>1.6911270182576021</v>
      </c>
      <c r="D22" s="372" t="s">
        <v>446</v>
      </c>
      <c r="E22" s="373">
        <f>Thesis!E22</f>
        <v>0.35</v>
      </c>
    </row>
    <row r="23" spans="1:6">
      <c r="B23" s="350" t="s">
        <v>343</v>
      </c>
      <c r="C23" s="374">
        <f>E141</f>
        <v>1.9725305540956675</v>
      </c>
      <c r="D23" s="372" t="s">
        <v>447</v>
      </c>
      <c r="E23" s="375">
        <f>Thesis!E23</f>
        <v>0.25</v>
      </c>
    </row>
    <row r="24" spans="1:6">
      <c r="B24" s="350" t="s">
        <v>345</v>
      </c>
      <c r="C24" s="374">
        <f>E144</f>
        <v>2.468461914991106</v>
      </c>
      <c r="D24" s="372" t="s">
        <v>449</v>
      </c>
      <c r="E24" s="375">
        <f>Thesis!E24</f>
        <v>0.1174</v>
      </c>
    </row>
    <row r="25" spans="1:6">
      <c r="B25" s="350" t="s">
        <v>344</v>
      </c>
      <c r="C25" s="374">
        <f>E145</f>
        <v>2.6670234641639636</v>
      </c>
      <c r="D25" s="372" t="s">
        <v>448</v>
      </c>
      <c r="E25" s="375">
        <f>Thesis!E25</f>
        <v>7.4999999999999997E-2</v>
      </c>
    </row>
    <row r="27" spans="1:6" ht="13.9">
      <c r="A27" s="352" t="s">
        <v>347</v>
      </c>
      <c r="B27" s="352"/>
      <c r="C27" s="352"/>
      <c r="D27" s="352"/>
      <c r="E27" s="352"/>
      <c r="F27" s="352"/>
    </row>
    <row r="29" spans="1:6">
      <c r="B29" s="473" t="s">
        <v>505</v>
      </c>
      <c r="C29" s="473"/>
      <c r="D29" s="473"/>
      <c r="E29" s="473"/>
      <c r="F29" s="473"/>
    </row>
    <row r="30" spans="1:6" ht="24.5" customHeight="1">
      <c r="B30" s="476" t="s">
        <v>506</v>
      </c>
      <c r="C30" s="476"/>
      <c r="D30" s="476"/>
      <c r="E30" s="476"/>
      <c r="F30" s="476"/>
    </row>
    <row r="32" spans="1:6">
      <c r="B32" s="376" t="s">
        <v>373</v>
      </c>
      <c r="C32" s="377">
        <f>scaling_factor</f>
        <v>1000</v>
      </c>
    </row>
    <row r="33" spans="2:6">
      <c r="B33" s="469" t="s">
        <v>507</v>
      </c>
      <c r="C33" s="469"/>
      <c r="D33" s="469"/>
      <c r="E33" s="469"/>
      <c r="F33" s="469"/>
    </row>
    <row r="34" spans="2:6">
      <c r="B34" s="379" t="s">
        <v>197</v>
      </c>
      <c r="C34" s="380">
        <f>Normalized_FCF!C8</f>
        <v>611412.69999999972</v>
      </c>
      <c r="D34" s="350" t="str">
        <f>Reporting_currency</f>
        <v>CNY</v>
      </c>
    </row>
    <row r="35" spans="2:6">
      <c r="B35" s="379"/>
      <c r="C35" s="381"/>
    </row>
    <row r="36" spans="2:6" ht="24.5" customHeight="1">
      <c r="B36" s="469" t="s">
        <v>508</v>
      </c>
      <c r="C36" s="469"/>
      <c r="D36" s="469"/>
      <c r="E36" s="469"/>
      <c r="F36" s="469"/>
    </row>
    <row r="37" spans="2:6">
      <c r="B37" s="379" t="s">
        <v>199</v>
      </c>
      <c r="C37" s="380">
        <f>Normalized_FCF!C15</f>
        <v>0</v>
      </c>
      <c r="D37" s="350" t="str">
        <f>Reporting_currency</f>
        <v>CNY</v>
      </c>
    </row>
    <row r="38" spans="2:6">
      <c r="B38" s="382" t="s">
        <v>200</v>
      </c>
      <c r="C38" s="380">
        <f>Normalized_FCF!C16</f>
        <v>0</v>
      </c>
      <c r="D38" s="350" t="str">
        <f>Reporting_currency</f>
        <v>CNY</v>
      </c>
    </row>
    <row r="40" spans="2:6">
      <c r="B40" s="469" t="s">
        <v>509</v>
      </c>
      <c r="C40" s="469"/>
      <c r="D40" s="469"/>
      <c r="E40" s="469"/>
      <c r="F40" s="469"/>
    </row>
    <row r="41" spans="2:6">
      <c r="B41" s="379" t="s">
        <v>202</v>
      </c>
      <c r="C41" s="380">
        <f>Normalized_FCF!C9</f>
        <v>0</v>
      </c>
      <c r="D41" s="350" t="str">
        <f>Reporting_currency</f>
        <v>CNY</v>
      </c>
    </row>
    <row r="43" spans="2:6">
      <c r="B43" s="469" t="s">
        <v>510</v>
      </c>
      <c r="C43" s="469"/>
      <c r="D43" s="469"/>
      <c r="E43" s="469"/>
      <c r="F43" s="469"/>
    </row>
    <row r="44" spans="2:6">
      <c r="B44" s="379" t="s">
        <v>268</v>
      </c>
      <c r="C44" s="383">
        <f>Normalized_FCF!C46</f>
        <v>421.41305</v>
      </c>
      <c r="D44" s="350" t="str">
        <f>Reporting_currency</f>
        <v>CNY</v>
      </c>
      <c r="E44" s="378"/>
      <c r="F44" s="378"/>
    </row>
    <row r="45" spans="2:6">
      <c r="B45" s="379" t="s">
        <v>269</v>
      </c>
      <c r="C45" s="383">
        <f>Normalized_FCF!C45</f>
        <v>0</v>
      </c>
      <c r="D45" s="350" t="str">
        <f>Reporting_currency</f>
        <v>CNY</v>
      </c>
      <c r="E45" s="378"/>
      <c r="F45" s="378"/>
    </row>
    <row r="46" spans="2:6">
      <c r="B46" s="379" t="s">
        <v>203</v>
      </c>
      <c r="C46" s="380">
        <f>Normalized_FCF!C10</f>
        <v>421.41305</v>
      </c>
      <c r="D46" s="350" t="str">
        <f>Reporting_currency</f>
        <v>CNY</v>
      </c>
    </row>
    <row r="48" spans="2:6">
      <c r="B48" s="350" t="s">
        <v>511</v>
      </c>
    </row>
    <row r="49" spans="2:6">
      <c r="B49" s="379" t="s">
        <v>223</v>
      </c>
      <c r="C49" s="380">
        <f>Normalized_FCF!C13</f>
        <v>0</v>
      </c>
      <c r="D49" s="350" t="str">
        <f>Reporting_currency</f>
        <v>CNY</v>
      </c>
    </row>
    <row r="51" spans="2:6">
      <c r="B51" s="469" t="s">
        <v>512</v>
      </c>
      <c r="C51" s="469"/>
      <c r="D51" s="469"/>
      <c r="E51" s="469"/>
      <c r="F51" s="469"/>
    </row>
    <row r="52" spans="2:6">
      <c r="B52" s="379" t="s">
        <v>502</v>
      </c>
      <c r="C52" s="380">
        <f>Normalized_FCF!C12</f>
        <v>-152958.52826249992</v>
      </c>
      <c r="D52" s="350" t="str">
        <f>Reporting_currency</f>
        <v>CNY</v>
      </c>
    </row>
    <row r="54" spans="2:6">
      <c r="B54" s="469" t="s">
        <v>513</v>
      </c>
      <c r="C54" s="475"/>
      <c r="D54" s="475"/>
      <c r="E54" s="475"/>
      <c r="F54" s="475"/>
    </row>
    <row r="55" spans="2:6">
      <c r="B55" s="379" t="s">
        <v>207</v>
      </c>
      <c r="C55" s="380">
        <f>Normalized_FCF!C17</f>
        <v>0</v>
      </c>
      <c r="D55" s="350" t="str">
        <f>Reporting_currency</f>
        <v>CNY</v>
      </c>
    </row>
    <row r="57" spans="2:6">
      <c r="B57" s="473" t="s">
        <v>514</v>
      </c>
      <c r="C57" s="473"/>
      <c r="D57" s="473"/>
      <c r="E57" s="473"/>
      <c r="F57" s="473"/>
    </row>
    <row r="58" spans="2:6">
      <c r="B58" s="473" t="s">
        <v>515</v>
      </c>
      <c r="C58" s="473"/>
      <c r="D58" s="473"/>
      <c r="E58" s="473"/>
      <c r="F58" s="473"/>
    </row>
    <row r="60" spans="2:6">
      <c r="B60" s="379" t="s">
        <v>374</v>
      </c>
      <c r="C60" s="380">
        <f>Normalized_FCF!G19</f>
        <v>1532532118.2583332</v>
      </c>
      <c r="D60" s="350" t="str">
        <f>Reporting_currency</f>
        <v>CNY</v>
      </c>
    </row>
    <row r="61" spans="2:6">
      <c r="B61" s="379" t="s">
        <v>213</v>
      </c>
      <c r="C61" s="380">
        <f>Normalized_FCF!C19</f>
        <v>458875.58478749974</v>
      </c>
      <c r="D61" s="350" t="str">
        <f>Reporting_currency</f>
        <v>CNY</v>
      </c>
    </row>
    <row r="62" spans="2:6">
      <c r="B62" s="384" t="s">
        <v>304</v>
      </c>
      <c r="C62" s="385">
        <f>Normalized_FCF!C124</f>
        <v>7.5650912633372633E-2</v>
      </c>
      <c r="F62" s="386"/>
    </row>
    <row r="63" spans="2:6">
      <c r="B63" s="384" t="s">
        <v>334</v>
      </c>
      <c r="C63" s="385">
        <f>Normalized_FCF!C92</f>
        <v>0</v>
      </c>
      <c r="E63" s="379" t="s">
        <v>375</v>
      </c>
      <c r="F63" s="387">
        <f>Normalized_FCF!C90</f>
        <v>0</v>
      </c>
    </row>
    <row r="65" spans="1:6">
      <c r="B65" s="376" t="s">
        <v>378</v>
      </c>
      <c r="C65" s="388" t="s">
        <v>329</v>
      </c>
      <c r="D65" s="388" t="s">
        <v>376</v>
      </c>
    </row>
    <row r="66" spans="1:6">
      <c r="B66" s="379" t="s">
        <v>328</v>
      </c>
      <c r="C66" s="385" t="e">
        <f>Normalized_FCF!C119</f>
        <v>#DIV/0!</v>
      </c>
      <c r="D66" s="385" t="e">
        <f>Normalized_FCF!G119</f>
        <v>#DIV/0!</v>
      </c>
    </row>
    <row r="67" spans="1:6">
      <c r="B67" s="389" t="str">
        <f>Normalized_FCF!B116</f>
        <v>Pre-tax Profit/Sales</v>
      </c>
      <c r="C67" s="390">
        <f>Normalized_FCF!C116</f>
        <v>0.42072465199663206</v>
      </c>
      <c r="D67" s="390">
        <f>Normalized_FCF!G116</f>
        <v>737.89713579422664</v>
      </c>
    </row>
    <row r="68" spans="1:6">
      <c r="B68" s="389" t="str">
        <f>Normalized_FCF!B117</f>
        <v>Sales/Total Assets</v>
      </c>
      <c r="C68" s="391">
        <f>Normalized_FCF!C117</f>
        <v>727119.39999999991</v>
      </c>
      <c r="D68" s="391">
        <f>Normalized_FCF!G117</f>
        <v>1038742</v>
      </c>
    </row>
    <row r="69" spans="1:6">
      <c r="B69" s="389" t="str">
        <f>Normalized_FCF!B118</f>
        <v>Total Assets/Equity</v>
      </c>
      <c r="C69" s="391" t="e">
        <f>Normalized_FCF!C118</f>
        <v>#DIV/0!</v>
      </c>
      <c r="D69" s="391" t="e">
        <f>Normalized_FCF!G118</f>
        <v>#DIV/0!</v>
      </c>
    </row>
    <row r="71" spans="1:6" ht="13.9">
      <c r="A71" s="352" t="s">
        <v>482</v>
      </c>
      <c r="B71" s="352"/>
      <c r="C71" s="352"/>
      <c r="D71" s="352"/>
      <c r="E71" s="352"/>
      <c r="F71" s="352"/>
    </row>
    <row r="72" spans="1:6">
      <c r="A72" s="392"/>
    </row>
    <row r="73" spans="1:6">
      <c r="A73" s="393"/>
      <c r="B73" s="473" t="s">
        <v>516</v>
      </c>
      <c r="C73" s="473"/>
      <c r="D73" s="473"/>
      <c r="E73" s="473"/>
      <c r="F73" s="473"/>
    </row>
    <row r="74" spans="1:6">
      <c r="B74" s="476" t="s">
        <v>485</v>
      </c>
      <c r="C74" s="476"/>
      <c r="D74" s="476"/>
      <c r="E74" s="476"/>
      <c r="F74" s="476"/>
    </row>
    <row r="76" spans="1:6">
      <c r="B76" s="376" t="s">
        <v>373</v>
      </c>
    </row>
    <row r="77" spans="1:6">
      <c r="B77" s="473" t="s">
        <v>517</v>
      </c>
      <c r="C77" s="473"/>
      <c r="D77" s="473"/>
      <c r="E77" s="473"/>
      <c r="F77" s="473"/>
    </row>
    <row r="78" spans="1:6">
      <c r="B78" s="350" t="s">
        <v>215</v>
      </c>
      <c r="C78" s="380">
        <f>DCF!F4</f>
        <v>0</v>
      </c>
      <c r="D78" s="350" t="str">
        <f>Reporting_currency</f>
        <v>CNY</v>
      </c>
    </row>
    <row r="79" spans="1:6">
      <c r="B79" s="379" t="s">
        <v>234</v>
      </c>
      <c r="C79" s="394">
        <f>C78*scaling_factor*Exchange_Rate/Common_Shares</f>
        <v>0</v>
      </c>
      <c r="D79" s="350" t="str">
        <f>Market_currency</f>
        <v>HKD</v>
      </c>
    </row>
    <row r="80" spans="1:6">
      <c r="B80" s="389" t="s">
        <v>311</v>
      </c>
      <c r="C80" s="395" t="e">
        <f>IF(BS!G31/BS!G27&gt;300%,"nm",BS!G31/BS!G27)</f>
        <v>#DIV/0!</v>
      </c>
    </row>
    <row r="81" spans="1:6">
      <c r="B81" s="389" t="s">
        <v>313</v>
      </c>
      <c r="C81" s="396">
        <f>IF(BS!C50&gt;30,"nm",BS!C50)</f>
        <v>0</v>
      </c>
    </row>
    <row r="83" spans="1:6">
      <c r="B83" s="350" t="s">
        <v>518</v>
      </c>
    </row>
    <row r="84" spans="1:6">
      <c r="B84" s="350" t="s">
        <v>224</v>
      </c>
      <c r="C84" s="380">
        <f>DCF!F5</f>
        <v>-70234.508333333331</v>
      </c>
      <c r="D84" s="350" t="str">
        <f>Reporting_currency</f>
        <v>CNY</v>
      </c>
    </row>
    <row r="85" spans="1:6">
      <c r="B85" s="389" t="s">
        <v>487</v>
      </c>
      <c r="C85" s="397">
        <f>BS!C66</f>
        <v>1</v>
      </c>
      <c r="D85" s="398" t="str">
        <f>Reporting_currency</f>
        <v>CNY</v>
      </c>
    </row>
    <row r="86" spans="1:6">
      <c r="B86" s="379" t="s">
        <v>235</v>
      </c>
      <c r="C86" s="394">
        <f>C84*scaling_factor*Exchange_Rate/Common_Shares</f>
        <v>-3.3000052226063045E-2</v>
      </c>
      <c r="D86" s="350" t="str">
        <f>Market_currency</f>
        <v>HKD</v>
      </c>
    </row>
    <row r="88" spans="1:6">
      <c r="B88" s="350" t="s">
        <v>519</v>
      </c>
    </row>
    <row r="89" spans="1:6">
      <c r="B89" s="350" t="s">
        <v>217</v>
      </c>
      <c r="C89" s="380">
        <f>DCF!F6</f>
        <v>0</v>
      </c>
      <c r="D89" s="350" t="str">
        <f>Reporting_currency</f>
        <v>CNY</v>
      </c>
    </row>
    <row r="90" spans="1:6">
      <c r="B90" s="379" t="s">
        <v>236</v>
      </c>
      <c r="C90" s="394">
        <f>C89*scaling_factor*Exchange_Rate/Common_Shares</f>
        <v>0</v>
      </c>
      <c r="D90" s="350" t="str">
        <f>Market_currency</f>
        <v>HKD</v>
      </c>
    </row>
    <row r="92" spans="1:6">
      <c r="B92" s="379" t="s">
        <v>486</v>
      </c>
      <c r="C92" s="394">
        <f>DCF!F8</f>
        <v>-3.3000052226063045E-2</v>
      </c>
      <c r="D92" s="350" t="str">
        <f>Market_currency</f>
        <v>HKD</v>
      </c>
    </row>
    <row r="94" spans="1:6" ht="13.9">
      <c r="A94" s="352" t="s">
        <v>488</v>
      </c>
      <c r="B94" s="352"/>
      <c r="C94" s="352"/>
      <c r="D94" s="352"/>
      <c r="E94" s="352"/>
      <c r="F94" s="352"/>
    </row>
    <row r="95" spans="1:6">
      <c r="A95" s="392"/>
    </row>
    <row r="96" spans="1:6">
      <c r="A96" s="392"/>
      <c r="B96" s="473" t="s">
        <v>520</v>
      </c>
      <c r="C96" s="473"/>
      <c r="D96" s="473"/>
      <c r="E96" s="473"/>
      <c r="F96" s="473"/>
    </row>
    <row r="97" spans="1:6">
      <c r="A97" s="392"/>
      <c r="B97" s="476" t="s">
        <v>521</v>
      </c>
      <c r="C97" s="476"/>
      <c r="D97" s="476"/>
      <c r="E97" s="476"/>
      <c r="F97" s="476"/>
    </row>
    <row r="98" spans="1:6">
      <c r="A98" s="392"/>
      <c r="B98" s="476" t="s">
        <v>522</v>
      </c>
      <c r="C98" s="476"/>
      <c r="D98" s="476"/>
      <c r="E98" s="476"/>
      <c r="F98" s="476"/>
    </row>
    <row r="99" spans="1:6">
      <c r="A99" s="392"/>
    </row>
    <row r="100" spans="1:6">
      <c r="A100" s="392"/>
      <c r="B100" s="376" t="s">
        <v>373</v>
      </c>
    </row>
    <row r="101" spans="1:6">
      <c r="A101" s="392"/>
      <c r="B101" s="379" t="s">
        <v>212</v>
      </c>
      <c r="C101" s="375">
        <f>E25+C103</f>
        <v>7.4999999999999997E-2</v>
      </c>
    </row>
    <row r="102" spans="1:6">
      <c r="A102" s="392"/>
      <c r="B102" s="389" t="s">
        <v>320</v>
      </c>
      <c r="C102" s="390">
        <f>E25</f>
        <v>7.4999999999999997E-2</v>
      </c>
    </row>
    <row r="103" spans="1:6">
      <c r="A103" s="392"/>
      <c r="B103" s="389" t="s">
        <v>319</v>
      </c>
      <c r="C103" s="390">
        <f>IF(C15="Y",1%,0)+IF(C16="Y",1%,0)</f>
        <v>0</v>
      </c>
    </row>
    <row r="104" spans="1:6">
      <c r="A104" s="392"/>
      <c r="B104" s="379" t="s">
        <v>541</v>
      </c>
      <c r="C104" s="375">
        <v>0</v>
      </c>
    </row>
    <row r="105" spans="1:6">
      <c r="A105" s="392"/>
      <c r="C105" s="399"/>
    </row>
    <row r="106" spans="1:6">
      <c r="A106" s="392"/>
      <c r="B106" s="400" t="s">
        <v>377</v>
      </c>
      <c r="C106" s="399"/>
    </row>
    <row r="107" spans="1:6">
      <c r="A107" s="392"/>
      <c r="B107" s="473" t="s">
        <v>523</v>
      </c>
      <c r="C107" s="473"/>
      <c r="D107" s="473"/>
      <c r="E107" s="473"/>
      <c r="F107" s="473"/>
    </row>
    <row r="108" spans="1:6">
      <c r="A108" s="392"/>
      <c r="B108" s="473" t="s">
        <v>542</v>
      </c>
      <c r="C108" s="473"/>
      <c r="D108" s="473"/>
      <c r="E108" s="473"/>
      <c r="F108" s="473"/>
    </row>
    <row r="109" spans="1:6">
      <c r="A109" s="392"/>
    </row>
    <row r="110" spans="1:6">
      <c r="A110" s="392"/>
      <c r="B110" s="376" t="s">
        <v>495</v>
      </c>
    </row>
    <row r="111" spans="1:6">
      <c r="A111" s="392"/>
      <c r="B111" s="382" t="s">
        <v>492</v>
      </c>
      <c r="C111" s="401">
        <f>BS!D47</f>
        <v>-4.6985524650424879E-7</v>
      </c>
      <c r="D111" s="350" t="str">
        <f>Market_currency</f>
        <v>HKD</v>
      </c>
    </row>
    <row r="112" spans="1:6">
      <c r="A112" s="392"/>
      <c r="B112" s="379" t="s">
        <v>379</v>
      </c>
      <c r="C112" s="401">
        <f>DCF!C11</f>
        <v>2.8417346278420972</v>
      </c>
      <c r="D112" s="350" t="str">
        <f>Market_currency</f>
        <v>HKD</v>
      </c>
    </row>
    <row r="113" spans="1:6">
      <c r="A113" s="392"/>
    </row>
    <row r="114" spans="1:6">
      <c r="A114" s="392"/>
      <c r="B114" s="473" t="s">
        <v>524</v>
      </c>
      <c r="C114" s="473"/>
      <c r="D114" s="473"/>
      <c r="E114" s="473"/>
      <c r="F114" s="473"/>
    </row>
    <row r="115" spans="1:6">
      <c r="A115" s="392"/>
    </row>
    <row r="116" spans="1:6">
      <c r="A116" s="392"/>
      <c r="B116" s="376" t="s">
        <v>496</v>
      </c>
    </row>
    <row r="117" spans="1:6">
      <c r="A117" s="392"/>
      <c r="B117" s="349" t="s">
        <v>380</v>
      </c>
      <c r="C117" s="349" t="s">
        <v>381</v>
      </c>
      <c r="D117" s="349" t="s">
        <v>99</v>
      </c>
      <c r="E117" s="349" t="s">
        <v>382</v>
      </c>
      <c r="F117" s="349" t="s">
        <v>383</v>
      </c>
    </row>
    <row r="118" spans="1:6">
      <c r="A118" s="392"/>
      <c r="B118" s="402" t="str">
        <f>DCF!B82</f>
        <v>Snowball Scenario</v>
      </c>
      <c r="C118" s="403">
        <f>DCF!C82</f>
        <v>0.08</v>
      </c>
      <c r="D118" s="404">
        <f>DCF!D82</f>
        <v>5</v>
      </c>
      <c r="E118" s="405" t="str">
        <f>ROUND(DCF!E82,2)&amp;" "&amp;Market_currency</f>
        <v>4 HKD</v>
      </c>
      <c r="F118" s="406">
        <f>DCF!F82</f>
        <v>0.05</v>
      </c>
    </row>
    <row r="119" spans="1:6">
      <c r="A119" s="392"/>
      <c r="B119" s="407" t="str">
        <f>DCF!B83</f>
        <v>Optimistic</v>
      </c>
      <c r="C119" s="408">
        <f>DCF!C83</f>
        <v>0.03</v>
      </c>
      <c r="D119" s="409">
        <f>DCF!D83</f>
        <v>5</v>
      </c>
      <c r="E119" s="405" t="str">
        <f>ROUND(DCF!E83,2)&amp;" "&amp;Market_currency</f>
        <v>3.24 HKD</v>
      </c>
      <c r="F119" s="410">
        <f>DCF!F83</f>
        <v>0.18</v>
      </c>
    </row>
    <row r="120" spans="1:6">
      <c r="B120" s="407" t="str">
        <f>DCF!B84</f>
        <v>Base</v>
      </c>
      <c r="C120" s="408">
        <f>DCF!C84</f>
        <v>0.02</v>
      </c>
      <c r="D120" s="409">
        <f>DCF!D84</f>
        <v>5</v>
      </c>
      <c r="E120" s="405" t="str">
        <f>ROUND(DCF!E84,2)&amp;" "&amp;Market_currency</f>
        <v>3.1 HKD</v>
      </c>
      <c r="F120" s="410">
        <f>DCF!F84</f>
        <v>0.53999999999999992</v>
      </c>
    </row>
    <row r="121" spans="1:6">
      <c r="B121" s="407" t="str">
        <f>DCF!B85</f>
        <v>Pessimistic</v>
      </c>
      <c r="C121" s="408">
        <f>DCF!C85</f>
        <v>0.01</v>
      </c>
      <c r="D121" s="409">
        <f>DCF!D85</f>
        <v>5</v>
      </c>
      <c r="E121" s="405" t="str">
        <f>ROUND(DCF!E85,2)&amp;" "&amp;Market_currency</f>
        <v>2.97 HKD</v>
      </c>
      <c r="F121" s="410">
        <f>DCF!F85</f>
        <v>0.18</v>
      </c>
    </row>
    <row r="122" spans="1:6">
      <c r="B122" s="407" t="str">
        <f>DCF!B86</f>
        <v>Devil's advocate</v>
      </c>
      <c r="C122" s="408">
        <f>DCF!C86</f>
        <v>-0.1</v>
      </c>
      <c r="D122" s="409">
        <f>DCF!D86</f>
        <v>5</v>
      </c>
      <c r="E122" s="405" t="str">
        <f>ROUND(DCF!E86,2)&amp;" "&amp;Market_currency</f>
        <v>1.8 HKD</v>
      </c>
      <c r="F122" s="410">
        <f>DCF!F86</f>
        <v>0.05</v>
      </c>
    </row>
    <row r="124" spans="1:6">
      <c r="B124" s="469" t="s">
        <v>525</v>
      </c>
      <c r="C124" s="469"/>
      <c r="D124" s="469"/>
      <c r="E124" s="469"/>
      <c r="F124" s="469"/>
    </row>
    <row r="125" spans="1:6">
      <c r="B125" s="379" t="s">
        <v>218</v>
      </c>
      <c r="C125" s="411">
        <f>Scenarios!C36</f>
        <v>3.0820789907744803</v>
      </c>
      <c r="D125" s="350" t="str">
        <f>Market_currency</f>
        <v>HKD</v>
      </c>
    </row>
    <row r="127" spans="1:6">
      <c r="B127" s="471" t="s">
        <v>526</v>
      </c>
      <c r="C127" s="471"/>
      <c r="D127" s="471"/>
      <c r="E127" s="471"/>
      <c r="F127" s="471"/>
    </row>
    <row r="129" spans="1:6" ht="13.9">
      <c r="A129" s="352" t="s">
        <v>498</v>
      </c>
      <c r="B129" s="352"/>
      <c r="C129" s="352"/>
      <c r="D129" s="352"/>
      <c r="E129" s="352"/>
      <c r="F129" s="352"/>
    </row>
    <row r="131" spans="1:6">
      <c r="B131" s="472" t="s">
        <v>527</v>
      </c>
      <c r="C131" s="472"/>
      <c r="D131" s="472"/>
      <c r="E131" s="472"/>
      <c r="F131" s="472"/>
    </row>
    <row r="132" spans="1:6" ht="24.5" customHeight="1">
      <c r="B132" s="473" t="s">
        <v>528</v>
      </c>
      <c r="C132" s="473"/>
      <c r="D132" s="473"/>
      <c r="E132" s="473"/>
      <c r="F132" s="473"/>
    </row>
    <row r="134" spans="1:6">
      <c r="B134" s="376" t="s">
        <v>373</v>
      </c>
    </row>
    <row r="135" spans="1:6">
      <c r="B135" s="350" t="s">
        <v>384</v>
      </c>
      <c r="C135" s="412">
        <f>E21</f>
        <v>2</v>
      </c>
    </row>
    <row r="136" spans="1:6">
      <c r="B136" s="350" t="s">
        <v>385</v>
      </c>
      <c r="C136" s="413">
        <f>Scenarios!C58</f>
        <v>0</v>
      </c>
      <c r="D136" s="350" t="str">
        <f>Market_currency</f>
        <v>HKD</v>
      </c>
    </row>
    <row r="138" spans="1:6">
      <c r="B138" s="376" t="s">
        <v>499</v>
      </c>
      <c r="C138" s="414"/>
      <c r="D138" s="414"/>
    </row>
    <row r="139" spans="1:6">
      <c r="B139" s="347" t="s">
        <v>468</v>
      </c>
      <c r="C139" s="347" t="str">
        <f>"PV("&amp;Holding_Period&amp;" yrs of Dividends)"</f>
        <v>PV(2 yrs of Dividends)</v>
      </c>
      <c r="D139" s="347" t="s">
        <v>477</v>
      </c>
      <c r="E139" s="348" t="str">
        <f>"Buy below ("&amp;Market_currency&amp;")"</f>
        <v>Buy below (HKD)</v>
      </c>
      <c r="F139" s="348" t="s">
        <v>501</v>
      </c>
    </row>
    <row r="140" spans="1:6">
      <c r="B140" s="415" t="s">
        <v>314</v>
      </c>
      <c r="C140" s="416">
        <f>Scenarios!C62</f>
        <v>0</v>
      </c>
      <c r="D140" s="416">
        <f>Scenarios!D62</f>
        <v>1.6911270182576021</v>
      </c>
      <c r="E140" s="417">
        <f>Scenarios!E62</f>
        <v>1.6911270182576021</v>
      </c>
      <c r="F140" s="418">
        <f>E22</f>
        <v>0.35</v>
      </c>
    </row>
    <row r="141" spans="1:6">
      <c r="B141" s="415" t="s">
        <v>315</v>
      </c>
      <c r="C141" s="416">
        <f>Scenarios!C63</f>
        <v>0</v>
      </c>
      <c r="D141" s="416">
        <f>Scenarios!D63</f>
        <v>1.9725305540956675</v>
      </c>
      <c r="E141" s="417">
        <f>Scenarios!E63</f>
        <v>1.9725305540956675</v>
      </c>
      <c r="F141" s="418">
        <f>Scenarios!F63</f>
        <v>0.25</v>
      </c>
    </row>
    <row r="143" spans="1:6">
      <c r="B143" s="347" t="s">
        <v>469</v>
      </c>
      <c r="C143" s="347" t="str">
        <f>"PV("&amp;Holding_Period&amp;" yrs of Dividends)"</f>
        <v>PV(2 yrs of Dividends)</v>
      </c>
      <c r="D143" s="347" t="s">
        <v>477</v>
      </c>
      <c r="E143" s="348" t="str">
        <f>"Sell above ("&amp;Market_currency&amp;")"</f>
        <v>Sell above (HKD)</v>
      </c>
      <c r="F143" s="348" t="s">
        <v>501</v>
      </c>
    </row>
    <row r="144" spans="1:6">
      <c r="B144" s="415" t="s">
        <v>317</v>
      </c>
      <c r="C144" s="416">
        <f>Scenarios!C66</f>
        <v>0</v>
      </c>
      <c r="D144" s="416">
        <f>Scenarios!D66</f>
        <v>2.468461914991106</v>
      </c>
      <c r="E144" s="417">
        <f>Scenarios!E66</f>
        <v>2.468461914991106</v>
      </c>
      <c r="F144" s="418">
        <f>E24</f>
        <v>0.1174</v>
      </c>
    </row>
    <row r="145" spans="1:6">
      <c r="B145" s="415" t="s">
        <v>316</v>
      </c>
      <c r="C145" s="416">
        <f>Scenarios!C67</f>
        <v>0</v>
      </c>
      <c r="D145" s="416">
        <f>Scenarios!D67</f>
        <v>2.6670234641639636</v>
      </c>
      <c r="E145" s="417">
        <f>Scenarios!E67</f>
        <v>2.6670234641639636</v>
      </c>
      <c r="F145" s="418">
        <f>Scenarios!F67</f>
        <v>7.4999999999999997E-2</v>
      </c>
    </row>
    <row r="147" spans="1:6" ht="13.9">
      <c r="A147" s="352" t="s">
        <v>481</v>
      </c>
      <c r="B147" s="352"/>
      <c r="C147" s="352"/>
      <c r="D147" s="352"/>
      <c r="E147" s="352"/>
      <c r="F147" s="352"/>
    </row>
    <row r="149" spans="1:6">
      <c r="B149" s="474" t="s">
        <v>529</v>
      </c>
      <c r="C149" s="473"/>
      <c r="D149" s="473"/>
      <c r="E149" s="473"/>
      <c r="F149" s="473"/>
    </row>
    <row r="151" spans="1:6">
      <c r="B151" s="376" t="s">
        <v>386</v>
      </c>
    </row>
    <row r="152" spans="1:6">
      <c r="B152" s="475" t="s">
        <v>530</v>
      </c>
      <c r="C152" s="475"/>
      <c r="D152" s="475"/>
      <c r="E152" s="475"/>
      <c r="F152" s="475"/>
    </row>
    <row r="153" spans="1:6">
      <c r="B153" s="419" t="s">
        <v>387</v>
      </c>
    </row>
    <row r="154" spans="1:6">
      <c r="B154" s="419" t="s">
        <v>388</v>
      </c>
    </row>
    <row r="155" spans="1:6">
      <c r="B155" s="419" t="s">
        <v>389</v>
      </c>
    </row>
    <row r="157" spans="1:6">
      <c r="B157" s="350" t="s">
        <v>531</v>
      </c>
    </row>
    <row r="158" spans="1:6" ht="24.5" customHeight="1">
      <c r="B158" s="469" t="s">
        <v>445</v>
      </c>
      <c r="C158" s="469"/>
      <c r="D158" s="469"/>
      <c r="E158" s="469"/>
      <c r="F158" s="469"/>
    </row>
    <row r="160" spans="1:6">
      <c r="B160" s="350" t="s">
        <v>532</v>
      </c>
    </row>
    <row r="161" spans="2:6">
      <c r="B161" s="470" t="s">
        <v>390</v>
      </c>
      <c r="C161" s="470"/>
      <c r="D161" s="470"/>
      <c r="E161" s="470"/>
      <c r="F161" s="470"/>
    </row>
    <row r="162" spans="2:6">
      <c r="B162" s="470" t="s">
        <v>391</v>
      </c>
      <c r="C162" s="470"/>
      <c r="D162" s="470"/>
      <c r="E162" s="470"/>
      <c r="F162" s="470"/>
    </row>
    <row r="164" spans="2:6">
      <c r="B164" s="350" t="s">
        <v>533</v>
      </c>
    </row>
    <row r="165" spans="2:6">
      <c r="B165" s="419" t="s">
        <v>392</v>
      </c>
    </row>
    <row r="166" spans="2:6">
      <c r="B166" s="419" t="s">
        <v>393</v>
      </c>
    </row>
    <row r="167" spans="2:6">
      <c r="B167" s="419" t="s">
        <v>394</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2025-10-03T06:32:43Z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