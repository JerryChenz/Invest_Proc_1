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8003C3F3-875F-4A64-B2CC-EC1C14CFAB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26" i="6" l="1"/>
  <c r="C80" i="9"/>
  <c r="C78" i="6"/>
  <c r="C79" i="6"/>
  <c r="C80" i="6" s="1"/>
  <c r="C165" i="6"/>
  <c r="D169" i="6"/>
  <c r="C169" i="6"/>
  <c r="C102" i="9"/>
  <c r="D62" i="4"/>
  <c r="E62" i="4"/>
  <c r="F62" i="4"/>
  <c r="G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Q92" i="2"/>
  <c r="Q91" i="2"/>
  <c r="C39" i="6"/>
  <c r="H1" i="3"/>
  <c r="C3" i="2"/>
  <c r="C3" i="8"/>
  <c r="C141" i="6"/>
  <c r="D114" i="6"/>
  <c r="Q48" i="2"/>
  <c r="C64" i="9"/>
  <c r="M69" i="4"/>
  <c r="M70" i="4"/>
  <c r="M71" i="4"/>
  <c r="M72" i="4"/>
  <c r="C20" i="4"/>
  <c r="C25" i="4"/>
  <c r="C32" i="4"/>
  <c r="C30" i="4"/>
  <c r="C29" i="4"/>
  <c r="C28" i="4"/>
  <c r="D64" i="4"/>
  <c r="E64" i="4"/>
  <c r="F64" i="4"/>
  <c r="G64" i="4"/>
  <c r="H64" i="4"/>
  <c r="I64" i="4"/>
  <c r="J64" i="4"/>
  <c r="K64" i="4"/>
  <c r="L64" i="4"/>
  <c r="M64" i="4"/>
  <c r="C64" i="4"/>
  <c r="E85" i="2"/>
  <c r="E86" i="2"/>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21" i="6"/>
  <c r="C108" i="6"/>
  <c r="C109" i="6" s="1"/>
  <c r="G67" i="2"/>
  <c r="C67" i="2" s="1"/>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G10" i="2"/>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<sst xmlns="http://schemas.openxmlformats.org/spreadsheetml/2006/main" count="649" uniqueCount="452">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</sst>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9" fontId="47" fillId="0" borderId="0" xfId="0" applyNumberFormat="1" applyFont="1"/>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45795</v>
      </c>
      <c r="D1" s="52"/>
      <c r="E1" s="325" t="s">
        <v>358</v>
      </c>
      <c r="F1" s="281" t="s">
        <v>287</v>
      </c>
    </row>
    <row r="2" spans="1:10" ht="13.9">
      <c r="A2" s="247" t="s">
        <v>268</v>
      </c>
      <c r="B2" s="36"/>
      <c r="C2" s="36"/>
      <c r="D2" s="36"/>
      <c r="E2" s="36"/>
      <c r="F2" s="36"/>
      <c r="G2" s="22"/>
      <c r="H2" s="22"/>
      <c r="I2" s="22"/>
      <c r="J2" s="22"/>
    </row>
    <row r="4" spans="1:10">
      <c r="B4" s="45" t="s">
        <v>425</v>
      </c>
      <c r="C4" s="46"/>
      <c r="D4" s="5"/>
      <c r="E4" s="2"/>
      <c r="F4" s="2"/>
    </row>
    <row r="5" spans="1:10" ht="12.4">
      <c r="B5" s="4" t="s">
        <v>319</v>
      </c>
      <c r="C5" s="327" t="s">
        <v>422</v>
      </c>
    </row>
    <row r="6" spans="1:10">
      <c r="B6" s="4" t="s">
        <v>0</v>
      </c>
      <c r="C6" s="51">
        <v>121281555698</v>
      </c>
      <c r="E6" s="48"/>
    </row>
    <row r="7" spans="1:10">
      <c r="B7" s="2" t="s">
        <v>311</v>
      </c>
      <c r="C7" s="277">
        <v>6</v>
      </c>
      <c r="D7" s="48"/>
      <c r="E7" s="48"/>
    </row>
    <row r="8" spans="1:10">
      <c r="B8" s="1" t="s">
        <v>269</v>
      </c>
      <c r="C8" s="33">
        <f>EOMONTH(EDATE(BS!C1,C7+2),0)</f>
        <v>45900</v>
      </c>
      <c r="E8" s="48"/>
    </row>
    <row r="9" spans="1:10">
      <c r="E9" s="34"/>
    </row>
    <row r="10" spans="1:10">
      <c r="B10" s="45" t="s">
        <v>428</v>
      </c>
      <c r="C10" s="46"/>
      <c r="E10" s="34"/>
    </row>
    <row r="11" spans="1:10">
      <c r="B11" s="1" t="s">
        <v>427</v>
      </c>
      <c r="C11" s="49" t="s">
        <v>421</v>
      </c>
      <c r="D11" s="49" t="s">
        <v>429</v>
      </c>
      <c r="E11" s="34"/>
    </row>
    <row r="12" spans="1:10">
      <c r="B12" s="4" t="s">
        <v>95</v>
      </c>
      <c r="C12" s="50">
        <v>3.99</v>
      </c>
      <c r="D12" s="50">
        <v>5.69</v>
      </c>
      <c r="E12" s="48"/>
    </row>
    <row r="13" spans="1:10">
      <c r="B13" s="1" t="s">
        <v>426</v>
      </c>
      <c r="C13" s="48" t="s">
        <v>423</v>
      </c>
      <c r="D13" s="48" t="s">
        <v>402</v>
      </c>
      <c r="E13" s="5"/>
    </row>
    <row r="14" spans="1:10">
      <c r="B14" s="4" t="s">
        <v>431</v>
      </c>
      <c r="C14" s="35">
        <f>Thesis!C12*Common_Shares/1000000</f>
        <v>483913.40723502001</v>
      </c>
      <c r="D14" s="35">
        <f>IF(D11="","",Thesis!D12*Common_Shares/1000000)</f>
        <v>690092.05192162003</v>
      </c>
      <c r="E14" s="5"/>
    </row>
    <row r="15" spans="1:10">
      <c r="B15" s="4" t="s">
        <v>430</v>
      </c>
      <c r="C15" s="32" t="str">
        <f>IF(C25=C13,C13,C25&amp;"/"&amp;C13)</f>
        <v>CNY</v>
      </c>
      <c r="D15" s="32" t="str">
        <f>IF(D11="","",IF(C25=D13,D13,C25&amp;"/"&amp;D13))</f>
        <v>CNY/HKD</v>
      </c>
      <c r="E15" s="5"/>
    </row>
    <row r="16" spans="1:10">
      <c r="B16" s="4" t="s">
        <v>1</v>
      </c>
      <c r="C16" s="50">
        <v>1.06</v>
      </c>
      <c r="D16" s="50">
        <v>1</v>
      </c>
      <c r="E16" s="5"/>
    </row>
    <row r="17" spans="2:6">
      <c r="D17" s="5"/>
      <c r="E17" s="5"/>
    </row>
    <row r="18" spans="2:6" ht="24.4" customHeight="1">
      <c r="B18" s="349" t="s">
        <v>365</v>
      </c>
      <c r="C18" s="349"/>
      <c r="D18" s="349"/>
      <c r="E18" s="349"/>
      <c r="F18" s="349"/>
    </row>
    <row r="20" spans="2:6">
      <c r="B20" s="45" t="s">
        <v>310</v>
      </c>
      <c r="C20" s="46"/>
      <c r="D20" s="5"/>
    </row>
    <row r="21" spans="2:6">
      <c r="B21" s="2" t="s">
        <v>353</v>
      </c>
      <c r="C21" s="32" t="str">
        <f>IF(Scenarios!C69="Y",Scenarios!B69,"")&amp;IF(Scenarios!C70="Y",Scenarios!B70,"")&amp;IF(Scenarios!C71="Y",Scenarios!B71,"")&amp;" "&amp;IF(Scenarios!C72="Y",Scenarios!B72,"")</f>
        <v xml:space="preserve">Low Growth </v>
      </c>
      <c r="E21" s="5"/>
    </row>
    <row r="22" spans="2:6">
      <c r="B22" s="2" t="s">
        <v>56</v>
      </c>
      <c r="C22" s="48" t="s">
        <v>424</v>
      </c>
      <c r="D22" s="1" t="s">
        <v>451</v>
      </c>
      <c r="E22" s="343" t="s">
        <v>450</v>
      </c>
    </row>
    <row r="23" spans="2:6">
      <c r="B23" s="1" t="s">
        <v>445</v>
      </c>
      <c r="C23" s="291" t="s">
        <v>325</v>
      </c>
    </row>
    <row r="24" spans="2:6">
      <c r="B24" s="1" t="s">
        <v>446</v>
      </c>
      <c r="C24" s="291" t="s">
        <v>325</v>
      </c>
    </row>
    <row r="25" spans="2:6">
      <c r="B25" s="4" t="s">
        <v>352</v>
      </c>
      <c r="C25" s="48" t="s">
        <v>423</v>
      </c>
      <c r="D25" s="32" t="str">
        <f>IF(D11="","",Market_currency&amp;"/"&amp;D13&amp;":")</f>
        <v>CNY/HKD:</v>
      </c>
      <c r="E25" s="334">
        <f>IF(D11="","",1/Exchange_Rate*D16)</f>
        <v>0.94339622641509424</v>
      </c>
    </row>
    <row r="26" spans="2:6">
      <c r="B26" s="1" t="str">
        <f>"Expected Equity Value ("&amp;C13&amp;") :"</f>
        <v>Expected Equity Value (CNY) :</v>
      </c>
      <c r="C26" s="339">
        <f>C127</f>
        <v>30.598710239352997</v>
      </c>
      <c r="D26" s="1" t="s">
        <v>405</v>
      </c>
      <c r="E26" s="336">
        <f ca="1">Scenarios!C87</f>
        <v>1.2976894231064677</v>
      </c>
    </row>
    <row r="27" spans="2:6">
      <c r="D27" s="5"/>
      <c r="E27" s="5"/>
    </row>
    <row r="28" spans="2:6">
      <c r="B28" s="45" t="s">
        <v>444</v>
      </c>
      <c r="C28" s="344" t="str">
        <f>C140&amp;" ("&amp;Market_currency&amp;")"</f>
        <v>0386.HK (CNY)</v>
      </c>
      <c r="D28" s="344" t="str">
        <f>IF(D11="","",D140&amp;" ("&amp;D13&amp;")")</f>
        <v>600028.SS (HKD)</v>
      </c>
      <c r="E28" s="340" t="s">
        <v>440</v>
      </c>
      <c r="F28" s="338">
        <v>3</v>
      </c>
    </row>
    <row r="29" spans="2:6">
      <c r="B29" s="1" t="s">
        <v>436</v>
      </c>
      <c r="C29" s="345">
        <f>C144</f>
        <v>15.9563545799849</v>
      </c>
      <c r="D29" s="345">
        <f>D144</f>
        <v>15.053164698098961</v>
      </c>
      <c r="E29" s="341" t="s">
        <v>435</v>
      </c>
      <c r="F29" s="337">
        <v>0.35</v>
      </c>
    </row>
    <row r="30" spans="2:6">
      <c r="B30" s="1" t="s">
        <v>437</v>
      </c>
      <c r="C30" s="346">
        <f>C152</f>
        <v>21.08953474334637</v>
      </c>
      <c r="D30" s="346">
        <f>D152</f>
        <v>19.895787493722988</v>
      </c>
      <c r="E30" s="342" t="s">
        <v>448</v>
      </c>
      <c r="F30" s="359">
        <v>0.22</v>
      </c>
    </row>
    <row r="31" spans="2:6">
      <c r="B31" s="1" t="s">
        <v>438</v>
      </c>
      <c r="C31" s="346">
        <f>C160</f>
        <v>29.638934581958189</v>
      </c>
      <c r="D31" s="346">
        <f>D160</f>
        <v>27.961259039583194</v>
      </c>
      <c r="E31" s="342" t="s">
        <v>447</v>
      </c>
      <c r="F31" s="359">
        <v>0.08</v>
      </c>
    </row>
    <row r="32" spans="2:6">
      <c r="B32" s="1" t="s">
        <v>439</v>
      </c>
      <c r="C32" s="346">
        <f>C168</f>
        <v>26.764490377774663</v>
      </c>
      <c r="D32" s="346">
        <f>D168</f>
        <v>25.249519224315719</v>
      </c>
      <c r="E32" s="342" t="s">
        <v>449</v>
      </c>
      <c r="F32" s="359">
        <v>0.12</v>
      </c>
    </row>
    <row r="33" spans="1:6">
      <c r="D33" s="5"/>
      <c r="E33" s="5"/>
    </row>
    <row r="34" spans="1:6" ht="13.9">
      <c r="A34" s="247" t="s">
        <v>360</v>
      </c>
      <c r="B34" s="36"/>
      <c r="C34" s="36"/>
      <c r="D34" s="36"/>
      <c r="E34" s="36"/>
      <c r="F34" s="36"/>
    </row>
    <row r="36" spans="1:6" ht="24.4" customHeight="1">
      <c r="B36" s="349" t="s">
        <v>366</v>
      </c>
      <c r="C36" s="349"/>
      <c r="D36" s="349"/>
      <c r="E36" s="349"/>
      <c r="F36" s="349"/>
    </row>
    <row r="37" spans="1:6" ht="24.4" customHeight="1">
      <c r="B37" s="352" t="s">
        <v>344</v>
      </c>
      <c r="C37" s="352"/>
      <c r="D37" s="352"/>
      <c r="E37" s="352"/>
      <c r="F37" s="352"/>
    </row>
    <row r="39" spans="1:6">
      <c r="B39" s="234" t="s">
        <v>231</v>
      </c>
      <c r="C39" s="108">
        <f>scaling_factor</f>
        <v>1000000</v>
      </c>
    </row>
    <row r="40" spans="1:6" ht="24.4" customHeight="1">
      <c r="B40" s="350" t="s">
        <v>232</v>
      </c>
      <c r="C40" s="350"/>
      <c r="D40" s="350"/>
      <c r="E40" s="350"/>
      <c r="F40" s="350"/>
    </row>
    <row r="41" spans="1:6">
      <c r="B41" s="47" t="s">
        <v>233</v>
      </c>
      <c r="C41" s="188">
        <f>Normalized_FCF!C8</f>
        <v>370950.79977478832</v>
      </c>
      <c r="D41" s="1" t="str">
        <f>Reporting_currency</f>
        <v>CNY</v>
      </c>
    </row>
    <row r="42" spans="1:6">
      <c r="B42" s="47"/>
      <c r="C42" s="76"/>
    </row>
    <row r="43" spans="1:6" ht="24.4" customHeight="1">
      <c r="B43" s="350" t="s">
        <v>234</v>
      </c>
      <c r="C43" s="350"/>
      <c r="D43" s="350"/>
      <c r="E43" s="350"/>
      <c r="F43" s="350"/>
    </row>
    <row r="44" spans="1:6">
      <c r="B44" s="47" t="s">
        <v>235</v>
      </c>
      <c r="C44" s="188">
        <f>Normalized_FCF!C9</f>
        <v>120714</v>
      </c>
      <c r="D44" s="1" t="str">
        <f>Reporting_currency</f>
        <v>CNY</v>
      </c>
    </row>
    <row r="45" spans="1:6">
      <c r="B45" s="52" t="s">
        <v>236</v>
      </c>
      <c r="C45" s="188">
        <f>Normalized_FCF!C10</f>
        <v>-120714</v>
      </c>
      <c r="D45" s="1" t="str">
        <f>Reporting_currency</f>
        <v>CNY</v>
      </c>
    </row>
    <row r="47" spans="1:6">
      <c r="B47" s="350" t="s">
        <v>237</v>
      </c>
      <c r="C47" s="350"/>
      <c r="D47" s="350"/>
      <c r="E47" s="350"/>
      <c r="F47" s="350"/>
    </row>
    <row r="48" spans="1:6">
      <c r="B48" s="47" t="s">
        <v>238</v>
      </c>
      <c r="C48" s="188">
        <f>Normalized_FCF!C11</f>
        <v>0</v>
      </c>
      <c r="D48" s="1" t="str">
        <f>Reporting_currency</f>
        <v>CNY</v>
      </c>
    </row>
    <row r="50" spans="2:6">
      <c r="B50" s="350" t="s">
        <v>241</v>
      </c>
      <c r="C50" s="350"/>
      <c r="D50" s="350"/>
      <c r="E50" s="350"/>
      <c r="F50" s="350"/>
    </row>
    <row r="51" spans="2:6">
      <c r="B51" s="47" t="s">
        <v>345</v>
      </c>
      <c r="C51" s="317">
        <f>Normalized_FCF!C48</f>
        <v>0</v>
      </c>
      <c r="D51" s="1" t="str">
        <f>Reporting_currency</f>
        <v>CNY</v>
      </c>
      <c r="E51" s="316"/>
      <c r="F51" s="316"/>
    </row>
    <row r="52" spans="2:6">
      <c r="B52" s="47" t="s">
        <v>346</v>
      </c>
      <c r="C52" s="317">
        <f>Normalized_FCF!C47</f>
        <v>0</v>
      </c>
      <c r="D52" s="1" t="str">
        <f>Reporting_currency</f>
        <v>CNY</v>
      </c>
      <c r="E52" s="316"/>
      <c r="F52" s="316"/>
    </row>
    <row r="53" spans="2:6">
      <c r="B53" s="47" t="s">
        <v>239</v>
      </c>
      <c r="C53" s="188">
        <f>Normalized_FCF!C12</f>
        <v>0</v>
      </c>
      <c r="D53" s="1" t="str">
        <f>Reporting_currency</f>
        <v>CNY</v>
      </c>
    </row>
    <row r="55" spans="2:6">
      <c r="B55" s="1" t="s">
        <v>247</v>
      </c>
    </row>
    <row r="56" spans="2:6">
      <c r="B56" s="47" t="s">
        <v>266</v>
      </c>
      <c r="C56" s="188">
        <f>Normalized_FCF!C15</f>
        <v>0</v>
      </c>
      <c r="D56" s="1" t="str">
        <f>Reporting_currency</f>
        <v>CNY</v>
      </c>
    </row>
    <row r="58" spans="2:6">
      <c r="B58" s="350" t="s">
        <v>242</v>
      </c>
      <c r="C58" s="350"/>
      <c r="D58" s="350"/>
      <c r="E58" s="350"/>
      <c r="F58" s="350"/>
    </row>
    <row r="59" spans="2:6">
      <c r="B59" s="47" t="s">
        <v>240</v>
      </c>
      <c r="C59" s="188">
        <f>Normalized_FCF!C14</f>
        <v>-92737.69994369708</v>
      </c>
      <c r="D59" s="1" t="str">
        <f>Reporting_currency</f>
        <v>CNY</v>
      </c>
    </row>
    <row r="61" spans="2:6">
      <c r="B61" s="350" t="s">
        <v>343</v>
      </c>
      <c r="C61" s="351"/>
      <c r="D61" s="351"/>
      <c r="E61" s="351"/>
      <c r="F61" s="351"/>
    </row>
    <row r="62" spans="2:6">
      <c r="B62" s="47" t="s">
        <v>243</v>
      </c>
      <c r="C62" s="1">
        <f>Normalized_FCF!C17</f>
        <v>0</v>
      </c>
      <c r="D62" s="1" t="str">
        <f>Reporting_currency</f>
        <v>CNY</v>
      </c>
    </row>
    <row r="64" spans="2:6" ht="24.4" customHeight="1">
      <c r="B64" s="349" t="s">
        <v>348</v>
      </c>
      <c r="C64" s="349"/>
      <c r="D64" s="349"/>
      <c r="E64" s="349"/>
      <c r="F64" s="349"/>
    </row>
    <row r="65" spans="1:6" ht="24.4" customHeight="1">
      <c r="B65" s="349" t="s">
        <v>367</v>
      </c>
      <c r="C65" s="349"/>
      <c r="D65" s="349"/>
      <c r="E65" s="349"/>
      <c r="F65" s="349"/>
    </row>
    <row r="67" spans="1:6">
      <c r="B67" s="47" t="s">
        <v>271</v>
      </c>
      <c r="C67" s="188">
        <f>Normalized_FCF!G19</f>
        <v>302168</v>
      </c>
      <c r="D67" s="1" t="str">
        <f>Reporting_currency</f>
        <v>CNY</v>
      </c>
    </row>
    <row r="68" spans="1:6">
      <c r="B68" s="47" t="s">
        <v>249</v>
      </c>
      <c r="C68" s="188">
        <f>Normalized_FCF!C19</f>
        <v>278213.09983109124</v>
      </c>
      <c r="D68" s="1" t="str">
        <f>Reporting_currency</f>
        <v>CNY</v>
      </c>
    </row>
    <row r="69" spans="1:6">
      <c r="B69" s="252" t="s">
        <v>396</v>
      </c>
      <c r="C69" s="92">
        <f>Normalized_FCF!C125</f>
        <v>0.60941871295938521</v>
      </c>
    </row>
    <row r="70" spans="1:6">
      <c r="B70" s="252" t="s">
        <v>312</v>
      </c>
      <c r="C70" s="92">
        <f>Normalized_FCF!C93</f>
        <v>0.52016834539178136</v>
      </c>
    </row>
    <row r="72" spans="1:6" ht="13.9">
      <c r="A72" s="247" t="s">
        <v>361</v>
      </c>
      <c r="B72" s="36"/>
      <c r="C72" s="36"/>
      <c r="D72" s="36"/>
      <c r="E72" s="36"/>
      <c r="F72" s="36"/>
    </row>
    <row r="73" spans="1:6">
      <c r="A73" s="233"/>
    </row>
    <row r="74" spans="1:6" ht="24.4" customHeight="1">
      <c r="A74" s="17"/>
      <c r="B74" s="349" t="s">
        <v>368</v>
      </c>
      <c r="C74" s="349"/>
      <c r="D74" s="349"/>
      <c r="E74" s="349"/>
      <c r="F74" s="349"/>
    </row>
    <row r="75" spans="1:6">
      <c r="B75" s="352" t="s">
        <v>253</v>
      </c>
      <c r="C75" s="352"/>
      <c r="D75" s="352"/>
      <c r="E75" s="352"/>
      <c r="F75" s="352"/>
    </row>
    <row r="77" spans="1:6">
      <c r="B77" s="234" t="s">
        <v>231</v>
      </c>
    </row>
    <row r="78" spans="1:6">
      <c r="B78" s="1" t="s">
        <v>442</v>
      </c>
      <c r="C78" s="92">
        <f>F31</f>
        <v>0.08</v>
      </c>
    </row>
    <row r="79" spans="1:6">
      <c r="B79" s="1" t="s">
        <v>441</v>
      </c>
      <c r="C79" s="92">
        <f>IF(C23="Y",1%,0)+IF(C24="Y",1%,0)</f>
        <v>0</v>
      </c>
    </row>
    <row r="80" spans="1:6">
      <c r="B80" s="80" t="s">
        <v>248</v>
      </c>
      <c r="C80" s="261">
        <f>F31+C79</f>
        <v>0.08</v>
      </c>
    </row>
    <row r="81" spans="1:6">
      <c r="C81" s="122"/>
    </row>
    <row r="82" spans="1:6">
      <c r="B82" s="326" t="s">
        <v>362</v>
      </c>
      <c r="C82" s="122"/>
    </row>
    <row r="83" spans="1:6" ht="24.4" customHeight="1">
      <c r="B83" s="349" t="s">
        <v>369</v>
      </c>
      <c r="C83" s="349"/>
      <c r="D83" s="349"/>
      <c r="E83" s="349"/>
      <c r="F83" s="349"/>
    </row>
    <row r="84" spans="1:6" ht="24.4" customHeight="1">
      <c r="B84" s="349" t="s">
        <v>370</v>
      </c>
      <c r="C84" s="349"/>
      <c r="D84" s="349"/>
      <c r="E84" s="349"/>
      <c r="F84" s="349"/>
    </row>
    <row r="86" spans="1:6">
      <c r="B86" s="47" t="s">
        <v>252</v>
      </c>
      <c r="C86" s="261">
        <v>0</v>
      </c>
    </row>
    <row r="87" spans="1:6">
      <c r="B87" s="47" t="s">
        <v>283</v>
      </c>
      <c r="C87" s="248">
        <f>Valuation_Model!C6*scaling_factor*Exchange_Rate/Common_Shares</f>
        <v>30.39475830884934</v>
      </c>
      <c r="D87" s="1" t="str">
        <f>Market_currency</f>
        <v>CNY</v>
      </c>
    </row>
    <row r="89" spans="1:6" ht="13.9">
      <c r="A89" s="247" t="s">
        <v>363</v>
      </c>
      <c r="B89" s="36"/>
      <c r="C89" s="36"/>
      <c r="D89" s="36"/>
      <c r="E89" s="36"/>
      <c r="F89" s="36"/>
    </row>
    <row r="90" spans="1:6">
      <c r="A90" s="233"/>
    </row>
    <row r="91" spans="1:6">
      <c r="B91" s="349" t="s">
        <v>371</v>
      </c>
      <c r="C91" s="349"/>
      <c r="D91" s="349"/>
      <c r="E91" s="349"/>
      <c r="F91" s="349"/>
    </row>
    <row r="92" spans="1:6">
      <c r="B92" s="1" t="s">
        <v>254</v>
      </c>
    </row>
    <row r="94" spans="1:6">
      <c r="B94" s="234" t="s">
        <v>231</v>
      </c>
    </row>
    <row r="95" spans="1:6" ht="24.4" customHeight="1">
      <c r="B95" s="349" t="s">
        <v>349</v>
      </c>
      <c r="C95" s="349"/>
      <c r="D95" s="349"/>
      <c r="E95" s="349"/>
      <c r="F95" s="349"/>
    </row>
    <row r="96" spans="1:6">
      <c r="B96" s="47" t="s">
        <v>256</v>
      </c>
      <c r="C96" s="188">
        <f>Valuation_Model!C7</f>
        <v>0</v>
      </c>
      <c r="D96" s="1" t="str">
        <f>Reporting_currency</f>
        <v>CNY</v>
      </c>
    </row>
    <row r="97" spans="2:6">
      <c r="B97" s="47" t="s">
        <v>284</v>
      </c>
      <c r="C97" s="248">
        <f>C96*scaling_factor*Exchange_Rate/Common_Shares</f>
        <v>0</v>
      </c>
      <c r="D97" s="1" t="str">
        <f>Market_currency</f>
        <v>CNY</v>
      </c>
    </row>
    <row r="98" spans="2:6">
      <c r="B98" s="330" t="s">
        <v>410</v>
      </c>
      <c r="C98" s="331">
        <f>BS!G30/BS!G27</f>
        <v>0.5</v>
      </c>
    </row>
    <row r="99" spans="2:6">
      <c r="B99" s="330" t="s">
        <v>411</v>
      </c>
      <c r="C99" s="331">
        <f>BS!G31/BS!G27</f>
        <v>0</v>
      </c>
    </row>
    <row r="100" spans="2:6">
      <c r="B100" s="330" t="s">
        <v>413</v>
      </c>
      <c r="C100" s="332">
        <f>BS!C50</f>
        <v>0</v>
      </c>
    </row>
    <row r="102" spans="2:6">
      <c r="B102" s="1" t="s">
        <v>255</v>
      </c>
    </row>
    <row r="103" spans="2:6">
      <c r="B103" s="47" t="s">
        <v>265</v>
      </c>
      <c r="C103" s="188">
        <f>BS!C66</f>
        <v>1</v>
      </c>
      <c r="D103" s="1" t="str">
        <f>Reporting_currency</f>
        <v>CNY</v>
      </c>
    </row>
    <row r="104" spans="2:6">
      <c r="B104" s="47" t="s">
        <v>267</v>
      </c>
      <c r="C104" s="188">
        <f>Valuation_Model!C8</f>
        <v>-247267.57388162927</v>
      </c>
      <c r="D104" s="1" t="str">
        <f>Reporting_currency</f>
        <v>CNY</v>
      </c>
    </row>
    <row r="105" spans="2:6">
      <c r="B105" s="47" t="s">
        <v>285</v>
      </c>
      <c r="C105" s="248">
        <f>C104*scaling_factor*Exchange_Rate/Common_Shares</f>
        <v>-2.1611169712168299</v>
      </c>
      <c r="D105" s="1" t="str">
        <f>Market_currency</f>
        <v>CNY</v>
      </c>
    </row>
    <row r="107" spans="2:6">
      <c r="B107" s="1" t="s">
        <v>257</v>
      </c>
    </row>
    <row r="108" spans="2:6">
      <c r="B108" s="47" t="s">
        <v>258</v>
      </c>
      <c r="C108" s="188">
        <f>Valuation_Model!C9</f>
        <v>0</v>
      </c>
      <c r="D108" s="1" t="str">
        <f>Reporting_currency</f>
        <v>CNY</v>
      </c>
    </row>
    <row r="109" spans="2:6">
      <c r="B109" s="47" t="s">
        <v>286</v>
      </c>
      <c r="C109" s="248">
        <f>C108*scaling_factor*Exchange_Rate/Common_Shares</f>
        <v>0</v>
      </c>
      <c r="D109" s="1" t="str">
        <f>Market_currency</f>
        <v>CNY</v>
      </c>
    </row>
    <row r="111" spans="2:6" ht="24.4" customHeight="1">
      <c r="B111" s="349" t="s">
        <v>372</v>
      </c>
      <c r="C111" s="349"/>
      <c r="D111" s="349"/>
      <c r="E111" s="349"/>
      <c r="F111" s="349"/>
    </row>
    <row r="113" spans="1:6">
      <c r="B113" s="47" t="s">
        <v>282</v>
      </c>
      <c r="C113" s="248">
        <f>Valuation_Model!C12</f>
        <v>28.233641337632509</v>
      </c>
      <c r="D113" s="1" t="str">
        <f>Market_currency</f>
        <v>CNY</v>
      </c>
    </row>
    <row r="114" spans="1:6">
      <c r="B114" s="330" t="s">
        <v>412</v>
      </c>
      <c r="C114" s="248">
        <f>BS!D47</f>
        <v>5.243996058095486E-6</v>
      </c>
      <c r="D114" s="1" t="str">
        <f>Market_currency</f>
        <v>CNY</v>
      </c>
    </row>
    <row r="116" spans="1:6" ht="13.9">
      <c r="A116" s="247" t="s">
        <v>364</v>
      </c>
      <c r="B116" s="36"/>
      <c r="C116" s="36"/>
      <c r="D116" s="36"/>
      <c r="E116" s="36"/>
      <c r="F116" s="36"/>
    </row>
    <row r="118" spans="1:6" ht="24.4" customHeight="1">
      <c r="B118" s="350" t="s">
        <v>373</v>
      </c>
      <c r="C118" s="350"/>
      <c r="D118" s="350"/>
      <c r="E118" s="350"/>
      <c r="F118" s="350"/>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15</v>
      </c>
      <c r="E121" s="256" t="str">
        <f>ROUND(Valuation_Model!E74,2)&amp;" "&amp;Market_currency</f>
        <v>39.51 CNY</v>
      </c>
      <c r="F121" s="257">
        <f>Valuation_Model!F74</f>
        <v>0.05</v>
      </c>
    </row>
    <row r="122" spans="1:6">
      <c r="B122" s="242" t="str">
        <f>Valuation_Model!B75</f>
        <v>Optimistic</v>
      </c>
      <c r="C122" s="243">
        <f>Valuation_Model!C75</f>
        <v>0.04</v>
      </c>
      <c r="D122" s="244">
        <f>Valuation_Model!D75</f>
        <v>10</v>
      </c>
      <c r="E122" s="245" t="str">
        <f>ROUND(Valuation_Model!E75,2)&amp;" "&amp;Market_currency</f>
        <v>32.35 CNY</v>
      </c>
      <c r="F122" s="246">
        <f>Valuation_Model!F75</f>
        <v>0.18</v>
      </c>
    </row>
    <row r="123" spans="1:6">
      <c r="B123" s="242" t="str">
        <f>Valuation_Model!B76</f>
        <v>Base</v>
      </c>
      <c r="C123" s="243">
        <f>Valuation_Model!C76</f>
        <v>0.02</v>
      </c>
      <c r="D123" s="244">
        <f>Valuation_Model!D76</f>
        <v>10</v>
      </c>
      <c r="E123" s="245" t="str">
        <f>ROUND(Valuation_Model!E76,2)&amp;" "&amp;Market_currency</f>
        <v>30.2 CNY</v>
      </c>
      <c r="F123" s="246">
        <f>Valuation_Model!F76</f>
        <v>0.53999999999999992</v>
      </c>
    </row>
    <row r="124" spans="1:6">
      <c r="B124" s="242" t="str">
        <f>Valuation_Model!B77</f>
        <v>Pessimistic</v>
      </c>
      <c r="C124" s="243">
        <f>Valuation_Model!C77</f>
        <v>0</v>
      </c>
      <c r="D124" s="244">
        <f>Valuation_Model!D77</f>
        <v>10</v>
      </c>
      <c r="E124" s="245" t="str">
        <f>ROUND(Valuation_Model!E77,2)&amp;" "&amp;Market_currency</f>
        <v>28.23 CNY</v>
      </c>
      <c r="F124" s="246">
        <f>Valuation_Model!F77</f>
        <v>0.18</v>
      </c>
    </row>
    <row r="125" spans="1:6">
      <c r="B125" s="242" t="str">
        <f>Valuation_Model!B78</f>
        <v>Devil's advocate</v>
      </c>
      <c r="C125" s="243">
        <f>Valuation_Model!C78</f>
        <v>0</v>
      </c>
      <c r="D125" s="244">
        <f>Valuation_Model!D78</f>
        <v>15</v>
      </c>
      <c r="E125" s="245" t="str">
        <f>ROUND(Valuation_Model!E78,2)&amp;" "&amp;Market_currency</f>
        <v>28.23 CNY</v>
      </c>
      <c r="F125" s="246">
        <f>Valuation_Model!F78</f>
        <v>0.05</v>
      </c>
    </row>
    <row r="127" spans="1:6">
      <c r="B127" s="235" t="s">
        <v>259</v>
      </c>
      <c r="C127" s="241">
        <f>Scenarios!C60</f>
        <v>30.598710239352997</v>
      </c>
      <c r="D127" s="236" t="str">
        <f>Market_currency</f>
        <v>CNY</v>
      </c>
    </row>
    <row r="129" spans="1:6" ht="24.4" customHeight="1">
      <c r="B129" s="353" t="s">
        <v>376</v>
      </c>
      <c r="C129" s="353"/>
      <c r="D129" s="353"/>
      <c r="E129" s="353"/>
      <c r="F129" s="353"/>
    </row>
    <row r="131" spans="1:6" ht="13.9">
      <c r="A131" s="247" t="s">
        <v>408</v>
      </c>
      <c r="B131" s="36"/>
      <c r="C131" s="36"/>
      <c r="D131" s="36"/>
      <c r="E131" s="36"/>
      <c r="F131" s="36"/>
    </row>
    <row r="133" spans="1:6">
      <c r="B133" s="354" t="s">
        <v>374</v>
      </c>
      <c r="C133" s="354"/>
      <c r="D133" s="354"/>
      <c r="E133" s="354"/>
      <c r="F133" s="354"/>
    </row>
    <row r="134" spans="1:6" ht="24.4" customHeight="1">
      <c r="B134" s="349" t="s">
        <v>375</v>
      </c>
      <c r="C134" s="349"/>
      <c r="D134" s="349"/>
      <c r="E134" s="349"/>
      <c r="F134" s="349"/>
    </row>
    <row r="135" spans="1:6">
      <c r="B135" s="234" t="s">
        <v>231</v>
      </c>
    </row>
    <row r="136" spans="1:6">
      <c r="B136" s="1" t="s">
        <v>264</v>
      </c>
      <c r="C136" s="250">
        <f>F28</f>
        <v>3</v>
      </c>
    </row>
    <row r="137" spans="1:6">
      <c r="B137" s="1" t="s">
        <v>277</v>
      </c>
      <c r="C137" s="249">
        <f>F29</f>
        <v>0.35</v>
      </c>
    </row>
    <row r="138" spans="1:6">
      <c r="B138" s="236" t="s">
        <v>262</v>
      </c>
      <c r="C138" s="237">
        <f>Scenarios!C77</f>
        <v>2.0754716981132075</v>
      </c>
      <c r="D138" s="236" t="str">
        <f>Market_currency</f>
        <v>CNY</v>
      </c>
    </row>
    <row r="140" spans="1:6">
      <c r="B140" s="234" t="s">
        <v>415</v>
      </c>
      <c r="C140" s="268" t="str">
        <f>C11</f>
        <v>0386.HK</v>
      </c>
      <c r="D140" s="268" t="str">
        <f>IF(D11="","",D11)</f>
        <v>600028.SS</v>
      </c>
    </row>
    <row r="141" spans="1:6">
      <c r="B141" s="1" t="s">
        <v>414</v>
      </c>
      <c r="C141" s="331">
        <f>F29</f>
        <v>0.35</v>
      </c>
    </row>
    <row r="142" spans="1:6">
      <c r="B142" s="236" t="str">
        <f>"PV("&amp;C136&amp;" yrs of Dividends)"</f>
        <v>PV(3 yrs of Dividends)</v>
      </c>
      <c r="C142" s="240">
        <f>Scenarios!C81</f>
        <v>3.5197503065091129</v>
      </c>
    </row>
    <row r="143" spans="1:6">
      <c r="B143" s="236" t="str">
        <f>"+ PV(Equity Value realized at year "&amp;C136&amp;")"</f>
        <v>+ PV(Equity Value realized at year 3)</v>
      </c>
      <c r="C143" s="240">
        <f>Scenarios!C82</f>
        <v>12.436604273475787</v>
      </c>
    </row>
    <row r="144" spans="1:6">
      <c r="B144" s="80" t="s">
        <v>261</v>
      </c>
      <c r="C144" s="239">
        <f>Scenarios!C83</f>
        <v>15.9563545799849</v>
      </c>
      <c r="D144" s="335">
        <f>IF($D$11="","",C144*$E$25)</f>
        <v>15.053164698098961</v>
      </c>
    </row>
    <row r="145" spans="2:4">
      <c r="B145" s="286" t="s">
        <v>426</v>
      </c>
      <c r="C145" s="333" t="str">
        <f>Market_currency</f>
        <v>CNY</v>
      </c>
      <c r="D145" s="333" t="str">
        <f>IF($D$11="","",D$13)</f>
        <v>HKD</v>
      </c>
    </row>
    <row r="146" spans="2:4">
      <c r="B146" s="238" t="s">
        <v>263</v>
      </c>
      <c r="C146" s="92">
        <f>Scenarios!F83</f>
        <v>0.47852852439958615</v>
      </c>
    </row>
    <row r="148" spans="2:4">
      <c r="B148" s="234" t="s">
        <v>418</v>
      </c>
    </row>
    <row r="149" spans="2:4">
      <c r="B149" s="1" t="s">
        <v>417</v>
      </c>
      <c r="C149" s="331">
        <f>Scenarios!C90</f>
        <v>0.22</v>
      </c>
    </row>
    <row r="150" spans="2:4">
      <c r="B150" s="236" t="str">
        <f>"PV("&amp;C136&amp;" yrs of Dividends)"</f>
        <v>PV(3 yrs of Dividends)</v>
      </c>
      <c r="C150" s="240">
        <f>Scenarios!C91</f>
        <v>4.2386142701828673</v>
      </c>
    </row>
    <row r="151" spans="2:4">
      <c r="B151" s="236" t="str">
        <f>"+ PV(Equity Value realized at year "&amp;C136&amp;")"</f>
        <v>+ PV(Equity Value realized at year 3)</v>
      </c>
      <c r="C151" s="240">
        <f>Scenarios!C92</f>
        <v>16.850920473163502</v>
      </c>
    </row>
    <row r="152" spans="2:4">
      <c r="B152" s="80" t="s">
        <v>261</v>
      </c>
      <c r="C152" s="239">
        <f>Scenarios!C93</f>
        <v>21.08953474334637</v>
      </c>
      <c r="D152" s="335">
        <f>IF($D$11="","",C152*$E$25)</f>
        <v>19.895787493722988</v>
      </c>
    </row>
    <row r="153" spans="2:4">
      <c r="B153" s="286" t="s">
        <v>426</v>
      </c>
      <c r="C153" s="333" t="str">
        <f>Market_currency</f>
        <v>CNY</v>
      </c>
      <c r="D153" s="333" t="str">
        <f>IF($D$11="","",D$13)</f>
        <v>HKD</v>
      </c>
    </row>
    <row r="154" spans="2:4">
      <c r="B154" s="238" t="s">
        <v>263</v>
      </c>
      <c r="C154" s="92">
        <f>Scenarios!F93</f>
        <v>0.31077046782765627</v>
      </c>
    </row>
    <row r="156" spans="2:4">
      <c r="B156" s="234" t="s">
        <v>406</v>
      </c>
    </row>
    <row r="157" spans="2:4">
      <c r="B157" s="1" t="s">
        <v>416</v>
      </c>
      <c r="C157" s="92">
        <f>Scenarios!C96</f>
        <v>0.08</v>
      </c>
    </row>
    <row r="158" spans="2:4">
      <c r="B158" s="236" t="str">
        <f>"PV("&amp;C136&amp;" yrs of Dividends)"</f>
        <v>PV(3 yrs of Dividends)</v>
      </c>
      <c r="C158" s="240">
        <f>Scenarios!C97</f>
        <v>5.3486918603257889</v>
      </c>
    </row>
    <row r="159" spans="2:4">
      <c r="B159" s="236" t="str">
        <f>"+ PV(Equity Value realized at year "&amp;C136&amp;")"</f>
        <v>+ PV(Equity Value realized at year 3)</v>
      </c>
      <c r="C159" s="240">
        <f>Scenarios!C98</f>
        <v>24.290242721632399</v>
      </c>
    </row>
    <row r="160" spans="2:4">
      <c r="B160" s="80" t="s">
        <v>407</v>
      </c>
      <c r="C160" s="239">
        <f>Scenarios!C99</f>
        <v>29.638934581958189</v>
      </c>
      <c r="D160" s="335">
        <f>IF($D$11="","",C160*$E$25)</f>
        <v>27.961259039583194</v>
      </c>
    </row>
    <row r="161" spans="1:6">
      <c r="B161" s="286" t="s">
        <v>426</v>
      </c>
      <c r="C161" s="333" t="str">
        <f>Market_currency</f>
        <v>CNY</v>
      </c>
      <c r="D161" s="333" t="str">
        <f>IF($D$11="","",D$13)</f>
        <v>HKD</v>
      </c>
    </row>
    <row r="162" spans="1:6">
      <c r="B162" s="238" t="s">
        <v>263</v>
      </c>
      <c r="C162" s="92">
        <f>Scenarios!F99</f>
        <v>3.1366539631478951E-2</v>
      </c>
    </row>
    <row r="164" spans="1:6">
      <c r="B164" s="234" t="s">
        <v>443</v>
      </c>
    </row>
    <row r="165" spans="1:6">
      <c r="B165" s="1" t="s">
        <v>434</v>
      </c>
      <c r="C165" s="92">
        <f>F32</f>
        <v>0.12</v>
      </c>
    </row>
    <row r="166" spans="1:6">
      <c r="B166" s="236" t="str">
        <f>"PV("&amp;C136&amp;" yrs of Dividends)"</f>
        <v>PV(3 yrs of Dividends)</v>
      </c>
      <c r="C166" s="240">
        <f>Scenarios!C103</f>
        <v>4.9849328208372334</v>
      </c>
    </row>
    <row r="167" spans="1:6">
      <c r="B167" s="236" t="str">
        <f>"+ PV(Equity Value realized at year "&amp;C136&amp;")"</f>
        <v>+ PV(Equity Value realized at year 3)</v>
      </c>
      <c r="C167" s="240">
        <f>Scenarios!C104</f>
        <v>21.77955755693743</v>
      </c>
    </row>
    <row r="168" spans="1:6">
      <c r="B168" s="80" t="s">
        <v>407</v>
      </c>
      <c r="C168" s="239">
        <f>Scenarios!C105</f>
        <v>26.764490377774663</v>
      </c>
      <c r="D168" s="335">
        <f>IF($D$11="","",C168*$E$25)</f>
        <v>25.249519224315719</v>
      </c>
    </row>
    <row r="169" spans="1:6">
      <c r="B169" s="286" t="s">
        <v>426</v>
      </c>
      <c r="C169" s="333" t="str">
        <f>Market_currency</f>
        <v>CNY</v>
      </c>
      <c r="D169" s="333" t="str">
        <f>IF($D$11="","",D$13)</f>
        <v>HKD</v>
      </c>
    </row>
    <row r="170" spans="1:6">
      <c r="B170" s="238" t="s">
        <v>263</v>
      </c>
      <c r="C170" s="92">
        <f>Scenarios!F105</f>
        <v>0.19168638951624872</v>
      </c>
    </row>
    <row r="172" spans="1:6" ht="13.9">
      <c r="A172" s="247" t="s">
        <v>380</v>
      </c>
      <c r="B172" s="36"/>
      <c r="C172" s="36"/>
      <c r="D172" s="36"/>
      <c r="E172" s="36"/>
      <c r="F172" s="36"/>
    </row>
    <row r="174" spans="1:6">
      <c r="B174" s="348" t="s">
        <v>382</v>
      </c>
      <c r="C174" s="349"/>
      <c r="D174" s="349"/>
      <c r="E174" s="349"/>
      <c r="F174" s="349"/>
    </row>
    <row r="176" spans="1:6">
      <c r="B176" s="234" t="s">
        <v>381</v>
      </c>
    </row>
    <row r="177" spans="2:6">
      <c r="B177" s="351" t="s">
        <v>386</v>
      </c>
      <c r="C177" s="351"/>
      <c r="D177" s="351"/>
      <c r="E177" s="351"/>
      <c r="F177" s="351"/>
    </row>
    <row r="178" spans="2:6">
      <c r="B178" s="238" t="s">
        <v>383</v>
      </c>
    </row>
    <row r="179" spans="2:6">
      <c r="B179" s="238" t="s">
        <v>384</v>
      </c>
    </row>
    <row r="180" spans="2:6">
      <c r="B180" s="238" t="s">
        <v>385</v>
      </c>
    </row>
    <row r="182" spans="2:6">
      <c r="B182" s="1" t="s">
        <v>390</v>
      </c>
    </row>
    <row r="183" spans="2:6" ht="46.5" customHeight="1">
      <c r="B183" s="350" t="s">
        <v>387</v>
      </c>
      <c r="C183" s="350"/>
      <c r="D183" s="350"/>
      <c r="E183" s="350"/>
      <c r="F183" s="350"/>
    </row>
    <row r="185" spans="2:6">
      <c r="B185" s="1" t="s">
        <v>391</v>
      </c>
    </row>
    <row r="186" spans="2:6" ht="24.4" customHeight="1">
      <c r="B186" s="347" t="s">
        <v>388</v>
      </c>
      <c r="C186" s="347"/>
      <c r="D186" s="347"/>
      <c r="E186" s="347"/>
      <c r="F186" s="347"/>
    </row>
    <row r="187" spans="2:6" ht="24.4" customHeight="1">
      <c r="B187" s="347" t="s">
        <v>389</v>
      </c>
      <c r="C187" s="347"/>
      <c r="D187" s="347"/>
      <c r="E187" s="347"/>
      <c r="F187" s="347"/>
    </row>
    <row r="189" spans="2:6">
      <c r="B189" s="1" t="s">
        <v>395</v>
      </c>
    </row>
    <row r="190" spans="2:6">
      <c r="B190" s="238" t="s">
        <v>392</v>
      </c>
    </row>
    <row r="191" spans="2:6">
      <c r="B191" s="238" t="s">
        <v>393</v>
      </c>
    </row>
    <row r="192" spans="2:6">
      <c r="B192" s="238" t="s">
        <v>394</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377</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379</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378</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-120714</v>
      </c>
      <c r="D62" s="183">
        <f t="shared" ref="D62:M62" si="30">IF(D$4="","",IF(D20=0,D61,-D20))</f>
        <v>-113750</v>
      </c>
      <c r="E62" s="183">
        <f t="shared" si="30"/>
        <v>-109906</v>
      </c>
      <c r="F62" s="183">
        <f t="shared" si="30"/>
        <v>-115680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399</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29"/>
      <c r="J77" s="329"/>
      <c r="K77" s="329"/>
      <c r="L77" s="329"/>
      <c r="M77" s="329"/>
    </row>
    <row r="78" spans="2:13">
      <c r="B78" s="93" t="s">
        <v>87</v>
      </c>
      <c r="C78" s="185">
        <f t="shared" si="40"/>
        <v>0</v>
      </c>
      <c r="D78" s="185">
        <f t="shared" si="40"/>
        <v>250898</v>
      </c>
      <c r="E78" s="185">
        <f t="shared" si="40"/>
        <v>244241</v>
      </c>
      <c r="F78" s="185">
        <f t="shared" si="40"/>
        <v>207433</v>
      </c>
      <c r="G78" s="185">
        <f t="shared" si="40"/>
        <v>151895</v>
      </c>
      <c r="H78" s="185">
        <f t="shared" si="40"/>
        <v>192442</v>
      </c>
      <c r="I78" s="329"/>
      <c r="J78" s="329"/>
      <c r="K78" s="329"/>
      <c r="L78" s="329"/>
      <c r="M78" s="329"/>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0">
        <v>0.6</v>
      </c>
      <c r="E4" s="25"/>
      <c r="F4" s="4" t="s">
        <v>78</v>
      </c>
      <c r="G4" s="19">
        <v>1</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1</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0</v>
      </c>
      <c r="D22" s="290">
        <v>0.9</v>
      </c>
      <c r="H22" s="291"/>
    </row>
    <row r="23" spans="2:8" ht="15" customHeight="1">
      <c r="B23" s="4" t="s">
        <v>21</v>
      </c>
      <c r="C23" s="19">
        <v>0</v>
      </c>
      <c r="D23" s="290">
        <v>0</v>
      </c>
      <c r="H23" s="291"/>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412</v>
      </c>
      <c r="F45" s="283" t="s">
        <v>59</v>
      </c>
    </row>
    <row r="46" spans="2:8" ht="15" customHeight="1">
      <c r="B46" s="1" t="s">
        <v>274</v>
      </c>
      <c r="C46" s="188">
        <f>G29</f>
        <v>2</v>
      </c>
      <c r="D46" s="188">
        <f>H29</f>
        <v>0.60000000000000009</v>
      </c>
      <c r="F46" s="280"/>
    </row>
    <row r="47" spans="2:8" ht="15" customHeight="1">
      <c r="B47" s="1" t="str">
        <f>"Equity per share ("&amp;Market_currency&amp;")"</f>
        <v>Equity per share (CNY)</v>
      </c>
      <c r="C47" s="148">
        <f>C46*H1/Common_Shares*Exchange_Rate</f>
        <v>1.7479986860318283E-5</v>
      </c>
      <c r="D47" s="148">
        <f>D46*H1/Common_Shares*Exchange_Rate</f>
        <v>5.243996058095486E-6</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v>
      </c>
      <c r="D50" s="95">
        <f>G31/Normalized_FCF!G8</f>
        <v>0</v>
      </c>
      <c r="F50" s="280"/>
    </row>
    <row r="51" spans="2:8" ht="15" customHeight="1">
      <c r="B51" s="1" t="s">
        <v>177</v>
      </c>
      <c r="C51" s="202"/>
      <c r="D51" s="92">
        <f>G29/G32</f>
        <v>0.66666666666666663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185475.39988739416</v>
      </c>
      <c r="D54" s="92">
        <f>Normalized_FCF!G8/G35</f>
        <v>170484.5</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120714</v>
      </c>
      <c r="F58" s="5"/>
    </row>
    <row r="59" spans="2:8" ht="15" customHeight="1">
      <c r="B59" s="1" t="s">
        <v>93</v>
      </c>
      <c r="C59" s="98"/>
      <c r="D59" s="92">
        <f>G39/G32</f>
        <v>0.33333333333333331</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289</v>
      </c>
      <c r="F65" s="283" t="s">
        <v>59</v>
      </c>
    </row>
    <row r="66" spans="2:6" ht="15" customHeight="1">
      <c r="B66" s="105" t="s">
        <v>188</v>
      </c>
      <c r="C66" s="20">
        <f>G4+G5+G15</f>
        <v>1</v>
      </c>
      <c r="D66" s="188">
        <f>C66-D75</f>
        <v>-247267.57388162927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v>
      </c>
      <c r="F70" s="280"/>
    </row>
    <row r="71" spans="2:6" ht="15" customHeight="1">
      <c r="F71" s="280"/>
    </row>
    <row r="72" spans="2:6" ht="15" customHeight="1">
      <c r="B72" s="282" t="s">
        <v>322</v>
      </c>
      <c r="C72" s="259" t="s">
        <v>96</v>
      </c>
      <c r="D72" s="203" t="s">
        <v>57</v>
      </c>
      <c r="F72" s="280"/>
    </row>
    <row r="73" spans="2:6" ht="15" customHeight="1">
      <c r="B73" s="105" t="s">
        <v>321</v>
      </c>
      <c r="C73" s="188">
        <f>(Normalized_FCF!G25+Normalized_FCF!G35-Normalized_FCF!G91)/12</f>
        <v>-248775.78636286163</v>
      </c>
      <c r="D73" s="188">
        <f>(Normalized_FCF!C25+Normalized_FCF!C35-Normalized_FCF!C91)/12</f>
        <v>-247268.57388162927</v>
      </c>
      <c r="F73" s="1" t="s">
        <v>356</v>
      </c>
    </row>
    <row r="74" spans="2:6" ht="15" customHeight="1">
      <c r="B74" s="284" t="s">
        <v>326</v>
      </c>
      <c r="C74" s="285">
        <f>-$C$66/C73</f>
        <v>4.0196838069337299E-6</v>
      </c>
      <c r="D74" s="285">
        <f>-$C$66/D73</f>
        <v>4.0441855764441506E-6</v>
      </c>
      <c r="F74" s="280" t="s">
        <v>323</v>
      </c>
    </row>
    <row r="75" spans="2:6" ht="15" customHeight="1">
      <c r="B75" s="80" t="s">
        <v>324</v>
      </c>
      <c r="C75" s="289"/>
      <c r="D75" s="288">
        <f>MAX(-D73*D76,G5)</f>
        <v>247268.57388162927</v>
      </c>
      <c r="F75" s="280" t="s">
        <v>357</v>
      </c>
    </row>
    <row r="76" spans="2:6" ht="15" customHeight="1">
      <c r="B76" s="286" t="s">
        <v>327</v>
      </c>
      <c r="C76" s="287"/>
      <c r="D76" s="322">
        <f>IF(D74&lt;=3,1,IF(D74&gt;18,6,2))</f>
        <v>1</v>
      </c>
      <c r="F76" s="280" t="s">
        <v>328</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292</v>
      </c>
      <c r="C84" s="37"/>
      <c r="D84" s="37"/>
      <c r="E84" s="37"/>
      <c r="F84" s="37"/>
      <c r="G84" s="37"/>
      <c r="H84" s="37"/>
    </row>
    <row r="85" spans="2:8" ht="15" customHeight="1">
      <c r="B85" s="16" t="s">
        <v>293</v>
      </c>
      <c r="D85" s="268" t="s">
        <v>294</v>
      </c>
    </row>
    <row r="86" spans="2:8" ht="15" customHeight="1">
      <c r="B86" s="265" t="s">
        <v>290</v>
      </c>
      <c r="C86" s="188">
        <f>-Valuation_Model!C7*Exchange_Rate</f>
        <v>0</v>
      </c>
      <c r="D86" s="248">
        <f>C86*scaling_factor/Common_Shares</f>
        <v>0</v>
      </c>
      <c r="E86" s="267" t="str">
        <f>Market_currency</f>
        <v>CNY</v>
      </c>
    </row>
    <row r="87" spans="2:8" ht="15" customHeight="1">
      <c r="B87" s="265" t="s">
        <v>291</v>
      </c>
      <c r="C87" s="188">
        <f>Valuation_Model!C8*Exchange_Rate</f>
        <v>-262103.62831452704</v>
      </c>
      <c r="D87" s="248">
        <f>C87*scaling_factor/Common_Shares</f>
        <v>-2.1611169712168299</v>
      </c>
      <c r="E87" s="267" t="str">
        <f>Market_currency</f>
        <v>CNY</v>
      </c>
    </row>
    <row r="88" spans="2:8" ht="15" customHeight="1">
      <c r="B88" s="266" t="s">
        <v>190</v>
      </c>
      <c r="C88" s="188">
        <f>Valuation_Model!C9*Exchange_Rate</f>
        <v>0</v>
      </c>
      <c r="D88" s="248">
        <f>C88*scaling_factor/Common_Shares</f>
        <v>0</v>
      </c>
      <c r="E88" s="267" t="str">
        <f>Market_currency</f>
        <v>CNY</v>
      </c>
    </row>
    <row r="89" spans="2:8" ht="15" customHeight="1">
      <c r="B89" s="80" t="s">
        <v>295</v>
      </c>
      <c r="C89" s="187">
        <f>SUM(C86:C88)</f>
        <v>-262103.62831452704</v>
      </c>
      <c r="D89" s="269">
        <f>SUM(D86:D88)</f>
        <v>-2.1611169712168299</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3086457.25</v>
      </c>
      <c r="D4" s="57"/>
      <c r="E4" s="296"/>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298"/>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298"/>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298"/>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4"/>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298"/>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298"/>
      <c r="G10" s="191">
        <f>Data!C62</f>
        <v>-120714</v>
      </c>
      <c r="H10" s="191">
        <f>Data!D62</f>
        <v>-113750</v>
      </c>
      <c r="I10" s="191">
        <f>Data!E62</f>
        <v>-109906</v>
      </c>
      <c r="J10" s="191">
        <f>Data!F62</f>
        <v>-115680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298"/>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298"/>
      <c r="G13" s="184">
        <f>IF(G$4="","",SUM(G8:G12))</f>
        <v>322368</v>
      </c>
      <c r="H13" s="184">
        <f t="shared" ref="H13:Q13" si="7">IF(H$4="","",SUM(H8:H12))</f>
        <v>349693</v>
      </c>
      <c r="I13" s="184">
        <f t="shared" si="7"/>
        <v>353488</v>
      </c>
      <c r="J13" s="184">
        <f t="shared" si="7"/>
        <v>377408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298"/>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5"/>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06"/>
      <c r="F16" s="61"/>
      <c r="G16" s="184">
        <f>IF(G$4="","",SUM(G13:G15))</f>
        <v>302168</v>
      </c>
      <c r="H16" s="184">
        <f t="shared" ref="H16:Q16" si="8">IF(H$4="","",SUM(H13:H15))</f>
        <v>324040</v>
      </c>
      <c r="I16" s="184">
        <f t="shared" si="8"/>
        <v>325275</v>
      </c>
      <c r="J16" s="184">
        <f t="shared" si="8"/>
        <v>340268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297" t="s">
        <v>336</v>
      </c>
      <c r="F17" s="58"/>
      <c r="G17" s="195"/>
      <c r="H17" s="195"/>
      <c r="I17" s="195"/>
      <c r="J17" s="195"/>
      <c r="K17" s="195"/>
      <c r="L17" s="195"/>
      <c r="M17" s="195"/>
      <c r="N17" s="195"/>
      <c r="O17" s="195"/>
      <c r="P17" s="195"/>
      <c r="Q17" s="195"/>
    </row>
    <row r="18" spans="1:17" ht="15.75" customHeight="1">
      <c r="A18" s="10"/>
      <c r="B18" s="27" t="s">
        <v>99</v>
      </c>
      <c r="C18" s="191">
        <v>0</v>
      </c>
      <c r="D18" s="58"/>
      <c r="E18" s="297" t="s">
        <v>337</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5"/>
      <c r="F19" s="27"/>
      <c r="G19" s="186">
        <f>IF(G$4="","",G16+G17)</f>
        <v>302168</v>
      </c>
      <c r="H19" s="186">
        <f t="shared" ref="H19:Q19" si="9">IF(H$4="","",H16+H17)</f>
        <v>324040</v>
      </c>
      <c r="I19" s="186">
        <f t="shared" si="9"/>
        <v>325275</v>
      </c>
      <c r="J19" s="186">
        <f t="shared" si="9"/>
        <v>340268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-2582765.8903351119</v>
      </c>
      <c r="D23" s="58"/>
      <c r="E23" s="297"/>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5"/>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3"/>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0.83680598211269952</v>
      </c>
      <c r="D28" s="26"/>
      <c r="E28" s="296" t="s">
        <v>338</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296" t="s">
        <v>338</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298"/>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-59357</v>
      </c>
      <c r="E33" s="296" t="s">
        <v>338</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296" t="s">
        <v>338</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297"/>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1.9231434357303994E-2</v>
      </c>
      <c r="D38" s="27"/>
      <c r="E38" s="295"/>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5"/>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298"/>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339</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0</v>
      </c>
      <c r="E47" s="298"/>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350</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347</v>
      </c>
      <c r="C49" s="319">
        <f>BS!$C$66*C53</f>
        <v>0</v>
      </c>
      <c r="D49" s="320"/>
      <c r="E49" s="321"/>
      <c r="F49" s="320"/>
      <c r="G49" s="319">
        <f>Data!C52</f>
        <v>5935</v>
      </c>
      <c r="H49" s="319">
        <f>Data!D52</f>
        <v>6828</v>
      </c>
      <c r="I49" s="319">
        <f>Data!E52</f>
        <v>6266</v>
      </c>
      <c r="J49" s="319">
        <f>Data!F52</f>
        <v>5732</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0</v>
      </c>
      <c r="E50" s="298"/>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v>
      </c>
      <c r="E53" s="295" t="s">
        <v>340</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5" t="s">
        <v>341</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298"/>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342</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0.8562535412486959</v>
      </c>
      <c r="D73" s="27"/>
      <c r="E73" s="295"/>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5"/>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5"/>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5"/>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5"/>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296" t="s">
        <v>359</v>
      </c>
      <c r="F78" s="27"/>
      <c r="G78" s="6">
        <f t="shared" ref="G78:Q78" si="29">IF(G$4="","",-G10/G$4)</f>
        <v>3.926217783215951E-2</v>
      </c>
      <c r="H78" s="6">
        <f t="shared" si="29"/>
        <v>3.5411701894175827E-2</v>
      </c>
      <c r="I78" s="6">
        <f t="shared" si="29"/>
        <v>3.3122494099153507E-2</v>
      </c>
      <c r="J78" s="6">
        <f t="shared" si="29"/>
        <v>4.2205361481916052E-2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5"/>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5"/>
      <c r="F81" s="27"/>
      <c r="G81" s="65">
        <f t="shared" ref="G81:Q81" si="32">IF(G$4="","",G13/G$4)</f>
        <v>0.10485005669100184</v>
      </c>
      <c r="H81" s="65">
        <f t="shared" si="32"/>
        <v>0.10886351007015409</v>
      </c>
      <c r="I81" s="65">
        <f t="shared" si="32"/>
        <v>0.10653107377323873</v>
      </c>
      <c r="J81" s="65">
        <f t="shared" si="32"/>
        <v>0.13769572152633969</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5"/>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0</v>
      </c>
      <c r="D83" s="27"/>
      <c r="E83" s="295"/>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5"/>
      <c r="F84" s="27"/>
      <c r="G84" s="65">
        <f t="shared" ref="G84:Q84" si="35">IF(G$4="","",ABS(G16/G$4))</f>
        <v>9.8280015169640425E-2</v>
      </c>
      <c r="H84" s="65">
        <f t="shared" si="35"/>
        <v>0.10087743192781305</v>
      </c>
      <c r="I84" s="65">
        <f t="shared" si="35"/>
        <v>9.8028490420014894E-2</v>
      </c>
      <c r="J84" s="65">
        <f t="shared" si="35"/>
        <v>0.12414534872690708</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5"/>
      <c r="F87" s="75"/>
      <c r="G87" s="65">
        <f t="shared" ref="G87:Q87" si="36">IF(G$4="","",ABS(G19/G$4))</f>
        <v>9.8280015169640425E-2</v>
      </c>
      <c r="H87" s="65">
        <f t="shared" si="36"/>
        <v>0.10087743192781305</v>
      </c>
      <c r="I87" s="65">
        <f t="shared" si="36"/>
        <v>9.8028490420014894E-2</v>
      </c>
      <c r="J87" s="65">
        <f t="shared" si="36"/>
        <v>0.12414534872690708</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2.0754716981132075</v>
      </c>
      <c r="E90" s="298"/>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298"/>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298"/>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313</v>
      </c>
      <c r="C93" s="23">
        <f>C90/Market_Price</f>
        <v>0.52016834539178136</v>
      </c>
      <c r="E93" s="298"/>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3.868925069652196E-3</v>
      </c>
      <c r="D96" s="27"/>
      <c r="E96" s="295"/>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5"/>
      <c r="F97" s="27"/>
      <c r="G97" s="6">
        <f t="shared" ref="G97:Q97" si="41">IF(H5="","",G13/H13-1)</f>
        <v>-7.8139968486643951E-2</v>
      </c>
      <c r="H97" s="6">
        <f t="shared" si="41"/>
        <v>-1.0735866564070107E-2</v>
      </c>
      <c r="I97" s="6">
        <f t="shared" si="41"/>
        <v>-6.3379684585382345E-2</v>
      </c>
      <c r="J97" s="6">
        <f t="shared" si="41"/>
        <v>0.36361107196924536</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v>
      </c>
      <c r="D101" s="26"/>
      <c r="E101" s="299"/>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0"/>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299"/>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299"/>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299"/>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397</v>
      </c>
      <c r="C113" s="170"/>
      <c r="E113" s="298"/>
      <c r="G113" s="328">
        <f>IF(G$4="","",Data!C$22/Data!C15)</f>
        <v>2.59544372426017</v>
      </c>
      <c r="H113" s="328">
        <f>IF(H$4="","",Data!D$22/Data!D15)</f>
        <v>2.3052708220312366</v>
      </c>
      <c r="I113" s="328">
        <f>IF(I$4="","",Data!E$22/Data!E15)</f>
        <v>1.5347422054436495</v>
      </c>
      <c r="J113" s="328">
        <f>IF(J$4="","",Data!F$22/Data!F15)</f>
        <v>2.6481712336822296</v>
      </c>
      <c r="K113" s="328">
        <f>IF(K$4="","",Data!G$22/Data!G15)</f>
        <v>4.0124071856287422</v>
      </c>
      <c r="L113" s="328">
        <f>IF(L$4="","",Data!H$22/Data!H15)</f>
        <v>2.1272288622057069</v>
      </c>
      <c r="M113" s="328">
        <f>IF(M$4="","",Data!I$22/Data!I15)</f>
        <v>2.1904370461707083</v>
      </c>
      <c r="N113" s="328">
        <f>IF(N$4="","",Data!J$22/Data!J15)</f>
        <v>2.716234671522463</v>
      </c>
      <c r="O113" s="328">
        <f>IF(O$4="","",Data!K$22/Data!K15)</f>
        <v>3.6258745986141627</v>
      </c>
      <c r="P113" s="328">
        <f>IF(P$4="","",Data!L$22/Data!L15)</f>
        <v>3.8254510220089513</v>
      </c>
      <c r="Q113" s="328" t="str">
        <f>IF(Q$4="","",Data!M$22/Data!M15)</f>
        <v/>
      </c>
    </row>
    <row r="114" spans="1:17" ht="15.75" customHeight="1">
      <c r="A114" s="10"/>
      <c r="B114" s="2" t="s">
        <v>398</v>
      </c>
      <c r="C114" s="170"/>
      <c r="E114" s="298"/>
      <c r="G114" s="328">
        <f>IF(G$4="","",Data!C$22/G19)</f>
        <v>0.49429456461306293</v>
      </c>
      <c r="H114" s="328">
        <f>IF(H$4="","",Data!D$22/H19)</f>
        <v>0.49831810887544747</v>
      </c>
      <c r="I114" s="328">
        <f>IF(I$4="","",Data!E$22/I19)</f>
        <v>0.35744831296595186</v>
      </c>
      <c r="J114" s="328">
        <f>IF(J$4="","",Data!F$22/J19)</f>
        <v>0.66175485205778972</v>
      </c>
      <c r="K114" s="328">
        <f>IF(K$4="","",Data!G$22/K19)</f>
        <v>0.64005104575013561</v>
      </c>
      <c r="L114" s="328">
        <f>IF(L$4="","",Data!H$22/L19)</f>
        <v>0.49507410622376108</v>
      </c>
      <c r="M114" s="328">
        <f>IF(M$4="","",Data!I$22/M19)</f>
        <v>0.56365780803302434</v>
      </c>
      <c r="N114" s="328">
        <f>IF(N$4="","",Data!J$22/N19)</f>
        <v>0.63781492393722561</v>
      </c>
      <c r="O114" s="328">
        <f>IF(O$4="","",Data!K$22/O19)</f>
        <v>0.76192556289509195</v>
      </c>
      <c r="P114" s="328">
        <f>IF(P$4="","",Data!L$22/P19)</f>
        <v>0.58467527247211815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298"/>
      <c r="G117" s="23">
        <f t="shared" ref="G117:Q117" si="45">G81</f>
        <v>0.10485005669100184</v>
      </c>
      <c r="H117" s="23">
        <f t="shared" si="45"/>
        <v>0.10886351007015409</v>
      </c>
      <c r="I117" s="23">
        <f t="shared" si="45"/>
        <v>0.10653107377323873</v>
      </c>
      <c r="J117" s="23">
        <f t="shared" si="45"/>
        <v>0.13769572152633969</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298"/>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2"/>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1"/>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5"/>
      <c r="F124" s="27"/>
      <c r="G124" s="178">
        <f t="shared" ref="G124:Q124" si="49">IF(G$4="","",G16*$C$3/Common_Shares*Exchange_Rate)</f>
        <v>2.6409463348043278</v>
      </c>
      <c r="H124" s="178">
        <f t="shared" si="49"/>
        <v>2.8321074711087686</v>
      </c>
      <c r="I124" s="178">
        <f t="shared" si="49"/>
        <v>2.8429013629950148</v>
      </c>
      <c r="J124" s="178">
        <f t="shared" si="49"/>
        <v>2.9739400844933908</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5"/>
      <c r="F125" s="27"/>
      <c r="G125" s="77">
        <f t="shared" ref="G125" si="50">IF(G$4="","",G124/Market_Price)</f>
        <v>0.66189131198103446</v>
      </c>
      <c r="H125" s="77">
        <f t="shared" ref="H125" si="51">IF(H$4="","",H124/Market_Price)</f>
        <v>0.70980137120520514</v>
      </c>
      <c r="I125" s="77">
        <f t="shared" ref="I125" si="52">IF(I$4="","",I124/Market_Price)</f>
        <v>0.71250660726692094</v>
      </c>
      <c r="J125" s="77">
        <f t="shared" ref="J125" si="53">IF(J$4="","",J124/Market_Price)</f>
        <v>0.74534839210360671</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400</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3477663.7478886405</v>
      </c>
      <c r="D6" t="str">
        <f>Reporting_currency</f>
        <v>CNY</v>
      </c>
      <c r="E6" s="355" t="s">
        <v>250</v>
      </c>
      <c r="F6" s="355"/>
      <c r="H6" s="121"/>
    </row>
    <row r="7" spans="2:8">
      <c r="B7" s="149" t="s">
        <v>225</v>
      </c>
      <c r="C7" s="226">
        <f>BS!G31</f>
        <v>0</v>
      </c>
      <c r="D7" t="str">
        <f>Reporting_currency</f>
        <v>CNY</v>
      </c>
      <c r="E7" s="355"/>
      <c r="F7" s="355"/>
      <c r="H7" s="121"/>
    </row>
    <row r="8" spans="2:8">
      <c r="B8" s="149" t="s">
        <v>226</v>
      </c>
      <c r="C8" s="201">
        <f>BS!D66</f>
        <v>-247267.57388162927</v>
      </c>
      <c r="D8" t="str">
        <f>Reporting_currency</f>
        <v>CNY</v>
      </c>
      <c r="E8" s="355"/>
      <c r="F8" s="355"/>
      <c r="H8" s="121"/>
    </row>
    <row r="9" spans="2:8">
      <c r="B9" s="227" t="s">
        <v>191</v>
      </c>
      <c r="C9" s="229">
        <f>BS!H42</f>
        <v>0</v>
      </c>
      <c r="D9" t="str">
        <f>Reporting_currency</f>
        <v>CNY</v>
      </c>
      <c r="E9" s="355"/>
      <c r="F9" s="355"/>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314</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299</v>
      </c>
      <c r="I2" s="276"/>
    </row>
    <row r="3" spans="2:9" ht="13.15">
      <c r="B3" s="160" t="s">
        <v>149</v>
      </c>
      <c r="H3" s="274">
        <v>0</v>
      </c>
      <c r="I3" s="262">
        <f>-Market_Price</f>
        <v>-3.99</v>
      </c>
    </row>
    <row r="4" spans="2:9">
      <c r="B4" s="153" t="s">
        <v>147</v>
      </c>
      <c r="C4" s="121">
        <v>3</v>
      </c>
      <c r="D4" s="121"/>
      <c r="E4" s="156" t="s">
        <v>151</v>
      </c>
      <c r="F4" s="156"/>
      <c r="H4" s="274">
        <v>1</v>
      </c>
      <c r="I4" s="262">
        <f t="shared" ref="I4:I13" si="0">IF(ROW()-3 &lt; $C$76, $C$77, IF(ROW()-3 = $C$76, $C$77 + $C$60, ""))</f>
        <v>2.0754716981132075</v>
      </c>
    </row>
    <row r="5" spans="2:9">
      <c r="H5" s="274">
        <v>2</v>
      </c>
      <c r="I5" s="262">
        <f t="shared" si="0"/>
        <v>2.0754716981132075</v>
      </c>
    </row>
    <row r="6" spans="2:9" ht="13.15">
      <c r="B6" s="160" t="s">
        <v>96</v>
      </c>
      <c r="C6" s="107">
        <f>Valuation_Model!C3</f>
        <v>1000000</v>
      </c>
      <c r="E6" s="100" t="s">
        <v>281</v>
      </c>
      <c r="F6" s="100"/>
      <c r="H6" s="274">
        <v>3</v>
      </c>
      <c r="I6" s="262">
        <f t="shared" si="0"/>
        <v>32.674181937466201</v>
      </c>
    </row>
    <row r="7" spans="2:9" ht="12.75" customHeight="1">
      <c r="B7" s="100" t="s">
        <v>276</v>
      </c>
      <c r="C7" s="115">
        <f>Normalized_FCF!G8</f>
        <v>340969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7"/>
      <c r="H7" s="274">
        <v>4</v>
      </c>
      <c r="I7" s="262" t="str">
        <f t="shared" si="0"/>
        <v/>
      </c>
    </row>
    <row r="8" spans="2:9">
      <c r="B8" s="100" t="s">
        <v>66</v>
      </c>
      <c r="C8" s="115">
        <f>Normalized_FCF!G19</f>
        <v>302168</v>
      </c>
      <c r="D8" t="str">
        <f>Reporting_currency</f>
        <v>CNY</v>
      </c>
      <c r="E8" s="357"/>
      <c r="F8" s="357"/>
      <c r="H8" s="274">
        <v>5</v>
      </c>
      <c r="I8" s="262" t="str">
        <f t="shared" si="0"/>
        <v/>
      </c>
    </row>
    <row r="9" spans="2:9">
      <c r="B9" s="100" t="s">
        <v>57</v>
      </c>
      <c r="C9" s="201">
        <f>Normalized_FCF!C19</f>
        <v>278213.09983109124</v>
      </c>
      <c r="D9" t="str">
        <f>Reporting_currency</f>
        <v>CNY</v>
      </c>
      <c r="E9" s="357"/>
      <c r="F9" s="357"/>
      <c r="H9" s="274">
        <v>6</v>
      </c>
      <c r="I9" s="262" t="str">
        <f t="shared" si="0"/>
        <v/>
      </c>
    </row>
    <row r="10" spans="2:9">
      <c r="E10" s="357"/>
      <c r="F10" s="357"/>
      <c r="H10" s="274">
        <v>7</v>
      </c>
      <c r="I10" s="262" t="str">
        <f t="shared" si="0"/>
        <v/>
      </c>
    </row>
    <row r="11" spans="2:9" ht="13.15">
      <c r="B11" s="160" t="s">
        <v>278</v>
      </c>
      <c r="E11" s="357"/>
      <c r="F11" s="357"/>
      <c r="H11" s="274">
        <v>8</v>
      </c>
      <c r="I11" s="262" t="str">
        <f t="shared" si="0"/>
        <v/>
      </c>
    </row>
    <row r="12" spans="2:9">
      <c r="B12" s="119" t="s">
        <v>145</v>
      </c>
      <c r="C12" s="159">
        <f ca="1">(Normalized_FCF!G4/OFFSET(Normalized_FCF!G4, 0, $C$4))^(1/$C$4) - 1</f>
        <v>3.9036649512719679E-2</v>
      </c>
      <c r="D12" s="159"/>
      <c r="E12" s="357"/>
      <c r="F12" s="357"/>
      <c r="H12" s="274">
        <v>9</v>
      </c>
      <c r="I12" s="262" t="str">
        <f t="shared" si="0"/>
        <v/>
      </c>
    </row>
    <row r="13" spans="2:9">
      <c r="B13" s="149" t="s">
        <v>153</v>
      </c>
      <c r="C13" s="159">
        <f ca="1">(Normalized_FCF!G8/OFFSET(Normalized_FCF!G8, 0, $C$4))^(1/$C$4) - 1</f>
        <v>-4.5771520730185866E-2</v>
      </c>
      <c r="E13" s="357"/>
      <c r="F13" s="357"/>
      <c r="H13" s="274">
        <v>10</v>
      </c>
      <c r="I13" s="262" t="str">
        <f t="shared" si="0"/>
        <v/>
      </c>
    </row>
    <row r="14" spans="2:9">
      <c r="B14" s="100" t="s">
        <v>66</v>
      </c>
      <c r="C14" s="159">
        <f ca="1">(Normalized_FCF!G19/OFFSET(Normalized_FCF!G19, 0, $C$4))^(1/$C$4) - 1</f>
        <v>-3.8810272916738997E-2</v>
      </c>
      <c r="E14" s="357"/>
      <c r="F14" s="357"/>
    </row>
    <row r="16" spans="2:9" ht="13.9">
      <c r="B16" s="36" t="s">
        <v>163</v>
      </c>
      <c r="C16" s="37"/>
      <c r="D16" s="37"/>
      <c r="E16" s="37"/>
      <c r="F16" s="37"/>
    </row>
    <row r="17" spans="2:6" ht="13.15">
      <c r="B17" s="109" t="s">
        <v>152</v>
      </c>
      <c r="E17" s="160" t="s">
        <v>334</v>
      </c>
    </row>
    <row r="18" spans="2:6">
      <c r="B18" s="153" t="s">
        <v>134</v>
      </c>
      <c r="C18" s="151">
        <v>10</v>
      </c>
      <c r="E18" s="357" t="s">
        <v>335</v>
      </c>
      <c r="F18" s="358"/>
    </row>
    <row r="19" spans="2:6">
      <c r="E19" s="358"/>
      <c r="F19" s="358"/>
    </row>
    <row r="20" spans="2:6" ht="13.15">
      <c r="B20" s="160" t="s">
        <v>307</v>
      </c>
      <c r="E20" s="358"/>
      <c r="F20" s="358"/>
    </row>
    <row r="21" spans="2:6">
      <c r="B21" s="100" t="s">
        <v>279</v>
      </c>
      <c r="C21" s="161">
        <f>Market_Price</f>
        <v>3.99</v>
      </c>
      <c r="D21" t="str">
        <f>Market_currency</f>
        <v>CNY</v>
      </c>
      <c r="E21" s="358"/>
      <c r="F21" s="358"/>
    </row>
    <row r="22" spans="2:6">
      <c r="B22" s="100" t="s">
        <v>280</v>
      </c>
      <c r="C22" s="161">
        <f>Valuation_Model!C12</f>
        <v>28.233641337632509</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Valuation_Model!E76</f>
        <v>30.195932424746655</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v>
      </c>
      <c r="D32" s="165"/>
      <c r="E32" s="356"/>
      <c r="F32" s="356"/>
    </row>
    <row r="33" spans="2:6">
      <c r="B33" s="100" t="s">
        <v>114</v>
      </c>
      <c r="C33" s="161">
        <f>Valuation_Model!E77</f>
        <v>28.233641337632498</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0.04</v>
      </c>
      <c r="D38" s="165"/>
      <c r="E38" s="356"/>
      <c r="F38" s="356"/>
    </row>
    <row r="39" spans="2:6">
      <c r="B39" s="100" t="s">
        <v>114</v>
      </c>
      <c r="C39" s="161">
        <f>Valuation_Model!E75</f>
        <v>32.354898209852024</v>
      </c>
      <c r="D39" t="str">
        <f>Market_currency</f>
        <v>CNY</v>
      </c>
      <c r="E39" s="356"/>
      <c r="F39" s="356"/>
    </row>
    <row r="40" spans="2:6">
      <c r="B40" s="100" t="s">
        <v>148</v>
      </c>
      <c r="C40" s="168">
        <f>1-C28-C34</f>
        <v>0.2</v>
      </c>
      <c r="D40" s="166"/>
      <c r="E40" s="356"/>
      <c r="F40" s="356"/>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Valuation_Model!E78</f>
        <v>28.233641337632491</v>
      </c>
      <c r="D51" t="str">
        <f>Market_currency</f>
        <v>CNY</v>
      </c>
      <c r="E51" s="356"/>
      <c r="F51" s="356"/>
    </row>
    <row r="52" spans="2:6">
      <c r="B52" s="100" t="s">
        <v>148</v>
      </c>
      <c r="C52" s="166">
        <v>0.05</v>
      </c>
      <c r="D52" s="166"/>
      <c r="E52" s="356"/>
      <c r="F52" s="356"/>
    </row>
    <row r="54" spans="2:6" ht="13.15">
      <c r="B54" s="160" t="s">
        <v>320</v>
      </c>
      <c r="E54" s="160" t="s">
        <v>150</v>
      </c>
      <c r="F54" s="160"/>
    </row>
    <row r="55" spans="2:6">
      <c r="B55" s="153" t="s">
        <v>134</v>
      </c>
      <c r="C55" s="167">
        <f>C46</f>
        <v>15</v>
      </c>
      <c r="D55" s="164"/>
      <c r="E55" s="356"/>
      <c r="F55" s="356"/>
    </row>
    <row r="56" spans="2:6">
      <c r="B56" s="119" t="s">
        <v>135</v>
      </c>
      <c r="C56" s="165">
        <v>0.06</v>
      </c>
      <c r="D56" s="165"/>
      <c r="E56" s="356"/>
      <c r="F56" s="356"/>
    </row>
    <row r="57" spans="2:6">
      <c r="B57" s="100" t="s">
        <v>114</v>
      </c>
      <c r="C57" s="161">
        <f>Valuation_Model!E74</f>
        <v>39.505750891219357</v>
      </c>
      <c r="D57" t="str">
        <f>Market_currency</f>
        <v>CNY</v>
      </c>
      <c r="E57" s="356"/>
      <c r="F57" s="356"/>
    </row>
    <row r="58" spans="2:6">
      <c r="B58" s="100" t="s">
        <v>148</v>
      </c>
      <c r="C58" s="166">
        <v>0.05</v>
      </c>
      <c r="D58" s="166"/>
      <c r="E58" s="356"/>
      <c r="F58" s="356"/>
    </row>
    <row r="60" spans="2:6" ht="13.15">
      <c r="B60" s="100" t="s">
        <v>121</v>
      </c>
      <c r="C60" s="155">
        <f>C51*C52+C57*C58+C42*(1-C52-C58)</f>
        <v>30.598710239352997</v>
      </c>
      <c r="D60" t="str">
        <f>Market_currency</f>
        <v>CNY</v>
      </c>
      <c r="E60" s="100" t="s">
        <v>300</v>
      </c>
      <c r="F60" s="307">
        <f>Thesis!F28</f>
        <v>3</v>
      </c>
    </row>
    <row r="62" spans="2:6" ht="13.9">
      <c r="B62" s="36" t="s">
        <v>354</v>
      </c>
      <c r="C62" s="37"/>
      <c r="D62" s="37"/>
      <c r="E62" s="37"/>
      <c r="F62" s="37"/>
    </row>
    <row r="63" spans="2:6" ht="13.15">
      <c r="B63" s="109" t="s">
        <v>308</v>
      </c>
      <c r="E63" s="279" t="s">
        <v>315</v>
      </c>
    </row>
    <row r="64" spans="2:6">
      <c r="B64" s="153" t="s">
        <v>134</v>
      </c>
      <c r="C64" s="167">
        <f>C18</f>
        <v>10</v>
      </c>
      <c r="D64" s="151"/>
      <c r="E64" s="278" t="s">
        <v>401</v>
      </c>
    </row>
    <row r="65" spans="2:6">
      <c r="B65" s="119" t="s">
        <v>135</v>
      </c>
      <c r="C65" s="152">
        <v>4.6574870890079501E-2</v>
      </c>
      <c r="D65" s="152"/>
      <c r="E65" s="278" t="s">
        <v>316</v>
      </c>
    </row>
    <row r="66" spans="2:6">
      <c r="B66" s="100" t="s">
        <v>103</v>
      </c>
      <c r="C66" s="161">
        <f>Valuation_Model!C18</f>
        <v>33.111517646915438</v>
      </c>
      <c r="D66" s="161" t="str">
        <f>Market_currency</f>
        <v>CNY</v>
      </c>
      <c r="E66" s="278" t="s">
        <v>317</v>
      </c>
    </row>
    <row r="68" spans="2:6" ht="13.15">
      <c r="B68" s="109" t="s">
        <v>355</v>
      </c>
      <c r="E68" s="279" t="s">
        <v>318</v>
      </c>
    </row>
    <row r="69" spans="2:6">
      <c r="B69" s="100" t="s">
        <v>309</v>
      </c>
      <c r="C69" s="271" t="str">
        <f>IF(C60&lt;C22,"Y","N")</f>
        <v>N</v>
      </c>
      <c r="E69" s="135"/>
    </row>
    <row r="70" spans="2:6">
      <c r="B70" s="100" t="s">
        <v>297</v>
      </c>
      <c r="C70" s="271" t="str">
        <f>IF(C69="Y","N",IF(C65&gt;8%,"N","Y"))</f>
        <v>Y</v>
      </c>
      <c r="E70" s="278" t="s">
        <v>298</v>
      </c>
    </row>
    <row r="71" spans="2:6">
      <c r="B71" s="100" t="s">
        <v>296</v>
      </c>
      <c r="C71" s="271" t="str">
        <f>IF(C65&gt;8%,"Y","N")</f>
        <v>N</v>
      </c>
      <c r="E71" s="278"/>
    </row>
    <row r="72" spans="2:6">
      <c r="B72" s="100" t="s">
        <v>288</v>
      </c>
      <c r="C72" s="270" t="str">
        <f>IF(F72&gt;50%,"Y","N")</f>
        <v>N</v>
      </c>
      <c r="E72" s="135" t="s">
        <v>351</v>
      </c>
      <c r="F72" s="324">
        <f>BS!D89/C60</f>
        <v>-7.0627714511882198E-2</v>
      </c>
    </row>
    <row r="74" spans="2:6" ht="13.9">
      <c r="B74" s="36" t="s">
        <v>128</v>
      </c>
      <c r="C74" s="37"/>
      <c r="D74" s="37"/>
      <c r="E74" s="37"/>
      <c r="F74" s="37"/>
    </row>
    <row r="75" spans="2:6" ht="13.15">
      <c r="B75" s="109" t="s">
        <v>126</v>
      </c>
    </row>
    <row r="76" spans="2:6">
      <c r="B76" s="273" t="s">
        <v>301</v>
      </c>
      <c r="C76" s="272">
        <f>F60</f>
        <v>3</v>
      </c>
      <c r="D76" s="135"/>
    </row>
    <row r="77" spans="2:6">
      <c r="B77" s="100" t="s">
        <v>112</v>
      </c>
      <c r="C77" s="174">
        <f>Normalized_FCF!C90</f>
        <v>2.0754716981132075</v>
      </c>
      <c r="D77" t="str">
        <f>Market_currency</f>
        <v>CNY</v>
      </c>
    </row>
    <row r="79" spans="2:6" ht="13.15">
      <c r="B79" s="109" t="s">
        <v>305</v>
      </c>
    </row>
    <row r="80" spans="2:6">
      <c r="B80" s="149" t="s">
        <v>303</v>
      </c>
      <c r="C80" s="168">
        <f>Thesis!F29</f>
        <v>0.35</v>
      </c>
    </row>
    <row r="81" spans="2:8">
      <c r="B81" s="100" t="s">
        <v>122</v>
      </c>
      <c r="C81" s="117">
        <f>PV(C80, C76, -C77, 0)</f>
        <v>3.5197503065091129</v>
      </c>
      <c r="D81" s="117"/>
      <c r="E81" s="100"/>
      <c r="F81" s="100"/>
    </row>
    <row r="82" spans="2:8">
      <c r="B82" s="100" t="s">
        <v>123</v>
      </c>
      <c r="C82" s="117">
        <f>C60/(1+C80)^C76</f>
        <v>12.436604273475787</v>
      </c>
      <c r="D82" s="117"/>
    </row>
    <row r="83" spans="2:8" ht="13.15">
      <c r="B83" s="111" t="s">
        <v>102</v>
      </c>
      <c r="C83" s="112">
        <f>C81+C82</f>
        <v>15.9563545799849</v>
      </c>
      <c r="D83" t="str">
        <f>Market_currency</f>
        <v>CNY</v>
      </c>
      <c r="E83" s="147" t="s">
        <v>127</v>
      </c>
      <c r="F83" s="324">
        <f>(1-C83/C60)</f>
        <v>0.47852852439958615</v>
      </c>
    </row>
    <row r="84" spans="2:8">
      <c r="E84" s="121"/>
    </row>
    <row r="85" spans="2:8" ht="13.15">
      <c r="B85" s="109" t="s">
        <v>306</v>
      </c>
    </row>
    <row r="86" spans="2:8">
      <c r="B86" s="149" t="s">
        <v>304</v>
      </c>
      <c r="C86" s="264">
        <f>Market_Price</f>
        <v>3.99</v>
      </c>
      <c r="D86" t="str">
        <f>Market_currency</f>
        <v>CNY</v>
      </c>
    </row>
    <row r="87" spans="2:8" ht="13.15">
      <c r="B87" s="100" t="s">
        <v>302</v>
      </c>
      <c r="C87" s="263">
        <f ca="1">IRR(OFFSET($I$3, 0, 0, $C$76 + 1, 1))</f>
        <v>1.2976894231064677</v>
      </c>
    </row>
    <row r="88" spans="2:8">
      <c r="B88" s="100"/>
    </row>
    <row r="89" spans="2:8" ht="13.15">
      <c r="B89" s="109" t="s">
        <v>419</v>
      </c>
    </row>
    <row r="90" spans="2:8">
      <c r="B90" s="149" t="s">
        <v>420</v>
      </c>
      <c r="C90" s="168">
        <f>Thesis!F30</f>
        <v>0.22</v>
      </c>
    </row>
    <row r="91" spans="2:8">
      <c r="B91" s="100" t="s">
        <v>122</v>
      </c>
      <c r="C91" s="117">
        <f>PV(C90, C76, -C77, 0)</f>
        <v>4.2386142701828673</v>
      </c>
      <c r="D91" s="117"/>
      <c r="E91" s="100"/>
      <c r="F91" s="100"/>
    </row>
    <row r="92" spans="2:8">
      <c r="B92" s="100" t="s">
        <v>123</v>
      </c>
      <c r="C92" s="117">
        <f>C60/(1+C90)^C76</f>
        <v>16.850920473163502</v>
      </c>
      <c r="D92" s="117"/>
    </row>
    <row r="93" spans="2:8" ht="13.15">
      <c r="B93" s="111" t="s">
        <v>102</v>
      </c>
      <c r="C93" s="112">
        <f>C91+C92</f>
        <v>21.08953474334637</v>
      </c>
      <c r="D93" t="str">
        <f>Market_currency</f>
        <v>CNY</v>
      </c>
      <c r="E93" s="147" t="s">
        <v>127</v>
      </c>
      <c r="F93" s="324">
        <f>(1-C93/C60)</f>
        <v>0.31077046782765627</v>
      </c>
    </row>
    <row r="95" spans="2:8" ht="13.15">
      <c r="B95" s="109" t="s">
        <v>403</v>
      </c>
      <c r="G95" s="2"/>
      <c r="H95" s="311"/>
    </row>
    <row r="96" spans="2:8">
      <c r="B96" s="149" t="s">
        <v>409</v>
      </c>
      <c r="C96" s="135">
        <f>Thesis!F31</f>
        <v>0.08</v>
      </c>
      <c r="G96" s="2"/>
      <c r="H96" s="311"/>
    </row>
    <row r="97" spans="2:8">
      <c r="B97" s="100" t="s">
        <v>122</v>
      </c>
      <c r="C97" s="117">
        <f>PV(C96, C76, -C77, 0)</f>
        <v>5.3486918603257889</v>
      </c>
      <c r="D97" s="117"/>
      <c r="G97" s="2"/>
      <c r="H97" s="311"/>
    </row>
    <row r="98" spans="2:8">
      <c r="B98" s="100" t="s">
        <v>123</v>
      </c>
      <c r="C98" s="117">
        <f>C60/(1+C96)^C76</f>
        <v>24.290242721632399</v>
      </c>
      <c r="D98" s="117"/>
      <c r="G98" s="2"/>
      <c r="H98" s="311"/>
    </row>
    <row r="99" spans="2:8" ht="13.15">
      <c r="B99" s="111" t="s">
        <v>404</v>
      </c>
      <c r="C99" s="112">
        <f>C97+C98</f>
        <v>29.638934581958189</v>
      </c>
      <c r="D99" t="s">
        <v>402</v>
      </c>
      <c r="E99" s="147" t="s">
        <v>127</v>
      </c>
      <c r="F99" s="324">
        <f>(1-C99/C60)</f>
        <v>3.1366539631478951E-2</v>
      </c>
    </row>
    <row r="100" spans="2:8">
      <c r="B100" s="100"/>
    </row>
    <row r="101" spans="2:8" ht="13.15">
      <c r="B101" s="109" t="s">
        <v>433</v>
      </c>
    </row>
    <row r="102" spans="2:8">
      <c r="B102" s="149" t="s">
        <v>432</v>
      </c>
      <c r="C102" s="135">
        <f>Thesis!F32</f>
        <v>0.12</v>
      </c>
    </row>
    <row r="103" spans="2:8">
      <c r="B103" s="100" t="s">
        <v>122</v>
      </c>
      <c r="C103" s="117">
        <f>PV(C102, C76, -C77, 0)</f>
        <v>4.9849328208372334</v>
      </c>
      <c r="D103" s="117"/>
    </row>
    <row r="104" spans="2:8">
      <c r="B104" s="100" t="s">
        <v>123</v>
      </c>
      <c r="C104" s="117">
        <f>C60/(1+C102)^C76</f>
        <v>21.77955755693743</v>
      </c>
      <c r="D104" s="117"/>
    </row>
    <row r="105" spans="2:8" ht="13.15">
      <c r="B105" s="111" t="s">
        <v>404</v>
      </c>
      <c r="C105" s="112">
        <f>C103+C104</f>
        <v>26.764490377774663</v>
      </c>
      <c r="D105" t="s">
        <v>402</v>
      </c>
      <c r="E105" s="147" t="s">
        <v>127</v>
      </c>
      <c r="F105" s="324">
        <f>(1-C105/C66)</f>
        <v>0.19168638951624872</v>
      </c>
    </row>
    <row r="106" spans="2:8">
      <c r="B106" s="100"/>
    </row>
    <row r="107" spans="2:8" ht="14.65">
      <c r="E107" s="315" t="s">
        <v>329</v>
      </c>
      <c r="F107" s="312"/>
    </row>
    <row r="108" spans="2:8" ht="13.9">
      <c r="E108" s="308" t="s">
        <v>330</v>
      </c>
      <c r="F108" s="313" t="s">
        <v>331</v>
      </c>
    </row>
    <row r="109" spans="2:8" ht="13.9">
      <c r="E109" s="309" t="s">
        <v>330</v>
      </c>
      <c r="F109" s="313" t="s">
        <v>332</v>
      </c>
    </row>
    <row r="110" spans="2:8" ht="13.9">
      <c r="E110" s="310" t="s">
        <v>330</v>
      </c>
      <c r="F110" s="314" t="s">
        <v>333</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