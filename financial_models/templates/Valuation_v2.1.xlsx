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templates\"/>
    </mc:Choice>
  </mc:AlternateContent>
  <xr:revisionPtr revIDLastSave="0" documentId="13_ncr:1_{B825E7ED-BE2F-4796-BF86-D2442B627B06}" xr6:coauthVersionLast="47" xr6:coauthVersionMax="47" xr10:uidLastSave="{00000000-0000-0000-0000-000000000000}"/>
  <bookViews>
    <workbookView xWindow="-98" yWindow="-98" windowWidth="17115" windowHeight="10755" activeTab="1"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D62" i="4" l="1"/>
  <c r="E62" i="4"/>
  <c r="F62" i="4"/>
  <c r="G62" i="4"/>
  <c r="H62" i="4"/>
  <c r="I62" i="4"/>
  <c r="J62" i="4"/>
  <c r="K62" i="4"/>
  <c r="L62" i="4"/>
  <c r="M62" i="4"/>
  <c r="C62" i="4"/>
  <c r="D135" i="6"/>
  <c r="E22" i="6"/>
  <c r="D22" i="6"/>
  <c r="D156" i="6"/>
  <c r="D148" i="6"/>
  <c r="D140" i="6"/>
  <c r="C135" i="6"/>
  <c r="D15" i="6"/>
  <c r="C156" i="6"/>
  <c r="C148" i="6"/>
  <c r="C140" i="6"/>
  <c r="D14" i="6"/>
  <c r="C14" i="6"/>
  <c r="C90" i="9" l="1"/>
  <c r="C144" i="6" s="1"/>
  <c r="D93" i="9"/>
  <c r="C96" i="9" l="1"/>
  <c r="C152" i="6" s="1"/>
  <c r="Q92" i="2"/>
  <c r="Q91" i="2"/>
  <c r="C33" i="6"/>
  <c r="H1" i="3"/>
  <c r="C3" i="2"/>
  <c r="C3" i="8"/>
  <c r="C136" i="6"/>
  <c r="D109" i="6"/>
  <c r="Q48" i="2"/>
  <c r="C64" i="9"/>
  <c r="M69" i="4"/>
  <c r="M70" i="4"/>
  <c r="M71" i="4"/>
  <c r="M72" i="4"/>
  <c r="C20" i="4"/>
  <c r="C25" i="4"/>
  <c r="C32" i="4"/>
  <c r="C30" i="4"/>
  <c r="C29" i="4"/>
  <c r="C28" i="4"/>
  <c r="D64" i="4"/>
  <c r="E64" i="4"/>
  <c r="F64" i="4"/>
  <c r="G64" i="4"/>
  <c r="H64" i="4"/>
  <c r="I64" i="4"/>
  <c r="J64" i="4"/>
  <c r="K64" i="4"/>
  <c r="L64" i="4"/>
  <c r="M64" i="4"/>
  <c r="C64" i="4"/>
  <c r="E85" i="2"/>
  <c r="E86" i="2"/>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55" i="8" l="1"/>
  <c r="F64" i="8" s="1"/>
  <c r="C116" i="6"/>
  <c r="C103" i="6"/>
  <c r="C104" i="6" s="1"/>
  <c r="G67" i="2"/>
  <c r="C67" i="2" s="1"/>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I10" i="2"/>
  <c r="J10" i="2"/>
  <c r="K10" i="2"/>
  <c r="L10" i="2"/>
  <c r="M10" i="2"/>
  <c r="N10" i="2"/>
  <c r="O10" i="2"/>
  <c r="P10" i="2"/>
  <c r="Q10" i="2"/>
  <c r="D63" i="4"/>
  <c r="E63" i="4"/>
  <c r="F63" i="4"/>
  <c r="G63" i="4"/>
  <c r="H63" i="4"/>
  <c r="I63" i="4"/>
  <c r="J63" i="4"/>
  <c r="K63" i="4"/>
  <c r="L63" i="4"/>
  <c r="M63" i="4"/>
  <c r="C63" i="4"/>
  <c r="G10" i="2"/>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90" i="2"/>
  <c r="C77" i="9" s="1"/>
  <c r="C91" i="9" s="1"/>
  <c r="C145" i="6" s="1"/>
  <c r="L45" i="4"/>
  <c r="C34" i="2"/>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L68" i="4"/>
  <c r="D68" i="4"/>
  <c r="K68" i="4"/>
  <c r="C68" i="4"/>
  <c r="J68" i="4"/>
  <c r="I68" i="4"/>
  <c r="E68" i="4"/>
  <c r="H68" i="4"/>
  <c r="G68" i="4"/>
  <c r="F68" i="4"/>
  <c r="J4" i="2"/>
  <c r="Q4" i="2"/>
  <c r="Q126" i="2" s="1"/>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E70" i="4" l="1"/>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31" i="4"/>
  <c r="C80" i="4" s="1"/>
  <c r="C76" i="4" s="1"/>
  <c r="C93" i="6"/>
  <c r="G113" i="2"/>
  <c r="G126" i="2"/>
  <c r="H113" i="2"/>
  <c r="H126" i="2"/>
  <c r="J113" i="2"/>
  <c r="J126" i="2"/>
  <c r="I113" i="2"/>
  <c r="I126" i="2"/>
  <c r="K113" i="2"/>
  <c r="M113" i="2"/>
  <c r="L113" i="2"/>
  <c r="N113" i="2"/>
  <c r="P113" i="2"/>
  <c r="C33" i="2"/>
  <c r="O113" i="2"/>
  <c r="Q113" i="2"/>
  <c r="Q114" i="2"/>
  <c r="C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8" i="2"/>
  <c r="C23" i="2" s="1"/>
  <c r="C49" i="2"/>
  <c r="C29" i="2"/>
  <c r="C24" i="2" s="1"/>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83" i="2" s="1"/>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C6" i="9"/>
  <c r="D76" i="3" l="1"/>
  <c r="D75" i="3" s="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54" i="2" s="1"/>
  <c r="C89" i="3" l="1"/>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<sst xmlns="http://schemas.openxmlformats.org/spreadsheetml/2006/main" count="627" uniqueCount="438">
  <si>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</si>
  <si>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</si>
  <si>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</si>
  <si>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</si>
  <si>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</si>
  <si>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</si>
  <si>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</si>
  <si>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</si>
  <si>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</si>
  <si>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</si>
  <si>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</si>
  <si>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</si>
  <si>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</si>
  <si>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</si>
  <si>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</si>
  <si>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</si>
  <si>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</si>
  <si>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</si>
  <si>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</si>
  <si>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</si>
  <si>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</si>
  <si>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</si>
  <si>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</si>
  <si>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</si>
  <si>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</si>
  <si>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</si>
  <si>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</si>
  <si>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</si>
  <si>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</si>
  <si>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</si>
  <si>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</si>
  <si>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</si>
  <si>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</si>
  <si>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</si>
  <si>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</si>
  <si>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</si>
  <si>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</si>
  <si>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</si>
  <si>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</si>
  <si>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</si>
  <si>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</si>
  <si>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</si>
  <si>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</si>
  <si>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</si>
  <si>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</si>
  <si>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</si>
  <si>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</si>
  <si>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</si>
  <si>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</si>
  <si>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</si>
  <si>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</si>
  <si>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</si>
  <si>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</si>
  <si>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</si>
  <si>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</si>
  <si>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</si>
  <si>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</si>
  <si>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</si>
  <si>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</si>
  <si>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</si>
  <si>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</si>
  <si>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</si>
  <si>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</si>
  <si>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</si>
  <si>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</si>
  <si>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</si>
  <si>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</si>
  <si>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</si>
  <si>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</si>
  <si>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</si>
  <si>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</si>
  <si>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</si>
  <si>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</si>
  <si>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</si>
  <si>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</si>
  <si>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</si>
  <si>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</si>
  <si>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</si>
  <si>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</si>
  <si>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</si>
  <si>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</si>
  <si>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</si>
  <si>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</si>
  <si>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</si>
  <si>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</si>
  <si>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</si>
  <si>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</si>
  <si>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</si>
  <si>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</si>
  <si>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</si>
  <si>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</si>
  <si>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</si>
  <si>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</si>
  <si>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</si>
  <si>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</si>
  <si>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</si>
  <si>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</si>
  <si>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</si>
  <si>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</si>
  <si>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</si>
  <si>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</si>
  <si>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</si>
  <si>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</si>
  <si>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</si>
  <si>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</si>
  <si>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</si>
  <si>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</si>
  <si>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</si>
  <si>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</si>
  <si>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</si>
  <si>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</si>
  <si>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</si>
  <si>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</si>
  <si>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</si>
  <si>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</si>
  <si>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</si>
  <si>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</si>
  <si>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</si>
  <si>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</si>
  <si>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</si>
  <si>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</si>
  <si>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</si>
  <si>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</si>
  <si>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</si>
  <si>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</si>
  <si>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</si>
  <si>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</si>
  <si>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</si>
  <si>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</si>
  <si>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</si>
  <si>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</si>
  <si>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</si>
  <si>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</si>
  <si>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</si>
  <si>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</si>
  <si>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</si>
  <si>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</si>
  <si>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</si>
  <si>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</si>
  <si>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</si>
  <si>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</si>
  <si>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</si>
  <si>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</si>
  <si>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</si>
  <si>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</si>
  <si>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</si>
  <si>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</si>
  <si>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</si>
  <si>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</si>
  <si>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</si>
  <si>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</si>
  <si>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</si>
  <si>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</si>
  <si>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</si>
  <si>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</si>
  <si>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</si>
  <si>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</si>
  <si>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</si>
  <si>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</si>
  <si>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</si>
  <si>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</si>
  <si>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</si>
  <si>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</si>
  <si>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</si>
  <si>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</si>
  <si>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</si>
  <si>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</si>
  <si>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</si>
  <si>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</si>
  <si>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</si>
  <si>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</si>
  <si>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</si>
  <si>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</si>
  <si>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</si>
  <si>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</si>
  <si>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</si>
  <si>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</si>
  <si>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</si>
  <si>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</si>
  <si>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</si>
  <si>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</si>
  <si>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</si>
  <si>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</si>
  <si>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</si>
  <si>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</si>
  <si>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</si>
  <si>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</si>
  <si>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</si>
  <si>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</si>
  <si>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</si>
  <si>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</si>
  <si>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</si>
  <si>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</si>
  <si>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</si>
  <si>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</si>
  <si>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</si>
  <si>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</si>
  <si>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</si>
  <si>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</si>
  <si>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</si>
  <si>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</si>
  <si>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</si>
  <si>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</si>
  <si>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</si>
  <si>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</si>
  <si>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</si>
  <si>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</si>
  <si>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</si>
  <si>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</si>
  <si>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</si>
  <si>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</si>
  <si>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</si>
  <si>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</si>
  <si>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</si>
  <si>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</si>
  <si>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</si>
  <si>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</si>
  <si>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</si>
  <si>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</si>
  <si>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</si>
  <si>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</si>
  <si>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</si>
  <si>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</si>
  <si>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</si>
  <si>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</si>
  <si>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</si>
  <si>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</si>
  <si>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</si>
  <si>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</si>
  <si>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</si>
  <si>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</si>
  <si>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</si>
  <si>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</si>
  <si>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</si>
  <si>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</si>
  <si>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</si>
  <si>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</si>
  <si>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</si>
  <si>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</si>
  <si>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</si>
  <si>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</si>
  <si>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</si>
  <si>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</si>
  <si>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</si>
  <si>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</si>
  <si>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</si>
  <si>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</si>
  <si>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</si>
  <si>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</si>
  <si>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</si>
  <si>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</si>
  <si>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</si>
  <si>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</si>
  <si>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</si>
  <si>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</si>
  <si>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</si>
  <si>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</si>
  <si>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</si>
  <si>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</si>
  <si>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</si>
  <si>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</si>
  <si>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</si>
  <si>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</si>
  <si>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</si>
  <si>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</si>
  <si>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</si>
  <si>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</si>
  <si>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</si>
  <si>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</si>
  <si>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</si>
  <si>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</si>
  <si>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</si>
  <si>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</si>
  <si>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</si>
  <si>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</si>
  <si>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</si>
  <si>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</si>
  <si>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</si>
  <si>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</si>
  <si>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</si>
  <si>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</si>
  <si>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</si>
  <si>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</si>
  <si>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</si>
  <si>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</si>
  <si>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</si>
  <si>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</si>
  <si>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</si>
  <si>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</si>
  <si>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</si>
  <si>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</si>
  <si>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</si>
  <si>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</si>
  <si>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</si>
  <si>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</si>
  <si>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</si>
  <si>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</si>
  <si>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</si>
  <si>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</si>
  <si>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</si>
  <si>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</si>
  <si>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</si>
  <si>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</si>
  <si>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</si>
  <si>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</si>
  <si>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</si>
  <si>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</si>
  <si>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</si>
  <si>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</si>
  <si>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</si>
  <si>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</si>
  <si>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</si>
  <si>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</si>
  <si>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</si>
  <si>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</si>
  <si>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</si>
  <si>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</si>
  <si>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</si>
  <si>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</si>
  <si>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</si>
  <si>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</si>
  <si>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</si>
  <si>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</si>
  <si>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</si>
  <si>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</si>
  <si>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</si>
  <si>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</si>
  <si>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</si>
  <si>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</si>
  <si>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</si>
  <si>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</si>
  <si>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</si>
  <si>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</si>
  <si>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</si>
  <si>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</si>
  <si>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</si>
  <si>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</si>
  <si>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</si>
  <si>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</si>
  <si>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</si>
  <si>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</si>
  <si>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</si>
  <si>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</si>
  <si>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</si>
  <si>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</si>
  <si>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</si>
  <si>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</si>
  <si>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</si>
  <si>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</si>
  <si>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</si>
  <si>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</si>
  <si>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</si>
  <si>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</si>
  <si>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</si>
  <si>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</si>
  <si>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</si>
  <si>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</si>
  <si>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</si>
  <si>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</si>
  <si>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</si>
  <si>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</si>
  <si>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</si>
  <si>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</si>
  <si>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</si>
  <si>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</si>
  <si>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</si>
  <si>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</si>
  <si>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</si>
  <si>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</si>
  <si>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</si>
  <si>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</si>
  <si>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</si>
  <si>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</si>
  <si>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</si>
  <si>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</si>
  <si>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</si>
  <si>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</si>
  <si>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</si>
  <si>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</si>
  <si>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</si>
  <si>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</si>
  <si>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</si>
  <si>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</si>
  <si>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</si>
  <si>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</si>
  <si>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</si>
  <si>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</si>
  <si>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</si>
  <si>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</si>
  <si>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</si>
  <si>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</si>
  <si>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</si>
  <si>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</si>
  <si>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</si>
  <si>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</si>
  <si>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</si>
  <si>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</si>
  <si>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</si>
  <si>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</si>
  <si>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</si>
  <si>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</si>
  <si>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</si>
  <si>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</si>
  <si>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</si>
  <si>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</si>
  <si>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</si>
  <si>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</si>
  <si>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</si>
  <si>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</si>
  <si>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</si>
  <si>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</si>
  <si>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</si>
  <si>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</si>
  <si>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</si>
  <si>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</si>
  <si>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</si>
  <si>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</si>
  <si>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</si>
  <si>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</si>
  <si>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</si>
  <si>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</si>
  <si>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</si>
  <si>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</si>
  <si>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</si>
  <si>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</si>
  <si>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</si>
  <si>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</si>
  <si>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0386.HK</t>
  </si>
  <si>
    <t>中國石化</t>
  </si>
  <si>
    <t>CNY</t>
  </si>
  <si>
    <t>ENG_01</t>
  </si>
  <si>
    <t>Company Information</t>
  </si>
  <si>
    <t>Market Currency</t>
  </si>
  <si>
    <t>Symbol:</t>
  </si>
  <si>
    <t>Listing Information</t>
  </si>
  <si>
    <t>600028.SS</t>
  </si>
  <si>
    <t>Forex Symbol:</t>
  </si>
  <si>
    <t>Capitalization: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</si>
</sst>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31" t="s">
        <v>363</v>
      </c>
      <c r="F1" s="284" t="s">
        <v>288</v>
      </c>
    </row>
    <row r="2" spans="1:10" ht="13.9">
      <c r="A2" s="247" t="s">
        <v>268</v>
      </c>
      <c r="B2" s="36"/>
      <c r="C2" s="36"/>
      <c r="D2" s="36"/>
      <c r="E2" s="36"/>
      <c r="F2" s="36"/>
      <c r="G2" s="22"/>
      <c r="H2" s="22"/>
      <c r="I2" s="22"/>
      <c r="J2" s="22"/>
    </row>
    <row r="4" spans="1:10">
      <c r="B4" s="45" t="s">
        <v>431</v>
      </c>
      <c r="C4" s="46"/>
      <c r="D4" s="5"/>
      <c r="E4" s="2"/>
      <c r="F4" s="2"/>
    </row>
    <row r="5" spans="1:10" ht="12.4">
      <c r="B5" s="4" t="s">
        <v>324</v>
      </c>
      <c r="C5" s="333" t="s">
        <v>428</v>
      </c>
    </row>
    <row r="6" spans="1:10">
      <c r="B6" s="4" t="s">
        <v>0</v>
      </c>
      <c r="C6" s="51">
        <v>121281555698</v>
      </c>
      <c r="E6" s="48"/>
    </row>
    <row r="7" spans="1:10">
      <c r="B7" s="2" t="s">
        <v>315</v>
      </c>
      <c r="C7" s="279">
        <v>6</v>
      </c>
      <c r="D7" s="48"/>
      <c r="E7" s="48"/>
    </row>
    <row r="8" spans="1:10">
      <c r="B8" s="1" t="s">
        <v>269</v>
      </c>
      <c r="C8" s="33">
        <f>EOMONTH(EDATE(BS!C1,C7+2),0)</f>
        <v>45900</v>
      </c>
      <c r="E8" s="48"/>
    </row>
    <row r="9" spans="1:10">
      <c r="E9" s="34"/>
    </row>
    <row r="10" spans="1:10">
      <c r="B10" s="45" t="s">
        <v>434</v>
      </c>
      <c r="C10" s="46"/>
      <c r="E10" s="34"/>
    </row>
    <row r="11" spans="1:10">
      <c r="B11" s="1" t="s">
        <v>433</v>
      </c>
      <c r="C11" s="49" t="s">
        <v>427</v>
      </c>
      <c r="D11" s="49" t="s">
        <v>435</v>
      </c>
      <c r="E11" s="34"/>
    </row>
    <row r="12" spans="1:10">
      <c r="B12" s="4" t="s">
        <v>95</v>
      </c>
      <c r="C12" s="50">
        <v>3.99</v>
      </c>
      <c r="D12" s="50">
        <v>5.69</v>
      </c>
      <c r="E12" s="48"/>
    </row>
    <row r="13" spans="1:10">
      <c r="B13" s="1" t="s">
        <v>432</v>
      </c>
      <c r="C13" s="48" t="s">
        <v>429</v>
      </c>
      <c r="D13" s="48" t="s">
        <v>407</v>
      </c>
      <c r="E13" s="5"/>
    </row>
    <row r="14" spans="1:10">
      <c r="B14" s="4" t="s">
        <v>437</v>
      </c>
      <c r="C14" s="35">
        <f>Thesis!C12*Common_Shares/1000000</f>
        <v>483913.40723502001</v>
      </c>
      <c r="D14" s="35">
        <f>IF(D11="","",Thesis!D12*Common_Shares/1000000)</f>
        <v>690092.05192162003</v>
      </c>
      <c r="E14" s="5"/>
    </row>
    <row r="15" spans="1:10">
      <c r="B15" s="4" t="s">
        <v>436</v>
      </c>
      <c r="C15" s="32" t="str">
        <f>IF(C22=C13,C13,C22&amp;"/"&amp;C13)</f>
        <v>CNY</v>
      </c>
      <c r="D15" s="32" t="str">
        <f>IF(D11="","",IF(C22=D13,D13,C22&amp;"/"&amp;D13))</f>
        <v>CNY/HKD</v>
      </c>
      <c r="E15" s="5"/>
    </row>
    <row r="16" spans="1:10">
      <c r="B16" s="4" t="s">
        <v>1</v>
      </c>
      <c r="C16" s="50">
        <v>1.06</v>
      </c>
      <c r="D16" s="50">
        <v>1</v>
      </c>
      <c r="E16" s="5"/>
    </row>
    <row r="17" spans="1:6">
      <c r="D17" s="5"/>
      <c r="E17" s="5"/>
    </row>
    <row r="18" spans="1:6" ht="24.4" customHeight="1">
      <c r="B18" s="345" t="s">
        <v>370</v>
      </c>
      <c r="C18" s="345"/>
      <c r="D18" s="345"/>
      <c r="E18" s="345"/>
      <c r="F18" s="345"/>
    </row>
    <row r="20" spans="1:6">
      <c r="B20" s="45" t="s">
        <v>314</v>
      </c>
      <c r="C20" s="46"/>
      <c r="D20" s="5"/>
    </row>
    <row r="21" spans="1:6">
      <c r="B21" s="2" t="s">
        <v>358</v>
      </c>
      <c r="C21" s="32" t="str">
        <f>IF(Scenarios!C69="Y",Scenarios!B69,"")&amp;IF(Scenarios!C70="Y",Scenarios!B70,"")&amp;IF(Scenarios!C71="Y",Scenarios!B71,"")&amp;" "&amp;IF(Scenarios!C72="Y",Scenarios!B72,"")</f>
        <v xml:space="preserve">Low Growth </v>
      </c>
      <c r="E21" s="5"/>
    </row>
    <row r="22" spans="1:6">
      <c r="B22" s="4" t="s">
        <v>357</v>
      </c>
      <c r="C22" s="48" t="s">
        <v>429</v>
      </c>
      <c r="D22" s="32" t="str">
        <f>IF(D11="","",Market_currency&amp;"/"&amp;D13&amp;":")</f>
        <v>CNY/HKD:</v>
      </c>
      <c r="E22" s="341">
        <f>IF(D11="","",1/Exchange_Rate*D16)</f>
        <v>0.94339622641509424</v>
      </c>
    </row>
    <row r="23" spans="1:6">
      <c r="B23" s="2" t="s">
        <v>56</v>
      </c>
      <c r="C23" s="48" t="s">
        <v>430</v>
      </c>
      <c r="E23" s="5"/>
    </row>
    <row r="24" spans="1:6">
      <c r="B24" s="2" t="s">
        <v>277</v>
      </c>
      <c r="C24" s="249">
        <v>0.3</v>
      </c>
      <c r="D24" s="1" t="s">
        <v>420</v>
      </c>
      <c r="E24" s="339">
        <v>0.2</v>
      </c>
    </row>
    <row r="25" spans="1:6">
      <c r="B25" s="2" t="str">
        <f>"Target Buy Price ("&amp;Market_currency&amp;"):"</f>
        <v>Target Buy Price (CNY):</v>
      </c>
      <c r="C25" s="252">
        <f>C139</f>
        <v>17.696787580712193</v>
      </c>
      <c r="D25" s="1" t="s">
        <v>316</v>
      </c>
      <c r="E25" s="330">
        <v>3</v>
      </c>
    </row>
    <row r="26" spans="1:6">
      <c r="B26" s="1" t="s">
        <v>410</v>
      </c>
      <c r="C26" s="280">
        <f ca="1">Scenarios!C87</f>
        <v>1.2976894231064677</v>
      </c>
      <c r="D26" s="5"/>
      <c r="E26" s="5"/>
    </row>
    <row r="27" spans="1:6">
      <c r="D27" s="5"/>
      <c r="E27" s="5"/>
    </row>
    <row r="28" spans="1:6" ht="13.9">
      <c r="A28" s="247" t="s">
        <v>365</v>
      </c>
      <c r="B28" s="36"/>
      <c r="C28" s="36"/>
      <c r="D28" s="36"/>
      <c r="E28" s="36"/>
      <c r="F28" s="36"/>
    </row>
    <row r="30" spans="1:6" ht="24.4" customHeight="1">
      <c r="B30" s="345" t="s">
        <v>371</v>
      </c>
      <c r="C30" s="345"/>
      <c r="D30" s="345"/>
      <c r="E30" s="345"/>
      <c r="F30" s="345"/>
    </row>
    <row r="31" spans="1:6" ht="24.4" customHeight="1">
      <c r="B31" s="348" t="s">
        <v>349</v>
      </c>
      <c r="C31" s="348"/>
      <c r="D31" s="348"/>
      <c r="E31" s="348"/>
      <c r="F31" s="348"/>
    </row>
    <row r="33" spans="2:6">
      <c r="B33" s="234" t="s">
        <v>231</v>
      </c>
      <c r="C33" s="108">
        <f>scaling_factor</f>
        <v>1000000</v>
      </c>
    </row>
    <row r="34" spans="2:6" ht="24.4" customHeight="1">
      <c r="B34" s="346" t="s">
        <v>232</v>
      </c>
      <c r="C34" s="346"/>
      <c r="D34" s="346"/>
      <c r="E34" s="346"/>
      <c r="F34" s="346"/>
    </row>
    <row r="35" spans="2:6">
      <c r="B35" s="47" t="s">
        <v>233</v>
      </c>
      <c r="C35" s="188">
        <f>Normalized_FCF!C8</f>
        <v>370950.79977478832</v>
      </c>
      <c r="D35" s="1" t="str">
        <f>Reporting_currency</f>
        <v>CNY</v>
      </c>
    </row>
    <row r="36" spans="2:6">
      <c r="B36" s="47"/>
      <c r="C36" s="76"/>
    </row>
    <row r="37" spans="2:6" ht="24.4" customHeight="1">
      <c r="B37" s="346" t="s">
        <v>234</v>
      </c>
      <c r="C37" s="346"/>
      <c r="D37" s="346"/>
      <c r="E37" s="346"/>
      <c r="F37" s="346"/>
    </row>
    <row r="38" spans="2:6">
      <c r="B38" s="47" t="s">
        <v>235</v>
      </c>
      <c r="C38" s="188">
        <f>Normalized_FCF!C9</f>
        <v>120714</v>
      </c>
      <c r="D38" s="1" t="str">
        <f>Reporting_currency</f>
        <v>CNY</v>
      </c>
    </row>
    <row r="39" spans="2:6">
      <c r="B39" s="52" t="s">
        <v>236</v>
      </c>
      <c r="C39" s="188">
        <f>Normalized_FCF!C10</f>
        <v>-120714</v>
      </c>
      <c r="D39" s="1" t="str">
        <f>Reporting_currency</f>
        <v>CNY</v>
      </c>
    </row>
    <row r="41" spans="2:6">
      <c r="B41" s="346" t="s">
        <v>237</v>
      </c>
      <c r="C41" s="346"/>
      <c r="D41" s="346"/>
      <c r="E41" s="346"/>
      <c r="F41" s="346"/>
    </row>
    <row r="42" spans="2:6">
      <c r="B42" s="47" t="s">
        <v>238</v>
      </c>
      <c r="C42" s="188">
        <f>Normalized_FCF!C11</f>
        <v>0</v>
      </c>
      <c r="D42" s="1" t="str">
        <f>Reporting_currency</f>
        <v>CNY</v>
      </c>
    </row>
    <row r="44" spans="2:6">
      <c r="B44" s="346" t="s">
        <v>241</v>
      </c>
      <c r="C44" s="346"/>
      <c r="D44" s="346"/>
      <c r="E44" s="346"/>
      <c r="F44" s="346"/>
    </row>
    <row r="45" spans="2:6">
      <c r="B45" s="47" t="s">
        <v>350</v>
      </c>
      <c r="C45" s="322">
        <f>Normalized_FCF!C48</f>
        <v>0</v>
      </c>
      <c r="D45" s="1" t="str">
        <f>Reporting_currency</f>
        <v>CNY</v>
      </c>
      <c r="E45" s="321"/>
      <c r="F45" s="321"/>
    </row>
    <row r="46" spans="2:6">
      <c r="B46" s="47" t="s">
        <v>351</v>
      </c>
      <c r="C46" s="322">
        <f>Normalized_FCF!C47</f>
        <v>0</v>
      </c>
      <c r="D46" s="1" t="str">
        <f>Reporting_currency</f>
        <v>CNY</v>
      </c>
      <c r="E46" s="321"/>
      <c r="F46" s="321"/>
    </row>
    <row r="47" spans="2:6">
      <c r="B47" s="47" t="s">
        <v>239</v>
      </c>
      <c r="C47" s="188">
        <f>Normalized_FCF!C12</f>
        <v>0</v>
      </c>
      <c r="D47" s="1" t="str">
        <f>Reporting_currency</f>
        <v>CNY</v>
      </c>
    </row>
    <row r="49" spans="2:6">
      <c r="B49" s="1" t="s">
        <v>247</v>
      </c>
    </row>
    <row r="50" spans="2:6">
      <c r="B50" s="47" t="s">
        <v>266</v>
      </c>
      <c r="C50" s="188">
        <f>Normalized_FCF!C15</f>
        <v>0</v>
      </c>
      <c r="D50" s="1" t="str">
        <f>Reporting_currency</f>
        <v>CNY</v>
      </c>
    </row>
    <row r="52" spans="2:6">
      <c r="B52" s="346" t="s">
        <v>242</v>
      </c>
      <c r="C52" s="346"/>
      <c r="D52" s="346"/>
      <c r="E52" s="346"/>
      <c r="F52" s="346"/>
    </row>
    <row r="53" spans="2:6">
      <c r="B53" s="47" t="s">
        <v>240</v>
      </c>
      <c r="C53" s="188">
        <f>Normalized_FCF!C14</f>
        <v>-92737.69994369708</v>
      </c>
      <c r="D53" s="1" t="str">
        <f>Reporting_currency</f>
        <v>CNY</v>
      </c>
    </row>
    <row r="55" spans="2:6">
      <c r="B55" s="346" t="s">
        <v>348</v>
      </c>
      <c r="C55" s="347"/>
      <c r="D55" s="347"/>
      <c r="E55" s="347"/>
      <c r="F55" s="347"/>
    </row>
    <row r="56" spans="2:6">
      <c r="B56" s="47" t="s">
        <v>243</v>
      </c>
      <c r="C56" s="1">
        <f>Normalized_FCF!C17</f>
        <v>0</v>
      </c>
      <c r="D56" s="1" t="str">
        <f>Reporting_currency</f>
        <v>CNY</v>
      </c>
    </row>
    <row r="58" spans="2:6" ht="24.4" customHeight="1">
      <c r="B58" s="345" t="s">
        <v>353</v>
      </c>
      <c r="C58" s="345"/>
      <c r="D58" s="345"/>
      <c r="E58" s="345"/>
      <c r="F58" s="345"/>
    </row>
    <row r="59" spans="2:6" ht="24.4" customHeight="1">
      <c r="B59" s="345" t="s">
        <v>372</v>
      </c>
      <c r="C59" s="345"/>
      <c r="D59" s="345"/>
      <c r="E59" s="345"/>
      <c r="F59" s="345"/>
    </row>
    <row r="61" spans="2:6">
      <c r="B61" s="47" t="s">
        <v>271</v>
      </c>
      <c r="C61" s="188">
        <f>Normalized_FCF!G19</f>
        <v>302168</v>
      </c>
      <c r="D61" s="1" t="str">
        <f>Reporting_currency</f>
        <v>CNY</v>
      </c>
    </row>
    <row r="62" spans="2:6">
      <c r="B62" s="47" t="s">
        <v>249</v>
      </c>
      <c r="C62" s="188">
        <f>Normalized_FCF!C19</f>
        <v>278213.09983109124</v>
      </c>
      <c r="D62" s="1" t="str">
        <f>Reporting_currency</f>
        <v>CNY</v>
      </c>
    </row>
    <row r="63" spans="2:6">
      <c r="B63" s="254" t="s">
        <v>401</v>
      </c>
      <c r="C63" s="92">
        <f>Normalized_FCF!C125</f>
        <v>0.60941871295938521</v>
      </c>
    </row>
    <row r="64" spans="2:6">
      <c r="B64" s="254" t="s">
        <v>317</v>
      </c>
      <c r="C64" s="92">
        <f>Normalized_FCF!C93</f>
        <v>0.52016834539178136</v>
      </c>
    </row>
    <row r="66" spans="1:6" ht="13.9">
      <c r="A66" s="247" t="s">
        <v>366</v>
      </c>
      <c r="B66" s="36"/>
      <c r="C66" s="36"/>
      <c r="D66" s="36"/>
      <c r="E66" s="36"/>
      <c r="F66" s="36"/>
    </row>
    <row r="67" spans="1:6">
      <c r="A67" s="233"/>
    </row>
    <row r="68" spans="1:6" ht="24.4" customHeight="1">
      <c r="A68" s="17"/>
      <c r="B68" s="345" t="s">
        <v>373</v>
      </c>
      <c r="C68" s="345"/>
      <c r="D68" s="345"/>
      <c r="E68" s="345"/>
      <c r="F68" s="345"/>
    </row>
    <row r="69" spans="1:6">
      <c r="B69" s="348" t="s">
        <v>253</v>
      </c>
      <c r="C69" s="348"/>
      <c r="D69" s="348"/>
      <c r="E69" s="348"/>
      <c r="F69" s="348"/>
    </row>
    <row r="71" spans="1:6">
      <c r="B71" s="234" t="s">
        <v>231</v>
      </c>
    </row>
    <row r="72" spans="1:6">
      <c r="B72" s="1" t="s">
        <v>289</v>
      </c>
      <c r="C72" s="311">
        <v>0.08</v>
      </c>
    </row>
    <row r="73" spans="1:6">
      <c r="B73" s="1" t="s">
        <v>291</v>
      </c>
      <c r="C73" s="263">
        <f>IF(D73="Y",1%,0)</f>
        <v>0</v>
      </c>
      <c r="D73" s="286" t="s">
        <v>330</v>
      </c>
    </row>
    <row r="74" spans="1:6">
      <c r="B74" s="1" t="s">
        <v>290</v>
      </c>
      <c r="C74" s="263">
        <f>IF(D74="Y",1%,0)</f>
        <v>0</v>
      </c>
      <c r="D74" s="286" t="s">
        <v>330</v>
      </c>
    </row>
    <row r="75" spans="1:6">
      <c r="B75" s="80" t="s">
        <v>248</v>
      </c>
      <c r="C75" s="263">
        <f>SUM(C72:C74)</f>
        <v>0.08</v>
      </c>
    </row>
    <row r="76" spans="1:6">
      <c r="C76" s="122"/>
    </row>
    <row r="77" spans="1:6">
      <c r="B77" s="332" t="s">
        <v>367</v>
      </c>
      <c r="C77" s="122"/>
    </row>
    <row r="78" spans="1:6" ht="24.4" customHeight="1">
      <c r="B78" s="345" t="s">
        <v>374</v>
      </c>
      <c r="C78" s="345"/>
      <c r="D78" s="345"/>
      <c r="E78" s="345"/>
      <c r="F78" s="345"/>
    </row>
    <row r="79" spans="1:6" ht="24.4" customHeight="1">
      <c r="B79" s="345" t="s">
        <v>375</v>
      </c>
      <c r="C79" s="345"/>
      <c r="D79" s="345"/>
      <c r="E79" s="345"/>
      <c r="F79" s="345"/>
    </row>
    <row r="81" spans="1:6">
      <c r="B81" s="47" t="s">
        <v>252</v>
      </c>
      <c r="C81" s="263">
        <v>0</v>
      </c>
    </row>
    <row r="82" spans="1:6">
      <c r="B82" s="47" t="s">
        <v>284</v>
      </c>
      <c r="C82" s="248">
        <f>Valuation_Model!C6*scaling_factor*Exchange_Rate/Common_Shares</f>
        <v>30.39475830884934</v>
      </c>
      <c r="D82" s="1" t="str">
        <f>Market_currency</f>
        <v>CNY</v>
      </c>
    </row>
    <row r="84" spans="1:6" ht="13.9">
      <c r="A84" s="247" t="s">
        <v>368</v>
      </c>
      <c r="B84" s="36"/>
      <c r="C84" s="36"/>
      <c r="D84" s="36"/>
      <c r="E84" s="36"/>
      <c r="F84" s="36"/>
    </row>
    <row r="85" spans="1:6">
      <c r="A85" s="233"/>
    </row>
    <row r="86" spans="1:6">
      <c r="B86" s="345" t="s">
        <v>376</v>
      </c>
      <c r="C86" s="345"/>
      <c r="D86" s="345"/>
      <c r="E86" s="345"/>
      <c r="F86" s="345"/>
    </row>
    <row r="87" spans="1:6">
      <c r="B87" s="1" t="s">
        <v>254</v>
      </c>
    </row>
    <row r="89" spans="1:6">
      <c r="B89" s="234" t="s">
        <v>231</v>
      </c>
    </row>
    <row r="90" spans="1:6" ht="24.4" customHeight="1">
      <c r="B90" s="345" t="s">
        <v>354</v>
      </c>
      <c r="C90" s="345"/>
      <c r="D90" s="345"/>
      <c r="E90" s="345"/>
      <c r="F90" s="345"/>
    </row>
    <row r="91" spans="1:6">
      <c r="B91" s="47" t="s">
        <v>256</v>
      </c>
      <c r="C91" s="188">
        <f>Valuation_Model!C7</f>
        <v>0</v>
      </c>
      <c r="D91" s="1" t="str">
        <f>Reporting_currency</f>
        <v>CNY</v>
      </c>
    </row>
    <row r="92" spans="1:6">
      <c r="B92" s="47" t="s">
        <v>285</v>
      </c>
      <c r="C92" s="248">
        <f>C91*scaling_factor*Exchange_Rate/Common_Shares</f>
        <v>0</v>
      </c>
      <c r="D92" s="1" t="str">
        <f>Market_currency</f>
        <v>CNY</v>
      </c>
    </row>
    <row r="93" spans="1:6">
      <c r="B93" s="336" t="s">
        <v>415</v>
      </c>
      <c r="C93" s="337">
        <f>BS!G30/BS!G27</f>
        <v>0.5</v>
      </c>
    </row>
    <row r="94" spans="1:6">
      <c r="B94" s="336" t="s">
        <v>416</v>
      </c>
      <c r="C94" s="337">
        <f>BS!G31/BS!G27</f>
        <v>0</v>
      </c>
    </row>
    <row r="95" spans="1:6">
      <c r="B95" s="336" t="s">
        <v>418</v>
      </c>
      <c r="C95" s="338">
        <f>BS!C50</f>
        <v>0</v>
      </c>
    </row>
    <row r="97" spans="1:6">
      <c r="B97" s="1" t="s">
        <v>255</v>
      </c>
    </row>
    <row r="98" spans="1:6">
      <c r="B98" s="47" t="s">
        <v>265</v>
      </c>
      <c r="C98" s="188">
        <f>BS!C66</f>
        <v>1</v>
      </c>
      <c r="D98" s="1" t="str">
        <f>Reporting_currency</f>
        <v>CNY</v>
      </c>
    </row>
    <row r="99" spans="1:6">
      <c r="B99" s="47" t="s">
        <v>267</v>
      </c>
      <c r="C99" s="188">
        <f>Valuation_Model!C8</f>
        <v>-247267.57388162927</v>
      </c>
      <c r="D99" s="1" t="str">
        <f>Reporting_currency</f>
        <v>CNY</v>
      </c>
    </row>
    <row r="100" spans="1:6">
      <c r="B100" s="47" t="s">
        <v>286</v>
      </c>
      <c r="C100" s="248">
        <f>C99*scaling_factor*Exchange_Rate/Common_Shares</f>
        <v>-2.1611169712168299</v>
      </c>
      <c r="D100" s="1" t="str">
        <f>Market_currency</f>
        <v>CNY</v>
      </c>
    </row>
    <row r="102" spans="1:6">
      <c r="B102" s="1" t="s">
        <v>257</v>
      </c>
    </row>
    <row r="103" spans="1:6">
      <c r="B103" s="47" t="s">
        <v>258</v>
      </c>
      <c r="C103" s="188">
        <f>Valuation_Model!C9</f>
        <v>0</v>
      </c>
      <c r="D103" s="1" t="str">
        <f>Reporting_currency</f>
        <v>CNY</v>
      </c>
    </row>
    <row r="104" spans="1:6">
      <c r="B104" s="47" t="s">
        <v>287</v>
      </c>
      <c r="C104" s="248">
        <f>C103*scaling_factor*Exchange_Rate/Common_Shares</f>
        <v>0</v>
      </c>
      <c r="D104" s="1" t="str">
        <f>Market_currency</f>
        <v>CNY</v>
      </c>
    </row>
    <row r="106" spans="1:6" ht="24.4" customHeight="1">
      <c r="B106" s="345" t="s">
        <v>377</v>
      </c>
      <c r="C106" s="345"/>
      <c r="D106" s="345"/>
      <c r="E106" s="345"/>
      <c r="F106" s="345"/>
    </row>
    <row r="108" spans="1:6">
      <c r="B108" s="47" t="s">
        <v>283</v>
      </c>
      <c r="C108" s="248">
        <f>Valuation_Model!C12</f>
        <v>28.233641337632509</v>
      </c>
      <c r="D108" s="1" t="str">
        <f>Market_currency</f>
        <v>CNY</v>
      </c>
    </row>
    <row r="109" spans="1:6">
      <c r="B109" s="336" t="s">
        <v>417</v>
      </c>
      <c r="C109" s="248">
        <f>BS!D47</f>
        <v>5.243996058095486E-6</v>
      </c>
      <c r="D109" s="1" t="str">
        <f>Market_currency</f>
        <v>CNY</v>
      </c>
    </row>
    <row r="111" spans="1:6" ht="13.9">
      <c r="A111" s="247" t="s">
        <v>369</v>
      </c>
      <c r="B111" s="36"/>
      <c r="C111" s="36"/>
      <c r="D111" s="36"/>
      <c r="E111" s="36"/>
      <c r="F111" s="36"/>
    </row>
    <row r="113" spans="1:6" ht="24.4" customHeight="1">
      <c r="B113" s="346" t="s">
        <v>378</v>
      </c>
      <c r="C113" s="346"/>
      <c r="D113" s="346"/>
      <c r="E113" s="346"/>
      <c r="F113" s="346"/>
    </row>
    <row r="115" spans="1:6" ht="12.4">
      <c r="B115" s="260" t="s">
        <v>118</v>
      </c>
      <c r="C115" s="260" t="s">
        <v>133</v>
      </c>
      <c r="D115" s="260" t="s">
        <v>113</v>
      </c>
      <c r="E115" s="260" t="s">
        <v>260</v>
      </c>
      <c r="F115" s="260" t="s">
        <v>148</v>
      </c>
    </row>
    <row r="116" spans="1:6">
      <c r="B116" s="255" t="str">
        <f>Valuation_Model!B74</f>
        <v>Snowball Scenario</v>
      </c>
      <c r="C116" s="256">
        <f>Valuation_Model!C74</f>
        <v>0.06</v>
      </c>
      <c r="D116" s="257">
        <f>Valuation_Model!D74</f>
        <v>15</v>
      </c>
      <c r="E116" s="258" t="str">
        <f>ROUND(Valuation_Model!E74,2)&amp;" "&amp;Market_currency</f>
        <v>39.51 CNY</v>
      </c>
      <c r="F116" s="259">
        <f>Valuation_Model!F74</f>
        <v>0.05</v>
      </c>
    </row>
    <row r="117" spans="1:6">
      <c r="B117" s="242" t="str">
        <f>Valuation_Model!B75</f>
        <v>Optimistic</v>
      </c>
      <c r="C117" s="243">
        <f>Valuation_Model!C75</f>
        <v>0.04</v>
      </c>
      <c r="D117" s="244">
        <f>Valuation_Model!D75</f>
        <v>10</v>
      </c>
      <c r="E117" s="245" t="str">
        <f>ROUND(Valuation_Model!E75,2)&amp;" "&amp;Market_currency</f>
        <v>32.35 CNY</v>
      </c>
      <c r="F117" s="246">
        <f>Valuation_Model!F75</f>
        <v>0.18</v>
      </c>
    </row>
    <row r="118" spans="1:6">
      <c r="B118" s="242" t="str">
        <f>Valuation_Model!B76</f>
        <v>Base</v>
      </c>
      <c r="C118" s="243">
        <f>Valuation_Model!C76</f>
        <v>0.02</v>
      </c>
      <c r="D118" s="244">
        <f>Valuation_Model!D76</f>
        <v>10</v>
      </c>
      <c r="E118" s="245" t="str">
        <f>ROUND(Valuation_Model!E76,2)&amp;" "&amp;Market_currency</f>
        <v>30.2 CNY</v>
      </c>
      <c r="F118" s="246">
        <f>Valuation_Model!F76</f>
        <v>0.53999999999999992</v>
      </c>
    </row>
    <row r="119" spans="1:6">
      <c r="B119" s="242" t="str">
        <f>Valuation_Model!B77</f>
        <v>Pessimistic</v>
      </c>
      <c r="C119" s="243">
        <f>Valuation_Model!C77</f>
        <v>0</v>
      </c>
      <c r="D119" s="244">
        <f>Valuation_Model!D77</f>
        <v>10</v>
      </c>
      <c r="E119" s="245" t="str">
        <f>ROUND(Valuation_Model!E77,2)&amp;" "&amp;Market_currency</f>
        <v>28.23 CNY</v>
      </c>
      <c r="F119" s="246">
        <f>Valuation_Model!F77</f>
        <v>0.18</v>
      </c>
    </row>
    <row r="120" spans="1:6">
      <c r="B120" s="242" t="str">
        <f>Valuation_Model!B78</f>
        <v>Devil's advocate</v>
      </c>
      <c r="C120" s="243">
        <f>Valuation_Model!C78</f>
        <v>0</v>
      </c>
      <c r="D120" s="244">
        <f>Valuation_Model!D78</f>
        <v>15</v>
      </c>
      <c r="E120" s="245" t="str">
        <f>ROUND(Valuation_Model!E78,2)&amp;" "&amp;Market_currency</f>
        <v>28.23 CNY</v>
      </c>
      <c r="F120" s="246">
        <f>Valuation_Model!F78</f>
        <v>0.05</v>
      </c>
    </row>
    <row r="122" spans="1:6">
      <c r="B122" s="235" t="s">
        <v>259</v>
      </c>
      <c r="C122" s="241">
        <f>Scenarios!C60</f>
        <v>30.598710239352997</v>
      </c>
      <c r="D122" s="236" t="str">
        <f>Market_currency</f>
        <v>CNY</v>
      </c>
    </row>
    <row r="124" spans="1:6" ht="24.4" customHeight="1">
      <c r="B124" s="349" t="s">
        <v>381</v>
      </c>
      <c r="C124" s="349"/>
      <c r="D124" s="349"/>
      <c r="E124" s="349"/>
      <c r="F124" s="349"/>
    </row>
    <row r="126" spans="1:6" ht="13.9">
      <c r="A126" s="247" t="s">
        <v>413</v>
      </c>
      <c r="B126" s="36"/>
      <c r="C126" s="36"/>
      <c r="D126" s="36"/>
      <c r="E126" s="36"/>
      <c r="F126" s="36"/>
    </row>
    <row r="128" spans="1:6">
      <c r="B128" s="350" t="s">
        <v>379</v>
      </c>
      <c r="C128" s="350"/>
      <c r="D128" s="350"/>
      <c r="E128" s="350"/>
      <c r="F128" s="350"/>
    </row>
    <row r="129" spans="2:6" ht="24.4" customHeight="1">
      <c r="B129" s="345" t="s">
        <v>380</v>
      </c>
      <c r="C129" s="345"/>
      <c r="D129" s="345"/>
      <c r="E129" s="345"/>
      <c r="F129" s="345"/>
    </row>
    <row r="130" spans="2:6">
      <c r="B130" s="234" t="s">
        <v>231</v>
      </c>
    </row>
    <row r="131" spans="2:6">
      <c r="B131" s="1" t="s">
        <v>264</v>
      </c>
      <c r="C131" s="251">
        <f>E25</f>
        <v>3</v>
      </c>
    </row>
    <row r="132" spans="2:6">
      <c r="B132" s="1" t="s">
        <v>278</v>
      </c>
      <c r="C132" s="250">
        <f>C24</f>
        <v>0.3</v>
      </c>
    </row>
    <row r="133" spans="2:6">
      <c r="B133" s="236" t="s">
        <v>262</v>
      </c>
      <c r="C133" s="237">
        <f>Scenarios!C77</f>
        <v>2.0754716981132075</v>
      </c>
      <c r="D133" s="236" t="str">
        <f>Market_currency</f>
        <v>CNY</v>
      </c>
    </row>
    <row r="135" spans="2:6">
      <c r="B135" s="234" t="s">
        <v>421</v>
      </c>
      <c r="C135" s="270" t="str">
        <f>C11</f>
        <v>0386.HK</v>
      </c>
      <c r="D135" s="270" t="str">
        <f>IF(D11="","",D11)</f>
        <v>600028.SS</v>
      </c>
    </row>
    <row r="136" spans="2:6">
      <c r="B136" s="1" t="s">
        <v>419</v>
      </c>
      <c r="C136" s="337">
        <f>C24</f>
        <v>0.3</v>
      </c>
    </row>
    <row r="137" spans="2:6">
      <c r="B137" s="236" t="str">
        <f>"PV("&amp;C131&amp;" yrs of Dividends)"</f>
        <v>PV(3 yrs of Dividends)</v>
      </c>
      <c r="C137" s="240">
        <f>Scenarios!C81</f>
        <v>3.7692908855128362</v>
      </c>
    </row>
    <row r="138" spans="2:6">
      <c r="B138" s="236" t="str">
        <f>"+ PV(Equity Value realized at year "&amp;C131&amp;")"</f>
        <v>+ PV(Equity Value realized at year 3)</v>
      </c>
      <c r="C138" s="240">
        <f>Scenarios!C82</f>
        <v>13.927496695199357</v>
      </c>
    </row>
    <row r="139" spans="2:6">
      <c r="B139" s="80" t="s">
        <v>261</v>
      </c>
      <c r="C139" s="239">
        <f>Scenarios!C83</f>
        <v>17.696787580712193</v>
      </c>
      <c r="D139" s="342">
        <f>IF($D$11="","",C139*$E$22)</f>
        <v>16.69508262331339</v>
      </c>
    </row>
    <row r="140" spans="2:6">
      <c r="B140" s="290" t="s">
        <v>432</v>
      </c>
      <c r="C140" s="340" t="str">
        <f>Market_currency</f>
        <v>CNY</v>
      </c>
      <c r="D140" s="340" t="str">
        <f>IF($D$11="","",D$13)</f>
        <v>HKD</v>
      </c>
    </row>
    <row r="141" spans="2:6">
      <c r="B141" s="238" t="s">
        <v>263</v>
      </c>
      <c r="C141" s="92">
        <f>Scenarios!F83</f>
        <v>0.42164923154334921</v>
      </c>
    </row>
    <row r="143" spans="2:6">
      <c r="B143" s="234" t="s">
        <v>424</v>
      </c>
    </row>
    <row r="144" spans="2:6">
      <c r="B144" s="1" t="s">
        <v>423</v>
      </c>
      <c r="C144" s="337">
        <f>Scenarios!C90</f>
        <v>0.2</v>
      </c>
    </row>
    <row r="145" spans="1:6">
      <c r="B145" s="236" t="str">
        <f>"PV("&amp;C131&amp;" yrs of Dividends)"</f>
        <v>PV(3 yrs of Dividends)</v>
      </c>
      <c r="C145" s="240">
        <f>Scenarios!C91</f>
        <v>4.3719426974143953</v>
      </c>
    </row>
    <row r="146" spans="1:6">
      <c r="B146" s="236" t="str">
        <f>"+ PV(Equity Value realized at year "&amp;C131&amp;")"</f>
        <v>+ PV(Equity Value realized at year 3)</v>
      </c>
      <c r="C146" s="240">
        <f>Scenarios!C92</f>
        <v>17.707586944070023</v>
      </c>
    </row>
    <row r="147" spans="1:6">
      <c r="B147" s="80" t="s">
        <v>261</v>
      </c>
      <c r="C147" s="239">
        <f>Scenarios!C93</f>
        <v>22.07952964148442</v>
      </c>
      <c r="D147" s="342">
        <f>IF($D$11="","",C147*$E$22)</f>
        <v>20.829744944796619</v>
      </c>
    </row>
    <row r="148" spans="1:6">
      <c r="B148" s="290" t="s">
        <v>432</v>
      </c>
      <c r="C148" s="340" t="str">
        <f>Market_currency</f>
        <v>CNY</v>
      </c>
      <c r="D148" s="340" t="str">
        <f>IF($D$11="","",D$13)</f>
        <v>HKD</v>
      </c>
    </row>
    <row r="149" spans="1:6">
      <c r="B149" s="238" t="s">
        <v>263</v>
      </c>
      <c r="C149" s="92">
        <f>Scenarios!F93</f>
        <v>0.27841632968281327</v>
      </c>
    </row>
    <row r="151" spans="1:6">
      <c r="B151" s="234" t="s">
        <v>411</v>
      </c>
    </row>
    <row r="152" spans="1:6">
      <c r="B152" s="1" t="s">
        <v>422</v>
      </c>
      <c r="C152" s="92">
        <f>Scenarios!C96</f>
        <v>0.08</v>
      </c>
    </row>
    <row r="153" spans="1:6">
      <c r="B153" s="236" t="str">
        <f>"PV("&amp;C131&amp;" yrs of Dividends)"</f>
        <v>PV(3 yrs of Dividends)</v>
      </c>
      <c r="C153" s="240">
        <f>Scenarios!C97</f>
        <v>5.3486918603257889</v>
      </c>
    </row>
    <row r="154" spans="1:6">
      <c r="B154" s="236" t="str">
        <f>"+ PV(Equity Value realized at year "&amp;C131&amp;")"</f>
        <v>+ PV(Equity Value realized at year 3)</v>
      </c>
      <c r="C154" s="240">
        <f>Scenarios!C98</f>
        <v>24.290242721632399</v>
      </c>
    </row>
    <row r="155" spans="1:6">
      <c r="B155" s="80" t="s">
        <v>412</v>
      </c>
      <c r="C155" s="239">
        <f>Scenarios!C99</f>
        <v>29.638934581958189</v>
      </c>
      <c r="D155" s="342">
        <f>IF($D$11="","",C155*$E$22)</f>
        <v>27.961259039583194</v>
      </c>
    </row>
    <row r="156" spans="1:6">
      <c r="B156" s="290" t="s">
        <v>432</v>
      </c>
      <c r="C156" s="340" t="str">
        <f>Market_currency</f>
        <v>CNY</v>
      </c>
      <c r="D156" s="340" t="str">
        <f>IF($D$11="","",D$13)</f>
        <v>HKD</v>
      </c>
    </row>
    <row r="157" spans="1:6">
      <c r="B157" s="238" t="s">
        <v>263</v>
      </c>
      <c r="C157" s="92">
        <f>Scenarios!F99</f>
        <v>3.1366539631478951E-2</v>
      </c>
    </row>
    <row r="159" spans="1:6" ht="13.9">
      <c r="A159" s="247" t="s">
        <v>385</v>
      </c>
      <c r="B159" s="36"/>
      <c r="C159" s="36"/>
      <c r="D159" s="36"/>
      <c r="E159" s="36"/>
      <c r="F159" s="36"/>
    </row>
    <row r="161" spans="2:6">
      <c r="B161" s="344" t="s">
        <v>387</v>
      </c>
      <c r="C161" s="345"/>
      <c r="D161" s="345"/>
      <c r="E161" s="345"/>
      <c r="F161" s="345"/>
    </row>
    <row r="163" spans="2:6">
      <c r="B163" s="234" t="s">
        <v>386</v>
      </c>
    </row>
    <row r="164" spans="2:6">
      <c r="B164" s="347" t="s">
        <v>391</v>
      </c>
      <c r="C164" s="347"/>
      <c r="D164" s="347"/>
      <c r="E164" s="347"/>
      <c r="F164" s="347"/>
    </row>
    <row r="165" spans="2:6">
      <c r="B165" s="238" t="s">
        <v>388</v>
      </c>
    </row>
    <row r="166" spans="2:6">
      <c r="B166" s="238" t="s">
        <v>389</v>
      </c>
    </row>
    <row r="167" spans="2:6">
      <c r="B167" s="238" t="s">
        <v>390</v>
      </c>
    </row>
    <row r="169" spans="2:6">
      <c r="B169" s="1" t="s">
        <v>395</v>
      </c>
    </row>
    <row r="170" spans="2:6" ht="46.5" customHeight="1">
      <c r="B170" s="346" t="s">
        <v>392</v>
      </c>
      <c r="C170" s="346"/>
      <c r="D170" s="346"/>
      <c r="E170" s="346"/>
      <c r="F170" s="346"/>
    </row>
    <row r="172" spans="2:6">
      <c r="B172" s="1" t="s">
        <v>396</v>
      </c>
    </row>
    <row r="173" spans="2:6" ht="24.4" customHeight="1">
      <c r="B173" s="343" t="s">
        <v>393</v>
      </c>
      <c r="C173" s="343"/>
      <c r="D173" s="343"/>
      <c r="E173" s="343"/>
      <c r="F173" s="343"/>
    </row>
    <row r="174" spans="2:6" ht="24.4" customHeight="1">
      <c r="B174" s="343" t="s">
        <v>394</v>
      </c>
      <c r="C174" s="343"/>
      <c r="D174" s="343"/>
      <c r="E174" s="343"/>
      <c r="F174" s="343"/>
    </row>
    <row r="176" spans="2:6">
      <c r="B176" s="1" t="s">
        <v>400</v>
      </c>
    </row>
    <row r="177" spans="2:2">
      <c r="B177" s="238" t="s">
        <v>397</v>
      </c>
    </row>
    <row r="178" spans="2:2">
      <c r="B178" s="238" t="s">
        <v>398</v>
      </c>
    </row>
    <row r="179" spans="2:2">
      <c r="B179" s="238" t="s">
        <v>399</v>
      </c>
    </row>
  </sheetData>
  <mergeCells count="27">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 ref="B69:F69"/>
    <mergeCell ref="B113:F113"/>
    <mergeCell ref="B78:F78"/>
    <mergeCell ref="B124:F124"/>
    <mergeCell ref="B58:F58"/>
    <mergeCell ref="B90:F90"/>
    <mergeCell ref="B173:F173"/>
    <mergeCell ref="B174:F174"/>
    <mergeCell ref="B161:F161"/>
    <mergeCell ref="B170:F170"/>
    <mergeCell ref="B164:F164"/>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3074562</v>
      </c>
      <c r="D4" s="181">
        <v>3212215</v>
      </c>
      <c r="E4" s="181">
        <v>3318168</v>
      </c>
      <c r="F4" s="181">
        <v>2740884</v>
      </c>
      <c r="G4" s="181">
        <v>2105984</v>
      </c>
      <c r="H4" s="181">
        <v>2966193</v>
      </c>
      <c r="I4" s="181">
        <v>2891179</v>
      </c>
      <c r="J4" s="181">
        <v>2360193</v>
      </c>
      <c r="K4" s="181">
        <v>1930911</v>
      </c>
      <c r="L4" s="181">
        <v>2018883</v>
      </c>
      <c r="M4" s="181"/>
    </row>
    <row r="5" spans="2:13">
      <c r="B5" s="40" t="s">
        <v>43</v>
      </c>
      <c r="C5" s="181">
        <v>2598935</v>
      </c>
      <c r="D5" s="181">
        <v>2709656</v>
      </c>
      <c r="E5" s="181">
        <v>2819363</v>
      </c>
      <c r="F5" s="181">
        <v>2216551</v>
      </c>
      <c r="G5" s="181">
        <v>1688398</v>
      </c>
      <c r="H5" s="181">
        <v>2488852</v>
      </c>
      <c r="I5" s="181">
        <v>2401012</v>
      </c>
      <c r="J5" s="181">
        <v>1890398</v>
      </c>
      <c r="K5" s="181">
        <v>1492165</v>
      </c>
      <c r="L5" s="181">
        <v>1592771</v>
      </c>
      <c r="M5" s="181"/>
    </row>
    <row r="6" spans="2:13">
      <c r="B6" s="40" t="s">
        <v>54</v>
      </c>
      <c r="C6" s="181">
        <v>119443</v>
      </c>
      <c r="D6" s="181">
        <v>120828</v>
      </c>
      <c r="E6" s="181">
        <v>115775</v>
      </c>
      <c r="F6" s="181">
        <v>120426</v>
      </c>
      <c r="G6" s="181">
        <v>130729</v>
      </c>
      <c r="H6" s="181">
        <v>125628</v>
      </c>
      <c r="I6" s="181">
        <v>132786</v>
      </c>
      <c r="J6" s="181">
        <v>134983</v>
      </c>
      <c r="K6" s="181">
        <v>123705</v>
      </c>
      <c r="L6" s="181">
        <v>118753</v>
      </c>
      <c r="M6" s="181"/>
    </row>
    <row r="7" spans="2:13">
      <c r="B7" s="69" t="s">
        <v>61</v>
      </c>
      <c r="C7" s="189">
        <v>61422</v>
      </c>
      <c r="D7" s="189">
        <v>61164</v>
      </c>
      <c r="E7" s="189">
        <v>58567</v>
      </c>
      <c r="F7" s="189">
        <v>57891</v>
      </c>
      <c r="G7" s="189">
        <v>64438</v>
      </c>
      <c r="H7" s="189">
        <v>63516</v>
      </c>
      <c r="I7" s="189">
        <v>59396</v>
      </c>
      <c r="J7" s="189">
        <v>56055</v>
      </c>
      <c r="K7" s="189">
        <v>49550</v>
      </c>
      <c r="L7" s="189">
        <v>46872</v>
      </c>
      <c r="M7" s="189"/>
    </row>
    <row r="8" spans="2:13">
      <c r="B8" s="40" t="s">
        <v>49</v>
      </c>
      <c r="C8" s="181">
        <v>15215</v>
      </c>
      <c r="D8" s="181">
        <v>13969</v>
      </c>
      <c r="E8" s="181">
        <v>12773</v>
      </c>
      <c r="F8" s="181">
        <v>11481</v>
      </c>
      <c r="G8" s="181">
        <v>10086</v>
      </c>
      <c r="H8" s="181">
        <v>9395</v>
      </c>
      <c r="I8" s="181">
        <v>7956</v>
      </c>
      <c r="J8" s="181">
        <v>0</v>
      </c>
      <c r="K8" s="181">
        <v>0</v>
      </c>
      <c r="L8" s="181">
        <v>0</v>
      </c>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18601</v>
      </c>
      <c r="D12" s="181">
        <v>18069</v>
      </c>
      <c r="E12" s="181">
        <v>16769</v>
      </c>
      <c r="F12" s="181">
        <v>15018</v>
      </c>
      <c r="G12" s="181">
        <v>0</v>
      </c>
      <c r="H12" s="181">
        <v>0</v>
      </c>
      <c r="I12" s="181">
        <v>0</v>
      </c>
      <c r="J12" s="181">
        <v>0</v>
      </c>
      <c r="K12" s="181">
        <v>0</v>
      </c>
      <c r="L12" s="181">
        <v>0</v>
      </c>
      <c r="M12" s="181"/>
    </row>
    <row r="13" spans="2:13">
      <c r="B13" s="40" t="s">
        <v>67</v>
      </c>
      <c r="C13" s="181">
        <v>5935</v>
      </c>
      <c r="D13" s="181">
        <v>6828</v>
      </c>
      <c r="E13" s="181">
        <v>6266</v>
      </c>
      <c r="F13" s="181">
        <v>5732</v>
      </c>
      <c r="G13" s="181">
        <v>0</v>
      </c>
      <c r="H13" s="181">
        <v>0</v>
      </c>
      <c r="I13" s="181">
        <v>0</v>
      </c>
      <c r="J13" s="181">
        <v>0</v>
      </c>
      <c r="K13" s="181">
        <v>0</v>
      </c>
      <c r="L13" s="181">
        <v>0</v>
      </c>
      <c r="M13" s="181"/>
    </row>
    <row r="14" spans="2:13">
      <c r="B14" s="40" t="s">
        <v>50</v>
      </c>
      <c r="C14" s="181">
        <v>12966</v>
      </c>
      <c r="D14" s="181">
        <v>16070</v>
      </c>
      <c r="E14" s="181">
        <v>18757</v>
      </c>
      <c r="F14" s="181">
        <v>23318</v>
      </c>
      <c r="G14" s="181">
        <v>6219</v>
      </c>
      <c r="H14" s="181">
        <v>17894</v>
      </c>
      <c r="I14" s="181">
        <v>20213</v>
      </c>
      <c r="J14" s="181">
        <v>16279</v>
      </c>
      <c r="K14" s="181">
        <v>20707</v>
      </c>
      <c r="L14" s="181">
        <v>12613</v>
      </c>
      <c r="M14" s="181"/>
    </row>
    <row r="15" spans="2:13">
      <c r="B15" s="43" t="s">
        <v>42</v>
      </c>
      <c r="C15" s="182">
        <v>57547</v>
      </c>
      <c r="D15" s="182">
        <v>70046</v>
      </c>
      <c r="E15" s="182">
        <v>75758</v>
      </c>
      <c r="F15" s="182">
        <v>85030</v>
      </c>
      <c r="G15" s="182">
        <v>41750</v>
      </c>
      <c r="H15" s="182">
        <v>72122</v>
      </c>
      <c r="I15" s="182">
        <v>80289</v>
      </c>
      <c r="J15" s="182">
        <v>70294</v>
      </c>
      <c r="K15" s="182">
        <v>59170</v>
      </c>
      <c r="L15" s="182">
        <v>43346</v>
      </c>
      <c r="M15" s="182"/>
    </row>
    <row r="16" spans="2:13">
      <c r="B16" s="28" t="s">
        <v>44</v>
      </c>
      <c r="C16" s="181">
        <v>7234</v>
      </c>
      <c r="D16" s="181">
        <v>9583</v>
      </c>
      <c r="E16" s="181">
        <v>9456</v>
      </c>
      <c r="F16" s="181">
        <v>13822</v>
      </c>
      <c r="G16" s="181">
        <v>8826</v>
      </c>
      <c r="H16" s="181">
        <v>14531</v>
      </c>
      <c r="I16" s="181">
        <v>17200</v>
      </c>
      <c r="J16" s="181">
        <v>19175</v>
      </c>
      <c r="K16" s="181">
        <v>12754</v>
      </c>
      <c r="L16" s="181">
        <v>11139</v>
      </c>
      <c r="M16" s="181"/>
    </row>
    <row r="18" spans="2:13">
      <c r="B18" s="16" t="s">
        <v>51</v>
      </c>
      <c r="C18" s="9"/>
    </row>
    <row r="19" spans="2:13">
      <c r="B19" s="27" t="s">
        <v>47</v>
      </c>
      <c r="C19" s="181">
        <v>120714</v>
      </c>
      <c r="D19" s="181">
        <v>113750</v>
      </c>
      <c r="E19" s="181">
        <v>109906</v>
      </c>
      <c r="F19" s="181">
        <v>115680</v>
      </c>
      <c r="G19" s="181"/>
      <c r="H19" s="181"/>
      <c r="I19" s="181"/>
      <c r="J19" s="181"/>
      <c r="K19" s="181"/>
      <c r="L19" s="181"/>
      <c r="M19" s="181"/>
    </row>
    <row r="20" spans="2:13">
      <c r="B20" s="27" t="s">
        <v>53</v>
      </c>
      <c r="C20" s="181">
        <f>C19</f>
        <v>120714</v>
      </c>
      <c r="D20" s="181"/>
      <c r="E20" s="181"/>
      <c r="F20" s="181"/>
      <c r="G20" s="181"/>
      <c r="H20" s="181"/>
      <c r="I20" s="181"/>
      <c r="J20" s="181"/>
      <c r="K20" s="181"/>
      <c r="L20" s="181"/>
      <c r="M20" s="181"/>
    </row>
    <row r="21" spans="2:13">
      <c r="B21" s="27" t="s">
        <v>52</v>
      </c>
      <c r="C21" s="181">
        <v>-37825</v>
      </c>
      <c r="D21" s="181">
        <v>-38241</v>
      </c>
      <c r="E21" s="181">
        <v>-73810</v>
      </c>
      <c r="F21" s="181">
        <v>15859</v>
      </c>
      <c r="G21" s="181"/>
      <c r="H21" s="181"/>
      <c r="I21" s="181"/>
      <c r="J21" s="181"/>
      <c r="K21" s="181"/>
      <c r="L21" s="181"/>
      <c r="M21" s="181"/>
    </row>
    <row r="22" spans="2:13">
      <c r="B22" s="27" t="s">
        <v>382</v>
      </c>
      <c r="C22" s="181">
        <v>149360</v>
      </c>
      <c r="D22" s="181">
        <v>161475</v>
      </c>
      <c r="E22" s="181">
        <v>116269</v>
      </c>
      <c r="F22" s="181">
        <v>225174</v>
      </c>
      <c r="G22" s="181">
        <v>167518</v>
      </c>
      <c r="H22" s="181">
        <v>153420</v>
      </c>
      <c r="I22" s="181">
        <v>175868</v>
      </c>
      <c r="J22" s="181">
        <v>190935</v>
      </c>
      <c r="K22" s="181">
        <v>214543</v>
      </c>
      <c r="L22" s="181">
        <v>165818</v>
      </c>
      <c r="M22" s="181"/>
    </row>
    <row r="23" spans="2:13">
      <c r="B23" s="27" t="s">
        <v>384</v>
      </c>
      <c r="C23" s="181">
        <v>-161240</v>
      </c>
      <c r="D23" s="181">
        <v>-155865</v>
      </c>
      <c r="E23" s="181">
        <v>-95010</v>
      </c>
      <c r="F23" s="181">
        <v>-145198</v>
      </c>
      <c r="G23" s="181">
        <v>-102203</v>
      </c>
      <c r="H23" s="181">
        <v>-120463</v>
      </c>
      <c r="I23" s="181">
        <v>-66422</v>
      </c>
      <c r="J23" s="181">
        <v>-145323</v>
      </c>
      <c r="K23" s="181">
        <v>-66217</v>
      </c>
      <c r="L23" s="181">
        <v>-116952</v>
      </c>
      <c r="M23" s="181"/>
    </row>
    <row r="24" spans="2:13">
      <c r="B24" s="27" t="s">
        <v>383</v>
      </c>
      <c r="C24" s="181">
        <v>-19237</v>
      </c>
      <c r="D24" s="181">
        <v>22732</v>
      </c>
      <c r="E24" s="181">
        <v>-39699</v>
      </c>
      <c r="F24" s="181">
        <v>-57942</v>
      </c>
      <c r="G24" s="181">
        <v>-36955</v>
      </c>
      <c r="H24" s="181">
        <v>-84713</v>
      </c>
      <c r="I24" s="181">
        <v>-111260</v>
      </c>
      <c r="J24" s="181">
        <v>-56509</v>
      </c>
      <c r="K24" s="181">
        <v>-93047</v>
      </c>
      <c r="L24" s="181">
        <v>9310</v>
      </c>
      <c r="M24" s="181"/>
    </row>
    <row r="25" spans="2:13">
      <c r="B25" s="24" t="str">
        <f>"Dividend per share ("&amp;Market_currency&amp;")"</f>
        <v>Dividend per share (CNY)</v>
      </c>
      <c r="C25" s="39">
        <f>2.2/Exchange_Rate</f>
        <v>2.0754716981132075</v>
      </c>
      <c r="D25" s="39"/>
      <c r="E25" s="39"/>
      <c r="F25" s="39"/>
      <c r="G25" s="39"/>
      <c r="H25" s="39"/>
      <c r="I25" s="39"/>
      <c r="J25" s="39"/>
      <c r="K25" s="39"/>
      <c r="L25" s="39"/>
      <c r="M25" s="39"/>
    </row>
    <row r="27" spans="2:13">
      <c r="B27" s="16" t="s">
        <v>28</v>
      </c>
      <c r="C27" s="97" t="s">
        <v>220</v>
      </c>
    </row>
    <row r="28" spans="2:13">
      <c r="B28" s="26" t="s">
        <v>24</v>
      </c>
      <c r="C28" s="183">
        <f>BS!C4</f>
        <v>1</v>
      </c>
      <c r="D28" s="181">
        <v>48652</v>
      </c>
      <c r="E28" s="181">
        <v>46364</v>
      </c>
      <c r="F28" s="181">
        <v>34861</v>
      </c>
      <c r="G28" s="181">
        <v>35587</v>
      </c>
      <c r="H28" s="181">
        <v>54865</v>
      </c>
      <c r="I28" s="181">
        <v>64879</v>
      </c>
      <c r="J28" s="181">
        <v>84701</v>
      </c>
      <c r="K28" s="181">
        <v>63486</v>
      </c>
      <c r="L28" s="181">
        <v>67075</v>
      </c>
      <c r="M28" s="181"/>
    </row>
    <row r="29" spans="2:13">
      <c r="B29" s="26" t="s">
        <v>32</v>
      </c>
      <c r="C29" s="183">
        <f>BS!C6</f>
        <v>0</v>
      </c>
      <c r="D29" s="181">
        <v>250898</v>
      </c>
      <c r="E29" s="181">
        <v>244241</v>
      </c>
      <c r="F29" s="181">
        <v>207433</v>
      </c>
      <c r="G29" s="181">
        <v>151895</v>
      </c>
      <c r="H29" s="181">
        <v>192442</v>
      </c>
      <c r="I29" s="181">
        <v>184584</v>
      </c>
      <c r="J29" s="181">
        <v>186693</v>
      </c>
      <c r="K29" s="181">
        <v>156511</v>
      </c>
      <c r="L29" s="181">
        <v>145498</v>
      </c>
      <c r="M29" s="181"/>
    </row>
    <row r="30" spans="2:13">
      <c r="B30" s="29" t="s">
        <v>40</v>
      </c>
      <c r="C30" s="186">
        <f>BS!C33+BS!C42</f>
        <v>1</v>
      </c>
      <c r="D30" s="182">
        <v>1068019</v>
      </c>
      <c r="E30" s="182">
        <v>1011487</v>
      </c>
      <c r="F30" s="182">
        <v>973214</v>
      </c>
      <c r="G30" s="182">
        <v>849929</v>
      </c>
      <c r="H30" s="182">
        <v>878166</v>
      </c>
      <c r="I30" s="182">
        <v>734649</v>
      </c>
      <c r="J30" s="182">
        <v>741434</v>
      </c>
      <c r="K30" s="182">
        <v>666084</v>
      </c>
      <c r="L30" s="182">
        <v>657506</v>
      </c>
      <c r="M30" s="182"/>
    </row>
    <row r="31" spans="2:13">
      <c r="B31" s="29" t="s">
        <v>30</v>
      </c>
      <c r="C31" s="186">
        <f>BS!G27</f>
        <v>2</v>
      </c>
      <c r="D31" s="182">
        <v>958655</v>
      </c>
      <c r="E31" s="182">
        <v>937153</v>
      </c>
      <c r="F31" s="182">
        <v>916041</v>
      </c>
      <c r="G31" s="182">
        <v>883876</v>
      </c>
      <c r="H31" s="182">
        <v>876905</v>
      </c>
      <c r="I31" s="182">
        <v>857659</v>
      </c>
      <c r="J31" s="182">
        <v>854070</v>
      </c>
      <c r="K31" s="182">
        <v>832525</v>
      </c>
      <c r="L31" s="182">
        <v>785623</v>
      </c>
      <c r="M31" s="182"/>
    </row>
    <row r="32" spans="2:13">
      <c r="B32" s="26" t="s">
        <v>173</v>
      </c>
      <c r="C32" s="183">
        <f>BS!G28</f>
        <v>0</v>
      </c>
      <c r="D32" s="181">
        <v>152861</v>
      </c>
      <c r="E32" s="181">
        <v>151576</v>
      </c>
      <c r="F32" s="181">
        <v>140939</v>
      </c>
      <c r="G32" s="182">
        <v>141413</v>
      </c>
      <c r="H32" s="182">
        <v>137736</v>
      </c>
      <c r="I32" s="182">
        <v>139304</v>
      </c>
      <c r="J32" s="182">
        <v>126826</v>
      </c>
      <c r="K32" s="182">
        <v>120293</v>
      </c>
      <c r="L32" s="182">
        <v>110253</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3074562</v>
      </c>
      <c r="D36" s="183">
        <f t="shared" si="1"/>
        <v>3212215</v>
      </c>
      <c r="E36" s="183">
        <f t="shared" si="1"/>
        <v>3318168</v>
      </c>
      <c r="F36" s="183">
        <f t="shared" si="1"/>
        <v>2740884</v>
      </c>
      <c r="G36" s="183">
        <f t="shared" si="1"/>
        <v>2105984</v>
      </c>
      <c r="H36" s="183">
        <f t="shared" si="1"/>
        <v>2966193</v>
      </c>
      <c r="I36" s="183">
        <f t="shared" si="1"/>
        <v>2891179</v>
      </c>
      <c r="J36" s="183">
        <f t="shared" si="1"/>
        <v>2360193</v>
      </c>
      <c r="K36" s="183">
        <f t="shared" si="1"/>
        <v>1930911</v>
      </c>
      <c r="L36" s="183">
        <f t="shared" si="1"/>
        <v>2018883</v>
      </c>
      <c r="M36" s="183" t="str">
        <f t="shared" si="1"/>
        <v/>
      </c>
    </row>
    <row r="37" spans="2:13">
      <c r="B37" s="40" t="s">
        <v>43</v>
      </c>
      <c r="C37" s="183">
        <f t="shared" ref="C37:M37" si="2">IF(C$4="","",-C5)</f>
        <v>-2598935</v>
      </c>
      <c r="D37" s="183">
        <f t="shared" si="2"/>
        <v>-2709656</v>
      </c>
      <c r="E37" s="183">
        <f t="shared" si="2"/>
        <v>-2819363</v>
      </c>
      <c r="F37" s="183">
        <f t="shared" si="2"/>
        <v>-2216551</v>
      </c>
      <c r="G37" s="183">
        <f t="shared" si="2"/>
        <v>-1688398</v>
      </c>
      <c r="H37" s="183">
        <f t="shared" si="2"/>
        <v>-2488852</v>
      </c>
      <c r="I37" s="183">
        <f t="shared" si="2"/>
        <v>-2401012</v>
      </c>
      <c r="J37" s="183">
        <f t="shared" si="2"/>
        <v>-1890398</v>
      </c>
      <c r="K37" s="183">
        <f t="shared" si="2"/>
        <v>-1492165</v>
      </c>
      <c r="L37" s="183">
        <f t="shared" si="2"/>
        <v>-1592771</v>
      </c>
      <c r="M37" s="183" t="str">
        <f t="shared" si="2"/>
        <v/>
      </c>
    </row>
    <row r="38" spans="2:13">
      <c r="B38" s="31" t="s">
        <v>58</v>
      </c>
      <c r="C38" s="184">
        <f>IF(C36="","",C36+C37)</f>
        <v>475627</v>
      </c>
      <c r="D38" s="184">
        <f t="shared" ref="D38" si="3">IF(D36="","",D36+D37)</f>
        <v>502559</v>
      </c>
      <c r="E38" s="184">
        <f t="shared" ref="E38" si="4">IF(E36="","",E36+E37)</f>
        <v>498805</v>
      </c>
      <c r="F38" s="184">
        <f t="shared" ref="F38" si="5">IF(F36="","",F36+F37)</f>
        <v>524333</v>
      </c>
      <c r="G38" s="184">
        <f t="shared" ref="G38" si="6">IF(G36="","",G36+G37)</f>
        <v>417586</v>
      </c>
      <c r="H38" s="184">
        <f t="shared" ref="H38" si="7">IF(H36="","",H36+H37)</f>
        <v>477341</v>
      </c>
      <c r="I38" s="184">
        <f t="shared" ref="I38" si="8">IF(I36="","",I36+I37)</f>
        <v>490167</v>
      </c>
      <c r="J38" s="184">
        <f t="shared" ref="J38" si="9">IF(J36="","",J36+J37)</f>
        <v>469795</v>
      </c>
      <c r="K38" s="184">
        <f t="shared" ref="K38" si="10">IF(K36="","",K36+K37)</f>
        <v>438746</v>
      </c>
      <c r="L38" s="184">
        <f t="shared" ref="L38" si="11">IF(L36="","",L36+L37)</f>
        <v>426112</v>
      </c>
      <c r="M38" s="184" t="str">
        <f t="shared" ref="M38" si="12">IF(M36="","",M36+M37)</f>
        <v/>
      </c>
    </row>
    <row r="39" spans="2:13">
      <c r="B39" s="40" t="s">
        <v>54</v>
      </c>
      <c r="C39" s="183">
        <f t="shared" ref="C39:M39" si="13">IF(C$4="","",-C6)</f>
        <v>-119443</v>
      </c>
      <c r="D39" s="183">
        <f t="shared" si="13"/>
        <v>-120828</v>
      </c>
      <c r="E39" s="183">
        <f t="shared" si="13"/>
        <v>-115775</v>
      </c>
      <c r="F39" s="183">
        <f t="shared" si="13"/>
        <v>-120426</v>
      </c>
      <c r="G39" s="183">
        <f t="shared" si="13"/>
        <v>-130729</v>
      </c>
      <c r="H39" s="183">
        <f t="shared" si="13"/>
        <v>-125628</v>
      </c>
      <c r="I39" s="183">
        <f t="shared" si="13"/>
        <v>-132786</v>
      </c>
      <c r="J39" s="183">
        <f t="shared" si="13"/>
        <v>-134983</v>
      </c>
      <c r="K39" s="183">
        <f t="shared" si="13"/>
        <v>-123705</v>
      </c>
      <c r="L39" s="183">
        <f t="shared" si="13"/>
        <v>-118753</v>
      </c>
      <c r="M39" s="183" t="str">
        <f t="shared" si="13"/>
        <v/>
      </c>
    </row>
    <row r="40" spans="2:13">
      <c r="B40" s="69" t="s">
        <v>61</v>
      </c>
      <c r="C40" s="185">
        <f t="shared" ref="C40:M40" si="14">IF(C$4="","",-C7)</f>
        <v>-61422</v>
      </c>
      <c r="D40" s="185">
        <f t="shared" si="14"/>
        <v>-61164</v>
      </c>
      <c r="E40" s="185">
        <f t="shared" si="14"/>
        <v>-58567</v>
      </c>
      <c r="F40" s="185">
        <f t="shared" si="14"/>
        <v>-57891</v>
      </c>
      <c r="G40" s="185">
        <f t="shared" si="14"/>
        <v>-64438</v>
      </c>
      <c r="H40" s="185">
        <f t="shared" si="14"/>
        <v>-63516</v>
      </c>
      <c r="I40" s="185">
        <f t="shared" si="14"/>
        <v>-59396</v>
      </c>
      <c r="J40" s="185">
        <f t="shared" si="14"/>
        <v>-56055</v>
      </c>
      <c r="K40" s="185">
        <f t="shared" si="14"/>
        <v>-49550</v>
      </c>
      <c r="L40" s="185">
        <f t="shared" si="14"/>
        <v>-46872</v>
      </c>
      <c r="M40" s="185" t="str">
        <f t="shared" si="14"/>
        <v/>
      </c>
    </row>
    <row r="41" spans="2:13">
      <c r="B41" s="69" t="s">
        <v>64</v>
      </c>
      <c r="C41" s="185">
        <f>IF(C$4="","",C39-C40)</f>
        <v>-58021</v>
      </c>
      <c r="D41" s="185">
        <f t="shared" ref="D41:M41" si="15">IF(D$4="","",D39-D40)</f>
        <v>-59664</v>
      </c>
      <c r="E41" s="185">
        <f t="shared" si="15"/>
        <v>-57208</v>
      </c>
      <c r="F41" s="185">
        <f t="shared" si="15"/>
        <v>-62535</v>
      </c>
      <c r="G41" s="185">
        <f t="shared" si="15"/>
        <v>-66291</v>
      </c>
      <c r="H41" s="185">
        <f t="shared" si="15"/>
        <v>-62112</v>
      </c>
      <c r="I41" s="185">
        <f t="shared" si="15"/>
        <v>-73390</v>
      </c>
      <c r="J41" s="185">
        <f t="shared" si="15"/>
        <v>-78928</v>
      </c>
      <c r="K41" s="185">
        <f t="shared" si="15"/>
        <v>-74155</v>
      </c>
      <c r="L41" s="185">
        <f t="shared" si="15"/>
        <v>-71881</v>
      </c>
      <c r="M41" s="185" t="str">
        <f t="shared" si="15"/>
        <v/>
      </c>
    </row>
    <row r="42" spans="2:13">
      <c r="B42" s="40" t="s">
        <v>49</v>
      </c>
      <c r="C42" s="183">
        <f t="shared" ref="C42:M42" si="16">IF(C$4="","",-C8)</f>
        <v>-15215</v>
      </c>
      <c r="D42" s="183">
        <f t="shared" si="16"/>
        <v>-13969</v>
      </c>
      <c r="E42" s="183">
        <f t="shared" si="16"/>
        <v>-12773</v>
      </c>
      <c r="F42" s="183">
        <f t="shared" si="16"/>
        <v>-11481</v>
      </c>
      <c r="G42" s="183">
        <f t="shared" si="16"/>
        <v>-10086</v>
      </c>
      <c r="H42" s="183">
        <f t="shared" si="16"/>
        <v>-9395</v>
      </c>
      <c r="I42" s="183">
        <f t="shared" si="16"/>
        <v>-7956</v>
      </c>
      <c r="J42" s="183">
        <f t="shared" si="16"/>
        <v>0</v>
      </c>
      <c r="K42" s="183">
        <f t="shared" si="16"/>
        <v>0</v>
      </c>
      <c r="L42" s="183">
        <f t="shared" si="16"/>
        <v>0</v>
      </c>
      <c r="M42" s="183" t="str">
        <f t="shared" si="16"/>
        <v/>
      </c>
    </row>
    <row r="43" spans="2:13">
      <c r="B43" s="43" t="s">
        <v>153</v>
      </c>
      <c r="C43" s="186">
        <f>IF(C$4="","",C38+C39+C42)</f>
        <v>340969</v>
      </c>
      <c r="D43" s="186">
        <f t="shared" ref="D43:M43" si="17">IF(D$4="","",D38+D39+D42)</f>
        <v>367762</v>
      </c>
      <c r="E43" s="186">
        <f t="shared" si="17"/>
        <v>370257</v>
      </c>
      <c r="F43" s="186">
        <f t="shared" si="17"/>
        <v>392426</v>
      </c>
      <c r="G43" s="186">
        <f t="shared" si="17"/>
        <v>276771</v>
      </c>
      <c r="H43" s="186">
        <f t="shared" si="17"/>
        <v>342318</v>
      </c>
      <c r="I43" s="186">
        <f t="shared" si="17"/>
        <v>349425</v>
      </c>
      <c r="J43" s="186">
        <f t="shared" si="17"/>
        <v>334812</v>
      </c>
      <c r="K43" s="186">
        <f t="shared" si="17"/>
        <v>315041</v>
      </c>
      <c r="L43" s="186">
        <f t="shared" si="17"/>
        <v>307359</v>
      </c>
      <c r="M43" s="186" t="str">
        <f t="shared" si="17"/>
        <v/>
      </c>
    </row>
    <row r="44" spans="2:13">
      <c r="B44" s="43" t="s">
        <v>169</v>
      </c>
      <c r="C44" s="187">
        <f t="shared" ref="C44:M44" si="18">IF(C$4="","",C47-C46-C45-C43)</f>
        <v>-257790</v>
      </c>
      <c r="D44" s="187">
        <f t="shared" si="18"/>
        <v>-270405</v>
      </c>
      <c r="E44" s="187">
        <f t="shared" si="18"/>
        <v>-265239</v>
      </c>
      <c r="F44" s="187">
        <f t="shared" si="18"/>
        <v>-274792</v>
      </c>
      <c r="G44" s="187">
        <f t="shared" si="18"/>
        <v>-228802</v>
      </c>
      <c r="H44" s="187">
        <f t="shared" si="18"/>
        <v>-252302</v>
      </c>
      <c r="I44" s="187">
        <f t="shared" si="18"/>
        <v>-248923</v>
      </c>
      <c r="J44" s="187">
        <f t="shared" si="18"/>
        <v>-248239</v>
      </c>
      <c r="K44" s="187">
        <f t="shared" si="18"/>
        <v>-235164</v>
      </c>
      <c r="L44" s="187">
        <f t="shared" si="18"/>
        <v>-251400</v>
      </c>
      <c r="M44" s="187" t="str">
        <f t="shared" si="18"/>
        <v/>
      </c>
    </row>
    <row r="45" spans="2:13">
      <c r="B45" s="40" t="s">
        <v>68</v>
      </c>
      <c r="C45" s="188">
        <f t="shared" ref="C45:M45" si="19">IF(C$4="","",C51+C52)</f>
        <v>-12666</v>
      </c>
      <c r="D45" s="188">
        <f t="shared" si="19"/>
        <v>-11241</v>
      </c>
      <c r="E45" s="188">
        <f t="shared" si="19"/>
        <v>-10503</v>
      </c>
      <c r="F45" s="188">
        <f t="shared" si="19"/>
        <v>-9286</v>
      </c>
      <c r="G45" s="188">
        <f t="shared" si="19"/>
        <v>0</v>
      </c>
      <c r="H45" s="188">
        <f t="shared" si="19"/>
        <v>0</v>
      </c>
      <c r="I45" s="188">
        <f t="shared" si="19"/>
        <v>0</v>
      </c>
      <c r="J45" s="188">
        <f t="shared" si="19"/>
        <v>0</v>
      </c>
      <c r="K45" s="188">
        <f t="shared" si="19"/>
        <v>0</v>
      </c>
      <c r="L45" s="188">
        <f t="shared" si="19"/>
        <v>0</v>
      </c>
      <c r="M45" s="188" t="str">
        <f t="shared" si="19"/>
        <v/>
      </c>
    </row>
    <row r="46" spans="2:13">
      <c r="B46" s="40" t="s">
        <v>50</v>
      </c>
      <c r="C46" s="183">
        <f t="shared" ref="C46:M46" si="20">IF(C$4="","",-C14)</f>
        <v>-12966</v>
      </c>
      <c r="D46" s="183">
        <f t="shared" si="20"/>
        <v>-16070</v>
      </c>
      <c r="E46" s="183">
        <f t="shared" si="20"/>
        <v>-18757</v>
      </c>
      <c r="F46" s="183">
        <f t="shared" si="20"/>
        <v>-23318</v>
      </c>
      <c r="G46" s="183">
        <f t="shared" si="20"/>
        <v>-6219</v>
      </c>
      <c r="H46" s="183">
        <f t="shared" si="20"/>
        <v>-17894</v>
      </c>
      <c r="I46" s="183">
        <f t="shared" si="20"/>
        <v>-20213</v>
      </c>
      <c r="J46" s="183">
        <f t="shared" si="20"/>
        <v>-16279</v>
      </c>
      <c r="K46" s="183">
        <f t="shared" si="20"/>
        <v>-20707</v>
      </c>
      <c r="L46" s="183">
        <f t="shared" si="20"/>
        <v>-12613</v>
      </c>
      <c r="M46" s="183" t="str">
        <f t="shared" si="20"/>
        <v/>
      </c>
    </row>
    <row r="47" spans="2:13">
      <c r="B47" s="43" t="s">
        <v>42</v>
      </c>
      <c r="C47" s="186">
        <f t="shared" ref="C47:M47" si="21">IF(C$4="","",C15)</f>
        <v>57547</v>
      </c>
      <c r="D47" s="186">
        <f t="shared" si="21"/>
        <v>70046</v>
      </c>
      <c r="E47" s="186">
        <f t="shared" si="21"/>
        <v>75758</v>
      </c>
      <c r="F47" s="186">
        <f t="shared" si="21"/>
        <v>85030</v>
      </c>
      <c r="G47" s="186">
        <f t="shared" si="21"/>
        <v>41750</v>
      </c>
      <c r="H47" s="186">
        <f t="shared" si="21"/>
        <v>72122</v>
      </c>
      <c r="I47" s="186">
        <f t="shared" si="21"/>
        <v>80289</v>
      </c>
      <c r="J47" s="186">
        <f t="shared" si="21"/>
        <v>70294</v>
      </c>
      <c r="K47" s="186">
        <f t="shared" si="21"/>
        <v>59170</v>
      </c>
      <c r="L47" s="186">
        <f t="shared" si="21"/>
        <v>43346</v>
      </c>
      <c r="M47" s="186" t="str">
        <f t="shared" si="21"/>
        <v/>
      </c>
    </row>
    <row r="48" spans="2:13">
      <c r="B48" s="28" t="s">
        <v>44</v>
      </c>
      <c r="C48" s="183">
        <f t="shared" ref="C48:M48" si="22">IF(C$4="","",MIN(-C16,0))</f>
        <v>-7234</v>
      </c>
      <c r="D48" s="183">
        <f t="shared" si="22"/>
        <v>-9583</v>
      </c>
      <c r="E48" s="183">
        <f t="shared" si="22"/>
        <v>-9456</v>
      </c>
      <c r="F48" s="183">
        <f t="shared" si="22"/>
        <v>-13822</v>
      </c>
      <c r="G48" s="183">
        <f t="shared" si="22"/>
        <v>-8826</v>
      </c>
      <c r="H48" s="183">
        <f t="shared" si="22"/>
        <v>-14531</v>
      </c>
      <c r="I48" s="183">
        <f t="shared" si="22"/>
        <v>-17200</v>
      </c>
      <c r="J48" s="183">
        <f t="shared" si="22"/>
        <v>-19175</v>
      </c>
      <c r="K48" s="183">
        <f t="shared" si="22"/>
        <v>-12754</v>
      </c>
      <c r="L48" s="183">
        <f t="shared" si="22"/>
        <v>-11139</v>
      </c>
      <c r="M48" s="183" t="str">
        <f t="shared" si="22"/>
        <v/>
      </c>
    </row>
    <row r="50" spans="2:13">
      <c r="B50" s="16" t="s">
        <v>68</v>
      </c>
    </row>
    <row r="51" spans="2:13">
      <c r="B51" s="40" t="s">
        <v>39</v>
      </c>
      <c r="C51" s="183">
        <f t="shared" ref="C51:M51" si="23">IF(C$4="","",-C12)</f>
        <v>-18601</v>
      </c>
      <c r="D51" s="183">
        <f t="shared" si="23"/>
        <v>-18069</v>
      </c>
      <c r="E51" s="183">
        <f t="shared" si="23"/>
        <v>-16769</v>
      </c>
      <c r="F51" s="183">
        <f t="shared" si="23"/>
        <v>-15018</v>
      </c>
      <c r="G51" s="183">
        <f t="shared" si="23"/>
        <v>0</v>
      </c>
      <c r="H51" s="183">
        <f t="shared" si="23"/>
        <v>0</v>
      </c>
      <c r="I51" s="183">
        <f t="shared" si="23"/>
        <v>0</v>
      </c>
      <c r="J51" s="183">
        <f t="shared" si="23"/>
        <v>0</v>
      </c>
      <c r="K51" s="183">
        <f t="shared" si="23"/>
        <v>0</v>
      </c>
      <c r="L51" s="183">
        <f t="shared" si="23"/>
        <v>0</v>
      </c>
      <c r="M51" s="183" t="str">
        <f t="shared" si="23"/>
        <v/>
      </c>
    </row>
    <row r="52" spans="2:13">
      <c r="B52" s="40" t="s">
        <v>67</v>
      </c>
      <c r="C52" s="183">
        <f t="shared" ref="C52:M52" si="24">IF(C$4="","",C13)</f>
        <v>5935</v>
      </c>
      <c r="D52" s="183">
        <f t="shared" si="24"/>
        <v>6828</v>
      </c>
      <c r="E52" s="183">
        <f t="shared" si="24"/>
        <v>6266</v>
      </c>
      <c r="F52" s="183">
        <f t="shared" si="24"/>
        <v>5732</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-257790</v>
      </c>
      <c r="D58" s="188">
        <f t="shared" ref="D58:M58" si="28">IF(D$4="","",D44-D55-D56-D57)</f>
        <v>-270405</v>
      </c>
      <c r="E58" s="188">
        <f t="shared" si="28"/>
        <v>-265239</v>
      </c>
      <c r="F58" s="188">
        <f t="shared" si="28"/>
        <v>-274792</v>
      </c>
      <c r="G58" s="188">
        <f t="shared" si="28"/>
        <v>-228802</v>
      </c>
      <c r="H58" s="188">
        <f t="shared" si="28"/>
        <v>-252302</v>
      </c>
      <c r="I58" s="188">
        <f t="shared" si="28"/>
        <v>-248923</v>
      </c>
      <c r="J58" s="188">
        <f t="shared" si="28"/>
        <v>-248239</v>
      </c>
      <c r="K58" s="188">
        <f t="shared" si="28"/>
        <v>-235164</v>
      </c>
      <c r="L58" s="188">
        <f t="shared" si="28"/>
        <v>-251400</v>
      </c>
      <c r="M58" s="188" t="str">
        <f t="shared" si="28"/>
        <v/>
      </c>
    </row>
    <row r="60" spans="2:13">
      <c r="B60" s="16" t="s">
        <v>51</v>
      </c>
      <c r="C60" s="9"/>
    </row>
    <row r="61" spans="2:13">
      <c r="B61" s="27" t="s">
        <v>47</v>
      </c>
      <c r="C61" s="183">
        <f>IF(C$4="","",-C19)</f>
        <v>-120714</v>
      </c>
      <c r="D61" s="183">
        <f t="shared" ref="D61:M61" si="29">IF(D$4="","",-D19)</f>
        <v>-113750</v>
      </c>
      <c r="E61" s="183">
        <f t="shared" si="29"/>
        <v>-109906</v>
      </c>
      <c r="F61" s="183">
        <f t="shared" si="29"/>
        <v>-115680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IF(C$4="","",IF(C20=0,C61,-C20))</f>
        <v>-120714</v>
      </c>
      <c r="D62" s="183">
        <f t="shared" ref="D62:M62" si="30">IF(D$4="","",IF(D20=0,D61,-D20))</f>
        <v>-113750</v>
      </c>
      <c r="E62" s="183">
        <f t="shared" si="30"/>
        <v>-109906</v>
      </c>
      <c r="F62" s="183">
        <f t="shared" si="30"/>
        <v>-115680</v>
      </c>
      <c r="G62" s="183">
        <f t="shared" si="30"/>
        <v>0</v>
      </c>
      <c r="H62" s="183">
        <f t="shared" si="30"/>
        <v>0</v>
      </c>
      <c r="I62" s="183">
        <f t="shared" si="30"/>
        <v>0</v>
      </c>
      <c r="J62" s="183">
        <f t="shared" si="30"/>
        <v>0</v>
      </c>
      <c r="K62" s="183">
        <f t="shared" si="30"/>
        <v>0</v>
      </c>
      <c r="L62" s="183">
        <f t="shared" si="30"/>
        <v>0</v>
      </c>
      <c r="M62" s="183" t="str">
        <f t="shared" si="30"/>
        <v/>
      </c>
    </row>
    <row r="63" spans="2:13">
      <c r="B63" s="27" t="s">
        <v>52</v>
      </c>
      <c r="C63" s="183">
        <f>IF(C$4="","",-C21)</f>
        <v>37825</v>
      </c>
      <c r="D63" s="183">
        <f t="shared" ref="D63:M63" si="31">IF(D$4="","",-D21)</f>
        <v>38241</v>
      </c>
      <c r="E63" s="183">
        <f t="shared" si="31"/>
        <v>73810</v>
      </c>
      <c r="F63" s="183">
        <f t="shared" si="31"/>
        <v>-15859</v>
      </c>
      <c r="G63" s="183">
        <f t="shared" si="31"/>
        <v>0</v>
      </c>
      <c r="H63" s="183">
        <f t="shared" si="31"/>
        <v>0</v>
      </c>
      <c r="I63" s="183">
        <f t="shared" si="31"/>
        <v>0</v>
      </c>
      <c r="J63" s="183">
        <f t="shared" si="31"/>
        <v>0</v>
      </c>
      <c r="K63" s="183">
        <f t="shared" si="31"/>
        <v>0</v>
      </c>
      <c r="L63" s="183">
        <f t="shared" si="31"/>
        <v>0</v>
      </c>
      <c r="M63" s="183" t="str">
        <f t="shared" si="31"/>
        <v/>
      </c>
    </row>
    <row r="64" spans="2:13">
      <c r="B64" s="27" t="s">
        <v>404</v>
      </c>
      <c r="C64" s="183">
        <f>IF(C$4="","",C22+C23+C24)</f>
        <v>-31117</v>
      </c>
      <c r="D64" s="183">
        <f t="shared" ref="D64:M64" si="32">IF(D$4="","",D22+D23+D24)</f>
        <v>28342</v>
      </c>
      <c r="E64" s="183">
        <f t="shared" si="32"/>
        <v>-18440</v>
      </c>
      <c r="F64" s="183">
        <f t="shared" si="32"/>
        <v>22034</v>
      </c>
      <c r="G64" s="183">
        <f t="shared" si="32"/>
        <v>28360</v>
      </c>
      <c r="H64" s="183">
        <f t="shared" si="32"/>
        <v>-51756</v>
      </c>
      <c r="I64" s="183">
        <f t="shared" si="32"/>
        <v>-1814</v>
      </c>
      <c r="J64" s="183">
        <f t="shared" si="32"/>
        <v>-10897</v>
      </c>
      <c r="K64" s="183">
        <f t="shared" si="32"/>
        <v>55279</v>
      </c>
      <c r="L64" s="183">
        <f t="shared" si="32"/>
        <v>58176</v>
      </c>
      <c r="M64" s="183" t="str">
        <f t="shared" si="32"/>
        <v/>
      </c>
    </row>
    <row r="65" spans="2:13">
      <c r="B65" s="24" t="s">
        <v>36</v>
      </c>
      <c r="C65" s="73">
        <f>IF(C$4="","",C25)</f>
        <v>2.0754716981132075</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-4.2852984622760326E-2</v>
      </c>
      <c r="D68" s="92">
        <f t="shared" si="34"/>
        <v>-3.1931174069546819E-2</v>
      </c>
      <c r="E68" s="92">
        <f t="shared" si="34"/>
        <v>0.21061963950316764</v>
      </c>
      <c r="F68" s="92">
        <f t="shared" si="34"/>
        <v>0.30147427520816872</v>
      </c>
      <c r="G68" s="92">
        <f t="shared" si="34"/>
        <v>-0.29000439283620449</v>
      </c>
      <c r="H68" s="92">
        <f t="shared" si="34"/>
        <v>2.5945816568258229E-2</v>
      </c>
      <c r="I68" s="92">
        <f t="shared" si="34"/>
        <v>0.22497566936263258</v>
      </c>
      <c r="J68" s="92">
        <f t="shared" si="34"/>
        <v>0.22232096663181267</v>
      </c>
      <c r="K68" s="92">
        <f t="shared" si="34"/>
        <v>-4.3574590503758781E-2</v>
      </c>
      <c r="L68" s="92" t="str">
        <f t="shared" si="34"/>
        <v/>
      </c>
      <c r="M68" s="92" t="str">
        <f t="shared" si="34"/>
        <v/>
      </c>
    </row>
    <row r="69" spans="2:13">
      <c r="B69" s="31" t="s">
        <v>58</v>
      </c>
      <c r="C69" s="92">
        <f>IF(D$36="","",C38/D38-1)</f>
        <v>-5.3589727773256435E-2</v>
      </c>
      <c r="D69" s="92">
        <f t="shared" ref="D69:M69" si="35">IF(E$36="","",D38/E38-1)</f>
        <v>7.5259871091910568E-3</v>
      </c>
      <c r="E69" s="92">
        <f t="shared" si="35"/>
        <v>-4.8686617092572826E-2</v>
      </c>
      <c r="F69" s="92">
        <f t="shared" si="35"/>
        <v>0.25562878065835548</v>
      </c>
      <c r="G69" s="92">
        <f t="shared" si="35"/>
        <v>-0.12518304524438506</v>
      </c>
      <c r="H69" s="92">
        <f t="shared" si="35"/>
        <v>-2.6166592202249483E-2</v>
      </c>
      <c r="I69" s="92">
        <f t="shared" si="35"/>
        <v>4.3363594759416424E-2</v>
      </c>
      <c r="J69" s="92">
        <f t="shared" si="35"/>
        <v>7.0767596741622807E-2</v>
      </c>
      <c r="K69" s="92">
        <f t="shared" si="35"/>
        <v>2.9649481826374391E-2</v>
      </c>
      <c r="L69" s="92" t="str">
        <f t="shared" si="35"/>
        <v/>
      </c>
      <c r="M69" s="92" t="str">
        <f t="shared" si="35"/>
        <v/>
      </c>
    </row>
    <row r="70" spans="2:13">
      <c r="B70" s="80" t="str">
        <f>B43</f>
        <v>Operating EBIT</v>
      </c>
      <c r="C70" s="101">
        <f>IF(D$36="","",C43/D43-1)</f>
        <v>-7.2854182868268058E-2</v>
      </c>
      <c r="D70" s="101">
        <f t="shared" ref="D70:M70" si="36">IF(E$36="","",D43/E43-1)</f>
        <v>-6.7385626740344984E-3</v>
      </c>
      <c r="E70" s="101">
        <f t="shared" si="36"/>
        <v>-5.649217941726592E-2</v>
      </c>
      <c r="F70" s="101">
        <f t="shared" si="36"/>
        <v>0.41787253722391426</v>
      </c>
      <c r="G70" s="101">
        <f t="shared" si="36"/>
        <v>-0.19147985206737594</v>
      </c>
      <c r="H70" s="101">
        <f t="shared" si="36"/>
        <v>-2.0339128568362286E-2</v>
      </c>
      <c r="I70" s="101">
        <f t="shared" si="36"/>
        <v>4.3645389054155714E-2</v>
      </c>
      <c r="J70" s="101">
        <f t="shared" si="36"/>
        <v>6.2756911005234173E-2</v>
      </c>
      <c r="K70" s="101">
        <f t="shared" si="36"/>
        <v>2.4993574289349008E-2</v>
      </c>
      <c r="L70" s="101" t="str">
        <f t="shared" si="36"/>
        <v/>
      </c>
      <c r="M70" s="101" t="str">
        <f t="shared" si="36"/>
        <v/>
      </c>
    </row>
    <row r="71" spans="2:13">
      <c r="B71" s="43" t="s">
        <v>169</v>
      </c>
      <c r="C71" s="101">
        <f>IF(D$36="","",C44/D44-1)</f>
        <v>-4.6652243856437514E-2</v>
      </c>
      <c r="D71" s="101">
        <f t="shared" ref="D71:M71" si="37">IF(E$36="","",D44/E44-1)</f>
        <v>1.9476773777611811E-2</v>
      </c>
      <c r="E71" s="101">
        <f t="shared" si="37"/>
        <v>-3.4764476403970956E-2</v>
      </c>
      <c r="F71" s="101">
        <f t="shared" si="37"/>
        <v>0.20100348773175059</v>
      </c>
      <c r="G71" s="101">
        <f t="shared" si="37"/>
        <v>-9.3142345284619177E-2</v>
      </c>
      <c r="H71" s="101">
        <f t="shared" si="37"/>
        <v>1.3574478854907035E-2</v>
      </c>
      <c r="I71" s="101">
        <f t="shared" si="37"/>
        <v>2.7554091017125693E-3</v>
      </c>
      <c r="J71" s="101">
        <f t="shared" si="37"/>
        <v>5.5599496521576475E-2</v>
      </c>
      <c r="K71" s="101">
        <f t="shared" si="37"/>
        <v>-6.4582338902147929E-2</v>
      </c>
      <c r="L71" s="101" t="str">
        <f t="shared" si="37"/>
        <v/>
      </c>
      <c r="M71" s="101" t="str">
        <f t="shared" si="37"/>
        <v/>
      </c>
    </row>
    <row r="72" spans="2:13">
      <c r="B72" s="80" t="str">
        <f>B47</f>
        <v>Reported Net Income</v>
      </c>
      <c r="C72" s="101">
        <f>IF(D$36="","",C47/D47-1)</f>
        <v>-0.17843988236301855</v>
      </c>
      <c r="D72" s="101">
        <f t="shared" ref="D72:M72" si="38">IF(E$36="","",D47/E47-1)</f>
        <v>-7.5397977771324509E-2</v>
      </c>
      <c r="E72" s="101">
        <f t="shared" si="38"/>
        <v>-0.10904386687051626</v>
      </c>
      <c r="F72" s="101">
        <f t="shared" si="38"/>
        <v>1.0366467065868266</v>
      </c>
      <c r="G72" s="101">
        <f t="shared" si="38"/>
        <v>-0.42111976927983141</v>
      </c>
      <c r="H72" s="101">
        <f t="shared" si="38"/>
        <v>-0.10172003636861837</v>
      </c>
      <c r="I72" s="101">
        <f t="shared" si="38"/>
        <v>0.14218852249125113</v>
      </c>
      <c r="J72" s="101">
        <f t="shared" si="38"/>
        <v>0.18800067601825243</v>
      </c>
      <c r="K72" s="101">
        <f t="shared" si="38"/>
        <v>0.36506252018640706</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3</v>
      </c>
      <c r="D76" s="188">
        <f t="shared" ref="D76:M76" si="39">IF(D$4="","",D79+D80)</f>
        <v>2026674</v>
      </c>
      <c r="E76" s="188">
        <f t="shared" si="39"/>
        <v>1948640</v>
      </c>
      <c r="F76" s="188">
        <f t="shared" si="39"/>
        <v>1889255</v>
      </c>
      <c r="G76" s="188">
        <f t="shared" si="39"/>
        <v>1733805</v>
      </c>
      <c r="H76" s="188">
        <f t="shared" si="39"/>
        <v>1755071</v>
      </c>
      <c r="I76" s="188">
        <f t="shared" si="39"/>
        <v>1592308</v>
      </c>
      <c r="J76" s="188">
        <f t="shared" si="39"/>
        <v>1595504</v>
      </c>
      <c r="K76" s="188">
        <f t="shared" si="39"/>
        <v>1498609</v>
      </c>
      <c r="L76" s="188">
        <f t="shared" si="39"/>
        <v>1443129</v>
      </c>
      <c r="M76" s="188" t="str">
        <f t="shared" si="39"/>
        <v/>
      </c>
    </row>
    <row r="77" spans="2:13">
      <c r="B77" s="93" t="s">
        <v>86</v>
      </c>
      <c r="C77" s="185">
        <f t="shared" ref="C77:H78" si="40">IF(C$4="","",C28)</f>
        <v>1</v>
      </c>
      <c r="D77" s="185">
        <f t="shared" si="40"/>
        <v>48652</v>
      </c>
      <c r="E77" s="185">
        <f t="shared" si="40"/>
        <v>46364</v>
      </c>
      <c r="F77" s="185">
        <f t="shared" si="40"/>
        <v>34861</v>
      </c>
      <c r="G77" s="185">
        <f t="shared" si="40"/>
        <v>35587</v>
      </c>
      <c r="H77" s="185">
        <f t="shared" si="40"/>
        <v>54865</v>
      </c>
      <c r="I77" s="335"/>
      <c r="J77" s="335"/>
      <c r="K77" s="335"/>
      <c r="L77" s="335"/>
      <c r="M77" s="335"/>
    </row>
    <row r="78" spans="2:13">
      <c r="B78" s="93" t="s">
        <v>87</v>
      </c>
      <c r="C78" s="185">
        <f t="shared" si="40"/>
        <v>0</v>
      </c>
      <c r="D78" s="185">
        <f t="shared" si="40"/>
        <v>250898</v>
      </c>
      <c r="E78" s="185">
        <f t="shared" si="40"/>
        <v>244241</v>
      </c>
      <c r="F78" s="185">
        <f t="shared" si="40"/>
        <v>207433</v>
      </c>
      <c r="G78" s="185">
        <f t="shared" si="40"/>
        <v>151895</v>
      </c>
      <c r="H78" s="185">
        <f t="shared" si="40"/>
        <v>192442</v>
      </c>
      <c r="I78" s="335"/>
      <c r="J78" s="335"/>
      <c r="K78" s="335"/>
      <c r="L78" s="335"/>
      <c r="M78" s="335"/>
    </row>
    <row r="79" spans="2:13">
      <c r="B79" s="26" t="s">
        <v>40</v>
      </c>
      <c r="C79" s="183">
        <f t="shared" ref="C79:M79" si="41">IF(C$4="","",C30)</f>
        <v>1</v>
      </c>
      <c r="D79" s="183">
        <f t="shared" si="41"/>
        <v>1068019</v>
      </c>
      <c r="E79" s="183">
        <f t="shared" si="41"/>
        <v>1011487</v>
      </c>
      <c r="F79" s="183">
        <f t="shared" si="41"/>
        <v>973214</v>
      </c>
      <c r="G79" s="183">
        <f t="shared" si="41"/>
        <v>849929</v>
      </c>
      <c r="H79" s="183">
        <f t="shared" si="41"/>
        <v>878166</v>
      </c>
      <c r="I79" s="183">
        <f t="shared" si="41"/>
        <v>734649</v>
      </c>
      <c r="J79" s="183">
        <f t="shared" si="41"/>
        <v>741434</v>
      </c>
      <c r="K79" s="183">
        <f t="shared" si="41"/>
        <v>666084</v>
      </c>
      <c r="L79" s="183">
        <f t="shared" si="41"/>
        <v>657506</v>
      </c>
      <c r="M79" s="183" t="str">
        <f t="shared" si="41"/>
        <v/>
      </c>
    </row>
    <row r="80" spans="2:13">
      <c r="B80" s="26" t="s">
        <v>30</v>
      </c>
      <c r="C80" s="183">
        <f t="shared" ref="C80:M80" si="42">IF(C$4="","",C31)</f>
        <v>2</v>
      </c>
      <c r="D80" s="183">
        <f t="shared" si="42"/>
        <v>958655</v>
      </c>
      <c r="E80" s="183">
        <f t="shared" si="42"/>
        <v>937153</v>
      </c>
      <c r="F80" s="183">
        <f t="shared" si="42"/>
        <v>916041</v>
      </c>
      <c r="G80" s="183">
        <f t="shared" si="42"/>
        <v>883876</v>
      </c>
      <c r="H80" s="183">
        <f t="shared" si="42"/>
        <v>876905</v>
      </c>
      <c r="I80" s="183">
        <f t="shared" si="42"/>
        <v>857659</v>
      </c>
      <c r="J80" s="183">
        <f t="shared" si="42"/>
        <v>854070</v>
      </c>
      <c r="K80" s="183">
        <f t="shared" si="42"/>
        <v>832525</v>
      </c>
      <c r="L80" s="183">
        <f t="shared" si="42"/>
        <v>785623</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1</v>
      </c>
      <c r="D4" s="294">
        <v>0.6</v>
      </c>
      <c r="E4" s="25"/>
      <c r="F4" s="4" t="s">
        <v>78</v>
      </c>
      <c r="G4" s="19">
        <v>1</v>
      </c>
      <c r="H4" s="294">
        <v>0.9</v>
      </c>
    </row>
    <row r="5" spans="2:8" ht="15" customHeight="1">
      <c r="B5" s="1" t="s">
        <v>33</v>
      </c>
      <c r="C5" s="19">
        <v>0</v>
      </c>
      <c r="D5" s="294">
        <v>0.6</v>
      </c>
      <c r="E5" s="25"/>
      <c r="F5" s="1" t="s">
        <v>29</v>
      </c>
      <c r="G5" s="19">
        <v>0</v>
      </c>
      <c r="H5" s="294">
        <v>0.7</v>
      </c>
    </row>
    <row r="6" spans="2:8" ht="15" customHeight="1">
      <c r="B6" s="4" t="s">
        <v>10</v>
      </c>
      <c r="C6" s="19">
        <v>0</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0</v>
      </c>
      <c r="D10" s="294">
        <v>0.9</v>
      </c>
      <c r="H10" s="295"/>
    </row>
    <row r="11" spans="2:8" ht="15" customHeight="1">
      <c r="B11" s="4" t="s">
        <v>12</v>
      </c>
      <c r="C11" s="19">
        <v>0</v>
      </c>
      <c r="D11" s="294">
        <v>0.05</v>
      </c>
      <c r="H11" s="295"/>
    </row>
    <row r="12" spans="2:8" ht="15" customHeight="1">
      <c r="B12" s="80" t="s">
        <v>72</v>
      </c>
      <c r="C12" s="81">
        <f>SUM(C4:C11)</f>
        <v>1</v>
      </c>
      <c r="D12" s="20">
        <f>C4*D4+C5*D5+C9*D9+C6*D6+C8*D8+C7*D7+C10*D10+C11*D11</f>
        <v>0.6</v>
      </c>
      <c r="F12" s="80" t="s">
        <v>70</v>
      </c>
      <c r="G12" s="81">
        <f>SUM(G4:G9)</f>
        <v>1</v>
      </c>
      <c r="H12" s="20">
        <f>G4*H4+G5*H5+G6*H6+G7*H7+G8*H8+G9*H9</f>
        <v>0.9</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v>1</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0</v>
      </c>
      <c r="D21" s="294">
        <v>0.05</v>
      </c>
      <c r="F21" s="1" t="s">
        <v>181</v>
      </c>
      <c r="G21" s="19">
        <v>0</v>
      </c>
      <c r="H21" s="294">
        <v>0.1</v>
      </c>
    </row>
    <row r="22" spans="2:8" ht="15" customHeight="1">
      <c r="B22" s="4" t="s">
        <v>20</v>
      </c>
      <c r="C22" s="19">
        <v>0</v>
      </c>
      <c r="D22" s="294">
        <v>0.9</v>
      </c>
      <c r="H22" s="295"/>
    </row>
    <row r="23" spans="2:8" ht="15" customHeight="1">
      <c r="B23" s="4" t="s">
        <v>21</v>
      </c>
      <c r="C23" s="19">
        <v>0</v>
      </c>
      <c r="D23" s="294">
        <v>0</v>
      </c>
      <c r="H23" s="295"/>
    </row>
    <row r="24" spans="2:8" ht="15" customHeight="1">
      <c r="B24" s="80" t="s">
        <v>74</v>
      </c>
      <c r="C24" s="81">
        <f>SUM(C15:C23)</f>
        <v>1</v>
      </c>
      <c r="D24" s="20">
        <f>C15*D15+C16*D16+C18*D18+C17*D17+C19*D19+C20*D20+C21*D21+C22*D22+C23*D23</f>
        <v>0.1</v>
      </c>
      <c r="F24" s="80" t="s">
        <v>71</v>
      </c>
      <c r="G24" s="81">
        <f>SUM(G15:G21)</f>
        <v>0</v>
      </c>
      <c r="H24" s="20">
        <f>G15*H15+G16*H16+G17*H17+G18*H18+G19*H19+G20*H20+G21*H21</f>
        <v>0</v>
      </c>
    </row>
    <row r="26" spans="2:8" ht="15" customHeight="1">
      <c r="B26" s="16" t="s">
        <v>201</v>
      </c>
      <c r="C26" s="203" t="s">
        <v>137</v>
      </c>
      <c r="F26" s="205" t="s">
        <v>197</v>
      </c>
      <c r="G26" s="206" t="s">
        <v>137</v>
      </c>
      <c r="H26" s="207" t="s">
        <v>35</v>
      </c>
    </row>
    <row r="27" spans="2:8" ht="15" customHeight="1">
      <c r="B27" s="4" t="s">
        <v>5</v>
      </c>
      <c r="C27" s="19">
        <v>0</v>
      </c>
      <c r="F27" s="208" t="s">
        <v>30</v>
      </c>
      <c r="G27" s="85">
        <f>G32-G30</f>
        <v>2</v>
      </c>
      <c r="H27" s="209">
        <f>H32-G30</f>
        <v>0.60000000000000009</v>
      </c>
    </row>
    <row r="28" spans="2:8" ht="15" customHeight="1">
      <c r="B28" s="4" t="s">
        <v>6</v>
      </c>
      <c r="C28" s="19">
        <v>0</v>
      </c>
      <c r="F28" s="210" t="s">
        <v>245</v>
      </c>
      <c r="G28" s="12">
        <v>0</v>
      </c>
      <c r="H28" s="209"/>
    </row>
    <row r="29" spans="2:8" ht="15" customHeight="1">
      <c r="B29" s="4" t="s">
        <v>7</v>
      </c>
      <c r="C29" s="19">
        <v>0</v>
      </c>
      <c r="F29" s="211" t="s">
        <v>76</v>
      </c>
      <c r="G29" s="14">
        <f>G27-G28</f>
        <v>2</v>
      </c>
      <c r="H29" s="209">
        <f>H27-G28</f>
        <v>0.60000000000000009</v>
      </c>
    </row>
    <row r="30" spans="2:8" ht="15" customHeight="1">
      <c r="B30" s="2" t="s">
        <v>8</v>
      </c>
      <c r="C30" s="19">
        <v>0</v>
      </c>
      <c r="F30" s="208" t="s">
        <v>23</v>
      </c>
      <c r="G30" s="85">
        <f>C33+C42</f>
        <v>1</v>
      </c>
      <c r="H30" s="209"/>
    </row>
    <row r="31" spans="2:8" ht="15" customHeight="1">
      <c r="B31" s="80" t="s">
        <v>204</v>
      </c>
      <c r="C31" s="81">
        <f>SUM(C27:C30)</f>
        <v>0</v>
      </c>
      <c r="F31" s="211" t="s">
        <v>77</v>
      </c>
      <c r="G31" s="212">
        <f>C31+C40</f>
        <v>0</v>
      </c>
      <c r="H31" s="209"/>
    </row>
    <row r="32" spans="2:8" ht="15" customHeight="1">
      <c r="B32" s="4" t="s">
        <v>9</v>
      </c>
      <c r="C32" s="21">
        <f>C33-C31</f>
        <v>1</v>
      </c>
      <c r="F32" s="213" t="s">
        <v>75</v>
      </c>
      <c r="G32" s="214">
        <f>G35+G40</f>
        <v>3</v>
      </c>
      <c r="H32" s="209">
        <f>H35+H40</f>
        <v>1.6</v>
      </c>
    </row>
    <row r="33" spans="2:8" ht="15" customHeight="1">
      <c r="B33" s="83" t="s">
        <v>4</v>
      </c>
      <c r="C33" s="84">
        <v>1</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v>
      </c>
      <c r="H35" s="221">
        <f>D12+D24</f>
        <v>0.7</v>
      </c>
    </row>
    <row r="36" spans="2:8" ht="15" customHeight="1">
      <c r="B36" s="4" t="s">
        <v>13</v>
      </c>
      <c r="C36" s="19">
        <v>0</v>
      </c>
      <c r="F36" s="211" t="s">
        <v>198</v>
      </c>
      <c r="G36" s="212">
        <f>C4+C15</f>
        <v>1</v>
      </c>
      <c r="H36" s="216"/>
    </row>
    <row r="37" spans="2:8" ht="15" customHeight="1">
      <c r="B37" s="4" t="s">
        <v>14</v>
      </c>
      <c r="C37" s="19">
        <v>0</v>
      </c>
      <c r="F37" s="211" t="s">
        <v>199</v>
      </c>
      <c r="G37" s="212">
        <f>C6</f>
        <v>0</v>
      </c>
      <c r="H37" s="216"/>
    </row>
    <row r="38" spans="2:8" ht="15" customHeight="1">
      <c r="B38" s="4" t="s">
        <v>15</v>
      </c>
      <c r="C38" s="19">
        <v>0</v>
      </c>
      <c r="F38" s="211" t="s">
        <v>200</v>
      </c>
      <c r="G38" s="212">
        <f>C7+C17</f>
        <v>0</v>
      </c>
      <c r="H38" s="216"/>
    </row>
    <row r="39" spans="2:8" ht="15" customHeight="1">
      <c r="B39" s="2" t="s">
        <v>16</v>
      </c>
      <c r="C39" s="19">
        <v>0</v>
      </c>
      <c r="F39" s="211" t="s">
        <v>80</v>
      </c>
      <c r="G39" s="212">
        <f>C7+C17+C19+C20</f>
        <v>1</v>
      </c>
      <c r="H39" s="209">
        <f>C7*D7+C17*D17+C19*D19+C20*D20</f>
        <v>0.1</v>
      </c>
    </row>
    <row r="40" spans="2:8" ht="15" customHeight="1">
      <c r="B40" s="80" t="s">
        <v>205</v>
      </c>
      <c r="C40" s="81">
        <f>SUM(C36:C39)</f>
        <v>0</v>
      </c>
      <c r="F40" s="220" t="s">
        <v>139</v>
      </c>
      <c r="G40" s="214">
        <f>G12+G24</f>
        <v>1</v>
      </c>
      <c r="H40" s="221">
        <f>H12+H24</f>
        <v>0.9</v>
      </c>
    </row>
    <row r="41" spans="2:8" ht="15" customHeight="1">
      <c r="B41" s="4" t="s">
        <v>17</v>
      </c>
      <c r="C41" s="21">
        <f>C42-C40</f>
        <v>0</v>
      </c>
      <c r="F41" s="211" t="s">
        <v>192</v>
      </c>
      <c r="G41" s="212">
        <f>C70</f>
        <v>1</v>
      </c>
      <c r="H41" s="221">
        <f>H40-H42</f>
        <v>0.9</v>
      </c>
    </row>
    <row r="42" spans="2:8" ht="15" customHeight="1">
      <c r="B42" s="83" t="s">
        <v>22</v>
      </c>
      <c r="C42" s="84">
        <v>0</v>
      </c>
      <c r="F42" s="222" t="s">
        <v>193</v>
      </c>
      <c r="G42" s="223">
        <f>C82</f>
        <v>0</v>
      </c>
      <c r="H42" s="224">
        <f>D82</f>
        <v>0</v>
      </c>
    </row>
    <row r="44" spans="2:8" ht="15" customHeight="1">
      <c r="B44" s="79" t="s">
        <v>97</v>
      </c>
      <c r="C44" s="37"/>
      <c r="D44" s="37"/>
      <c r="E44" s="37"/>
      <c r="F44" s="37"/>
      <c r="G44" s="37"/>
      <c r="H44" s="37"/>
    </row>
    <row r="45" spans="2:8" ht="15" customHeight="1">
      <c r="B45" s="16" t="s">
        <v>272</v>
      </c>
      <c r="C45" s="261" t="s">
        <v>137</v>
      </c>
      <c r="D45" s="203" t="s">
        <v>417</v>
      </c>
      <c r="F45" s="287" t="s">
        <v>59</v>
      </c>
    </row>
    <row r="46" spans="2:8" ht="15" customHeight="1">
      <c r="B46" s="1" t="s">
        <v>274</v>
      </c>
      <c r="C46" s="188">
        <f>G29</f>
        <v>2</v>
      </c>
      <c r="D46" s="188">
        <f>H29</f>
        <v>0.60000000000000009</v>
      </c>
      <c r="F46" s="283"/>
    </row>
    <row r="47" spans="2:8" ht="15" customHeight="1">
      <c r="B47" s="1" t="str">
        <f>"Equity per share ("&amp;Market_currency&amp;")"</f>
        <v>Equity per share (CNY)</v>
      </c>
      <c r="C47" s="148">
        <f>C46*H1/Common_Shares*Exchange_Rate</f>
        <v>1.7479986860318283E-5</v>
      </c>
      <c r="D47" s="148">
        <f>D46*H1/Common_Shares*Exchange_Rate</f>
        <v>5.243996058095486E-6</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v>
      </c>
      <c r="D50" s="95">
        <f>G31/Normalized_FCF!G8</f>
        <v>0</v>
      </c>
      <c r="F50" s="283"/>
    </row>
    <row r="51" spans="2:8" ht="15" customHeight="1">
      <c r="B51" s="1" t="s">
        <v>177</v>
      </c>
      <c r="C51" s="202"/>
      <c r="D51" s="92">
        <f>G29/G32</f>
        <v>0.66666666666666663</v>
      </c>
      <c r="F51" s="283"/>
    </row>
    <row r="52" spans="2:8" ht="15" customHeight="1">
      <c r="F52" s="283"/>
    </row>
    <row r="53" spans="2:8" ht="15" customHeight="1">
      <c r="B53" s="158" t="s">
        <v>143</v>
      </c>
      <c r="C53" s="262" t="s">
        <v>57</v>
      </c>
      <c r="D53" s="218" t="s">
        <v>96</v>
      </c>
      <c r="F53" s="283"/>
    </row>
    <row r="54" spans="2:8" ht="15" customHeight="1">
      <c r="B54" s="1" t="s">
        <v>140</v>
      </c>
      <c r="C54" s="92">
        <f>Normalized_FCF!C8/G35</f>
        <v>185475.39988739416</v>
      </c>
      <c r="D54" s="92">
        <f>Normalized_FCF!G8/G35</f>
        <v>170484.5</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120714</v>
      </c>
      <c r="F58" s="5"/>
    </row>
    <row r="59" spans="2:8" ht="15" customHeight="1">
      <c r="B59" s="1" t="s">
        <v>93</v>
      </c>
      <c r="C59" s="98"/>
      <c r="D59" s="92">
        <f>G39/G32</f>
        <v>0.33333333333333331</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0</v>
      </c>
      <c r="F62" s="283" t="s">
        <v>273</v>
      </c>
    </row>
    <row r="64" spans="2:8" ht="15" customHeight="1">
      <c r="B64" s="79" t="s">
        <v>194</v>
      </c>
      <c r="C64" s="37"/>
      <c r="D64" s="37"/>
      <c r="E64" s="37"/>
      <c r="F64" s="37"/>
      <c r="G64" s="37"/>
      <c r="H64" s="37"/>
    </row>
    <row r="65" spans="2:6" ht="15" customHeight="1">
      <c r="B65" s="16" t="s">
        <v>189</v>
      </c>
      <c r="C65" s="261" t="s">
        <v>137</v>
      </c>
      <c r="D65" s="204" t="s">
        <v>293</v>
      </c>
      <c r="F65" s="287" t="s">
        <v>59</v>
      </c>
    </row>
    <row r="66" spans="2:6" ht="15" customHeight="1">
      <c r="B66" s="105" t="s">
        <v>188</v>
      </c>
      <c r="C66" s="20">
        <f>G4+G5+G15</f>
        <v>1</v>
      </c>
      <c r="D66" s="188">
        <f>C66-D75</f>
        <v>-247267.57388162927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v>
      </c>
      <c r="F70" s="283"/>
    </row>
    <row r="71" spans="2:6" ht="15" customHeight="1">
      <c r="F71" s="283"/>
    </row>
    <row r="72" spans="2:6" ht="15" customHeight="1">
      <c r="B72" s="285" t="s">
        <v>327</v>
      </c>
      <c r="C72" s="261" t="s">
        <v>96</v>
      </c>
      <c r="D72" s="203" t="s">
        <v>57</v>
      </c>
      <c r="F72" s="283"/>
    </row>
    <row r="73" spans="2:6" ht="15" customHeight="1">
      <c r="B73" s="105" t="s">
        <v>326</v>
      </c>
      <c r="C73" s="188">
        <f>(Normalized_FCF!G25+Normalized_FCF!G35-Normalized_FCF!G91)/12</f>
        <v>-248775.78636286163</v>
      </c>
      <c r="D73" s="188">
        <f>(Normalized_FCF!C25+Normalized_FCF!C35-Normalized_FCF!C91)/12</f>
        <v>-247268.57388162927</v>
      </c>
      <c r="F73" s="1" t="s">
        <v>361</v>
      </c>
    </row>
    <row r="74" spans="2:6" ht="15" customHeight="1">
      <c r="B74" s="288" t="s">
        <v>331</v>
      </c>
      <c r="C74" s="289">
        <f>-$C$66/C73</f>
        <v>4.0196838069337299E-6</v>
      </c>
      <c r="D74" s="289">
        <f>-$C$66/D73</f>
        <v>4.0441855764441506E-6</v>
      </c>
      <c r="F74" s="283" t="s">
        <v>328</v>
      </c>
    </row>
    <row r="75" spans="2:6" ht="15" customHeight="1">
      <c r="B75" s="80" t="s">
        <v>329</v>
      </c>
      <c r="C75" s="293"/>
      <c r="D75" s="292">
        <f>MAX(-D73*D76,G5)</f>
        <v>247268.57388162927</v>
      </c>
      <c r="F75" s="283" t="s">
        <v>362</v>
      </c>
    </row>
    <row r="76" spans="2:6" ht="15" customHeight="1">
      <c r="B76" s="290" t="s">
        <v>332</v>
      </c>
      <c r="C76" s="291"/>
      <c r="D76" s="327">
        <f>IF(D74&lt;=3,1,IF(D74&gt;18,6,2))</f>
        <v>1</v>
      </c>
      <c r="F76" s="283" t="s">
        <v>333</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0</v>
      </c>
      <c r="D82" s="81">
        <f>SUM(D79:D81)</f>
        <v>0</v>
      </c>
      <c r="F82" s="283"/>
    </row>
    <row r="84" spans="2:8" ht="15" customHeight="1">
      <c r="B84" s="79" t="s">
        <v>296</v>
      </c>
      <c r="C84" s="37"/>
      <c r="D84" s="37"/>
      <c r="E84" s="37"/>
      <c r="F84" s="37"/>
      <c r="G84" s="37"/>
      <c r="H84" s="37"/>
    </row>
    <row r="85" spans="2:8" ht="15" customHeight="1">
      <c r="B85" s="16" t="s">
        <v>297</v>
      </c>
      <c r="D85" s="270" t="s">
        <v>298</v>
      </c>
    </row>
    <row r="86" spans="2:8" ht="15" customHeight="1">
      <c r="B86" s="267" t="s">
        <v>294</v>
      </c>
      <c r="C86" s="188">
        <f>-Valuation_Model!C7*Exchange_Rate</f>
        <v>0</v>
      </c>
      <c r="D86" s="248">
        <f>C86*scaling_factor/Common_Shares</f>
        <v>0</v>
      </c>
      <c r="E86" s="269" t="str">
        <f>Market_currency</f>
        <v>CNY</v>
      </c>
    </row>
    <row r="87" spans="2:8" ht="15" customHeight="1">
      <c r="B87" s="267" t="s">
        <v>295</v>
      </c>
      <c r="C87" s="188">
        <f>Valuation_Model!C8*Exchange_Rate</f>
        <v>-262103.62831452704</v>
      </c>
      <c r="D87" s="248">
        <f>C87*scaling_factor/Common_Shares</f>
        <v>-2.1611169712168299</v>
      </c>
      <c r="E87" s="269" t="str">
        <f>Market_currency</f>
        <v>CNY</v>
      </c>
    </row>
    <row r="88" spans="2:8" ht="15" customHeight="1">
      <c r="B88" s="268" t="s">
        <v>190</v>
      </c>
      <c r="C88" s="188">
        <f>Valuation_Model!C9*Exchange_Rate</f>
        <v>0</v>
      </c>
      <c r="D88" s="248">
        <f>C88*scaling_factor/Common_Shares</f>
        <v>0</v>
      </c>
      <c r="E88" s="269" t="str">
        <f>Market_currency</f>
        <v>CNY</v>
      </c>
    </row>
    <row r="89" spans="2:8" ht="15" customHeight="1">
      <c r="B89" s="80" t="s">
        <v>299</v>
      </c>
      <c r="C89" s="187">
        <f>SUM(C86:C88)</f>
        <v>-262103.62831452704</v>
      </c>
      <c r="D89" s="271">
        <f>SUM(D86:D88)</f>
        <v>-2.1611169712168299</v>
      </c>
      <c r="E89" s="269"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3086457.25</v>
      </c>
      <c r="D4" s="57"/>
      <c r="E4" s="300"/>
      <c r="F4" s="57"/>
      <c r="G4" s="183">
        <f>Data!C36</f>
        <v>3074562</v>
      </c>
      <c r="H4" s="183">
        <f>Data!D36</f>
        <v>3212215</v>
      </c>
      <c r="I4" s="183">
        <f>Data!E36</f>
        <v>3318168</v>
      </c>
      <c r="J4" s="183">
        <f>Data!F36</f>
        <v>2740884</v>
      </c>
      <c r="K4" s="183">
        <f>Data!G36</f>
        <v>2105984</v>
      </c>
      <c r="L4" s="183">
        <f>Data!H36</f>
        <v>2966193</v>
      </c>
      <c r="M4" s="183">
        <f>Data!I36</f>
        <v>2891179</v>
      </c>
      <c r="N4" s="183">
        <f>Data!J36</f>
        <v>2360193</v>
      </c>
      <c r="O4" s="183">
        <f>Data!K36</f>
        <v>1930911</v>
      </c>
      <c r="P4" s="183">
        <f>Data!L36</f>
        <v>2018883</v>
      </c>
      <c r="Q4" s="183" t="str">
        <f>Data!M36</f>
        <v/>
      </c>
    </row>
    <row r="5" spans="1:17" ht="15.75" customHeight="1">
      <c r="A5" s="10"/>
      <c r="B5" s="2" t="s">
        <v>46</v>
      </c>
      <c r="C5" s="191">
        <f>C25</f>
        <v>-2642789.9502252117</v>
      </c>
      <c r="E5" s="302"/>
      <c r="G5" s="183">
        <f t="shared" ref="G5:Q5" si="1">G25</f>
        <v>-2660357</v>
      </c>
      <c r="H5" s="183">
        <f t="shared" si="1"/>
        <v>-2770820</v>
      </c>
      <c r="I5" s="183">
        <f t="shared" si="1"/>
        <v>-2877930</v>
      </c>
      <c r="J5" s="183">
        <f t="shared" si="1"/>
        <v>-2274442</v>
      </c>
      <c r="K5" s="183">
        <f t="shared" si="1"/>
        <v>-1752836</v>
      </c>
      <c r="L5" s="183">
        <f t="shared" si="1"/>
        <v>-2552368</v>
      </c>
      <c r="M5" s="183">
        <f t="shared" si="1"/>
        <v>-2460408</v>
      </c>
      <c r="N5" s="183">
        <f t="shared" si="1"/>
        <v>-1946453</v>
      </c>
      <c r="O5" s="183">
        <f t="shared" si="1"/>
        <v>-1541715</v>
      </c>
      <c r="P5" s="183">
        <f t="shared" si="1"/>
        <v>-1639643</v>
      </c>
      <c r="Q5" s="183" t="str">
        <f t="shared" si="1"/>
        <v/>
      </c>
    </row>
    <row r="6" spans="1:17" ht="15.75" customHeight="1">
      <c r="A6" s="10"/>
      <c r="B6" s="31" t="s">
        <v>48</v>
      </c>
      <c r="C6" s="184">
        <f>C4+C5</f>
        <v>443667.29977478832</v>
      </c>
      <c r="E6" s="302"/>
      <c r="G6" s="184">
        <f>IF(G4="","",G4+G5)</f>
        <v>414205</v>
      </c>
      <c r="H6" s="184">
        <f t="shared" ref="H6:Q6" si="2">IF(H4="","",H4+H5)</f>
        <v>441395</v>
      </c>
      <c r="I6" s="184">
        <f t="shared" si="2"/>
        <v>440238</v>
      </c>
      <c r="J6" s="184">
        <f t="shared" si="2"/>
        <v>466442</v>
      </c>
      <c r="K6" s="184">
        <f t="shared" si="2"/>
        <v>353148</v>
      </c>
      <c r="L6" s="184">
        <f t="shared" si="2"/>
        <v>413825</v>
      </c>
      <c r="M6" s="184">
        <f t="shared" si="2"/>
        <v>430771</v>
      </c>
      <c r="N6" s="184">
        <f t="shared" si="2"/>
        <v>413740</v>
      </c>
      <c r="O6" s="184">
        <f t="shared" si="2"/>
        <v>389196</v>
      </c>
      <c r="P6" s="184">
        <f t="shared" si="2"/>
        <v>379240</v>
      </c>
      <c r="Q6" s="184" t="str">
        <f t="shared" si="2"/>
        <v/>
      </c>
    </row>
    <row r="7" spans="1:17" ht="15.75" customHeight="1">
      <c r="A7" s="10"/>
      <c r="B7" s="8" t="s">
        <v>45</v>
      </c>
      <c r="C7" s="191">
        <f>C35</f>
        <v>-72716.5</v>
      </c>
      <c r="E7" s="302"/>
      <c r="G7" s="191">
        <f t="shared" ref="G7:Q7" si="3">G35</f>
        <v>-73236</v>
      </c>
      <c r="H7" s="191">
        <f t="shared" si="3"/>
        <v>-73633</v>
      </c>
      <c r="I7" s="191">
        <f t="shared" si="3"/>
        <v>-69981</v>
      </c>
      <c r="J7" s="191">
        <f t="shared" si="3"/>
        <v>-74016</v>
      </c>
      <c r="K7" s="191">
        <f t="shared" si="3"/>
        <v>-76377</v>
      </c>
      <c r="L7" s="191">
        <f t="shared" si="3"/>
        <v>-71507</v>
      </c>
      <c r="M7" s="191">
        <f t="shared" si="3"/>
        <v>-81346</v>
      </c>
      <c r="N7" s="191">
        <f t="shared" si="3"/>
        <v>-78928</v>
      </c>
      <c r="O7" s="191">
        <f t="shared" si="3"/>
        <v>-74155</v>
      </c>
      <c r="P7" s="191">
        <f t="shared" si="3"/>
        <v>-71881</v>
      </c>
      <c r="Q7" s="191" t="str">
        <f t="shared" si="3"/>
        <v/>
      </c>
    </row>
    <row r="8" spans="1:17" ht="15.75" customHeight="1">
      <c r="A8" s="10"/>
      <c r="B8" s="29" t="s">
        <v>153</v>
      </c>
      <c r="C8" s="192">
        <f>C6+C7</f>
        <v>370950.79977478832</v>
      </c>
      <c r="D8" s="59"/>
      <c r="E8" s="308"/>
      <c r="F8" s="59"/>
      <c r="G8" s="184">
        <f>IF(G$4="","",G6+G7)</f>
        <v>340969</v>
      </c>
      <c r="H8" s="184">
        <f t="shared" ref="H8:Q8" si="4">IF(H$4="","",H6+H7)</f>
        <v>367762</v>
      </c>
      <c r="I8" s="184">
        <f t="shared" si="4"/>
        <v>370257</v>
      </c>
      <c r="J8" s="184">
        <f t="shared" si="4"/>
        <v>392426</v>
      </c>
      <c r="K8" s="184">
        <f t="shared" si="4"/>
        <v>276771</v>
      </c>
      <c r="L8" s="184">
        <f t="shared" si="4"/>
        <v>342318</v>
      </c>
      <c r="M8" s="184">
        <f t="shared" si="4"/>
        <v>349425</v>
      </c>
      <c r="N8" s="184">
        <f t="shared" si="4"/>
        <v>334812</v>
      </c>
      <c r="O8" s="184">
        <f t="shared" si="4"/>
        <v>315041</v>
      </c>
      <c r="P8" s="184">
        <f t="shared" si="4"/>
        <v>307359</v>
      </c>
      <c r="Q8" s="184" t="str">
        <f t="shared" si="4"/>
        <v/>
      </c>
    </row>
    <row r="9" spans="1:17" ht="15.75" customHeight="1">
      <c r="A9" s="10"/>
      <c r="B9" s="2" t="s">
        <v>65</v>
      </c>
      <c r="C9" s="191">
        <f>BS!$G$39*BS!D58</f>
        <v>120714</v>
      </c>
      <c r="E9" s="302"/>
      <c r="G9" s="191">
        <f>IF(Data!C61="","",-Data!C61)</f>
        <v>120714</v>
      </c>
      <c r="H9" s="191">
        <f>IF(Data!D61="","",-Data!D61)</f>
        <v>113750</v>
      </c>
      <c r="I9" s="191">
        <f>IF(Data!E61="","",-Data!E61)</f>
        <v>109906</v>
      </c>
      <c r="J9" s="191">
        <f>IF(Data!F61="","",-Data!F61)</f>
        <v>115680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-120714</v>
      </c>
      <c r="E10" s="302"/>
      <c r="G10" s="191">
        <f>Data!C62</f>
        <v>-120714</v>
      </c>
      <c r="H10" s="191">
        <f>Data!D62</f>
        <v>-113750</v>
      </c>
      <c r="I10" s="191">
        <f>Data!E62</f>
        <v>-109906</v>
      </c>
      <c r="J10" s="191">
        <f>Data!F62</f>
        <v>-115680</v>
      </c>
      <c r="K10" s="191">
        <f>Data!G62</f>
        <v>0</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0</v>
      </c>
      <c r="E12" s="302"/>
      <c r="G12" s="191">
        <f>G50</f>
        <v>-18601</v>
      </c>
      <c r="H12" s="191">
        <f t="shared" ref="H12:Q12" si="6">H50</f>
        <v>-18069</v>
      </c>
      <c r="I12" s="191">
        <f t="shared" si="6"/>
        <v>-16769</v>
      </c>
      <c r="J12" s="191">
        <f t="shared" si="6"/>
        <v>-15018</v>
      </c>
      <c r="K12" s="191">
        <f t="shared" si="6"/>
        <v>0</v>
      </c>
      <c r="L12" s="191">
        <f t="shared" si="6"/>
        <v>0</v>
      </c>
      <c r="M12" s="191">
        <f t="shared" si="6"/>
        <v>0</v>
      </c>
      <c r="N12" s="191">
        <f t="shared" si="6"/>
        <v>0</v>
      </c>
      <c r="O12" s="191">
        <f t="shared" si="6"/>
        <v>0</v>
      </c>
      <c r="P12" s="191">
        <f t="shared" si="6"/>
        <v>0</v>
      </c>
      <c r="Q12" s="191" t="str">
        <f t="shared" si="6"/>
        <v/>
      </c>
    </row>
    <row r="13" spans="1:17" ht="15.75" customHeight="1">
      <c r="A13" s="10"/>
      <c r="B13" s="70" t="s">
        <v>165</v>
      </c>
      <c r="C13" s="184">
        <f>SUM(C8:C12)</f>
        <v>370950.79977478832</v>
      </c>
      <c r="E13" s="302"/>
      <c r="G13" s="184">
        <f>IF(G$4="","",SUM(G8:G12))</f>
        <v>322368</v>
      </c>
      <c r="H13" s="184">
        <f t="shared" ref="H13:Q13" si="7">IF(H$4="","",SUM(H8:H12))</f>
        <v>349693</v>
      </c>
      <c r="I13" s="184">
        <f t="shared" si="7"/>
        <v>353488</v>
      </c>
      <c r="J13" s="184">
        <f t="shared" si="7"/>
        <v>377408</v>
      </c>
      <c r="K13" s="184">
        <f t="shared" si="7"/>
        <v>276771</v>
      </c>
      <c r="L13" s="184">
        <f t="shared" si="7"/>
        <v>342318</v>
      </c>
      <c r="M13" s="184">
        <f t="shared" si="7"/>
        <v>349425</v>
      </c>
      <c r="N13" s="184">
        <f t="shared" si="7"/>
        <v>334812</v>
      </c>
      <c r="O13" s="184">
        <f t="shared" si="7"/>
        <v>315041</v>
      </c>
      <c r="P13" s="184">
        <f t="shared" si="7"/>
        <v>307359</v>
      </c>
      <c r="Q13" s="184" t="str">
        <f t="shared" si="7"/>
        <v/>
      </c>
    </row>
    <row r="14" spans="1:17" ht="15.75" customHeight="1">
      <c r="A14" s="10"/>
      <c r="B14" s="2" t="s">
        <v>63</v>
      </c>
      <c r="C14" s="191">
        <f>-SUM(C8+C11,C12)*C43</f>
        <v>-92737.69994369708</v>
      </c>
      <c r="E14" s="302"/>
      <c r="G14" s="191">
        <f>Data!C46</f>
        <v>-12966</v>
      </c>
      <c r="H14" s="191">
        <f>Data!D46</f>
        <v>-16070</v>
      </c>
      <c r="I14" s="191">
        <f>Data!E46</f>
        <v>-18757</v>
      </c>
      <c r="J14" s="191">
        <f>Data!F46</f>
        <v>-23318</v>
      </c>
      <c r="K14" s="191">
        <f>Data!G46</f>
        <v>-6219</v>
      </c>
      <c r="L14" s="191">
        <f>Data!H46</f>
        <v>-17894</v>
      </c>
      <c r="M14" s="191">
        <f>Data!I46</f>
        <v>-20213</v>
      </c>
      <c r="N14" s="191">
        <f>Data!J46</f>
        <v>-16279</v>
      </c>
      <c r="O14" s="191">
        <f>Data!K46</f>
        <v>-20707</v>
      </c>
      <c r="P14" s="191">
        <f>Data!L46</f>
        <v>-12613</v>
      </c>
      <c r="Q14" s="191" t="str">
        <f>Data!M46</f>
        <v/>
      </c>
    </row>
    <row r="15" spans="1:17" ht="15.75" customHeight="1">
      <c r="A15" s="10"/>
      <c r="B15" s="40" t="s">
        <v>244</v>
      </c>
      <c r="C15" s="191">
        <f>-C4*C83</f>
        <v>0</v>
      </c>
      <c r="D15" s="60"/>
      <c r="E15" s="309"/>
      <c r="F15" s="60"/>
      <c r="G15" s="183">
        <f>Data!C48</f>
        <v>-7234</v>
      </c>
      <c r="H15" s="183">
        <f>Data!D48</f>
        <v>-9583</v>
      </c>
      <c r="I15" s="183">
        <f>Data!E48</f>
        <v>-9456</v>
      </c>
      <c r="J15" s="183">
        <f>Data!F48</f>
        <v>-13822</v>
      </c>
      <c r="K15" s="183">
        <f>Data!G48</f>
        <v>-8826</v>
      </c>
      <c r="L15" s="183">
        <f>Data!H48</f>
        <v>-14531</v>
      </c>
      <c r="M15" s="183">
        <f>Data!I48</f>
        <v>-17200</v>
      </c>
      <c r="N15" s="183">
        <f>Data!J48</f>
        <v>-19175</v>
      </c>
      <c r="O15" s="183">
        <f>Data!K48</f>
        <v>-12754</v>
      </c>
      <c r="P15" s="183">
        <f>Data!L48</f>
        <v>-11139</v>
      </c>
      <c r="Q15" s="183" t="str">
        <f>Data!M48</f>
        <v/>
      </c>
    </row>
    <row r="16" spans="1:17" ht="15.75" customHeight="1">
      <c r="A16" s="10"/>
      <c r="B16" s="41" t="s">
        <v>155</v>
      </c>
      <c r="C16" s="194">
        <f>SUM(C13:C15)</f>
        <v>278213.09983109124</v>
      </c>
      <c r="D16" s="61"/>
      <c r="E16" s="310"/>
      <c r="F16" s="61"/>
      <c r="G16" s="184">
        <f>IF(G$4="","",SUM(G13:G15))</f>
        <v>302168</v>
      </c>
      <c r="H16" s="184">
        <f t="shared" ref="H16:Q16" si="8">IF(H$4="","",SUM(H13:H15))</f>
        <v>324040</v>
      </c>
      <c r="I16" s="184">
        <f t="shared" si="8"/>
        <v>325275</v>
      </c>
      <c r="J16" s="184">
        <f t="shared" si="8"/>
        <v>340268</v>
      </c>
      <c r="K16" s="184">
        <f t="shared" si="8"/>
        <v>261726</v>
      </c>
      <c r="L16" s="184">
        <f t="shared" si="8"/>
        <v>309893</v>
      </c>
      <c r="M16" s="184">
        <f t="shared" si="8"/>
        <v>312012</v>
      </c>
      <c r="N16" s="184">
        <f t="shared" si="8"/>
        <v>299358</v>
      </c>
      <c r="O16" s="184">
        <f t="shared" si="8"/>
        <v>281580</v>
      </c>
      <c r="P16" s="184">
        <f t="shared" si="8"/>
        <v>283607</v>
      </c>
      <c r="Q16" s="184" t="str">
        <f t="shared" si="8"/>
        <v/>
      </c>
    </row>
    <row r="17" spans="1:17" ht="15.75" customHeight="1">
      <c r="A17" s="10"/>
      <c r="B17" s="27" t="s">
        <v>52</v>
      </c>
      <c r="C17" s="191">
        <f>-C4*C85</f>
        <v>0</v>
      </c>
      <c r="D17" s="58"/>
      <c r="E17" s="301" t="s">
        <v>341</v>
      </c>
      <c r="F17" s="58"/>
      <c r="G17" s="195"/>
      <c r="H17" s="195"/>
      <c r="I17" s="195"/>
      <c r="J17" s="195"/>
      <c r="K17" s="195"/>
      <c r="L17" s="195"/>
      <c r="M17" s="195"/>
      <c r="N17" s="195"/>
      <c r="O17" s="195"/>
      <c r="P17" s="195"/>
      <c r="Q17" s="195"/>
    </row>
    <row r="18" spans="1:17" ht="15.75" customHeight="1">
      <c r="A18" s="10"/>
      <c r="B18" s="27" t="s">
        <v>99</v>
      </c>
      <c r="C18" s="191">
        <v>0</v>
      </c>
      <c r="D18" s="58"/>
      <c r="E18" s="301" t="s">
        <v>342</v>
      </c>
      <c r="F18" s="58"/>
      <c r="G18" s="196"/>
      <c r="H18" s="196"/>
      <c r="I18" s="196"/>
      <c r="J18" s="196"/>
      <c r="K18" s="196"/>
      <c r="L18" s="196"/>
      <c r="M18" s="196"/>
      <c r="N18" s="196"/>
      <c r="O18" s="196"/>
      <c r="P18" s="196"/>
      <c r="Q18" s="196"/>
    </row>
    <row r="19" spans="1:17" ht="15.75" customHeight="1">
      <c r="A19" s="10"/>
      <c r="B19" s="31" t="s">
        <v>66</v>
      </c>
      <c r="C19" s="184">
        <f>C16+C17</f>
        <v>278213.09983109124</v>
      </c>
      <c r="D19" s="27"/>
      <c r="E19" s="299"/>
      <c r="F19" s="27"/>
      <c r="G19" s="186">
        <f>IF(G$4="","",G16+G17)</f>
        <v>302168</v>
      </c>
      <c r="H19" s="186">
        <f t="shared" ref="H19:Q19" si="9">IF(H$4="","",H16+H17)</f>
        <v>324040</v>
      </c>
      <c r="I19" s="186">
        <f t="shared" si="9"/>
        <v>325275</v>
      </c>
      <c r="J19" s="186">
        <f t="shared" si="9"/>
        <v>340268</v>
      </c>
      <c r="K19" s="186">
        <f t="shared" si="9"/>
        <v>261726</v>
      </c>
      <c r="L19" s="186">
        <f t="shared" si="9"/>
        <v>309893</v>
      </c>
      <c r="M19" s="186">
        <f t="shared" si="9"/>
        <v>312012</v>
      </c>
      <c r="N19" s="186">
        <f t="shared" si="9"/>
        <v>299358</v>
      </c>
      <c r="O19" s="186">
        <f t="shared" si="9"/>
        <v>281580</v>
      </c>
      <c r="P19" s="186">
        <f t="shared" si="9"/>
        <v>283607</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-2582765.8903351119</v>
      </c>
      <c r="D23" s="58"/>
      <c r="E23" s="301"/>
      <c r="F23" s="58"/>
      <c r="G23" s="183">
        <f>Data!C37</f>
        <v>-2598935</v>
      </c>
      <c r="H23" s="183">
        <f>Data!D37</f>
        <v>-2709656</v>
      </c>
      <c r="I23" s="183">
        <f>Data!E37</f>
        <v>-2819363</v>
      </c>
      <c r="J23" s="183">
        <f>Data!F37</f>
        <v>-2216551</v>
      </c>
      <c r="K23" s="183">
        <f>Data!G37</f>
        <v>-1688398</v>
      </c>
      <c r="L23" s="183">
        <f>Data!H37</f>
        <v>-2488852</v>
      </c>
      <c r="M23" s="183">
        <f>Data!I37</f>
        <v>-2401012</v>
      </c>
      <c r="N23" s="183">
        <f>Data!J37</f>
        <v>-1890398</v>
      </c>
      <c r="O23" s="183">
        <f>Data!K37</f>
        <v>-1492165</v>
      </c>
      <c r="P23" s="183">
        <f>Data!L37</f>
        <v>-1592771</v>
      </c>
      <c r="Q23" s="183" t="str">
        <f>Data!M37</f>
        <v/>
      </c>
    </row>
    <row r="24" spans="1:17" ht="15.75" customHeight="1">
      <c r="A24" s="10"/>
      <c r="B24" s="68" t="s">
        <v>62</v>
      </c>
      <c r="C24" s="191">
        <f>-C4*C29</f>
        <v>-60024.059890100034</v>
      </c>
      <c r="D24" s="27"/>
      <c r="E24" s="299"/>
      <c r="F24" s="27"/>
      <c r="G24" s="183">
        <f>Data!C40</f>
        <v>-61422</v>
      </c>
      <c r="H24" s="183">
        <f>Data!D40</f>
        <v>-61164</v>
      </c>
      <c r="I24" s="183">
        <f>Data!E40</f>
        <v>-58567</v>
      </c>
      <c r="J24" s="183">
        <f>Data!F40</f>
        <v>-57891</v>
      </c>
      <c r="K24" s="183">
        <f>Data!G40</f>
        <v>-64438</v>
      </c>
      <c r="L24" s="183">
        <f>Data!H40</f>
        <v>-63516</v>
      </c>
      <c r="M24" s="183">
        <f>Data!I40</f>
        <v>-59396</v>
      </c>
      <c r="N24" s="183">
        <f>Data!J40</f>
        <v>-56055</v>
      </c>
      <c r="O24" s="183">
        <f>Data!K40</f>
        <v>-49550</v>
      </c>
      <c r="P24" s="183">
        <f>Data!L40</f>
        <v>-46872</v>
      </c>
      <c r="Q24" s="183" t="str">
        <f>Data!M40</f>
        <v/>
      </c>
    </row>
    <row r="25" spans="1:17" ht="15.75" customHeight="1">
      <c r="A25" s="10"/>
      <c r="B25" s="70" t="s">
        <v>46</v>
      </c>
      <c r="C25" s="184">
        <f>C23+C24</f>
        <v>-2642789.9502252117</v>
      </c>
      <c r="D25" s="9"/>
      <c r="E25" s="307"/>
      <c r="F25" s="9"/>
      <c r="G25" s="184">
        <f t="shared" ref="G25:Q25" si="10">IF(G$4="","",G23+G24)</f>
        <v>-2660357</v>
      </c>
      <c r="H25" s="184">
        <f t="shared" si="10"/>
        <v>-2770820</v>
      </c>
      <c r="I25" s="184">
        <f t="shared" si="10"/>
        <v>-2877930</v>
      </c>
      <c r="J25" s="184">
        <f t="shared" si="10"/>
        <v>-2274442</v>
      </c>
      <c r="K25" s="184">
        <f t="shared" si="10"/>
        <v>-1752836</v>
      </c>
      <c r="L25" s="184">
        <f t="shared" si="10"/>
        <v>-2552368</v>
      </c>
      <c r="M25" s="184">
        <f t="shared" si="10"/>
        <v>-2460408</v>
      </c>
      <c r="N25" s="184">
        <f t="shared" si="10"/>
        <v>-1946453</v>
      </c>
      <c r="O25" s="184">
        <f t="shared" si="10"/>
        <v>-1541715</v>
      </c>
      <c r="P25" s="184">
        <f t="shared" si="10"/>
        <v>-1639643</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0.83680598211269952</v>
      </c>
      <c r="D28" s="26"/>
      <c r="E28" s="300" t="s">
        <v>343</v>
      </c>
      <c r="F28" s="26"/>
      <c r="G28" s="13">
        <f t="shared" ref="G28:Q28" si="11">IF(G$4="","",ABS(G23/G$4))</f>
        <v>0.84530251788710065</v>
      </c>
      <c r="H28" s="13">
        <f t="shared" si="11"/>
        <v>0.84354752094738361</v>
      </c>
      <c r="I28" s="13">
        <f t="shared" si="11"/>
        <v>0.84967457946674185</v>
      </c>
      <c r="J28" s="13">
        <f t="shared" si="11"/>
        <v>0.80869931014957219</v>
      </c>
      <c r="K28" s="13">
        <f t="shared" si="11"/>
        <v>0.80171454294049715</v>
      </c>
      <c r="L28" s="13">
        <f t="shared" si="11"/>
        <v>0.83907284522618719</v>
      </c>
      <c r="M28" s="13">
        <f t="shared" si="11"/>
        <v>0.83046120631064346</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AVERAGE(G29:J29)</f>
        <v>1.9447559135996467E-2</v>
      </c>
      <c r="D29" s="26"/>
      <c r="E29" s="300" t="s">
        <v>343</v>
      </c>
      <c r="F29" s="26"/>
      <c r="G29" s="13">
        <f t="shared" ref="G29:Q29" si="12">IF(G$4="","",ABS(G24/G$4))</f>
        <v>1.9977479719062424E-2</v>
      </c>
      <c r="H29" s="13">
        <f t="shared" si="12"/>
        <v>1.9041066678288969E-2</v>
      </c>
      <c r="I29" s="13">
        <f t="shared" si="12"/>
        <v>1.7650402270168359E-2</v>
      </c>
      <c r="J29" s="13">
        <f t="shared" si="12"/>
        <v>2.1121287876466131E-2</v>
      </c>
      <c r="K29" s="13">
        <f t="shared" si="12"/>
        <v>3.0597573390870967E-2</v>
      </c>
      <c r="L29" s="13">
        <f t="shared" si="12"/>
        <v>2.1413306551529183E-2</v>
      </c>
      <c r="M29" s="13">
        <f t="shared" si="12"/>
        <v>2.0543868089800042E-2</v>
      </c>
      <c r="N29" s="13">
        <f t="shared" si="12"/>
        <v>2.3750176362695764E-2</v>
      </c>
      <c r="O29" s="13">
        <f t="shared" si="12"/>
        <v>2.5661462387443025E-2</v>
      </c>
      <c r="P29" s="13">
        <f t="shared" si="12"/>
        <v>2.3216798596055344E-2</v>
      </c>
      <c r="Q29" s="13" t="str">
        <f t="shared" si="12"/>
        <v/>
      </c>
    </row>
    <row r="30" spans="1:17" ht="15.75" customHeight="1">
      <c r="A30" s="10"/>
      <c r="B30" s="70" t="s">
        <v>46</v>
      </c>
      <c r="C30" s="71">
        <f>ABS(C25/$C$4)</f>
        <v>0.8562535412486959</v>
      </c>
      <c r="E30" s="302"/>
      <c r="G30" s="30">
        <f t="shared" ref="G30:Q30" si="13">IF(G$4="","",ABS(G25/G$4))</f>
        <v>0.86527999760616314</v>
      </c>
      <c r="H30" s="30">
        <f t="shared" si="13"/>
        <v>0.86258858762567259</v>
      </c>
      <c r="I30" s="30">
        <f t="shared" si="13"/>
        <v>0.86732498173691019</v>
      </c>
      <c r="J30" s="30">
        <f t="shared" si="13"/>
        <v>0.82982059802603836</v>
      </c>
      <c r="K30" s="30">
        <f t="shared" si="13"/>
        <v>0.83231211633136815</v>
      </c>
      <c r="L30" s="30">
        <f t="shared" si="13"/>
        <v>0.86048615177771637</v>
      </c>
      <c r="M30" s="30">
        <f t="shared" si="13"/>
        <v>0.8510050744004436</v>
      </c>
      <c r="N30" s="30">
        <f t="shared" si="13"/>
        <v>0.82470077658903318</v>
      </c>
      <c r="O30" s="30">
        <f t="shared" si="13"/>
        <v>0.79843918233414179</v>
      </c>
      <c r="P30" s="30">
        <f t="shared" si="13"/>
        <v>0.8121535522365585</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-59357</v>
      </c>
      <c r="E33" s="300" t="s">
        <v>343</v>
      </c>
      <c r="G33" s="191">
        <f>Data!C41</f>
        <v>-58021</v>
      </c>
      <c r="H33" s="191">
        <f>Data!D41</f>
        <v>-59664</v>
      </c>
      <c r="I33" s="191">
        <f>Data!E41</f>
        <v>-57208</v>
      </c>
      <c r="J33" s="191">
        <f>Data!F41</f>
        <v>-62535</v>
      </c>
      <c r="K33" s="191">
        <f>Data!G41</f>
        <v>-66291</v>
      </c>
      <c r="L33" s="191">
        <f>Data!H41</f>
        <v>-62112</v>
      </c>
      <c r="M33" s="191">
        <f>Data!I41</f>
        <v>-73390</v>
      </c>
      <c r="N33" s="191">
        <f>Data!J41</f>
        <v>-78928</v>
      </c>
      <c r="O33" s="191">
        <f>Data!K41</f>
        <v>-74155</v>
      </c>
      <c r="P33" s="191">
        <f>Data!L41</f>
        <v>-71881</v>
      </c>
      <c r="Q33" s="191" t="str">
        <f>Data!M41</f>
        <v/>
      </c>
    </row>
    <row r="34" spans="1:17" ht="15.75" customHeight="1">
      <c r="A34" s="10"/>
      <c r="B34" s="27" t="s">
        <v>49</v>
      </c>
      <c r="C34" s="198">
        <f>AVERAGE(G34:J34)</f>
        <v>-13359.5</v>
      </c>
      <c r="D34" s="58"/>
      <c r="E34" s="300" t="s">
        <v>343</v>
      </c>
      <c r="F34" s="58"/>
      <c r="G34" s="183">
        <f>Data!C42</f>
        <v>-15215</v>
      </c>
      <c r="H34" s="183">
        <f>Data!D42</f>
        <v>-13969</v>
      </c>
      <c r="I34" s="183">
        <f>Data!E42</f>
        <v>-12773</v>
      </c>
      <c r="J34" s="183">
        <f>Data!F42</f>
        <v>-11481</v>
      </c>
      <c r="K34" s="183">
        <f>Data!G42</f>
        <v>-10086</v>
      </c>
      <c r="L34" s="183">
        <f>Data!H42</f>
        <v>-9395</v>
      </c>
      <c r="M34" s="183">
        <f>Data!I42</f>
        <v>-7956</v>
      </c>
      <c r="N34" s="183">
        <f>Data!J42</f>
        <v>0</v>
      </c>
      <c r="O34" s="183">
        <f>Data!K42</f>
        <v>0</v>
      </c>
      <c r="P34" s="183">
        <f>Data!L42</f>
        <v>0</v>
      </c>
      <c r="Q34" s="183" t="str">
        <f>Data!M42</f>
        <v/>
      </c>
    </row>
    <row r="35" spans="1:17" ht="15.75" customHeight="1">
      <c r="A35" s="10"/>
      <c r="B35" s="70" t="s">
        <v>45</v>
      </c>
      <c r="C35" s="184">
        <f>C33+C34</f>
        <v>-72716.5</v>
      </c>
      <c r="D35" s="58"/>
      <c r="E35" s="301"/>
      <c r="F35" s="58"/>
      <c r="G35" s="184">
        <f t="shared" ref="G35:Q35" si="14">IF(G4="","",G33+G34)</f>
        <v>-73236</v>
      </c>
      <c r="H35" s="184">
        <f t="shared" si="14"/>
        <v>-73633</v>
      </c>
      <c r="I35" s="184">
        <f t="shared" si="14"/>
        <v>-69981</v>
      </c>
      <c r="J35" s="184">
        <f t="shared" si="14"/>
        <v>-74016</v>
      </c>
      <c r="K35" s="184">
        <f t="shared" si="14"/>
        <v>-76377</v>
      </c>
      <c r="L35" s="184">
        <f t="shared" si="14"/>
        <v>-71507</v>
      </c>
      <c r="M35" s="184">
        <f t="shared" si="14"/>
        <v>-81346</v>
      </c>
      <c r="N35" s="184">
        <f t="shared" si="14"/>
        <v>-78928</v>
      </c>
      <c r="O35" s="184">
        <f t="shared" si="14"/>
        <v>-74155</v>
      </c>
      <c r="P35" s="184">
        <f t="shared" si="14"/>
        <v>-71881</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1.9231434357303994E-2</v>
      </c>
      <c r="D38" s="27"/>
      <c r="E38" s="299"/>
      <c r="F38" s="27"/>
      <c r="G38" s="13">
        <f t="shared" ref="G38:Q38" si="15">IF(G$4="","",ABS(G33/G$4))</f>
        <v>1.8871305896579739E-2</v>
      </c>
      <c r="H38" s="13">
        <f t="shared" si="15"/>
        <v>1.8574099180783354E-2</v>
      </c>
      <c r="I38" s="13">
        <f t="shared" si="15"/>
        <v>1.7240838920753863E-2</v>
      </c>
      <c r="J38" s="13">
        <f t="shared" si="15"/>
        <v>2.281563174508662E-2</v>
      </c>
      <c r="K38" s="13">
        <f t="shared" si="15"/>
        <v>3.1477447122105394E-2</v>
      </c>
      <c r="L38" s="13">
        <f t="shared" si="15"/>
        <v>2.0939972550673539E-2</v>
      </c>
      <c r="M38" s="13">
        <f t="shared" si="15"/>
        <v>2.5384108005765123E-2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4.3284254139596455E-3</v>
      </c>
      <c r="D39" s="27"/>
      <c r="E39" s="299"/>
      <c r="F39" s="27"/>
      <c r="G39" s="13">
        <f t="shared" ref="G39:Q39" si="16">IF(G$4="","",ABS(G34/G$4))</f>
        <v>4.948672363738315E-3</v>
      </c>
      <c r="H39" s="13">
        <f t="shared" si="16"/>
        <v>4.3487126484372937E-3</v>
      </c>
      <c r="I39" s="13">
        <f t="shared" si="16"/>
        <v>3.8494132907074025E-3</v>
      </c>
      <c r="J39" s="13">
        <f t="shared" si="16"/>
        <v>4.1887945640895416E-3</v>
      </c>
      <c r="K39" s="13">
        <f t="shared" si="16"/>
        <v>4.7892101744362731E-3</v>
      </c>
      <c r="L39" s="13">
        <f t="shared" si="16"/>
        <v>3.1673596424777483E-3</v>
      </c>
      <c r="M39" s="13">
        <f t="shared" si="16"/>
        <v>2.7518185487650539E-3</v>
      </c>
      <c r="N39" s="13">
        <f t="shared" si="16"/>
        <v>0</v>
      </c>
      <c r="O39" s="13">
        <f t="shared" si="16"/>
        <v>0</v>
      </c>
      <c r="P39" s="13">
        <f t="shared" si="16"/>
        <v>0</v>
      </c>
      <c r="Q39" s="13" t="str">
        <f t="shared" si="16"/>
        <v/>
      </c>
    </row>
    <row r="40" spans="1:17" ht="15.75" customHeight="1">
      <c r="A40" s="10"/>
      <c r="B40" s="70" t="s">
        <v>45</v>
      </c>
      <c r="C40" s="71">
        <f>ABS(C35/$C$4)</f>
        <v>2.3559859771263639E-2</v>
      </c>
      <c r="E40" s="302"/>
      <c r="G40" s="30">
        <f t="shared" ref="G40:Q40" si="17">IF(G$4="","",ABS(G35/G$4))</f>
        <v>2.3819978260318054E-2</v>
      </c>
      <c r="H40" s="30">
        <f t="shared" si="17"/>
        <v>2.2922811829220648E-2</v>
      </c>
      <c r="I40" s="30">
        <f t="shared" si="17"/>
        <v>2.1090252211461265E-2</v>
      </c>
      <c r="J40" s="30">
        <f t="shared" si="17"/>
        <v>2.7004426309176162E-2</v>
      </c>
      <c r="K40" s="30">
        <f t="shared" si="17"/>
        <v>3.6266657296541667E-2</v>
      </c>
      <c r="L40" s="30">
        <f t="shared" si="17"/>
        <v>2.4107332193151289E-2</v>
      </c>
      <c r="M40" s="30">
        <f t="shared" si="17"/>
        <v>2.8135926554530177E-2</v>
      </c>
      <c r="N40" s="30">
        <f t="shared" si="17"/>
        <v>3.3441332975735462E-2</v>
      </c>
      <c r="O40" s="30">
        <f t="shared" si="17"/>
        <v>3.8404152236949297E-2</v>
      </c>
      <c r="P40" s="30">
        <f t="shared" si="17"/>
        <v>3.5604341608701448E-2</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344</v>
      </c>
      <c r="F43" s="27"/>
      <c r="G43" s="6">
        <f t="shared" ref="G43:Q43" si="18">IF(G$4="","",-G14/SUM(G8+G11,G12))</f>
        <v>4.0221113758189396E-2</v>
      </c>
      <c r="H43" s="6">
        <f t="shared" si="18"/>
        <v>4.5954594458567942E-2</v>
      </c>
      <c r="I43" s="6">
        <f t="shared" si="18"/>
        <v>5.3062621644864888E-2</v>
      </c>
      <c r="J43" s="6">
        <f t="shared" si="18"/>
        <v>6.1784593861285396E-2</v>
      </c>
      <c r="K43" s="6">
        <f t="shared" si="18"/>
        <v>2.2469839686961424E-2</v>
      </c>
      <c r="L43" s="6">
        <f t="shared" si="18"/>
        <v>5.2273032677218258E-2</v>
      </c>
      <c r="M43" s="6">
        <f t="shared" si="18"/>
        <v>5.7846462044787869E-2</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0</v>
      </c>
      <c r="E47" s="302"/>
      <c r="G47" s="191">
        <f>Data!C51</f>
        <v>-18601</v>
      </c>
      <c r="H47" s="191">
        <f>Data!D51</f>
        <v>-18069</v>
      </c>
      <c r="I47" s="191">
        <f>Data!E51</f>
        <v>-16769</v>
      </c>
      <c r="J47" s="191">
        <f>Data!F51</f>
        <v>-15018</v>
      </c>
      <c r="K47" s="191">
        <f>Data!G51</f>
        <v>0</v>
      </c>
      <c r="L47" s="191">
        <f>Data!H51</f>
        <v>0</v>
      </c>
      <c r="M47" s="191">
        <f>Data!I51</f>
        <v>0</v>
      </c>
      <c r="N47" s="191">
        <f>Data!J51</f>
        <v>0</v>
      </c>
      <c r="O47" s="191">
        <f>Data!K51</f>
        <v>0</v>
      </c>
      <c r="P47" s="191">
        <f>Data!L51</f>
        <v>0</v>
      </c>
      <c r="Q47" s="191" t="str">
        <f>Data!M51</f>
        <v/>
      </c>
    </row>
    <row r="48" spans="1:17" ht="15.75" customHeight="1">
      <c r="A48" s="10"/>
      <c r="B48" s="2" t="s">
        <v>355</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352</v>
      </c>
      <c r="C49" s="324">
        <f>BS!$C$66*C53</f>
        <v>0</v>
      </c>
      <c r="D49" s="325"/>
      <c r="E49" s="326"/>
      <c r="F49" s="325"/>
      <c r="G49" s="324">
        <f>Data!C52</f>
        <v>5935</v>
      </c>
      <c r="H49" s="324">
        <f>Data!D52</f>
        <v>6828</v>
      </c>
      <c r="I49" s="324">
        <f>Data!E52</f>
        <v>6266</v>
      </c>
      <c r="J49" s="324">
        <f>Data!F52</f>
        <v>5732</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0</v>
      </c>
      <c r="E50" s="302"/>
      <c r="G50" s="184">
        <f>IF(G$4="","",(G47+G48))</f>
        <v>-18601</v>
      </c>
      <c r="H50" s="184">
        <f t="shared" ref="H50:Q50" si="20">IF(H$4="","",(H47+H48))</f>
        <v>-18069</v>
      </c>
      <c r="I50" s="184">
        <f t="shared" si="20"/>
        <v>-16769</v>
      </c>
      <c r="J50" s="184">
        <f t="shared" si="20"/>
        <v>-15018</v>
      </c>
      <c r="K50" s="184">
        <f t="shared" si="20"/>
        <v>0</v>
      </c>
      <c r="L50" s="184">
        <f t="shared" si="20"/>
        <v>0</v>
      </c>
      <c r="M50" s="184">
        <f t="shared" si="20"/>
        <v>0</v>
      </c>
      <c r="N50" s="184">
        <f t="shared" si="20"/>
        <v>0</v>
      </c>
      <c r="O50" s="184">
        <f t="shared" si="20"/>
        <v>0</v>
      </c>
      <c r="P50" s="184">
        <f t="shared" si="20"/>
        <v>0</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v>0</v>
      </c>
      <c r="E53" s="299" t="s">
        <v>345</v>
      </c>
      <c r="G53" s="6">
        <f>IF(Normalized_FCF!G4="","",Normalized_FCF!G49/BS!$C$66)</f>
        <v>5935</v>
      </c>
      <c r="H53" s="170"/>
      <c r="I53" s="170"/>
      <c r="J53" s="170"/>
      <c r="K53" s="170"/>
      <c r="L53" s="170"/>
      <c r="M53" s="170"/>
      <c r="N53" s="170"/>
      <c r="O53" s="170"/>
      <c r="P53" s="170"/>
      <c r="Q53" s="170"/>
    </row>
    <row r="54" spans="1:17" ht="15.75" customHeight="1">
      <c r="A54" s="10"/>
      <c r="B54" s="8" t="s">
        <v>88</v>
      </c>
      <c r="C54" s="82">
        <f>G54</f>
        <v>0</v>
      </c>
      <c r="E54" s="299" t="s">
        <v>346</v>
      </c>
      <c r="G54" s="23">
        <f>IFERROR(ABS(Normalized_FCF!G47/BS!$G$31),0)</f>
        <v>0</v>
      </c>
      <c r="H54" s="170"/>
      <c r="I54" s="170"/>
      <c r="J54" s="170"/>
      <c r="K54" s="170"/>
      <c r="L54" s="170"/>
      <c r="M54" s="170"/>
      <c r="N54" s="170"/>
      <c r="O54" s="170"/>
      <c r="P54" s="170"/>
      <c r="Q54" s="170"/>
    </row>
    <row r="55" spans="1:17" ht="15.75" customHeight="1">
      <c r="A55" s="10"/>
      <c r="B55" s="26" t="s">
        <v>91</v>
      </c>
      <c r="C55" s="42" t="e">
        <f>-C8/C47</f>
        <v>#DIV/0!</v>
      </c>
      <c r="E55" s="302"/>
      <c r="G55" s="42">
        <f t="shared" ref="G55:Q55" si="21">IF(G4="","",-G8/G47)</f>
        <v>18.330681146174935</v>
      </c>
      <c r="H55" s="42">
        <f t="shared" si="21"/>
        <v>20.353201616027452</v>
      </c>
      <c r="I55" s="42">
        <f t="shared" si="21"/>
        <v>22.079849722702605</v>
      </c>
      <c r="J55" s="42">
        <f t="shared" si="21"/>
        <v>26.130376881076042</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347</v>
      </c>
      <c r="G62" s="191">
        <f>Data!C58</f>
        <v>-257790</v>
      </c>
      <c r="H62" s="191">
        <f>Data!D58</f>
        <v>-270405</v>
      </c>
      <c r="I62" s="191">
        <f>Data!E58</f>
        <v>-265239</v>
      </c>
      <c r="J62" s="191">
        <f>Data!F58</f>
        <v>-274792</v>
      </c>
      <c r="K62" s="191">
        <f>Data!G58</f>
        <v>-228802</v>
      </c>
      <c r="L62" s="191">
        <f>Data!H58</f>
        <v>-252302</v>
      </c>
      <c r="M62" s="191">
        <f>Data!I58</f>
        <v>-248923</v>
      </c>
      <c r="N62" s="191">
        <f>Data!J58</f>
        <v>-248239</v>
      </c>
      <c r="O62" s="191">
        <f>Data!K58</f>
        <v>-235164</v>
      </c>
      <c r="P62" s="191">
        <f>Data!L58</f>
        <v>-251400</v>
      </c>
      <c r="Q62" s="191" t="str">
        <f>Data!M58</f>
        <v/>
      </c>
    </row>
    <row r="63" spans="1:17" ht="15.75" customHeight="1">
      <c r="A63" s="10"/>
      <c r="B63" s="31" t="s">
        <v>196</v>
      </c>
      <c r="C63" s="184">
        <f>C61+C62</f>
        <v>0</v>
      </c>
      <c r="E63" s="302"/>
      <c r="G63" s="184">
        <f t="shared" ref="G63:Q63" si="23">IF(G4="","",G61+G62)</f>
        <v>-257790</v>
      </c>
      <c r="H63" s="184">
        <f t="shared" si="23"/>
        <v>-270405</v>
      </c>
      <c r="I63" s="184">
        <f t="shared" si="23"/>
        <v>-265239</v>
      </c>
      <c r="J63" s="184">
        <f t="shared" si="23"/>
        <v>-274792</v>
      </c>
      <c r="K63" s="184">
        <f t="shared" si="23"/>
        <v>-228802</v>
      </c>
      <c r="L63" s="184">
        <f t="shared" si="23"/>
        <v>-252302</v>
      </c>
      <c r="M63" s="184">
        <f t="shared" si="23"/>
        <v>-248923</v>
      </c>
      <c r="N63" s="184">
        <f t="shared" si="23"/>
        <v>-248239</v>
      </c>
      <c r="O63" s="184">
        <f t="shared" si="23"/>
        <v>-235164</v>
      </c>
      <c r="P63" s="184">
        <f t="shared" si="23"/>
        <v>-251400</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59</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0.8562535412486959</v>
      </c>
      <c r="D73" s="27"/>
      <c r="E73" s="299"/>
      <c r="F73" s="27"/>
      <c r="G73" s="6">
        <f t="shared" ref="G73:Q73" si="24">IF(G$4="","",ABS(G5/G$4))</f>
        <v>0.86527999760616314</v>
      </c>
      <c r="H73" s="6">
        <f t="shared" si="24"/>
        <v>0.86258858762567259</v>
      </c>
      <c r="I73" s="6">
        <f t="shared" si="24"/>
        <v>0.86732498173691019</v>
      </c>
      <c r="J73" s="6">
        <f t="shared" si="24"/>
        <v>0.82982059802603836</v>
      </c>
      <c r="K73" s="6">
        <f t="shared" si="24"/>
        <v>0.83231211633136815</v>
      </c>
      <c r="L73" s="6">
        <f t="shared" si="24"/>
        <v>0.86048615177771637</v>
      </c>
      <c r="M73" s="6">
        <f t="shared" si="24"/>
        <v>0.8510050744004436</v>
      </c>
      <c r="N73" s="6">
        <f t="shared" si="24"/>
        <v>0.82470077658903318</v>
      </c>
      <c r="O73" s="6">
        <f t="shared" si="24"/>
        <v>0.79843918233414179</v>
      </c>
      <c r="P73" s="6">
        <f t="shared" si="24"/>
        <v>0.8121535522365585</v>
      </c>
      <c r="Q73" s="6" t="str">
        <f t="shared" si="24"/>
        <v/>
      </c>
    </row>
    <row r="74" spans="1:17" ht="15.75" customHeight="1">
      <c r="A74" s="10"/>
      <c r="B74" s="31" t="s">
        <v>48</v>
      </c>
      <c r="C74" s="78">
        <f>ABS(C6/C$4)</f>
        <v>0.14374645875130404</v>
      </c>
      <c r="D74" s="27"/>
      <c r="E74" s="299"/>
      <c r="F74" s="27"/>
      <c r="G74" s="65">
        <f t="shared" ref="G74:Q74" si="25">IF(G$4="","",ABS(G6/G$4))</f>
        <v>0.13472000239383691</v>
      </c>
      <c r="H74" s="65">
        <f t="shared" si="25"/>
        <v>0.13741141237432739</v>
      </c>
      <c r="I74" s="65">
        <f t="shared" si="25"/>
        <v>0.13267501826308975</v>
      </c>
      <c r="J74" s="65">
        <f t="shared" si="25"/>
        <v>0.1701794019739617</v>
      </c>
      <c r="K74" s="65">
        <f t="shared" si="25"/>
        <v>0.16768788366863185</v>
      </c>
      <c r="L74" s="65">
        <f t="shared" si="25"/>
        <v>0.13951384822228358</v>
      </c>
      <c r="M74" s="65">
        <f t="shared" si="25"/>
        <v>0.14899492559955643</v>
      </c>
      <c r="N74" s="65">
        <f t="shared" si="25"/>
        <v>0.17529922341096682</v>
      </c>
      <c r="O74" s="65">
        <f t="shared" si="25"/>
        <v>0.20156081766585823</v>
      </c>
      <c r="P74" s="65">
        <f t="shared" si="25"/>
        <v>0.18784644776344148</v>
      </c>
      <c r="Q74" s="65" t="str">
        <f t="shared" si="25"/>
        <v/>
      </c>
    </row>
    <row r="75" spans="1:17" ht="15.75" customHeight="1">
      <c r="A75" s="10"/>
      <c r="B75" s="8" t="s">
        <v>45</v>
      </c>
      <c r="C75" s="77">
        <f>ABS(C7/C$4)</f>
        <v>2.3559859771263639E-2</v>
      </c>
      <c r="D75" s="27"/>
      <c r="E75" s="299"/>
      <c r="F75" s="27"/>
      <c r="G75" s="6">
        <f t="shared" ref="G75:Q75" si="26">IF(G$4="","",ABS(G7/G$4))</f>
        <v>2.3819978260318054E-2</v>
      </c>
      <c r="H75" s="6">
        <f t="shared" si="26"/>
        <v>2.2922811829220648E-2</v>
      </c>
      <c r="I75" s="6">
        <f t="shared" si="26"/>
        <v>2.1090252211461265E-2</v>
      </c>
      <c r="J75" s="6">
        <f t="shared" si="26"/>
        <v>2.7004426309176162E-2</v>
      </c>
      <c r="K75" s="6">
        <f t="shared" si="26"/>
        <v>3.6266657296541667E-2</v>
      </c>
      <c r="L75" s="6">
        <f t="shared" si="26"/>
        <v>2.4107332193151289E-2</v>
      </c>
      <c r="M75" s="6">
        <f t="shared" si="26"/>
        <v>2.8135926554530177E-2</v>
      </c>
      <c r="N75" s="6">
        <f t="shared" si="26"/>
        <v>3.3441332975735462E-2</v>
      </c>
      <c r="O75" s="6">
        <f t="shared" si="26"/>
        <v>3.8404152236949297E-2</v>
      </c>
      <c r="P75" s="6">
        <f t="shared" si="26"/>
        <v>3.5604341608701448E-2</v>
      </c>
      <c r="Q75" s="6" t="str">
        <f t="shared" si="26"/>
        <v/>
      </c>
    </row>
    <row r="76" spans="1:17" ht="15.75" customHeight="1">
      <c r="A76" s="10"/>
      <c r="B76" s="29" t="s">
        <v>153</v>
      </c>
      <c r="C76" s="78">
        <f>ABS(C8/C$4)</f>
        <v>0.1201865989800404</v>
      </c>
      <c r="D76" s="27"/>
      <c r="E76" s="299"/>
      <c r="F76" s="27"/>
      <c r="G76" s="65">
        <f t="shared" ref="G76:Q76" si="27">IF(G$4="","",ABS(G8/G$4))</f>
        <v>0.11090002413351886</v>
      </c>
      <c r="H76" s="65">
        <f t="shared" si="27"/>
        <v>0.11448860054510672</v>
      </c>
      <c r="I76" s="65">
        <f t="shared" si="27"/>
        <v>0.1115847660516285</v>
      </c>
      <c r="J76" s="65">
        <f t="shared" si="27"/>
        <v>0.14317497566478551</v>
      </c>
      <c r="K76" s="65">
        <f t="shared" si="27"/>
        <v>0.13142122637209019</v>
      </c>
      <c r="L76" s="65">
        <f t="shared" si="27"/>
        <v>0.11540651602913229</v>
      </c>
      <c r="M76" s="65">
        <f t="shared" si="27"/>
        <v>0.12085899904502627</v>
      </c>
      <c r="N76" s="65">
        <f t="shared" si="27"/>
        <v>0.14185789043523137</v>
      </c>
      <c r="O76" s="65">
        <f t="shared" si="27"/>
        <v>0.16315666542890894</v>
      </c>
      <c r="P76" s="65">
        <f t="shared" si="27"/>
        <v>0.15224210615474001</v>
      </c>
      <c r="Q76" s="65" t="str">
        <f t="shared" si="27"/>
        <v/>
      </c>
    </row>
    <row r="77" spans="1:17" ht="15.75" customHeight="1">
      <c r="A77" s="10"/>
      <c r="B77" s="2" t="s">
        <v>65</v>
      </c>
      <c r="C77" s="77">
        <f>ABS(C9/C$4)</f>
        <v>3.911086084215163E-2</v>
      </c>
      <c r="D77" s="27"/>
      <c r="E77" s="299"/>
      <c r="F77" s="27"/>
      <c r="G77" s="6">
        <f t="shared" ref="G77:Q77" si="28">IF(G$4="","",G9/G$4)</f>
        <v>3.926217783215951E-2</v>
      </c>
      <c r="H77" s="6">
        <f t="shared" si="28"/>
        <v>3.5411701894175827E-2</v>
      </c>
      <c r="I77" s="6">
        <f t="shared" si="28"/>
        <v>3.3122494099153507E-2</v>
      </c>
      <c r="J77" s="6">
        <f t="shared" si="28"/>
        <v>4.2205361481916052E-2</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3.911086084215163E-2</v>
      </c>
      <c r="D78" s="27"/>
      <c r="E78" s="300" t="s">
        <v>364</v>
      </c>
      <c r="F78" s="27"/>
      <c r="G78" s="6">
        <f t="shared" ref="G78:Q78" si="29">IF(G$4="","",-G10/G$4)</f>
        <v>3.926217783215951E-2</v>
      </c>
      <c r="H78" s="6">
        <f t="shared" si="29"/>
        <v>3.5411701894175827E-2</v>
      </c>
      <c r="I78" s="6">
        <f t="shared" si="29"/>
        <v>3.3122494099153507E-2</v>
      </c>
      <c r="J78" s="6">
        <f t="shared" si="29"/>
        <v>4.2205361481916052E-2</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0</v>
      </c>
      <c r="D80" s="27"/>
      <c r="E80" s="299"/>
      <c r="F80" s="27"/>
      <c r="G80" s="6">
        <f t="shared" ref="G80:Q80" si="31">IF(G$4="","",ABS(G12/G$4))</f>
        <v>6.0499674425170151E-3</v>
      </c>
      <c r="H80" s="6">
        <f t="shared" si="31"/>
        <v>5.6250904749526416E-3</v>
      </c>
      <c r="I80" s="6">
        <f t="shared" si="31"/>
        <v>5.053692278389762E-3</v>
      </c>
      <c r="J80" s="6">
        <f t="shared" si="31"/>
        <v>5.4792541384458444E-3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165</v>
      </c>
      <c r="C81" s="78">
        <f>C13/C4</f>
        <v>0.1201865989800404</v>
      </c>
      <c r="D81" s="27"/>
      <c r="E81" s="299"/>
      <c r="F81" s="27"/>
      <c r="G81" s="65">
        <f t="shared" ref="G81:Q81" si="32">IF(G$4="","",G13/G$4)</f>
        <v>0.10485005669100184</v>
      </c>
      <c r="H81" s="65">
        <f t="shared" si="32"/>
        <v>0.10886351007015409</v>
      </c>
      <c r="I81" s="65">
        <f t="shared" si="32"/>
        <v>0.10653107377323873</v>
      </c>
      <c r="J81" s="65">
        <f t="shared" si="32"/>
        <v>0.13769572152633969</v>
      </c>
      <c r="K81" s="65">
        <f t="shared" si="32"/>
        <v>0.13142122637209019</v>
      </c>
      <c r="L81" s="65">
        <f t="shared" si="32"/>
        <v>0.11540651602913229</v>
      </c>
      <c r="M81" s="65">
        <f t="shared" si="32"/>
        <v>0.12085899904502627</v>
      </c>
      <c r="N81" s="65">
        <f t="shared" si="32"/>
        <v>0.14185789043523137</v>
      </c>
      <c r="O81" s="65">
        <f t="shared" si="32"/>
        <v>0.16315666542890894</v>
      </c>
      <c r="P81" s="65">
        <f t="shared" si="32"/>
        <v>0.15224210615474001</v>
      </c>
      <c r="Q81" s="65" t="str">
        <f t="shared" si="32"/>
        <v/>
      </c>
    </row>
    <row r="82" spans="1:17" ht="15.75" customHeight="1">
      <c r="A82" s="10"/>
      <c r="B82" s="2" t="s">
        <v>63</v>
      </c>
      <c r="C82" s="77">
        <f>ABS(C14/C$4)</f>
        <v>3.00466497450101E-2</v>
      </c>
      <c r="D82" s="27"/>
      <c r="E82" s="299"/>
      <c r="F82" s="27"/>
      <c r="G82" s="6">
        <f t="shared" ref="G82:Q82" si="33">IF(G$4="","",ABS(G14/G$4))</f>
        <v>4.2171860577213923E-3</v>
      </c>
      <c r="H82" s="6">
        <f t="shared" si="33"/>
        <v>5.0027784566101588E-3</v>
      </c>
      <c r="I82" s="6">
        <f t="shared" si="33"/>
        <v>5.6528180610505557E-3</v>
      </c>
      <c r="J82" s="6">
        <f t="shared" si="33"/>
        <v>8.5074742309415499E-3</v>
      </c>
      <c r="K82" s="6">
        <f t="shared" si="33"/>
        <v>2.9530138880447337E-3</v>
      </c>
      <c r="L82" s="6">
        <f t="shared" si="33"/>
        <v>6.0326485835547452E-3</v>
      </c>
      <c r="M82" s="6">
        <f t="shared" si="33"/>
        <v>6.9912655010291652E-3</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98">
        <f>MIN(BS!C62,MAX(G83:K83))</f>
        <v>0</v>
      </c>
      <c r="D83" s="27"/>
      <c r="E83" s="299"/>
      <c r="F83" s="27"/>
      <c r="G83" s="6">
        <f t="shared" ref="G83:Q83" si="34">IF(G$4="","",-G15/G$4)</f>
        <v>2.352855463640024E-3</v>
      </c>
      <c r="H83" s="6">
        <f t="shared" si="34"/>
        <v>2.983299685730874E-3</v>
      </c>
      <c r="I83" s="6">
        <f t="shared" si="34"/>
        <v>2.8497652921732715E-3</v>
      </c>
      <c r="J83" s="6">
        <f t="shared" si="34"/>
        <v>5.0428985684910412E-3</v>
      </c>
      <c r="K83" s="6">
        <f t="shared" si="34"/>
        <v>4.1909150306934902E-3</v>
      </c>
      <c r="L83" s="6">
        <f t="shared" si="34"/>
        <v>4.8988720558642007E-3</v>
      </c>
      <c r="M83" s="6">
        <f t="shared" si="34"/>
        <v>5.9491300953693977E-3</v>
      </c>
      <c r="N83" s="6">
        <f t="shared" si="34"/>
        <v>8.1243355945890862E-3</v>
      </c>
      <c r="O83" s="6">
        <f t="shared" si="34"/>
        <v>6.6051723771836197E-3</v>
      </c>
      <c r="P83" s="6">
        <f t="shared" si="34"/>
        <v>5.5174073980512987E-3</v>
      </c>
      <c r="Q83" s="6" t="str">
        <f t="shared" si="34"/>
        <v/>
      </c>
    </row>
    <row r="84" spans="1:17" ht="15.75" customHeight="1">
      <c r="A84" s="10"/>
      <c r="B84" s="41" t="s">
        <v>155</v>
      </c>
      <c r="C84" s="78">
        <f>ABS(C16/C$4)</f>
        <v>9.0139949235030312E-2</v>
      </c>
      <c r="D84" s="27"/>
      <c r="E84" s="299"/>
      <c r="F84" s="27"/>
      <c r="G84" s="65">
        <f t="shared" ref="G84:Q84" si="35">IF(G$4="","",ABS(G16/G$4))</f>
        <v>9.8280015169640425E-2</v>
      </c>
      <c r="H84" s="65">
        <f t="shared" si="35"/>
        <v>0.10087743192781305</v>
      </c>
      <c r="I84" s="65">
        <f t="shared" si="35"/>
        <v>9.8028490420014894E-2</v>
      </c>
      <c r="J84" s="65">
        <f t="shared" si="35"/>
        <v>0.12414534872690708</v>
      </c>
      <c r="K84" s="65">
        <f t="shared" si="35"/>
        <v>0.12427729745335198</v>
      </c>
      <c r="L84" s="65">
        <f t="shared" si="35"/>
        <v>0.10447499538971335</v>
      </c>
      <c r="M84" s="65">
        <f t="shared" si="35"/>
        <v>0.10791860344862771</v>
      </c>
      <c r="N84" s="65">
        <f t="shared" si="35"/>
        <v>0.12683623754498044</v>
      </c>
      <c r="O84" s="65">
        <f t="shared" si="35"/>
        <v>0.14582753943604859</v>
      </c>
      <c r="P84" s="65">
        <f t="shared" si="35"/>
        <v>0.14047718466102296</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9.0139949235030312E-2</v>
      </c>
      <c r="D87" s="75"/>
      <c r="E87" s="299"/>
      <c r="F87" s="75"/>
      <c r="G87" s="65">
        <f t="shared" ref="G87:Q87" si="36">IF(G$4="","",ABS(G19/G$4))</f>
        <v>9.8280015169640425E-2</v>
      </c>
      <c r="H87" s="65">
        <f t="shared" si="36"/>
        <v>0.10087743192781305</v>
      </c>
      <c r="I87" s="65">
        <f t="shared" si="36"/>
        <v>9.8028490420014894E-2</v>
      </c>
      <c r="J87" s="65">
        <f t="shared" si="36"/>
        <v>0.12414534872690708</v>
      </c>
      <c r="K87" s="65">
        <f t="shared" si="36"/>
        <v>0.12427729745335198</v>
      </c>
      <c r="L87" s="65">
        <f t="shared" si="36"/>
        <v>0.10447499538971335</v>
      </c>
      <c r="M87" s="65">
        <f t="shared" si="36"/>
        <v>0.10791860344862771</v>
      </c>
      <c r="N87" s="65">
        <f t="shared" si="36"/>
        <v>0.12683623754498044</v>
      </c>
      <c r="O87" s="65">
        <f t="shared" si="36"/>
        <v>0.14582753943604859</v>
      </c>
      <c r="P87" s="65">
        <f t="shared" si="36"/>
        <v>0.14047718466102296</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(CNY)</v>
      </c>
      <c r="C90" s="114">
        <f>G90</f>
        <v>2.0754716981132075</v>
      </c>
      <c r="E90" s="302"/>
      <c r="G90" s="113">
        <f>Data!C65</f>
        <v>2.0754716981132075</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(CNY)</v>
      </c>
      <c r="C91" s="74">
        <f>C90*Common_Shares/scaling_factor</f>
        <v>251716.43635433962</v>
      </c>
      <c r="E91" s="302"/>
      <c r="G91" s="74">
        <f t="shared" ref="G91:Q91" si="37">IF(G$4="","",G90*Common_Shares/scaling_factor)</f>
        <v>251716.43635433962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0.90476126576053284</v>
      </c>
      <c r="E92" s="302"/>
      <c r="G92" s="171">
        <f t="shared" ref="G92:Q92" si="38">IF(G$4="","",G90/(G19*scaling_factor/Common_Shares))</f>
        <v>0.83303472357873642</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318</v>
      </c>
      <c r="C93" s="23">
        <f>C90/Market_Price</f>
        <v>0.52016834539178136</v>
      </c>
      <c r="E93" s="302"/>
      <c r="G93" s="23">
        <f t="shared" ref="G93:Q93" si="39">IF(G$4="","",G90/Market_Price)</f>
        <v>0.52016834539178136</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3.868925069652196E-3</v>
      </c>
      <c r="D96" s="27"/>
      <c r="E96" s="299"/>
      <c r="F96" s="27"/>
      <c r="G96" s="6">
        <f t="shared" ref="G96:Q96" si="40">IF(H4="","",G4/H4-1)</f>
        <v>-4.2852984622760326E-2</v>
      </c>
      <c r="H96" s="6">
        <f t="shared" si="40"/>
        <v>-3.1931174069546819E-2</v>
      </c>
      <c r="I96" s="6">
        <f t="shared" si="40"/>
        <v>0.21061963950316764</v>
      </c>
      <c r="J96" s="6">
        <f t="shared" si="40"/>
        <v>0.30147427520816872</v>
      </c>
      <c r="K96" s="6">
        <f t="shared" si="40"/>
        <v>-0.29000439283620449</v>
      </c>
      <c r="L96" s="6">
        <f t="shared" si="40"/>
        <v>2.5945816568258229E-2</v>
      </c>
      <c r="M96" s="6">
        <f t="shared" si="40"/>
        <v>0.22497566936263258</v>
      </c>
      <c r="N96" s="6">
        <f t="shared" si="40"/>
        <v>0.22232096663181267</v>
      </c>
      <c r="O96" s="6">
        <f t="shared" si="40"/>
        <v>-4.3574590503758781E-2</v>
      </c>
      <c r="P96" s="6" t="str">
        <f t="shared" si="40"/>
        <v/>
      </c>
      <c r="Q96" s="6" t="str">
        <f t="shared" si="40"/>
        <v/>
      </c>
    </row>
    <row r="97" spans="1:17" ht="15.75" customHeight="1">
      <c r="A97" s="10"/>
      <c r="B97" s="70" t="s">
        <v>165</v>
      </c>
      <c r="C97" s="77">
        <f>C13/G13-1</f>
        <v>0.15070602471333472</v>
      </c>
      <c r="D97" s="27"/>
      <c r="E97" s="299"/>
      <c r="F97" s="27"/>
      <c r="G97" s="6">
        <f t="shared" ref="G97:Q97" si="41">IF(H5="","",G13/H13-1)</f>
        <v>-7.8139968486643951E-2</v>
      </c>
      <c r="H97" s="6">
        <f t="shared" si="41"/>
        <v>-1.0735866564070107E-2</v>
      </c>
      <c r="I97" s="6">
        <f t="shared" si="41"/>
        <v>-6.3379684585382345E-2</v>
      </c>
      <c r="J97" s="6">
        <f t="shared" si="41"/>
        <v>0.36361107196924536</v>
      </c>
      <c r="K97" s="6">
        <f t="shared" si="41"/>
        <v>-0.19147985206737594</v>
      </c>
      <c r="L97" s="6">
        <f t="shared" si="41"/>
        <v>-2.0339128568362286E-2</v>
      </c>
      <c r="M97" s="6">
        <f t="shared" si="41"/>
        <v>4.3645389054155714E-2</v>
      </c>
      <c r="N97" s="6">
        <f t="shared" si="41"/>
        <v>6.2756911005234173E-2</v>
      </c>
      <c r="O97" s="6">
        <f t="shared" si="41"/>
        <v>2.4993574289349008E-2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3</v>
      </c>
      <c r="D101" s="26"/>
      <c r="E101" s="303"/>
      <c r="F101" s="26"/>
      <c r="G101" s="183">
        <f t="shared" ref="G101:Q101" si="42">IF(G$4="","",G105+G104)</f>
        <v>3</v>
      </c>
      <c r="H101" s="183">
        <f t="shared" si="42"/>
        <v>2026674</v>
      </c>
      <c r="I101" s="183">
        <f t="shared" si="42"/>
        <v>1948640</v>
      </c>
      <c r="J101" s="183">
        <f t="shared" si="42"/>
        <v>1889255</v>
      </c>
      <c r="K101" s="183">
        <f t="shared" si="42"/>
        <v>1733805</v>
      </c>
      <c r="L101" s="183">
        <f t="shared" si="42"/>
        <v>1755071</v>
      </c>
      <c r="M101" s="183">
        <f t="shared" si="42"/>
        <v>1592308</v>
      </c>
      <c r="N101" s="183">
        <f t="shared" si="42"/>
        <v>1595504</v>
      </c>
      <c r="O101" s="183">
        <f t="shared" si="42"/>
        <v>1498609</v>
      </c>
      <c r="P101" s="183">
        <f t="shared" si="42"/>
        <v>1443129</v>
      </c>
      <c r="Q101" s="183" t="str">
        <f t="shared" si="42"/>
        <v/>
      </c>
    </row>
    <row r="102" spans="1:17" ht="15.75" customHeight="1">
      <c r="A102" s="10"/>
      <c r="B102" s="93" t="s">
        <v>211</v>
      </c>
      <c r="C102" s="200">
        <f>BS!C4</f>
        <v>1</v>
      </c>
      <c r="D102" s="89"/>
      <c r="E102" s="304"/>
      <c r="F102" s="89"/>
      <c r="G102" s="185">
        <f>IF(G$4="","",Data!D77)</f>
        <v>48652</v>
      </c>
      <c r="H102" s="185">
        <f>IF(H$4="","",Data!E77)</f>
        <v>46364</v>
      </c>
      <c r="I102" s="185">
        <f>IF(I$4="","",Data!F77)</f>
        <v>34861</v>
      </c>
      <c r="J102" s="185">
        <f>IF(J$4="","",Data!G77)</f>
        <v>35587</v>
      </c>
      <c r="K102" s="185">
        <f>IF(K$4="","",Data!H77)</f>
        <v>54865</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0</v>
      </c>
      <c r="D103" s="89"/>
      <c r="E103" s="304"/>
      <c r="F103" s="89"/>
      <c r="G103" s="185">
        <f>IF(G$4="","",Data!D78)</f>
        <v>250898</v>
      </c>
      <c r="H103" s="185">
        <f>IF(H$4="","",Data!E78)</f>
        <v>244241</v>
      </c>
      <c r="I103" s="185">
        <f>IF(I$4="","",Data!F78)</f>
        <v>207433</v>
      </c>
      <c r="J103" s="185">
        <f>IF(J$4="","",Data!G78)</f>
        <v>151895</v>
      </c>
      <c r="K103" s="185">
        <f>IF(K$4="","",Data!H78)</f>
        <v>192442</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1</v>
      </c>
      <c r="D104" s="26"/>
      <c r="E104" s="303"/>
      <c r="F104" s="26"/>
      <c r="G104" s="183">
        <f>Data!C79</f>
        <v>1</v>
      </c>
      <c r="H104" s="183">
        <f>Data!D79</f>
        <v>1068019</v>
      </c>
      <c r="I104" s="183">
        <f>Data!E79</f>
        <v>1011487</v>
      </c>
      <c r="J104" s="183">
        <f>Data!F79</f>
        <v>973214</v>
      </c>
      <c r="K104" s="183">
        <f>Data!G79</f>
        <v>849929</v>
      </c>
      <c r="L104" s="183">
        <f>Data!H79</f>
        <v>878166</v>
      </c>
      <c r="M104" s="183">
        <f>Data!I79</f>
        <v>734649</v>
      </c>
      <c r="N104" s="183">
        <f>Data!J79</f>
        <v>741434</v>
      </c>
      <c r="O104" s="183">
        <f>Data!K79</f>
        <v>666084</v>
      </c>
      <c r="P104" s="183">
        <f>Data!L79</f>
        <v>657506</v>
      </c>
      <c r="Q104" s="183" t="str">
        <f>Data!M79</f>
        <v/>
      </c>
    </row>
    <row r="105" spans="1:17" ht="15.75" customHeight="1">
      <c r="A105" s="10"/>
      <c r="B105" s="26" t="s">
        <v>30</v>
      </c>
      <c r="C105" s="199">
        <f>BS!G27</f>
        <v>2</v>
      </c>
      <c r="D105" s="26"/>
      <c r="E105" s="303"/>
      <c r="F105" s="26"/>
      <c r="G105" s="183">
        <f>Data!C80</f>
        <v>2</v>
      </c>
      <c r="H105" s="183">
        <f>Data!D80</f>
        <v>958655</v>
      </c>
      <c r="I105" s="183">
        <f>Data!E80</f>
        <v>937153</v>
      </c>
      <c r="J105" s="183">
        <f>Data!F80</f>
        <v>916041</v>
      </c>
      <c r="K105" s="183">
        <f>Data!G80</f>
        <v>883876</v>
      </c>
      <c r="L105" s="183">
        <f>Data!H80</f>
        <v>876905</v>
      </c>
      <c r="M105" s="183">
        <f>Data!I80</f>
        <v>857659</v>
      </c>
      <c r="N105" s="183">
        <f>Data!J80</f>
        <v>854070</v>
      </c>
      <c r="O105" s="183">
        <f>Data!K80</f>
        <v>832525</v>
      </c>
      <c r="P105" s="183">
        <f>Data!L80</f>
        <v>785623</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3.2399606377182124E-7</v>
      </c>
      <c r="D108" s="26"/>
      <c r="E108" s="303"/>
      <c r="F108" s="26"/>
      <c r="G108" s="94">
        <f t="shared" ref="G108:Q108" si="43">IF(G$4="","",G102/G$4)</f>
        <v>1.5824042579073053E-2</v>
      </c>
      <c r="H108" s="94">
        <f t="shared" si="43"/>
        <v>1.4433654036233565E-2</v>
      </c>
      <c r="I108" s="94">
        <f t="shared" si="43"/>
        <v>1.050609854594463E-2</v>
      </c>
      <c r="J108" s="94">
        <f t="shared" si="43"/>
        <v>1.2983767280921045E-2</v>
      </c>
      <c r="K108" s="94">
        <f t="shared" si="43"/>
        <v>2.6051954810672826E-2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v>
      </c>
      <c r="D109" s="26"/>
      <c r="E109" s="303"/>
      <c r="F109" s="26"/>
      <c r="G109" s="94">
        <f t="shared" ref="G109:Q109" si="44">IF(G$4="","",G103/G$4)</f>
        <v>8.160446918943251E-2</v>
      </c>
      <c r="H109" s="94">
        <f t="shared" si="44"/>
        <v>7.6035072372179324E-2</v>
      </c>
      <c r="I109" s="94">
        <f t="shared" si="44"/>
        <v>6.2514315128106832E-2</v>
      </c>
      <c r="J109" s="94">
        <f t="shared" si="44"/>
        <v>5.5418251921642799E-2</v>
      </c>
      <c r="K109" s="94">
        <f t="shared" si="44"/>
        <v>9.1378661946149645E-2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402</v>
      </c>
      <c r="C113" s="170"/>
      <c r="E113" s="302"/>
      <c r="G113" s="334">
        <f>IF(G$4="","",Data!C$22/Data!C15)</f>
        <v>2.59544372426017</v>
      </c>
      <c r="H113" s="334">
        <f>IF(H$4="","",Data!D$22/Data!D15)</f>
        <v>2.3052708220312366</v>
      </c>
      <c r="I113" s="334">
        <f>IF(I$4="","",Data!E$22/Data!E15)</f>
        <v>1.5347422054436495</v>
      </c>
      <c r="J113" s="334">
        <f>IF(J$4="","",Data!F$22/Data!F15)</f>
        <v>2.6481712336822296</v>
      </c>
      <c r="K113" s="334">
        <f>IF(K$4="","",Data!G$22/Data!G15)</f>
        <v>4.0124071856287422</v>
      </c>
      <c r="L113" s="334">
        <f>IF(L$4="","",Data!H$22/Data!H15)</f>
        <v>2.1272288622057069</v>
      </c>
      <c r="M113" s="334">
        <f>IF(M$4="","",Data!I$22/Data!I15)</f>
        <v>2.1904370461707083</v>
      </c>
      <c r="N113" s="334">
        <f>IF(N$4="","",Data!J$22/Data!J15)</f>
        <v>2.716234671522463</v>
      </c>
      <c r="O113" s="334">
        <f>IF(O$4="","",Data!K$22/Data!K15)</f>
        <v>3.6258745986141627</v>
      </c>
      <c r="P113" s="334">
        <f>IF(P$4="","",Data!L$22/Data!L15)</f>
        <v>3.8254510220089513</v>
      </c>
      <c r="Q113" s="334" t="str">
        <f>IF(Q$4="","",Data!M$22/Data!M15)</f>
        <v/>
      </c>
    </row>
    <row r="114" spans="1:17" ht="15.75" customHeight="1">
      <c r="A114" s="10"/>
      <c r="B114" s="2" t="s">
        <v>403</v>
      </c>
      <c r="C114" s="170"/>
      <c r="E114" s="302"/>
      <c r="G114" s="334">
        <f>IF(G$4="","",Data!C$22/G19)</f>
        <v>0.49429456461306293</v>
      </c>
      <c r="H114" s="334">
        <f>IF(H$4="","",Data!D$22/H19)</f>
        <v>0.49831810887544747</v>
      </c>
      <c r="I114" s="334">
        <f>IF(I$4="","",Data!E$22/I19)</f>
        <v>0.35744831296595186</v>
      </c>
      <c r="J114" s="334">
        <f>IF(J$4="","",Data!F$22/J19)</f>
        <v>0.66175485205778972</v>
      </c>
      <c r="K114" s="334">
        <f>IF(K$4="","",Data!G$22/K19)</f>
        <v>0.64005104575013561</v>
      </c>
      <c r="L114" s="334">
        <f>IF(L$4="","",Data!H$22/L19)</f>
        <v>0.49507410622376108</v>
      </c>
      <c r="M114" s="334">
        <f>IF(M$4="","",Data!I$22/M19)</f>
        <v>0.56365780803302434</v>
      </c>
      <c r="N114" s="334">
        <f>IF(N$4="","",Data!J$22/N19)</f>
        <v>0.63781492393722561</v>
      </c>
      <c r="O114" s="334">
        <f>IF(O$4="","",Data!K$22/O19)</f>
        <v>0.76192556289509195</v>
      </c>
      <c r="P114" s="334">
        <f>IF(P$4="","",Data!L$22/P19)</f>
        <v>0.58467527247211815</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0.1201865989800404</v>
      </c>
      <c r="E117" s="302"/>
      <c r="G117" s="23">
        <f t="shared" ref="G117:Q117" si="45">G81</f>
        <v>0.10485005669100184</v>
      </c>
      <c r="H117" s="23">
        <f t="shared" si="45"/>
        <v>0.10886351007015409</v>
      </c>
      <c r="I117" s="23">
        <f t="shared" si="45"/>
        <v>0.10653107377323873</v>
      </c>
      <c r="J117" s="23">
        <f t="shared" si="45"/>
        <v>0.13769572152633969</v>
      </c>
      <c r="K117" s="23">
        <f t="shared" si="45"/>
        <v>0.13142122637209019</v>
      </c>
      <c r="L117" s="23">
        <f t="shared" si="45"/>
        <v>0.11540651602913229</v>
      </c>
      <c r="M117" s="23">
        <f t="shared" si="45"/>
        <v>0.12085899904502627</v>
      </c>
      <c r="N117" s="23">
        <f t="shared" si="45"/>
        <v>0.14185789043523137</v>
      </c>
      <c r="O117" s="23">
        <f t="shared" si="45"/>
        <v>0.16315666542890894</v>
      </c>
      <c r="P117" s="23">
        <f t="shared" si="45"/>
        <v>0.15224210615474001</v>
      </c>
      <c r="Q117" s="23" t="str">
        <f t="shared" si="45"/>
        <v/>
      </c>
    </row>
    <row r="118" spans="1:17" ht="15.75" customHeight="1">
      <c r="B118" s="7" t="s">
        <v>84</v>
      </c>
      <c r="C118" s="42">
        <f>C4/C101</f>
        <v>1028819.0833333334</v>
      </c>
      <c r="E118" s="302"/>
      <c r="G118" s="42">
        <f t="shared" ref="G118:Q118" si="46">IF(G4="","",G4/G101)</f>
        <v>1024854</v>
      </c>
      <c r="H118" s="42">
        <f t="shared" si="46"/>
        <v>1.5849687714945768</v>
      </c>
      <c r="I118" s="42">
        <f t="shared" si="46"/>
        <v>1.7028122177518679</v>
      </c>
      <c r="J118" s="42">
        <f t="shared" si="46"/>
        <v>1.4507750409552973</v>
      </c>
      <c r="K118" s="42">
        <f t="shared" si="46"/>
        <v>1.2146602414919787</v>
      </c>
      <c r="L118" s="42">
        <f t="shared" si="46"/>
        <v>1.6900700883326087</v>
      </c>
      <c r="M118" s="42">
        <f t="shared" si="46"/>
        <v>1.8157159293302552</v>
      </c>
      <c r="N118" s="42">
        <f t="shared" si="46"/>
        <v>1.4792773944784845</v>
      </c>
      <c r="O118" s="42">
        <f t="shared" si="46"/>
        <v>1.2884688401043902</v>
      </c>
      <c r="P118" s="42">
        <f t="shared" si="46"/>
        <v>1.3989622549335505</v>
      </c>
      <c r="Q118" s="42" t="str">
        <f t="shared" si="46"/>
        <v/>
      </c>
    </row>
    <row r="119" spans="1:17" ht="15.75" customHeight="1">
      <c r="B119" s="7" t="s">
        <v>92</v>
      </c>
      <c r="C119" s="15">
        <f>C101/C105</f>
        <v>1.5</v>
      </c>
      <c r="D119" s="11"/>
      <c r="E119" s="306"/>
      <c r="F119" s="11"/>
      <c r="G119" s="15">
        <f t="shared" ref="G119:Q119" si="47">IF(G$4="","",G101/G105)</f>
        <v>1.5</v>
      </c>
      <c r="H119" s="15">
        <f t="shared" si="47"/>
        <v>2.1140806650984976</v>
      </c>
      <c r="I119" s="15">
        <f t="shared" si="47"/>
        <v>2.0793189585905396</v>
      </c>
      <c r="J119" s="15">
        <f t="shared" si="47"/>
        <v>2.0624131452631489</v>
      </c>
      <c r="K119" s="15">
        <f t="shared" si="47"/>
        <v>1.961593028886405</v>
      </c>
      <c r="L119" s="15">
        <f t="shared" si="47"/>
        <v>2.0014380120993724</v>
      </c>
      <c r="M119" s="15">
        <f t="shared" si="47"/>
        <v>1.8565746992685905</v>
      </c>
      <c r="N119" s="15">
        <f t="shared" si="47"/>
        <v>1.8681185382931143</v>
      </c>
      <c r="O119" s="15">
        <f t="shared" si="47"/>
        <v>1.8000768745683313</v>
      </c>
      <c r="P119" s="15">
        <f t="shared" si="47"/>
        <v>1.8369230534238432</v>
      </c>
      <c r="Q119" s="15" t="str">
        <f t="shared" si="47"/>
        <v/>
      </c>
    </row>
    <row r="120" spans="1:17" ht="15.75" customHeight="1">
      <c r="A120" s="10"/>
      <c r="B120" s="70" t="s">
        <v>223</v>
      </c>
      <c r="C120" s="102">
        <f>C8/C105</f>
        <v>185475.39988739416</v>
      </c>
      <c r="D120" s="103"/>
      <c r="E120" s="305"/>
      <c r="F120" s="103"/>
      <c r="G120" s="102">
        <f t="shared" ref="G120:Q120" si="48">IF(G$4="","",G8/G105)</f>
        <v>170484.5</v>
      </c>
      <c r="H120" s="102">
        <f t="shared" si="48"/>
        <v>0.38362288831748648</v>
      </c>
      <c r="I120" s="102">
        <f t="shared" si="48"/>
        <v>0.39508703488117736</v>
      </c>
      <c r="J120" s="102">
        <f t="shared" si="48"/>
        <v>0.42839348893772222</v>
      </c>
      <c r="K120" s="102">
        <f t="shared" si="48"/>
        <v>0.31313329019002667</v>
      </c>
      <c r="L120" s="102">
        <f t="shared" si="48"/>
        <v>0.3903706786938152</v>
      </c>
      <c r="M120" s="102">
        <f t="shared" si="48"/>
        <v>0.40741716696262736</v>
      </c>
      <c r="N120" s="102">
        <f t="shared" si="48"/>
        <v>0.39201938951139836</v>
      </c>
      <c r="O120" s="102">
        <f t="shared" si="48"/>
        <v>0.37841626377586257</v>
      </c>
      <c r="P120" s="102">
        <f t="shared" si="48"/>
        <v>0.3912296355885711</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8">
        <f>C16*$C$3/Common_Shares*Exchange_Rate</f>
        <v>2.4315806647079472</v>
      </c>
      <c r="D124" s="27"/>
      <c r="E124" s="299"/>
      <c r="F124" s="27"/>
      <c r="G124" s="178">
        <f t="shared" ref="G124:Q124" si="49">IF(G$4="","",G16*$C$3/Common_Shares*Exchange_Rate)</f>
        <v>2.6409463348043278</v>
      </c>
      <c r="H124" s="178">
        <f t="shared" si="49"/>
        <v>2.8321074711087686</v>
      </c>
      <c r="I124" s="178">
        <f t="shared" si="49"/>
        <v>2.8429013629950148</v>
      </c>
      <c r="J124" s="178">
        <f t="shared" si="49"/>
        <v>2.9739400844933908</v>
      </c>
      <c r="K124" s="178">
        <f t="shared" si="49"/>
        <v>2.2874835205018318</v>
      </c>
      <c r="L124" s="178">
        <f t="shared" si="49"/>
        <v>2.708462784052307</v>
      </c>
      <c r="M124" s="178">
        <f t="shared" si="49"/>
        <v>2.7269828301308143</v>
      </c>
      <c r="N124" s="178">
        <f t="shared" si="49"/>
        <v>2.6163869532655806</v>
      </c>
      <c r="O124" s="178">
        <f t="shared" si="49"/>
        <v>2.4610073500642109</v>
      </c>
      <c r="P124" s="178">
        <f t="shared" si="49"/>
        <v>2.4787233167471436</v>
      </c>
      <c r="Q124" s="178" t="str">
        <f t="shared" si="49"/>
        <v/>
      </c>
    </row>
    <row r="125" spans="1:17" ht="15.75" customHeight="1">
      <c r="A125" s="10"/>
      <c r="B125" s="27" t="s">
        <v>270</v>
      </c>
      <c r="C125" s="77">
        <f>C19*Exchange_Rate*$C$3/(Market_Price*Common_Shares)</f>
        <v>0.60941871295938521</v>
      </c>
      <c r="D125" s="27"/>
      <c r="E125" s="299"/>
      <c r="F125" s="27"/>
      <c r="G125" s="77">
        <f t="shared" ref="G125" si="50">IF(G$4="","",G124/Market_Price)</f>
        <v>0.66189131198103446</v>
      </c>
      <c r="H125" s="77">
        <f t="shared" ref="H125" si="51">IF(H$4="","",H124/Market_Price)</f>
        <v>0.70980137120520514</v>
      </c>
      <c r="I125" s="77">
        <f t="shared" ref="I125" si="52">IF(I$4="","",I124/Market_Price)</f>
        <v>0.71250660726692094</v>
      </c>
      <c r="J125" s="77">
        <f t="shared" ref="J125" si="53">IF(J$4="","",J124/Market_Price)</f>
        <v>0.74534839210360671</v>
      </c>
      <c r="K125" s="77">
        <f t="shared" ref="K125" si="54">IF(K$4="","",K124/Market_Price)</f>
        <v>0.57330414047664957</v>
      </c>
      <c r="L125" s="77">
        <f t="shared" ref="L125" si="55">IF(L$4="","",L124/Market_Price)</f>
        <v>0.67881272783265834</v>
      </c>
      <c r="M125" s="77">
        <f t="shared" ref="M125" si="56">IF(M$4="","",M124/Market_Price)</f>
        <v>0.6834543433911815</v>
      </c>
      <c r="N125" s="77">
        <f t="shared" ref="N125" si="57">IF(N$4="","",N124/Market_Price)</f>
        <v>0.65573607851267679</v>
      </c>
      <c r="O125" s="77">
        <f t="shared" ref="O125" si="58">IF(O$4="","",O124/Market_Price)</f>
        <v>0.61679382207123079</v>
      </c>
      <c r="P125" s="77">
        <f t="shared" ref="P125" si="59">IF(P$4="","",P124/Market_Price)</f>
        <v>0.62123391397171512</v>
      </c>
      <c r="Q125" s="77" t="str">
        <f t="shared" ref="Q125" si="60">IF(Q$4="","",Q124/Market_Price)</f>
        <v/>
      </c>
    </row>
    <row r="126" spans="1:17" ht="15.75" customHeight="1">
      <c r="B126" s="2" t="s">
        <v>405</v>
      </c>
      <c r="C126" s="170"/>
      <c r="G126" s="23">
        <f>IF(G$4="","",(Data!C47*$C$3)/(Market_Price*Common_Shares))</f>
        <v>0.1189200363941382</v>
      </c>
      <c r="H126" s="23">
        <f>IF(H$4="","",(Data!D47*$C$3)/(Market_Price*Common_Shares))</f>
        <v>0.14474903764338373</v>
      </c>
      <c r="I126" s="23">
        <f>IF(I$4="","",(Data!E47*$C$3)/(Market_Price*Common_Shares))</f>
        <v>0.15655280235541594</v>
      </c>
      <c r="J126" s="23">
        <f>IF(J$4="","",(Data!F47*$C$3)/(Market_Price*Common_Shares))</f>
        <v>0.17571325515828057</v>
      </c>
      <c r="K126" s="23">
        <f>IF(K$4="","",(Data!G47*$C$3)/(Market_Price*Common_Shares))</f>
        <v>8.6275766233778819E-2</v>
      </c>
      <c r="L126" s="23">
        <f>IF(L$4="","",(Data!H47*$C$3)/(Market_Price*Common_Shares))</f>
        <v>0.1490390613727568</v>
      </c>
      <c r="M126" s="23">
        <f>IF(M$4="","",(Data!I47*$C$3)/(Market_Price*Common_Shares))</f>
        <v>0.16591604778787708</v>
      </c>
      <c r="N126" s="23">
        <f>IF(N$4="","",(Data!J47*$C$3)/(Market_Price*Common_Shares))</f>
        <v>0.14526152602723949</v>
      </c>
      <c r="O126" s="23">
        <f>IF(O$4="","",(Data!K47*$C$3)/(Market_Price*Common_Shares))</f>
        <v>0.12227394222880701</v>
      </c>
      <c r="P126" s="23">
        <f>IF(P$4="","",(Data!L47*$C$3)/(Market_Price*Common_Shares))</f>
        <v>8.9573876962140767E-2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278213.09983109124</v>
      </c>
      <c r="D4" t="str">
        <f>Reporting_currency</f>
        <v>CNY</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3477663.7478886405</v>
      </c>
      <c r="D6" t="str">
        <f>Reporting_currency</f>
        <v>CNY</v>
      </c>
      <c r="E6" s="351" t="s">
        <v>250</v>
      </c>
      <c r="F6" s="351"/>
      <c r="H6" s="121"/>
    </row>
    <row r="7" spans="2:8">
      <c r="B7" s="149" t="s">
        <v>225</v>
      </c>
      <c r="C7" s="226">
        <f>BS!G31</f>
        <v>0</v>
      </c>
      <c r="D7" t="str">
        <f>Reporting_currency</f>
        <v>CNY</v>
      </c>
      <c r="E7" s="351"/>
      <c r="F7" s="351"/>
      <c r="H7" s="121"/>
    </row>
    <row r="8" spans="2:8">
      <c r="B8" s="149" t="s">
        <v>226</v>
      </c>
      <c r="C8" s="201">
        <f>BS!D66</f>
        <v>-247267.57388162927</v>
      </c>
      <c r="D8" t="str">
        <f>Reporting_currency</f>
        <v>CNY</v>
      </c>
      <c r="E8" s="351"/>
      <c r="F8" s="351"/>
      <c r="H8" s="121"/>
    </row>
    <row r="9" spans="2:8">
      <c r="B9" s="227" t="s">
        <v>191</v>
      </c>
      <c r="C9" s="229">
        <f>BS!H42</f>
        <v>0</v>
      </c>
      <c r="D9" t="str">
        <f>Reporting_currency</f>
        <v>CNY</v>
      </c>
      <c r="E9" s="351"/>
      <c r="F9" s="351"/>
      <c r="H9" s="121"/>
    </row>
    <row r="10" spans="2:8" ht="13.15">
      <c r="B10" s="150" t="s">
        <v>228</v>
      </c>
      <c r="C10" s="232">
        <f>C6-C7+C8+C9</f>
        <v>3230396.1740070111</v>
      </c>
      <c r="D10" t="str">
        <f>Reporting_currency</f>
        <v>CNY</v>
      </c>
      <c r="H10" s="121"/>
    </row>
    <row r="11" spans="2:8" ht="13.15" thickBot="1">
      <c r="B11" s="230" t="s">
        <v>167</v>
      </c>
      <c r="C11" s="231">
        <f>Exchange_Rate</f>
        <v>1.06</v>
      </c>
      <c r="D11" t="str">
        <f>Thesis!C15</f>
        <v>CNY</v>
      </c>
      <c r="H11" s="121"/>
    </row>
    <row r="12" spans="2:8" ht="13.5" thickTop="1">
      <c r="B12" s="150" t="s">
        <v>103</v>
      </c>
      <c r="C12" s="112">
        <f>(C10*scaling_factor)/Common_Shares*Exchange_Rate</f>
        <v>28.233641337632509</v>
      </c>
      <c r="D12" t="str">
        <f>Market_currency</f>
        <v>CNY</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4.6574870890079501E-2</v>
      </c>
      <c r="H16" s="121"/>
    </row>
    <row r="17" spans="2:8" ht="13.25" customHeight="1">
      <c r="B17" s="119" t="s">
        <v>135</v>
      </c>
      <c r="C17" s="163">
        <f>Scenarios!C64</f>
        <v>10</v>
      </c>
      <c r="H17" s="121"/>
    </row>
    <row r="18" spans="2:8" ht="13.25" customHeight="1">
      <c r="B18" s="154" t="s">
        <v>107</v>
      </c>
      <c r="C18" s="141">
        <f>(F52-C7+C8+C9)*Exchange_Rate/Common_Shares*scaling_factor</f>
        <v>33.111517646915438</v>
      </c>
      <c r="D18" t="str">
        <f>Market_currency</f>
        <v>CNY</v>
      </c>
      <c r="H18" s="121"/>
    </row>
    <row r="19" spans="2:8">
      <c r="H19" s="121"/>
    </row>
    <row r="20" spans="2:8" ht="13.15">
      <c r="B20" s="129" t="s">
        <v>108</v>
      </c>
      <c r="C20" s="129" t="s">
        <v>109</v>
      </c>
      <c r="D20" s="129" t="s">
        <v>119</v>
      </c>
      <c r="E20" s="129" t="s">
        <v>110</v>
      </c>
      <c r="F20" s="130" t="s">
        <v>111</v>
      </c>
      <c r="H20" s="121"/>
    </row>
    <row r="21" spans="2:8">
      <c r="B21" s="123">
        <v>1</v>
      </c>
      <c r="C21" s="124">
        <f>C4*(1+D21)</f>
        <v>291170.8390356531</v>
      </c>
      <c r="D21" s="139">
        <f>IF($C$17&lt;B21,0,Valuation_Model!$C$16)</f>
        <v>4.6574870890079501E-2</v>
      </c>
      <c r="E21" s="125">
        <f t="shared" ref="E21:E50" si="0">IF($C$17&lt;B21,0,1/(1+Equity_Cost)^B21)</f>
        <v>0.92592592592592582</v>
      </c>
      <c r="F21" s="126">
        <f t="shared" ref="F21:F51" si="1">C21*E21</f>
        <v>269602.62873671582</v>
      </c>
      <c r="H21" s="121"/>
    </row>
    <row r="22" spans="2:8">
      <c r="B22" s="123">
        <v>2</v>
      </c>
      <c r="C22" s="124">
        <f t="shared" ref="C22:C50" si="2">IF(ROW()-ROW($C$21)&lt;$C$17, $C$21*(1+D22)^(ROW()-ROW($C$21)), 0)</f>
        <v>304732.08327069477</v>
      </c>
      <c r="D22" s="139">
        <f>IF($C$17&lt;B22,0,Valuation_Model!$C$16)</f>
        <v>4.6574870890079501E-2</v>
      </c>
      <c r="E22" s="125">
        <f t="shared" si="0"/>
        <v>0.85733882030178321</v>
      </c>
      <c r="F22" s="126">
        <f t="shared" si="1"/>
        <v>261258.64477940221</v>
      </c>
      <c r="H22" s="121"/>
    </row>
    <row r="23" spans="2:8">
      <c r="B23" s="123">
        <v>3</v>
      </c>
      <c r="C23" s="124">
        <f t="shared" si="2"/>
        <v>318924.94070509233</v>
      </c>
      <c r="D23" s="139">
        <f>IF($C$17&lt;B23,0,Valuation_Model!$C$16)</f>
        <v>4.6574870890079501E-2</v>
      </c>
      <c r="E23" s="125">
        <f t="shared" si="0"/>
        <v>0.79383224102016958</v>
      </c>
      <c r="F23" s="126">
        <f t="shared" si="1"/>
        <v>253172.90039714816</v>
      </c>
      <c r="H23" s="121"/>
    </row>
    <row r="24" spans="2:8">
      <c r="B24" s="123">
        <v>4</v>
      </c>
      <c r="C24" s="124">
        <f t="shared" si="2"/>
        <v>333778.8286420583</v>
      </c>
      <c r="D24" s="139">
        <f>IF($C$17&lt;B24,0,Valuation_Model!$C$16)</f>
        <v>4.6574870890079501E-2</v>
      </c>
      <c r="E24" s="125">
        <f t="shared" si="0"/>
        <v>0.73502985279645328</v>
      </c>
      <c r="F24" s="126">
        <f t="shared" si="1"/>
        <v>245337.40328334473</v>
      </c>
      <c r="H24" s="121"/>
    </row>
    <row r="25" spans="2:8">
      <c r="B25" s="123">
        <v>5</v>
      </c>
      <c r="C25" s="124">
        <f t="shared" si="2"/>
        <v>349324.5344919042</v>
      </c>
      <c r="D25" s="139">
        <f>IF($C$17&lt;B25,0,Valuation_Model!$C$16)</f>
        <v>4.6574870890079501E-2</v>
      </c>
      <c r="E25" s="125">
        <f t="shared" si="0"/>
        <v>0.68058319703375303</v>
      </c>
      <c r="F25" s="126">
        <f t="shared" si="1"/>
        <v>237744.40848682768</v>
      </c>
      <c r="H25" s="121"/>
    </row>
    <row r="26" spans="2:8">
      <c r="B26" s="123">
        <v>6</v>
      </c>
      <c r="C26" s="124">
        <f t="shared" si="2"/>
        <v>365594.2795846017</v>
      </c>
      <c r="D26" s="139">
        <f>IF($C$17&lt;B26,0,Valuation_Model!$C$16)</f>
        <v>4.6574870890079501E-2</v>
      </c>
      <c r="E26" s="125">
        <f t="shared" si="0"/>
        <v>0.63016962688310452</v>
      </c>
      <c r="F26" s="126">
        <f t="shared" si="1"/>
        <v>230386.41075642584</v>
      </c>
      <c r="H26" s="121"/>
    </row>
    <row r="27" spans="2:8">
      <c r="B27" s="123">
        <v>7</v>
      </c>
      <c r="C27" s="124">
        <f t="shared" si="2"/>
        <v>382621.78595440625</v>
      </c>
      <c r="D27" s="139">
        <f>IF($C$17&lt;B27,0,Valuation_Model!$C$16)</f>
        <v>4.6574870890079501E-2</v>
      </c>
      <c r="E27" s="125">
        <f t="shared" si="0"/>
        <v>0.58349039526213387</v>
      </c>
      <c r="F27" s="126">
        <f t="shared" si="1"/>
        <v>223256.13712244009</v>
      </c>
      <c r="H27" s="121"/>
    </row>
    <row r="28" spans="2:8">
      <c r="B28" s="123">
        <v>8</v>
      </c>
      <c r="C28" s="124">
        <f t="shared" si="2"/>
        <v>400442.34623496438</v>
      </c>
      <c r="D28" s="139">
        <f>IF($C$17&lt;B28,0,Valuation_Model!$C$16)</f>
        <v>4.6574870890079501E-2</v>
      </c>
      <c r="E28" s="125">
        <f t="shared" si="0"/>
        <v>0.54026888450197574</v>
      </c>
      <c r="F28" s="126">
        <f t="shared" si="1"/>
        <v>216346.53970771816</v>
      </c>
      <c r="H28" s="121"/>
    </row>
    <row r="29" spans="2:8">
      <c r="B29" s="123">
        <v>9</v>
      </c>
      <c r="C29" s="124">
        <f t="shared" si="2"/>
        <v>419092.89680977835</v>
      </c>
      <c r="D29" s="139">
        <f>IF($C$17&lt;B29,0,Valuation_Model!$C$16)</f>
        <v>4.6574870890079501E-2</v>
      </c>
      <c r="E29" s="125">
        <f t="shared" si="0"/>
        <v>0.50024896713145905</v>
      </c>
      <c r="F29" s="126">
        <f t="shared" si="1"/>
        <v>209650.78876122276</v>
      </c>
      <c r="H29" s="121"/>
    </row>
    <row r="30" spans="2:8">
      <c r="B30" s="123">
        <v>10</v>
      </c>
      <c r="C30" s="124">
        <f t="shared" si="2"/>
        <v>438612.09436964319</v>
      </c>
      <c r="D30" s="139">
        <f>IF($C$17&lt;B30,0,Valuation_Model!$C$16)</f>
        <v>4.6574870890079501E-2</v>
      </c>
      <c r="E30" s="125">
        <f t="shared" si="0"/>
        <v>0.46319348808468425</v>
      </c>
      <c r="F30" s="126">
        <f t="shared" si="1"/>
        <v>203162.26590720372</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3639635.4879456637</v>
      </c>
      <c r="D51" s="140">
        <f>Terminal_Growth</f>
        <v>0</v>
      </c>
      <c r="E51" s="125">
        <f>1/(1+Equity_Cost)^C17</f>
        <v>0.46319348808468425</v>
      </c>
      <c r="F51" s="126">
        <f t="shared" si="1"/>
        <v>1685855.4570183537</v>
      </c>
      <c r="H51" s="121"/>
    </row>
    <row r="52" spans="1:8">
      <c r="C52" s="115"/>
      <c r="E52" s="128" t="s">
        <v>101</v>
      </c>
      <c r="F52" s="138">
        <f>SUM(F21:F51)</f>
        <v>4035773.5849568034</v>
      </c>
      <c r="H52" s="121"/>
    </row>
    <row r="53" spans="1:8">
      <c r="C53" s="115"/>
      <c r="H53" s="121"/>
    </row>
    <row r="54" spans="1:8" ht="13.15">
      <c r="B54" s="120" t="s">
        <v>130</v>
      </c>
      <c r="C54" s="137"/>
      <c r="D54" s="137"/>
      <c r="E54" s="118"/>
      <c r="F54" s="118"/>
      <c r="H54" s="121"/>
    </row>
    <row r="55" spans="1:8" ht="13.15">
      <c r="A55" s="134">
        <f>F52</f>
        <v>4035773.5849568034</v>
      </c>
      <c r="B55" s="132">
        <f>C78</f>
        <v>0</v>
      </c>
      <c r="C55" s="132">
        <f>C77</f>
        <v>0</v>
      </c>
      <c r="D55" s="132">
        <f>C76</f>
        <v>0.02</v>
      </c>
      <c r="E55" s="132">
        <f>C75</f>
        <v>0.04</v>
      </c>
      <c r="F55" s="132">
        <f>C74</f>
        <v>0.06</v>
      </c>
      <c r="H55" s="121"/>
    </row>
    <row r="56" spans="1:8" ht="13.15">
      <c r="A56" s="144">
        <v>5</v>
      </c>
      <c r="B56" s="124">
        <f t="dataTable" ref="B56:F61" dt2D="1" dtr="1" r1="C16" r2="C17"/>
        <v>3477663.7478886396</v>
      </c>
      <c r="C56" s="124">
        <v>3477663.7478886396</v>
      </c>
      <c r="D56" s="124">
        <v>3589871.3850325947</v>
      </c>
      <c r="E56" s="124">
        <v>3705439.591943562</v>
      </c>
      <c r="F56" s="124">
        <v>3824515.8412791463</v>
      </c>
      <c r="H56" s="121"/>
    </row>
    <row r="57" spans="1:8" ht="13.15">
      <c r="A57" s="144">
        <v>10</v>
      </c>
      <c r="B57" s="124">
        <v>3477663.7478886396</v>
      </c>
      <c r="C57" s="124">
        <v>3477663.7478886396</v>
      </c>
      <c r="D57" s="124">
        <v>3702182.3476787573</v>
      </c>
      <c r="E57" s="124">
        <v>3949203.7902413355</v>
      </c>
      <c r="F57" s="124">
        <v>4221421.1727559101</v>
      </c>
      <c r="H57" s="121"/>
    </row>
    <row r="58" spans="1:8" ht="13.15">
      <c r="A58" s="144">
        <v>15</v>
      </c>
      <c r="B58" s="124">
        <v>3477663.7478886386</v>
      </c>
      <c r="C58" s="124">
        <v>3477663.7478886386</v>
      </c>
      <c r="D58" s="124">
        <v>3841198.3048652271</v>
      </c>
      <c r="E58" s="124">
        <v>4266981.3357135141</v>
      </c>
      <c r="F58" s="124">
        <v>4767379.7692634519</v>
      </c>
      <c r="H58" s="121"/>
    </row>
    <row r="59" spans="1:8" ht="13.15">
      <c r="A59" s="145">
        <v>20</v>
      </c>
      <c r="B59" s="124">
        <v>3477663.7478886386</v>
      </c>
      <c r="C59" s="124">
        <v>3477663.7478886386</v>
      </c>
      <c r="D59" s="124">
        <v>3982833.2715906729</v>
      </c>
      <c r="E59" s="124">
        <v>4609013.587577899</v>
      </c>
      <c r="F59" s="124">
        <v>5390170.1286607934</v>
      </c>
      <c r="H59" s="121"/>
    </row>
    <row r="60" spans="1:8" ht="13.15">
      <c r="A60" s="145">
        <v>25</v>
      </c>
      <c r="B60" s="124">
        <v>3477663.7478886391</v>
      </c>
      <c r="C60" s="124">
        <v>3477663.7478886391</v>
      </c>
      <c r="D60" s="124">
        <v>4114561.6499710018</v>
      </c>
      <c r="E60" s="124">
        <v>4945926.9913557768</v>
      </c>
      <c r="F60" s="124">
        <v>6042835.4894319335</v>
      </c>
      <c r="H60" s="121"/>
    </row>
    <row r="61" spans="1:8" ht="13.15">
      <c r="A61" s="145">
        <v>30</v>
      </c>
      <c r="B61" s="124">
        <v>3477663.7478886386</v>
      </c>
      <c r="C61" s="124">
        <v>3477663.7478886386</v>
      </c>
      <c r="D61" s="124">
        <v>4230764.4041973483</v>
      </c>
      <c r="E61" s="124">
        <v>5261449.379796044</v>
      </c>
      <c r="F61" s="124">
        <v>6695417.9092110517</v>
      </c>
      <c r="H61" s="121"/>
    </row>
    <row r="62" spans="1:8">
      <c r="C62" s="115"/>
      <c r="D62" s="115"/>
      <c r="E62" s="115"/>
      <c r="F62" s="115"/>
      <c r="H62" s="121"/>
    </row>
    <row r="63" spans="1:8" ht="13.15">
      <c r="B63" s="120" t="s">
        <v>131</v>
      </c>
      <c r="C63" s="115"/>
      <c r="D63" s="115"/>
      <c r="E63" s="115"/>
      <c r="F63" s="115"/>
      <c r="H63" s="121"/>
    </row>
    <row r="64" spans="1:8" ht="13.15">
      <c r="B64" s="133">
        <f>B55</f>
        <v>0</v>
      </c>
      <c r="C64" s="133">
        <f>C55</f>
        <v>0</v>
      </c>
      <c r="D64" s="133">
        <f>D55</f>
        <v>0.02</v>
      </c>
      <c r="E64" s="133">
        <f>E55</f>
        <v>0.04</v>
      </c>
      <c r="F64" s="133">
        <f>F55</f>
        <v>0.06</v>
      </c>
      <c r="H64" s="121"/>
    </row>
    <row r="65" spans="1:8" ht="13.15">
      <c r="A65" s="144">
        <v>0</v>
      </c>
      <c r="B65" s="125">
        <f>C12</f>
        <v>28.233641337632509</v>
      </c>
      <c r="C65" s="125">
        <f>C12</f>
        <v>28.233641337632509</v>
      </c>
      <c r="D65" s="125">
        <f>C12</f>
        <v>28.233641337632509</v>
      </c>
      <c r="E65" s="142">
        <f>C12</f>
        <v>28.233641337632509</v>
      </c>
      <c r="F65" s="125">
        <f>C12</f>
        <v>28.233641337632509</v>
      </c>
      <c r="H65" s="121"/>
    </row>
    <row r="66" spans="1:8" ht="13.15">
      <c r="A66" s="144">
        <f t="shared" ref="A66:A71" si="3">A56</f>
        <v>5</v>
      </c>
      <c r="B66" s="125">
        <f t="shared" ref="B66:F71" si="4">(B56-$C$7+$C$8+$C$9)/Common_Shares*$C$3*Exchange_Rate</f>
        <v>28.233641337632498</v>
      </c>
      <c r="C66" s="125">
        <f t="shared" si="4"/>
        <v>28.233641337632498</v>
      </c>
      <c r="D66" s="125">
        <f t="shared" si="4"/>
        <v>29.214335349084344</v>
      </c>
      <c r="E66" s="125">
        <f t="shared" si="4"/>
        <v>30.224400718221471</v>
      </c>
      <c r="F66" s="125">
        <f t="shared" si="4"/>
        <v>31.265126355102474</v>
      </c>
      <c r="H66" s="121"/>
    </row>
    <row r="67" spans="1:8" ht="13.15">
      <c r="A67" s="144">
        <f t="shared" si="3"/>
        <v>10</v>
      </c>
      <c r="B67" s="125">
        <f t="shared" si="4"/>
        <v>28.233641337632498</v>
      </c>
      <c r="C67" s="125">
        <f t="shared" si="4"/>
        <v>28.233641337632498</v>
      </c>
      <c r="D67" s="125">
        <f t="shared" si="4"/>
        <v>30.195932424746655</v>
      </c>
      <c r="E67" s="125">
        <f t="shared" si="4"/>
        <v>32.354898209852024</v>
      </c>
      <c r="F67" s="125">
        <f t="shared" si="4"/>
        <v>34.734076344604517</v>
      </c>
      <c r="H67" s="121"/>
    </row>
    <row r="68" spans="1:8" ht="13.15">
      <c r="A68" s="144">
        <f t="shared" si="3"/>
        <v>15</v>
      </c>
      <c r="B68" s="125">
        <f t="shared" si="4"/>
        <v>28.233641337632491</v>
      </c>
      <c r="C68" s="125">
        <f t="shared" si="4"/>
        <v>28.233641337632491</v>
      </c>
      <c r="D68" s="125">
        <f t="shared" si="4"/>
        <v>31.410930977243687</v>
      </c>
      <c r="E68" s="125">
        <f t="shared" si="4"/>
        <v>35.13227186953096</v>
      </c>
      <c r="F68" s="125">
        <f t="shared" si="4"/>
        <v>39.505750891219357</v>
      </c>
      <c r="H68" s="121"/>
    </row>
    <row r="69" spans="1:8" ht="13.15">
      <c r="A69" s="145">
        <f t="shared" si="3"/>
        <v>20</v>
      </c>
      <c r="B69" s="125">
        <f t="shared" si="4"/>
        <v>28.233641337632491</v>
      </c>
      <c r="C69" s="125">
        <f t="shared" si="4"/>
        <v>28.233641337632491</v>
      </c>
      <c r="D69" s="125">
        <f t="shared" si="4"/>
        <v>32.648819655904887</v>
      </c>
      <c r="E69" s="125">
        <f t="shared" si="4"/>
        <v>38.121631503728224</v>
      </c>
      <c r="F69" s="125">
        <f t="shared" si="4"/>
        <v>44.948934540718561</v>
      </c>
      <c r="H69" s="121"/>
    </row>
    <row r="70" spans="1:8" ht="13.15">
      <c r="A70" s="145">
        <f t="shared" si="3"/>
        <v>25</v>
      </c>
      <c r="B70" s="125">
        <f t="shared" si="4"/>
        <v>28.233641337632495</v>
      </c>
      <c r="C70" s="125">
        <f t="shared" si="4"/>
        <v>28.233641337632495</v>
      </c>
      <c r="D70" s="125">
        <f t="shared" si="4"/>
        <v>33.80012481751448</v>
      </c>
      <c r="E70" s="125">
        <f t="shared" si="4"/>
        <v>41.066252439279438</v>
      </c>
      <c r="F70" s="125">
        <f t="shared" si="4"/>
        <v>50.653225505950779</v>
      </c>
    </row>
    <row r="71" spans="1:8" ht="13.15">
      <c r="A71" s="145">
        <f t="shared" si="3"/>
        <v>30</v>
      </c>
      <c r="B71" s="125">
        <f t="shared" si="4"/>
        <v>28.233641337632491</v>
      </c>
      <c r="C71" s="125">
        <f t="shared" si="4"/>
        <v>28.233641337632491</v>
      </c>
      <c r="D71" s="125">
        <f t="shared" si="4"/>
        <v>34.815736126019146</v>
      </c>
      <c r="E71" s="125">
        <f t="shared" si="4"/>
        <v>43.823916041315485</v>
      </c>
      <c r="F71" s="125">
        <f t="shared" si="4"/>
        <v>56.35679156745762</v>
      </c>
    </row>
    <row r="73" spans="1:8" ht="13.15">
      <c r="B73" s="172" t="s">
        <v>118</v>
      </c>
      <c r="C73" s="172" t="s">
        <v>133</v>
      </c>
      <c r="D73" s="172" t="s">
        <v>113</v>
      </c>
      <c r="E73" s="173" t="s">
        <v>114</v>
      </c>
      <c r="F73" s="173" t="s">
        <v>120</v>
      </c>
    </row>
    <row r="74" spans="1:8">
      <c r="B74" s="128" t="str">
        <f>Scenarios!B54</f>
        <v>Snowball Scenario</v>
      </c>
      <c r="C74" s="143">
        <f>Scenarios!C56</f>
        <v>0.06</v>
      </c>
      <c r="D74" s="146">
        <f>Scenarios!C55</f>
        <v>15</v>
      </c>
      <c r="E74" s="136">
        <f>INDEX(B$65:F$71, MATCH(D74, A$65:A$71, 0), MATCH(C74, B$64:F$64, 0))</f>
        <v>39.505750891219357</v>
      </c>
      <c r="F74" s="143">
        <f>Scenarios!C58</f>
        <v>0.05</v>
      </c>
    </row>
    <row r="75" spans="1:8">
      <c r="B75" s="128" t="str">
        <f>Scenarios!B36</f>
        <v>Optimistic</v>
      </c>
      <c r="C75" s="143">
        <f>Scenarios!C38</f>
        <v>0.04</v>
      </c>
      <c r="D75" s="146">
        <f>Scenarios!C37</f>
        <v>10</v>
      </c>
      <c r="E75" s="136">
        <f>INDEX(B$65:F$71, MATCH(D75, A$65:A$71, 0), MATCH(C75, B$64:F$64, 0))</f>
        <v>32.354898209852024</v>
      </c>
      <c r="F75" s="143">
        <f>Scenarios!C40*(1-F$74-F$78)</f>
        <v>0.18</v>
      </c>
      <c r="H75" s="121"/>
    </row>
    <row r="76" spans="1:8">
      <c r="B76" s="128" t="str">
        <f>Scenarios!B24</f>
        <v>Base</v>
      </c>
      <c r="C76" s="143">
        <f>Scenarios!C26</f>
        <v>0.02</v>
      </c>
      <c r="D76" s="146">
        <f>Scenarios!C25</f>
        <v>10</v>
      </c>
      <c r="E76" s="136">
        <f>INDEX(B$65:F$71, MATCH(D76, A$65:A$71, 0), MATCH(C76, B$64:F$64, 0))</f>
        <v>30.195932424746655</v>
      </c>
      <c r="F76" s="143">
        <f>Scenarios!C28*(1-F$74-F$78)</f>
        <v>0.53999999999999992</v>
      </c>
      <c r="H76" s="121"/>
    </row>
    <row r="77" spans="1:8">
      <c r="B77" s="128" t="str">
        <f>Scenarios!B30</f>
        <v>Pessimistic</v>
      </c>
      <c r="C77" s="143">
        <f>Scenarios!C32</f>
        <v>0</v>
      </c>
      <c r="D77" s="146">
        <f>Scenarios!C31</f>
        <v>10</v>
      </c>
      <c r="E77" s="136">
        <f>INDEX(B$65:F$71, MATCH(D77, A$65:A$71, 0), MATCH(C77, B$64:F$64, 0))</f>
        <v>28.233641337632498</v>
      </c>
      <c r="F77" s="143">
        <f>Scenarios!C34*(1-F$74-F$78)</f>
        <v>0.18</v>
      </c>
      <c r="H77" s="121"/>
    </row>
    <row r="78" spans="1:8">
      <c r="B78" s="128" t="str">
        <f>Scenarios!B48</f>
        <v>Devil's advocate</v>
      </c>
      <c r="C78" s="143">
        <f>Scenarios!C50</f>
        <v>0</v>
      </c>
      <c r="D78" s="146">
        <f>Scenarios!C49</f>
        <v>15</v>
      </c>
      <c r="E78" s="136">
        <f>INDEX(B$65:F$71, MATCH(D78, A$65:A$71, 0), MATCH(C78, B$64:F$64, 0))</f>
        <v>28.233641337632491</v>
      </c>
      <c r="F78" s="143">
        <f>Scenarios!C52</f>
        <v>0.05</v>
      </c>
    </row>
    <row r="79" spans="1:8">
      <c r="B79" s="156"/>
      <c r="C79" s="156"/>
      <c r="D79" s="156"/>
      <c r="E79" s="156"/>
      <c r="F79" s="157"/>
    </row>
    <row r="80" spans="1:8">
      <c r="B80" s="156" t="s">
        <v>319</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303</v>
      </c>
      <c r="I2" s="278"/>
    </row>
    <row r="3" spans="2:9" ht="13.15">
      <c r="B3" s="160" t="s">
        <v>149</v>
      </c>
      <c r="H3" s="276">
        <v>0</v>
      </c>
      <c r="I3" s="264">
        <f>-Market_Price</f>
        <v>-3.99</v>
      </c>
    </row>
    <row r="4" spans="2:9">
      <c r="B4" s="153" t="s">
        <v>147</v>
      </c>
      <c r="C4" s="121">
        <v>3</v>
      </c>
      <c r="D4" s="121"/>
      <c r="E4" s="156" t="s">
        <v>151</v>
      </c>
      <c r="F4" s="156"/>
      <c r="H4" s="276">
        <v>1</v>
      </c>
      <c r="I4" s="264">
        <f t="shared" ref="I4:I13" si="0">IF(ROW()-3 &lt; $C$76, $C$77, IF(ROW()-3 = $C$76, $C$77 + $C$60, ""))</f>
        <v>2.0754716981132075</v>
      </c>
    </row>
    <row r="5" spans="2:9">
      <c r="H5" s="276">
        <v>2</v>
      </c>
      <c r="I5" s="264">
        <f t="shared" si="0"/>
        <v>2.0754716981132075</v>
      </c>
    </row>
    <row r="6" spans="2:9" ht="13.15">
      <c r="B6" s="160" t="s">
        <v>96</v>
      </c>
      <c r="C6" s="107">
        <f>Valuation_Model!C3</f>
        <v>1000000</v>
      </c>
      <c r="E6" s="100" t="s">
        <v>282</v>
      </c>
      <c r="F6" s="100"/>
      <c r="H6" s="276">
        <v>3</v>
      </c>
      <c r="I6" s="264">
        <f t="shared" si="0"/>
        <v>32.674181937466201</v>
      </c>
    </row>
    <row r="7" spans="2:9" ht="12.75" customHeight="1">
      <c r="B7" s="100" t="s">
        <v>276</v>
      </c>
      <c r="C7" s="115">
        <f>Normalized_FCF!G8</f>
        <v>340969</v>
      </c>
      <c r="D7" t="str">
        <f>Reporting_currency</f>
        <v>CNY</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中國石化(0386.HK). Each scenario should include the Compound Growth Rate, the Probability Assessment, and the Business Narrative.</v>
      </c>
      <c r="F7" s="353"/>
      <c r="H7" s="276">
        <v>4</v>
      </c>
      <c r="I7" s="264" t="str">
        <f t="shared" si="0"/>
        <v/>
      </c>
    </row>
    <row r="8" spans="2:9">
      <c r="B8" s="100" t="s">
        <v>66</v>
      </c>
      <c r="C8" s="115">
        <f>Normalized_FCF!G19</f>
        <v>302168</v>
      </c>
      <c r="D8" t="str">
        <f>Reporting_currency</f>
        <v>CNY</v>
      </c>
      <c r="E8" s="353"/>
      <c r="F8" s="353"/>
      <c r="H8" s="276">
        <v>5</v>
      </c>
      <c r="I8" s="264" t="str">
        <f t="shared" si="0"/>
        <v/>
      </c>
    </row>
    <row r="9" spans="2:9">
      <c r="B9" s="100" t="s">
        <v>57</v>
      </c>
      <c r="C9" s="201">
        <f>Normalized_FCF!C19</f>
        <v>278213.09983109124</v>
      </c>
      <c r="D9" t="str">
        <f>Reporting_currency</f>
        <v>CNY</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3.9036649512719679E-2</v>
      </c>
      <c r="D12" s="159"/>
      <c r="E12" s="353"/>
      <c r="F12" s="353"/>
      <c r="H12" s="276">
        <v>9</v>
      </c>
      <c r="I12" s="264" t="str">
        <f t="shared" si="0"/>
        <v/>
      </c>
    </row>
    <row r="13" spans="2:9">
      <c r="B13" s="149" t="s">
        <v>153</v>
      </c>
      <c r="C13" s="159">
        <f ca="1">(Normalized_FCF!G8/OFFSET(Normalized_FCF!G8, 0, $C$4))^(1/$C$4) - 1</f>
        <v>-4.5771520730185866E-2</v>
      </c>
      <c r="E13" s="353"/>
      <c r="F13" s="353"/>
      <c r="H13" s="276">
        <v>10</v>
      </c>
      <c r="I13" s="264" t="str">
        <f t="shared" si="0"/>
        <v/>
      </c>
    </row>
    <row r="14" spans="2:9">
      <c r="B14" s="100" t="s">
        <v>66</v>
      </c>
      <c r="C14" s="159">
        <f ca="1">(Normalized_FCF!G19/OFFSET(Normalized_FCF!G19, 0, $C$4))^(1/$C$4) - 1</f>
        <v>-3.8810272916738997E-2</v>
      </c>
      <c r="E14" s="353"/>
      <c r="F14" s="353"/>
    </row>
    <row r="16" spans="2:9" ht="13.9">
      <c r="B16" s="36" t="s">
        <v>163</v>
      </c>
      <c r="C16" s="37"/>
      <c r="D16" s="37"/>
      <c r="E16" s="37"/>
      <c r="F16" s="37"/>
    </row>
    <row r="17" spans="2:6" ht="13.15">
      <c r="B17" s="109" t="s">
        <v>152</v>
      </c>
      <c r="E17" s="160" t="s">
        <v>339</v>
      </c>
    </row>
    <row r="18" spans="2:6">
      <c r="B18" s="153" t="s">
        <v>134</v>
      </c>
      <c r="C18" s="151">
        <v>10</v>
      </c>
      <c r="E18" s="353" t="s">
        <v>340</v>
      </c>
      <c r="F18" s="354"/>
    </row>
    <row r="19" spans="2:6">
      <c r="E19" s="354"/>
      <c r="F19" s="354"/>
    </row>
    <row r="20" spans="2:6" ht="13.15">
      <c r="B20" s="160" t="s">
        <v>311</v>
      </c>
      <c r="E20" s="354"/>
      <c r="F20" s="354"/>
    </row>
    <row r="21" spans="2:6">
      <c r="B21" s="100" t="s">
        <v>280</v>
      </c>
      <c r="C21" s="161">
        <f>Market_Price</f>
        <v>3.99</v>
      </c>
      <c r="D21" t="str">
        <f>Market_currency</f>
        <v>CNY</v>
      </c>
      <c r="E21" s="354"/>
      <c r="F21" s="354"/>
    </row>
    <row r="22" spans="2:6">
      <c r="B22" s="100" t="s">
        <v>281</v>
      </c>
      <c r="C22" s="161">
        <f>Valuation_Model!C12</f>
        <v>28.233641337632509</v>
      </c>
      <c r="D22" t="str">
        <f>Market_currency</f>
        <v>CNY</v>
      </c>
      <c r="E22" s="354"/>
      <c r="F22" s="354"/>
    </row>
    <row r="24" spans="2:6" ht="13.15">
      <c r="B24" s="160" t="s">
        <v>116</v>
      </c>
      <c r="E24" s="160" t="s">
        <v>150</v>
      </c>
      <c r="F24" s="160"/>
    </row>
    <row r="25" spans="2:6">
      <c r="B25" s="153" t="s">
        <v>134</v>
      </c>
      <c r="C25" s="167">
        <f>C18</f>
        <v>10</v>
      </c>
      <c r="D25" s="164"/>
      <c r="E25" s="352"/>
      <c r="F25" s="352"/>
    </row>
    <row r="26" spans="2:6">
      <c r="B26" s="119" t="s">
        <v>135</v>
      </c>
      <c r="C26" s="165">
        <v>0.02</v>
      </c>
      <c r="D26" s="165"/>
      <c r="E26" s="352"/>
      <c r="F26" s="352"/>
    </row>
    <row r="27" spans="2:6">
      <c r="B27" s="100" t="s">
        <v>114</v>
      </c>
      <c r="C27" s="161">
        <f>Valuation_Model!E76</f>
        <v>30.195932424746655</v>
      </c>
      <c r="D27" s="161" t="str">
        <f>Market_currency</f>
        <v>CNY</v>
      </c>
      <c r="E27" s="352"/>
      <c r="F27" s="352"/>
    </row>
    <row r="28" spans="2:6">
      <c r="B28" s="100" t="s">
        <v>148</v>
      </c>
      <c r="C28" s="166">
        <v>0.6</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v>
      </c>
      <c r="D32" s="165"/>
      <c r="E32" s="352"/>
      <c r="F32" s="352"/>
    </row>
    <row r="33" spans="2:6">
      <c r="B33" s="100" t="s">
        <v>114</v>
      </c>
      <c r="C33" s="161">
        <f>Valuation_Model!E77</f>
        <v>28.233641337632498</v>
      </c>
      <c r="D33" t="str">
        <f>Market_currency</f>
        <v>CNY</v>
      </c>
      <c r="E33" s="352"/>
      <c r="F33" s="352"/>
    </row>
    <row r="34" spans="2:6">
      <c r="B34" s="100" t="s">
        <v>148</v>
      </c>
      <c r="C34" s="166">
        <v>0.2</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0.04</v>
      </c>
      <c r="D38" s="165"/>
      <c r="E38" s="352"/>
      <c r="F38" s="352"/>
    </row>
    <row r="39" spans="2:6">
      <c r="B39" s="100" t="s">
        <v>114</v>
      </c>
      <c r="C39" s="161">
        <f>Valuation_Model!E75</f>
        <v>32.354898209852024</v>
      </c>
      <c r="D39" t="str">
        <f>Market_currency</f>
        <v>CNY</v>
      </c>
      <c r="E39" s="352"/>
      <c r="F39" s="352"/>
    </row>
    <row r="40" spans="2:6">
      <c r="B40" s="100" t="s">
        <v>148</v>
      </c>
      <c r="C40" s="168">
        <f>1-C28-C34</f>
        <v>0.2</v>
      </c>
      <c r="D40" s="166"/>
      <c r="E40" s="352"/>
      <c r="F40" s="352"/>
    </row>
    <row r="42" spans="2:6" ht="13.15">
      <c r="B42" s="100" t="s">
        <v>121</v>
      </c>
      <c r="C42" s="155">
        <f>C27*C28+C33*C34+C39*C40</f>
        <v>30.235267364344896</v>
      </c>
      <c r="D42" t="str">
        <f>Market_currency</f>
        <v>CNY</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v>
      </c>
      <c r="D50" s="165"/>
      <c r="E50" s="352"/>
      <c r="F50" s="352"/>
    </row>
    <row r="51" spans="2:6">
      <c r="B51" s="100" t="s">
        <v>114</v>
      </c>
      <c r="C51" s="161">
        <f>Valuation_Model!E78</f>
        <v>28.233641337632491</v>
      </c>
      <c r="D51" t="str">
        <f>Market_currency</f>
        <v>CNY</v>
      </c>
      <c r="E51" s="352"/>
      <c r="F51" s="352"/>
    </row>
    <row r="52" spans="2:6">
      <c r="B52" s="100" t="s">
        <v>148</v>
      </c>
      <c r="C52" s="166">
        <v>0.05</v>
      </c>
      <c r="D52" s="166"/>
      <c r="E52" s="352"/>
      <c r="F52" s="352"/>
    </row>
    <row r="54" spans="2:6" ht="13.15">
      <c r="B54" s="160" t="s">
        <v>325</v>
      </c>
      <c r="E54" s="160" t="s">
        <v>150</v>
      </c>
      <c r="F54" s="160"/>
    </row>
    <row r="55" spans="2:6">
      <c r="B55" s="153" t="s">
        <v>134</v>
      </c>
      <c r="C55" s="167">
        <f>C46</f>
        <v>15</v>
      </c>
      <c r="D55" s="164"/>
      <c r="E55" s="352"/>
      <c r="F55" s="352"/>
    </row>
    <row r="56" spans="2:6">
      <c r="B56" s="119" t="s">
        <v>135</v>
      </c>
      <c r="C56" s="165">
        <v>0.06</v>
      </c>
      <c r="D56" s="165"/>
      <c r="E56" s="352"/>
      <c r="F56" s="352"/>
    </row>
    <row r="57" spans="2:6">
      <c r="B57" s="100" t="s">
        <v>114</v>
      </c>
      <c r="C57" s="161">
        <f>Valuation_Model!E74</f>
        <v>39.505750891219357</v>
      </c>
      <c r="D57" t="str">
        <f>Market_currency</f>
        <v>CNY</v>
      </c>
      <c r="E57" s="352"/>
      <c r="F57" s="352"/>
    </row>
    <row r="58" spans="2:6">
      <c r="B58" s="100" t="s">
        <v>148</v>
      </c>
      <c r="C58" s="166">
        <v>0.05</v>
      </c>
      <c r="D58" s="166"/>
      <c r="E58" s="352"/>
      <c r="F58" s="352"/>
    </row>
    <row r="60" spans="2:6" ht="13.15">
      <c r="B60" s="100" t="s">
        <v>121</v>
      </c>
      <c r="C60" s="155">
        <f>C51*C52+C57*C58+C42*(1-C52-C58)</f>
        <v>30.598710239352997</v>
      </c>
      <c r="D60" t="str">
        <f>Market_currency</f>
        <v>CNY</v>
      </c>
      <c r="E60" s="100" t="s">
        <v>304</v>
      </c>
      <c r="F60" s="312">
        <f>Thesis!E25</f>
        <v>3</v>
      </c>
    </row>
    <row r="62" spans="2:6" ht="13.9">
      <c r="B62" s="36" t="s">
        <v>359</v>
      </c>
      <c r="C62" s="37"/>
      <c r="D62" s="37"/>
      <c r="E62" s="37"/>
      <c r="F62" s="37"/>
    </row>
    <row r="63" spans="2:6" ht="13.15">
      <c r="B63" s="109" t="s">
        <v>312</v>
      </c>
      <c r="E63" s="282" t="s">
        <v>320</v>
      </c>
    </row>
    <row r="64" spans="2:6">
      <c r="B64" s="153" t="s">
        <v>134</v>
      </c>
      <c r="C64" s="167">
        <f>C18</f>
        <v>10</v>
      </c>
      <c r="D64" s="151"/>
      <c r="E64" s="281" t="s">
        <v>406</v>
      </c>
    </row>
    <row r="65" spans="2:6">
      <c r="B65" s="119" t="s">
        <v>135</v>
      </c>
      <c r="C65" s="152">
        <v>4.6574870890079501E-2</v>
      </c>
      <c r="D65" s="152"/>
      <c r="E65" s="281" t="s">
        <v>321</v>
      </c>
    </row>
    <row r="66" spans="2:6">
      <c r="B66" s="100" t="s">
        <v>103</v>
      </c>
      <c r="C66" s="161">
        <f>Valuation_Model!C18</f>
        <v>33.111517646915438</v>
      </c>
      <c r="D66" s="161" t="str">
        <f>Market_currency</f>
        <v>CNY</v>
      </c>
      <c r="E66" s="281" t="s">
        <v>322</v>
      </c>
    </row>
    <row r="68" spans="2:6" ht="13.15">
      <c r="B68" s="109" t="s">
        <v>360</v>
      </c>
      <c r="E68" s="282" t="s">
        <v>323</v>
      </c>
    </row>
    <row r="69" spans="2:6">
      <c r="B69" s="100" t="s">
        <v>313</v>
      </c>
      <c r="C69" s="273" t="str">
        <f>IF(C60&lt;C22,"Y","N")</f>
        <v>N</v>
      </c>
      <c r="E69" s="135"/>
    </row>
    <row r="70" spans="2:6">
      <c r="B70" s="100" t="s">
        <v>301</v>
      </c>
      <c r="C70" s="273" t="str">
        <f>IF(C69="Y","N",IF(C65&gt;8%,"N","Y"))</f>
        <v>Y</v>
      </c>
      <c r="E70" s="281" t="s">
        <v>302</v>
      </c>
    </row>
    <row r="71" spans="2:6">
      <c r="B71" s="100" t="s">
        <v>300</v>
      </c>
      <c r="C71" s="273" t="str">
        <f>IF(C65&gt;8%,"Y","N")</f>
        <v>N</v>
      </c>
      <c r="E71" s="281"/>
    </row>
    <row r="72" spans="2:6">
      <c r="B72" s="100" t="s">
        <v>292</v>
      </c>
      <c r="C72" s="272" t="str">
        <f>IF(F72&gt;50%,"Y","N")</f>
        <v>N</v>
      </c>
      <c r="E72" s="135" t="s">
        <v>356</v>
      </c>
      <c r="F72" s="329">
        <f>BS!D89/C60</f>
        <v>-7.0627714511882198E-2</v>
      </c>
    </row>
    <row r="74" spans="2:6" ht="13.9">
      <c r="B74" s="36" t="s">
        <v>128</v>
      </c>
      <c r="C74" s="37"/>
      <c r="D74" s="37"/>
      <c r="E74" s="37"/>
      <c r="F74" s="37"/>
    </row>
    <row r="75" spans="2:6" ht="13.15">
      <c r="B75" s="109" t="s">
        <v>126</v>
      </c>
    </row>
    <row r="76" spans="2:6">
      <c r="B76" s="275" t="s">
        <v>305</v>
      </c>
      <c r="C76" s="274">
        <f>F60</f>
        <v>3</v>
      </c>
      <c r="D76" s="135"/>
    </row>
    <row r="77" spans="2:6">
      <c r="B77" s="100" t="s">
        <v>112</v>
      </c>
      <c r="C77" s="174">
        <f>Normalized_FCF!C90</f>
        <v>2.0754716981132075</v>
      </c>
      <c r="D77" t="str">
        <f>Market_currency</f>
        <v>CNY</v>
      </c>
    </row>
    <row r="79" spans="2:6" ht="13.15">
      <c r="B79" s="109" t="s">
        <v>309</v>
      </c>
    </row>
    <row r="80" spans="2:6">
      <c r="B80" s="149" t="s">
        <v>307</v>
      </c>
      <c r="C80" s="168">
        <f>Thesis!C132</f>
        <v>0.3</v>
      </c>
    </row>
    <row r="81" spans="2:8">
      <c r="B81" s="100" t="s">
        <v>122</v>
      </c>
      <c r="C81" s="117">
        <f>PV(C80, C76, -C77, 0)</f>
        <v>3.7692908855128362</v>
      </c>
      <c r="D81" s="117"/>
      <c r="E81" s="100"/>
      <c r="F81" s="100"/>
    </row>
    <row r="82" spans="2:8">
      <c r="B82" s="100" t="s">
        <v>123</v>
      </c>
      <c r="C82" s="117">
        <f>C60/(1+C80)^C76</f>
        <v>13.927496695199357</v>
      </c>
      <c r="D82" s="117"/>
    </row>
    <row r="83" spans="2:8" ht="13.15">
      <c r="B83" s="111" t="s">
        <v>102</v>
      </c>
      <c r="C83" s="112">
        <f>C81+C82</f>
        <v>17.696787580712193</v>
      </c>
      <c r="D83" t="str">
        <f>Market_currency</f>
        <v>CNY</v>
      </c>
      <c r="E83" s="147" t="s">
        <v>127</v>
      </c>
      <c r="F83" s="329">
        <f>(1-C83/C60)</f>
        <v>0.42164923154334921</v>
      </c>
    </row>
    <row r="84" spans="2:8">
      <c r="E84" s="121"/>
    </row>
    <row r="85" spans="2:8" ht="13.15">
      <c r="B85" s="109" t="s">
        <v>310</v>
      </c>
    </row>
    <row r="86" spans="2:8">
      <c r="B86" s="149" t="s">
        <v>308</v>
      </c>
      <c r="C86" s="266">
        <f>Market_Price</f>
        <v>3.99</v>
      </c>
      <c r="D86" t="str">
        <f>Market_currency</f>
        <v>CNY</v>
      </c>
    </row>
    <row r="87" spans="2:8" ht="13.15">
      <c r="B87" s="100" t="s">
        <v>306</v>
      </c>
      <c r="C87" s="265">
        <f ca="1">IRR(OFFSET($I$3, 0, 0, $C$76 + 1, 1))</f>
        <v>1.2976894231064677</v>
      </c>
    </row>
    <row r="88" spans="2:8">
      <c r="B88" s="100"/>
    </row>
    <row r="89" spans="2:8" ht="13.15">
      <c r="B89" s="109" t="s">
        <v>425</v>
      </c>
    </row>
    <row r="90" spans="2:8">
      <c r="B90" s="149" t="s">
        <v>426</v>
      </c>
      <c r="C90" s="168">
        <f>Thesis!E24</f>
        <v>0.2</v>
      </c>
    </row>
    <row r="91" spans="2:8">
      <c r="B91" s="100" t="s">
        <v>122</v>
      </c>
      <c r="C91" s="117">
        <f>PV(C90, C76, -C77, 0)</f>
        <v>4.3719426974143953</v>
      </c>
      <c r="D91" s="117"/>
      <c r="E91" s="100"/>
      <c r="F91" s="100"/>
    </row>
    <row r="92" spans="2:8">
      <c r="B92" s="100" t="s">
        <v>123</v>
      </c>
      <c r="C92" s="117">
        <f>C60/(1+C90)^C76</f>
        <v>17.707586944070023</v>
      </c>
      <c r="D92" s="117"/>
    </row>
    <row r="93" spans="2:8" ht="13.15">
      <c r="B93" s="111" t="s">
        <v>102</v>
      </c>
      <c r="C93" s="112">
        <f>C91+C92</f>
        <v>22.07952964148442</v>
      </c>
      <c r="D93" t="str">
        <f>Market_currency</f>
        <v>CNY</v>
      </c>
      <c r="E93" s="147" t="s">
        <v>127</v>
      </c>
      <c r="F93" s="329">
        <f>(1-C93/C60)</f>
        <v>0.27841632968281327</v>
      </c>
    </row>
    <row r="95" spans="2:8" ht="13.15">
      <c r="B95" s="109" t="s">
        <v>408</v>
      </c>
      <c r="G95" s="2"/>
      <c r="H95" s="316"/>
    </row>
    <row r="96" spans="2:8">
      <c r="B96" s="149" t="s">
        <v>414</v>
      </c>
      <c r="C96" s="135">
        <f>Thesis!C72</f>
        <v>0.08</v>
      </c>
      <c r="G96" s="2"/>
      <c r="H96" s="316"/>
    </row>
    <row r="97" spans="2:8">
      <c r="B97" s="100" t="s">
        <v>122</v>
      </c>
      <c r="C97" s="117">
        <f>PV(C96, C76, -C77, 0)</f>
        <v>5.3486918603257889</v>
      </c>
      <c r="D97" s="117"/>
      <c r="G97" s="2"/>
      <c r="H97" s="316"/>
    </row>
    <row r="98" spans="2:8">
      <c r="B98" s="100" t="s">
        <v>123</v>
      </c>
      <c r="C98" s="117">
        <f>C60/(1+C96)^C76</f>
        <v>24.290242721632399</v>
      </c>
      <c r="D98" s="117"/>
      <c r="G98" s="2"/>
      <c r="H98" s="316"/>
    </row>
    <row r="99" spans="2:8" ht="13.15">
      <c r="B99" s="111" t="s">
        <v>409</v>
      </c>
      <c r="C99" s="112">
        <f>C97+C98</f>
        <v>29.638934581958189</v>
      </c>
      <c r="D99" t="s">
        <v>407</v>
      </c>
      <c r="E99" s="147" t="s">
        <v>127</v>
      </c>
      <c r="F99" s="329">
        <f>(1-C99/C60)</f>
        <v>3.1366539631478951E-2</v>
      </c>
    </row>
    <row r="100" spans="2:8">
      <c r="B100" s="100"/>
    </row>
    <row r="101" spans="2:8" ht="14.65">
      <c r="E101" s="320" t="s">
        <v>334</v>
      </c>
      <c r="F101" s="317"/>
    </row>
    <row r="102" spans="2:8" ht="13.9">
      <c r="E102" s="313" t="s">
        <v>335</v>
      </c>
      <c r="F102" s="318" t="s">
        <v>336</v>
      </c>
    </row>
    <row r="103" spans="2:8" ht="13.9">
      <c r="E103" s="314" t="s">
        <v>335</v>
      </c>
      <c r="F103" s="318" t="s">
        <v>337</v>
      </c>
    </row>
    <row r="104" spans="2:8" ht="13.9">
      <c r="E104" s="315" t="s">
        <v>335</v>
      </c>
      <c r="F104" s="319" t="s">
        <v>338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2025-05-15T11:07:12Z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