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5DD1AEDB-C055-482C-BE1A-43998D99658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76" i="3" l="1"/>
  <c r="C73" i="3"/>
  <c r="D73" i="3"/>
  <c r="I50" i="2"/>
  <c r="J50" i="2"/>
  <c r="K50" i="2"/>
  <c r="L50" i="2"/>
  <c r="M50" i="2"/>
  <c r="N50" i="2"/>
  <c r="O50" i="2"/>
  <c r="P50" i="2"/>
  <c r="Q50" i="2"/>
  <c r="I48" i="2"/>
  <c r="J48" i="2"/>
  <c r="K48" i="2"/>
  <c r="L48" i="2"/>
  <c r="M48" i="2"/>
  <c r="N48" i="2"/>
  <c r="O48" i="2"/>
  <c r="P48" i="2"/>
  <c r="Q48" i="2"/>
  <c r="D41" i="6"/>
  <c r="D40" i="6"/>
  <c r="E86" i="2"/>
  <c r="E85" i="2"/>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6" i="6"/>
  <c r="C94" i="6"/>
  <c r="G67" i="2"/>
  <c r="C60" i="2"/>
  <c r="C67" i="2" l="1"/>
  <c r="C59" i="2" s="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L38" i="4"/>
  <c r="E38" i="4"/>
  <c r="E43" i="4" s="1"/>
  <c r="M38" i="4"/>
  <c r="C10" i="6"/>
  <c r="B4" i="6"/>
  <c r="Q93" i="2" l="1"/>
  <c r="O93" i="2"/>
  <c r="K93" i="2"/>
  <c r="P93" i="2"/>
  <c r="J93" i="2"/>
  <c r="H93" i="2"/>
  <c r="C4"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C28" i="2" s="1"/>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9" i="2" l="1"/>
  <c r="C24" i="2" s="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C74" i="3" l="1"/>
  <c r="C25" i="2"/>
  <c r="C10" i="2"/>
  <c r="K73" i="2"/>
  <c r="I73" i="2"/>
  <c r="H73" i="2"/>
  <c r="J73" i="2"/>
  <c r="L73" i="2"/>
  <c r="L63" i="2"/>
  <c r="L79" i="2" s="1"/>
  <c r="K63" i="2"/>
  <c r="K79" i="2" s="1"/>
  <c r="I63" i="2"/>
  <c r="I79" i="2" s="1"/>
  <c r="N74" i="2"/>
  <c r="C79" i="2"/>
  <c r="H6" i="2"/>
  <c r="H8" i="2" s="1"/>
  <c r="K6" i="2"/>
  <c r="K8" i="2" s="1"/>
  <c r="K43" i="2" s="1"/>
  <c r="G6" i="2"/>
  <c r="G8" i="2" s="1"/>
  <c r="I6" i="2"/>
  <c r="I8" i="2" s="1"/>
  <c r="L6" i="2"/>
  <c r="L8" i="2" s="1"/>
  <c r="L55" i="2" s="1"/>
  <c r="J6" i="2"/>
  <c r="J8" i="2" s="1"/>
  <c r="C75" i="2"/>
  <c r="C40" i="2"/>
  <c r="D74" i="3" l="1"/>
  <c r="C30" i="2"/>
  <c r="C5" i="2"/>
  <c r="C6" i="2" s="1"/>
  <c r="C8" i="2" s="1"/>
  <c r="C34" i="6"/>
  <c r="I55" i="2"/>
  <c r="I43" i="2"/>
  <c r="H55" i="2"/>
  <c r="J55" i="2"/>
  <c r="J43" i="2"/>
  <c r="G55" i="2"/>
  <c r="C7" i="9"/>
  <c r="K55" i="2"/>
  <c r="C13" i="9"/>
  <c r="G79" i="2"/>
  <c r="L74" i="2"/>
  <c r="I74" i="2"/>
  <c r="H74" i="2"/>
  <c r="G74" i="2"/>
  <c r="K74" i="2"/>
  <c r="J74" i="2"/>
  <c r="C104" i="2"/>
  <c r="D75" i="3" l="1"/>
  <c r="D55" i="3"/>
  <c r="G29" i="3"/>
  <c r="D62" i="3" s="1"/>
  <c r="C48" i="2" l="1"/>
  <c r="D66" i="3"/>
  <c r="C8" i="8" s="1"/>
  <c r="D51" i="3"/>
  <c r="C46" i="3"/>
  <c r="C47" i="3" s="1"/>
  <c r="C62" i="3"/>
  <c r="C83" i="2" s="1"/>
  <c r="C40" i="6" l="1"/>
  <c r="G48" i="2"/>
  <c r="G50" i="2" s="1"/>
  <c r="G12" i="2" s="1"/>
  <c r="H48" i="2"/>
  <c r="H50" i="2" s="1"/>
  <c r="H12" i="2" s="1"/>
  <c r="C90" i="6"/>
  <c r="C91" i="6" s="1"/>
  <c r="C87" i="3"/>
  <c r="D87" i="3" s="1"/>
  <c r="C15" i="2"/>
  <c r="G1" i="2"/>
  <c r="H80" i="2" l="1"/>
  <c r="H43" i="2"/>
  <c r="G80" i="2"/>
  <c r="G43" i="2"/>
  <c r="C45" i="6"/>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<sst xmlns="http://schemas.openxmlformats.org/spreadsheetml/2006/main" count="562" uniqueCount="392">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</sst>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1" fillId="0" borderId="1" xfId="0" applyFont="1" applyBorder="1" applyAlignment="1">
      <alignment horizontal="right"/>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B12" sqref="B12:F1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43</v>
      </c>
      <c r="C1" s="44">
        <v>45730</v>
      </c>
      <c r="D1" s="52"/>
      <c r="E1" s="347" t="s">
        <v>391</v>
      </c>
      <c r="F1" s="290" t="s">
        <v>306</v>
      </c>
    </row>
    <row r="2" spans="1:10" ht="13.9" x14ac:dyDescent="0.45">
      <c r="A2" s="253" t="s">
        <v>280</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344</v>
      </c>
      <c r="C5" s="48" t="s">
        <v>364</v>
      </c>
      <c r="D5" s="49" t="s">
        <v>365</v>
      </c>
    </row>
    <row r="6" spans="1:10" x14ac:dyDescent="0.35">
      <c r="B6" s="4" t="s">
        <v>98</v>
      </c>
      <c r="C6" s="50">
        <v>7.9</v>
      </c>
      <c r="D6" s="48" t="s">
        <v>42</v>
      </c>
      <c r="E6" s="48"/>
    </row>
    <row r="7" spans="1:10" x14ac:dyDescent="0.35">
      <c r="B7" s="4" t="s">
        <v>0</v>
      </c>
      <c r="C7" s="51">
        <v>8171879936</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7" t="s">
        <v>285</v>
      </c>
      <c r="C12" s="337"/>
      <c r="D12" s="337"/>
      <c r="E12" s="337"/>
      <c r="F12" s="337"/>
    </row>
    <row r="14" spans="1:10" x14ac:dyDescent="0.35">
      <c r="B14" s="45" t="s">
        <v>332</v>
      </c>
      <c r="C14" s="46"/>
      <c r="D14" s="5"/>
    </row>
    <row r="15" spans="1:10" x14ac:dyDescent="0.35">
      <c r="B15" s="2" t="s">
        <v>386</v>
      </c>
      <c r="C15" s="32" t="str">
        <f>IF(Scenarios!C69="Y",Scenarios!B69,"")&amp;IF(Scenarios!C70="Y",Scenarios!B70,"")&amp;IF(Scenarios!C71="Y",Scenarios!B71,"")&amp;" "&amp;IF(Scenarios!C72="Y",Scenarios!B72,"")</f>
        <v>Negative Growth Asset Play</v>
      </c>
      <c r="E15" s="5"/>
    </row>
    <row r="16" spans="1:10" x14ac:dyDescent="0.35">
      <c r="B16" s="4" t="s">
        <v>385</v>
      </c>
      <c r="C16" s="48" t="s">
        <v>42</v>
      </c>
      <c r="D16" s="32"/>
      <c r="E16" s="5"/>
    </row>
    <row r="17" spans="1:6" x14ac:dyDescent="0.35">
      <c r="B17" s="4" t="s">
        <v>1</v>
      </c>
      <c r="C17" s="50">
        <v>1</v>
      </c>
      <c r="D17" s="32" t="str">
        <f>IF(C16=D6,D6,C16&amp;"/"&amp;D6)</f>
        <v>HKD</v>
      </c>
      <c r="E17" s="5"/>
    </row>
    <row r="18" spans="1:6" x14ac:dyDescent="0.35">
      <c r="B18" s="2" t="s">
        <v>59</v>
      </c>
      <c r="C18" s="48" t="s">
        <v>346</v>
      </c>
      <c r="E18" s="5"/>
    </row>
    <row r="19" spans="1:6" x14ac:dyDescent="0.35">
      <c r="B19" s="2" t="s">
        <v>292</v>
      </c>
      <c r="C19" s="255">
        <v>0.2</v>
      </c>
      <c r="E19" s="5"/>
    </row>
    <row r="20" spans="1:6" x14ac:dyDescent="0.35">
      <c r="B20" s="2" t="str">
        <f>"Target Buy Price ("&amp;Market_currency&amp;"):"</f>
        <v>Target Buy Price (HKD):</v>
      </c>
      <c r="C20" s="258">
        <f>C127</f>
        <v>6.4883606756817951</v>
      </c>
      <c r="D20" s="1" t="s">
        <v>335</v>
      </c>
      <c r="E20" s="336">
        <v>3</v>
      </c>
    </row>
    <row r="21" spans="1:6" x14ac:dyDescent="0.35">
      <c r="B21" s="1" t="s">
        <v>334</v>
      </c>
      <c r="C21" s="286">
        <f ca="1">Scenarios!C87</f>
        <v>0.1185224959199922</v>
      </c>
      <c r="D21" s="5"/>
      <c r="E21" s="5"/>
    </row>
    <row r="22" spans="1:6" x14ac:dyDescent="0.35">
      <c r="D22" s="5"/>
      <c r="E22" s="5"/>
    </row>
    <row r="23" spans="1:6" ht="13.9" x14ac:dyDescent="0.45">
      <c r="A23" s="253" t="s">
        <v>234</v>
      </c>
      <c r="B23" s="36"/>
      <c r="C23" s="36"/>
      <c r="D23" s="36"/>
      <c r="E23" s="36"/>
      <c r="F23" s="36"/>
    </row>
    <row r="25" spans="1:6" x14ac:dyDescent="0.35">
      <c r="B25" s="337" t="s">
        <v>235</v>
      </c>
      <c r="C25" s="337"/>
      <c r="D25" s="337"/>
      <c r="E25" s="337"/>
      <c r="F25" s="337"/>
    </row>
    <row r="26" spans="1:6" ht="24.4" customHeight="1" x14ac:dyDescent="0.35">
      <c r="B26" s="341" t="s">
        <v>375</v>
      </c>
      <c r="C26" s="341"/>
      <c r="D26" s="341"/>
      <c r="E26" s="341"/>
      <c r="F26" s="341"/>
    </row>
    <row r="28" spans="1:6" x14ac:dyDescent="0.35">
      <c r="B28" s="240" t="s">
        <v>236</v>
      </c>
      <c r="C28" s="111">
        <f>Data!C3</f>
        <v>1000000</v>
      </c>
    </row>
    <row r="29" spans="1:6" ht="24.4" customHeight="1" x14ac:dyDescent="0.35">
      <c r="B29" s="339" t="s">
        <v>237</v>
      </c>
      <c r="C29" s="339"/>
      <c r="D29" s="339"/>
      <c r="E29" s="339"/>
      <c r="F29" s="339"/>
    </row>
    <row r="30" spans="1:6" x14ac:dyDescent="0.35">
      <c r="B30" s="47" t="s">
        <v>238</v>
      </c>
      <c r="C30" s="191">
        <f>Normalized_FCF!C8</f>
        <v>2591.8202592374382</v>
      </c>
      <c r="D30" s="1" t="str">
        <f>Reporting_currency</f>
        <v>HKD</v>
      </c>
    </row>
    <row r="31" spans="1:6" x14ac:dyDescent="0.35">
      <c r="B31" s="47"/>
      <c r="C31" s="78"/>
    </row>
    <row r="32" spans="1:6" ht="24.4" customHeight="1" x14ac:dyDescent="0.35">
      <c r="B32" s="339" t="s">
        <v>239</v>
      </c>
      <c r="C32" s="339"/>
      <c r="D32" s="339"/>
      <c r="E32" s="339"/>
      <c r="F32" s="339"/>
    </row>
    <row r="33" spans="2:6" x14ac:dyDescent="0.35">
      <c r="B33" s="47" t="s">
        <v>240</v>
      </c>
      <c r="C33" s="191">
        <f>Normalized_FCF!C9</f>
        <v>159.99999999999997</v>
      </c>
      <c r="D33" s="1" t="str">
        <f>Reporting_currency</f>
        <v>HKD</v>
      </c>
    </row>
    <row r="34" spans="2:6" x14ac:dyDescent="0.35">
      <c r="B34" s="52" t="s">
        <v>241</v>
      </c>
      <c r="C34" s="191">
        <f>Normalized_FCF!C10</f>
        <v>-159.99999999999997</v>
      </c>
      <c r="D34" s="1" t="str">
        <f>Reporting_currency</f>
        <v>HKD</v>
      </c>
    </row>
    <row r="36" spans="2:6" x14ac:dyDescent="0.35">
      <c r="B36" s="339" t="s">
        <v>242</v>
      </c>
      <c r="C36" s="339"/>
      <c r="D36" s="339"/>
      <c r="E36" s="339"/>
      <c r="F36" s="339"/>
    </row>
    <row r="37" spans="2:6" x14ac:dyDescent="0.35">
      <c r="B37" s="47" t="s">
        <v>243</v>
      </c>
      <c r="C37" s="191">
        <f>Normalized_FCF!C11</f>
        <v>639</v>
      </c>
      <c r="D37" s="1" t="str">
        <f>Reporting_currency</f>
        <v>HKD</v>
      </c>
    </row>
    <row r="39" spans="2:6" x14ac:dyDescent="0.35">
      <c r="B39" s="339" t="s">
        <v>246</v>
      </c>
      <c r="C39" s="339"/>
      <c r="D39" s="339"/>
      <c r="E39" s="339"/>
      <c r="F39" s="339"/>
    </row>
    <row r="40" spans="2:6" x14ac:dyDescent="0.35">
      <c r="B40" s="47" t="s">
        <v>376</v>
      </c>
      <c r="C40" s="328">
        <f>Normalized_FCF!C48</f>
        <v>163.69305155463843</v>
      </c>
      <c r="D40" s="1" t="str">
        <f>Reporting_currency</f>
        <v>HKD</v>
      </c>
      <c r="E40" s="327"/>
      <c r="F40" s="327"/>
    </row>
    <row r="41" spans="2:6" x14ac:dyDescent="0.35">
      <c r="B41" s="47" t="s">
        <v>377</v>
      </c>
      <c r="C41" s="328">
        <f>Normalized_FCF!C47</f>
        <v>-43</v>
      </c>
      <c r="D41" s="1" t="str">
        <f>Reporting_currency</f>
        <v>HKD</v>
      </c>
      <c r="E41" s="327"/>
      <c r="F41" s="327"/>
    </row>
    <row r="42" spans="2:6" x14ac:dyDescent="0.35">
      <c r="B42" s="47" t="s">
        <v>244</v>
      </c>
      <c r="C42" s="191">
        <f>Normalized_FCF!C12</f>
        <v>120.69305155463843</v>
      </c>
      <c r="D42" s="1" t="str">
        <f>Reporting_currency</f>
        <v>HKD</v>
      </c>
    </row>
    <row r="44" spans="2:6" x14ac:dyDescent="0.35">
      <c r="B44" s="1" t="s">
        <v>252</v>
      </c>
    </row>
    <row r="45" spans="2:6" x14ac:dyDescent="0.35">
      <c r="B45" s="47" t="s">
        <v>278</v>
      </c>
      <c r="C45" s="191">
        <f>Normalized_FCF!C15</f>
        <v>-22.869707937042335</v>
      </c>
      <c r="D45" s="1" t="str">
        <f>Reporting_currency</f>
        <v>HKD</v>
      </c>
    </row>
    <row r="47" spans="2:6" x14ac:dyDescent="0.35">
      <c r="B47" s="339" t="s">
        <v>247</v>
      </c>
      <c r="C47" s="339"/>
      <c r="D47" s="339"/>
      <c r="E47" s="339"/>
      <c r="F47" s="339"/>
    </row>
    <row r="48" spans="2:6" x14ac:dyDescent="0.35">
      <c r="B48" s="47" t="s">
        <v>245</v>
      </c>
      <c r="C48" s="191">
        <f>Normalized_FCF!C14</f>
        <v>-804.36319459009837</v>
      </c>
      <c r="D48" s="1" t="str">
        <f>Reporting_currency</f>
        <v>HKD</v>
      </c>
    </row>
    <row r="50" spans="1:6" x14ac:dyDescent="0.35">
      <c r="B50" s="339" t="s">
        <v>374</v>
      </c>
      <c r="C50" s="340"/>
      <c r="D50" s="340"/>
      <c r="E50" s="340"/>
      <c r="F50" s="340"/>
    </row>
    <row r="51" spans="1:6" x14ac:dyDescent="0.35">
      <c r="B51" s="47" t="s">
        <v>248</v>
      </c>
      <c r="C51" s="1">
        <f>Normalized_FCF!C17</f>
        <v>0</v>
      </c>
      <c r="D51" s="1" t="str">
        <f>Reporting_currency</f>
        <v>HKD</v>
      </c>
    </row>
    <row r="53" spans="1:6" ht="24.4" customHeight="1" x14ac:dyDescent="0.35">
      <c r="B53" s="337" t="s">
        <v>379</v>
      </c>
      <c r="C53" s="337"/>
      <c r="D53" s="337"/>
      <c r="E53" s="337"/>
      <c r="F53" s="337"/>
    </row>
    <row r="54" spans="1:6" ht="24.4" customHeight="1" x14ac:dyDescent="0.35">
      <c r="B54" s="337" t="s">
        <v>267</v>
      </c>
      <c r="C54" s="337"/>
      <c r="D54" s="337"/>
      <c r="E54" s="337"/>
      <c r="F54" s="337"/>
    </row>
    <row r="56" spans="1:6" x14ac:dyDescent="0.35">
      <c r="B56" s="47" t="s">
        <v>284</v>
      </c>
      <c r="C56" s="191">
        <f>Normalized_FCF!G19</f>
        <v>2772.792068232593</v>
      </c>
      <c r="D56" s="1" t="str">
        <f>Reporting_currency</f>
        <v>HKD</v>
      </c>
    </row>
    <row r="57" spans="1:6" x14ac:dyDescent="0.35">
      <c r="B57" s="47" t="s">
        <v>254</v>
      </c>
      <c r="C57" s="191">
        <f>Normalized_FCF!C19</f>
        <v>2524.2804082649359</v>
      </c>
      <c r="D57" s="1" t="str">
        <f>Reporting_currency</f>
        <v>HKD</v>
      </c>
    </row>
    <row r="58" spans="1:6" x14ac:dyDescent="0.35">
      <c r="B58" s="260" t="s">
        <v>283</v>
      </c>
      <c r="C58" s="94">
        <f>Normalized_FCF!C121</f>
        <v>3.9101059744590508E-2</v>
      </c>
    </row>
    <row r="59" spans="1:6" x14ac:dyDescent="0.35">
      <c r="B59" s="260" t="s">
        <v>336</v>
      </c>
      <c r="C59" s="94">
        <f>Normalized_FCF!C93</f>
        <v>7.3417721518987331E-2</v>
      </c>
    </row>
    <row r="61" spans="1:6" ht="13.9" x14ac:dyDescent="0.45">
      <c r="A61" s="253" t="s">
        <v>301</v>
      </c>
      <c r="B61" s="36"/>
      <c r="C61" s="36"/>
      <c r="D61" s="36"/>
      <c r="E61" s="36"/>
      <c r="F61" s="36"/>
    </row>
    <row r="62" spans="1:6" x14ac:dyDescent="0.35">
      <c r="A62" s="239"/>
    </row>
    <row r="63" spans="1:6" ht="24.4" customHeight="1" x14ac:dyDescent="0.35">
      <c r="A63" s="17"/>
      <c r="B63" s="339" t="s">
        <v>302</v>
      </c>
      <c r="C63" s="339"/>
      <c r="D63" s="339"/>
      <c r="E63" s="339"/>
      <c r="F63" s="339"/>
    </row>
    <row r="64" spans="1:6" x14ac:dyDescent="0.35">
      <c r="B64" s="341" t="s">
        <v>258</v>
      </c>
      <c r="C64" s="341"/>
      <c r="D64" s="341"/>
      <c r="E64" s="341"/>
      <c r="F64" s="341"/>
    </row>
    <row r="66" spans="1:6" x14ac:dyDescent="0.35">
      <c r="B66" s="240" t="s">
        <v>236</v>
      </c>
    </row>
    <row r="67" spans="1:6" x14ac:dyDescent="0.35">
      <c r="B67" s="1" t="s">
        <v>307</v>
      </c>
      <c r="C67" s="317">
        <v>0.08</v>
      </c>
    </row>
    <row r="68" spans="1:6" x14ac:dyDescent="0.35">
      <c r="B68" s="1" t="s">
        <v>309</v>
      </c>
      <c r="C68" s="269">
        <f>IF(D68="Y",1%,0)</f>
        <v>0.01</v>
      </c>
      <c r="D68" s="292" t="s">
        <v>306</v>
      </c>
    </row>
    <row r="69" spans="1:6" x14ac:dyDescent="0.35">
      <c r="B69" s="1" t="s">
        <v>308</v>
      </c>
      <c r="C69" s="269">
        <f>IF(D69="Y",1%,0)</f>
        <v>0</v>
      </c>
      <c r="D69" s="292" t="s">
        <v>351</v>
      </c>
    </row>
    <row r="70" spans="1:6" x14ac:dyDescent="0.35">
      <c r="B70" s="82" t="s">
        <v>253</v>
      </c>
      <c r="C70" s="269">
        <f>SUM(C67:C69)</f>
        <v>0.09</v>
      </c>
    </row>
    <row r="71" spans="1:6" x14ac:dyDescent="0.35">
      <c r="C71" s="125"/>
    </row>
    <row r="72" spans="1:6" x14ac:dyDescent="0.35">
      <c r="B72" s="337" t="s">
        <v>380</v>
      </c>
      <c r="C72" s="337"/>
      <c r="D72" s="337"/>
      <c r="E72" s="337"/>
      <c r="F72" s="337"/>
    </row>
    <row r="73" spans="1:6" ht="24.4" customHeight="1" x14ac:dyDescent="0.35">
      <c r="B73" s="337" t="s">
        <v>381</v>
      </c>
      <c r="C73" s="337"/>
      <c r="D73" s="337"/>
      <c r="E73" s="337"/>
      <c r="F73" s="337"/>
    </row>
    <row r="75" spans="1:6" x14ac:dyDescent="0.35">
      <c r="B75" s="47" t="s">
        <v>257</v>
      </c>
      <c r="C75" s="269">
        <v>0</v>
      </c>
    </row>
    <row r="76" spans="1:6" x14ac:dyDescent="0.35">
      <c r="B76" s="47" t="s">
        <v>300</v>
      </c>
      <c r="C76" s="254">
        <f>Valuation_Model!C6*C28*Exchange_Rate/Common_Shares</f>
        <v>3.432204133136278</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7" t="s">
        <v>260</v>
      </c>
      <c r="C80" s="337"/>
      <c r="D80" s="337"/>
      <c r="E80" s="337"/>
      <c r="F80" s="337"/>
    </row>
    <row r="81" spans="2:6" x14ac:dyDescent="0.35">
      <c r="B81" s="1" t="s">
        <v>261</v>
      </c>
    </row>
    <row r="83" spans="2:6" x14ac:dyDescent="0.35">
      <c r="B83" s="240" t="s">
        <v>236</v>
      </c>
    </row>
    <row r="84" spans="2:6" ht="24.4" customHeight="1" x14ac:dyDescent="0.35">
      <c r="B84" s="337" t="s">
        <v>382</v>
      </c>
      <c r="C84" s="337"/>
      <c r="D84" s="337"/>
      <c r="E84" s="337"/>
      <c r="F84" s="337"/>
    </row>
    <row r="85" spans="2:6" x14ac:dyDescent="0.35">
      <c r="B85" s="47" t="s">
        <v>263</v>
      </c>
      <c r="C85" s="191">
        <f>Valuation_Model!C7</f>
        <v>3093</v>
      </c>
      <c r="D85" s="1" t="str">
        <f>Reporting_currency</f>
        <v>HKD</v>
      </c>
    </row>
    <row r="86" spans="2:6" x14ac:dyDescent="0.35">
      <c r="B86" s="47" t="s">
        <v>303</v>
      </c>
      <c r="C86" s="254">
        <f>C85*C28*Exchange_Rate/Common_Shares</f>
        <v>0.37849307922088393</v>
      </c>
      <c r="D86" s="1" t="str">
        <f>Market_currency</f>
        <v>HKD</v>
      </c>
    </row>
    <row r="88" spans="2:6" x14ac:dyDescent="0.35">
      <c r="B88" s="1" t="s">
        <v>262</v>
      </c>
    </row>
    <row r="89" spans="2:6" x14ac:dyDescent="0.35">
      <c r="B89" s="47" t="s">
        <v>277</v>
      </c>
      <c r="C89" s="191">
        <f>BS!C66</f>
        <v>47679</v>
      </c>
      <c r="D89" s="1" t="str">
        <f>Reporting_currency</f>
        <v>HKD</v>
      </c>
    </row>
    <row r="90" spans="2:6" x14ac:dyDescent="0.35">
      <c r="B90" s="47" t="s">
        <v>279</v>
      </c>
      <c r="C90" s="191">
        <f>Valuation_Model!C8</f>
        <v>42222.564948178719</v>
      </c>
      <c r="D90" s="1" t="str">
        <f>Reporting_currency</f>
        <v>HKD</v>
      </c>
    </row>
    <row r="91" spans="2:6" x14ac:dyDescent="0.35">
      <c r="B91" s="47" t="s">
        <v>304</v>
      </c>
      <c r="C91" s="254">
        <f>C90*C28*Exchange_Rate/Common_Shares</f>
        <v>5.1668117102618574</v>
      </c>
      <c r="D91" s="1" t="str">
        <f>Market_currency</f>
        <v>HKD</v>
      </c>
    </row>
    <row r="93" spans="2:6" x14ac:dyDescent="0.35">
      <c r="B93" s="1" t="s">
        <v>264</v>
      </c>
    </row>
    <row r="94" spans="2:6" x14ac:dyDescent="0.35">
      <c r="B94" s="47" t="s">
        <v>265</v>
      </c>
      <c r="C94" s="191">
        <f>Valuation_Model!C9</f>
        <v>7814.4</v>
      </c>
      <c r="D94" s="1" t="str">
        <f>Reporting_currency</f>
        <v>HKD</v>
      </c>
    </row>
    <row r="95" spans="2:6" x14ac:dyDescent="0.35">
      <c r="B95" s="47" t="s">
        <v>305</v>
      </c>
      <c r="C95" s="254">
        <f>C94*C28*Exchange_Rate/Common_Shares</f>
        <v>0.95625487173090062</v>
      </c>
      <c r="D95" s="1" t="str">
        <f>Market_currency</f>
        <v>HKD</v>
      </c>
    </row>
    <row r="97" spans="1:6" ht="24.4" customHeight="1" x14ac:dyDescent="0.35">
      <c r="B97" s="337" t="s">
        <v>266</v>
      </c>
      <c r="C97" s="337"/>
      <c r="D97" s="337"/>
      <c r="E97" s="337"/>
      <c r="F97" s="337"/>
    </row>
    <row r="99" spans="1:6" x14ac:dyDescent="0.35">
      <c r="B99" s="47" t="s">
        <v>299</v>
      </c>
      <c r="C99" s="254">
        <f>Valuation_Model!C12</f>
        <v>9.1767776359081505</v>
      </c>
      <c r="D99" s="1" t="str">
        <f>Market_currency</f>
        <v>HKD</v>
      </c>
    </row>
    <row r="101" spans="1:6" ht="13.9" x14ac:dyDescent="0.45">
      <c r="A101" s="253" t="s">
        <v>276</v>
      </c>
      <c r="B101" s="36"/>
      <c r="C101" s="36"/>
      <c r="D101" s="36"/>
      <c r="E101" s="36"/>
      <c r="F101" s="36"/>
    </row>
    <row r="103" spans="1:6" ht="24.4" customHeight="1" x14ac:dyDescent="0.35">
      <c r="B103" s="339" t="s">
        <v>362</v>
      </c>
      <c r="C103" s="339"/>
      <c r="D103" s="339"/>
      <c r="E103" s="339"/>
      <c r="F103" s="339"/>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0.05</v>
      </c>
      <c r="D106" s="263">
        <f>Valuation_Model!D74</f>
        <v>15</v>
      </c>
      <c r="E106" s="264" t="str">
        <f>ROUND(Valuation_Model!E74,2)&amp;" "&amp;Market_currency</f>
        <v>10.21 HKD</v>
      </c>
      <c r="F106" s="265">
        <f>Valuation_Model!F74</f>
        <v>0.05</v>
      </c>
    </row>
    <row r="107" spans="1:6" x14ac:dyDescent="0.35">
      <c r="B107" s="248" t="str">
        <f>Valuation_Model!B75</f>
        <v>Optimistic</v>
      </c>
      <c r="C107" s="249">
        <f>Valuation_Model!C75</f>
        <v>0.02</v>
      </c>
      <c r="D107" s="250">
        <f>Valuation_Model!D75</f>
        <v>10</v>
      </c>
      <c r="E107" s="251" t="str">
        <f>ROUND(Valuation_Model!E75,2)&amp;" "&amp;Market_currency</f>
        <v>9.41 HKD</v>
      </c>
      <c r="F107" s="252">
        <f>Valuation_Model!F75</f>
        <v>0.22499999999999992</v>
      </c>
    </row>
    <row r="108" spans="1:6" x14ac:dyDescent="0.35">
      <c r="B108" s="248" t="str">
        <f>Valuation_Model!B76</f>
        <v>Base</v>
      </c>
      <c r="C108" s="249">
        <f>Valuation_Model!C76</f>
        <v>0</v>
      </c>
      <c r="D108" s="250">
        <f>Valuation_Model!D76</f>
        <v>10</v>
      </c>
      <c r="E108" s="251" t="str">
        <f>ROUND(Valuation_Model!E76,2)&amp;" "&amp;Market_currency</f>
        <v>9.18 HKD</v>
      </c>
      <c r="F108" s="252">
        <f>Valuation_Model!F76</f>
        <v>0.495</v>
      </c>
    </row>
    <row r="109" spans="1:6" x14ac:dyDescent="0.35">
      <c r="B109" s="248" t="str">
        <f>Valuation_Model!B77</f>
        <v>Pessimistic</v>
      </c>
      <c r="C109" s="249">
        <f>Valuation_Model!C77</f>
        <v>-0.05</v>
      </c>
      <c r="D109" s="250">
        <f>Valuation_Model!D77</f>
        <v>10</v>
      </c>
      <c r="E109" s="251" t="str">
        <f>ROUND(Valuation_Model!E77,2)&amp;" "&amp;Market_currency</f>
        <v>8.69 HKD</v>
      </c>
      <c r="F109" s="252">
        <f>Valuation_Model!F77</f>
        <v>0.18</v>
      </c>
    </row>
    <row r="110" spans="1:6" x14ac:dyDescent="0.35">
      <c r="B110" s="248" t="str">
        <f>Valuation_Model!B78</f>
        <v>Devil's advocate</v>
      </c>
      <c r="C110" s="249">
        <f>Valuation_Model!C78</f>
        <v>-0.2</v>
      </c>
      <c r="D110" s="250">
        <f>Valuation_Model!D78</f>
        <v>15</v>
      </c>
      <c r="E110" s="251" t="str">
        <f>ROUND(Valuation_Model!E78,2)&amp;" "&amp;Market_currency</f>
        <v>7.34 HKD</v>
      </c>
      <c r="F110" s="252">
        <f>Valuation_Model!F78</f>
        <v>0.05</v>
      </c>
    </row>
    <row r="112" spans="1:6" x14ac:dyDescent="0.35">
      <c r="B112" s="241" t="s">
        <v>268</v>
      </c>
      <c r="C112" s="247">
        <f>Scenarios!C60</f>
        <v>9.1006872475781417</v>
      </c>
      <c r="D112" s="242" t="str">
        <f>Market_currency</f>
        <v>HKD</v>
      </c>
    </row>
    <row r="114" spans="1:6" ht="24.4" customHeight="1" x14ac:dyDescent="0.35">
      <c r="B114" s="342" t="s">
        <v>363</v>
      </c>
      <c r="C114" s="342"/>
      <c r="D114" s="342"/>
      <c r="E114" s="342"/>
      <c r="F114" s="342"/>
    </row>
    <row r="116" spans="1:6" ht="13.9" x14ac:dyDescent="0.45">
      <c r="A116" s="253" t="s">
        <v>298</v>
      </c>
      <c r="B116" s="36"/>
      <c r="C116" s="36"/>
      <c r="D116" s="36"/>
      <c r="E116" s="36"/>
      <c r="F116" s="36"/>
    </row>
    <row r="118" spans="1:6" x14ac:dyDescent="0.35">
      <c r="B118" s="338" t="s">
        <v>274</v>
      </c>
      <c r="C118" s="338"/>
      <c r="D118" s="338"/>
      <c r="E118" s="338"/>
      <c r="F118" s="338"/>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0.57999999999999996</v>
      </c>
      <c r="D122" s="242" t="str">
        <f>Market_currency</f>
        <v>HKD</v>
      </c>
    </row>
    <row r="124" spans="1:6" x14ac:dyDescent="0.35">
      <c r="B124" s="240" t="s">
        <v>273</v>
      </c>
    </row>
    <row r="125" spans="1:6" x14ac:dyDescent="0.35">
      <c r="B125" s="242" t="str">
        <f>"PV("&amp;C120&amp;" yrs of Dividends)"</f>
        <v>PV(3 yrs of Dividends)</v>
      </c>
      <c r="C125" s="246">
        <f>Scenarios!C81</f>
        <v>1.2217592592592592</v>
      </c>
    </row>
    <row r="126" spans="1:6" x14ac:dyDescent="0.35">
      <c r="B126" s="242" t="str">
        <f>"+ PV(Equity Value realized at year "&amp;C120&amp;")"</f>
        <v>+ PV(Equity Value realized at year 3)</v>
      </c>
      <c r="C126" s="246">
        <f>Scenarios!C82</f>
        <v>5.2666014164225361</v>
      </c>
    </row>
    <row r="127" spans="1:6" x14ac:dyDescent="0.35">
      <c r="B127" s="82" t="s">
        <v>270</v>
      </c>
      <c r="C127" s="245">
        <f>Scenarios!C83</f>
        <v>6.4883606756817951</v>
      </c>
      <c r="D127" s="47" t="str">
        <f>Reporting_currency</f>
        <v>HKD</v>
      </c>
    </row>
    <row r="128" spans="1:6" x14ac:dyDescent="0.35">
      <c r="B128" s="244" t="s">
        <v>272</v>
      </c>
      <c r="C128" s="94">
        <f>Scenarios!F83</f>
        <v>0.28704717576043881</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101</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c r="F4" s="184"/>
      <c r="G4" s="184"/>
      <c r="H4" s="184"/>
      <c r="I4" s="184"/>
      <c r="J4" s="184"/>
      <c r="K4" s="184"/>
      <c r="L4" s="184"/>
      <c r="M4" s="184"/>
    </row>
    <row r="5" spans="2:13" x14ac:dyDescent="0.35">
      <c r="B5" s="40" t="s">
        <v>45</v>
      </c>
      <c r="C5" s="193">
        <v>5344</v>
      </c>
      <c r="D5" s="184">
        <v>6492</v>
      </c>
      <c r="E5" s="184"/>
      <c r="F5" s="184"/>
      <c r="G5" s="184"/>
      <c r="H5" s="184"/>
      <c r="I5" s="184"/>
      <c r="J5" s="184"/>
      <c r="K5" s="184"/>
      <c r="L5" s="184"/>
      <c r="M5" s="184"/>
    </row>
    <row r="6" spans="2:13" x14ac:dyDescent="0.35">
      <c r="B6" s="40" t="s">
        <v>57</v>
      </c>
      <c r="C6" s="193">
        <v>1084</v>
      </c>
      <c r="D6" s="184">
        <v>1129</v>
      </c>
      <c r="E6" s="184"/>
      <c r="F6" s="184"/>
      <c r="G6" s="184"/>
      <c r="H6" s="184"/>
      <c r="I6" s="184"/>
      <c r="J6" s="184"/>
      <c r="K6" s="184"/>
      <c r="L6" s="184"/>
      <c r="M6" s="184"/>
    </row>
    <row r="7" spans="2:13" x14ac:dyDescent="0.35">
      <c r="B7" s="70" t="s">
        <v>64</v>
      </c>
      <c r="C7" s="194"/>
      <c r="D7" s="192"/>
      <c r="E7" s="192"/>
      <c r="F7" s="192"/>
      <c r="G7" s="192"/>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43</v>
      </c>
      <c r="D12" s="184">
        <v>40.775368</v>
      </c>
      <c r="E12" s="184"/>
      <c r="F12" s="184"/>
      <c r="G12" s="184"/>
      <c r="H12" s="184"/>
      <c r="I12" s="184"/>
      <c r="J12" s="184"/>
      <c r="K12" s="184"/>
      <c r="L12" s="184"/>
      <c r="M12" s="184"/>
    </row>
    <row r="13" spans="2:13" x14ac:dyDescent="0.35">
      <c r="B13" s="40" t="s">
        <v>70</v>
      </c>
      <c r="C13" s="193">
        <v>2340</v>
      </c>
      <c r="D13" s="184">
        <v>1390.845307</v>
      </c>
      <c r="E13" s="184"/>
      <c r="F13" s="184"/>
      <c r="G13" s="184"/>
      <c r="H13" s="184"/>
      <c r="I13" s="184"/>
      <c r="J13" s="184"/>
      <c r="K13" s="184"/>
      <c r="L13" s="184"/>
      <c r="M13" s="184"/>
    </row>
    <row r="14" spans="2:13" x14ac:dyDescent="0.35">
      <c r="B14" s="40" t="s">
        <v>52</v>
      </c>
      <c r="C14" s="193">
        <v>519</v>
      </c>
      <c r="D14" s="184">
        <v>860.83482800000002</v>
      </c>
      <c r="E14" s="184"/>
      <c r="F14" s="184"/>
      <c r="G14" s="184"/>
      <c r="H14" s="184"/>
      <c r="I14" s="184"/>
      <c r="J14" s="184"/>
      <c r="K14" s="184"/>
      <c r="L14" s="184"/>
      <c r="M14" s="184"/>
    </row>
    <row r="15" spans="2:13" x14ac:dyDescent="0.35">
      <c r="B15" s="43" t="s">
        <v>44</v>
      </c>
      <c r="C15" s="195">
        <v>4251</v>
      </c>
      <c r="D15" s="185">
        <v>5880</v>
      </c>
      <c r="E15" s="185"/>
      <c r="F15" s="185"/>
      <c r="G15" s="185"/>
      <c r="H15" s="185"/>
      <c r="I15" s="185"/>
      <c r="J15" s="185"/>
      <c r="K15" s="185"/>
      <c r="L15" s="185"/>
      <c r="M15" s="185"/>
    </row>
    <row r="16" spans="2:13" x14ac:dyDescent="0.35">
      <c r="B16" s="28" t="s">
        <v>46</v>
      </c>
      <c r="C16" s="193">
        <v>-151</v>
      </c>
      <c r="D16" s="184">
        <v>31</v>
      </c>
      <c r="E16" s="184"/>
      <c r="F16" s="184"/>
      <c r="G16" s="184"/>
      <c r="H16" s="184"/>
      <c r="I16" s="184"/>
      <c r="J16" s="184"/>
      <c r="K16" s="184"/>
      <c r="L16" s="184"/>
      <c r="M16" s="184"/>
    </row>
    <row r="18" spans="2:13" x14ac:dyDescent="0.35">
      <c r="B18" s="16" t="s">
        <v>53</v>
      </c>
      <c r="C18" s="9"/>
    </row>
    <row r="19" spans="2:13" x14ac:dyDescent="0.35">
      <c r="B19" s="27" t="s">
        <v>49</v>
      </c>
      <c r="C19" s="184">
        <v>160</v>
      </c>
      <c r="D19" s="184">
        <v>198</v>
      </c>
      <c r="E19" s="184"/>
      <c r="F19" s="184"/>
      <c r="G19" s="184"/>
      <c r="H19" s="184"/>
      <c r="I19" s="184"/>
      <c r="J19" s="184"/>
      <c r="K19" s="184"/>
      <c r="L19" s="184"/>
      <c r="M19" s="184"/>
    </row>
    <row r="20" spans="2:13" x14ac:dyDescent="0.35">
      <c r="B20" s="27" t="s">
        <v>55</v>
      </c>
      <c r="C20" s="184">
        <v>69</v>
      </c>
      <c r="D20" s="184">
        <v>108</v>
      </c>
      <c r="E20" s="184"/>
      <c r="F20" s="184"/>
      <c r="G20" s="184"/>
      <c r="H20" s="184"/>
      <c r="I20" s="184"/>
      <c r="J20" s="184"/>
      <c r="K20" s="184"/>
      <c r="L20" s="184"/>
      <c r="M20" s="184"/>
    </row>
    <row r="21" spans="2:13" x14ac:dyDescent="0.35">
      <c r="B21" s="27" t="s">
        <v>54</v>
      </c>
      <c r="C21" s="184">
        <v>910</v>
      </c>
      <c r="D21" s="184">
        <v>2541</v>
      </c>
      <c r="E21" s="184"/>
      <c r="F21" s="184"/>
      <c r="G21" s="184"/>
      <c r="H21" s="184"/>
      <c r="I21" s="184"/>
      <c r="J21" s="184"/>
      <c r="K21" s="184"/>
      <c r="L21" s="184"/>
      <c r="M21" s="184"/>
    </row>
    <row r="22" spans="2:13" x14ac:dyDescent="0.35">
      <c r="B22" s="24" t="str">
        <f>"Dividend per share ("&amp;Market_currency&amp;")"</f>
        <v>Dividend per share (HKD)</v>
      </c>
      <c r="C22" s="39">
        <v>0.57999999999999996</v>
      </c>
      <c r="D22" s="39">
        <v>0.57999999999999996</v>
      </c>
      <c r="E22" s="39"/>
      <c r="F22" s="39"/>
      <c r="G22" s="39"/>
      <c r="H22" s="39"/>
      <c r="I22" s="39"/>
      <c r="J22" s="39"/>
      <c r="K22" s="39"/>
      <c r="L22" s="39"/>
      <c r="M22" s="39"/>
    </row>
    <row r="24" spans="2:13" x14ac:dyDescent="0.35">
      <c r="B24" s="16" t="s">
        <v>28</v>
      </c>
      <c r="C24" s="9"/>
    </row>
    <row r="25" spans="2:13" x14ac:dyDescent="0.35">
      <c r="B25" s="26" t="s">
        <v>24</v>
      </c>
      <c r="C25" s="186"/>
      <c r="D25" s="184">
        <v>7251</v>
      </c>
      <c r="E25" s="184"/>
      <c r="F25" s="184"/>
      <c r="G25" s="184"/>
      <c r="H25" s="184"/>
      <c r="I25" s="184"/>
      <c r="J25" s="184"/>
      <c r="K25" s="184"/>
      <c r="L25" s="184"/>
      <c r="M25" s="184"/>
    </row>
    <row r="26" spans="2:13" x14ac:dyDescent="0.35">
      <c r="B26" s="26" t="s">
        <v>32</v>
      </c>
      <c r="C26" s="186"/>
      <c r="D26" s="184">
        <v>16389</v>
      </c>
      <c r="E26" s="184"/>
      <c r="F26" s="184"/>
      <c r="G26" s="184"/>
      <c r="H26" s="184"/>
      <c r="I26" s="184"/>
      <c r="J26" s="184"/>
      <c r="K26" s="184"/>
      <c r="L26" s="184"/>
      <c r="M26" s="184"/>
    </row>
    <row r="27" spans="2:13" x14ac:dyDescent="0.35">
      <c r="B27" s="29" t="s">
        <v>40</v>
      </c>
      <c r="C27" s="185">
        <v>14028</v>
      </c>
      <c r="D27" s="185">
        <v>10902</v>
      </c>
      <c r="E27" s="185"/>
      <c r="F27" s="185"/>
      <c r="G27" s="185"/>
      <c r="H27" s="185"/>
      <c r="I27" s="185"/>
      <c r="J27" s="185"/>
      <c r="K27" s="185"/>
      <c r="L27" s="185"/>
      <c r="M27" s="185"/>
    </row>
    <row r="28" spans="2:13" x14ac:dyDescent="0.35">
      <c r="B28" s="29" t="s">
        <v>30</v>
      </c>
      <c r="C28" s="185">
        <v>166316</v>
      </c>
      <c r="D28" s="185">
        <v>163105</v>
      </c>
      <c r="E28" s="185"/>
      <c r="F28" s="185"/>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c r="D32" s="184"/>
      <c r="E32" s="184"/>
      <c r="F32" s="184"/>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-5344</v>
      </c>
      <c r="D37" s="186">
        <f t="shared" si="2"/>
        <v>-6492</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3421</v>
      </c>
      <c r="D38" s="187">
        <f t="shared" ref="D38" si="3">IF(D36="","",D36+D37)</f>
        <v>5389</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-1084</v>
      </c>
      <c r="D39" s="186">
        <f t="shared" si="13"/>
        <v>-1129</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0</v>
      </c>
      <c r="D40" s="188">
        <f t="shared" si="14"/>
        <v>0</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-1084</v>
      </c>
      <c r="D41" s="188">
        <f t="shared" ref="D41:M41" si="15">IF(D$4="","",D39-D40)</f>
        <v>-1129</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2337</v>
      </c>
      <c r="D43" s="189">
        <f t="shared" ref="D43:M43" si="17">IF(D$4="","",D38+D39+D42)</f>
        <v>4260</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136</v>
      </c>
      <c r="D44" s="190">
        <f t="shared" si="18"/>
        <v>1130.764889</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2297</v>
      </c>
      <c r="D45" s="191">
        <f t="shared" si="19"/>
        <v>1350.069939</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-519</v>
      </c>
      <c r="D46" s="186">
        <f t="shared" si="20"/>
        <v>-860.83482800000002</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4251</v>
      </c>
      <c r="D47" s="189">
        <f t="shared" si="21"/>
        <v>5880</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-31</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-43</v>
      </c>
      <c r="D51" s="186">
        <f t="shared" si="23"/>
        <v>-40.775368</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2340</v>
      </c>
      <c r="D52" s="186">
        <f t="shared" si="24"/>
        <v>1390.845307</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-503</v>
      </c>
      <c r="D58" s="191">
        <f t="shared" ref="D58:M58" si="28">IF(D$4="","",D44-D55-D56-D57)</f>
        <v>203.76488900000004</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-160</v>
      </c>
      <c r="D61" s="186">
        <f t="shared" si="29"/>
        <v>-198</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-69</v>
      </c>
      <c r="D62" s="186">
        <f t="shared" si="30"/>
        <v>-108</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-910</v>
      </c>
      <c r="D63" s="186">
        <f t="shared" si="31"/>
        <v>-2541</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0.57999999999999996</v>
      </c>
      <c r="D64" s="75">
        <f t="shared" si="32"/>
        <v>0.57999999999999996</v>
      </c>
      <c r="E64" s="75" t="str">
        <f t="shared" si="32"/>
        <v/>
      </c>
      <c r="F64" s="75" t="str">
        <f t="shared" si="32"/>
        <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-0.26226748590186011</v>
      </c>
      <c r="D67" s="94" t="str">
        <f t="shared" si="33"/>
        <v/>
      </c>
      <c r="E67" s="94" t="str">
        <f t="shared" si="33"/>
        <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t="str">
        <f t="shared" si="34"/>
        <v/>
      </c>
      <c r="E68" s="104" t="str">
        <f t="shared" si="34"/>
        <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t="str">
        <f t="shared" si="35"/>
        <v/>
      </c>
      <c r="E69" s="94" t="str">
        <f t="shared" si="35"/>
        <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t="str">
        <f t="shared" si="36"/>
        <v/>
      </c>
      <c r="E70" s="104" t="str">
        <f t="shared" si="36"/>
        <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t="str">
        <f t="shared" ref="D71:M71" si="37">IF(E$36="","",D64/E64-1)</f>
        <v/>
      </c>
      <c r="E71" s="94" t="str">
        <f t="shared" si="37"/>
        <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180344</v>
      </c>
      <c r="D75" s="78">
        <f t="shared" ref="D75:M75" si="38">IF(D$4="","",D78+D79)</f>
        <v>174007</v>
      </c>
      <c r="E75" s="78" t="str">
        <f t="shared" si="38"/>
        <v/>
      </c>
      <c r="F75" s="78" t="str">
        <f t="shared" si="38"/>
        <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7251</v>
      </c>
      <c r="E76" s="74" t="str">
        <f t="shared" si="39"/>
        <v/>
      </c>
      <c r="F76" s="74" t="str">
        <f t="shared" si="39"/>
        <v/>
      </c>
      <c r="G76" s="74" t="str">
        <f t="shared" si="39"/>
        <v/>
      </c>
      <c r="H76" s="74" t="str">
        <f t="shared" si="39"/>
        <v/>
      </c>
      <c r="I76" s="96"/>
      <c r="J76" s="96"/>
      <c r="K76" s="96"/>
      <c r="L76" s="96"/>
      <c r="M76" s="96"/>
    </row>
    <row r="77" spans="2:13" x14ac:dyDescent="0.35">
      <c r="B77" s="95" t="s">
        <v>90</v>
      </c>
      <c r="C77" s="74">
        <f t="shared" si="39"/>
        <v>0</v>
      </c>
      <c r="D77" s="74">
        <f t="shared" si="39"/>
        <v>16389</v>
      </c>
      <c r="E77" s="74" t="str">
        <f t="shared" si="39"/>
        <v/>
      </c>
      <c r="F77" s="74" t="str">
        <f t="shared" si="39"/>
        <v/>
      </c>
      <c r="G77" s="74" t="str">
        <f t="shared" si="39"/>
        <v/>
      </c>
      <c r="H77" s="74" t="str">
        <f t="shared" si="39"/>
        <v/>
      </c>
      <c r="I77" s="96"/>
      <c r="J77" s="96"/>
      <c r="K77" s="96"/>
      <c r="L77" s="96"/>
      <c r="M77" s="96"/>
    </row>
    <row r="78" spans="2:13" x14ac:dyDescent="0.35">
      <c r="B78" s="26" t="s">
        <v>40</v>
      </c>
      <c r="C78" s="58">
        <f t="shared" ref="C78:M78" si="40">IF(C$4="","",C27)</f>
        <v>14028</v>
      </c>
      <c r="D78" s="58">
        <f t="shared" si="40"/>
        <v>10902</v>
      </c>
      <c r="E78" s="58" t="str">
        <f t="shared" si="40"/>
        <v/>
      </c>
      <c r="F78" s="58" t="str">
        <f t="shared" si="40"/>
        <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166316</v>
      </c>
      <c r="D79" s="58">
        <f t="shared" si="41"/>
        <v>163105</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8029</v>
      </c>
      <c r="D4" s="300">
        <v>0.6</v>
      </c>
      <c r="E4" s="25"/>
      <c r="F4" s="4" t="s">
        <v>81</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181</v>
      </c>
      <c r="G6" s="19">
        <v>156</v>
      </c>
      <c r="H6" s="300">
        <v>0.6</v>
      </c>
    </row>
    <row r="7" spans="2:8" ht="15" customHeight="1" x14ac:dyDescent="0.35">
      <c r="B7" s="1" t="s">
        <v>72</v>
      </c>
      <c r="C7" s="19">
        <v>5466</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0</v>
      </c>
      <c r="D9" s="300">
        <v>0.1</v>
      </c>
      <c r="E9" s="25"/>
      <c r="F9" s="4" t="s">
        <v>184</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75</v>
      </c>
      <c r="C12" s="83">
        <f>SUM(C4:C11)</f>
        <v>23349</v>
      </c>
      <c r="D12" s="20">
        <f>C4*D4+C5*D5+C9*D9+C6*D6+C8*D8+C7*D7+C10*D10+C11*D11</f>
        <v>13028</v>
      </c>
      <c r="F12" s="82" t="s">
        <v>73</v>
      </c>
      <c r="G12" s="83">
        <f>SUM(G4:G9)</f>
        <v>47835</v>
      </c>
      <c r="H12" s="20">
        <f>G4*H4+G5*H5+G6*H6+G7*H7+G8*H8+G9*H9</f>
        <v>42601.9</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2757</v>
      </c>
      <c r="D15" s="300">
        <v>0.4</v>
      </c>
      <c r="F15" s="4" t="s">
        <v>82</v>
      </c>
      <c r="G15" s="19">
        <v>0</v>
      </c>
      <c r="H15" s="300">
        <v>0.8</v>
      </c>
    </row>
    <row r="16" spans="2:8" ht="15" customHeight="1" x14ac:dyDescent="0.35">
      <c r="B16" s="1" t="s">
        <v>34</v>
      </c>
      <c r="C16" s="19">
        <v>0</v>
      </c>
      <c r="D16" s="300">
        <v>0.5</v>
      </c>
      <c r="F16" s="4" t="s">
        <v>181</v>
      </c>
      <c r="G16" s="19">
        <v>1373</v>
      </c>
      <c r="H16" s="300">
        <v>0.6</v>
      </c>
    </row>
    <row r="17" spans="2:8" ht="15" customHeight="1" x14ac:dyDescent="0.35">
      <c r="B17" s="1" t="s">
        <v>72</v>
      </c>
      <c r="C17" s="19">
        <v>67668</v>
      </c>
      <c r="D17" s="300">
        <v>0.6</v>
      </c>
      <c r="F17" s="4" t="s">
        <v>182</v>
      </c>
      <c r="G17" s="19">
        <v>13024</v>
      </c>
      <c r="H17" s="300">
        <v>0.6</v>
      </c>
    </row>
    <row r="18" spans="2:8" ht="15" customHeight="1" x14ac:dyDescent="0.35">
      <c r="B18" s="4" t="s">
        <v>177</v>
      </c>
      <c r="C18" s="19">
        <v>0</v>
      </c>
      <c r="D18" s="300">
        <v>0.6</v>
      </c>
      <c r="F18" s="4" t="s">
        <v>185</v>
      </c>
      <c r="G18" s="19">
        <v>23696</v>
      </c>
      <c r="H18" s="300">
        <v>0.1</v>
      </c>
    </row>
    <row r="19" spans="2:8" ht="15" customHeight="1" x14ac:dyDescent="0.35">
      <c r="B19" s="4" t="s">
        <v>26</v>
      </c>
      <c r="C19" s="19">
        <v>1284</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0</v>
      </c>
      <c r="D21" s="300">
        <v>0.05</v>
      </c>
      <c r="F21" s="1" t="s">
        <v>184</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77</v>
      </c>
      <c r="C24" s="83">
        <f>SUM(C15:C23)</f>
        <v>71719</v>
      </c>
      <c r="D24" s="20">
        <f>C15*D15+C16*D16+C18*D18+C17*D17+C19*D19+C20*D20+C21*D21+C22*D22+C23*D23</f>
        <v>41841</v>
      </c>
      <c r="F24" s="82" t="s">
        <v>74</v>
      </c>
      <c r="G24" s="83">
        <f>SUM(G15:G21)</f>
        <v>38093</v>
      </c>
      <c r="H24" s="20">
        <f>G15*H15+G16*H16+G17*H17+G18*H18+G19*H19+G20*H20+G21*H21</f>
        <v>11007.8</v>
      </c>
    </row>
    <row r="26" spans="2:8" ht="15" customHeight="1" x14ac:dyDescent="0.35">
      <c r="B26" s="16" t="s">
        <v>204</v>
      </c>
      <c r="C26" s="209" t="s">
        <v>140</v>
      </c>
      <c r="F26" s="211" t="s">
        <v>200</v>
      </c>
      <c r="G26" s="212" t="s">
        <v>140</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250</v>
      </c>
      <c r="G28" s="184">
        <v>519</v>
      </c>
      <c r="H28" s="215"/>
    </row>
    <row r="29" spans="2:8" ht="15" customHeight="1" x14ac:dyDescent="0.35">
      <c r="B29" s="4" t="s">
        <v>7</v>
      </c>
      <c r="C29" s="19">
        <v>0</v>
      </c>
      <c r="F29" s="217" t="s">
        <v>79</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207</v>
      </c>
      <c r="C31" s="83">
        <f>SUM(C27:C30)</f>
        <v>1004</v>
      </c>
      <c r="F31" s="217" t="s">
        <v>80</v>
      </c>
      <c r="G31" s="218">
        <f>C31+C40</f>
        <v>3093</v>
      </c>
      <c r="H31" s="215"/>
    </row>
    <row r="32" spans="2:8" ht="15" customHeight="1" x14ac:dyDescent="0.35">
      <c r="B32" s="4" t="s">
        <v>9</v>
      </c>
      <c r="C32" s="21">
        <f>C33-C31</f>
        <v>8048</v>
      </c>
      <c r="F32" s="219" t="s">
        <v>78</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95068</v>
      </c>
      <c r="H35" s="227">
        <f>D12+D24</f>
        <v>54869</v>
      </c>
    </row>
    <row r="36" spans="2:8" ht="15" customHeight="1" x14ac:dyDescent="0.35">
      <c r="B36" s="4" t="s">
        <v>13</v>
      </c>
      <c r="C36" s="19">
        <v>832</v>
      </c>
      <c r="F36" s="217" t="s">
        <v>201</v>
      </c>
      <c r="G36" s="218">
        <f>C4+C15</f>
        <v>10786</v>
      </c>
      <c r="H36" s="222"/>
    </row>
    <row r="37" spans="2:8" ht="15" customHeight="1" x14ac:dyDescent="0.35">
      <c r="B37" s="4" t="s">
        <v>14</v>
      </c>
      <c r="C37" s="19">
        <v>27</v>
      </c>
      <c r="F37" s="217" t="s">
        <v>202</v>
      </c>
      <c r="G37" s="218">
        <f>C6</f>
        <v>9844</v>
      </c>
      <c r="H37" s="222"/>
    </row>
    <row r="38" spans="2:8" ht="15" customHeight="1" x14ac:dyDescent="0.35">
      <c r="B38" s="4" t="s">
        <v>15</v>
      </c>
      <c r="C38" s="19">
        <v>1230</v>
      </c>
      <c r="F38" s="217" t="s">
        <v>203</v>
      </c>
      <c r="G38" s="218">
        <f>C7+C17</f>
        <v>73134</v>
      </c>
      <c r="H38" s="222"/>
    </row>
    <row r="39" spans="2:8" ht="15" customHeight="1" x14ac:dyDescent="0.35">
      <c r="B39" s="2" t="s">
        <v>16</v>
      </c>
      <c r="C39" s="19">
        <v>0</v>
      </c>
      <c r="F39" s="217" t="s">
        <v>83</v>
      </c>
      <c r="G39" s="218">
        <f>C7+C17+C19+C20</f>
        <v>74418</v>
      </c>
      <c r="H39" s="215">
        <f>C7*D7+C17*D17+C19*D19+C20*D20</f>
        <v>44008.799999999996</v>
      </c>
    </row>
    <row r="40" spans="2:8" ht="15" customHeight="1" x14ac:dyDescent="0.35">
      <c r="B40" s="82" t="s">
        <v>208</v>
      </c>
      <c r="C40" s="83">
        <f>SUM(C36:C39)</f>
        <v>2089</v>
      </c>
      <c r="F40" s="226" t="s">
        <v>142</v>
      </c>
      <c r="G40" s="220">
        <f>G12+G24</f>
        <v>85928</v>
      </c>
      <c r="H40" s="227">
        <f>H12+H24</f>
        <v>53609.7</v>
      </c>
    </row>
    <row r="41" spans="2:8" ht="15" customHeight="1" x14ac:dyDescent="0.35">
      <c r="B41" s="4" t="s">
        <v>17</v>
      </c>
      <c r="C41" s="21">
        <f>C42-C40</f>
        <v>2748</v>
      </c>
      <c r="F41" s="217" t="s">
        <v>195</v>
      </c>
      <c r="G41" s="218">
        <f>C70</f>
        <v>72904</v>
      </c>
      <c r="H41" s="227">
        <f>H40-H42</f>
        <v>45795.299999999996</v>
      </c>
    </row>
    <row r="42" spans="2:8" ht="15" customHeight="1" x14ac:dyDescent="0.35">
      <c r="B42" s="85" t="s">
        <v>22</v>
      </c>
      <c r="C42" s="86">
        <v>4837</v>
      </c>
      <c r="F42" s="228" t="s">
        <v>196</v>
      </c>
      <c r="G42" s="229">
        <f>C82</f>
        <v>13024</v>
      </c>
      <c r="H42" s="230">
        <f>D82</f>
        <v>7814.4</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1.1933697905849452</v>
      </c>
      <c r="D50" s="98">
        <f>G31/Normalized_FCF!G8</f>
        <v>1.3234916559691912</v>
      </c>
      <c r="F50" s="289"/>
    </row>
    <row r="51" spans="2:8" ht="15" customHeight="1" x14ac:dyDescent="0.35">
      <c r="B51" s="1" t="s">
        <v>180</v>
      </c>
      <c r="C51" s="208"/>
      <c r="D51" s="94">
        <f>G29/G32</f>
        <v>0.92039603085151056</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2.7262804090098017E-2</v>
      </c>
      <c r="D54" s="94">
        <f>Normalized_FCF!G8/G35</f>
        <v>2.4582404173854506E-2</v>
      </c>
      <c r="F54" s="289"/>
    </row>
    <row r="55" spans="2:8" ht="15" customHeight="1" x14ac:dyDescent="0.35">
      <c r="B55" s="1" t="s">
        <v>145</v>
      </c>
      <c r="C55" s="94">
        <f>Normalized_FCF!C11/G40</f>
        <v>7.4364584303137507E-3</v>
      </c>
      <c r="D55" s="94">
        <f>Normalized_FCF!G11/G40</f>
        <v>7.4364584303137507E-3</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2.1500174688919346E-3</v>
      </c>
      <c r="F58" s="5"/>
    </row>
    <row r="59" spans="2:8" ht="15" customHeight="1" x14ac:dyDescent="0.35">
      <c r="B59" s="1" t="s">
        <v>96</v>
      </c>
      <c r="C59" s="101"/>
      <c r="D59" s="94">
        <f>G39/G32</f>
        <v>0.41115825764105285</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3.1154705020769802E-3</v>
      </c>
      <c r="D62" s="94">
        <f>G28/G29</f>
        <v>3.1154705020769802E-3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47679</v>
      </c>
      <c r="D66" s="191">
        <f>C66-D75</f>
        <v>42222.564948178719</v>
      </c>
      <c r="F66" s="5" t="s">
        <v>230</v>
      </c>
    </row>
    <row r="67" spans="2:6" ht="15" customHeight="1" x14ac:dyDescent="0.35">
      <c r="B67" s="108" t="s">
        <v>181</v>
      </c>
      <c r="C67" s="20">
        <f>G6+G16</f>
        <v>1529</v>
      </c>
      <c r="F67" s="289"/>
    </row>
    <row r="68" spans="2:6" ht="15" customHeight="1" x14ac:dyDescent="0.35">
      <c r="B68" s="108" t="s">
        <v>185</v>
      </c>
      <c r="C68" s="20">
        <f>G18</f>
        <v>23696</v>
      </c>
      <c r="F68" s="289"/>
    </row>
    <row r="69" spans="2:6" ht="15" customHeight="1" x14ac:dyDescent="0.35">
      <c r="B69" s="108" t="s">
        <v>183</v>
      </c>
      <c r="C69" s="20">
        <f>G8+G20</f>
        <v>0</v>
      </c>
      <c r="F69" s="289"/>
    </row>
    <row r="70" spans="2:6" ht="15" customHeight="1" x14ac:dyDescent="0.35">
      <c r="B70" s="82" t="s">
        <v>192</v>
      </c>
      <c r="C70" s="83">
        <f>SUM(C66:C69)</f>
        <v>72904</v>
      </c>
      <c r="F70" s="289"/>
    </row>
    <row r="71" spans="2:6" ht="15" customHeight="1" x14ac:dyDescent="0.35">
      <c r="F71" s="289"/>
    </row>
    <row r="72" spans="2:6" ht="15" customHeight="1" x14ac:dyDescent="0.35">
      <c r="B72" s="291" t="s">
        <v>348</v>
      </c>
      <c r="C72" s="267" t="s">
        <v>99</v>
      </c>
      <c r="D72" s="209" t="s">
        <v>60</v>
      </c>
      <c r="F72" s="289"/>
    </row>
    <row r="73" spans="2:6" ht="15" customHeight="1" x14ac:dyDescent="0.35">
      <c r="B73" s="108" t="s">
        <v>347</v>
      </c>
      <c r="C73" s="191">
        <f>(Normalized_FCF!G25+Normalized_FCF!G35-Normalized_FCF!G91)/12</f>
        <v>-930.64086357333326</v>
      </c>
      <c r="D73" s="191">
        <f>(Normalized_FCF!C25+Normalized_FCF!C35-Normalized_FCF!C91)/12</f>
        <v>-909.4058419702136</v>
      </c>
      <c r="F73" s="1" t="s">
        <v>389</v>
      </c>
    </row>
    <row r="74" spans="2:6" ht="15" customHeight="1" x14ac:dyDescent="0.35">
      <c r="B74" s="294" t="s">
        <v>352</v>
      </c>
      <c r="C74" s="295">
        <f>-$C$66/C73</f>
        <v>51.232437631128107</v>
      </c>
      <c r="D74" s="295">
        <f>-$C$66/D73</f>
        <v>52.428737313479523</v>
      </c>
      <c r="F74" s="289" t="s">
        <v>349</v>
      </c>
    </row>
    <row r="75" spans="2:6" ht="15" customHeight="1" x14ac:dyDescent="0.35">
      <c r="B75" s="82" t="s">
        <v>350</v>
      </c>
      <c r="C75" s="299"/>
      <c r="D75" s="298">
        <f>MAX(-D73*D76,G5)</f>
        <v>5456.4350518212814</v>
      </c>
      <c r="F75" s="289" t="s">
        <v>390</v>
      </c>
    </row>
    <row r="76" spans="2:6" ht="15" customHeight="1" x14ac:dyDescent="0.35">
      <c r="B76" s="296" t="s">
        <v>353</v>
      </c>
      <c r="C76" s="297"/>
      <c r="D76" s="333">
        <f>IF(D74&lt;=3,1,IF(D74&gt;18,6,2))</f>
        <v>6</v>
      </c>
      <c r="F76" s="289" t="s">
        <v>354</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13024</v>
      </c>
      <c r="D79" s="191">
        <f>G7*H7+G17*H17</f>
        <v>7814.4</v>
      </c>
      <c r="F79" s="289"/>
    </row>
    <row r="80" spans="2:6" ht="15" customHeight="1" x14ac:dyDescent="0.35">
      <c r="B80" s="108" t="s">
        <v>186</v>
      </c>
      <c r="C80" s="20">
        <f>G19</f>
        <v>0</v>
      </c>
      <c r="D80" s="191">
        <f>G19*H19</f>
        <v>0</v>
      </c>
      <c r="F80" s="289"/>
    </row>
    <row r="81" spans="2:8" ht="15" customHeight="1" x14ac:dyDescent="0.35">
      <c r="B81" s="108" t="s">
        <v>184</v>
      </c>
      <c r="C81" s="20">
        <f>G9+G21</f>
        <v>0</v>
      </c>
      <c r="D81" s="191">
        <f>G9*H9+G21*H21</f>
        <v>0</v>
      </c>
      <c r="F81" s="289"/>
    </row>
    <row r="82" spans="2:8" ht="15" customHeight="1" x14ac:dyDescent="0.35">
      <c r="B82" s="82" t="s">
        <v>193</v>
      </c>
      <c r="C82" s="83">
        <f>SUM(C79:C81)</f>
        <v>13024</v>
      </c>
      <c r="D82" s="83">
        <f>SUM(D79:D81)</f>
        <v>7814.4</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-3093</v>
      </c>
      <c r="D86" s="254">
        <f>C86*$H$1/Common_Shares</f>
        <v>-0.37849307922088393</v>
      </c>
      <c r="E86" s="275" t="str">
        <f>Market_currency</f>
        <v>HKD</v>
      </c>
    </row>
    <row r="87" spans="2:8" ht="15" customHeight="1" x14ac:dyDescent="0.35">
      <c r="B87" s="273" t="s">
        <v>313</v>
      </c>
      <c r="C87" s="191">
        <f>Valuation_Model!C8*Exchange_Rate</f>
        <v>42222.564948178719</v>
      </c>
      <c r="D87" s="254">
        <f>C87*$H$1/Common_Shares</f>
        <v>5.1668117102618574</v>
      </c>
      <c r="E87" s="275" t="str">
        <f>Market_currency</f>
        <v>HKD</v>
      </c>
    </row>
    <row r="88" spans="2:8" ht="15" customHeight="1" x14ac:dyDescent="0.35">
      <c r="B88" s="274" t="s">
        <v>193</v>
      </c>
      <c r="C88" s="191">
        <f>Valuation_Model!C9*Exchange_Rate</f>
        <v>7814.4</v>
      </c>
      <c r="D88" s="254">
        <f>C88*$H$1/Common_Shares</f>
        <v>0.95625487173090062</v>
      </c>
      <c r="E88" s="275" t="str">
        <f>Market_currency</f>
        <v>HKD</v>
      </c>
    </row>
    <row r="89" spans="2:8" ht="15" customHeight="1" x14ac:dyDescent="0.35">
      <c r="B89" s="82" t="s">
        <v>317</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-5066.6797407625618</v>
      </c>
      <c r="E5" s="308"/>
      <c r="G5" s="186">
        <f t="shared" ref="G5:Q5" si="1">G25</f>
        <v>-5344</v>
      </c>
      <c r="H5" s="186">
        <f t="shared" si="1"/>
        <v>-6492</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3698.3202592374382</v>
      </c>
      <c r="E6" s="308"/>
      <c r="G6" s="187">
        <f>IF(G4="","",G4+G5)</f>
        <v>3421</v>
      </c>
      <c r="H6" s="187">
        <f t="shared" ref="H6:Q6" si="2">IF(H4="","",H4+H5)</f>
        <v>5389</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-1106.5</v>
      </c>
      <c r="E7" s="308"/>
      <c r="G7" s="197">
        <f t="shared" ref="G7:Q7" si="3">G35</f>
        <v>-1084</v>
      </c>
      <c r="H7" s="197">
        <f t="shared" si="3"/>
        <v>-1129</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2591.8202592374382</v>
      </c>
      <c r="D8" s="60"/>
      <c r="E8" s="314"/>
      <c r="F8" s="60"/>
      <c r="G8" s="187">
        <f>IF(G$4="","",G6+G7)</f>
        <v>2337</v>
      </c>
      <c r="H8" s="187">
        <f t="shared" ref="H8:Q8" si="4">IF(H$4="","",H6+H7)</f>
        <v>4260</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159.99999999999997</v>
      </c>
      <c r="E9" s="308"/>
      <c r="G9" s="197">
        <f>IF(Data!C61="","",-Data!C61)</f>
        <v>160</v>
      </c>
      <c r="H9" s="197">
        <f>IF(Data!D61="","",-Data!D61)</f>
        <v>198</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-159.99999999999997</v>
      </c>
      <c r="E10" s="308"/>
      <c r="G10" s="197">
        <f>Data!C62</f>
        <v>-69</v>
      </c>
      <c r="H10" s="197">
        <f>Data!D62</f>
        <v>-108</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639</v>
      </c>
      <c r="D11" s="172"/>
      <c r="E11" s="307"/>
      <c r="F11" s="172"/>
      <c r="G11" s="189">
        <f>G61</f>
        <v>639</v>
      </c>
      <c r="H11" s="189">
        <f t="shared" ref="H11:Q11" si="5">H61</f>
        <v>927</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120.69305155463843</v>
      </c>
      <c r="E12" s="308"/>
      <c r="G12" s="197">
        <f>G50</f>
        <v>224.79206823259295</v>
      </c>
      <c r="H12" s="197">
        <f t="shared" ref="H12:Q12" si="6">H50</f>
        <v>118.39443599706225</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3351.5133107920765</v>
      </c>
      <c r="E13" s="308"/>
      <c r="G13" s="187">
        <f>IF(G$4="","",SUM(G8:G12))</f>
        <v>3291.792068232593</v>
      </c>
      <c r="H13" s="187">
        <f t="shared" ref="H13:Q13" si="7">IF(H$4="","",SUM(H8:H12))</f>
        <v>5395.3944359970619</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-804.36319459009837</v>
      </c>
      <c r="E14" s="308"/>
      <c r="G14" s="197">
        <f>Data!C46</f>
        <v>-519</v>
      </c>
      <c r="H14" s="197">
        <f>Data!D46</f>
        <v>-860.83482800000002</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-22.869707937042335</v>
      </c>
      <c r="D15" s="61"/>
      <c r="E15" s="315"/>
      <c r="F15" s="61"/>
      <c r="G15" s="186">
        <f>Data!C48</f>
        <v>0</v>
      </c>
      <c r="H15" s="186">
        <f>Data!D48</f>
        <v>-31</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2524.2804082649359</v>
      </c>
      <c r="D16" s="62"/>
      <c r="E16" s="316"/>
      <c r="F16" s="62"/>
      <c r="G16" s="187">
        <f>IF(G$4="","",SUM(G13:G15))</f>
        <v>2772.792068232593</v>
      </c>
      <c r="H16" s="187">
        <f t="shared" ref="H16:Q16" si="8">IF(H$4="","",SUM(H13:H15))</f>
        <v>4503.5596079970619</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366</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367</v>
      </c>
      <c r="F18" s="59"/>
      <c r="G18" s="202"/>
      <c r="H18" s="202"/>
      <c r="I18" s="202"/>
      <c r="J18" s="202"/>
      <c r="K18" s="202"/>
      <c r="L18" s="202"/>
      <c r="M18" s="202"/>
      <c r="N18" s="202"/>
      <c r="O18" s="202"/>
      <c r="P18" s="202"/>
      <c r="Q18" s="202"/>
    </row>
    <row r="19" spans="1:17" ht="15.75" customHeight="1" x14ac:dyDescent="0.35">
      <c r="A19" s="10"/>
      <c r="B19" s="31" t="s">
        <v>69</v>
      </c>
      <c r="C19" s="187">
        <f>C16+C17</f>
        <v>2524.2804082649359</v>
      </c>
      <c r="D19" s="27"/>
      <c r="E19" s="305"/>
      <c r="F19" s="27"/>
      <c r="G19" s="189">
        <f>IF(G$4="","",G16+G17)</f>
        <v>2772.792068232593</v>
      </c>
      <c r="H19" s="189">
        <f t="shared" ref="H19:Q19" si="9">IF(H$4="","",H16+H17)</f>
        <v>4503.5596079970619</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-5066.6797407625618</v>
      </c>
      <c r="D23" s="59"/>
      <c r="E23" s="307"/>
      <c r="F23" s="59"/>
      <c r="G23" s="186">
        <f>Data!C37</f>
        <v>-5344</v>
      </c>
      <c r="H23" s="186">
        <f>Data!D37</f>
        <v>-6492</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0</v>
      </c>
      <c r="D24" s="27"/>
      <c r="E24" s="305"/>
      <c r="F24" s="27"/>
      <c r="G24" s="186">
        <f>Data!C40</f>
        <v>0</v>
      </c>
      <c r="H24" s="186">
        <f>Data!D40</f>
        <v>0</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-5066.6797407625618</v>
      </c>
      <c r="D25" s="9"/>
      <c r="E25" s="313"/>
      <c r="F25" s="9"/>
      <c r="G25" s="187">
        <f t="shared" ref="G25:Q25" si="10">IF(G$4="","",G23+G24)</f>
        <v>-5344</v>
      </c>
      <c r="H25" s="187">
        <f t="shared" si="10"/>
        <v>-6492</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AVERAGE(G28:H28)</f>
        <v>0.57805815639048053</v>
      </c>
      <c r="D28" s="26"/>
      <c r="E28" s="306" t="s">
        <v>368</v>
      </c>
      <c r="F28" s="26"/>
      <c r="G28" s="13">
        <f t="shared" ref="G28:Q28" si="11">IF(G$4="","",ABS(G23/G$4))</f>
        <v>0.60969766115231028</v>
      </c>
      <c r="H28" s="13">
        <f t="shared" si="11"/>
        <v>0.54641865162865078</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368</v>
      </c>
      <c r="F29" s="26"/>
      <c r="G29" s="13">
        <f t="shared" ref="G29:Q29" si="12">IF(G$4="","",ABS(G24/G$4))</f>
        <v>0</v>
      </c>
      <c r="H29" s="13">
        <f t="shared" si="12"/>
        <v>0</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0.57805815639048053</v>
      </c>
      <c r="E30" s="308"/>
      <c r="G30" s="30">
        <f t="shared" ref="G30:Q30" si="13">IF(G$4="","",ABS(G25/G$4))</f>
        <v>0.60969766115231028</v>
      </c>
      <c r="H30" s="30">
        <f t="shared" si="13"/>
        <v>0.54641865162865078</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AVERAGE(G33:H33)</f>
        <v>-1106.5</v>
      </c>
      <c r="E33" s="306" t="s">
        <v>368</v>
      </c>
      <c r="G33" s="197">
        <f>Data!C41</f>
        <v>-1084</v>
      </c>
      <c r="H33" s="197">
        <f>Data!D41</f>
        <v>-1129</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368</v>
      </c>
      <c r="F34" s="59"/>
      <c r="G34" s="186">
        <f>Data!C42</f>
        <v>0</v>
      </c>
      <c r="H34" s="186">
        <f>Data!D42</f>
        <v>0</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-1106.5</v>
      </c>
      <c r="D35" s="59"/>
      <c r="E35" s="307"/>
      <c r="F35" s="59"/>
      <c r="G35" s="187">
        <f t="shared" ref="G35:Q35" si="14">IF(G4="","",G33+G34)</f>
        <v>-1084</v>
      </c>
      <c r="H35" s="187">
        <f t="shared" si="14"/>
        <v>-1129</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0.1262407301768397</v>
      </c>
      <c r="E40" s="308"/>
      <c r="G40" s="30">
        <f t="shared" ref="G40:Q40" si="17">IF(G$4="","",ABS(G35/G$4))</f>
        <v>0.12367370222475756</v>
      </c>
      <c r="H40" s="30">
        <f t="shared" si="17"/>
        <v>9.5025671239794635E-2</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0.24</v>
      </c>
      <c r="D43" s="27"/>
      <c r="E43" s="305" t="s">
        <v>369</v>
      </c>
      <c r="F43" s="27"/>
      <c r="G43" s="6">
        <f t="shared" ref="G43:Q43" si="18">IF(G$4="","",-G14/SUM(G8+G11,G12))</f>
        <v>0.16214736506972799</v>
      </c>
      <c r="H43" s="6">
        <f t="shared" si="18"/>
        <v>0.16225651803742283</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-43</v>
      </c>
      <c r="E47" s="308"/>
      <c r="G47" s="197">
        <f>Data!C51</f>
        <v>-43</v>
      </c>
      <c r="H47" s="197">
        <f>Data!D51</f>
        <v>-40.775368</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383</v>
      </c>
      <c r="C48" s="197">
        <f>BS!D75*C53</f>
        <v>163.69305155463843</v>
      </c>
      <c r="E48" s="308"/>
      <c r="G48" s="334">
        <f>IF(G$4="","",($C$48/$C$49)*G49)</f>
        <v>267.79206823259295</v>
      </c>
      <c r="H48" s="334">
        <f t="shared" ref="H48:Q48" si="19">IF(H$4="","",($C$48/$C$49)*H49)</f>
        <v>159.16980399706225</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378</v>
      </c>
      <c r="C49" s="330">
        <f>BS!$C$66*C53</f>
        <v>1430.37</v>
      </c>
      <c r="D49" s="331"/>
      <c r="E49" s="332"/>
      <c r="F49" s="331"/>
      <c r="G49" s="330">
        <f>Data!C52</f>
        <v>2340</v>
      </c>
      <c r="H49" s="330">
        <f>Data!D52</f>
        <v>1390.845307</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120.69305155463843</v>
      </c>
      <c r="E50" s="308"/>
      <c r="G50" s="187">
        <f>IF(G$4="","",(G47+G48))</f>
        <v>224.79206823259295</v>
      </c>
      <c r="H50" s="187">
        <f t="shared" ref="H50:Q50" si="20">IF(H$4="","",(H47+H48))</f>
        <v>118.39443599706225</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v>0.03</v>
      </c>
      <c r="E53" s="305" t="s">
        <v>370</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91</v>
      </c>
      <c r="C54" s="84">
        <f>G54</f>
        <v>1.3902360168121564E-2</v>
      </c>
      <c r="E54" s="305" t="s">
        <v>371</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94</v>
      </c>
      <c r="C55" s="42">
        <f>-C8/C47</f>
        <v>60.274889749707867</v>
      </c>
      <c r="E55" s="308"/>
      <c r="G55" s="42">
        <f t="shared" ref="G55:Q55" si="21">IF(G4="","",-G8/G47)</f>
        <v>54.348837209302324</v>
      </c>
      <c r="H55" s="42">
        <f t="shared" si="21"/>
        <v>104.47483882916765</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639</v>
      </c>
      <c r="E59" s="308"/>
      <c r="G59" s="197">
        <f>Data!C55</f>
        <v>639</v>
      </c>
      <c r="H59" s="197">
        <f>Data!D55</f>
        <v>927</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639</v>
      </c>
      <c r="E61" s="308"/>
      <c r="G61" s="187">
        <f t="shared" ref="G61:Q61" si="22">IF(G4="","",SUM(G58:G60))</f>
        <v>639</v>
      </c>
      <c r="H61" s="187">
        <f t="shared" si="22"/>
        <v>927</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372</v>
      </c>
      <c r="G62" s="197">
        <f>Data!C58</f>
        <v>-503</v>
      </c>
      <c r="H62" s="197">
        <f>Data!D58</f>
        <v>203.76488900000004</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639</v>
      </c>
      <c r="E63" s="308"/>
      <c r="G63" s="187">
        <f t="shared" ref="G63:Q63" si="23">IF(G4="","",G61+G62)</f>
        <v>136</v>
      </c>
      <c r="H63" s="187">
        <f t="shared" si="23"/>
        <v>1130.764889</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0.57805815639048053</v>
      </c>
      <c r="D73" s="27"/>
      <c r="E73" s="305"/>
      <c r="F73" s="27"/>
      <c r="G73" s="6">
        <f t="shared" ref="G73:Q73" si="24">IF(G$4="","",ABS(G5/G$4))</f>
        <v>0.60969766115231028</v>
      </c>
      <c r="H73" s="6">
        <f t="shared" si="24"/>
        <v>0.54641865162865078</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0.42194184360951947</v>
      </c>
      <c r="D74" s="27"/>
      <c r="E74" s="305"/>
      <c r="F74" s="27"/>
      <c r="G74" s="66">
        <f t="shared" ref="G74:Q74" si="25">IF(G$4="","",ABS(G6/G$4))</f>
        <v>0.39030233884768967</v>
      </c>
      <c r="H74" s="66">
        <f t="shared" si="25"/>
        <v>0.45358134837134922</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0.1262407301768397</v>
      </c>
      <c r="D75" s="27"/>
      <c r="E75" s="305"/>
      <c r="F75" s="27"/>
      <c r="G75" s="6">
        <f t="shared" ref="G75:Q75" si="26">IF(G$4="","",ABS(G7/G$4))</f>
        <v>0.12367370222475756</v>
      </c>
      <c r="H75" s="6">
        <f t="shared" si="26"/>
        <v>9.5025671239794635E-2</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0.2957011134326798</v>
      </c>
      <c r="D76" s="27"/>
      <c r="E76" s="305"/>
      <c r="F76" s="27"/>
      <c r="G76" s="66">
        <f t="shared" ref="G76:Q76" si="27">IF(G$4="","",ABS(G8/G$4))</f>
        <v>0.26662863662293212</v>
      </c>
      <c r="H76" s="66">
        <f t="shared" si="27"/>
        <v>0.35855567713155456</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1.8254420992584137E-2</v>
      </c>
      <c r="D77" s="27"/>
      <c r="E77" s="305"/>
      <c r="F77" s="27"/>
      <c r="G77" s="6">
        <f t="shared" ref="G77:Q77" si="28">IF(G$4="","",G9/G$4)</f>
        <v>1.825442099258414E-2</v>
      </c>
      <c r="H77" s="6">
        <f t="shared" si="28"/>
        <v>1.6665263866677889E-2</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1.8254420992584137E-2</v>
      </c>
      <c r="D78" s="27"/>
      <c r="E78" s="306" t="s">
        <v>373</v>
      </c>
      <c r="F78" s="27"/>
      <c r="G78" s="6">
        <f t="shared" ref="G78:Q78" si="29">IF(G$4="","",-G10/G$4)</f>
        <v>7.8722190530519116E-3</v>
      </c>
      <c r="H78" s="6">
        <f t="shared" si="29"/>
        <v>9.0901439272788494E-3</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7.2903593839132919E-2</v>
      </c>
      <c r="D79" s="27"/>
      <c r="E79" s="305"/>
      <c r="F79" s="27"/>
      <c r="G79" s="66">
        <f t="shared" ref="G79:Q79" si="30">IF(G$4="","",G11/G$4)</f>
        <v>7.2903593839132919E-2</v>
      </c>
      <c r="H79" s="66">
        <f t="shared" si="30"/>
        <v>7.8023735375810116E-2</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1.3769886087237698E-2</v>
      </c>
      <c r="D80" s="27"/>
      <c r="E80" s="305"/>
      <c r="F80" s="27"/>
      <c r="G80" s="6">
        <f t="shared" ref="G80:Q80" si="31">IF(G$4="","",ABS(G12/G$4))</f>
        <v>2.5646556558196573E-2</v>
      </c>
      <c r="H80" s="6">
        <f t="shared" si="31"/>
        <v>9.9650228092805528E-3</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0.38237459335905039</v>
      </c>
      <c r="D81" s="27"/>
      <c r="E81" s="305"/>
      <c r="F81" s="27"/>
      <c r="G81" s="66">
        <f t="shared" ref="G81:Q81" si="32">IF(G$4="","",G13/G$4)</f>
        <v>0.37556098895979384</v>
      </c>
      <c r="H81" s="66">
        <f t="shared" si="32"/>
        <v>0.45411955525604425</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9.1769902406172096E-2</v>
      </c>
      <c r="D82" s="27"/>
      <c r="E82" s="305"/>
      <c r="F82" s="27"/>
      <c r="G82" s="6">
        <f t="shared" ref="G82:Q82" si="33">IF(G$4="","",ABS(G14/G$4))</f>
        <v>5.9212778094694808E-2</v>
      </c>
      <c r="H82" s="6">
        <f t="shared" si="33"/>
        <v>7.2454745223466038E-2</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0.28799548297375194</v>
      </c>
      <c r="D84" s="27"/>
      <c r="E84" s="305"/>
      <c r="F84" s="27"/>
      <c r="G84" s="66">
        <f t="shared" ref="G84:Q84" si="35">IF(G$4="","",ABS(G16/G$4))</f>
        <v>0.31634821086509901</v>
      </c>
      <c r="H84" s="66">
        <f t="shared" si="35"/>
        <v>0.3790556020534519</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0.28799548297375194</v>
      </c>
      <c r="D87" s="77"/>
      <c r="E87" s="305"/>
      <c r="F87" s="77"/>
      <c r="G87" s="66">
        <f t="shared" ref="G87:Q87" si="36">IF(G$4="","",ABS(G19/G$4))</f>
        <v>0.31634821086509901</v>
      </c>
      <c r="H87" s="66">
        <f t="shared" si="36"/>
        <v>0.3790556020534519</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0.57999999999999996</v>
      </c>
      <c r="E90" s="308"/>
      <c r="G90" s="116">
        <f>Data!C64</f>
        <v>0.57999999999999996</v>
      </c>
      <c r="H90" s="116">
        <f>Data!D64</f>
        <v>0.57999999999999996</v>
      </c>
      <c r="I90" s="116" t="str">
        <f>Data!E64</f>
        <v/>
      </c>
      <c r="J90" s="116" t="str">
        <f>Data!F64</f>
        <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1.8776401969295582</v>
      </c>
      <c r="E92" s="308"/>
      <c r="G92" s="174">
        <f t="shared" ref="G92:Q92" si="38">IF(G$4="","",G90/(G19*$C$3/Common_Shares))</f>
        <v>1.7093565785843898</v>
      </c>
      <c r="H92" s="174">
        <f t="shared" si="38"/>
        <v>1.0524320260941227</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7.3417721518987331E-2</v>
      </c>
      <c r="E93" s="308"/>
      <c r="G93" s="23">
        <f t="shared" ref="G93:Q93" si="39">IF(G$4="","",G90/Market_Price)</f>
        <v>7.3417721518987331E-2</v>
      </c>
      <c r="H93" s="23">
        <f t="shared" si="39"/>
        <v>7.3417721518987331E-2</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v>
      </c>
      <c r="D96" s="27"/>
      <c r="E96" s="305"/>
      <c r="F96" s="27"/>
      <c r="G96" s="6">
        <f t="shared" ref="G96:Q96" si="40">IF(H4="","",G4/H4-1)</f>
        <v>-0.26226748590186011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1.8142471128666626E-2</v>
      </c>
      <c r="D97" s="27"/>
      <c r="E97" s="305"/>
      <c r="F97" s="27"/>
      <c r="G97" s="6">
        <f t="shared" ref="G97:Q97" si="41">IF(H5="","",G13/H13-1)</f>
        <v>-0.38988852302060206</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8029</v>
      </c>
      <c r="D102" s="91"/>
      <c r="E102" s="310"/>
      <c r="F102" s="91"/>
      <c r="G102" s="188">
        <f>IF(G$4="","",Data!D76)</f>
        <v>7251</v>
      </c>
      <c r="H102" s="188" t="str">
        <f>IF(H$4="","",Data!E76)</f>
        <v/>
      </c>
      <c r="I102" s="188" t="str">
        <f>IF(I$4="","",Data!F76)</f>
        <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15310</v>
      </c>
      <c r="D103" s="91"/>
      <c r="E103" s="310"/>
      <c r="F103" s="91"/>
      <c r="G103" s="188">
        <f>IF(G$4="","",Data!D77)</f>
        <v>16389</v>
      </c>
      <c r="H103" s="188" t="str">
        <f>IF(H$4="","",Data!E77)</f>
        <v/>
      </c>
      <c r="I103" s="188" t="str">
        <f>IF(I$4="","",Data!F77)</f>
        <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13889</v>
      </c>
      <c r="D104" s="26"/>
      <c r="E104" s="309"/>
      <c r="F104" s="26"/>
      <c r="G104" s="186">
        <f>Data!C78</f>
        <v>14028</v>
      </c>
      <c r="H104" s="186">
        <f>Data!D78</f>
        <v>10902</v>
      </c>
      <c r="I104" s="186" t="str">
        <f>Data!E78</f>
        <v/>
      </c>
      <c r="J104" s="186" t="str">
        <f>Data!F78</f>
        <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167107</v>
      </c>
      <c r="D105" s="26"/>
      <c r="E105" s="309"/>
      <c r="F105" s="26"/>
      <c r="G105" s="186">
        <f>Data!C79</f>
        <v>166316</v>
      </c>
      <c r="H105" s="186">
        <f>Data!D79</f>
        <v>163105</v>
      </c>
      <c r="I105" s="186" t="str">
        <f>Data!E79</f>
        <v/>
      </c>
      <c r="J105" s="186" t="str">
        <f>Data!F79</f>
        <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0.91602966343411296</v>
      </c>
      <c r="D108" s="26"/>
      <c r="E108" s="309"/>
      <c r="F108" s="26"/>
      <c r="G108" s="97">
        <f t="shared" ref="G108:Q108" si="43">IF(G$4="","",G102/G$4)</f>
        <v>0.82726754135767255</v>
      </c>
      <c r="H108" s="97" t="e">
        <f t="shared" si="43"/>
        <v>#VALUE!</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1.7467199087278951</v>
      </c>
      <c r="D109" s="26"/>
      <c r="E109" s="309"/>
      <c r="F109" s="26"/>
      <c r="G109" s="97">
        <f t="shared" ref="G109:Q109" si="44">IF(G$4="","",G103/G$4)</f>
        <v>1.8698231602966344</v>
      </c>
      <c r="H109" s="97" t="e">
        <f t="shared" si="44"/>
        <v>#VALUE!</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0.38237459335905039</v>
      </c>
      <c r="E113" s="308"/>
      <c r="G113" s="23">
        <f t="shared" ref="G113:Q113" si="45">G81</f>
        <v>0.37556098895979384</v>
      </c>
      <c r="H113" s="23">
        <f t="shared" si="45"/>
        <v>0.45411955525604425</v>
      </c>
      <c r="I113" s="23" t="str">
        <f t="shared" si="45"/>
        <v/>
      </c>
      <c r="J113" s="23" t="str">
        <f t="shared" si="45"/>
        <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4.8426484563194767E-2</v>
      </c>
      <c r="E114" s="308"/>
      <c r="G114" s="42">
        <f t="shared" ref="G114:Q114" si="46">IF(G4="","",G4/G101)</f>
        <v>4.8601561460320276E-2</v>
      </c>
      <c r="H114" s="42">
        <f t="shared" si="46"/>
        <v>6.8278862344618316E-2</v>
      </c>
      <c r="I114" s="42" t="str">
        <f t="shared" si="46"/>
        <v/>
      </c>
      <c r="J114" s="42" t="str">
        <f t="shared" si="46"/>
        <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1.0831144117242246</v>
      </c>
      <c r="D115" s="11"/>
      <c r="E115" s="312"/>
      <c r="F115" s="11"/>
      <c r="G115" s="15">
        <f t="shared" ref="G115:Q115" si="47">IF(G$4="","",G101/G105)</f>
        <v>1.0843454628538445</v>
      </c>
      <c r="H115" s="15">
        <f t="shared" si="47"/>
        <v>1.0668403788970295</v>
      </c>
      <c r="I115" s="15" t="str">
        <f t="shared" si="47"/>
        <v/>
      </c>
      <c r="J115" s="15" t="str">
        <f t="shared" si="47"/>
        <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1.5509944282629921E-2</v>
      </c>
      <c r="D116" s="106"/>
      <c r="E116" s="311"/>
      <c r="F116" s="106"/>
      <c r="G116" s="105">
        <f t="shared" ref="G116:Q116" si="48">IF(G$4="","",G8/G105)</f>
        <v>1.4051564491690517E-2</v>
      </c>
      <c r="H116" s="105">
        <f t="shared" si="48"/>
        <v>2.6118144753379726E-2</v>
      </c>
      <c r="I116" s="105" t="str">
        <f t="shared" si="48"/>
        <v/>
      </c>
      <c r="J116" s="105" t="str">
        <f t="shared" si="48"/>
        <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0.308898371982265</v>
      </c>
      <c r="D120" s="27"/>
      <c r="E120" s="305"/>
      <c r="F120" s="27"/>
      <c r="G120" s="181">
        <f t="shared" ref="G120:Q120" si="49">IF(G$4="","",G16*$C$3/Common_Shares*Exchange_Rate)</f>
        <v>0.33930895827500729</v>
      </c>
      <c r="H120" s="181">
        <f t="shared" si="49"/>
        <v>0.55110447574704324</v>
      </c>
      <c r="I120" s="181" t="str">
        <f t="shared" si="49"/>
        <v/>
      </c>
      <c r="J120" s="181" t="str">
        <f t="shared" si="49"/>
        <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3.9101059744590508E-2</v>
      </c>
      <c r="D121" s="27"/>
      <c r="E121" s="305"/>
      <c r="F121" s="27"/>
      <c r="G121" s="79">
        <f t="shared" ref="G121" si="50">IF(G$4="","",G120/Market_Price)</f>
        <v>4.2950501047469274E-2</v>
      </c>
      <c r="H121" s="79">
        <f t="shared" ref="H121" si="51">IF(H$4="","",H120/Market_Price)</f>
        <v>6.9760060221144712E-2</v>
      </c>
      <c r="I121" s="79" t="str">
        <f t="shared" ref="I121" si="52">IF(I$4="","",I120/Market_Price)</f>
        <v/>
      </c>
      <c r="J121" s="79" t="str">
        <f t="shared" ref="J121" si="53">IF(J$4="","",J120/Market_Price)</f>
        <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1000000</v>
      </c>
      <c r="E3" s="112" t="s">
        <v>128</v>
      </c>
      <c r="H3" s="124"/>
    </row>
    <row r="4" spans="2:8" x14ac:dyDescent="0.35">
      <c r="B4" s="103" t="s">
        <v>132</v>
      </c>
      <c r="C4" s="113">
        <f>Normalized_FCF!C19</f>
        <v>2524.2804082649359</v>
      </c>
      <c r="D4" t="str">
        <f>Reporting_currency</f>
        <v>HKD</v>
      </c>
      <c r="E4" s="103" t="s">
        <v>256</v>
      </c>
      <c r="F4" s="138">
        <f>Thesis!C75</f>
        <v>0</v>
      </c>
      <c r="H4" s="124"/>
    </row>
    <row r="5" spans="2:8" x14ac:dyDescent="0.35">
      <c r="B5" s="233" t="s">
        <v>127</v>
      </c>
      <c r="C5" s="234">
        <f>Thesis!C70</f>
        <v>0.09</v>
      </c>
      <c r="E5" s="152"/>
      <c r="H5" s="124"/>
    </row>
    <row r="6" spans="2:8" ht="13.15" customHeight="1" x14ac:dyDescent="0.4">
      <c r="B6" s="153" t="s">
        <v>232</v>
      </c>
      <c r="C6" s="238">
        <f>(C4*(1+Terminal_Growth))/(Equity_Cost-Terminal_Growth)</f>
        <v>28047.560091832624</v>
      </c>
      <c r="D6" t="str">
        <f>Reporting_currency</f>
        <v>HKD</v>
      </c>
      <c r="E6" s="343" t="s">
        <v>255</v>
      </c>
      <c r="F6" s="343"/>
      <c r="H6" s="124"/>
    </row>
    <row r="7" spans="2:8" x14ac:dyDescent="0.35">
      <c r="B7" s="152" t="s">
        <v>228</v>
      </c>
      <c r="C7" s="232">
        <f>BS!G31</f>
        <v>3093</v>
      </c>
      <c r="D7" t="str">
        <f>Reporting_currency</f>
        <v>HKD</v>
      </c>
      <c r="E7" s="343"/>
      <c r="F7" s="343"/>
      <c r="H7" s="124"/>
    </row>
    <row r="8" spans="2:8" x14ac:dyDescent="0.35">
      <c r="B8" s="152" t="s">
        <v>229</v>
      </c>
      <c r="C8" s="207">
        <f>BS!D66</f>
        <v>42222.564948178719</v>
      </c>
      <c r="D8" t="str">
        <f>Reporting_currency</f>
        <v>HKD</v>
      </c>
      <c r="E8" s="343"/>
      <c r="F8" s="343"/>
      <c r="H8" s="124"/>
    </row>
    <row r="9" spans="2:8" x14ac:dyDescent="0.35">
      <c r="B9" s="233" t="s">
        <v>194</v>
      </c>
      <c r="C9" s="235">
        <f>BS!H42</f>
        <v>7814.4</v>
      </c>
      <c r="D9" t="str">
        <f>Reporting_currency</f>
        <v>HKD</v>
      </c>
      <c r="E9" s="343"/>
      <c r="F9" s="343"/>
      <c r="H9" s="124"/>
    </row>
    <row r="10" spans="2:8" ht="13.15" x14ac:dyDescent="0.4">
      <c r="B10" s="153" t="s">
        <v>231</v>
      </c>
      <c r="C10" s="238">
        <f>C6-C7+C8+C9</f>
        <v>74991.525040011329</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9.1767776359081505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-7.3000000000000001E-3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9.0981264288878361</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104</v>
      </c>
      <c r="F52" s="141">
        <f>SUM(F21:F51)</f>
        <v>27404.831871241127</v>
      </c>
      <c r="H52" s="124"/>
    </row>
    <row r="53" spans="1:8" x14ac:dyDescent="0.35">
      <c r="C53" s="118"/>
      <c r="H53" s="124"/>
    </row>
    <row r="54" spans="1:8" ht="13.15" x14ac:dyDescent="0.35">
      <c r="B54" s="123" t="s">
        <v>133</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-7.9</v>
      </c>
    </row>
    <row r="4" spans="2:9" x14ac:dyDescent="0.35">
      <c r="B4" s="156" t="s">
        <v>150</v>
      </c>
      <c r="C4" s="124">
        <v>3</v>
      </c>
      <c r="D4" s="124"/>
      <c r="E4" s="159" t="s">
        <v>154</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99</v>
      </c>
      <c r="C6" s="110">
        <f>Valuation_Model!C3</f>
        <v>1000000</v>
      </c>
      <c r="E6" s="103" t="s">
        <v>297</v>
      </c>
      <c r="F6" s="103"/>
      <c r="H6" s="282">
        <v>3</v>
      </c>
      <c r="I6" s="270">
        <f t="shared" si="0"/>
        <v>9.6806872475781418</v>
      </c>
    </row>
    <row r="7" spans="2:9" ht="12.75" customHeight="1" x14ac:dyDescent="0.35">
      <c r="B7" s="103" t="s">
        <v>291</v>
      </c>
      <c r="C7" s="118">
        <f>Normalized_FCF!G8</f>
        <v>2337</v>
      </c>
      <c r="D7" t="str">
        <f>Reporting_currency</f>
        <v>HKD</v>
      </c>
      <c r="E7" s="345"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5"/>
      <c r="H7" s="282">
        <v>4</v>
      </c>
      <c r="I7" s="270" t="str">
        <f t="shared" si="0"/>
        <v/>
      </c>
    </row>
    <row r="8" spans="2:9" x14ac:dyDescent="0.35">
      <c r="B8" s="103" t="s">
        <v>69</v>
      </c>
      <c r="C8" s="118">
        <f>Normalized_FCF!G19</f>
        <v>2772.792068232593</v>
      </c>
      <c r="D8" t="str">
        <f>Reporting_currency</f>
        <v>HKD</v>
      </c>
      <c r="E8" s="345"/>
      <c r="F8" s="345"/>
      <c r="H8" s="282">
        <v>5</v>
      </c>
      <c r="I8" s="270" t="str">
        <f t="shared" si="0"/>
        <v/>
      </c>
    </row>
    <row r="9" spans="2:9" x14ac:dyDescent="0.35">
      <c r="B9" s="103" t="s">
        <v>60</v>
      </c>
      <c r="C9" s="207">
        <f>Normalized_FCF!C19</f>
        <v>2524.2804082649359</v>
      </c>
      <c r="D9" t="str">
        <f>Reporting_currency</f>
        <v>HKD</v>
      </c>
      <c r="E9" s="345"/>
      <c r="F9" s="345"/>
      <c r="H9" s="282">
        <v>6</v>
      </c>
      <c r="I9" s="270" t="str">
        <f t="shared" si="0"/>
        <v/>
      </c>
    </row>
    <row r="10" spans="2:9" x14ac:dyDescent="0.35">
      <c r="E10" s="345"/>
      <c r="F10" s="345"/>
      <c r="H10" s="282">
        <v>7</v>
      </c>
      <c r="I10" s="270" t="str">
        <f t="shared" si="0"/>
        <v/>
      </c>
    </row>
    <row r="11" spans="2:9" ht="13.15" x14ac:dyDescent="0.4">
      <c r="B11" s="163" t="s">
        <v>294</v>
      </c>
      <c r="E11" s="345"/>
      <c r="F11" s="345"/>
      <c r="H11" s="282">
        <v>8</v>
      </c>
      <c r="I11" s="270" t="str">
        <f t="shared" si="0"/>
        <v/>
      </c>
    </row>
    <row r="12" spans="2:9" x14ac:dyDescent="0.35">
      <c r="B12" s="122" t="s">
        <v>148</v>
      </c>
      <c r="C12" s="162" t="e">
        <f ca="1">(Normalized_FCF!G4/OFFSET(Normalized_FCF!G4, 0, $C$4))^(1/$C$4) - 1</f>
        <v>#VALUE!</v>
      </c>
      <c r="D12" s="162"/>
      <c r="E12" s="345"/>
      <c r="F12" s="345"/>
      <c r="H12" s="282">
        <v>9</v>
      </c>
      <c r="I12" s="270" t="str">
        <f t="shared" si="0"/>
        <v/>
      </c>
    </row>
    <row r="13" spans="2:9" x14ac:dyDescent="0.35">
      <c r="B13" s="152" t="s">
        <v>156</v>
      </c>
      <c r="C13" s="162" t="e">
        <f ca="1">(Normalized_FCF!G8/OFFSET(Normalized_FCF!G8, 0, $C$4))^(1/$C$4) - 1</f>
        <v>#VALUE!</v>
      </c>
      <c r="E13" s="345"/>
      <c r="F13" s="345"/>
      <c r="H13" s="282">
        <v>10</v>
      </c>
      <c r="I13" s="270" t="str">
        <f t="shared" si="0"/>
        <v/>
      </c>
    </row>
    <row r="14" spans="2:9" x14ac:dyDescent="0.35">
      <c r="B14" s="103" t="s">
        <v>69</v>
      </c>
      <c r="C14" s="162" t="e">
        <f ca="1">(Normalized_FCF!G19/OFFSET(Normalized_FCF!G19, 0, $C$4))^(1/$C$4) - 1</f>
        <v>#VALUE!</v>
      </c>
      <c r="E14" s="345"/>
      <c r="F14" s="345"/>
    </row>
    <row r="16" spans="2:9" ht="13.9" x14ac:dyDescent="0.45">
      <c r="B16" s="36" t="s">
        <v>166</v>
      </c>
      <c r="C16" s="37"/>
      <c r="D16" s="37"/>
      <c r="E16" s="37"/>
      <c r="F16" s="37"/>
    </row>
    <row r="17" spans="2:6" ht="13.15" x14ac:dyDescent="0.4">
      <c r="B17" s="112" t="s">
        <v>155</v>
      </c>
      <c r="E17" s="163" t="s">
        <v>360</v>
      </c>
    </row>
    <row r="18" spans="2:6" x14ac:dyDescent="0.35">
      <c r="B18" s="156" t="s">
        <v>137</v>
      </c>
      <c r="C18" s="154">
        <v>10</v>
      </c>
      <c r="E18" s="345" t="s">
        <v>361</v>
      </c>
      <c r="F18" s="346"/>
    </row>
    <row r="19" spans="2:6" x14ac:dyDescent="0.35">
      <c r="E19" s="346"/>
      <c r="F19" s="346"/>
    </row>
    <row r="20" spans="2:6" ht="13.15" x14ac:dyDescent="0.4">
      <c r="B20" s="163" t="s">
        <v>329</v>
      </c>
      <c r="E20" s="346"/>
      <c r="F20" s="346"/>
    </row>
    <row r="21" spans="2:6" x14ac:dyDescent="0.35">
      <c r="B21" s="103" t="s">
        <v>295</v>
      </c>
      <c r="C21" s="164">
        <f>Market_Price</f>
        <v>7.9</v>
      </c>
      <c r="D21" t="str">
        <f>Market_currency</f>
        <v>HKD</v>
      </c>
      <c r="E21" s="346"/>
      <c r="F21" s="346"/>
    </row>
    <row r="22" spans="2:6" x14ac:dyDescent="0.35">
      <c r="B22" s="103" t="s">
        <v>296</v>
      </c>
      <c r="C22" s="164">
        <f>Valuation_Model!C12</f>
        <v>9.1767776359081505</v>
      </c>
      <c r="D22" t="str">
        <f>Market_currency</f>
        <v>HKD</v>
      </c>
      <c r="E22" s="346"/>
      <c r="F22" s="346"/>
    </row>
    <row r="24" spans="2:6" ht="13.15" x14ac:dyDescent="0.4">
      <c r="B24" s="163" t="s">
        <v>119</v>
      </c>
      <c r="E24" s="163" t="s">
        <v>153</v>
      </c>
      <c r="F24" s="163"/>
    </row>
    <row r="25" spans="2:6" x14ac:dyDescent="0.35">
      <c r="B25" s="156" t="s">
        <v>137</v>
      </c>
      <c r="C25" s="170">
        <f>C18</f>
        <v>10</v>
      </c>
      <c r="D25" s="167"/>
      <c r="E25" s="344"/>
      <c r="F25" s="344"/>
    </row>
    <row r="26" spans="2:6" x14ac:dyDescent="0.35">
      <c r="B26" s="122" t="s">
        <v>138</v>
      </c>
      <c r="C26" s="168">
        <v>0</v>
      </c>
      <c r="D26" s="168"/>
      <c r="E26" s="344"/>
      <c r="F26" s="344"/>
    </row>
    <row r="27" spans="2:6" x14ac:dyDescent="0.35">
      <c r="B27" s="103" t="s">
        <v>117</v>
      </c>
      <c r="C27" s="164">
        <f>Valuation_Model!E76</f>
        <v>9.1767776359081505</v>
      </c>
      <c r="D27" s="164" t="str">
        <f>Market_currency</f>
        <v>HKD</v>
      </c>
      <c r="E27" s="344"/>
      <c r="F27" s="344"/>
    </row>
    <row r="28" spans="2:6" x14ac:dyDescent="0.35">
      <c r="B28" s="103" t="s">
        <v>151</v>
      </c>
      <c r="C28" s="169">
        <v>0.55000000000000004</v>
      </c>
      <c r="D28" s="169"/>
      <c r="E28" s="344"/>
      <c r="F28" s="344"/>
    </row>
    <row r="30" spans="2:6" ht="13.15" x14ac:dyDescent="0.4">
      <c r="B30" s="163" t="s">
        <v>120</v>
      </c>
      <c r="E30" s="163" t="s">
        <v>153</v>
      </c>
      <c r="F30" s="163"/>
    </row>
    <row r="31" spans="2:6" x14ac:dyDescent="0.35">
      <c r="B31" s="156" t="s">
        <v>137</v>
      </c>
      <c r="C31" s="170">
        <f>C18</f>
        <v>10</v>
      </c>
      <c r="D31" s="167"/>
      <c r="E31" s="344"/>
      <c r="F31" s="344"/>
    </row>
    <row r="32" spans="2:6" x14ac:dyDescent="0.35">
      <c r="B32" s="122" t="s">
        <v>138</v>
      </c>
      <c r="C32" s="168">
        <v>-0.05</v>
      </c>
      <c r="D32" s="168"/>
      <c r="E32" s="344"/>
      <c r="F32" s="344"/>
    </row>
    <row r="33" spans="2:6" x14ac:dyDescent="0.35">
      <c r="B33" s="103" t="s">
        <v>117</v>
      </c>
      <c r="C33" s="164">
        <f>Valuation_Model!E77</f>
        <v>8.6878498551971095</v>
      </c>
      <c r="D33" t="str">
        <f>Market_currency</f>
        <v>HKD</v>
      </c>
      <c r="E33" s="344"/>
      <c r="F33" s="344"/>
    </row>
    <row r="34" spans="2:6" x14ac:dyDescent="0.35">
      <c r="B34" s="103" t="s">
        <v>151</v>
      </c>
      <c r="C34" s="169">
        <v>0.2</v>
      </c>
      <c r="D34" s="169"/>
      <c r="E34" s="344"/>
      <c r="F34" s="344"/>
    </row>
    <row r="36" spans="2:6" ht="13.15" x14ac:dyDescent="0.4">
      <c r="B36" s="163" t="s">
        <v>118</v>
      </c>
      <c r="E36" s="163" t="s">
        <v>153</v>
      </c>
      <c r="F36" s="163"/>
    </row>
    <row r="37" spans="2:6" x14ac:dyDescent="0.35">
      <c r="B37" s="156" t="s">
        <v>137</v>
      </c>
      <c r="C37" s="170">
        <f>C18</f>
        <v>10</v>
      </c>
      <c r="D37" s="167"/>
      <c r="E37" s="344"/>
      <c r="F37" s="344"/>
    </row>
    <row r="38" spans="2:6" x14ac:dyDescent="0.35">
      <c r="B38" s="122" t="s">
        <v>138</v>
      </c>
      <c r="C38" s="168">
        <v>0.02</v>
      </c>
      <c r="D38" s="168"/>
      <c r="E38" s="344"/>
      <c r="F38" s="344"/>
    </row>
    <row r="39" spans="2:6" x14ac:dyDescent="0.35">
      <c r="B39" s="103" t="s">
        <v>117</v>
      </c>
      <c r="C39" s="164">
        <f>Valuation_Model!E75</f>
        <v>9.4067747622364397</v>
      </c>
      <c r="D39" t="str">
        <f>Market_currency</f>
        <v>HKD</v>
      </c>
      <c r="E39" s="344"/>
      <c r="F39" s="344"/>
    </row>
    <row r="40" spans="2:6" x14ac:dyDescent="0.35">
      <c r="B40" s="103" t="s">
        <v>151</v>
      </c>
      <c r="C40" s="171">
        <f>1-C28-C34</f>
        <v>0.24999999999999994</v>
      </c>
      <c r="D40" s="169"/>
      <c r="E40" s="344"/>
      <c r="F40" s="344"/>
    </row>
    <row r="42" spans="2:6" ht="13.15" x14ac:dyDescent="0.4">
      <c r="B42" s="103" t="s">
        <v>124</v>
      </c>
      <c r="C42" s="158">
        <f>C27*C28+C33*C34+C39*C40</f>
        <v>9.1364913613480141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15</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15</v>
      </c>
      <c r="D49" s="167"/>
      <c r="E49" s="344"/>
      <c r="F49" s="344"/>
    </row>
    <row r="50" spans="2:6" x14ac:dyDescent="0.35">
      <c r="B50" s="122" t="s">
        <v>138</v>
      </c>
      <c r="C50" s="168">
        <v>-0.2</v>
      </c>
      <c r="D50" s="168"/>
      <c r="E50" s="344"/>
      <c r="F50" s="344"/>
    </row>
    <row r="51" spans="2:6" x14ac:dyDescent="0.35">
      <c r="B51" s="103" t="s">
        <v>117</v>
      </c>
      <c r="C51" s="164">
        <f>Valuation_Model!E78</f>
        <v>7.3422922836394369</v>
      </c>
      <c r="D51" t="str">
        <f>Market_currency</f>
        <v>HKD</v>
      </c>
      <c r="E51" s="344"/>
      <c r="F51" s="344"/>
    </row>
    <row r="52" spans="2:6" x14ac:dyDescent="0.35">
      <c r="B52" s="103" t="s">
        <v>151</v>
      </c>
      <c r="C52" s="169">
        <v>0.05</v>
      </c>
      <c r="D52" s="169"/>
      <c r="E52" s="344"/>
      <c r="F52" s="344"/>
    </row>
    <row r="54" spans="2:6" ht="13.15" x14ac:dyDescent="0.4">
      <c r="B54" s="163" t="s">
        <v>345</v>
      </c>
      <c r="E54" s="163" t="s">
        <v>153</v>
      </c>
      <c r="F54" s="163"/>
    </row>
    <row r="55" spans="2:6" x14ac:dyDescent="0.35">
      <c r="B55" s="156" t="s">
        <v>137</v>
      </c>
      <c r="C55" s="170">
        <f>C46</f>
        <v>15</v>
      </c>
      <c r="D55" s="167"/>
      <c r="E55" s="344"/>
      <c r="F55" s="344"/>
    </row>
    <row r="56" spans="2:6" x14ac:dyDescent="0.35">
      <c r="B56" s="122" t="s">
        <v>138</v>
      </c>
      <c r="C56" s="168">
        <v>0.05</v>
      </c>
      <c r="D56" s="168"/>
      <c r="E56" s="344"/>
      <c r="F56" s="344"/>
    </row>
    <row r="57" spans="2:6" x14ac:dyDescent="0.35">
      <c r="B57" s="103" t="s">
        <v>117</v>
      </c>
      <c r="C57" s="164">
        <f>Valuation_Model!E74</f>
        <v>10.214608163659173</v>
      </c>
      <c r="D57" t="str">
        <f>Market_currency</f>
        <v>HKD</v>
      </c>
      <c r="E57" s="344"/>
      <c r="F57" s="344"/>
    </row>
    <row r="58" spans="2:6" x14ac:dyDescent="0.35">
      <c r="B58" s="103" t="s">
        <v>151</v>
      </c>
      <c r="C58" s="169">
        <v>0.05</v>
      </c>
      <c r="D58" s="169"/>
      <c r="E58" s="344"/>
      <c r="F58" s="344"/>
    </row>
    <row r="60" spans="2:6" ht="13.15" x14ac:dyDescent="0.4">
      <c r="B60" s="103" t="s">
        <v>124</v>
      </c>
      <c r="C60" s="158">
        <f>C51*C52+C57*C58+C42*(1-C52-C58)</f>
        <v>9.1006872475781417</v>
      </c>
      <c r="D60" t="str">
        <f>Market_currency</f>
        <v>HKD</v>
      </c>
      <c r="E60" s="103" t="s">
        <v>322</v>
      </c>
      <c r="F60" s="318">
        <f>Thesis!E20</f>
        <v>3</v>
      </c>
    </row>
    <row r="62" spans="2:6" ht="13.9" x14ac:dyDescent="0.45">
      <c r="B62" s="36" t="s">
        <v>387</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-7.3000000000000001E-3</v>
      </c>
      <c r="D65" s="155"/>
      <c r="E65" s="287" t="s">
        <v>341</v>
      </c>
    </row>
    <row r="66" spans="2:6" x14ac:dyDescent="0.35">
      <c r="B66" s="103" t="s">
        <v>106</v>
      </c>
      <c r="C66" s="164">
        <f>Valuation_Model!C18</f>
        <v>9.0981264288878361</v>
      </c>
      <c r="D66" s="164" t="str">
        <f>Market_currency</f>
        <v>HKD</v>
      </c>
      <c r="E66" s="287" t="s">
        <v>342</v>
      </c>
    </row>
    <row r="68" spans="2:6" ht="13.15" x14ac:dyDescent="0.4">
      <c r="B68" s="112" t="s">
        <v>388</v>
      </c>
      <c r="E68" s="288" t="s">
        <v>343</v>
      </c>
    </row>
    <row r="69" spans="2:6" x14ac:dyDescent="0.35">
      <c r="B69" s="103" t="s">
        <v>331</v>
      </c>
      <c r="C69" s="279" t="str">
        <f>IF(C60&lt;C22,"Y","N")</f>
        <v>Y</v>
      </c>
      <c r="E69" s="138"/>
    </row>
    <row r="70" spans="2:6" x14ac:dyDescent="0.35">
      <c r="B70" s="103" t="s">
        <v>319</v>
      </c>
      <c r="C70" s="279" t="str">
        <f>IF(C69="Y","N",IF(C65&gt;8%,"N","Y"))</f>
        <v>N</v>
      </c>
      <c r="E70" s="287" t="s">
        <v>320</v>
      </c>
    </row>
    <row r="71" spans="2:6" x14ac:dyDescent="0.35">
      <c r="B71" s="103" t="s">
        <v>318</v>
      </c>
      <c r="C71" s="279" t="str">
        <f>IF(C65&gt;8%,"Y","N")</f>
        <v>N</v>
      </c>
      <c r="E71" s="287"/>
    </row>
    <row r="72" spans="2:6" x14ac:dyDescent="0.35">
      <c r="B72" s="103" t="s">
        <v>310</v>
      </c>
      <c r="C72" s="278" t="str">
        <f>IF(F72&gt;50%,"Y","N")</f>
        <v>Y</v>
      </c>
      <c r="E72" s="138" t="s">
        <v>384</v>
      </c>
      <c r="F72" s="335">
        <f>BS!D89/C60</f>
        <v>0.63122414236360114</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0.57999999999999996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1.2217592592592592</v>
      </c>
      <c r="D81" s="120"/>
      <c r="E81" s="103"/>
      <c r="F81" s="103"/>
    </row>
    <row r="82" spans="2:8" x14ac:dyDescent="0.35">
      <c r="B82" s="103" t="s">
        <v>126</v>
      </c>
      <c r="C82" s="120">
        <f>C60/(1+C80)^C76</f>
        <v>5.2666014164225361</v>
      </c>
      <c r="D82" s="120"/>
    </row>
    <row r="83" spans="2:8" ht="13.15" x14ac:dyDescent="0.4">
      <c r="B83" s="114" t="s">
        <v>105</v>
      </c>
      <c r="C83" s="115">
        <f>C81+C82</f>
        <v>6.4883606756817951</v>
      </c>
      <c r="D83" t="str">
        <f>Market_currency</f>
        <v>HKD</v>
      </c>
      <c r="E83" s="150" t="s">
        <v>130</v>
      </c>
      <c r="F83" s="335">
        <f>(1-C83/C60)</f>
        <v>0.28704717576043881</v>
      </c>
    </row>
    <row r="84" spans="2:8" x14ac:dyDescent="0.35">
      <c r="E84" s="124"/>
    </row>
    <row r="85" spans="2:8" ht="13.15" x14ac:dyDescent="0.4">
      <c r="B85" s="112" t="s">
        <v>328</v>
      </c>
    </row>
    <row r="86" spans="2:8" x14ac:dyDescent="0.35">
      <c r="B86" s="152" t="s">
        <v>326</v>
      </c>
      <c r="C86" s="272">
        <f>Market_Price</f>
        <v>7.9</v>
      </c>
      <c r="D86" t="str">
        <f>Market_currency</f>
        <v>HKD</v>
      </c>
    </row>
    <row r="87" spans="2:8" ht="13.15" x14ac:dyDescent="0.4">
      <c r="B87" s="103" t="s">
        <v>324</v>
      </c>
      <c r="C87" s="271">
        <f ca="1">IRR(OFFSET($I$3, 0, 0, $C$76 + 1, 1))</f>
        <v>0.1185224959199922</v>
      </c>
    </row>
    <row r="88" spans="2:8" x14ac:dyDescent="0.35">
      <c r="B88" s="103"/>
    </row>
    <row r="89" spans="2:8" ht="14.65" x14ac:dyDescent="0.5">
      <c r="E89" s="326" t="s">
        <v>355</v>
      </c>
      <c r="F89" s="323"/>
      <c r="G89" s="2"/>
      <c r="H89" s="322"/>
    </row>
    <row r="90" spans="2:8" ht="13.9" x14ac:dyDescent="0.45">
      <c r="E90" s="319" t="s">
        <v>356</v>
      </c>
      <c r="F90" s="324" t="s">
        <v>357</v>
      </c>
      <c r="G90" s="2"/>
      <c r="H90" s="322"/>
    </row>
    <row r="91" spans="2:8" ht="13.9" x14ac:dyDescent="0.45">
      <c r="E91" s="320" t="s">
        <v>356</v>
      </c>
      <c r="F91" s="324" t="s">
        <v>358</v>
      </c>
      <c r="G91" s="2"/>
      <c r="H91" s="322"/>
    </row>
    <row r="92" spans="2:8" ht="13.9" x14ac:dyDescent="0.45">
      <c r="E92" s="321" t="s">
        <v>356</v>
      </c>
      <c r="F92" s="325" t="s">
        <v>359</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2025-03-27T15:15:54Z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