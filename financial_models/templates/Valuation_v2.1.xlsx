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184A39BD-C96D-4D89-903D-B691DEBEED7F}"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83" i="9" l="1"/>
  <c r="C72" i="9"/>
  <c r="F72" i="9"/>
  <c r="H50" i="2"/>
  <c r="I50" i="2"/>
  <c r="J50" i="2"/>
  <c r="K50" i="2"/>
  <c r="L50" i="2"/>
  <c r="M50" i="2"/>
  <c r="N50" i="2"/>
  <c r="O50" i="2"/>
  <c r="P50" i="2"/>
  <c r="Q50" i="2"/>
  <c r="G50" i="2"/>
  <c r="G12" i="2" s="1"/>
  <c r="H48" i="2"/>
  <c r="I48" i="2"/>
  <c r="J48" i="2"/>
  <c r="K48" i="2"/>
  <c r="L48" i="2"/>
  <c r="M48" i="2"/>
  <c r="N48" i="2"/>
  <c r="O48" i="2"/>
  <c r="P48" i="2"/>
  <c r="Q48" i="2"/>
  <c r="G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80"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C30" i="2"/>
  <c r="C5" i="2"/>
  <c r="C6" i="2" s="1"/>
  <c r="C8" i="2" s="1"/>
  <c r="C34" i="6"/>
  <c r="I55" i="2"/>
  <c r="I43" i="2"/>
  <c r="H55" i="2"/>
  <c r="H43" i="2"/>
  <c r="J55" i="2"/>
  <c r="J43" i="2"/>
  <c r="G55" i="2"/>
  <c r="C7" i="9"/>
  <c r="K55" i="2"/>
  <c r="C13" i="9"/>
  <c r="G79" i="2"/>
  <c r="L74" i="2"/>
  <c r="I74" i="2"/>
  <c r="H74" i="2"/>
  <c r="G74" i="2"/>
  <c r="K74" i="2"/>
  <c r="J74" i="2"/>
  <c r="C104" i="2"/>
  <c r="D76" i="3" l="1"/>
  <c r="D75" i="3" s="1"/>
  <c r="D55" i="3"/>
  <c r="G29" i="3"/>
  <c r="D62" i="3" s="1"/>
  <c r="C48" i="2" l="1"/>
  <c r="C40" i="6" s="1"/>
  <c r="D66" i="3"/>
  <c r="C8" i="8" s="1"/>
  <c r="D51" i="3"/>
  <c r="C46" i="3"/>
  <c r="C47" i="3" s="1"/>
  <c r="C62" i="3"/>
  <c r="C83" i="2" s="1"/>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C82" i="9"/>
  <c r="C112" i="6"/>
  <c r="C87" i="9" l="1"/>
  <c r="C21" i="6" s="1"/>
  <c r="C83" i="9"/>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<sst xmlns="http://schemas.openxmlformats.org/spreadsheetml/2006/main" count="561" uniqueCount="392">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</sst>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topLeftCell="A85" zoomScale="86" zoomScaleNormal="100" workbookViewId="0">
      <selection activeCell="D112" sqref="D1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0" t="s">
        <v>349</v>
      </c>
      <c r="F1" s="291" t="s">
        <v>351</v>
      </c>
    </row>
    <row r="2" spans="1:10" ht="13.9" x14ac:dyDescent="0.45">
      <c r="A2" s="253" t="s">
        <v>281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348</v>
      </c>
      <c r="C5" s="48" t="s">
        <v>371</v>
      </c>
      <c r="D5" s="49" t="s">
        <v>372</v>
      </c>
    </row>
    <row r="6" spans="1:10" x14ac:dyDescent="0.35">
      <c r="B6" s="4" t="s">
        <v>99</v>
      </c>
      <c r="C6" s="50">
        <v>7.9</v>
      </c>
      <c r="D6" s="48" t="s">
        <v>43</v>
      </c>
      <c r="E6" s="48"/>
    </row>
    <row r="7" spans="1:10" x14ac:dyDescent="0.35">
      <c r="B7" s="4" t="s">
        <v>0</v>
      </c>
      <c r="C7" s="51">
        <v>8171879936</v>
      </c>
      <c r="D7" s="34"/>
      <c r="E7" s="34"/>
    </row>
    <row r="8" spans="1:10" x14ac:dyDescent="0.35">
      <c r="B8" s="2" t="s">
        <v>337</v>
      </c>
      <c r="C8" s="285">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8" t="s">
        <v>286</v>
      </c>
      <c r="C12" s="338"/>
      <c r="D12" s="338"/>
      <c r="E12" s="338"/>
      <c r="F12" s="338"/>
    </row>
    <row r="14" spans="1:10" x14ac:dyDescent="0.35">
      <c r="B14" s="45" t="s">
        <v>336</v>
      </c>
      <c r="C14" s="46"/>
      <c r="D14" s="5"/>
    </row>
    <row r="15" spans="1:10" x14ac:dyDescent="0.35">
      <c r="B15" s="2" t="s">
        <v>335</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352</v>
      </c>
      <c r="E18" s="5"/>
    </row>
    <row r="19" spans="1:6" x14ac:dyDescent="0.35">
      <c r="B19" s="2" t="s">
        <v>293</v>
      </c>
      <c r="C19" s="255">
        <v>0.2</v>
      </c>
      <c r="E19" s="5"/>
    </row>
    <row r="20" spans="1:6" x14ac:dyDescent="0.35">
      <c r="B20" s="2" t="str">
        <f>"Target Buy Price ("&amp;Market_currency&amp;"):"</f>
        <v>Target Buy Price (HKD):</v>
      </c>
      <c r="C20" s="258">
        <f>C127</f>
        <v>6.4501768017717804</v>
      </c>
      <c r="D20" s="1" t="s">
        <v>339</v>
      </c>
      <c r="E20" s="320">
        <v>3</v>
      </c>
    </row>
    <row r="21" spans="1:6" x14ac:dyDescent="0.35">
      <c r="B21" s="1" t="s">
        <v>338</v>
      </c>
      <c r="C21" s="286">
        <f ca="1">Scenarios!C87</f>
        <v>0.11614149089878545</v>
      </c>
      <c r="D21" s="5"/>
      <c r="E21" s="5"/>
    </row>
    <row r="22" spans="1:6" x14ac:dyDescent="0.35">
      <c r="D22" s="5"/>
      <c r="E22" s="5"/>
    </row>
    <row r="23" spans="1:6" ht="13.9" x14ac:dyDescent="0.45">
      <c r="A23" s="253" t="s">
        <v>235</v>
      </c>
      <c r="B23" s="36"/>
      <c r="C23" s="36"/>
      <c r="D23" s="36"/>
      <c r="E23" s="36"/>
      <c r="F23" s="36"/>
    </row>
    <row r="25" spans="1:6" x14ac:dyDescent="0.35">
      <c r="B25" s="338" t="s">
        <v>236</v>
      </c>
      <c r="C25" s="338"/>
      <c r="D25" s="338"/>
      <c r="E25" s="338"/>
      <c r="F25" s="338"/>
    </row>
    <row r="26" spans="1:6" ht="24.4" customHeight="1" x14ac:dyDescent="0.35">
      <c r="B26" s="342" t="s">
        <v>382</v>
      </c>
      <c r="C26" s="342"/>
      <c r="D26" s="342"/>
      <c r="E26" s="342"/>
      <c r="F26" s="342"/>
    </row>
    <row r="28" spans="1:6" x14ac:dyDescent="0.35">
      <c r="B28" s="240" t="s">
        <v>237</v>
      </c>
      <c r="C28" s="111">
        <f>Data!C3</f>
        <v>1000000</v>
      </c>
    </row>
    <row r="29" spans="1:6" ht="24.4" customHeight="1" x14ac:dyDescent="0.35">
      <c r="B29" s="340" t="s">
        <v>238</v>
      </c>
      <c r="C29" s="340"/>
      <c r="D29" s="340"/>
      <c r="E29" s="340"/>
      <c r="F29" s="340"/>
    </row>
    <row r="30" spans="1:6" x14ac:dyDescent="0.35">
      <c r="B30" s="47" t="s">
        <v>239</v>
      </c>
      <c r="C30" s="191">
        <f>Normalized_FCF!C8</f>
        <v>2591.8202592374382</v>
      </c>
      <c r="D30" s="1" t="str">
        <f>Reporting_currency</f>
        <v>HKD</v>
      </c>
    </row>
    <row r="31" spans="1:6" x14ac:dyDescent="0.35">
      <c r="B31" s="47"/>
      <c r="C31" s="78"/>
    </row>
    <row r="32" spans="1:6" ht="24.4" customHeight="1" x14ac:dyDescent="0.35">
      <c r="B32" s="340" t="s">
        <v>240</v>
      </c>
      <c r="C32" s="340"/>
      <c r="D32" s="340"/>
      <c r="E32" s="340"/>
      <c r="F32" s="340"/>
    </row>
    <row r="33" spans="2:6" x14ac:dyDescent="0.35">
      <c r="B33" s="47" t="s">
        <v>241</v>
      </c>
      <c r="C33" s="191">
        <f>Normalized_FCF!C9</f>
        <v>159.99999999999997</v>
      </c>
      <c r="D33" s="1" t="str">
        <f>Reporting_currency</f>
        <v>HKD</v>
      </c>
    </row>
    <row r="34" spans="2:6" x14ac:dyDescent="0.35">
      <c r="B34" s="52" t="s">
        <v>242</v>
      </c>
      <c r="C34" s="191">
        <f>Normalized_FCF!C10</f>
        <v>-159.99999999999997</v>
      </c>
      <c r="D34" s="1" t="str">
        <f>Reporting_currency</f>
        <v>HKD</v>
      </c>
    </row>
    <row r="36" spans="2:6" x14ac:dyDescent="0.35">
      <c r="B36" s="340" t="s">
        <v>243</v>
      </c>
      <c r="C36" s="340"/>
      <c r="D36" s="340"/>
      <c r="E36" s="340"/>
      <c r="F36" s="340"/>
    </row>
    <row r="37" spans="2:6" x14ac:dyDescent="0.35">
      <c r="B37" s="47" t="s">
        <v>244</v>
      </c>
      <c r="C37" s="191">
        <f>Normalized_FCF!C11</f>
        <v>639</v>
      </c>
      <c r="D37" s="1" t="str">
        <f>Reporting_currency</f>
        <v>HKD</v>
      </c>
    </row>
    <row r="39" spans="2:6" x14ac:dyDescent="0.35">
      <c r="B39" s="340" t="s">
        <v>247</v>
      </c>
      <c r="C39" s="340"/>
      <c r="D39" s="340"/>
      <c r="E39" s="340"/>
      <c r="F39" s="340"/>
    </row>
    <row r="40" spans="2:6" x14ac:dyDescent="0.35">
      <c r="B40" s="47" t="s">
        <v>383</v>
      </c>
      <c r="C40" s="330">
        <f>Normalized_FCF!C48</f>
        <v>185.19539222287685</v>
      </c>
      <c r="D40" s="1" t="str">
        <f>Reporting_currency</f>
        <v>HKD</v>
      </c>
      <c r="E40" s="329"/>
      <c r="F40" s="329"/>
    </row>
    <row r="41" spans="2:6" x14ac:dyDescent="0.35">
      <c r="B41" s="47" t="s">
        <v>384</v>
      </c>
      <c r="C41" s="330">
        <f>Normalized_FCF!C47</f>
        <v>-43</v>
      </c>
      <c r="D41" s="1" t="str">
        <f>Reporting_currency</f>
        <v>HKD</v>
      </c>
      <c r="E41" s="329"/>
      <c r="F41" s="329"/>
    </row>
    <row r="42" spans="2:6" x14ac:dyDescent="0.35">
      <c r="B42" s="47" t="s">
        <v>245</v>
      </c>
      <c r="C42" s="191">
        <f>Normalized_FCF!C12</f>
        <v>142.19539222287685</v>
      </c>
      <c r="D42" s="1" t="str">
        <f>Reporting_currency</f>
        <v>HKD</v>
      </c>
    </row>
    <row r="44" spans="2:6" x14ac:dyDescent="0.35">
      <c r="B44" s="1" t="s">
        <v>253</v>
      </c>
    </row>
    <row r="45" spans="2:6" x14ac:dyDescent="0.35">
      <c r="B45" s="47" t="s">
        <v>279</v>
      </c>
      <c r="C45" s="191">
        <f>Normalized_FCF!C15</f>
        <v>-22.869707937042335</v>
      </c>
      <c r="D45" s="1" t="str">
        <f>Reporting_currency</f>
        <v>HKD</v>
      </c>
    </row>
    <row r="47" spans="2:6" x14ac:dyDescent="0.35">
      <c r="B47" s="340" t="s">
        <v>248</v>
      </c>
      <c r="C47" s="340"/>
      <c r="D47" s="340"/>
      <c r="E47" s="340"/>
      <c r="F47" s="340"/>
    </row>
    <row r="48" spans="2:6" x14ac:dyDescent="0.35">
      <c r="B48" s="47" t="s">
        <v>246</v>
      </c>
      <c r="C48" s="191">
        <f>Normalized_FCF!C14</f>
        <v>-809.52375635047554</v>
      </c>
      <c r="D48" s="1" t="str">
        <f>Reporting_currency</f>
        <v>HKD</v>
      </c>
    </row>
    <row r="50" spans="1:6" x14ac:dyDescent="0.35">
      <c r="B50" s="340" t="s">
        <v>381</v>
      </c>
      <c r="C50" s="341"/>
      <c r="D50" s="341"/>
      <c r="E50" s="341"/>
      <c r="F50" s="341"/>
    </row>
    <row r="51" spans="1:6" x14ac:dyDescent="0.35">
      <c r="B51" s="47" t="s">
        <v>249</v>
      </c>
      <c r="C51" s="1">
        <f>Normalized_FCF!C17</f>
        <v>0</v>
      </c>
      <c r="D51" s="1" t="str">
        <f>Reporting_currency</f>
        <v>HKD</v>
      </c>
    </row>
    <row r="53" spans="1:6" ht="24.4" customHeight="1" x14ac:dyDescent="0.35">
      <c r="B53" s="338" t="s">
        <v>386</v>
      </c>
      <c r="C53" s="338"/>
      <c r="D53" s="338"/>
      <c r="E53" s="338"/>
      <c r="F53" s="338"/>
    </row>
    <row r="54" spans="1:6" ht="24.4" customHeight="1" x14ac:dyDescent="0.35">
      <c r="B54" s="338" t="s">
        <v>268</v>
      </c>
      <c r="C54" s="338"/>
      <c r="D54" s="338"/>
      <c r="E54" s="338"/>
      <c r="F54" s="338"/>
    </row>
    <row r="56" spans="1:6" x14ac:dyDescent="0.35">
      <c r="B56" s="47" t="s">
        <v>285</v>
      </c>
      <c r="C56" s="191">
        <f>Normalized_FCF!G19</f>
        <v>2807.968614974819</v>
      </c>
      <c r="D56" s="1" t="str">
        <f>Reporting_currency</f>
        <v>HKD</v>
      </c>
    </row>
    <row r="57" spans="1:6" x14ac:dyDescent="0.35">
      <c r="B57" s="47" t="s">
        <v>255</v>
      </c>
      <c r="C57" s="191">
        <f>Normalized_FCF!C19</f>
        <v>2540.6221871727971</v>
      </c>
      <c r="D57" s="1" t="str">
        <f>Reporting_currency</f>
        <v>HKD</v>
      </c>
    </row>
    <row r="58" spans="1:6" x14ac:dyDescent="0.35">
      <c r="B58" s="260" t="s">
        <v>284</v>
      </c>
      <c r="C58" s="94">
        <f>Normalized_FCF!C121</f>
        <v>3.9354193616452378E-2</v>
      </c>
    </row>
    <row r="59" spans="1:6" x14ac:dyDescent="0.35">
      <c r="B59" s="260" t="s">
        <v>340</v>
      </c>
      <c r="C59" s="94">
        <f>Normalized_FCF!C93</f>
        <v>7.3417721518987331E-2</v>
      </c>
    </row>
    <row r="61" spans="1:6" ht="13.9" x14ac:dyDescent="0.45">
      <c r="A61" s="253" t="s">
        <v>302</v>
      </c>
      <c r="B61" s="36"/>
      <c r="C61" s="36"/>
      <c r="D61" s="36"/>
      <c r="E61" s="36"/>
      <c r="F61" s="36"/>
    </row>
    <row r="62" spans="1:6" x14ac:dyDescent="0.35">
      <c r="A62" s="239"/>
    </row>
    <row r="63" spans="1:6" ht="24.4" customHeight="1" x14ac:dyDescent="0.35">
      <c r="A63" s="17"/>
      <c r="B63" s="340" t="s">
        <v>303</v>
      </c>
      <c r="C63" s="340"/>
      <c r="D63" s="340"/>
      <c r="E63" s="340"/>
      <c r="F63" s="340"/>
    </row>
    <row r="64" spans="1:6" x14ac:dyDescent="0.35">
      <c r="B64" s="342" t="s">
        <v>259</v>
      </c>
      <c r="C64" s="342"/>
      <c r="D64" s="342"/>
      <c r="E64" s="342"/>
      <c r="F64" s="342"/>
    </row>
    <row r="66" spans="1:6" x14ac:dyDescent="0.35">
      <c r="B66" s="240" t="s">
        <v>237</v>
      </c>
    </row>
    <row r="67" spans="1:6" x14ac:dyDescent="0.35">
      <c r="B67" s="1" t="s">
        <v>308</v>
      </c>
      <c r="C67" s="318">
        <v>0.08</v>
      </c>
    </row>
    <row r="68" spans="1:6" x14ac:dyDescent="0.35">
      <c r="B68" s="1" t="s">
        <v>310</v>
      </c>
      <c r="C68" s="269">
        <f>IF(D68="Y",1%,0)</f>
        <v>0.01</v>
      </c>
      <c r="D68" s="293" t="s">
        <v>307</v>
      </c>
    </row>
    <row r="69" spans="1:6" x14ac:dyDescent="0.35">
      <c r="B69" s="1" t="s">
        <v>309</v>
      </c>
      <c r="C69" s="269">
        <f>IF(D69="Y",1%,0)</f>
        <v>0</v>
      </c>
      <c r="D69" s="293" t="s">
        <v>357</v>
      </c>
    </row>
    <row r="70" spans="1:6" x14ac:dyDescent="0.35">
      <c r="B70" s="82" t="s">
        <v>254</v>
      </c>
      <c r="C70" s="269">
        <f>SUM(C67:C69)</f>
        <v>0.09</v>
      </c>
    </row>
    <row r="71" spans="1:6" x14ac:dyDescent="0.35">
      <c r="C71" s="125"/>
    </row>
    <row r="72" spans="1:6" x14ac:dyDescent="0.35">
      <c r="B72" s="338" t="s">
        <v>387</v>
      </c>
      <c r="C72" s="338"/>
      <c r="D72" s="338"/>
      <c r="E72" s="338"/>
      <c r="F72" s="338"/>
    </row>
    <row r="73" spans="1:6" ht="24.4" customHeight="1" x14ac:dyDescent="0.35">
      <c r="B73" s="338" t="s">
        <v>388</v>
      </c>
      <c r="C73" s="338"/>
      <c r="D73" s="338"/>
      <c r="E73" s="338"/>
      <c r="F73" s="338"/>
    </row>
    <row r="75" spans="1:6" x14ac:dyDescent="0.35">
      <c r="B75" s="47" t="s">
        <v>258</v>
      </c>
      <c r="C75" s="269">
        <v>0</v>
      </c>
    </row>
    <row r="76" spans="1:6" x14ac:dyDescent="0.35">
      <c r="B76" s="47" t="s">
        <v>301</v>
      </c>
      <c r="C76" s="254">
        <f>Valuation_Model!C6*C28*Exchange_Rate/Common_Shares</f>
        <v>3.4544236618885975</v>
      </c>
      <c r="D76" s="1" t="str">
        <f>Market_currency</f>
        <v>HKD</v>
      </c>
    </row>
    <row r="78" spans="1:6" ht="13.9" x14ac:dyDescent="0.45">
      <c r="A78" s="253" t="s">
        <v>260</v>
      </c>
      <c r="B78" s="36"/>
      <c r="C78" s="36"/>
      <c r="D78" s="36"/>
      <c r="E78" s="36"/>
      <c r="F78" s="36"/>
    </row>
    <row r="79" spans="1:6" x14ac:dyDescent="0.35">
      <c r="A79" s="239"/>
    </row>
    <row r="80" spans="1:6" ht="24.4" customHeight="1" x14ac:dyDescent="0.35">
      <c r="B80" s="338" t="s">
        <v>261</v>
      </c>
      <c r="C80" s="338"/>
      <c r="D80" s="338"/>
      <c r="E80" s="338"/>
      <c r="F80" s="338"/>
    </row>
    <row r="81" spans="2:6" x14ac:dyDescent="0.35">
      <c r="B81" s="1" t="s">
        <v>262</v>
      </c>
    </row>
    <row r="83" spans="2:6" x14ac:dyDescent="0.35">
      <c r="B83" s="240" t="s">
        <v>237</v>
      </c>
    </row>
    <row r="84" spans="2:6" ht="24.4" customHeight="1" x14ac:dyDescent="0.35">
      <c r="B84" s="338" t="s">
        <v>389</v>
      </c>
      <c r="C84" s="338"/>
      <c r="D84" s="338"/>
      <c r="E84" s="338"/>
      <c r="F84" s="338"/>
    </row>
    <row r="85" spans="2:6" x14ac:dyDescent="0.35">
      <c r="B85" s="47" t="s">
        <v>264</v>
      </c>
      <c r="C85" s="191">
        <f>Valuation_Model!C7</f>
        <v>3093</v>
      </c>
      <c r="D85" s="1" t="str">
        <f>Reporting_currency</f>
        <v>HKD</v>
      </c>
    </row>
    <row r="86" spans="2:6" x14ac:dyDescent="0.35">
      <c r="B86" s="47" t="s">
        <v>304</v>
      </c>
      <c r="C86" s="254">
        <f>C85*C28*Exchange_Rate/Common_Shares</f>
        <v>0.37849307922088393</v>
      </c>
      <c r="D86" s="1" t="str">
        <f>Market_currency</f>
        <v>HKD</v>
      </c>
    </row>
    <row r="88" spans="2:6" x14ac:dyDescent="0.35">
      <c r="B88" s="1" t="s">
        <v>263</v>
      </c>
    </row>
    <row r="89" spans="2:6" x14ac:dyDescent="0.35">
      <c r="B89" s="47" t="s">
        <v>278</v>
      </c>
      <c r="C89" s="191">
        <f>BS!C66</f>
        <v>47679</v>
      </c>
      <c r="D89" s="1" t="str">
        <f>Reporting_currency</f>
        <v>HKD</v>
      </c>
    </row>
    <row r="90" spans="2:6" x14ac:dyDescent="0.35">
      <c r="B90" s="47" t="s">
        <v>280</v>
      </c>
      <c r="C90" s="191">
        <f>Valuation_Model!C8</f>
        <v>41505.820259237436</v>
      </c>
      <c r="D90" s="1" t="str">
        <f>Reporting_currency</f>
        <v>HKD</v>
      </c>
    </row>
    <row r="91" spans="2:6" x14ac:dyDescent="0.35">
      <c r="B91" s="47" t="s">
        <v>305</v>
      </c>
      <c r="C91" s="254">
        <f>C90*C28*Exchange_Rate/Common_Shares</f>
        <v>5.0791030441342784</v>
      </c>
      <c r="D91" s="1" t="str">
        <f>Market_currency</f>
        <v>HKD</v>
      </c>
    </row>
    <row r="93" spans="2:6" x14ac:dyDescent="0.35">
      <c r="B93" s="1" t="s">
        <v>265</v>
      </c>
    </row>
    <row r="94" spans="2:6" x14ac:dyDescent="0.35">
      <c r="B94" s="47" t="s">
        <v>266</v>
      </c>
      <c r="C94" s="191">
        <f>Valuation_Model!C9</f>
        <v>7814.4</v>
      </c>
      <c r="D94" s="1" t="str">
        <f>Reporting_currency</f>
        <v>HKD</v>
      </c>
    </row>
    <row r="95" spans="2:6" x14ac:dyDescent="0.35">
      <c r="B95" s="47" t="s">
        <v>306</v>
      </c>
      <c r="C95" s="254">
        <f>C94*C28*Exchange_Rate/Common_Shares</f>
        <v>0.95625487173090062</v>
      </c>
      <c r="D95" s="1" t="str">
        <f>Market_currency</f>
        <v>HKD</v>
      </c>
    </row>
    <row r="97" spans="1:6" ht="24.4" customHeight="1" x14ac:dyDescent="0.35">
      <c r="B97" s="338" t="s">
        <v>267</v>
      </c>
      <c r="C97" s="338"/>
      <c r="D97" s="338"/>
      <c r="E97" s="338"/>
      <c r="F97" s="338"/>
    </row>
    <row r="99" spans="1:6" x14ac:dyDescent="0.35">
      <c r="B99" s="47" t="s">
        <v>300</v>
      </c>
      <c r="C99" s="254">
        <f>Valuation_Model!C12</f>
        <v>9.111288498532895</v>
      </c>
      <c r="D99" s="1" t="str">
        <f>Market_currency</f>
        <v>HKD</v>
      </c>
    </row>
    <row r="101" spans="1:6" ht="13.9" x14ac:dyDescent="0.45">
      <c r="A101" s="253" t="s">
        <v>277</v>
      </c>
      <c r="B101" s="36"/>
      <c r="C101" s="36"/>
      <c r="D101" s="36"/>
      <c r="E101" s="36"/>
      <c r="F101" s="36"/>
    </row>
    <row r="103" spans="1:6" ht="24.4" customHeight="1" x14ac:dyDescent="0.35">
      <c r="B103" s="340" t="s">
        <v>369</v>
      </c>
      <c r="C103" s="340"/>
      <c r="D103" s="340"/>
      <c r="E103" s="340"/>
      <c r="F103" s="340"/>
    </row>
    <row r="105" spans="1:6" ht="12.4" x14ac:dyDescent="0.4">
      <c r="B105" s="266" t="s">
        <v>122</v>
      </c>
      <c r="C105" s="266" t="s">
        <v>137</v>
      </c>
      <c r="D105" s="266" t="s">
        <v>117</v>
      </c>
      <c r="E105" s="266" t="s">
        <v>270</v>
      </c>
      <c r="F105" s="266" t="s">
        <v>152</v>
      </c>
    </row>
    <row r="106" spans="1:6" x14ac:dyDescent="0.35">
      <c r="B106" s="261" t="str">
        <f>Valuation_Model!B74</f>
        <v>Snowball Scenario</v>
      </c>
      <c r="C106" s="262">
        <f>Valuation_Model!C74</f>
        <v>0.05</v>
      </c>
      <c r="D106" s="263">
        <f>Valuation_Model!D74</f>
        <v>15</v>
      </c>
      <c r="E106" s="264" t="str">
        <f>ROUND(Valuation_Model!E74,2)&amp;" "&amp;Market_currency</f>
        <v>10.16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9.34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9.11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8.62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7.26 HKD</v>
      </c>
      <c r="F110" s="252">
        <f>Valuation_Model!F78</f>
        <v>0.05</v>
      </c>
    </row>
    <row r="112" spans="1:6" x14ac:dyDescent="0.35">
      <c r="B112" s="241" t="s">
        <v>269</v>
      </c>
      <c r="C112" s="247">
        <f>Scenarios!C60</f>
        <v>9.0347055134616365</v>
      </c>
      <c r="D112" s="242" t="str">
        <f>Market_currency</f>
        <v>HKD</v>
      </c>
    </row>
    <row r="114" spans="1:6" ht="24.4" customHeight="1" x14ac:dyDescent="0.35">
      <c r="B114" s="343" t="s">
        <v>370</v>
      </c>
      <c r="C114" s="343"/>
      <c r="D114" s="343"/>
      <c r="E114" s="343"/>
      <c r="F114" s="343"/>
    </row>
    <row r="116" spans="1:6" ht="13.9" x14ac:dyDescent="0.45">
      <c r="A116" s="253" t="s">
        <v>299</v>
      </c>
      <c r="B116" s="36"/>
      <c r="C116" s="36"/>
      <c r="D116" s="36"/>
      <c r="E116" s="36"/>
      <c r="F116" s="36"/>
    </row>
    <row r="118" spans="1:6" x14ac:dyDescent="0.35">
      <c r="B118" s="339" t="s">
        <v>275</v>
      </c>
      <c r="C118" s="339"/>
      <c r="D118" s="339"/>
      <c r="E118" s="339"/>
      <c r="F118" s="339"/>
    </row>
    <row r="119" spans="1:6" x14ac:dyDescent="0.35">
      <c r="B119" s="240" t="s">
        <v>237</v>
      </c>
    </row>
    <row r="120" spans="1:6" x14ac:dyDescent="0.35">
      <c r="B120" s="1" t="s">
        <v>276</v>
      </c>
      <c r="C120" s="257">
        <f>E20</f>
        <v>3</v>
      </c>
    </row>
    <row r="121" spans="1:6" x14ac:dyDescent="0.35">
      <c r="B121" s="1" t="s">
        <v>294</v>
      </c>
      <c r="C121" s="256">
        <f>C19</f>
        <v>0.2</v>
      </c>
    </row>
    <row r="122" spans="1:6" x14ac:dyDescent="0.35">
      <c r="B122" s="242" t="s">
        <v>272</v>
      </c>
      <c r="C122" s="243">
        <f>Scenarios!C77</f>
        <v>0.57999999999999996</v>
      </c>
      <c r="D122" s="242" t="str">
        <f>Market_currency</f>
        <v>HKD</v>
      </c>
    </row>
    <row r="124" spans="1:6" x14ac:dyDescent="0.35">
      <c r="B124" s="240" t="s">
        <v>274</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5.2284175425125214</v>
      </c>
    </row>
    <row r="127" spans="1:6" x14ac:dyDescent="0.35">
      <c r="B127" s="82" t="s">
        <v>271</v>
      </c>
      <c r="C127" s="245">
        <f>Scenarios!C83</f>
        <v>6.4501768017717804</v>
      </c>
      <c r="D127" s="47" t="str">
        <f>Reporting_currency</f>
        <v>HKD</v>
      </c>
    </row>
    <row r="128" spans="1:6" x14ac:dyDescent="0.35">
      <c r="B128" s="244" t="s">
        <v>273</v>
      </c>
      <c r="C128" s="94">
        <f>Scenarios!F83</f>
        <v>0.28606673541699057</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3">
        <v>8765</v>
      </c>
      <c r="D4" s="184">
        <v>11881</v>
      </c>
      <c r="E4" s="184"/>
      <c r="F4" s="184"/>
      <c r="G4" s="184"/>
      <c r="H4" s="184"/>
      <c r="I4" s="184"/>
      <c r="J4" s="184"/>
      <c r="K4" s="184"/>
      <c r="L4" s="184"/>
      <c r="M4" s="184"/>
    </row>
    <row r="5" spans="2:13" x14ac:dyDescent="0.35">
      <c r="B5" s="40" t="s">
        <v>46</v>
      </c>
      <c r="C5" s="193">
        <v>5344</v>
      </c>
      <c r="D5" s="184">
        <v>6492</v>
      </c>
      <c r="E5" s="184"/>
      <c r="F5" s="184"/>
      <c r="G5" s="184"/>
      <c r="H5" s="184"/>
      <c r="I5" s="184"/>
      <c r="J5" s="184"/>
      <c r="K5" s="184"/>
      <c r="L5" s="184"/>
      <c r="M5" s="184"/>
    </row>
    <row r="6" spans="2:13" x14ac:dyDescent="0.35">
      <c r="B6" s="40" t="s">
        <v>58</v>
      </c>
      <c r="C6" s="193">
        <v>1084</v>
      </c>
      <c r="D6" s="184">
        <v>1129</v>
      </c>
      <c r="E6" s="184"/>
      <c r="F6" s="184"/>
      <c r="G6" s="184"/>
      <c r="H6" s="184"/>
      <c r="I6" s="184"/>
      <c r="J6" s="184"/>
      <c r="K6" s="184"/>
      <c r="L6" s="184"/>
      <c r="M6" s="184"/>
    </row>
    <row r="7" spans="2:13" x14ac:dyDescent="0.35">
      <c r="B7" s="70" t="s">
        <v>65</v>
      </c>
      <c r="C7" s="194"/>
      <c r="D7" s="192"/>
      <c r="E7" s="192"/>
      <c r="F7" s="192"/>
      <c r="G7" s="192"/>
      <c r="H7" s="192"/>
      <c r="I7" s="192"/>
      <c r="J7" s="192"/>
      <c r="K7" s="192"/>
      <c r="L7" s="192"/>
      <c r="M7" s="192"/>
    </row>
    <row r="8" spans="2:13" x14ac:dyDescent="0.35">
      <c r="B8" s="40" t="s">
        <v>52</v>
      </c>
      <c r="C8" s="193"/>
      <c r="D8" s="184"/>
      <c r="E8" s="184"/>
      <c r="F8" s="184"/>
      <c r="G8" s="184"/>
      <c r="H8" s="184"/>
      <c r="I8" s="184"/>
      <c r="J8" s="184"/>
      <c r="K8" s="184"/>
      <c r="L8" s="184"/>
      <c r="M8" s="184"/>
    </row>
    <row r="9" spans="2:13" x14ac:dyDescent="0.35">
      <c r="B9" s="40" t="s">
        <v>164</v>
      </c>
      <c r="C9" s="193">
        <v>639</v>
      </c>
      <c r="D9" s="184">
        <v>927</v>
      </c>
      <c r="E9" s="184"/>
      <c r="F9" s="184"/>
      <c r="G9" s="184"/>
      <c r="H9" s="184"/>
      <c r="I9" s="184"/>
      <c r="J9" s="184"/>
      <c r="K9" s="184"/>
      <c r="L9" s="184"/>
      <c r="M9" s="184"/>
    </row>
    <row r="10" spans="2:13" x14ac:dyDescent="0.35">
      <c r="B10" s="40" t="s">
        <v>172</v>
      </c>
      <c r="C10" s="193"/>
      <c r="D10" s="184"/>
      <c r="E10" s="184"/>
      <c r="F10" s="184"/>
      <c r="G10" s="184"/>
      <c r="H10" s="184"/>
      <c r="I10" s="184"/>
      <c r="J10" s="184"/>
      <c r="K10" s="184"/>
      <c r="L10" s="184"/>
      <c r="M10" s="184"/>
    </row>
    <row r="11" spans="2:13" x14ac:dyDescent="0.35">
      <c r="B11" s="40" t="s">
        <v>163</v>
      </c>
      <c r="C11" s="193"/>
      <c r="D11" s="184"/>
      <c r="E11" s="184"/>
      <c r="F11" s="184"/>
      <c r="G11" s="184"/>
      <c r="H11" s="184"/>
      <c r="I11" s="184"/>
      <c r="J11" s="184"/>
      <c r="K11" s="184"/>
      <c r="L11" s="184"/>
      <c r="M11" s="184"/>
    </row>
    <row r="12" spans="2:13" x14ac:dyDescent="0.35">
      <c r="B12" s="40" t="s">
        <v>40</v>
      </c>
      <c r="C12" s="193">
        <v>43</v>
      </c>
      <c r="D12" s="184">
        <v>40.775368</v>
      </c>
      <c r="E12" s="184"/>
      <c r="F12" s="184"/>
      <c r="G12" s="184"/>
      <c r="H12" s="184"/>
      <c r="I12" s="184"/>
      <c r="J12" s="184"/>
      <c r="K12" s="184"/>
      <c r="L12" s="184"/>
      <c r="M12" s="184"/>
    </row>
    <row r="13" spans="2:13" x14ac:dyDescent="0.35">
      <c r="B13" s="40" t="s">
        <v>71</v>
      </c>
      <c r="C13" s="193">
        <v>2340</v>
      </c>
      <c r="D13" s="184">
        <v>1390.845307</v>
      </c>
      <c r="E13" s="184"/>
      <c r="F13" s="184"/>
      <c r="G13" s="184"/>
      <c r="H13" s="184"/>
      <c r="I13" s="184"/>
      <c r="J13" s="184"/>
      <c r="K13" s="184"/>
      <c r="L13" s="184"/>
      <c r="M13" s="184"/>
    </row>
    <row r="14" spans="2:13" x14ac:dyDescent="0.35">
      <c r="B14" s="40" t="s">
        <v>53</v>
      </c>
      <c r="C14" s="193">
        <v>519</v>
      </c>
      <c r="D14" s="184">
        <v>860.83482800000002</v>
      </c>
      <c r="E14" s="184"/>
      <c r="F14" s="184"/>
      <c r="G14" s="184"/>
      <c r="H14" s="184"/>
      <c r="I14" s="184"/>
      <c r="J14" s="184"/>
      <c r="K14" s="184"/>
      <c r="L14" s="184"/>
      <c r="M14" s="184"/>
    </row>
    <row r="15" spans="2:13" x14ac:dyDescent="0.35">
      <c r="B15" s="43" t="s">
        <v>45</v>
      </c>
      <c r="C15" s="195">
        <v>4251</v>
      </c>
      <c r="D15" s="185">
        <v>5880</v>
      </c>
      <c r="E15" s="185"/>
      <c r="F15" s="185"/>
      <c r="G15" s="185"/>
      <c r="H15" s="185"/>
      <c r="I15" s="185"/>
      <c r="J15" s="185"/>
      <c r="K15" s="185"/>
      <c r="L15" s="185"/>
      <c r="M15" s="185"/>
    </row>
    <row r="16" spans="2:13" x14ac:dyDescent="0.35">
      <c r="B16" s="28" t="s">
        <v>47</v>
      </c>
      <c r="C16" s="193">
        <v>-151</v>
      </c>
      <c r="D16" s="184">
        <v>31</v>
      </c>
      <c r="E16" s="184"/>
      <c r="F16" s="184"/>
      <c r="G16" s="184"/>
      <c r="H16" s="184"/>
      <c r="I16" s="184"/>
      <c r="J16" s="184"/>
      <c r="K16" s="184"/>
      <c r="L16" s="184"/>
      <c r="M16" s="184"/>
    </row>
    <row r="18" spans="2:13" x14ac:dyDescent="0.35">
      <c r="B18" s="16" t="s">
        <v>54</v>
      </c>
      <c r="C18" s="9"/>
    </row>
    <row r="19" spans="2:13" x14ac:dyDescent="0.35">
      <c r="B19" s="27" t="s">
        <v>50</v>
      </c>
      <c r="C19" s="184">
        <v>160</v>
      </c>
      <c r="D19" s="184">
        <v>198</v>
      </c>
      <c r="E19" s="184"/>
      <c r="F19" s="184"/>
      <c r="G19" s="184"/>
      <c r="H19" s="184"/>
      <c r="I19" s="184"/>
      <c r="J19" s="184"/>
      <c r="K19" s="184"/>
      <c r="L19" s="184"/>
      <c r="M19" s="184"/>
    </row>
    <row r="20" spans="2:13" x14ac:dyDescent="0.35">
      <c r="B20" s="27" t="s">
        <v>56</v>
      </c>
      <c r="C20" s="184">
        <v>69</v>
      </c>
      <c r="D20" s="184">
        <v>108</v>
      </c>
      <c r="E20" s="184"/>
      <c r="F20" s="184"/>
      <c r="G20" s="184"/>
      <c r="H20" s="184"/>
      <c r="I20" s="184"/>
      <c r="J20" s="184"/>
      <c r="K20" s="184"/>
      <c r="L20" s="184"/>
      <c r="M20" s="184"/>
    </row>
    <row r="21" spans="2:13" x14ac:dyDescent="0.35">
      <c r="B21" s="27" t="s">
        <v>55</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29</v>
      </c>
      <c r="C24" s="9"/>
    </row>
    <row r="25" spans="2:13" x14ac:dyDescent="0.35">
      <c r="B25" s="26" t="s">
        <v>25</v>
      </c>
      <c r="C25" s="186"/>
      <c r="D25" s="184">
        <v>7251</v>
      </c>
      <c r="E25" s="184"/>
      <c r="F25" s="184"/>
      <c r="G25" s="184"/>
      <c r="H25" s="184"/>
      <c r="I25" s="184"/>
      <c r="J25" s="184"/>
      <c r="K25" s="184"/>
      <c r="L25" s="184"/>
      <c r="M25" s="184"/>
    </row>
    <row r="26" spans="2:13" x14ac:dyDescent="0.35">
      <c r="B26" s="26" t="s">
        <v>33</v>
      </c>
      <c r="C26" s="186"/>
      <c r="D26" s="184">
        <v>16389</v>
      </c>
      <c r="E26" s="184"/>
      <c r="F26" s="184"/>
      <c r="G26" s="184"/>
      <c r="H26" s="184"/>
      <c r="I26" s="184"/>
      <c r="J26" s="184"/>
      <c r="K26" s="184"/>
      <c r="L26" s="184"/>
      <c r="M26" s="184"/>
    </row>
    <row r="27" spans="2:13" x14ac:dyDescent="0.35">
      <c r="B27" s="29" t="s">
        <v>41</v>
      </c>
      <c r="C27" s="185">
        <v>14028</v>
      </c>
      <c r="D27" s="185">
        <v>10902</v>
      </c>
      <c r="E27" s="185"/>
      <c r="F27" s="185"/>
      <c r="G27" s="185"/>
      <c r="H27" s="185"/>
      <c r="I27" s="185"/>
      <c r="J27" s="185"/>
      <c r="K27" s="185"/>
      <c r="L27" s="185"/>
      <c r="M27" s="185"/>
    </row>
    <row r="28" spans="2:13" x14ac:dyDescent="0.35">
      <c r="B28" s="29" t="s">
        <v>31</v>
      </c>
      <c r="C28" s="185">
        <v>166316</v>
      </c>
      <c r="D28" s="185">
        <v>163105</v>
      </c>
      <c r="E28" s="185"/>
      <c r="F28" s="185"/>
      <c r="G28" s="185"/>
      <c r="H28" s="185"/>
      <c r="I28" s="185"/>
      <c r="J28" s="185"/>
      <c r="K28" s="185"/>
      <c r="L28" s="185"/>
      <c r="M28" s="185"/>
    </row>
    <row r="29" spans="2:13" x14ac:dyDescent="0.35">
      <c r="B29" s="26" t="s">
        <v>177</v>
      </c>
      <c r="C29" s="184"/>
      <c r="D29" s="184"/>
      <c r="E29" s="184"/>
      <c r="F29" s="184"/>
      <c r="G29" s="185"/>
      <c r="H29" s="185"/>
      <c r="I29" s="185"/>
      <c r="J29" s="185"/>
      <c r="K29" s="185"/>
      <c r="L29" s="185"/>
      <c r="M29" s="185"/>
    </row>
    <row r="31" spans="2:13" x14ac:dyDescent="0.35">
      <c r="B31" s="16" t="s">
        <v>57</v>
      </c>
      <c r="C31" s="9"/>
    </row>
    <row r="32" spans="2:13" x14ac:dyDescent="0.35">
      <c r="B32" s="26" t="s">
        <v>42</v>
      </c>
      <c r="C32" s="184"/>
      <c r="D32" s="184"/>
      <c r="E32" s="184"/>
      <c r="F32" s="184"/>
      <c r="G32" s="184"/>
      <c r="H32" s="184"/>
      <c r="I32" s="184"/>
      <c r="J32" s="184"/>
      <c r="K32" s="184"/>
      <c r="L32" s="184"/>
      <c r="M32" s="184"/>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46</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62</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58</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65</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68</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52</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157</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173</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72</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53</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45</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47</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72</v>
      </c>
    </row>
    <row r="51" spans="2:13" x14ac:dyDescent="0.35">
      <c r="B51" s="40" t="s">
        <v>40</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71</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173</v>
      </c>
    </row>
    <row r="55" spans="2:13" x14ac:dyDescent="0.35">
      <c r="B55" s="40" t="s">
        <v>164</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172</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163</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165</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54</v>
      </c>
      <c r="C60" s="9"/>
    </row>
    <row r="61" spans="2:13" x14ac:dyDescent="0.35">
      <c r="B61" s="27" t="s">
        <v>50</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56</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55</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37</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91</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41</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09" t="s">
        <v>141</v>
      </c>
      <c r="D3" s="210" t="s">
        <v>36</v>
      </c>
      <c r="F3" s="16" t="s">
        <v>190</v>
      </c>
      <c r="G3" s="209" t="s">
        <v>141</v>
      </c>
      <c r="H3" s="210" t="s">
        <v>36</v>
      </c>
    </row>
    <row r="4" spans="2:8" ht="15" customHeight="1" x14ac:dyDescent="0.35">
      <c r="B4" s="4" t="s">
        <v>25</v>
      </c>
      <c r="C4" s="19">
        <v>8029</v>
      </c>
      <c r="D4" s="301">
        <v>0.6</v>
      </c>
      <c r="E4" s="25"/>
      <c r="F4" s="4" t="s">
        <v>82</v>
      </c>
      <c r="G4" s="19">
        <v>45665</v>
      </c>
      <c r="H4" s="301">
        <v>0.9</v>
      </c>
    </row>
    <row r="5" spans="2:8" ht="15" customHeight="1" x14ac:dyDescent="0.35">
      <c r="B5" s="1" t="s">
        <v>34</v>
      </c>
      <c r="C5" s="19">
        <v>0</v>
      </c>
      <c r="D5" s="301">
        <v>0.6</v>
      </c>
      <c r="E5" s="25"/>
      <c r="F5" s="1" t="s">
        <v>30</v>
      </c>
      <c r="G5" s="19">
        <v>2014</v>
      </c>
      <c r="H5" s="301">
        <v>0.7</v>
      </c>
    </row>
    <row r="6" spans="2:8" ht="15" customHeight="1" x14ac:dyDescent="0.35">
      <c r="B6" s="4" t="s">
        <v>11</v>
      </c>
      <c r="C6" s="19">
        <v>9844</v>
      </c>
      <c r="D6" s="301">
        <v>0.5</v>
      </c>
      <c r="E6" s="25"/>
      <c r="F6" s="4" t="s">
        <v>182</v>
      </c>
      <c r="G6" s="19">
        <v>156</v>
      </c>
      <c r="H6" s="301">
        <v>0.6</v>
      </c>
    </row>
    <row r="7" spans="2:8" ht="15" customHeight="1" x14ac:dyDescent="0.35">
      <c r="B7" s="1" t="s">
        <v>73</v>
      </c>
      <c r="C7" s="19">
        <v>5466</v>
      </c>
      <c r="D7" s="301">
        <v>0.6</v>
      </c>
      <c r="E7" s="25"/>
      <c r="F7" s="4" t="s">
        <v>183</v>
      </c>
      <c r="G7" s="19">
        <v>0</v>
      </c>
      <c r="H7" s="301">
        <v>0.6</v>
      </c>
    </row>
    <row r="8" spans="2:8" ht="15" customHeight="1" x14ac:dyDescent="0.35">
      <c r="B8" s="1" t="s">
        <v>178</v>
      </c>
      <c r="C8" s="19">
        <v>0</v>
      </c>
      <c r="D8" s="301">
        <v>0.6</v>
      </c>
      <c r="E8" s="25"/>
      <c r="F8" s="1" t="s">
        <v>184</v>
      </c>
      <c r="G8" s="19">
        <v>0</v>
      </c>
      <c r="H8" s="301">
        <v>0.6</v>
      </c>
    </row>
    <row r="9" spans="2:8" ht="15" customHeight="1" x14ac:dyDescent="0.35">
      <c r="B9" s="4" t="s">
        <v>26</v>
      </c>
      <c r="C9" s="19">
        <v>0</v>
      </c>
      <c r="D9" s="301">
        <v>0.1</v>
      </c>
      <c r="E9" s="25"/>
      <c r="F9" s="4" t="s">
        <v>185</v>
      </c>
      <c r="G9" s="19">
        <v>0</v>
      </c>
      <c r="H9" s="301">
        <v>0.6</v>
      </c>
    </row>
    <row r="10" spans="2:8" ht="15" customHeight="1" x14ac:dyDescent="0.35">
      <c r="B10" s="4" t="s">
        <v>12</v>
      </c>
      <c r="C10" s="19">
        <v>10</v>
      </c>
      <c r="D10" s="301">
        <v>0.9</v>
      </c>
      <c r="H10" s="302"/>
    </row>
    <row r="11" spans="2:8" ht="15" customHeight="1" x14ac:dyDescent="0.35">
      <c r="B11" s="4" t="s">
        <v>13</v>
      </c>
      <c r="C11" s="19">
        <v>0</v>
      </c>
      <c r="D11" s="301">
        <v>0.05</v>
      </c>
      <c r="H11" s="302"/>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09" t="s">
        <v>141</v>
      </c>
      <c r="D14" s="210" t="s">
        <v>36</v>
      </c>
      <c r="F14" s="16" t="s">
        <v>191</v>
      </c>
      <c r="G14" s="209" t="s">
        <v>141</v>
      </c>
      <c r="H14" s="210" t="s">
        <v>36</v>
      </c>
    </row>
    <row r="15" spans="2:8" ht="15" customHeight="1" x14ac:dyDescent="0.35">
      <c r="B15" s="4" t="s">
        <v>77</v>
      </c>
      <c r="C15" s="19">
        <v>2757</v>
      </c>
      <c r="D15" s="301">
        <v>0.4</v>
      </c>
      <c r="F15" s="4" t="s">
        <v>83</v>
      </c>
      <c r="G15" s="19">
        <v>0</v>
      </c>
      <c r="H15" s="301">
        <v>0.8</v>
      </c>
    </row>
    <row r="16" spans="2:8" ht="15" customHeight="1" x14ac:dyDescent="0.35">
      <c r="B16" s="1" t="s">
        <v>35</v>
      </c>
      <c r="C16" s="19">
        <v>0</v>
      </c>
      <c r="D16" s="301">
        <v>0.5</v>
      </c>
      <c r="F16" s="4" t="s">
        <v>182</v>
      </c>
      <c r="G16" s="19">
        <v>1373</v>
      </c>
      <c r="H16" s="301">
        <v>0.6</v>
      </c>
    </row>
    <row r="17" spans="2:8" ht="15" customHeight="1" x14ac:dyDescent="0.35">
      <c r="B17" s="1" t="s">
        <v>73</v>
      </c>
      <c r="C17" s="19">
        <v>67668</v>
      </c>
      <c r="D17" s="301">
        <v>0.6</v>
      </c>
      <c r="F17" s="4" t="s">
        <v>183</v>
      </c>
      <c r="G17" s="19">
        <v>13024</v>
      </c>
      <c r="H17" s="301">
        <v>0.6</v>
      </c>
    </row>
    <row r="18" spans="2:8" ht="15" customHeight="1" x14ac:dyDescent="0.35">
      <c r="B18" s="4" t="s">
        <v>178</v>
      </c>
      <c r="C18" s="19">
        <v>0</v>
      </c>
      <c r="D18" s="301">
        <v>0.6</v>
      </c>
      <c r="F18" s="4" t="s">
        <v>186</v>
      </c>
      <c r="G18" s="19">
        <v>23696</v>
      </c>
      <c r="H18" s="301">
        <v>0.1</v>
      </c>
    </row>
    <row r="19" spans="2:8" ht="15" customHeight="1" x14ac:dyDescent="0.35">
      <c r="B19" s="4" t="s">
        <v>27</v>
      </c>
      <c r="C19" s="19">
        <v>1284</v>
      </c>
      <c r="D19" s="301">
        <v>0.1</v>
      </c>
      <c r="F19" s="4" t="s">
        <v>187</v>
      </c>
      <c r="G19" s="19">
        <v>0</v>
      </c>
      <c r="H19" s="301">
        <v>0.1</v>
      </c>
    </row>
    <row r="20" spans="2:8" ht="15" customHeight="1" x14ac:dyDescent="0.35">
      <c r="B20" s="4" t="s">
        <v>19</v>
      </c>
      <c r="C20" s="19">
        <v>0</v>
      </c>
      <c r="D20" s="301">
        <v>0.05</v>
      </c>
      <c r="F20" s="4" t="s">
        <v>184</v>
      </c>
      <c r="G20" s="19">
        <v>0</v>
      </c>
      <c r="H20" s="301">
        <v>0.2</v>
      </c>
    </row>
    <row r="21" spans="2:8" ht="15" customHeight="1" x14ac:dyDescent="0.35">
      <c r="B21" s="4" t="s">
        <v>20</v>
      </c>
      <c r="C21" s="19">
        <v>0</v>
      </c>
      <c r="D21" s="301">
        <v>0.05</v>
      </c>
      <c r="F21" s="1" t="s">
        <v>185</v>
      </c>
      <c r="G21" s="19">
        <v>0</v>
      </c>
      <c r="H21" s="301">
        <v>0.1</v>
      </c>
    </row>
    <row r="22" spans="2:8" ht="15" customHeight="1" x14ac:dyDescent="0.35">
      <c r="B22" s="4" t="s">
        <v>21</v>
      </c>
      <c r="C22" s="19">
        <v>10</v>
      </c>
      <c r="D22" s="301">
        <v>0.9</v>
      </c>
      <c r="H22" s="302"/>
    </row>
    <row r="23" spans="2:8" ht="15" customHeight="1" x14ac:dyDescent="0.35">
      <c r="B23" s="4" t="s">
        <v>22</v>
      </c>
      <c r="C23" s="19">
        <v>0</v>
      </c>
      <c r="D23" s="301">
        <v>0</v>
      </c>
      <c r="H23" s="302"/>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09" t="s">
        <v>141</v>
      </c>
      <c r="F26" s="211" t="s">
        <v>201</v>
      </c>
      <c r="G26" s="212" t="s">
        <v>141</v>
      </c>
      <c r="H26" s="213" t="s">
        <v>36</v>
      </c>
    </row>
    <row r="27" spans="2:8" ht="15" customHeight="1" x14ac:dyDescent="0.35">
      <c r="B27" s="4" t="s">
        <v>6</v>
      </c>
      <c r="C27" s="19">
        <v>967</v>
      </c>
      <c r="F27" s="214" t="s">
        <v>31</v>
      </c>
      <c r="G27" s="87">
        <f>G32-G30</f>
        <v>167107</v>
      </c>
      <c r="H27" s="215">
        <f>H32-G30</f>
        <v>94589.7</v>
      </c>
    </row>
    <row r="28" spans="2:8" ht="15" customHeight="1" x14ac:dyDescent="0.35">
      <c r="B28" s="4" t="s">
        <v>7</v>
      </c>
      <c r="C28" s="19">
        <v>37</v>
      </c>
      <c r="F28" s="216" t="s">
        <v>251</v>
      </c>
      <c r="G28" s="184">
        <v>519</v>
      </c>
      <c r="H28" s="215"/>
    </row>
    <row r="29" spans="2:8" ht="15" customHeight="1" x14ac:dyDescent="0.35">
      <c r="B29" s="4" t="s">
        <v>8</v>
      </c>
      <c r="C29" s="19">
        <v>0</v>
      </c>
      <c r="F29" s="217" t="s">
        <v>80</v>
      </c>
      <c r="G29" s="14">
        <f>G27-G28</f>
        <v>166588</v>
      </c>
      <c r="H29" s="215">
        <f>H27-G28</f>
        <v>94070.7</v>
      </c>
    </row>
    <row r="30" spans="2:8" ht="15" customHeight="1" x14ac:dyDescent="0.35">
      <c r="B30" s="2" t="s">
        <v>9</v>
      </c>
      <c r="C30" s="19">
        <v>0</v>
      </c>
      <c r="F30" s="214" t="s">
        <v>24</v>
      </c>
      <c r="G30" s="87">
        <f>C33+C42</f>
        <v>13889</v>
      </c>
      <c r="H30" s="215"/>
    </row>
    <row r="31" spans="2:8" ht="15" customHeight="1" x14ac:dyDescent="0.35">
      <c r="B31" s="82" t="s">
        <v>208</v>
      </c>
      <c r="C31" s="83">
        <f>SUM(C27:C30)</f>
        <v>1004</v>
      </c>
      <c r="F31" s="217" t="s">
        <v>81</v>
      </c>
      <c r="G31" s="218">
        <f>C31+C40</f>
        <v>3093</v>
      </c>
      <c r="H31" s="215"/>
    </row>
    <row r="32" spans="2:8" ht="15" customHeight="1" x14ac:dyDescent="0.35">
      <c r="B32" s="4" t="s">
        <v>10</v>
      </c>
      <c r="C32" s="21">
        <f>C33-C31</f>
        <v>8048</v>
      </c>
      <c r="F32" s="219" t="s">
        <v>79</v>
      </c>
      <c r="G32" s="220">
        <f>G35+G40</f>
        <v>180996</v>
      </c>
      <c r="H32" s="215">
        <f>H35+H40</f>
        <v>108478.7</v>
      </c>
    </row>
    <row r="33" spans="2:8" ht="15" customHeight="1" x14ac:dyDescent="0.35">
      <c r="B33" s="85" t="s">
        <v>5</v>
      </c>
      <c r="C33" s="86">
        <v>9052</v>
      </c>
      <c r="F33" s="221"/>
      <c r="G33" s="2"/>
      <c r="H33" s="222"/>
    </row>
    <row r="34" spans="2:8" ht="15" customHeight="1" x14ac:dyDescent="0.35">
      <c r="B34" s="85"/>
      <c r="C34" s="86"/>
      <c r="F34" s="223" t="s">
        <v>207</v>
      </c>
      <c r="G34" s="224" t="s">
        <v>141</v>
      </c>
      <c r="H34" s="225" t="s">
        <v>36</v>
      </c>
    </row>
    <row r="35" spans="2:8" ht="15" customHeight="1" x14ac:dyDescent="0.35">
      <c r="B35" s="16" t="s">
        <v>206</v>
      </c>
      <c r="C35" s="209" t="s">
        <v>141</v>
      </c>
      <c r="F35" s="226" t="s">
        <v>32</v>
      </c>
      <c r="G35" s="220">
        <f>C12+C24</f>
        <v>95068</v>
      </c>
      <c r="H35" s="227">
        <f>D12+D24</f>
        <v>54869</v>
      </c>
    </row>
    <row r="36" spans="2:8" ht="15" customHeight="1" x14ac:dyDescent="0.35">
      <c r="B36" s="4" t="s">
        <v>14</v>
      </c>
      <c r="C36" s="19">
        <v>832</v>
      </c>
      <c r="F36" s="217" t="s">
        <v>202</v>
      </c>
      <c r="G36" s="218">
        <f>C4+C15</f>
        <v>10786</v>
      </c>
      <c r="H36" s="222"/>
    </row>
    <row r="37" spans="2:8" ht="15" customHeight="1" x14ac:dyDescent="0.35">
      <c r="B37" s="4" t="s">
        <v>15</v>
      </c>
      <c r="C37" s="19">
        <v>27</v>
      </c>
      <c r="F37" s="217" t="s">
        <v>203</v>
      </c>
      <c r="G37" s="218">
        <f>C6</f>
        <v>9844</v>
      </c>
      <c r="H37" s="222"/>
    </row>
    <row r="38" spans="2:8" ht="15" customHeight="1" x14ac:dyDescent="0.35">
      <c r="B38" s="4" t="s">
        <v>16</v>
      </c>
      <c r="C38" s="19">
        <v>1230</v>
      </c>
      <c r="F38" s="217" t="s">
        <v>204</v>
      </c>
      <c r="G38" s="218">
        <f>C7+C17</f>
        <v>73134</v>
      </c>
      <c r="H38" s="222"/>
    </row>
    <row r="39" spans="2:8" ht="15" customHeight="1" x14ac:dyDescent="0.35">
      <c r="B39" s="2" t="s">
        <v>17</v>
      </c>
      <c r="C39" s="19">
        <v>0</v>
      </c>
      <c r="F39" s="217" t="s">
        <v>84</v>
      </c>
      <c r="G39" s="218">
        <f>C7+C17+C19+C20</f>
        <v>74418</v>
      </c>
      <c r="H39" s="215">
        <f>C7*D7+C17*D17+C19*D19+C20*D20</f>
        <v>44008.799999999996</v>
      </c>
    </row>
    <row r="40" spans="2:8" ht="15" customHeight="1" x14ac:dyDescent="0.35">
      <c r="B40" s="82" t="s">
        <v>209</v>
      </c>
      <c r="C40" s="83">
        <f>SUM(C36:C39)</f>
        <v>2089</v>
      </c>
      <c r="F40" s="226" t="s">
        <v>143</v>
      </c>
      <c r="G40" s="220">
        <f>G12+G24</f>
        <v>85928</v>
      </c>
      <c r="H40" s="227">
        <f>H12+H24</f>
        <v>53609.7</v>
      </c>
    </row>
    <row r="41" spans="2:8" ht="15" customHeight="1" x14ac:dyDescent="0.35">
      <c r="B41" s="4" t="s">
        <v>18</v>
      </c>
      <c r="C41" s="21">
        <f>C42-C40</f>
        <v>2748</v>
      </c>
      <c r="F41" s="217" t="s">
        <v>196</v>
      </c>
      <c r="G41" s="218">
        <f>C70</f>
        <v>72904</v>
      </c>
      <c r="H41" s="227">
        <f>H40-H42</f>
        <v>45795.299999999996</v>
      </c>
    </row>
    <row r="42" spans="2:8" ht="15" customHeight="1" x14ac:dyDescent="0.35">
      <c r="B42" s="85" t="s">
        <v>23</v>
      </c>
      <c r="C42" s="86">
        <v>4837</v>
      </c>
      <c r="F42" s="228" t="s">
        <v>197</v>
      </c>
      <c r="G42" s="229">
        <f>C82</f>
        <v>13024</v>
      </c>
      <c r="H42" s="230">
        <f>D82</f>
        <v>7814.4</v>
      </c>
    </row>
    <row r="44" spans="2:8" ht="15" customHeight="1" x14ac:dyDescent="0.35">
      <c r="B44" s="81" t="s">
        <v>101</v>
      </c>
      <c r="C44" s="37"/>
      <c r="D44" s="37"/>
      <c r="E44" s="37"/>
      <c r="F44" s="37"/>
      <c r="G44" s="37"/>
      <c r="H44" s="37"/>
    </row>
    <row r="45" spans="2:8" ht="15" customHeight="1" x14ac:dyDescent="0.35">
      <c r="B45" s="16" t="s">
        <v>287</v>
      </c>
      <c r="C45" s="267" t="s">
        <v>141</v>
      </c>
      <c r="D45" s="209" t="s">
        <v>288</v>
      </c>
      <c r="F45" s="294" t="s">
        <v>63</v>
      </c>
    </row>
    <row r="46" spans="2:8" ht="15" customHeight="1" x14ac:dyDescent="0.35">
      <c r="B46" s="1" t="s">
        <v>290</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148</v>
      </c>
      <c r="C49" s="268" t="s">
        <v>61</v>
      </c>
      <c r="D49" s="224" t="s">
        <v>100</v>
      </c>
      <c r="E49" s="2"/>
      <c r="F49" s="289"/>
    </row>
    <row r="50" spans="2:8" ht="15" customHeight="1" x14ac:dyDescent="0.35">
      <c r="B50" s="8" t="s">
        <v>98</v>
      </c>
      <c r="C50" s="98">
        <f>G31/Normalized_FCF!C8</f>
        <v>1.1933697905849452</v>
      </c>
      <c r="D50" s="98">
        <f>G31/Normalized_FCF!G8</f>
        <v>1.3234916559691912</v>
      </c>
      <c r="F50" s="289"/>
    </row>
    <row r="51" spans="2:8" ht="15" customHeight="1" x14ac:dyDescent="0.35">
      <c r="B51" s="1" t="s">
        <v>181</v>
      </c>
      <c r="C51" s="208"/>
      <c r="D51" s="94">
        <f>G29/G32</f>
        <v>0.92039603085151056</v>
      </c>
      <c r="F51" s="289"/>
    </row>
    <row r="52" spans="2:8" ht="15" customHeight="1" x14ac:dyDescent="0.35">
      <c r="F52" s="289"/>
    </row>
    <row r="53" spans="2:8" ht="15" customHeight="1" x14ac:dyDescent="0.35">
      <c r="B53" s="161" t="s">
        <v>147</v>
      </c>
      <c r="C53" s="268" t="s">
        <v>61</v>
      </c>
      <c r="D53" s="224" t="s">
        <v>100</v>
      </c>
      <c r="F53" s="289"/>
    </row>
    <row r="54" spans="2:8" ht="15" customHeight="1" x14ac:dyDescent="0.35">
      <c r="B54" s="1" t="s">
        <v>144</v>
      </c>
      <c r="C54" s="94">
        <f>Normalized_FCF!C8/G35</f>
        <v>2.7262804090098017E-2</v>
      </c>
      <c r="D54" s="94">
        <f>Normalized_FCF!G8/G35</f>
        <v>2.4582404173854506E-2</v>
      </c>
      <c r="F54" s="289"/>
    </row>
    <row r="55" spans="2:8" ht="15" customHeight="1" x14ac:dyDescent="0.35">
      <c r="B55" s="1" t="s">
        <v>146</v>
      </c>
      <c r="C55" s="94">
        <f>Normalized_FCF!C11/G40</f>
        <v>7.4364584303137507E-3</v>
      </c>
      <c r="D55" s="94">
        <f>Normalized_FCF!G11/G40</f>
        <v>7.4364584303137507E-3</v>
      </c>
      <c r="F55" s="289"/>
    </row>
    <row r="56" spans="2:8" ht="15" customHeight="1" x14ac:dyDescent="0.35">
      <c r="F56" s="289"/>
    </row>
    <row r="57" spans="2:8" ht="15" customHeight="1" x14ac:dyDescent="0.35">
      <c r="B57" s="161" t="s">
        <v>180</v>
      </c>
      <c r="C57" s="268" t="s">
        <v>61</v>
      </c>
      <c r="D57" s="224" t="s">
        <v>100</v>
      </c>
      <c r="F57" s="289"/>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89"/>
    </row>
    <row r="60" spans="2:8" ht="15" customHeight="1" x14ac:dyDescent="0.35">
      <c r="F60" s="289"/>
    </row>
    <row r="61" spans="2:8" ht="15" customHeight="1" x14ac:dyDescent="0.35">
      <c r="B61" s="161" t="s">
        <v>291</v>
      </c>
      <c r="C61" s="268" t="s">
        <v>142</v>
      </c>
      <c r="D61" s="224" t="s">
        <v>100</v>
      </c>
      <c r="F61" s="289"/>
    </row>
    <row r="62" spans="2:8" ht="15" customHeight="1" x14ac:dyDescent="0.35">
      <c r="B62" s="1" t="s">
        <v>252</v>
      </c>
      <c r="C62" s="94">
        <f>IF(G28&lt;=0,0,G28/G29)</f>
        <v>3.1154705020769802E-3</v>
      </c>
      <c r="D62" s="94">
        <f>G28/G29</f>
        <v>3.1154705020769802E-3</v>
      </c>
      <c r="F62" s="289" t="s">
        <v>289</v>
      </c>
    </row>
    <row r="64" spans="2:8" ht="15" customHeight="1" x14ac:dyDescent="0.35">
      <c r="B64" s="81" t="s">
        <v>198</v>
      </c>
      <c r="C64" s="37"/>
      <c r="D64" s="37"/>
      <c r="E64" s="37"/>
      <c r="F64" s="37"/>
      <c r="G64" s="37"/>
      <c r="H64" s="37"/>
    </row>
    <row r="65" spans="2:6" ht="15" customHeight="1" x14ac:dyDescent="0.35">
      <c r="B65" s="16" t="s">
        <v>193</v>
      </c>
      <c r="C65" s="267" t="s">
        <v>141</v>
      </c>
      <c r="D65" s="210" t="s">
        <v>313</v>
      </c>
      <c r="F65" s="294" t="s">
        <v>63</v>
      </c>
    </row>
    <row r="66" spans="2:6" ht="15" customHeight="1" x14ac:dyDescent="0.35">
      <c r="B66" s="108" t="s">
        <v>192</v>
      </c>
      <c r="C66" s="20">
        <f>G4+G5+G15</f>
        <v>47679</v>
      </c>
      <c r="D66" s="191">
        <f>C66-D75</f>
        <v>41505.820259237436</v>
      </c>
      <c r="F66" s="5" t="s">
        <v>231</v>
      </c>
    </row>
    <row r="67" spans="2:6" ht="15" customHeight="1" x14ac:dyDescent="0.35">
      <c r="B67" s="108" t="s">
        <v>182</v>
      </c>
      <c r="C67" s="20">
        <f>G6+G16</f>
        <v>1529</v>
      </c>
      <c r="F67" s="289"/>
    </row>
    <row r="68" spans="2:6" ht="15" customHeight="1" x14ac:dyDescent="0.35">
      <c r="B68" s="108" t="s">
        <v>186</v>
      </c>
      <c r="C68" s="20">
        <f>G18</f>
        <v>23696</v>
      </c>
      <c r="F68" s="289"/>
    </row>
    <row r="69" spans="2:6" ht="15" customHeight="1" x14ac:dyDescent="0.35">
      <c r="B69" s="108" t="s">
        <v>184</v>
      </c>
      <c r="C69" s="20">
        <f>G8+G20</f>
        <v>0</v>
      </c>
      <c r="F69" s="289"/>
    </row>
    <row r="70" spans="2:6" ht="15" customHeight="1" x14ac:dyDescent="0.35">
      <c r="B70" s="82" t="s">
        <v>193</v>
      </c>
      <c r="C70" s="83">
        <f>SUM(C66:C69)</f>
        <v>72904</v>
      </c>
      <c r="F70" s="289"/>
    </row>
    <row r="71" spans="2:6" ht="15" customHeight="1" x14ac:dyDescent="0.35">
      <c r="F71" s="289"/>
    </row>
    <row r="72" spans="2:6" ht="15" customHeight="1" x14ac:dyDescent="0.35">
      <c r="B72" s="292" t="s">
        <v>354</v>
      </c>
      <c r="C72" s="267" t="s">
        <v>100</v>
      </c>
      <c r="D72" s="209" t="s">
        <v>61</v>
      </c>
      <c r="F72" s="289"/>
    </row>
    <row r="73" spans="2:6" ht="15" customHeight="1" x14ac:dyDescent="0.35">
      <c r="B73" s="108" t="s">
        <v>353</v>
      </c>
      <c r="C73" s="191">
        <f>(Normalized_FCF!G25+Normalized_FCF!G35)/12</f>
        <v>-535.66666666666663</v>
      </c>
      <c r="D73" s="191">
        <f>(Normalized_FCF!C25+Normalized_FCF!C35)/12</f>
        <v>-514.43164506354685</v>
      </c>
    </row>
    <row r="74" spans="2:6" ht="15" customHeight="1" x14ac:dyDescent="0.35">
      <c r="B74" s="295" t="s">
        <v>359</v>
      </c>
      <c r="C74" s="296">
        <f>-$C$66/C73</f>
        <v>89.008711885500944</v>
      </c>
      <c r="D74" s="296">
        <f>-$C$66/D73</f>
        <v>92.682867505381196</v>
      </c>
      <c r="F74" s="289" t="s">
        <v>355</v>
      </c>
    </row>
    <row r="75" spans="2:6" ht="15" customHeight="1" x14ac:dyDescent="0.35">
      <c r="B75" s="82" t="s">
        <v>356</v>
      </c>
      <c r="C75" s="300"/>
      <c r="D75" s="299">
        <f>MAX(-D73*D76,G5)</f>
        <v>6173.1797407625618</v>
      </c>
      <c r="F75" s="289" t="s">
        <v>358</v>
      </c>
    </row>
    <row r="76" spans="2:6" ht="15" customHeight="1" x14ac:dyDescent="0.35">
      <c r="B76" s="297" t="s">
        <v>360</v>
      </c>
      <c r="C76" s="298"/>
      <c r="D76" s="335">
        <f>IF(D74&lt;=3,1,IF(D74&gt;18,IF(D74&gt;36,12,6),2))</f>
        <v>12</v>
      </c>
      <c r="F76" s="289" t="s">
        <v>361</v>
      </c>
    </row>
    <row r="77" spans="2:6" ht="15" customHeight="1" x14ac:dyDescent="0.35">
      <c r="F77" s="289"/>
    </row>
    <row r="78" spans="2:6" ht="15" customHeight="1" x14ac:dyDescent="0.35">
      <c r="B78" s="16" t="s">
        <v>194</v>
      </c>
      <c r="C78" s="267" t="s">
        <v>141</v>
      </c>
      <c r="D78" s="210" t="s">
        <v>36</v>
      </c>
      <c r="F78" s="289"/>
    </row>
    <row r="79" spans="2:6" ht="15" customHeight="1" x14ac:dyDescent="0.35">
      <c r="B79" s="108" t="s">
        <v>183</v>
      </c>
      <c r="C79" s="20">
        <f>G7+G17</f>
        <v>13024</v>
      </c>
      <c r="D79" s="191">
        <f>G7*H7+G17*H17</f>
        <v>7814.4</v>
      </c>
      <c r="F79" s="289"/>
    </row>
    <row r="80" spans="2:6" ht="15" customHeight="1" x14ac:dyDescent="0.35">
      <c r="B80" s="108" t="s">
        <v>187</v>
      </c>
      <c r="C80" s="20">
        <f>G19</f>
        <v>0</v>
      </c>
      <c r="D80" s="191">
        <f>G19*H19</f>
        <v>0</v>
      </c>
      <c r="F80" s="289"/>
    </row>
    <row r="81" spans="2:8" ht="15" customHeight="1" x14ac:dyDescent="0.35">
      <c r="B81" s="108" t="s">
        <v>185</v>
      </c>
      <c r="C81" s="20">
        <f>G9+G21</f>
        <v>0</v>
      </c>
      <c r="D81" s="191">
        <f>G9*H9+G21*H21</f>
        <v>0</v>
      </c>
      <c r="F81" s="289"/>
    </row>
    <row r="82" spans="2:8" ht="15" customHeight="1" x14ac:dyDescent="0.35">
      <c r="B82" s="82" t="s">
        <v>194</v>
      </c>
      <c r="C82" s="83">
        <f>SUM(C79:C81)</f>
        <v>13024</v>
      </c>
      <c r="D82" s="83">
        <f>SUM(D79:D81)</f>
        <v>7814.4</v>
      </c>
      <c r="F82" s="289"/>
    </row>
    <row r="84" spans="2:8" ht="15" customHeight="1" x14ac:dyDescent="0.35">
      <c r="B84" s="81" t="s">
        <v>316</v>
      </c>
      <c r="C84" s="37"/>
      <c r="D84" s="37"/>
      <c r="E84" s="37"/>
      <c r="F84" s="37"/>
      <c r="G84" s="37"/>
      <c r="H84" s="37"/>
    </row>
    <row r="85" spans="2:8" ht="15" customHeight="1" x14ac:dyDescent="0.35">
      <c r="B85" s="16" t="s">
        <v>317</v>
      </c>
      <c r="D85" s="276" t="s">
        <v>318</v>
      </c>
    </row>
    <row r="86" spans="2:8" ht="15" customHeight="1" x14ac:dyDescent="0.35">
      <c r="B86" s="273" t="s">
        <v>314</v>
      </c>
      <c r="C86" s="191">
        <f>-Valuation_Model!C7*Exchange_Rate</f>
        <v>-3093</v>
      </c>
      <c r="D86" s="254">
        <f>C86*$H$1/Common_Shares</f>
        <v>-0.37849307922088393</v>
      </c>
      <c r="E86" s="275" t="str">
        <f>Market_currency</f>
        <v>HKD</v>
      </c>
    </row>
    <row r="87" spans="2:8" ht="15" customHeight="1" x14ac:dyDescent="0.35">
      <c r="B87" s="273" t="s">
        <v>315</v>
      </c>
      <c r="C87" s="191">
        <f>Valuation_Model!C8*Exchange_Rate</f>
        <v>41505.820259237436</v>
      </c>
      <c r="D87" s="254">
        <f>C87*$H$1/Common_Shares</f>
        <v>5.0791030441342784</v>
      </c>
      <c r="E87" s="275" t="str">
        <f>Market_currency</f>
        <v>HKD</v>
      </c>
    </row>
    <row r="88" spans="2:8" ht="15" customHeight="1" x14ac:dyDescent="0.35">
      <c r="B88" s="274" t="s">
        <v>194</v>
      </c>
      <c r="C88" s="191">
        <f>Valuation_Model!C9*Exchange_Rate</f>
        <v>7814.4</v>
      </c>
      <c r="D88" s="254">
        <f>C88*$H$1/Common_Shares</f>
        <v>0.95625487173090062</v>
      </c>
      <c r="E88" s="275" t="str">
        <f>Market_currency</f>
        <v>HKD</v>
      </c>
    </row>
    <row r="89" spans="2:8" ht="15" customHeight="1" x14ac:dyDescent="0.35">
      <c r="B89" s="82" t="s">
        <v>319</v>
      </c>
      <c r="C89" s="190">
        <f>SUM(C86:C88)</f>
        <v>46227.220259237438</v>
      </c>
      <c r="D89" s="277">
        <f>SUM(D86:D88)</f>
        <v>5.6568648366442948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09"/>
      <c r="F3" s="9"/>
      <c r="G3" s="9"/>
    </row>
    <row r="4" spans="1:17" ht="15.75" customHeight="1" x14ac:dyDescent="0.35">
      <c r="A4" s="10"/>
      <c r="B4" s="26" t="s">
        <v>3</v>
      </c>
      <c r="C4" s="196">
        <f>G4</f>
        <v>8765</v>
      </c>
      <c r="D4" s="57"/>
      <c r="E4" s="307"/>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49</v>
      </c>
      <c r="C5" s="197">
        <f>C25</f>
        <v>-5066.6797407625618</v>
      </c>
      <c r="E5" s="309"/>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51</v>
      </c>
      <c r="C6" s="187">
        <f>C4+C5</f>
        <v>3698.3202592374382</v>
      </c>
      <c r="E6" s="309"/>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48</v>
      </c>
      <c r="C7" s="197">
        <f>C35</f>
        <v>-1106.5</v>
      </c>
      <c r="E7" s="309"/>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157</v>
      </c>
      <c r="C8" s="198">
        <f>C6+C7</f>
        <v>2591.8202592374382</v>
      </c>
      <c r="D8" s="60"/>
      <c r="E8" s="315"/>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69</v>
      </c>
      <c r="C9" s="197">
        <f>BS!$G$39*BS!D58</f>
        <v>159.99999999999997</v>
      </c>
      <c r="E9" s="309"/>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85</v>
      </c>
      <c r="C10" s="197">
        <f>-C4*C78</f>
        <v>-159.99999999999997</v>
      </c>
      <c r="E10" s="309"/>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199</v>
      </c>
      <c r="C11" s="199">
        <f>C63</f>
        <v>639</v>
      </c>
      <c r="D11" s="172"/>
      <c r="E11" s="308"/>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72</v>
      </c>
      <c r="C12" s="197">
        <f>C50</f>
        <v>142.19539222287685</v>
      </c>
      <c r="E12" s="309"/>
      <c r="G12" s="197">
        <f>G50</f>
        <v>259.96861497481899</v>
      </c>
      <c r="H12" s="197">
        <f t="shared" ref="H12:Q12" si="6">H50</f>
        <v>139.30261332735768</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169</v>
      </c>
      <c r="C13" s="187">
        <f>SUM(C8:C12)</f>
        <v>3373.015651460315</v>
      </c>
      <c r="E13" s="309"/>
      <c r="G13" s="187">
        <f>IF(G$4="","",SUM(G8:G12))</f>
        <v>3326.968614974819</v>
      </c>
      <c r="H13" s="187">
        <f t="shared" ref="H13:Q13" si="7">IF(H$4="","",SUM(H8:H12))</f>
        <v>5416.3026133273579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67</v>
      </c>
      <c r="C14" s="197">
        <f>-SUM(C8+C11,C12)*C43</f>
        <v>-809.52375635047554</v>
      </c>
      <c r="E14" s="309"/>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250</v>
      </c>
      <c r="C15" s="197">
        <f>-C4*C83</f>
        <v>-22.869707937042335</v>
      </c>
      <c r="D15" s="61"/>
      <c r="E15" s="316"/>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159</v>
      </c>
      <c r="C16" s="200">
        <f>SUM(C13:C15)</f>
        <v>2540.6221871727971</v>
      </c>
      <c r="D16" s="62"/>
      <c r="E16" s="317"/>
      <c r="F16" s="62"/>
      <c r="G16" s="187">
        <f>IF(G$4="","",SUM(G13:G15))</f>
        <v>2807.968614974819</v>
      </c>
      <c r="H16" s="187">
        <f t="shared" ref="H16:Q16" si="8">IF(H$4="","",SUM(H13:H15))</f>
        <v>4524.4677853273579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55</v>
      </c>
      <c r="C17" s="197">
        <f>-C4*C85</f>
        <v>0</v>
      </c>
      <c r="D17" s="59"/>
      <c r="E17" s="308" t="s">
        <v>373</v>
      </c>
      <c r="F17" s="59"/>
      <c r="G17" s="201"/>
      <c r="H17" s="201"/>
      <c r="I17" s="201"/>
      <c r="J17" s="201"/>
      <c r="K17" s="201"/>
      <c r="L17" s="201"/>
      <c r="M17" s="201"/>
      <c r="N17" s="201"/>
      <c r="O17" s="201"/>
      <c r="P17" s="201"/>
      <c r="Q17" s="201"/>
    </row>
    <row r="18" spans="1:17" ht="15.75" customHeight="1" x14ac:dyDescent="0.35">
      <c r="A18" s="10"/>
      <c r="B18" s="27" t="s">
        <v>103</v>
      </c>
      <c r="C18" s="197">
        <v>0</v>
      </c>
      <c r="D18" s="59"/>
      <c r="E18" s="308" t="s">
        <v>374</v>
      </c>
      <c r="F18" s="59"/>
      <c r="G18" s="202"/>
      <c r="H18" s="202"/>
      <c r="I18" s="202"/>
      <c r="J18" s="202"/>
      <c r="K18" s="202"/>
      <c r="L18" s="202"/>
      <c r="M18" s="202"/>
      <c r="N18" s="202"/>
      <c r="O18" s="202"/>
      <c r="P18" s="202"/>
      <c r="Q18" s="202"/>
    </row>
    <row r="19" spans="1:17" ht="15.75" customHeight="1" x14ac:dyDescent="0.35">
      <c r="A19" s="10"/>
      <c r="B19" s="31" t="s">
        <v>70</v>
      </c>
      <c r="C19" s="187">
        <f>C16+C17</f>
        <v>2540.6221871727971</v>
      </c>
      <c r="D19" s="27"/>
      <c r="E19" s="306"/>
      <c r="F19" s="27"/>
      <c r="G19" s="189">
        <f>IF(G$4="","",G16+G17)</f>
        <v>2807.968614974819</v>
      </c>
      <c r="H19" s="189">
        <f t="shared" ref="H19:Q19" si="9">IF(H$4="","",H16+H17)</f>
        <v>4524.4677853273579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6"/>
      <c r="F22" s="27"/>
      <c r="G22" s="12"/>
      <c r="H22" s="12"/>
      <c r="I22" s="12"/>
      <c r="J22" s="12"/>
      <c r="K22" s="12"/>
      <c r="L22" s="12"/>
      <c r="M22" s="12"/>
      <c r="N22" s="12"/>
      <c r="O22" s="12"/>
      <c r="P22" s="12"/>
      <c r="Q22" s="12"/>
    </row>
    <row r="23" spans="1:17" ht="15.75" customHeight="1" x14ac:dyDescent="0.35">
      <c r="A23" s="10"/>
      <c r="B23" s="27" t="s">
        <v>46</v>
      </c>
      <c r="C23" s="203">
        <f>-C4*C28</f>
        <v>-5066.6797407625618</v>
      </c>
      <c r="D23" s="59"/>
      <c r="E23" s="308"/>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66</v>
      </c>
      <c r="C24" s="197">
        <f>-C4*C29</f>
        <v>0</v>
      </c>
      <c r="D24" s="27"/>
      <c r="E24" s="306"/>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49</v>
      </c>
      <c r="C25" s="187">
        <f>C23+C24</f>
        <v>-5066.6797407625618</v>
      </c>
      <c r="D25" s="9"/>
      <c r="E25" s="314"/>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211</v>
      </c>
      <c r="E27" s="309"/>
    </row>
    <row r="28" spans="1:17" ht="15.75" customHeight="1" x14ac:dyDescent="0.35">
      <c r="A28" s="10"/>
      <c r="B28" s="26" t="s">
        <v>46</v>
      </c>
      <c r="C28" s="64">
        <f>AVERAGE(G28:H28)</f>
        <v>0.57805815639048053</v>
      </c>
      <c r="D28" s="26"/>
      <c r="E28" s="307" t="s">
        <v>375</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7" t="s">
        <v>375</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09"/>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48</v>
      </c>
      <c r="E32" s="309"/>
    </row>
    <row r="33" spans="1:17" ht="15.75" customHeight="1" x14ac:dyDescent="0.35">
      <c r="A33" s="10"/>
      <c r="B33" s="8" t="s">
        <v>179</v>
      </c>
      <c r="C33" s="204">
        <f>AVERAGE(G33:H33)</f>
        <v>-1106.5</v>
      </c>
      <c r="E33" s="307" t="s">
        <v>375</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52</v>
      </c>
      <c r="C34" s="204">
        <f>AVERAGE(G34:J34)</f>
        <v>0</v>
      </c>
      <c r="D34" s="59"/>
      <c r="E34" s="307" t="s">
        <v>375</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48</v>
      </c>
      <c r="C35" s="187">
        <f>C33+C34</f>
        <v>-1106.5</v>
      </c>
      <c r="D35" s="59"/>
      <c r="E35" s="308"/>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212</v>
      </c>
      <c r="E37" s="309"/>
    </row>
    <row r="38" spans="1:17" ht="15.75" customHeight="1" x14ac:dyDescent="0.35">
      <c r="A38" s="10"/>
      <c r="B38" s="2" t="str">
        <f>B33</f>
        <v>G&amp;A and other Opex</v>
      </c>
      <c r="C38" s="23">
        <f>ABS(C33/$C$4)</f>
        <v>0.1262407301768397</v>
      </c>
      <c r="D38" s="27"/>
      <c r="E38" s="306"/>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09"/>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213</v>
      </c>
      <c r="E42" s="309"/>
    </row>
    <row r="43" spans="1:17" ht="15.75" customHeight="1" x14ac:dyDescent="0.35">
      <c r="A43" s="10"/>
      <c r="B43" s="27" t="s">
        <v>176</v>
      </c>
      <c r="C43" s="303">
        <v>0.24</v>
      </c>
      <c r="D43" s="27"/>
      <c r="E43" s="306" t="s">
        <v>376</v>
      </c>
      <c r="F43" s="27"/>
      <c r="G43" s="6">
        <f t="shared" ref="G43:Q43" si="18">IF(G$4="","",-G14/SUM(G8+G11,G12))</f>
        <v>0.16038474464748129</v>
      </c>
      <c r="H43" s="6">
        <f t="shared" si="18"/>
        <v>0.16161958688679046</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09"/>
    </row>
    <row r="47" spans="1:17" ht="15.75" customHeight="1" x14ac:dyDescent="0.35">
      <c r="A47" s="10"/>
      <c r="B47" s="2" t="s">
        <v>40</v>
      </c>
      <c r="C47" s="197">
        <f>-BS!G31*Normalized_FCF!C54</f>
        <v>-43</v>
      </c>
      <c r="E47" s="309"/>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390</v>
      </c>
      <c r="C48" s="197">
        <f>BS!D75*C53</f>
        <v>185.19539222287685</v>
      </c>
      <c r="E48" s="309"/>
      <c r="G48" s="336">
        <f>IF(G$4="","",($C$48/$C$49)*G49)</f>
        <v>302.96861497481899</v>
      </c>
      <c r="H48" s="336">
        <f t="shared" ref="H48:Q48" si="19">IF(H$4="","",($C$48/$C$49)*H49)</f>
        <v>180.07798132735766</v>
      </c>
      <c r="I48" s="336" t="str">
        <f t="shared" si="19"/>
        <v/>
      </c>
      <c r="J48" s="336" t="str">
        <f t="shared" si="19"/>
        <v/>
      </c>
      <c r="K48" s="336" t="str">
        <f t="shared" si="19"/>
        <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385</v>
      </c>
      <c r="C49" s="332">
        <f>BS!$C$66*C53</f>
        <v>1430.37</v>
      </c>
      <c r="D49" s="333"/>
      <c r="E49" s="334"/>
      <c r="F49" s="333"/>
      <c r="G49" s="332">
        <f>Data!C52</f>
        <v>2340</v>
      </c>
      <c r="H49" s="332">
        <f>Data!D52</f>
        <v>1390.845307</v>
      </c>
      <c r="I49" s="332" t="str">
        <f>Data!E52</f>
        <v/>
      </c>
      <c r="J49" s="332" t="str">
        <f>Data!F52</f>
        <v/>
      </c>
      <c r="K49" s="332" t="str">
        <f>Data!G52</f>
        <v/>
      </c>
      <c r="L49" s="332" t="str">
        <f>Data!H52</f>
        <v/>
      </c>
      <c r="M49" s="332" t="str">
        <f>Data!I52</f>
        <v/>
      </c>
      <c r="N49" s="332" t="str">
        <f>Data!J52</f>
        <v/>
      </c>
      <c r="O49" s="332" t="str">
        <f>Data!K52</f>
        <v/>
      </c>
      <c r="P49" s="332" t="str">
        <f>Data!L52</f>
        <v/>
      </c>
      <c r="Q49" s="332" t="str">
        <f>Data!M52</f>
        <v/>
      </c>
    </row>
    <row r="50" spans="1:17" ht="15.75" customHeight="1" x14ac:dyDescent="0.35">
      <c r="A50" s="10"/>
      <c r="B50" s="71" t="s">
        <v>72</v>
      </c>
      <c r="C50" s="187">
        <f>C47+C48</f>
        <v>142.19539222287685</v>
      </c>
      <c r="E50" s="309"/>
      <c r="G50" s="187">
        <f>IF(G$4="","",(G47+G48))</f>
        <v>259.96861497481899</v>
      </c>
      <c r="H50" s="187">
        <f t="shared" ref="H50:Q50" si="20">IF(H$4="","",(H47+H48))</f>
        <v>139.30261332735768</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160</v>
      </c>
      <c r="E52" s="309"/>
      <c r="G52" s="100" t="s">
        <v>224</v>
      </c>
    </row>
    <row r="53" spans="1:17" ht="15.75" customHeight="1" x14ac:dyDescent="0.35">
      <c r="A53" s="10"/>
      <c r="B53" s="8" t="s">
        <v>93</v>
      </c>
      <c r="C53" s="89">
        <v>0.03</v>
      </c>
      <c r="E53" s="306" t="s">
        <v>377</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92</v>
      </c>
      <c r="C54" s="84">
        <f>G54</f>
        <v>1.3902360168121564E-2</v>
      </c>
      <c r="E54" s="306" t="s">
        <v>378</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95</v>
      </c>
      <c r="C55" s="42">
        <f>-C8/C47</f>
        <v>60.274889749707867</v>
      </c>
      <c r="E55" s="309"/>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173</v>
      </c>
      <c r="E57" s="309"/>
      <c r="G57" s="100" t="s">
        <v>224</v>
      </c>
    </row>
    <row r="58" spans="1:17" ht="15.75" customHeight="1" x14ac:dyDescent="0.35">
      <c r="A58" s="10"/>
      <c r="B58" s="40" t="s">
        <v>172</v>
      </c>
      <c r="C58" s="197">
        <f>BS!$C79*C66</f>
        <v>0</v>
      </c>
      <c r="E58" s="309"/>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164</v>
      </c>
      <c r="C59" s="197">
        <f>BS!$C68*C67</f>
        <v>639</v>
      </c>
      <c r="E59" s="309"/>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163</v>
      </c>
      <c r="C60" s="197">
        <f>BS!$C81*C68</f>
        <v>0</v>
      </c>
      <c r="E60" s="309"/>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199</v>
      </c>
      <c r="C61" s="187">
        <f>SUM(C58:C60)</f>
        <v>639</v>
      </c>
      <c r="E61" s="309"/>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165</v>
      </c>
      <c r="C62" s="304">
        <v>0</v>
      </c>
      <c r="E62" s="307" t="s">
        <v>379</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200</v>
      </c>
      <c r="C63" s="187">
        <f>C61+C62</f>
        <v>639</v>
      </c>
      <c r="E63" s="309"/>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174</v>
      </c>
      <c r="E65" s="309"/>
      <c r="G65" s="100" t="s">
        <v>224</v>
      </c>
    </row>
    <row r="66" spans="1:17" ht="15.75" customHeight="1" x14ac:dyDescent="0.35">
      <c r="A66" s="10"/>
      <c r="B66" s="40" t="s">
        <v>172</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162</v>
      </c>
      <c r="C67" s="180">
        <f>G67</f>
        <v>2.6966576637407157E-2</v>
      </c>
      <c r="E67" s="309"/>
      <c r="G67" s="23">
        <f>IFERROR(G59/BS!$C$68,0)</f>
        <v>2.6966576637407157E-2</v>
      </c>
      <c r="H67" s="179"/>
      <c r="I67" s="179"/>
      <c r="J67" s="179"/>
      <c r="K67" s="179"/>
      <c r="L67" s="179"/>
      <c r="M67" s="179"/>
      <c r="N67" s="179"/>
      <c r="O67" s="179"/>
      <c r="P67" s="179"/>
      <c r="Q67" s="179"/>
    </row>
    <row r="68" spans="1:17" ht="15.75" customHeight="1" x14ac:dyDescent="0.35">
      <c r="A68" s="10"/>
      <c r="B68" s="108" t="s">
        <v>163</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199</v>
      </c>
      <c r="C69" s="72">
        <f>C61/BS!C70</f>
        <v>8.7649511686601553E-3</v>
      </c>
      <c r="D69" s="9"/>
      <c r="E69" s="314"/>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6"/>
      <c r="F72" s="27"/>
      <c r="G72" s="100"/>
      <c r="H72" s="12"/>
      <c r="I72" s="12"/>
      <c r="J72" s="12"/>
      <c r="K72" s="12"/>
      <c r="L72" s="12"/>
      <c r="M72" s="12"/>
      <c r="N72" s="12"/>
      <c r="O72" s="12"/>
      <c r="P72" s="12"/>
      <c r="Q72" s="12"/>
    </row>
    <row r="73" spans="1:17" ht="15.75" customHeight="1" x14ac:dyDescent="0.35">
      <c r="A73" s="10"/>
      <c r="B73" s="2" t="s">
        <v>49</v>
      </c>
      <c r="C73" s="79">
        <f>ABS(C5/C$4)</f>
        <v>0.57805815639048053</v>
      </c>
      <c r="D73" s="27"/>
      <c r="E73" s="306"/>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0.42194184360951947</v>
      </c>
      <c r="D74" s="27"/>
      <c r="E74" s="306"/>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0.1262407301768397</v>
      </c>
      <c r="D75" s="27"/>
      <c r="E75" s="306"/>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0.2957011134326798</v>
      </c>
      <c r="D76" s="27"/>
      <c r="E76" s="306"/>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1.8254420992584137E-2</v>
      </c>
      <c r="D77" s="27"/>
      <c r="E77" s="306"/>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1.8254420992584137E-2</v>
      </c>
      <c r="D78" s="27"/>
      <c r="E78" s="307" t="s">
        <v>380</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7.2903593839132919E-2</v>
      </c>
      <c r="D79" s="27"/>
      <c r="E79" s="306"/>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1.6223090955262618E-2</v>
      </c>
      <c r="D80" s="27"/>
      <c r="E80" s="306"/>
      <c r="F80" s="27"/>
      <c r="G80" s="6">
        <f t="shared" ref="G80:Q80" si="31">IF(G$4="","",ABS(G12/G$4))</f>
        <v>2.9659853391308499E-2</v>
      </c>
      <c r="H80" s="6">
        <f t="shared" si="31"/>
        <v>1.1724822264738463E-2</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0.3848277982270753</v>
      </c>
      <c r="D81" s="27"/>
      <c r="E81" s="306"/>
      <c r="F81" s="27"/>
      <c r="G81" s="66">
        <f t="shared" ref="G81:Q81" si="32">IF(G$4="","",G13/G$4)</f>
        <v>0.37957428579290575</v>
      </c>
      <c r="H81" s="66">
        <f t="shared" si="32"/>
        <v>0.4558793547115022</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9.2358671574498064E-2</v>
      </c>
      <c r="D82" s="27"/>
      <c r="E82" s="306"/>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2.6092079791263361E-3</v>
      </c>
      <c r="D83" s="27"/>
      <c r="E83" s="306"/>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0.2898599186734509</v>
      </c>
      <c r="D84" s="27"/>
      <c r="E84" s="306"/>
      <c r="F84" s="27"/>
      <c r="G84" s="66">
        <f t="shared" ref="G84:Q84" si="35">IF(G$4="","",ABS(G16/G$4))</f>
        <v>0.32036150769821098</v>
      </c>
      <c r="H84" s="66">
        <f t="shared" si="35"/>
        <v>0.38081540150890986</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103</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145</v>
      </c>
      <c r="C87" s="80">
        <f>ABS(C19/C$4)</f>
        <v>0.2898599186734509</v>
      </c>
      <c r="D87" s="77"/>
      <c r="E87" s="306"/>
      <c r="F87" s="77"/>
      <c r="G87" s="66">
        <f t="shared" ref="G87:Q87" si="36">IF(G$4="","",ABS(G19/G$4))</f>
        <v>0.32036150769821098</v>
      </c>
      <c r="H87" s="66">
        <f t="shared" si="36"/>
        <v>0.38081540150890986</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219</v>
      </c>
      <c r="E89" s="309"/>
    </row>
    <row r="90" spans="1:17" ht="15.75" customHeight="1" x14ac:dyDescent="0.35">
      <c r="A90" s="10"/>
      <c r="B90" s="2" t="str">
        <f>"Dividend per share ("&amp;Market_currency&amp;")"</f>
        <v>Dividend per share (HKD)</v>
      </c>
      <c r="C90" s="117">
        <f>G90</f>
        <v>0.57999999999999996</v>
      </c>
      <c r="E90" s="309"/>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9"/>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1.8655628478763795</v>
      </c>
      <c r="E92" s="309"/>
      <c r="G92" s="174">
        <f t="shared" ref="G92:Q92" si="38">IF(G$4="","",G90/(G19*$C$3/Common_Shares))</f>
        <v>1.6879427845465798</v>
      </c>
      <c r="H92" s="174">
        <f t="shared" si="38"/>
        <v>1.0475685954159291</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341</v>
      </c>
      <c r="C93" s="23">
        <f>C90/Market_Price</f>
        <v>7.3417721518987331E-2</v>
      </c>
      <c r="E93" s="309"/>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89</v>
      </c>
      <c r="C95" s="63"/>
      <c r="D95" s="27"/>
      <c r="E95" s="306"/>
      <c r="F95" s="27"/>
      <c r="G95" s="12"/>
      <c r="H95" s="12"/>
      <c r="I95" s="12"/>
      <c r="J95" s="12"/>
      <c r="K95" s="12"/>
      <c r="L95" s="12"/>
      <c r="M95" s="12"/>
      <c r="N95" s="12"/>
      <c r="O95" s="12"/>
      <c r="P95" s="12"/>
      <c r="Q95" s="12"/>
    </row>
    <row r="96" spans="1:17" ht="15.75" customHeight="1" x14ac:dyDescent="0.35">
      <c r="A96" s="10"/>
      <c r="B96" s="27" t="s">
        <v>149</v>
      </c>
      <c r="C96" s="79">
        <f>C4/G4-1</f>
        <v>0</v>
      </c>
      <c r="D96" s="27"/>
      <c r="E96" s="306"/>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1.3840538284081383E-2</v>
      </c>
      <c r="D97" s="27"/>
      <c r="E97" s="306"/>
      <c r="F97" s="27"/>
      <c r="G97" s="6">
        <f t="shared" ref="G97:Q97" si="41">IF(H5="","",G13/H13-1)</f>
        <v>-0.38574912583568022</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09"/>
      <c r="G100" s="100" t="s">
        <v>224</v>
      </c>
    </row>
    <row r="101" spans="1:17" ht="15.75" customHeight="1" x14ac:dyDescent="0.35">
      <c r="A101" s="10"/>
      <c r="B101" s="26" t="s">
        <v>4</v>
      </c>
      <c r="C101" s="205">
        <f>BS!G32</f>
        <v>180996</v>
      </c>
      <c r="D101" s="26"/>
      <c r="E101" s="310"/>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215</v>
      </c>
      <c r="C102" s="206">
        <f>BS!C4</f>
        <v>8029</v>
      </c>
      <c r="D102" s="91"/>
      <c r="E102" s="311"/>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216</v>
      </c>
      <c r="C103" s="206">
        <f>BS!C6+BS!C7</f>
        <v>15310</v>
      </c>
      <c r="D103" s="91"/>
      <c r="E103" s="311"/>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41</v>
      </c>
      <c r="C104" s="205">
        <f>BS!G30</f>
        <v>13889</v>
      </c>
      <c r="D104" s="26"/>
      <c r="E104" s="310"/>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31</v>
      </c>
      <c r="C105" s="205">
        <f>BS!G27</f>
        <v>167107</v>
      </c>
      <c r="D105" s="26"/>
      <c r="E105" s="310"/>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225</v>
      </c>
      <c r="C107" s="26"/>
      <c r="D107" s="26"/>
      <c r="E107" s="310"/>
      <c r="F107" s="26"/>
      <c r="G107" s="100" t="s">
        <v>224</v>
      </c>
      <c r="H107" s="12"/>
      <c r="I107" s="12"/>
      <c r="J107" s="12"/>
      <c r="K107" s="12"/>
      <c r="L107" s="12"/>
      <c r="M107" s="12"/>
      <c r="N107" s="12"/>
      <c r="O107" s="12"/>
      <c r="P107" s="12"/>
      <c r="Q107" s="12"/>
    </row>
    <row r="108" spans="1:17" ht="15.75" customHeight="1" x14ac:dyDescent="0.35">
      <c r="A108" s="10"/>
      <c r="B108" s="26" t="s">
        <v>222</v>
      </c>
      <c r="C108" s="97">
        <f>C102/C$4</f>
        <v>0.91602966343411296</v>
      </c>
      <c r="D108" s="26"/>
      <c r="E108" s="310"/>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1.7467199087278951</v>
      </c>
      <c r="D109" s="26"/>
      <c r="E109" s="310"/>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8.343867655447804</v>
      </c>
      <c r="D110" s="26"/>
      <c r="E110" s="310"/>
      <c r="F110" s="26"/>
      <c r="G110" s="97">
        <f>BS!$G$38/G$4</f>
        <v>8.343867655447804</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39</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0.3848277982270753</v>
      </c>
      <c r="E113" s="309"/>
      <c r="G113" s="23">
        <f t="shared" ref="G113:Q113" si="45">G81</f>
        <v>0.37957428579290575</v>
      </c>
      <c r="H113" s="23">
        <f t="shared" si="45"/>
        <v>0.4558793547115022</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4.8426484563194767E-2</v>
      </c>
      <c r="E114" s="309"/>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1.0831144117242246</v>
      </c>
      <c r="D115" s="11"/>
      <c r="E115" s="313"/>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1.5509944282629921E-2</v>
      </c>
      <c r="D116" s="106"/>
      <c r="E116" s="312"/>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2" t="s">
        <v>175</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0.31089812956997381</v>
      </c>
      <c r="D120" s="27"/>
      <c r="E120" s="306"/>
      <c r="F120" s="27"/>
      <c r="G120" s="181">
        <f t="shared" ref="G120:Q120" si="49">IF(G$4="","",G16*$C$3/Common_Shares*Exchange_Rate)</f>
        <v>0.34361354265677985</v>
      </c>
      <c r="H120" s="181">
        <f t="shared" si="49"/>
        <v>0.55366302745045104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283</v>
      </c>
      <c r="C121" s="79">
        <f>C19*Exchange_Rate*$C$3/(Market_Price*Common_Shares)</f>
        <v>3.9354193616452378E-2</v>
      </c>
      <c r="D121" s="27"/>
      <c r="E121" s="306"/>
      <c r="F121" s="27"/>
      <c r="G121" s="79">
        <f t="shared" ref="G121" si="50">IF(G$4="","",G120/Market_Price)</f>
        <v>4.3495385146427826E-2</v>
      </c>
      <c r="H121" s="79">
        <f t="shared" ref="H121" si="51">IF(H$4="","",H120/Market_Price)</f>
        <v>7.0083927525373541E-2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2540.6221871727971</v>
      </c>
      <c r="D4" t="str">
        <f>Reporting_currency</f>
        <v>HKD</v>
      </c>
      <c r="E4" s="103" t="s">
        <v>257</v>
      </c>
      <c r="F4" s="138">
        <f>Thesis!C75</f>
        <v>0</v>
      </c>
      <c r="H4" s="124"/>
    </row>
    <row r="5" spans="2:8" x14ac:dyDescent="0.35">
      <c r="B5" s="233" t="s">
        <v>128</v>
      </c>
      <c r="C5" s="234">
        <f>Thesis!C70</f>
        <v>0.09</v>
      </c>
      <c r="E5" s="152"/>
      <c r="H5" s="124"/>
    </row>
    <row r="6" spans="2:8" ht="13.15" customHeight="1" x14ac:dyDescent="0.4">
      <c r="B6" s="153" t="s">
        <v>233</v>
      </c>
      <c r="C6" s="238">
        <f>(C4*(1+Terminal_Growth))/(Equity_Cost-Terminal_Growth)</f>
        <v>28229.135413031079</v>
      </c>
      <c r="D6" t="str">
        <f>Reporting_currency</f>
        <v>HKD</v>
      </c>
      <c r="E6" s="344" t="s">
        <v>256</v>
      </c>
      <c r="F6" s="344"/>
      <c r="H6" s="124"/>
    </row>
    <row r="7" spans="2:8" x14ac:dyDescent="0.35">
      <c r="B7" s="152" t="s">
        <v>229</v>
      </c>
      <c r="C7" s="232">
        <f>BS!G31</f>
        <v>3093</v>
      </c>
      <c r="D7" t="str">
        <f>Reporting_currency</f>
        <v>HKD</v>
      </c>
      <c r="E7" s="344"/>
      <c r="F7" s="344"/>
      <c r="H7" s="124"/>
    </row>
    <row r="8" spans="2:8" x14ac:dyDescent="0.35">
      <c r="B8" s="152" t="s">
        <v>230</v>
      </c>
      <c r="C8" s="207">
        <f>BS!D66</f>
        <v>41505.820259237436</v>
      </c>
      <c r="D8" t="str">
        <f>Reporting_currency</f>
        <v>HKD</v>
      </c>
      <c r="E8" s="344"/>
      <c r="F8" s="344"/>
      <c r="H8" s="124"/>
    </row>
    <row r="9" spans="2:8" x14ac:dyDescent="0.35">
      <c r="B9" s="233" t="s">
        <v>195</v>
      </c>
      <c r="C9" s="235">
        <f>BS!H42</f>
        <v>7814.4</v>
      </c>
      <c r="D9" t="str">
        <f>Reporting_currency</f>
        <v>HKD</v>
      </c>
      <c r="E9" s="344"/>
      <c r="F9" s="344"/>
      <c r="H9" s="124"/>
    </row>
    <row r="10" spans="2:8" ht="13.15" x14ac:dyDescent="0.4">
      <c r="B10" s="153" t="s">
        <v>232</v>
      </c>
      <c r="C10" s="238">
        <f>C6-C7+C8+C9</f>
        <v>74456.355672268517</v>
      </c>
      <c r="D10" t="str">
        <f>Reporting_currency</f>
        <v>HKD</v>
      </c>
      <c r="H10" s="124"/>
    </row>
    <row r="11" spans="2:8" ht="13.15" thickBot="1" x14ac:dyDescent="0.4">
      <c r="B11" s="236" t="s">
        <v>171</v>
      </c>
      <c r="C11" s="237">
        <f>Exchange_Rate</f>
        <v>1</v>
      </c>
      <c r="D11" t="str">
        <f>Thesis!D17</f>
        <v>HKD</v>
      </c>
      <c r="H11" s="124"/>
    </row>
    <row r="12" spans="2:8" ht="13.5" thickTop="1" x14ac:dyDescent="0.4">
      <c r="B12" s="153" t="s">
        <v>107</v>
      </c>
      <c r="C12" s="115">
        <f>(C10*C3)/Common_Shares*C11</f>
        <v>9.111288498532895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5">
        <f>Scenarios!C65</f>
        <v>-7.3000000000000001E-3</v>
      </c>
      <c r="H16" s="124"/>
    </row>
    <row r="17" spans="2:8" ht="13.25" customHeight="1" x14ac:dyDescent="0.35">
      <c r="B17" s="122" t="s">
        <v>139</v>
      </c>
      <c r="C17" s="166">
        <f>Scenarios!C64</f>
        <v>10</v>
      </c>
      <c r="H17" s="124"/>
    </row>
    <row r="18" spans="2:8" ht="13.25" customHeight="1" x14ac:dyDescent="0.4">
      <c r="B18" s="157" t="s">
        <v>111</v>
      </c>
      <c r="C18" s="144">
        <f>(F52-C7+C8+C9)*Exchange_Rate/Common_Shares*C3</f>
        <v>9.0321281164495559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105</v>
      </c>
      <c r="F52" s="141">
        <f>SUM(F21:F51)</f>
        <v>27582.246274958168</v>
      </c>
      <c r="H52" s="124"/>
    </row>
    <row r="53" spans="1:8" x14ac:dyDescent="0.35">
      <c r="C53" s="118"/>
      <c r="H53" s="124"/>
    </row>
    <row r="54" spans="1:8" ht="13.15" x14ac:dyDescent="0.35">
      <c r="B54" s="123" t="s">
        <v>134</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5" t="s">
        <v>122</v>
      </c>
      <c r="C73" s="175" t="s">
        <v>137</v>
      </c>
      <c r="D73" s="175" t="s">
        <v>117</v>
      </c>
      <c r="E73" s="176" t="s">
        <v>118</v>
      </c>
      <c r="F73" s="176" t="s">
        <v>124</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59"/>
      <c r="C79" s="159"/>
      <c r="D79" s="159"/>
      <c r="E79" s="159"/>
      <c r="F79" s="160"/>
    </row>
    <row r="80" spans="1:8" x14ac:dyDescent="0.35">
      <c r="B80" s="159" t="s">
        <v>342</v>
      </c>
      <c r="C80" s="159" t="s">
        <v>110</v>
      </c>
    </row>
    <row r="81" spans="3:3" x14ac:dyDescent="0.35">
      <c r="C81" s="159" t="s">
        <v>109</v>
      </c>
    </row>
    <row r="82" spans="3:3" x14ac:dyDescent="0.35">
      <c r="C82" s="159"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F83" sqref="F83"/>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3" t="s">
        <v>324</v>
      </c>
      <c r="I2" s="284"/>
    </row>
    <row r="3" spans="2:9" ht="13.15" x14ac:dyDescent="0.4">
      <c r="B3" s="163" t="s">
        <v>153</v>
      </c>
      <c r="H3" s="282">
        <v>0</v>
      </c>
      <c r="I3" s="270">
        <f>-Market_Price</f>
        <v>-7.9</v>
      </c>
    </row>
    <row r="4" spans="2:9" x14ac:dyDescent="0.35">
      <c r="B4" s="156" t="s">
        <v>151</v>
      </c>
      <c r="C4" s="124">
        <v>3</v>
      </c>
      <c r="D4" s="124"/>
      <c r="E4" s="159" t="s">
        <v>155</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100</v>
      </c>
      <c r="C6" s="110">
        <f>Valuation_Model!C3</f>
        <v>1000000</v>
      </c>
      <c r="E6" s="103" t="s">
        <v>298</v>
      </c>
      <c r="F6" s="103"/>
      <c r="H6" s="282">
        <v>3</v>
      </c>
      <c r="I6" s="270">
        <f t="shared" si="0"/>
        <v>9.6147055134616366</v>
      </c>
    </row>
    <row r="7" spans="2:9" ht="12.75" customHeight="1" x14ac:dyDescent="0.35">
      <c r="B7" s="103" t="s">
        <v>292</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70</v>
      </c>
      <c r="C8" s="118">
        <f>Normalized_FCF!G19</f>
        <v>2807.968614974819</v>
      </c>
      <c r="D8" t="str">
        <f>Reporting_currency</f>
        <v>HKD</v>
      </c>
      <c r="E8" s="346"/>
      <c r="F8" s="346"/>
      <c r="H8" s="282">
        <v>5</v>
      </c>
      <c r="I8" s="270" t="str">
        <f t="shared" si="0"/>
        <v/>
      </c>
    </row>
    <row r="9" spans="2:9" x14ac:dyDescent="0.35">
      <c r="B9" s="103" t="s">
        <v>61</v>
      </c>
      <c r="C9" s="207">
        <f>Normalized_FCF!C19</f>
        <v>2540.6221871727971</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295</v>
      </c>
      <c r="E11" s="346"/>
      <c r="F11" s="346"/>
      <c r="H11" s="282">
        <v>8</v>
      </c>
      <c r="I11" s="270" t="str">
        <f t="shared" si="0"/>
        <v/>
      </c>
    </row>
    <row r="12" spans="2:9" x14ac:dyDescent="0.35">
      <c r="B12" s="122" t="s">
        <v>149</v>
      </c>
      <c r="C12" s="162" t="e">
        <f ca="1">(Normalized_FCF!G4/OFFSET(Normalized_FCF!G4, 0, $C$4))^(1/$C$4) - 1</f>
        <v>#VALUE!</v>
      </c>
      <c r="D12" s="162"/>
      <c r="E12" s="346"/>
      <c r="F12" s="346"/>
      <c r="H12" s="282">
        <v>9</v>
      </c>
      <c r="I12" s="270" t="str">
        <f t="shared" si="0"/>
        <v/>
      </c>
    </row>
    <row r="13" spans="2:9" x14ac:dyDescent="0.35">
      <c r="B13" s="152" t="s">
        <v>157</v>
      </c>
      <c r="C13" s="162" t="e">
        <f ca="1">(Normalized_FCF!G8/OFFSET(Normalized_FCF!G8, 0, $C$4))^(1/$C$4) - 1</f>
        <v>#VALUE!</v>
      </c>
      <c r="E13" s="346"/>
      <c r="F13" s="346"/>
      <c r="H13" s="282">
        <v>10</v>
      </c>
      <c r="I13" s="270" t="str">
        <f t="shared" si="0"/>
        <v/>
      </c>
    </row>
    <row r="14" spans="2:9" x14ac:dyDescent="0.35">
      <c r="B14" s="103" t="s">
        <v>70</v>
      </c>
      <c r="C14" s="162" t="e">
        <f ca="1">(Normalized_FCF!G19/OFFSET(Normalized_FCF!G19, 0, $C$4))^(1/$C$4) - 1</f>
        <v>#VALUE!</v>
      </c>
      <c r="E14" s="346"/>
      <c r="F14" s="346"/>
    </row>
    <row r="16" spans="2:9" ht="13.9" x14ac:dyDescent="0.45">
      <c r="B16" s="36" t="s">
        <v>167</v>
      </c>
      <c r="C16" s="37"/>
      <c r="D16" s="37"/>
      <c r="E16" s="37"/>
      <c r="F16" s="37"/>
    </row>
    <row r="17" spans="2:6" ht="13.15" x14ac:dyDescent="0.4">
      <c r="B17" s="112" t="s">
        <v>156</v>
      </c>
      <c r="E17" s="163" t="s">
        <v>367</v>
      </c>
    </row>
    <row r="18" spans="2:6" x14ac:dyDescent="0.35">
      <c r="B18" s="156" t="s">
        <v>138</v>
      </c>
      <c r="C18" s="154">
        <v>10</v>
      </c>
      <c r="E18" s="346" t="s">
        <v>368</v>
      </c>
      <c r="F18" s="347"/>
    </row>
    <row r="19" spans="2:6" x14ac:dyDescent="0.35">
      <c r="E19" s="347"/>
      <c r="F19" s="347"/>
    </row>
    <row r="20" spans="2:6" ht="13.15" x14ac:dyDescent="0.4">
      <c r="B20" s="163" t="s">
        <v>332</v>
      </c>
      <c r="E20" s="347"/>
      <c r="F20" s="347"/>
    </row>
    <row r="21" spans="2:6" x14ac:dyDescent="0.35">
      <c r="B21" s="103" t="s">
        <v>296</v>
      </c>
      <c r="C21" s="164">
        <f>Market_Price</f>
        <v>7.9</v>
      </c>
      <c r="D21" t="str">
        <f>Market_currency</f>
        <v>HKD</v>
      </c>
      <c r="E21" s="347"/>
      <c r="F21" s="347"/>
    </row>
    <row r="22" spans="2:6" x14ac:dyDescent="0.35">
      <c r="B22" s="103" t="s">
        <v>297</v>
      </c>
      <c r="C22" s="164">
        <f>Valuation_Model!C12</f>
        <v>9.111288498532895</v>
      </c>
      <c r="D22" t="str">
        <f>Market_currency</f>
        <v>HKD</v>
      </c>
      <c r="E22" s="347"/>
      <c r="F22" s="347"/>
    </row>
    <row r="24" spans="2:6" ht="13.15" x14ac:dyDescent="0.4">
      <c r="B24" s="163" t="s">
        <v>120</v>
      </c>
      <c r="E24" s="163" t="s">
        <v>154</v>
      </c>
      <c r="F24" s="163"/>
    </row>
    <row r="25" spans="2:6" x14ac:dyDescent="0.35">
      <c r="B25" s="156" t="s">
        <v>138</v>
      </c>
      <c r="C25" s="170">
        <f>C18</f>
        <v>10</v>
      </c>
      <c r="D25" s="167"/>
      <c r="E25" s="345"/>
      <c r="F25" s="345"/>
    </row>
    <row r="26" spans="2:6" x14ac:dyDescent="0.35">
      <c r="B26" s="122" t="s">
        <v>139</v>
      </c>
      <c r="C26" s="168">
        <v>0</v>
      </c>
      <c r="D26" s="168"/>
      <c r="E26" s="345"/>
      <c r="F26" s="345"/>
    </row>
    <row r="27" spans="2:6" x14ac:dyDescent="0.35">
      <c r="B27" s="103" t="s">
        <v>118</v>
      </c>
      <c r="C27" s="164">
        <f>Valuation_Model!E76</f>
        <v>9.1112884985328897</v>
      </c>
      <c r="D27" s="164" t="str">
        <f>Market_currency</f>
        <v>HKD</v>
      </c>
      <c r="E27" s="345"/>
      <c r="F27" s="345"/>
    </row>
    <row r="28" spans="2:6" x14ac:dyDescent="0.35">
      <c r="B28" s="103" t="s">
        <v>152</v>
      </c>
      <c r="C28" s="169">
        <v>0.55000000000000004</v>
      </c>
      <c r="D28" s="169"/>
      <c r="E28" s="345"/>
      <c r="F28" s="345"/>
    </row>
    <row r="30" spans="2:6" ht="13.15" x14ac:dyDescent="0.4">
      <c r="B30" s="163" t="s">
        <v>121</v>
      </c>
      <c r="E30" s="163" t="s">
        <v>154</v>
      </c>
      <c r="F30" s="163"/>
    </row>
    <row r="31" spans="2:6" x14ac:dyDescent="0.35">
      <c r="B31" s="156" t="s">
        <v>138</v>
      </c>
      <c r="C31" s="170">
        <f>C18</f>
        <v>10</v>
      </c>
      <c r="D31" s="167"/>
      <c r="E31" s="345"/>
      <c r="F31" s="345"/>
    </row>
    <row r="32" spans="2:6" x14ac:dyDescent="0.35">
      <c r="B32" s="122" t="s">
        <v>139</v>
      </c>
      <c r="C32" s="168">
        <v>-0.05</v>
      </c>
      <c r="D32" s="168"/>
      <c r="E32" s="345"/>
      <c r="F32" s="345"/>
    </row>
    <row r="33" spans="2:6" x14ac:dyDescent="0.35">
      <c r="B33" s="103" t="s">
        <v>118</v>
      </c>
      <c r="C33" s="164">
        <f>Valuation_Model!E77</f>
        <v>8.6191954792579697</v>
      </c>
      <c r="D33" t="str">
        <f>Market_currency</f>
        <v>HKD</v>
      </c>
      <c r="E33" s="345"/>
      <c r="F33" s="345"/>
    </row>
    <row r="34" spans="2:6" x14ac:dyDescent="0.35">
      <c r="B34" s="103" t="s">
        <v>152</v>
      </c>
      <c r="C34" s="169">
        <v>0.2</v>
      </c>
      <c r="D34" s="169"/>
      <c r="E34" s="345"/>
      <c r="F34" s="345"/>
    </row>
    <row r="36" spans="2:6" ht="13.15" x14ac:dyDescent="0.4">
      <c r="B36" s="163" t="s">
        <v>119</v>
      </c>
      <c r="E36" s="163" t="s">
        <v>154</v>
      </c>
      <c r="F36" s="163"/>
    </row>
    <row r="37" spans="2:6" x14ac:dyDescent="0.35">
      <c r="B37" s="156" t="s">
        <v>138</v>
      </c>
      <c r="C37" s="170">
        <f>C18</f>
        <v>10</v>
      </c>
      <c r="D37" s="167"/>
      <c r="E37" s="345"/>
      <c r="F37" s="345"/>
    </row>
    <row r="38" spans="2:6" x14ac:dyDescent="0.35">
      <c r="B38" s="122" t="s">
        <v>139</v>
      </c>
      <c r="C38" s="168">
        <v>0.02</v>
      </c>
      <c r="D38" s="168"/>
      <c r="E38" s="345"/>
      <c r="F38" s="345"/>
    </row>
    <row r="39" spans="2:6" x14ac:dyDescent="0.35">
      <c r="B39" s="103" t="s">
        <v>118</v>
      </c>
      <c r="C39" s="164">
        <f>Valuation_Model!E75</f>
        <v>9.3427745886766083</v>
      </c>
      <c r="D39" t="str">
        <f>Market_currency</f>
        <v>HKD</v>
      </c>
      <c r="E39" s="345"/>
      <c r="F39" s="345"/>
    </row>
    <row r="40" spans="2:6" x14ac:dyDescent="0.35">
      <c r="B40" s="103" t="s">
        <v>152</v>
      </c>
      <c r="C40" s="171">
        <f>1-C28-C34</f>
        <v>0.24999999999999994</v>
      </c>
      <c r="D40" s="169"/>
      <c r="E40" s="345"/>
      <c r="F40" s="345"/>
    </row>
    <row r="42" spans="2:6" ht="13.15" x14ac:dyDescent="0.4">
      <c r="B42" s="103" t="s">
        <v>125</v>
      </c>
      <c r="C42" s="158">
        <f>C27*C28+C33*C34+C39*C40</f>
        <v>9.070741417213835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3"/>
      <c r="E47" s="163"/>
      <c r="F47" s="163"/>
    </row>
    <row r="48" spans="2:6" ht="13.15" x14ac:dyDescent="0.4">
      <c r="B48" s="163" t="s">
        <v>170</v>
      </c>
      <c r="E48" s="163" t="s">
        <v>154</v>
      </c>
      <c r="F48" s="163"/>
    </row>
    <row r="49" spans="2:6" ht="12.75" customHeight="1" x14ac:dyDescent="0.35">
      <c r="B49" s="156" t="s">
        <v>138</v>
      </c>
      <c r="C49" s="170">
        <f>C46</f>
        <v>15</v>
      </c>
      <c r="D49" s="167"/>
      <c r="E49" s="345"/>
      <c r="F49" s="345"/>
    </row>
    <row r="50" spans="2:6" x14ac:dyDescent="0.35">
      <c r="B50" s="122" t="s">
        <v>139</v>
      </c>
      <c r="C50" s="168">
        <v>-0.2</v>
      </c>
      <c r="D50" s="168"/>
      <c r="E50" s="345"/>
      <c r="F50" s="345"/>
    </row>
    <row r="51" spans="2:6" x14ac:dyDescent="0.35">
      <c r="B51" s="103" t="s">
        <v>118</v>
      </c>
      <c r="C51" s="164">
        <f>Valuation_Model!E78</f>
        <v>7.2649269878396519</v>
      </c>
      <c r="D51" t="str">
        <f>Market_currency</f>
        <v>HKD</v>
      </c>
      <c r="E51" s="345"/>
      <c r="F51" s="345"/>
    </row>
    <row r="52" spans="2:6" x14ac:dyDescent="0.35">
      <c r="B52" s="103" t="s">
        <v>152</v>
      </c>
      <c r="C52" s="169">
        <v>0.05</v>
      </c>
      <c r="D52" s="169"/>
      <c r="E52" s="345"/>
      <c r="F52" s="345"/>
    </row>
    <row r="54" spans="2:6" ht="13.15" x14ac:dyDescent="0.4">
      <c r="B54" s="163" t="s">
        <v>350</v>
      </c>
      <c r="E54" s="163" t="s">
        <v>154</v>
      </c>
      <c r="F54" s="163"/>
    </row>
    <row r="55" spans="2:6" x14ac:dyDescent="0.35">
      <c r="B55" s="156" t="s">
        <v>138</v>
      </c>
      <c r="C55" s="170">
        <f>C46</f>
        <v>15</v>
      </c>
      <c r="D55" s="167"/>
      <c r="E55" s="345"/>
      <c r="F55" s="345"/>
    </row>
    <row r="56" spans="2:6" x14ac:dyDescent="0.35">
      <c r="B56" s="122" t="s">
        <v>139</v>
      </c>
      <c r="C56" s="168">
        <v>0.05</v>
      </c>
      <c r="D56" s="168"/>
      <c r="E56" s="345"/>
      <c r="F56" s="345"/>
    </row>
    <row r="57" spans="2:6" x14ac:dyDescent="0.35">
      <c r="B57" s="103" t="s">
        <v>118</v>
      </c>
      <c r="C57" s="164">
        <f>Valuation_Model!E74</f>
        <v>10.155837771544068</v>
      </c>
      <c r="D57" t="str">
        <f>Market_currency</f>
        <v>HKD</v>
      </c>
      <c r="E57" s="345"/>
      <c r="F57" s="345"/>
    </row>
    <row r="58" spans="2:6" x14ac:dyDescent="0.35">
      <c r="B58" s="103" t="s">
        <v>152</v>
      </c>
      <c r="C58" s="169">
        <v>0.05</v>
      </c>
      <c r="D58" s="169"/>
      <c r="E58" s="345"/>
      <c r="F58" s="345"/>
    </row>
    <row r="60" spans="2:6" ht="13.15" x14ac:dyDescent="0.4">
      <c r="B60" s="103" t="s">
        <v>125</v>
      </c>
      <c r="C60" s="158">
        <f>C51*C52+C57*C58+C42*(1-C52-C58)</f>
        <v>9.0347055134616365</v>
      </c>
      <c r="D60" t="str">
        <f>Market_currency</f>
        <v>HKD</v>
      </c>
      <c r="E60" s="103" t="s">
        <v>325</v>
      </c>
      <c r="F60" s="319">
        <f>Thesis!E20</f>
        <v>3</v>
      </c>
    </row>
    <row r="62" spans="2:6" ht="13.9" x14ac:dyDescent="0.45">
      <c r="B62" s="36" t="s">
        <v>311</v>
      </c>
      <c r="C62" s="37"/>
      <c r="D62" s="37"/>
      <c r="E62" s="37"/>
      <c r="F62" s="37"/>
    </row>
    <row r="63" spans="2:6" ht="13.15" x14ac:dyDescent="0.4">
      <c r="B63" s="112" t="s">
        <v>333</v>
      </c>
      <c r="E63" s="288" t="s">
        <v>343</v>
      </c>
    </row>
    <row r="64" spans="2:6" x14ac:dyDescent="0.35">
      <c r="B64" s="156" t="s">
        <v>138</v>
      </c>
      <c r="C64" s="170">
        <v>10</v>
      </c>
      <c r="D64" s="154"/>
      <c r="E64" s="287" t="s">
        <v>344</v>
      </c>
    </row>
    <row r="65" spans="2:6" x14ac:dyDescent="0.35">
      <c r="B65" s="122" t="s">
        <v>139</v>
      </c>
      <c r="C65" s="155">
        <v>-7.3000000000000001E-3</v>
      </c>
      <c r="D65" s="155"/>
      <c r="E65" s="287" t="s">
        <v>345</v>
      </c>
    </row>
    <row r="66" spans="2:6" x14ac:dyDescent="0.35">
      <c r="B66" s="103" t="s">
        <v>107</v>
      </c>
      <c r="C66" s="164">
        <f>Valuation_Model!C18</f>
        <v>9.0321281164495559</v>
      </c>
      <c r="D66" s="164" t="str">
        <f>Market_currency</f>
        <v>HKD</v>
      </c>
      <c r="E66" s="287" t="s">
        <v>346</v>
      </c>
    </row>
    <row r="68" spans="2:6" ht="13.15" x14ac:dyDescent="0.4">
      <c r="B68" s="112" t="s">
        <v>320</v>
      </c>
      <c r="E68" s="288" t="s">
        <v>347</v>
      </c>
    </row>
    <row r="69" spans="2:6" x14ac:dyDescent="0.35">
      <c r="B69" s="103" t="s">
        <v>334</v>
      </c>
      <c r="C69" s="279" t="str">
        <f>IF(C60&lt;C22,"Y","N")</f>
        <v>Y</v>
      </c>
      <c r="E69" s="138"/>
    </row>
    <row r="70" spans="2:6" x14ac:dyDescent="0.35">
      <c r="B70" s="103" t="s">
        <v>322</v>
      </c>
      <c r="C70" s="279" t="str">
        <f>IF(C69="Y","N",IF(C65&gt;8%,"N","Y"))</f>
        <v>N</v>
      </c>
      <c r="E70" s="287" t="s">
        <v>323</v>
      </c>
    </row>
    <row r="71" spans="2:6" x14ac:dyDescent="0.35">
      <c r="B71" s="103" t="s">
        <v>321</v>
      </c>
      <c r="C71" s="279" t="str">
        <f>IF(C65&gt;8%,"Y","N")</f>
        <v>N</v>
      </c>
      <c r="E71" s="287"/>
    </row>
    <row r="72" spans="2:6" x14ac:dyDescent="0.35">
      <c r="B72" s="103" t="s">
        <v>312</v>
      </c>
      <c r="C72" s="278" t="str">
        <f>IF(F72&gt;50%,"Y","N")</f>
        <v>Y</v>
      </c>
      <c r="E72" s="138" t="s">
        <v>391</v>
      </c>
      <c r="F72" s="337">
        <f>BS!D89/C60</f>
        <v>0.62612608991135499</v>
      </c>
    </row>
    <row r="74" spans="2:6" ht="13.9" x14ac:dyDescent="0.45">
      <c r="B74" s="36" t="s">
        <v>132</v>
      </c>
      <c r="C74" s="37"/>
      <c r="D74" s="37"/>
      <c r="E74" s="37"/>
      <c r="F74" s="37"/>
    </row>
    <row r="75" spans="2:6" ht="13.15" x14ac:dyDescent="0.4">
      <c r="B75" s="112" t="s">
        <v>130</v>
      </c>
    </row>
    <row r="76" spans="2:6" x14ac:dyDescent="0.35">
      <c r="B76" s="281" t="s">
        <v>326</v>
      </c>
      <c r="C76" s="280">
        <f>F60</f>
        <v>3</v>
      </c>
      <c r="D76" s="138"/>
    </row>
    <row r="77" spans="2:6" x14ac:dyDescent="0.35">
      <c r="B77" s="103" t="s">
        <v>116</v>
      </c>
      <c r="C77" s="177">
        <f>Normalized_FCF!C90</f>
        <v>0.57999999999999996</v>
      </c>
      <c r="D77" t="str">
        <f>Market_currency</f>
        <v>HKD</v>
      </c>
    </row>
    <row r="79" spans="2:6" ht="13.15" x14ac:dyDescent="0.4">
      <c r="B79" s="112" t="s">
        <v>330</v>
      </c>
    </row>
    <row r="80" spans="2:6" x14ac:dyDescent="0.35">
      <c r="B80" s="152" t="s">
        <v>328</v>
      </c>
      <c r="C80" s="171">
        <f>Thesis!C121</f>
        <v>0.2</v>
      </c>
    </row>
    <row r="81" spans="2:8" x14ac:dyDescent="0.35">
      <c r="B81" s="103" t="s">
        <v>126</v>
      </c>
      <c r="C81" s="120">
        <f>PV(C80, C76, -C77, 0)</f>
        <v>1.2217592592592592</v>
      </c>
      <c r="D81" s="120"/>
      <c r="E81" s="103"/>
      <c r="F81" s="103"/>
    </row>
    <row r="82" spans="2:8" x14ac:dyDescent="0.35">
      <c r="B82" s="103" t="s">
        <v>127</v>
      </c>
      <c r="C82" s="120">
        <f>C60/(1+C80)^C76</f>
        <v>5.2284175425125214</v>
      </c>
      <c r="D82" s="120"/>
    </row>
    <row r="83" spans="2:8" ht="13.15" x14ac:dyDescent="0.4">
      <c r="B83" s="114" t="s">
        <v>106</v>
      </c>
      <c r="C83" s="115">
        <f>C81+C82</f>
        <v>6.4501768017717804</v>
      </c>
      <c r="D83" t="str">
        <f>Market_currency</f>
        <v>HKD</v>
      </c>
      <c r="E83" s="150" t="s">
        <v>131</v>
      </c>
      <c r="F83" s="337">
        <f>(1-C83/C60)</f>
        <v>0.28606673541699057</v>
      </c>
    </row>
    <row r="84" spans="2:8" x14ac:dyDescent="0.35">
      <c r="E84" s="124"/>
    </row>
    <row r="85" spans="2:8" ht="13.15" x14ac:dyDescent="0.4">
      <c r="B85" s="112" t="s">
        <v>331</v>
      </c>
    </row>
    <row r="86" spans="2:8" x14ac:dyDescent="0.35">
      <c r="B86" s="152" t="s">
        <v>329</v>
      </c>
      <c r="C86" s="272">
        <f>Market_Price</f>
        <v>7.9</v>
      </c>
      <c r="D86" t="str">
        <f>Market_currency</f>
        <v>HKD</v>
      </c>
    </row>
    <row r="87" spans="2:8" ht="13.15" x14ac:dyDescent="0.4">
      <c r="B87" s="103" t="s">
        <v>327</v>
      </c>
      <c r="C87" s="271">
        <f ca="1">IRR(OFFSET($I$3, 0, 0, $C$76 + 1, 1))</f>
        <v>0.11614149089878545</v>
      </c>
    </row>
    <row r="88" spans="2:8" x14ac:dyDescent="0.35">
      <c r="B88" s="103"/>
    </row>
    <row r="89" spans="2:8" ht="14.65" x14ac:dyDescent="0.5">
      <c r="E89" s="328" t="s">
        <v>362</v>
      </c>
      <c r="F89" s="325"/>
      <c r="G89" s="2"/>
      <c r="H89" s="324"/>
    </row>
    <row r="90" spans="2:8" ht="13.9" x14ac:dyDescent="0.45">
      <c r="E90" s="321" t="s">
        <v>363</v>
      </c>
      <c r="F90" s="326" t="s">
        <v>364</v>
      </c>
      <c r="G90" s="2"/>
      <c r="H90" s="324"/>
    </row>
    <row r="91" spans="2:8" ht="13.9" x14ac:dyDescent="0.45">
      <c r="E91" s="322" t="s">
        <v>363</v>
      </c>
      <c r="F91" s="326" t="s">
        <v>365</v>
      </c>
      <c r="G91" s="2"/>
      <c r="H91" s="324"/>
    </row>
    <row r="92" spans="2:8" ht="13.9" x14ac:dyDescent="0.45">
      <c r="E92" s="323" t="s">
        <v>363</v>
      </c>
      <c r="F92" s="327" t="s">
        <v>366</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2025-03-25T08:18:27Z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