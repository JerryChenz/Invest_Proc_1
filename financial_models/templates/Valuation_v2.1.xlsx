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0DB699E-3C78-4980-8A81-E71F1E4C4C2A}" xr6:coauthVersionLast="47" xr6:coauthVersionMax="47" xr10:uidLastSave="{00000000-0000-0000-0000-000000000000}"/>
  <bookViews>
    <workbookView xWindow="-98" yWindow="-98" windowWidth="17115" windowHeight="10755"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C162" i="12"/>
  <c r="D158" i="12"/>
  <c r="C158" i="12"/>
  <c r="D157" i="12"/>
  <c r="D30" i="12" s="1"/>
  <c r="C154" i="12"/>
  <c r="D150" i="12"/>
  <c r="C150" i="12"/>
  <c r="D149" i="12"/>
  <c r="D29" i="12" s="1"/>
  <c r="D145" i="12"/>
  <c r="D143" i="12"/>
  <c r="D132" i="12"/>
  <c r="F130" i="12"/>
  <c r="D130" i="12"/>
  <c r="C130" i="12"/>
  <c r="B130" i="12"/>
  <c r="F129" i="12"/>
  <c r="D129" i="12"/>
  <c r="C129" i="12"/>
  <c r="B129" i="12"/>
  <c r="F128" i="12"/>
  <c r="D128" i="12"/>
  <c r="C128" i="12"/>
  <c r="B128" i="12"/>
  <c r="F127" i="12"/>
  <c r="D127" i="12"/>
  <c r="C127" i="12"/>
  <c r="B127" i="12"/>
  <c r="F126" i="12"/>
  <c r="D126" i="12"/>
  <c r="C126" i="12"/>
  <c r="B126" i="12"/>
  <c r="D119" i="12"/>
  <c r="D118" i="12"/>
  <c r="D114" i="12"/>
  <c r="D113" i="12"/>
  <c r="C113" i="12"/>
  <c r="C114" i="12" s="1"/>
  <c r="D110" i="12"/>
  <c r="D109" i="12"/>
  <c r="D108" i="12"/>
  <c r="C108" i="12"/>
  <c r="C105" i="12"/>
  <c r="C104" i="12"/>
  <c r="D103" i="12"/>
  <c r="C103" i="12"/>
  <c r="D102" i="12"/>
  <c r="C102" i="12"/>
  <c r="D93" i="12"/>
  <c r="C84" i="12"/>
  <c r="D76" i="12"/>
  <c r="C76" i="12"/>
  <c r="B76" i="12"/>
  <c r="B75" i="12"/>
  <c r="B74" i="12"/>
  <c r="D68" i="12"/>
  <c r="D67" i="12"/>
  <c r="D62" i="12"/>
  <c r="C62" i="12"/>
  <c r="D59" i="12"/>
  <c r="D56" i="12"/>
  <c r="C56" i="12"/>
  <c r="D53" i="12"/>
  <c r="D52" i="12"/>
  <c r="C52" i="12"/>
  <c r="D51" i="12"/>
  <c r="D48" i="12"/>
  <c r="C48" i="12"/>
  <c r="D45" i="12"/>
  <c r="C45" i="12"/>
  <c r="D44" i="12"/>
  <c r="C44" i="12"/>
  <c r="D41" i="12"/>
  <c r="C41" i="12"/>
  <c r="C39" i="12"/>
  <c r="D28" i="12"/>
  <c r="E25" i="12"/>
  <c r="D25" i="12"/>
  <c r="D15" i="12"/>
  <c r="D14" i="12"/>
  <c r="C8" i="12"/>
  <c r="C77" i="9"/>
  <c r="C143" i="12" s="1"/>
  <c r="H94" i="2"/>
  <c r="I94" i="2"/>
  <c r="J94" i="2"/>
  <c r="K94" i="2"/>
  <c r="L94" i="2"/>
  <c r="M94" i="2"/>
  <c r="N94" i="2"/>
  <c r="O94" i="2"/>
  <c r="P94" i="2"/>
  <c r="Q94" i="2"/>
  <c r="G94" i="2"/>
  <c r="C94" i="2"/>
  <c r="C70" i="12" s="1"/>
  <c r="B91" i="2"/>
  <c r="B90" i="2"/>
  <c r="H90" i="2"/>
  <c r="I90" i="2"/>
  <c r="J90" i="2"/>
  <c r="K90" i="2"/>
  <c r="L90" i="2"/>
  <c r="M90" i="2"/>
  <c r="N90" i="2"/>
  <c r="O90" i="2"/>
  <c r="P90" i="2"/>
  <c r="Q90" i="2"/>
  <c r="G90" i="2"/>
  <c r="C104" i="6"/>
  <c r="B75" i="6"/>
  <c r="B76" i="6"/>
  <c r="B74" i="6"/>
  <c r="F4" i="10"/>
  <c r="F4" i="8"/>
  <c r="D4" i="10"/>
  <c r="C146" i="12" l="1"/>
  <c r="B163" i="12"/>
  <c r="B164" i="12"/>
  <c r="B171" i="12"/>
  <c r="C85" i="12"/>
  <c r="C86" i="12" s="1"/>
  <c r="C15" i="12"/>
  <c r="B147" i="12"/>
  <c r="B172" i="12"/>
  <c r="B148" i="12"/>
  <c r="B155" i="12"/>
  <c r="B156" i="12"/>
  <c r="C90" i="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D64" i="8"/>
  <c r="E64" i="8"/>
  <c r="A67" i="8"/>
  <c r="A68" i="8"/>
  <c r="A69" i="8"/>
  <c r="A66" i="8"/>
  <c r="D4" i="8"/>
  <c r="C119" i="6" l="1"/>
  <c r="C119" i="12"/>
  <c r="I65" i="4"/>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147" i="6" l="1"/>
  <c r="C147" i="12"/>
  <c r="C163" i="6"/>
  <c r="C163" i="12"/>
  <c r="C171" i="6"/>
  <c r="C171" i="12"/>
  <c r="C155" i="6"/>
  <c r="C155" i="12"/>
  <c r="L121" i="2"/>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D75" i="6" l="1"/>
  <c r="D75" i="12"/>
  <c r="O81" i="2"/>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17" i="2"/>
  <c r="H13" i="2"/>
  <c r="C105" i="9" l="1"/>
  <c r="C172" i="12"/>
  <c r="C83" i="9"/>
  <c r="C148" i="12"/>
  <c r="C164" i="6"/>
  <c r="C164" i="12"/>
  <c r="C156" i="6"/>
  <c r="C156" i="12"/>
  <c r="C172" i="6"/>
  <c r="C148" i="6"/>
  <c r="C99" i="9"/>
  <c r="D173" i="6"/>
  <c r="D32" i="6" s="1"/>
  <c r="E26" i="6"/>
  <c r="C93" i="9"/>
  <c r="C157" i="12" s="1"/>
  <c r="C30" i="12" s="1"/>
  <c r="H16" i="2"/>
  <c r="H19" i="2" s="1"/>
  <c r="H81" i="2"/>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<sst xmlns="http://schemas.openxmlformats.org/spreadsheetml/2006/main" count="835" uniqueCount="559">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</sst>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tabSelected="1"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445</v>
      </c>
      <c r="C1" s="33">
        <f>Thesis!C1</f>
        <v>45797</v>
      </c>
      <c r="D1" s="358" t="str">
        <f>Thesis!D1</f>
        <v>INT</v>
      </c>
      <c r="E1" s="292" t="s">
        <v>346</v>
      </c>
      <c r="F1" s="307" t="str">
        <f>Thesis!F1</f>
        <v>Y</v>
      </c>
    </row>
    <row r="2" spans="1:10" ht="13.9">
      <c r="A2" s="222" t="s">
        <v>446</v>
      </c>
      <c r="B2" s="36"/>
      <c r="C2" s="36"/>
      <c r="D2" s="36"/>
      <c r="E2" s="36"/>
      <c r="F2" s="36"/>
      <c r="G2" s="22"/>
      <c r="H2" s="22"/>
      <c r="I2" s="22"/>
      <c r="J2" s="22"/>
    </row>
    <row r="4" spans="1:10">
      <c r="B4" s="45" t="s">
        <v>447</v>
      </c>
      <c r="C4" s="46"/>
      <c r="D4" s="5"/>
      <c r="E4" s="2"/>
      <c r="F4" s="2"/>
    </row>
    <row r="5" spans="1:10" ht="12.4">
      <c r="B5" s="4" t="s">
        <v>487</v>
      </c>
      <c r="C5" s="359" t="str">
        <f>Thesis!C5</f>
        <v>兴业银行</v>
      </c>
    </row>
    <row r="6" spans="1:10">
      <c r="B6" s="4" t="s">
        <v>488</v>
      </c>
      <c r="C6" s="34">
        <f>Common_Shares</f>
        <v>20774311267</v>
      </c>
      <c r="E6" s="48"/>
    </row>
    <row r="7" spans="1:10">
      <c r="B7" s="2" t="s">
        <v>489</v>
      </c>
      <c r="C7" s="360">
        <f>Thesis!C7</f>
        <v>6</v>
      </c>
      <c r="D7" s="48"/>
      <c r="E7" s="48"/>
    </row>
    <row r="8" spans="1:10">
      <c r="B8" s="1" t="s">
        <v>490</v>
      </c>
      <c r="C8" s="33">
        <f>EOMONTH(EDATE(BS!C1,C7+2),0)</f>
        <v>45900</v>
      </c>
      <c r="E8" s="48"/>
    </row>
    <row r="9" spans="1:10">
      <c r="E9" s="34"/>
    </row>
    <row r="10" spans="1:10">
      <c r="B10" s="45" t="s">
        <v>448</v>
      </c>
      <c r="C10" s="46"/>
      <c r="E10" s="34"/>
    </row>
    <row r="11" spans="1:10">
      <c r="B11" s="1" t="s">
        <v>491</v>
      </c>
      <c r="C11" s="365" t="str">
        <f>Thesis!C11</f>
        <v>601166.SS</v>
      </c>
      <c r="D11" s="49"/>
      <c r="E11" s="34"/>
    </row>
    <row r="12" spans="1:10">
      <c r="B12" s="4" t="s">
        <v>492</v>
      </c>
      <c r="C12" s="366">
        <f>Market_Price</f>
        <v>22.7</v>
      </c>
      <c r="D12" s="50"/>
      <c r="E12" s="48"/>
    </row>
    <row r="13" spans="1:10">
      <c r="B13" s="1" t="s">
        <v>493</v>
      </c>
      <c r="C13" s="32" t="str">
        <f>Market_currency</f>
        <v>CNY</v>
      </c>
      <c r="D13" s="48"/>
      <c r="E13" s="5"/>
    </row>
    <row r="14" spans="1:10">
      <c r="B14" s="4" t="s">
        <v>494</v>
      </c>
      <c r="C14" s="35">
        <f>投资主题!C12*Common_Shares/1000000</f>
        <v>471576.86576089996</v>
      </c>
      <c r="D14" s="35" t="str">
        <f>IF(D11="","",投资主题!D12*Common_Shares/1000000)</f>
        <v/>
      </c>
      <c r="E14" s="5"/>
    </row>
    <row r="15" spans="1:10">
      <c r="B15" s="4" t="s">
        <v>495</v>
      </c>
      <c r="C15" s="32" t="str">
        <f>IF(C25=C13,C13,C25&amp;"/"&amp;C13)</f>
        <v>CNY</v>
      </c>
      <c r="D15" s="32" t="str">
        <f>IF(D11="","",IF(C25=D13,D13,C25&amp;"/"&amp;D13))</f>
        <v/>
      </c>
      <c r="E15" s="5"/>
    </row>
    <row r="16" spans="1:10">
      <c r="B16" s="4" t="s">
        <v>496</v>
      </c>
      <c r="C16" s="366">
        <f>Exchange_Rate</f>
        <v>1</v>
      </c>
      <c r="D16" s="50"/>
      <c r="E16" s="5"/>
    </row>
    <row r="17" spans="2:6">
      <c r="D17" s="5"/>
      <c r="E17" s="5"/>
    </row>
    <row r="18" spans="2:6" ht="24.6" customHeight="1">
      <c r="B18" s="368" t="s">
        <v>497</v>
      </c>
      <c r="C18" s="368"/>
      <c r="D18" s="368"/>
      <c r="E18" s="368"/>
      <c r="F18" s="368"/>
    </row>
    <row r="20" spans="2:6">
      <c r="B20" s="45" t="s">
        <v>498</v>
      </c>
      <c r="C20" s="46"/>
      <c r="D20" s="5"/>
    </row>
    <row r="21" spans="2:6">
      <c r="B21" s="2" t="s">
        <v>449</v>
      </c>
      <c r="C21" s="32" t="str">
        <f>IF(Scenarios!C69="Y",Scenarios!B69,"")&amp;IF(Scenarios!C70="Y",Scenarios!B70,"")&amp;IF(Scenarios!C71="Y",Scenarios!B71,"")&amp;" "&amp;IF(Scenarios!C72="Y",Scenarios!B72,"")</f>
        <v xml:space="preserve">Low Growth </v>
      </c>
      <c r="D21" s="1" t="s">
        <v>455</v>
      </c>
      <c r="E21" s="363" t="str">
        <f>valuation_method</f>
        <v>DDM</v>
      </c>
    </row>
    <row r="22" spans="2:6">
      <c r="B22" s="2" t="s">
        <v>450</v>
      </c>
      <c r="C22" s="32" t="str">
        <f>Thesis!C22</f>
        <v>FIN_01</v>
      </c>
      <c r="D22" s="1" t="str">
        <f>IF(valuation_method="DDM","终值贴现率","")</f>
        <v>终值贴现率</v>
      </c>
      <c r="E22" s="364">
        <f>Thesis!E22</f>
        <v>0.02</v>
      </c>
    </row>
    <row r="23" spans="2:6">
      <c r="B23" s="1" t="s">
        <v>451</v>
      </c>
      <c r="C23" s="253" t="str">
        <f>Thesis!C23</f>
        <v>N</v>
      </c>
    </row>
    <row r="24" spans="2:6">
      <c r="B24" s="1" t="s">
        <v>452</v>
      </c>
      <c r="C24" s="253" t="str">
        <f>Thesis!C24</f>
        <v>N</v>
      </c>
    </row>
    <row r="25" spans="2:6">
      <c r="B25" s="4" t="s">
        <v>453</v>
      </c>
      <c r="C25" s="32" t="str">
        <f>Reporting_currency</f>
        <v>CNY</v>
      </c>
      <c r="D25" s="32" t="str">
        <f>IF(D11="","",Market_currency&amp;"/"&amp;D13&amp;":")</f>
        <v/>
      </c>
      <c r="E25" s="299" t="str">
        <f>IF(D11="","",1/Exchange_Rate*D16)</f>
        <v/>
      </c>
    </row>
    <row r="26" spans="2:6">
      <c r="B26" s="1" t="str">
        <f>"预期股权价值 ("&amp;C13&amp;") :"</f>
        <v>预期股权价值 (CNY) :</v>
      </c>
      <c r="C26" s="304">
        <f>C132</f>
        <v>14.723869312014129</v>
      </c>
      <c r="D26" s="1" t="s">
        <v>454</v>
      </c>
      <c r="E26" s="301">
        <f ca="1">Scenarios!C87</f>
        <v>-8.0365599930497522E-2</v>
      </c>
    </row>
    <row r="27" spans="2:6">
      <c r="D27" s="5"/>
      <c r="E27" s="5"/>
    </row>
    <row r="28" spans="2:6">
      <c r="B28" s="45" t="s">
        <v>456</v>
      </c>
      <c r="C28" s="309" t="str">
        <f>C145&amp;" ("&amp;Market_currency&amp;")"</f>
        <v>601166.SS (CNY)</v>
      </c>
      <c r="D28" s="309" t="str">
        <f>IF(D11="","",D145&amp;" ("&amp;D13&amp;")")</f>
        <v/>
      </c>
      <c r="E28" s="305" t="s">
        <v>461</v>
      </c>
      <c r="F28" s="361">
        <f>Thesis!F28</f>
        <v>3</v>
      </c>
    </row>
    <row r="29" spans="2:6">
      <c r="B29" s="1" t="s">
        <v>457</v>
      </c>
      <c r="C29" s="310">
        <f>C149</f>
        <v>7.0500981457777456</v>
      </c>
      <c r="D29" s="310" t="str">
        <f>D149</f>
        <v/>
      </c>
      <c r="E29" s="306" t="s">
        <v>463</v>
      </c>
      <c r="F29" s="362">
        <f>Thesis!F29</f>
        <v>0.4</v>
      </c>
    </row>
    <row r="30" spans="2:6">
      <c r="B30" s="1" t="s">
        <v>458</v>
      </c>
      <c r="C30" s="311">
        <f>C157</f>
        <v>10.273312145077192</v>
      </c>
      <c r="D30" s="311" t="str">
        <f>D157</f>
        <v/>
      </c>
      <c r="E30" s="307" t="s">
        <v>462</v>
      </c>
      <c r="F30" s="224">
        <f>Thesis!F30</f>
        <v>0.22</v>
      </c>
    </row>
    <row r="31" spans="2:6">
      <c r="B31" s="1" t="s">
        <v>459</v>
      </c>
      <c r="C31" s="311">
        <f>C165</f>
        <v>14.420004978927032</v>
      </c>
      <c r="D31" s="311" t="str">
        <f>D165</f>
        <v/>
      </c>
      <c r="E31" s="307" t="s">
        <v>499</v>
      </c>
      <c r="F31" s="224">
        <f>Thesis!F31</f>
        <v>0.08</v>
      </c>
    </row>
    <row r="32" spans="2:6">
      <c r="B32" s="1" t="s">
        <v>460</v>
      </c>
      <c r="C32" s="311">
        <f>C173</f>
        <v>13.026100491992562</v>
      </c>
      <c r="D32" s="311" t="str">
        <f>D173</f>
        <v/>
      </c>
      <c r="E32" s="307" t="s">
        <v>464</v>
      </c>
      <c r="F32" s="224">
        <f>Thesis!F32</f>
        <v>0.12</v>
      </c>
    </row>
    <row r="33" spans="1:6">
      <c r="D33" s="5"/>
      <c r="E33" s="5"/>
    </row>
    <row r="34" spans="1:6" ht="13.9">
      <c r="A34" s="222" t="s">
        <v>465</v>
      </c>
      <c r="B34" s="36"/>
      <c r="C34" s="36"/>
      <c r="D34" s="36"/>
      <c r="E34" s="36"/>
      <c r="F34" s="36"/>
    </row>
    <row r="36" spans="1:6" ht="24.6" customHeight="1">
      <c r="B36" s="368" t="s">
        <v>500</v>
      </c>
      <c r="C36" s="368"/>
      <c r="D36" s="368"/>
      <c r="E36" s="368"/>
      <c r="F36" s="368"/>
    </row>
    <row r="37" spans="1:6" ht="24.6" customHeight="1">
      <c r="B37" s="369" t="s">
        <v>332</v>
      </c>
      <c r="C37" s="369"/>
      <c r="D37" s="369"/>
      <c r="E37" s="369"/>
      <c r="F37" s="369"/>
    </row>
    <row r="39" spans="1:6">
      <c r="B39" s="210" t="s">
        <v>501</v>
      </c>
      <c r="C39" s="108">
        <f>scaling_factor</f>
        <v>1000000</v>
      </c>
    </row>
    <row r="40" spans="1:6">
      <c r="B40" s="367" t="s">
        <v>502</v>
      </c>
      <c r="C40" s="367"/>
      <c r="D40" s="367"/>
      <c r="E40" s="367"/>
      <c r="F40" s="367"/>
    </row>
    <row r="41" spans="1:6">
      <c r="B41" s="47" t="s">
        <v>228</v>
      </c>
      <c r="C41" s="349">
        <f>Normalized_FCF!C8</f>
        <v>-721</v>
      </c>
      <c r="D41" s="1" t="str">
        <f>Reporting_currency</f>
        <v>CNY</v>
      </c>
    </row>
    <row r="42" spans="1:6">
      <c r="B42" s="47"/>
      <c r="C42" s="76"/>
    </row>
    <row r="43" spans="1:6" ht="24.6" customHeight="1">
      <c r="B43" s="367" t="s">
        <v>503</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504</v>
      </c>
      <c r="C47" s="367"/>
      <c r="D47" s="367"/>
      <c r="E47" s="367"/>
      <c r="F47" s="367"/>
    </row>
    <row r="48" spans="1:6">
      <c r="B48" s="47" t="s">
        <v>233</v>
      </c>
      <c r="C48" s="349">
        <f>Normalized_FCF!C11</f>
        <v>0</v>
      </c>
      <c r="D48" s="1" t="str">
        <f>Reporting_currency</f>
        <v>CNY</v>
      </c>
    </row>
    <row r="50" spans="2:6">
      <c r="B50" s="367" t="s">
        <v>505</v>
      </c>
      <c r="C50" s="367"/>
      <c r="D50" s="367"/>
      <c r="E50" s="367"/>
      <c r="F50" s="367"/>
    </row>
    <row r="51" spans="2:6">
      <c r="B51" s="47" t="s">
        <v>333</v>
      </c>
      <c r="C51" s="350">
        <f>Normalized_FCF!C48</f>
        <v>0</v>
      </c>
      <c r="D51" s="1" t="str">
        <f>Reporting_currency</f>
        <v>CNY</v>
      </c>
      <c r="E51" s="286"/>
      <c r="F51" s="286"/>
    </row>
    <row r="52" spans="2:6">
      <c r="B52" s="47" t="s">
        <v>334</v>
      </c>
      <c r="C52" s="350">
        <f>Normalized_FCF!C47</f>
        <v>0</v>
      </c>
      <c r="D52" s="1" t="str">
        <f>Reporting_currency</f>
        <v>CNY</v>
      </c>
      <c r="E52" s="286"/>
      <c r="F52" s="286"/>
    </row>
    <row r="53" spans="2:6">
      <c r="B53" s="47" t="s">
        <v>234</v>
      </c>
      <c r="C53" s="349">
        <f>Normalized_FCF!C12</f>
        <v>0</v>
      </c>
      <c r="D53" s="1" t="str">
        <f>Reporting_currency</f>
        <v>CNY</v>
      </c>
    </row>
    <row r="55" spans="2:6">
      <c r="B55" s="1" t="s">
        <v>506</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180.25</v>
      </c>
      <c r="D59" s="1" t="str">
        <f>Reporting_currency</f>
        <v>CNY</v>
      </c>
    </row>
    <row r="61" spans="2:6">
      <c r="B61" s="367" t="s">
        <v>507</v>
      </c>
      <c r="C61" s="370"/>
      <c r="D61" s="370"/>
      <c r="E61" s="370"/>
      <c r="F61" s="370"/>
    </row>
    <row r="62" spans="2:6">
      <c r="B62" s="47" t="s">
        <v>238</v>
      </c>
      <c r="C62" s="349">
        <f>Normalized_FCF!C17</f>
        <v>0</v>
      </c>
      <c r="D62" s="1" t="str">
        <f>Reporting_currency</f>
        <v>CNY</v>
      </c>
    </row>
    <row r="64" spans="2:6">
      <c r="B64" s="368" t="s">
        <v>508</v>
      </c>
      <c r="C64" s="368"/>
      <c r="D64" s="368"/>
      <c r="E64" s="368"/>
      <c r="F64" s="368"/>
    </row>
    <row r="65" spans="1:6">
      <c r="B65" s="368" t="s">
        <v>509</v>
      </c>
      <c r="C65" s="368"/>
      <c r="D65" s="368"/>
      <c r="E65" s="368"/>
      <c r="F65" s="368"/>
    </row>
    <row r="67" spans="1:6">
      <c r="B67" s="47" t="s">
        <v>510</v>
      </c>
      <c r="C67" s="349">
        <f>Normalized_FCF!G19</f>
        <v>-206364</v>
      </c>
      <c r="D67" s="1" t="str">
        <f>Reporting_currency</f>
        <v>CNY</v>
      </c>
    </row>
    <row r="68" spans="1:6">
      <c r="B68" s="47" t="s">
        <v>244</v>
      </c>
      <c r="C68" s="349">
        <f>Normalized_FCF!C19</f>
        <v>-540.75</v>
      </c>
      <c r="D68" s="1" t="str">
        <f>Reporting_currency</f>
        <v>CNY</v>
      </c>
    </row>
    <row r="69" spans="1:6">
      <c r="B69" s="227" t="s">
        <v>374</v>
      </c>
      <c r="C69" s="92">
        <f>Normalized_FCF!C126</f>
        <v>-1.1466847491076299E-3</v>
      </c>
      <c r="F69" s="314"/>
    </row>
    <row r="70" spans="1:6">
      <c r="B70" s="227" t="s">
        <v>442</v>
      </c>
      <c r="C70" s="92">
        <f>Normalized_FCF!C94</f>
        <v>4.6696035242290754E-2</v>
      </c>
      <c r="E70" s="47" t="s">
        <v>511</v>
      </c>
      <c r="F70" s="315">
        <f>Normalized_FCF!C92</f>
        <v>-40.722644369893672</v>
      </c>
    </row>
    <row r="72" spans="1:6">
      <c r="B72" s="210" t="s">
        <v>521</v>
      </c>
      <c r="C72" s="323" t="s">
        <v>437</v>
      </c>
      <c r="D72" s="323" t="s">
        <v>512</v>
      </c>
    </row>
    <row r="73" spans="1:6">
      <c r="B73" s="47" t="s">
        <v>436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513</v>
      </c>
      <c r="B78" s="36"/>
      <c r="C78" s="36"/>
      <c r="D78" s="36"/>
      <c r="E78" s="36"/>
      <c r="F78" s="36"/>
    </row>
    <row r="79" spans="1:6">
      <c r="A79" s="209"/>
    </row>
    <row r="80" spans="1:6">
      <c r="A80" s="17"/>
      <c r="B80" s="368" t="s">
        <v>514</v>
      </c>
      <c r="C80" s="368"/>
      <c r="D80" s="368"/>
      <c r="E80" s="368"/>
      <c r="F80" s="368"/>
    </row>
    <row r="81" spans="1:6">
      <c r="B81" s="369" t="s">
        <v>248</v>
      </c>
      <c r="C81" s="369"/>
      <c r="D81" s="369"/>
      <c r="E81" s="369"/>
      <c r="F81" s="369"/>
    </row>
    <row r="83" spans="1:6">
      <c r="B83" s="210" t="s">
        <v>501</v>
      </c>
    </row>
    <row r="84" spans="1:6">
      <c r="B84" s="1" t="s">
        <v>411</v>
      </c>
      <c r="C84" s="92">
        <f>F31</f>
        <v>0.08</v>
      </c>
    </row>
    <row r="85" spans="1:6">
      <c r="B85" s="1" t="s">
        <v>410</v>
      </c>
      <c r="C85" s="92">
        <f>IF(C23="Y",1%,0)+IF(C24="Y",1%,0)</f>
        <v>0</v>
      </c>
    </row>
    <row r="86" spans="1:6">
      <c r="B86" s="80" t="s">
        <v>243</v>
      </c>
      <c r="C86" s="236">
        <f>F31+C85</f>
        <v>0.08</v>
      </c>
    </row>
    <row r="87" spans="1:6">
      <c r="C87" s="121"/>
    </row>
    <row r="88" spans="1:6">
      <c r="B88" s="293" t="s">
        <v>520</v>
      </c>
      <c r="C88" s="121"/>
    </row>
    <row r="89" spans="1:6">
      <c r="B89" s="368" t="s">
        <v>515</v>
      </c>
      <c r="C89" s="368"/>
      <c r="D89" s="368"/>
      <c r="E89" s="368"/>
      <c r="F89" s="368"/>
    </row>
    <row r="90" spans="1:6">
      <c r="B90" s="368" t="s">
        <v>516</v>
      </c>
      <c r="C90" s="368"/>
      <c r="D90" s="368"/>
      <c r="E90" s="368"/>
      <c r="F90" s="368"/>
    </row>
    <row r="92" spans="1:6">
      <c r="B92" s="47" t="s">
        <v>247</v>
      </c>
      <c r="C92" s="236">
        <v>0</v>
      </c>
    </row>
    <row r="93" spans="1:6">
      <c r="B93" s="47" t="s">
        <v>275</v>
      </c>
      <c r="C93" s="223">
        <f>DCF!C6*scaling_factor*Exchange_Rate/Common_Shares</f>
        <v>-0.32537179755928991</v>
      </c>
      <c r="D93" s="1" t="str">
        <f>Market_currency</f>
        <v>CNY</v>
      </c>
    </row>
    <row r="95" spans="1:6" ht="13.9">
      <c r="A95" s="222" t="s">
        <v>517</v>
      </c>
      <c r="B95" s="36"/>
      <c r="C95" s="36"/>
      <c r="D95" s="36"/>
      <c r="E95" s="36"/>
      <c r="F95" s="36"/>
    </row>
    <row r="96" spans="1:6">
      <c r="A96" s="209"/>
    </row>
    <row r="97" spans="2:6">
      <c r="B97" s="368" t="s">
        <v>518</v>
      </c>
      <c r="C97" s="368"/>
      <c r="D97" s="368"/>
      <c r="E97" s="368"/>
      <c r="F97" s="368"/>
    </row>
    <row r="98" spans="2:6">
      <c r="B98" s="1" t="s">
        <v>249</v>
      </c>
    </row>
    <row r="100" spans="2:6">
      <c r="B100" s="210" t="s">
        <v>501</v>
      </c>
    </row>
    <row r="101" spans="2:6">
      <c r="B101" s="368" t="s">
        <v>519</v>
      </c>
      <c r="C101" s="368"/>
      <c r="D101" s="368"/>
      <c r="E101" s="368"/>
      <c r="F101" s="368"/>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387</v>
      </c>
      <c r="C104" s="325">
        <f>IF(BS!G31/BS!G27&gt;300%,"nm",BS!G31/BS!G27)</f>
        <v>0</v>
      </c>
    </row>
    <row r="105" spans="2:6">
      <c r="B105" s="296" t="s">
        <v>389</v>
      </c>
      <c r="C105" s="326">
        <f>IF(BS!C50&gt;30,"nm",BS!C50)</f>
        <v>0</v>
      </c>
    </row>
    <row r="107" spans="2:6">
      <c r="B107" s="1" t="s">
        <v>522</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523</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68" t="s">
        <v>524</v>
      </c>
      <c r="C116" s="368"/>
      <c r="D116" s="368"/>
      <c r="E116" s="368"/>
      <c r="F116" s="368"/>
    </row>
    <row r="118" spans="1:6">
      <c r="B118" s="47" t="s">
        <v>525</v>
      </c>
      <c r="C118" s="223">
        <f>IF(valuation_method="DCF",DCF!C12,DDM!C7)</f>
        <v>13.25</v>
      </c>
      <c r="D118" s="1" t="str">
        <f>Market_currency</f>
        <v>CNY</v>
      </c>
    </row>
    <row r="119" spans="1:6">
      <c r="B119" s="296" t="s">
        <v>558</v>
      </c>
      <c r="C119" s="223">
        <f>BS!D47</f>
        <v>4.3322735874745961E-5</v>
      </c>
      <c r="D119" s="1" t="str">
        <f>Market_currency</f>
        <v>CNY</v>
      </c>
    </row>
    <row r="121" spans="1:6" ht="13.9">
      <c r="A121" s="222" t="s">
        <v>526</v>
      </c>
      <c r="B121" s="36"/>
      <c r="C121" s="36"/>
      <c r="D121" s="36"/>
      <c r="E121" s="36"/>
      <c r="F121" s="36"/>
    </row>
    <row r="123" spans="1:6">
      <c r="B123" s="367" t="s">
        <v>527</v>
      </c>
      <c r="C123" s="367"/>
      <c r="D123" s="367"/>
      <c r="E123" s="367"/>
      <c r="F123" s="367"/>
    </row>
    <row r="125" spans="1:6" ht="12.4">
      <c r="B125" s="233" t="s">
        <v>528</v>
      </c>
      <c r="C125" s="233" t="s">
        <v>529</v>
      </c>
      <c r="D125" s="233" t="s">
        <v>108</v>
      </c>
      <c r="E125" s="233" t="s">
        <v>530</v>
      </c>
      <c r="F125" s="233" t="s">
        <v>531</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c r="B134" s="372" t="s">
        <v>532</v>
      </c>
      <c r="C134" s="372"/>
      <c r="D134" s="372"/>
      <c r="E134" s="372"/>
      <c r="F134" s="372"/>
    </row>
    <row r="136" spans="1:6" ht="13.9">
      <c r="A136" s="222" t="s">
        <v>533</v>
      </c>
      <c r="B136" s="36"/>
      <c r="C136" s="36"/>
      <c r="D136" s="36"/>
      <c r="E136" s="36"/>
      <c r="F136" s="36"/>
    </row>
    <row r="138" spans="1:6">
      <c r="B138" s="373" t="s">
        <v>534</v>
      </c>
      <c r="C138" s="373"/>
      <c r="D138" s="373"/>
      <c r="E138" s="373"/>
      <c r="F138" s="373"/>
    </row>
    <row r="139" spans="1:6" ht="24.6" customHeight="1">
      <c r="B139" s="368" t="s">
        <v>535</v>
      </c>
      <c r="C139" s="368"/>
      <c r="D139" s="368"/>
      <c r="E139" s="368"/>
      <c r="F139" s="368"/>
    </row>
    <row r="140" spans="1:6">
      <c r="B140" s="210" t="s">
        <v>501</v>
      </c>
    </row>
    <row r="141" spans="1:6">
      <c r="B141" s="1" t="s">
        <v>536</v>
      </c>
      <c r="C141" s="225">
        <f>F28</f>
        <v>3</v>
      </c>
    </row>
    <row r="142" spans="1:6">
      <c r="B142" s="1" t="s">
        <v>537</v>
      </c>
      <c r="C142" s="224">
        <f>F29</f>
        <v>0.4</v>
      </c>
    </row>
    <row r="143" spans="1:6">
      <c r="B143" s="212" t="s">
        <v>538</v>
      </c>
      <c r="C143" s="213">
        <f>Scenarios!C77</f>
        <v>1.06</v>
      </c>
      <c r="D143" s="212" t="str">
        <f>Market_currency</f>
        <v>CNY</v>
      </c>
    </row>
    <row r="145" spans="2:4">
      <c r="B145" s="210" t="s">
        <v>539</v>
      </c>
      <c r="C145" s="241" t="str">
        <f>C11</f>
        <v>601166.SS</v>
      </c>
      <c r="D145" s="241" t="str">
        <f>IF(D11="","",D11)</f>
        <v/>
      </c>
    </row>
    <row r="146" spans="2:4">
      <c r="B146" s="1" t="s">
        <v>390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540</v>
      </c>
      <c r="C150" s="298" t="str">
        <f>Market_currency</f>
        <v>CNY</v>
      </c>
      <c r="D150" s="298" t="str">
        <f>IF($D$11="","",D$13)</f>
        <v/>
      </c>
    </row>
    <row r="151" spans="2:4">
      <c r="B151" s="214" t="s">
        <v>541</v>
      </c>
      <c r="C151" s="92">
        <f>Scenarios!F83</f>
        <v>0.52117897840718208</v>
      </c>
    </row>
    <row r="153" spans="2:4">
      <c r="B153" s="210" t="s">
        <v>394</v>
      </c>
    </row>
    <row r="154" spans="2:4">
      <c r="B154" s="1" t="s">
        <v>393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540</v>
      </c>
      <c r="C158" s="298" t="str">
        <f>Market_currency</f>
        <v>CNY</v>
      </c>
      <c r="D158" s="298" t="str">
        <f>IF($D$11="","",D$13)</f>
        <v/>
      </c>
    </row>
    <row r="159" spans="2:4">
      <c r="B159" s="214" t="s">
        <v>541</v>
      </c>
      <c r="C159" s="92">
        <f>Scenarios!F93</f>
        <v>0.30226817914673065</v>
      </c>
    </row>
    <row r="161" spans="2:4">
      <c r="B161" s="210" t="s">
        <v>384</v>
      </c>
    </row>
    <row r="162" spans="2:4">
      <c r="B162" s="1" t="s">
        <v>392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385</v>
      </c>
      <c r="C165" s="215">
        <f>Scenarios!C99</f>
        <v>14.420004978927032</v>
      </c>
      <c r="D165" s="300" t="str">
        <f>IF($D$11="","",C165*$E$25)</f>
        <v/>
      </c>
    </row>
    <row r="166" spans="2:4">
      <c r="B166" s="259" t="s">
        <v>540</v>
      </c>
      <c r="C166" s="298" t="str">
        <f>Market_currency</f>
        <v>CNY</v>
      </c>
      <c r="D166" s="298" t="str">
        <f>IF($D$11="","",D$13)</f>
        <v/>
      </c>
    </row>
    <row r="167" spans="2:4">
      <c r="B167" s="214" t="s">
        <v>541</v>
      </c>
      <c r="C167" s="92">
        <f>Scenarios!F99</f>
        <v>2.0637532611020526E-2</v>
      </c>
    </row>
    <row r="169" spans="2:4">
      <c r="B169" s="210" t="s">
        <v>412</v>
      </c>
    </row>
    <row r="170" spans="2:4">
      <c r="B170" s="1" t="s">
        <v>403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385</v>
      </c>
      <c r="C173" s="215">
        <f>Scenarios!C105</f>
        <v>13.026100491992562</v>
      </c>
      <c r="D173" s="300" t="str">
        <f>IF($D$11="","",C173*$E$25)</f>
        <v/>
      </c>
    </row>
    <row r="174" spans="2:4">
      <c r="B174" s="259" t="s">
        <v>540</v>
      </c>
      <c r="C174" s="298" t="str">
        <f>Market_currency</f>
        <v>CNY</v>
      </c>
      <c r="D174" s="298" t="str">
        <f>IF($D$11="","",D$13)</f>
        <v/>
      </c>
    </row>
    <row r="175" spans="2:4">
      <c r="B175" s="214" t="s">
        <v>541</v>
      </c>
      <c r="C175" s="92">
        <f>Scenarios!F105</f>
        <v>0.11507499641644758</v>
      </c>
    </row>
    <row r="177" spans="1:6" ht="13.9">
      <c r="A177" s="222" t="s">
        <v>360</v>
      </c>
      <c r="B177" s="36"/>
      <c r="C177" s="36"/>
      <c r="D177" s="36"/>
      <c r="E177" s="36"/>
      <c r="F177" s="36"/>
    </row>
    <row r="179" spans="1:6">
      <c r="B179" s="374" t="s">
        <v>542</v>
      </c>
      <c r="C179" s="368"/>
      <c r="D179" s="368"/>
      <c r="E179" s="368"/>
      <c r="F179" s="368"/>
    </row>
    <row r="181" spans="1:6">
      <c r="B181" s="210" t="s">
        <v>543</v>
      </c>
    </row>
    <row r="182" spans="1:6">
      <c r="B182" s="370" t="s">
        <v>544</v>
      </c>
      <c r="C182" s="370"/>
      <c r="D182" s="370"/>
      <c r="E182" s="370"/>
      <c r="F182" s="370"/>
    </row>
    <row r="183" spans="1:6">
      <c r="B183" s="214" t="s">
        <v>545</v>
      </c>
    </row>
    <row r="184" spans="1:6">
      <c r="B184" s="214" t="s">
        <v>546</v>
      </c>
    </row>
    <row r="185" spans="1:6">
      <c r="B185" s="214" t="s">
        <v>547</v>
      </c>
    </row>
    <row r="187" spans="1:6">
      <c r="B187" s="1" t="s">
        <v>548</v>
      </c>
    </row>
    <row r="188" spans="1:6" ht="24.6" customHeight="1">
      <c r="B188" s="367" t="s">
        <v>549</v>
      </c>
      <c r="C188" s="367"/>
      <c r="D188" s="367"/>
      <c r="E188" s="367"/>
      <c r="F188" s="367"/>
    </row>
    <row r="190" spans="1:6">
      <c r="B190" s="1" t="s">
        <v>550</v>
      </c>
    </row>
    <row r="191" spans="1:6">
      <c r="B191" s="371" t="s">
        <v>551</v>
      </c>
      <c r="C191" s="371"/>
      <c r="D191" s="371"/>
      <c r="E191" s="371"/>
      <c r="F191" s="371"/>
    </row>
    <row r="192" spans="1:6">
      <c r="B192" s="371" t="s">
        <v>552</v>
      </c>
      <c r="C192" s="371"/>
      <c r="D192" s="371"/>
      <c r="E192" s="371"/>
      <c r="F192" s="371"/>
    </row>
    <row r="194" spans="2:2">
      <c r="B194" s="1" t="s">
        <v>553</v>
      </c>
    </row>
    <row r="195" spans="2:2">
      <c r="B195" s="214" t="s">
        <v>554</v>
      </c>
    </row>
    <row r="196" spans="2:2">
      <c r="B196" s="214" t="s">
        <v>555</v>
      </c>
    </row>
    <row r="197" spans="2:2">
      <c r="B197" s="214" t="s">
        <v>556</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434</v>
      </c>
      <c r="E1" s="292" t="s">
        <v>346</v>
      </c>
      <c r="F1" s="254" t="s">
        <v>279</v>
      </c>
    </row>
    <row r="2" spans="1:10" ht="13.9">
      <c r="A2" s="222" t="s">
        <v>263</v>
      </c>
      <c r="B2" s="36"/>
      <c r="C2" s="36"/>
      <c r="D2" s="36"/>
      <c r="E2" s="36"/>
      <c r="F2" s="36"/>
      <c r="G2" s="22"/>
      <c r="H2" s="22"/>
      <c r="I2" s="22"/>
      <c r="J2" s="22"/>
    </row>
    <row r="4" spans="1:10">
      <c r="B4" s="45" t="s">
        <v>398</v>
      </c>
      <c r="C4" s="46"/>
      <c r="D4" s="5"/>
      <c r="E4" s="2"/>
      <c r="F4" s="2"/>
    </row>
    <row r="5" spans="1:10" ht="12.4">
      <c r="B5" s="4" t="s">
        <v>466</v>
      </c>
      <c r="C5" s="294" t="s">
        <v>420</v>
      </c>
    </row>
    <row r="6" spans="1:10">
      <c r="B6" s="4" t="s">
        <v>467</v>
      </c>
      <c r="C6" s="51">
        <v>20774311267</v>
      </c>
      <c r="E6" s="48"/>
    </row>
    <row r="7" spans="1:10">
      <c r="B7" s="2" t="s">
        <v>468</v>
      </c>
      <c r="C7" s="250">
        <v>6</v>
      </c>
      <c r="D7" s="48"/>
      <c r="E7" s="48"/>
    </row>
    <row r="8" spans="1:10">
      <c r="B8" s="1" t="s">
        <v>469</v>
      </c>
      <c r="C8" s="33">
        <f>EOMONTH(EDATE(BS!C1,C7+2),0)</f>
        <v>45900</v>
      </c>
      <c r="E8" s="48"/>
    </row>
    <row r="9" spans="1:10">
      <c r="E9" s="34"/>
    </row>
    <row r="10" spans="1:10">
      <c r="B10" s="45" t="s">
        <v>400</v>
      </c>
      <c r="C10" s="46"/>
      <c r="E10" s="34"/>
    </row>
    <row r="11" spans="1:10">
      <c r="B11" s="1" t="s">
        <v>470</v>
      </c>
      <c r="C11" s="49" t="s">
        <v>421</v>
      </c>
      <c r="D11" s="49"/>
      <c r="E11" s="34"/>
    </row>
    <row r="12" spans="1:10">
      <c r="B12" s="4" t="s">
        <v>471</v>
      </c>
      <c r="C12" s="50">
        <v>22.7</v>
      </c>
      <c r="D12" s="50"/>
      <c r="E12" s="48"/>
    </row>
    <row r="13" spans="1:10">
      <c r="B13" s="1" t="s">
        <v>472</v>
      </c>
      <c r="C13" s="48" t="s">
        <v>397</v>
      </c>
      <c r="D13" s="48"/>
      <c r="E13" s="5"/>
    </row>
    <row r="14" spans="1:10">
      <c r="B14" s="4" t="s">
        <v>473</v>
      </c>
      <c r="C14" s="35">
        <f>Thesis!C12*Common_Shares/1000000</f>
        <v>471576.86576089996</v>
      </c>
      <c r="D14" s="35" t="str">
        <f>IF(D11="","",Thesis!D12*Common_Shares/1000000)</f>
        <v/>
      </c>
      <c r="E14" s="5"/>
    </row>
    <row r="15" spans="1:10">
      <c r="B15" s="4" t="s">
        <v>474</v>
      </c>
      <c r="C15" s="32" t="str">
        <f>IF(C25=C13,C13,C25&amp;"/"&amp;C13)</f>
        <v>CNY</v>
      </c>
      <c r="D15" s="32" t="str">
        <f>IF(D11="","",IF(C25=D13,D13,C25&amp;"/"&amp;D13))</f>
        <v/>
      </c>
      <c r="E15" s="5"/>
    </row>
    <row r="16" spans="1:10">
      <c r="B16" s="4" t="s">
        <v>475</v>
      </c>
      <c r="C16" s="50">
        <v>1</v>
      </c>
      <c r="D16" s="50"/>
      <c r="E16" s="5"/>
    </row>
    <row r="17" spans="2:6">
      <c r="D17" s="5"/>
      <c r="E17" s="5"/>
    </row>
    <row r="18" spans="2:6" ht="24.6" customHeight="1">
      <c r="B18" s="368" t="s">
        <v>476</v>
      </c>
      <c r="C18" s="368"/>
      <c r="D18" s="368"/>
      <c r="E18" s="368"/>
      <c r="F18" s="368"/>
    </row>
    <row r="20" spans="2:6">
      <c r="B20" s="45" t="s">
        <v>302</v>
      </c>
      <c r="C20" s="46"/>
      <c r="D20" s="5"/>
    </row>
    <row r="21" spans="2:6">
      <c r="B21" s="2" t="s">
        <v>341</v>
      </c>
      <c r="C21" s="32" t="str">
        <f>IF(Scenarios!C69="Y",Scenarios!B69,"")&amp;IF(Scenarios!C70="Y",Scenarios!B70,"")&amp;IF(Scenarios!C71="Y",Scenarios!B71,"")&amp;" "&amp;IF(Scenarios!C72="Y",Scenarios!B72,"")</f>
        <v xml:space="preserve">Low Growth </v>
      </c>
      <c r="D21" s="1" t="s">
        <v>419</v>
      </c>
      <c r="E21" s="308" t="s">
        <v>423</v>
      </c>
    </row>
    <row r="22" spans="2:6">
      <c r="B22" s="2" t="s">
        <v>54</v>
      </c>
      <c r="C22" s="48" t="s">
        <v>422</v>
      </c>
      <c r="D22" s="1" t="str">
        <f>IF(valuation_method="DDM","Terminal Value Discount Rate","")</f>
        <v>Terminal Value Discount Rate</v>
      </c>
      <c r="E22" s="313">
        <v>0.02</v>
      </c>
    </row>
    <row r="23" spans="2:6">
      <c r="B23" s="1" t="s">
        <v>414</v>
      </c>
      <c r="C23" s="262" t="s">
        <v>313</v>
      </c>
    </row>
    <row r="24" spans="2:6">
      <c r="B24" s="1" t="s">
        <v>415</v>
      </c>
      <c r="C24" s="262" t="s">
        <v>313</v>
      </c>
    </row>
    <row r="25" spans="2:6">
      <c r="B25" s="4" t="s">
        <v>340</v>
      </c>
      <c r="C25" s="48" t="s">
        <v>397</v>
      </c>
      <c r="D25" s="32" t="str">
        <f>IF(D11="","",Market_currency&amp;"/"&amp;D13&amp;":")</f>
        <v/>
      </c>
      <c r="E25" s="299" t="str">
        <f>IF(D11="","",1/Exchange_Rate*D16)</f>
        <v/>
      </c>
    </row>
    <row r="26" spans="2:6">
      <c r="B26" s="1" t="str">
        <f>"Expected Equity Value ("&amp;C13&amp;") :"</f>
        <v>Expected Equity Value (CNY) :</v>
      </c>
      <c r="C26" s="304">
        <f>C132</f>
        <v>14.723869312014129</v>
      </c>
      <c r="D26" s="1" t="s">
        <v>383</v>
      </c>
      <c r="E26" s="301">
        <f ca="1">Scenarios!C87</f>
        <v>-8.0365599930497522E-2</v>
      </c>
    </row>
    <row r="27" spans="2:6">
      <c r="D27" s="5"/>
      <c r="E27" s="5"/>
    </row>
    <row r="28" spans="2:6">
      <c r="B28" s="45" t="s">
        <v>413</v>
      </c>
      <c r="C28" s="309" t="str">
        <f>C145&amp;" ("&amp;Market_currency&amp;")"</f>
        <v>601166.SS (CNY)</v>
      </c>
      <c r="D28" s="309" t="str">
        <f>IF(D11="","",D145&amp;" ("&amp;D13&amp;")")</f>
        <v/>
      </c>
      <c r="E28" s="305" t="s">
        <v>409</v>
      </c>
      <c r="F28" s="303">
        <v>3</v>
      </c>
    </row>
    <row r="29" spans="2:6">
      <c r="B29" s="1" t="s">
        <v>405</v>
      </c>
      <c r="C29" s="310">
        <f>C149</f>
        <v>7.0500981457777456</v>
      </c>
      <c r="D29" s="310" t="str">
        <f>D149</f>
        <v/>
      </c>
      <c r="E29" s="306" t="s">
        <v>404</v>
      </c>
      <c r="F29" s="302">
        <v>0.4</v>
      </c>
    </row>
    <row r="30" spans="2:6">
      <c r="B30" s="1" t="s">
        <v>406</v>
      </c>
      <c r="C30" s="311">
        <f>C157</f>
        <v>10.273312145077192</v>
      </c>
      <c r="D30" s="311" t="str">
        <f>D157</f>
        <v/>
      </c>
      <c r="E30" s="307" t="s">
        <v>417</v>
      </c>
      <c r="F30" s="312">
        <v>0.22</v>
      </c>
    </row>
    <row r="31" spans="2:6">
      <c r="B31" s="1" t="s">
        <v>407</v>
      </c>
      <c r="C31" s="311">
        <f>C165</f>
        <v>14.420004978927032</v>
      </c>
      <c r="D31" s="311" t="str">
        <f>D165</f>
        <v/>
      </c>
      <c r="E31" s="307" t="s">
        <v>416</v>
      </c>
      <c r="F31" s="312">
        <v>0.08</v>
      </c>
    </row>
    <row r="32" spans="2:6">
      <c r="B32" s="1" t="s">
        <v>408</v>
      </c>
      <c r="C32" s="311">
        <f>C173</f>
        <v>13.026100491992562</v>
      </c>
      <c r="D32" s="311" t="str">
        <f>D173</f>
        <v/>
      </c>
      <c r="E32" s="307" t="s">
        <v>418</v>
      </c>
      <c r="F32" s="312">
        <v>0.12</v>
      </c>
    </row>
    <row r="33" spans="1:6">
      <c r="D33" s="5"/>
      <c r="E33" s="5"/>
    </row>
    <row r="34" spans="1:6" ht="13.9">
      <c r="A34" s="222" t="s">
        <v>348</v>
      </c>
      <c r="B34" s="36"/>
      <c r="C34" s="36"/>
      <c r="D34" s="36"/>
      <c r="E34" s="36"/>
      <c r="F34" s="36"/>
    </row>
    <row r="36" spans="1:6">
      <c r="B36" s="368" t="s">
        <v>477</v>
      </c>
      <c r="C36" s="368"/>
      <c r="D36" s="368"/>
      <c r="E36" s="368"/>
      <c r="F36" s="368"/>
    </row>
    <row r="37" spans="1:6" ht="24.6" customHeight="1">
      <c r="B37" s="369" t="s">
        <v>332</v>
      </c>
      <c r="C37" s="369"/>
      <c r="D37" s="369"/>
      <c r="E37" s="369"/>
      <c r="F37" s="369"/>
    </row>
    <row r="39" spans="1:6">
      <c r="B39" s="210" t="s">
        <v>226</v>
      </c>
      <c r="C39" s="108">
        <f>scaling_factor</f>
        <v>1000000</v>
      </c>
    </row>
    <row r="40" spans="1:6" ht="24.6" customHeight="1">
      <c r="B40" s="367" t="s">
        <v>227</v>
      </c>
      <c r="C40" s="367"/>
      <c r="D40" s="367"/>
      <c r="E40" s="367"/>
      <c r="F40" s="367"/>
    </row>
    <row r="41" spans="1:6">
      <c r="B41" s="47" t="s">
        <v>228</v>
      </c>
      <c r="C41" s="349">
        <f>Normalized_FCF!C8</f>
        <v>-721</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333</v>
      </c>
      <c r="C51" s="350">
        <f>Normalized_FCF!C48</f>
        <v>0</v>
      </c>
      <c r="D51" s="1" t="str">
        <f>Reporting_currency</f>
        <v>CNY</v>
      </c>
      <c r="E51" s="286"/>
      <c r="F51" s="286"/>
    </row>
    <row r="52" spans="2:6">
      <c r="B52" s="47" t="s">
        <v>334</v>
      </c>
      <c r="C52" s="350">
        <f>Normalized_FCF!C47</f>
        <v>0</v>
      </c>
      <c r="D52" s="1" t="str">
        <f>Reporting_currency</f>
        <v>CNY</v>
      </c>
      <c r="E52" s="286"/>
      <c r="F52" s="286"/>
    </row>
    <row r="53" spans="2:6">
      <c r="B53" s="47" t="s">
        <v>234</v>
      </c>
      <c r="C53" s="349">
        <f>Normalized_FCF!C12</f>
        <v>0</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180.25</v>
      </c>
      <c r="D59" s="1" t="str">
        <f>Reporting_currency</f>
        <v>CNY</v>
      </c>
    </row>
    <row r="61" spans="2:6">
      <c r="B61" s="367" t="s">
        <v>331</v>
      </c>
      <c r="C61" s="370"/>
      <c r="D61" s="370"/>
      <c r="E61" s="370"/>
      <c r="F61" s="370"/>
    </row>
    <row r="62" spans="2:6">
      <c r="B62" s="47" t="s">
        <v>238</v>
      </c>
      <c r="C62" s="349">
        <f>Normalized_FCF!C17</f>
        <v>0</v>
      </c>
      <c r="D62" s="1" t="str">
        <f>Reporting_currency</f>
        <v>CNY</v>
      </c>
    </row>
    <row r="64" spans="2:6" ht="24.6" customHeight="1">
      <c r="B64" s="368" t="s">
        <v>336</v>
      </c>
      <c r="C64" s="368"/>
      <c r="D64" s="368"/>
      <c r="E64" s="368"/>
      <c r="F64" s="368"/>
    </row>
    <row r="65" spans="1:6" ht="24.6" customHeight="1">
      <c r="B65" s="368" t="s">
        <v>351</v>
      </c>
      <c r="C65" s="368"/>
      <c r="D65" s="368"/>
      <c r="E65" s="368"/>
      <c r="F65" s="368"/>
    </row>
    <row r="67" spans="1:6">
      <c r="B67" s="47" t="s">
        <v>265</v>
      </c>
      <c r="C67" s="349">
        <f>Normalized_FCF!G19</f>
        <v>-206364</v>
      </c>
      <c r="D67" s="1" t="str">
        <f>Reporting_currency</f>
        <v>CNY</v>
      </c>
    </row>
    <row r="68" spans="1:6">
      <c r="B68" s="47" t="s">
        <v>244</v>
      </c>
      <c r="C68" s="349">
        <f>Normalized_FCF!C19</f>
        <v>-540.75</v>
      </c>
      <c r="D68" s="1" t="str">
        <f>Reporting_currency</f>
        <v>CNY</v>
      </c>
    </row>
    <row r="69" spans="1:6">
      <c r="B69" s="227" t="s">
        <v>374</v>
      </c>
      <c r="C69" s="92">
        <f>Normalized_FCF!C126</f>
        <v>-1.1466847491076299E-3</v>
      </c>
      <c r="F69" s="314"/>
    </row>
    <row r="70" spans="1:6">
      <c r="B70" s="227" t="s">
        <v>442</v>
      </c>
      <c r="C70" s="92">
        <f>Normalized_FCF!C94</f>
        <v>4.6696035242290754E-2</v>
      </c>
      <c r="E70" s="47" t="s">
        <v>432</v>
      </c>
      <c r="F70" s="315">
        <f>Normalized_FCF!C92</f>
        <v>-40.722644369893672</v>
      </c>
    </row>
    <row r="72" spans="1:6">
      <c r="B72" s="210" t="s">
        <v>435</v>
      </c>
      <c r="C72" s="323" t="s">
        <v>437</v>
      </c>
      <c r="D72" s="323" t="s">
        <v>438</v>
      </c>
    </row>
    <row r="73" spans="1:6">
      <c r="B73" s="47" t="s">
        <v>436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478</v>
      </c>
      <c r="B78" s="36"/>
      <c r="C78" s="36"/>
      <c r="D78" s="36"/>
      <c r="E78" s="36"/>
      <c r="F78" s="36"/>
    </row>
    <row r="79" spans="1:6">
      <c r="A79" s="209"/>
    </row>
    <row r="80" spans="1:6">
      <c r="A80" s="17"/>
      <c r="B80" s="368" t="s">
        <v>479</v>
      </c>
      <c r="C80" s="368"/>
      <c r="D80" s="368"/>
      <c r="E80" s="368"/>
      <c r="F80" s="368"/>
    </row>
    <row r="81" spans="1:6">
      <c r="B81" s="369" t="s">
        <v>248</v>
      </c>
      <c r="C81" s="369"/>
      <c r="D81" s="369"/>
      <c r="E81" s="369"/>
      <c r="F81" s="369"/>
    </row>
    <row r="83" spans="1:6">
      <c r="B83" s="210" t="s">
        <v>226</v>
      </c>
    </row>
    <row r="84" spans="1:6">
      <c r="B84" s="1" t="s">
        <v>411</v>
      </c>
      <c r="C84" s="92">
        <f>F31</f>
        <v>0.08</v>
      </c>
    </row>
    <row r="85" spans="1:6">
      <c r="B85" s="1" t="s">
        <v>410</v>
      </c>
      <c r="C85" s="92">
        <f>IF(C23="Y",1%,0)+IF(C24="Y",1%,0)</f>
        <v>0</v>
      </c>
    </row>
    <row r="86" spans="1:6">
      <c r="B86" s="80" t="s">
        <v>243</v>
      </c>
      <c r="C86" s="236">
        <f>F31+C85</f>
        <v>0.08</v>
      </c>
    </row>
    <row r="87" spans="1:6">
      <c r="C87" s="121"/>
    </row>
    <row r="88" spans="1:6">
      <c r="B88" s="293" t="s">
        <v>349</v>
      </c>
      <c r="C88" s="121"/>
    </row>
    <row r="89" spans="1:6" ht="24.6" customHeight="1">
      <c r="B89" s="368" t="s">
        <v>352</v>
      </c>
      <c r="C89" s="368"/>
      <c r="D89" s="368"/>
      <c r="E89" s="368"/>
      <c r="F89" s="368"/>
    </row>
    <row r="90" spans="1:6" ht="24.6" customHeight="1">
      <c r="B90" s="368" t="s">
        <v>353</v>
      </c>
      <c r="C90" s="368"/>
      <c r="D90" s="368"/>
      <c r="E90" s="368"/>
      <c r="F90" s="368"/>
    </row>
    <row r="92" spans="1:6">
      <c r="B92" s="47" t="s">
        <v>247</v>
      </c>
      <c r="C92" s="236">
        <v>0</v>
      </c>
    </row>
    <row r="93" spans="1:6">
      <c r="B93" s="47" t="s">
        <v>275</v>
      </c>
      <c r="C93" s="223">
        <f>DCF!C6*scaling_factor*Exchange_Rate/Common_Shares</f>
        <v>-0.32537179755928991</v>
      </c>
      <c r="D93" s="1" t="str">
        <f>Market_currency</f>
        <v>CNY</v>
      </c>
    </row>
    <row r="95" spans="1:6" ht="13.9">
      <c r="A95" s="222" t="s">
        <v>350</v>
      </c>
      <c r="B95" s="36"/>
      <c r="C95" s="36"/>
      <c r="D95" s="36"/>
      <c r="E95" s="36"/>
      <c r="F95" s="36"/>
    </row>
    <row r="96" spans="1:6">
      <c r="A96" s="209"/>
    </row>
    <row r="97" spans="2:6">
      <c r="B97" s="368" t="s">
        <v>354</v>
      </c>
      <c r="C97" s="368"/>
      <c r="D97" s="368"/>
      <c r="E97" s="368"/>
      <c r="F97" s="368"/>
    </row>
    <row r="98" spans="2:6">
      <c r="B98" s="1" t="s">
        <v>249</v>
      </c>
    </row>
    <row r="100" spans="2:6">
      <c r="B100" s="210" t="s">
        <v>226</v>
      </c>
    </row>
    <row r="101" spans="2:6" ht="24.6" customHeight="1">
      <c r="B101" s="368" t="s">
        <v>337</v>
      </c>
      <c r="C101" s="368"/>
      <c r="D101" s="368"/>
      <c r="E101" s="368"/>
      <c r="F101" s="368"/>
    </row>
    <row r="102" spans="2:6">
      <c r="B102" s="47" t="s">
        <v>251</v>
      </c>
      <c r="C102" s="349">
        <f>DCF!C7</f>
        <v>0</v>
      </c>
      <c r="D102" s="1" t="str">
        <f>Reporting_currency</f>
        <v>CNY</v>
      </c>
    </row>
    <row r="103" spans="2:6">
      <c r="B103" s="47" t="s">
        <v>276</v>
      </c>
      <c r="C103" s="223">
        <f>C102*scaling_factor*Exchange_Rate/Common_Shares</f>
        <v>0</v>
      </c>
      <c r="D103" s="1" t="str">
        <f>Market_currency</f>
        <v>CNY</v>
      </c>
    </row>
    <row r="104" spans="2:6">
      <c r="B104" s="296" t="s">
        <v>387</v>
      </c>
      <c r="C104" s="325">
        <f>IF(BS!G31/BS!G27&gt;300%,"nm",BS!G31/BS!G27)</f>
        <v>0</v>
      </c>
    </row>
    <row r="105" spans="2:6">
      <c r="B105" s="296" t="s">
        <v>389</v>
      </c>
      <c r="C105" s="326">
        <f>IF(BS!C50&gt;30,"nm",BS!C50)</f>
        <v>0</v>
      </c>
    </row>
    <row r="107" spans="2:6">
      <c r="B107" s="1" t="s">
        <v>250</v>
      </c>
    </row>
    <row r="108" spans="2:6">
      <c r="B108" s="47" t="s">
        <v>260</v>
      </c>
      <c r="C108" s="349">
        <f>BS!C66</f>
        <v>2</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68" t="s">
        <v>355</v>
      </c>
      <c r="C116" s="368"/>
      <c r="D116" s="368"/>
      <c r="E116" s="368"/>
      <c r="F116" s="368"/>
    </row>
    <row r="118" spans="1:6">
      <c r="B118" s="47" t="s">
        <v>433</v>
      </c>
      <c r="C118" s="223">
        <f>IF(valuation_method="DCF",DCF!C12,DDM!C7)</f>
        <v>13.25</v>
      </c>
      <c r="D118" s="1" t="str">
        <f>Market_currency</f>
        <v>CNY</v>
      </c>
    </row>
    <row r="119" spans="1:6">
      <c r="B119" s="296" t="s">
        <v>557</v>
      </c>
      <c r="C119" s="223">
        <f>BS!D47</f>
        <v>4.3322735874745961E-5</v>
      </c>
      <c r="D119" s="1" t="str">
        <f>Market_currency</f>
        <v>CNY</v>
      </c>
    </row>
    <row r="121" spans="1:6" ht="13.9">
      <c r="A121" s="222" t="s">
        <v>480</v>
      </c>
      <c r="B121" s="36"/>
      <c r="C121" s="36"/>
      <c r="D121" s="36"/>
      <c r="E121" s="36"/>
      <c r="F121" s="36"/>
    </row>
    <row r="123" spans="1:6">
      <c r="B123" s="367" t="s">
        <v>481</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254</v>
      </c>
      <c r="C132" s="217">
        <f>Scenarios!C60</f>
        <v>14.723869312014129</v>
      </c>
      <c r="D132" s="212" t="str">
        <f>Market_currency</f>
        <v>CNY</v>
      </c>
    </row>
    <row r="134" spans="1:6" ht="24.6" customHeight="1">
      <c r="B134" s="372" t="s">
        <v>482</v>
      </c>
      <c r="C134" s="372"/>
      <c r="D134" s="372"/>
      <c r="E134" s="372"/>
      <c r="F134" s="372"/>
    </row>
    <row r="136" spans="1:6" ht="13.9">
      <c r="A136" s="222" t="s">
        <v>483</v>
      </c>
      <c r="B136" s="36"/>
      <c r="C136" s="36"/>
      <c r="D136" s="36"/>
      <c r="E136" s="36"/>
      <c r="F136" s="36"/>
    </row>
    <row r="138" spans="1:6">
      <c r="B138" s="373" t="s">
        <v>356</v>
      </c>
      <c r="C138" s="373"/>
      <c r="D138" s="373"/>
      <c r="E138" s="373"/>
      <c r="F138" s="373"/>
    </row>
    <row r="139" spans="1:6">
      <c r="B139" s="368" t="s">
        <v>484</v>
      </c>
      <c r="C139" s="368"/>
      <c r="D139" s="368"/>
      <c r="E139" s="368"/>
      <c r="F139" s="368"/>
    </row>
    <row r="140" spans="1:6">
      <c r="B140" s="210" t="s">
        <v>226</v>
      </c>
    </row>
    <row r="141" spans="1:6">
      <c r="B141" s="1" t="s">
        <v>259</v>
      </c>
      <c r="C141" s="225">
        <f>F28</f>
        <v>3</v>
      </c>
    </row>
    <row r="142" spans="1:6">
      <c r="B142" s="1" t="s">
        <v>271</v>
      </c>
      <c r="C142" s="224">
        <f>F29</f>
        <v>0.4</v>
      </c>
    </row>
    <row r="143" spans="1:6">
      <c r="B143" s="212" t="s">
        <v>257</v>
      </c>
      <c r="C143" s="213">
        <f>Scenarios!C77</f>
        <v>1.06</v>
      </c>
      <c r="D143" s="212" t="str">
        <f>Market_currency</f>
        <v>CNY</v>
      </c>
    </row>
    <row r="145" spans="2:4">
      <c r="B145" s="210" t="s">
        <v>391</v>
      </c>
      <c r="C145" s="241" t="str">
        <f>C11</f>
        <v>601166.SS</v>
      </c>
      <c r="D145" s="241" t="str">
        <f>IF(D11="","",D11)</f>
        <v/>
      </c>
    </row>
    <row r="146" spans="2:4">
      <c r="B146" s="1" t="s">
        <v>390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256</v>
      </c>
      <c r="C149" s="215">
        <f>Scenarios!C83</f>
        <v>7.0500981457777456</v>
      </c>
      <c r="D149" s="300" t="str">
        <f>IF($D$11="","",C149*$E$25)</f>
        <v/>
      </c>
    </row>
    <row r="150" spans="2:4">
      <c r="B150" s="259" t="s">
        <v>399</v>
      </c>
      <c r="C150" s="298" t="str">
        <f>Market_currency</f>
        <v>CNY</v>
      </c>
      <c r="D150" s="298" t="str">
        <f>IF($D$11="","",D$13)</f>
        <v/>
      </c>
    </row>
    <row r="151" spans="2:4">
      <c r="B151" s="214" t="s">
        <v>258</v>
      </c>
      <c r="C151" s="92">
        <f>Scenarios!F83</f>
        <v>0.52117897840718208</v>
      </c>
    </row>
    <row r="153" spans="2:4">
      <c r="B153" s="210" t="s">
        <v>394</v>
      </c>
    </row>
    <row r="154" spans="2:4">
      <c r="B154" s="1" t="s">
        <v>393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256</v>
      </c>
      <c r="C157" s="215">
        <f>Scenarios!C93</f>
        <v>10.273312145077192</v>
      </c>
      <c r="D157" s="300" t="str">
        <f>IF($D$11="","",C157*$E$25)</f>
        <v/>
      </c>
    </row>
    <row r="158" spans="2:4">
      <c r="B158" s="259" t="s">
        <v>399</v>
      </c>
      <c r="C158" s="298" t="str">
        <f>Market_currency</f>
        <v>CNY</v>
      </c>
      <c r="D158" s="298" t="str">
        <f>IF($D$11="","",D$13)</f>
        <v/>
      </c>
    </row>
    <row r="159" spans="2:4">
      <c r="B159" s="214" t="s">
        <v>258</v>
      </c>
      <c r="C159" s="92">
        <f>Scenarios!F93</f>
        <v>0.30226817914673065</v>
      </c>
    </row>
    <row r="161" spans="2:4">
      <c r="B161" s="210" t="s">
        <v>384</v>
      </c>
    </row>
    <row r="162" spans="2:4">
      <c r="B162" s="1" t="s">
        <v>392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385</v>
      </c>
      <c r="C165" s="215">
        <f>Scenarios!C99</f>
        <v>14.420004978927032</v>
      </c>
      <c r="D165" s="300" t="str">
        <f>IF($D$11="","",C165*$E$25)</f>
        <v/>
      </c>
    </row>
    <row r="166" spans="2:4">
      <c r="B166" s="259" t="s">
        <v>399</v>
      </c>
      <c r="C166" s="298" t="str">
        <f>Market_currency</f>
        <v>CNY</v>
      </c>
      <c r="D166" s="298" t="str">
        <f>IF($D$11="","",D$13)</f>
        <v/>
      </c>
    </row>
    <row r="167" spans="2:4">
      <c r="B167" s="214" t="s">
        <v>258</v>
      </c>
      <c r="C167" s="92">
        <f>Scenarios!F99</f>
        <v>2.0637532611020526E-2</v>
      </c>
    </row>
    <row r="169" spans="2:4">
      <c r="B169" s="210" t="s">
        <v>412</v>
      </c>
    </row>
    <row r="170" spans="2:4">
      <c r="B170" s="1" t="s">
        <v>403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385</v>
      </c>
      <c r="C173" s="215">
        <f>Scenarios!C105</f>
        <v>13.026100491992562</v>
      </c>
      <c r="D173" s="300" t="str">
        <f>IF($D$11="","",C173*$E$25)</f>
        <v/>
      </c>
    </row>
    <row r="174" spans="2:4">
      <c r="B174" s="259" t="s">
        <v>399</v>
      </c>
      <c r="C174" s="298" t="str">
        <f>Market_currency</f>
        <v>CNY</v>
      </c>
      <c r="D174" s="298" t="str">
        <f>IF($D$11="","",D$13)</f>
        <v/>
      </c>
    </row>
    <row r="175" spans="2:4">
      <c r="B175" s="214" t="s">
        <v>258</v>
      </c>
      <c r="C175" s="92">
        <f>Scenarios!F105</f>
        <v>0.11507499641644758</v>
      </c>
    </row>
    <row r="177" spans="1:6" ht="13.9">
      <c r="A177" s="222" t="s">
        <v>360</v>
      </c>
      <c r="B177" s="36"/>
      <c r="C177" s="36"/>
      <c r="D177" s="36"/>
      <c r="E177" s="36"/>
      <c r="F177" s="36"/>
    </row>
    <row r="179" spans="1:6">
      <c r="B179" s="374" t="s">
        <v>485</v>
      </c>
      <c r="C179" s="368"/>
      <c r="D179" s="368"/>
      <c r="E179" s="368"/>
      <c r="F179" s="368"/>
    </row>
    <row r="181" spans="1:6">
      <c r="B181" s="210" t="s">
        <v>361</v>
      </c>
    </row>
    <row r="182" spans="1:6">
      <c r="B182" s="370" t="s">
        <v>365</v>
      </c>
      <c r="C182" s="370"/>
      <c r="D182" s="370"/>
      <c r="E182" s="370"/>
      <c r="F182" s="370"/>
    </row>
    <row r="183" spans="1:6">
      <c r="B183" s="214" t="s">
        <v>362</v>
      </c>
    </row>
    <row r="184" spans="1:6">
      <c r="B184" s="214" t="s">
        <v>363</v>
      </c>
    </row>
    <row r="185" spans="1:6">
      <c r="B185" s="214" t="s">
        <v>364</v>
      </c>
    </row>
    <row r="187" spans="1:6">
      <c r="B187" s="1" t="s">
        <v>368</v>
      </c>
    </row>
    <row r="188" spans="1:6" ht="34.35" customHeight="1">
      <c r="B188" s="367" t="s">
        <v>486</v>
      </c>
      <c r="C188" s="367"/>
      <c r="D188" s="367"/>
      <c r="E188" s="367"/>
      <c r="F188" s="367"/>
    </row>
    <row r="190" spans="1:6">
      <c r="B190" s="1" t="s">
        <v>369</v>
      </c>
    </row>
    <row r="191" spans="1:6" ht="24.6" customHeight="1">
      <c r="B191" s="371" t="s">
        <v>366</v>
      </c>
      <c r="C191" s="371"/>
      <c r="D191" s="371"/>
      <c r="E191" s="371"/>
      <c r="F191" s="371"/>
    </row>
    <row r="192" spans="1:6" ht="24.6" customHeight="1">
      <c r="B192" s="371" t="s">
        <v>367</v>
      </c>
      <c r="C192" s="371"/>
      <c r="D192" s="371"/>
      <c r="E192" s="371"/>
      <c r="F192" s="371"/>
    </row>
    <row r="194" spans="2:2">
      <c r="B194" s="1" t="s">
        <v>373</v>
      </c>
    </row>
    <row r="195" spans="2:2">
      <c r="B195" s="214" t="s">
        <v>370</v>
      </c>
    </row>
    <row r="196" spans="2:2">
      <c r="B196" s="214" t="s">
        <v>371</v>
      </c>
    </row>
    <row r="197" spans="2:2">
      <c r="B197" s="214" t="s">
        <v>372</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c r="E4" s="351"/>
      <c r="F4" s="351"/>
      <c r="G4" s="351"/>
      <c r="H4" s="351"/>
      <c r="I4" s="351"/>
      <c r="J4" s="351"/>
      <c r="K4" s="351"/>
      <c r="L4" s="351"/>
      <c r="M4" s="351"/>
    </row>
    <row r="5" spans="2:13">
      <c r="B5" s="40" t="s">
        <v>41</v>
      </c>
      <c r="C5" s="351">
        <v>0</v>
      </c>
      <c r="D5" s="351"/>
      <c r="E5" s="351"/>
      <c r="F5" s="351"/>
      <c r="G5" s="351"/>
      <c r="H5" s="351"/>
      <c r="I5" s="351"/>
      <c r="J5" s="351"/>
      <c r="K5" s="351"/>
      <c r="L5" s="351"/>
      <c r="M5" s="351"/>
    </row>
    <row r="6" spans="2:13">
      <c r="B6" s="40" t="s">
        <v>52</v>
      </c>
      <c r="C6" s="351">
        <v>62611</v>
      </c>
      <c r="D6" s="351"/>
      <c r="E6" s="351"/>
      <c r="F6" s="351"/>
      <c r="G6" s="351"/>
      <c r="H6" s="351"/>
      <c r="I6" s="351"/>
      <c r="J6" s="351"/>
      <c r="K6" s="351"/>
      <c r="L6" s="351"/>
      <c r="M6" s="351"/>
    </row>
    <row r="7" spans="2:13">
      <c r="B7" s="69" t="s">
        <v>59</v>
      </c>
      <c r="C7" s="352">
        <v>0</v>
      </c>
      <c r="D7" s="352"/>
      <c r="E7" s="352"/>
      <c r="F7" s="352"/>
      <c r="G7" s="352"/>
      <c r="H7" s="352"/>
      <c r="I7" s="352"/>
      <c r="J7" s="352"/>
      <c r="K7" s="352"/>
      <c r="L7" s="352"/>
      <c r="M7" s="352"/>
    </row>
    <row r="8" spans="2:13">
      <c r="B8" s="40" t="s">
        <v>47</v>
      </c>
      <c r="C8" s="351">
        <v>0</v>
      </c>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c r="E12" s="351"/>
      <c r="F12" s="351"/>
      <c r="G12" s="351"/>
      <c r="H12" s="351"/>
      <c r="I12" s="351"/>
      <c r="J12" s="351"/>
      <c r="K12" s="351"/>
      <c r="L12" s="351"/>
      <c r="M12" s="351"/>
    </row>
    <row r="13" spans="2:13">
      <c r="B13" s="40" t="s">
        <v>65</v>
      </c>
      <c r="C13" s="351">
        <v>343835</v>
      </c>
      <c r="D13" s="351"/>
      <c r="E13" s="351"/>
      <c r="F13" s="351"/>
      <c r="G13" s="351"/>
      <c r="H13" s="351"/>
      <c r="I13" s="351"/>
      <c r="J13" s="351"/>
      <c r="K13" s="351"/>
      <c r="L13" s="351"/>
      <c r="M13" s="351"/>
    </row>
    <row r="14" spans="2:13">
      <c r="B14" s="40" t="s">
        <v>48</v>
      </c>
      <c r="C14" s="351">
        <v>9629</v>
      </c>
      <c r="D14" s="351"/>
      <c r="E14" s="351"/>
      <c r="F14" s="351"/>
      <c r="G14" s="351"/>
      <c r="H14" s="351"/>
      <c r="I14" s="351"/>
      <c r="J14" s="351"/>
      <c r="K14" s="351"/>
      <c r="L14" s="351"/>
      <c r="M14" s="351"/>
    </row>
    <row r="15" spans="2:13">
      <c r="B15" s="43" t="s">
        <v>40</v>
      </c>
      <c r="C15" s="353">
        <v>77491</v>
      </c>
      <c r="D15" s="353"/>
      <c r="E15" s="353"/>
      <c r="F15" s="353"/>
      <c r="G15" s="353"/>
      <c r="H15" s="353"/>
      <c r="I15" s="353"/>
      <c r="J15" s="353"/>
      <c r="K15" s="353"/>
      <c r="L15" s="353"/>
      <c r="M15" s="353"/>
    </row>
    <row r="16" spans="2:13">
      <c r="B16" s="28" t="s">
        <v>42</v>
      </c>
      <c r="C16" s="351">
        <v>286</v>
      </c>
      <c r="D16" s="351"/>
      <c r="E16" s="351"/>
      <c r="F16" s="351"/>
      <c r="G16" s="351"/>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357</v>
      </c>
      <c r="C22" s="351">
        <v>-237258</v>
      </c>
      <c r="D22" s="351"/>
      <c r="E22" s="351"/>
      <c r="F22" s="351"/>
      <c r="G22" s="351"/>
      <c r="H22" s="351"/>
      <c r="I22" s="351"/>
      <c r="J22" s="351"/>
      <c r="K22" s="351"/>
      <c r="L22" s="351"/>
      <c r="M22" s="351"/>
    </row>
    <row r="23" spans="2:13">
      <c r="B23" s="27" t="s">
        <v>359</v>
      </c>
      <c r="C23" s="351">
        <v>23438</v>
      </c>
      <c r="D23" s="351"/>
      <c r="E23" s="351"/>
      <c r="F23" s="351"/>
      <c r="G23" s="351"/>
      <c r="H23" s="351"/>
      <c r="I23" s="351"/>
      <c r="J23" s="351"/>
      <c r="K23" s="351"/>
      <c r="L23" s="351"/>
      <c r="M23" s="351"/>
    </row>
    <row r="24" spans="2:13">
      <c r="B24" s="27" t="s">
        <v>358</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215</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1</v>
      </c>
      <c r="D30" s="353"/>
      <c r="E30" s="353"/>
      <c r="F30" s="353"/>
      <c r="G30" s="353"/>
      <c r="H30" s="353"/>
      <c r="I30" s="353"/>
      <c r="J30" s="353"/>
      <c r="K30" s="353"/>
      <c r="L30" s="353"/>
      <c r="M30" s="353"/>
    </row>
    <row r="31" spans="2:13">
      <c r="B31" s="29" t="s">
        <v>28</v>
      </c>
      <c r="C31" s="334">
        <f>BS!G27</f>
        <v>3</v>
      </c>
      <c r="D31" s="353"/>
      <c r="E31" s="353"/>
      <c r="F31" s="353"/>
      <c r="G31" s="353"/>
      <c r="H31" s="353"/>
      <c r="I31" s="353"/>
      <c r="J31" s="353"/>
      <c r="K31" s="353"/>
      <c r="L31" s="353"/>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377</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84</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38</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v>1</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v>
      </c>
      <c r="D12" s="20">
        <f>C4*D4+C5*D5+C9*D9+C6*D6+C8*D8+C7*D7+C10*D10+C11*D11</f>
        <v>0.1</v>
      </c>
      <c r="F12" s="80" t="s">
        <v>68</v>
      </c>
      <c r="G12" s="81">
        <f>SUM(G4:G9)</f>
        <v>1</v>
      </c>
      <c r="H12" s="20">
        <f>G4*H4+G5*H5+G6*H6+G7*H7+G8*H8+G9*H9</f>
        <v>0.9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439</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1</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0</v>
      </c>
      <c r="D22" s="261">
        <v>0.9</v>
      </c>
      <c r="H22" s="262"/>
    </row>
    <row r="23" spans="2:8" ht="15" customHeight="1">
      <c r="B23" s="4" t="s">
        <v>19</v>
      </c>
      <c r="C23" s="19">
        <v>0</v>
      </c>
      <c r="D23" s="261">
        <v>0</v>
      </c>
      <c r="H23" s="262"/>
    </row>
    <row r="24" spans="2:8" ht="15" customHeight="1">
      <c r="B24" s="80" t="s">
        <v>71</v>
      </c>
      <c r="C24" s="81">
        <f>SUM(C15:C23)</f>
        <v>1</v>
      </c>
      <c r="D24" s="20">
        <f>C15*D15+C16*D16+C18*D18+C17*D17+C19*D19+C20*D20+C21*D21+C22*D22+C23*D23</f>
        <v>0.1</v>
      </c>
      <c r="F24" s="80" t="s">
        <v>69</v>
      </c>
      <c r="G24" s="81">
        <f>SUM(G15:G21)</f>
        <v>1</v>
      </c>
      <c r="H24" s="20">
        <f>G15*H15+G16*H16+G17*H17+G18*H18+G19*H19+G20*H20+G21*H21</f>
        <v>0.8</v>
      </c>
    </row>
    <row r="26" spans="2:8" ht="15" customHeight="1">
      <c r="B26" s="16" t="s">
        <v>196</v>
      </c>
      <c r="C26" s="182" t="s">
        <v>132</v>
      </c>
      <c r="F26" s="184" t="s">
        <v>192</v>
      </c>
      <c r="G26" s="185" t="s">
        <v>132</v>
      </c>
      <c r="H26" s="186" t="s">
        <v>33</v>
      </c>
    </row>
    <row r="27" spans="2:8" ht="15" customHeight="1">
      <c r="B27" s="4" t="s">
        <v>3</v>
      </c>
      <c r="C27" s="19">
        <v>0</v>
      </c>
      <c r="F27" s="187" t="s">
        <v>28</v>
      </c>
      <c r="G27" s="85">
        <f>G32-G30</f>
        <v>3</v>
      </c>
      <c r="H27" s="188">
        <f>H32-G30</f>
        <v>0.90000000000000013</v>
      </c>
    </row>
    <row r="28" spans="2:8" ht="15" customHeight="1">
      <c r="B28" s="4" t="s">
        <v>4</v>
      </c>
      <c r="C28" s="19">
        <v>0</v>
      </c>
      <c r="F28" s="189" t="s">
        <v>240</v>
      </c>
      <c r="G28" s="12">
        <v>0</v>
      </c>
      <c r="H28" s="188"/>
    </row>
    <row r="29" spans="2:8" ht="15" customHeight="1">
      <c r="B29" s="4" t="s">
        <v>5</v>
      </c>
      <c r="C29" s="19">
        <v>0</v>
      </c>
      <c r="F29" s="190" t="s">
        <v>73</v>
      </c>
      <c r="G29" s="14">
        <f>G27-G28</f>
        <v>3</v>
      </c>
      <c r="H29" s="188">
        <f>H27-G28</f>
        <v>0.90000000000000013</v>
      </c>
    </row>
    <row r="30" spans="2:8" ht="15" customHeight="1">
      <c r="B30" s="2" t="s">
        <v>6</v>
      </c>
      <c r="C30" s="19">
        <v>0</v>
      </c>
      <c r="F30" s="187" t="s">
        <v>21</v>
      </c>
      <c r="G30" s="85">
        <f>C33+C42</f>
        <v>1</v>
      </c>
      <c r="H30" s="188"/>
    </row>
    <row r="31" spans="2:8" ht="15" customHeight="1">
      <c r="B31" s="80" t="s">
        <v>199</v>
      </c>
      <c r="C31" s="81">
        <f>SUM(C27:C30)</f>
        <v>0</v>
      </c>
      <c r="F31" s="190" t="s">
        <v>74</v>
      </c>
      <c r="G31" s="191">
        <f>C31+C40</f>
        <v>0</v>
      </c>
      <c r="H31" s="188"/>
    </row>
    <row r="32" spans="2:8" ht="15" customHeight="1">
      <c r="B32" s="4" t="s">
        <v>7</v>
      </c>
      <c r="C32" s="21">
        <f>C33-C31</f>
        <v>1</v>
      </c>
      <c r="F32" s="192" t="s">
        <v>72</v>
      </c>
      <c r="G32" s="193">
        <f>G35+G40</f>
        <v>4</v>
      </c>
      <c r="H32" s="188">
        <f>H35+H40</f>
        <v>1.9000000000000001</v>
      </c>
    </row>
    <row r="33" spans="2:8" ht="15" customHeight="1">
      <c r="B33" s="83" t="s">
        <v>2</v>
      </c>
      <c r="C33" s="84">
        <v>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v>
      </c>
      <c r="H35" s="200">
        <f>D12+D24</f>
        <v>0.2</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v>
      </c>
      <c r="H39" s="188">
        <f>C7*D7+C17*D17+C19*D19+C20*D20</f>
        <v>0.1</v>
      </c>
    </row>
    <row r="40" spans="2:8" ht="15" customHeight="1">
      <c r="B40" s="80" t="s">
        <v>200</v>
      </c>
      <c r="C40" s="81">
        <f>SUM(C36:C39)</f>
        <v>0</v>
      </c>
      <c r="F40" s="199" t="s">
        <v>134</v>
      </c>
      <c r="G40" s="193">
        <f>G12+G24</f>
        <v>2</v>
      </c>
      <c r="H40" s="200">
        <f>H12+H24</f>
        <v>1.7000000000000002</v>
      </c>
    </row>
    <row r="41" spans="2:8" ht="15" customHeight="1">
      <c r="B41" s="4" t="s">
        <v>15</v>
      </c>
      <c r="C41" s="21">
        <f>C42-C40</f>
        <v>0</v>
      </c>
      <c r="F41" s="190" t="s">
        <v>187</v>
      </c>
      <c r="G41" s="191">
        <f>C70</f>
        <v>2</v>
      </c>
      <c r="H41" s="200">
        <f>H40-H42</f>
        <v>1.7000000000000002</v>
      </c>
    </row>
    <row r="42" spans="2:8" ht="15" customHeight="1">
      <c r="B42" s="83" t="s">
        <v>20</v>
      </c>
      <c r="C42" s="84">
        <v>0</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388</v>
      </c>
      <c r="F45" s="256" t="s">
        <v>57</v>
      </c>
    </row>
    <row r="46" spans="2:8" ht="15" customHeight="1">
      <c r="B46" s="1" t="s">
        <v>268</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v>
      </c>
      <c r="D50" s="95">
        <f>G31/Normalized_FCF!G8</f>
        <v>0</v>
      </c>
      <c r="F50" s="253"/>
    </row>
    <row r="51" spans="2:8" ht="15" customHeight="1">
      <c r="B51" s="1" t="s">
        <v>172</v>
      </c>
      <c r="C51" s="181"/>
      <c r="D51" s="92">
        <f>G29/G32</f>
        <v>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-360.5</v>
      </c>
      <c r="D54" s="92">
        <f>Normalized_FCF!G8/G35</f>
        <v>-360.5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0.25</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281</v>
      </c>
      <c r="F65" s="256" t="s">
        <v>57</v>
      </c>
    </row>
    <row r="66" spans="2:6" ht="15" customHeight="1">
      <c r="B66" s="105" t="s">
        <v>183</v>
      </c>
      <c r="C66" s="20">
        <f>G4+G5+G15</f>
        <v>2</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v>
      </c>
      <c r="F70" s="253"/>
    </row>
    <row r="71" spans="2:6" ht="15" customHeight="1">
      <c r="F71" s="253"/>
    </row>
    <row r="72" spans="2:6" ht="15" customHeight="1">
      <c r="B72" s="255" t="s">
        <v>310</v>
      </c>
      <c r="C72" s="234" t="s">
        <v>92</v>
      </c>
      <c r="D72" s="182" t="s">
        <v>55</v>
      </c>
      <c r="F72" s="253"/>
    </row>
    <row r="73" spans="2:6" ht="15" customHeight="1">
      <c r="B73" s="105" t="s">
        <v>309</v>
      </c>
      <c r="C73" s="349">
        <f>(Normalized_FCF!G25+Normalized_FCF!G35-Normalized_FCF!G91)/12</f>
        <v>-7052.6474952516664</v>
      </c>
      <c r="D73" s="349">
        <f>(Normalized_FCF!C25+Normalized_FCF!C35-Normalized_FCF!C91)/12</f>
        <v>-7052.6474952516664</v>
      </c>
      <c r="F73" s="1" t="s">
        <v>344</v>
      </c>
    </row>
    <row r="74" spans="2:6" ht="15" customHeight="1">
      <c r="B74" s="257" t="s">
        <v>314</v>
      </c>
      <c r="C74" s="258">
        <f>-$C$66/C73</f>
        <v>2.8358144956862504E-4</v>
      </c>
      <c r="D74" s="258">
        <f>-$C$66/D73</f>
        <v>2.8358144956862504E-4</v>
      </c>
      <c r="F74" s="253" t="s">
        <v>311</v>
      </c>
    </row>
    <row r="75" spans="2:6" ht="15" customHeight="1">
      <c r="B75" s="80" t="s">
        <v>312</v>
      </c>
      <c r="C75" s="320"/>
      <c r="D75" s="321">
        <f>MAX(-D73*D76,G5)</f>
        <v>2</v>
      </c>
      <c r="F75" s="253" t="s">
        <v>345</v>
      </c>
    </row>
    <row r="76" spans="2:6" ht="15" customHeight="1">
      <c r="B76" s="259" t="s">
        <v>315</v>
      </c>
      <c r="C76" s="260"/>
      <c r="D76" s="290">
        <f>IF(valuation_method="DCF",IF(D74&lt;=3,1,IF(D74&gt;18,6,2)),-C66/D73)</f>
        <v>2.8358144956862504E-4</v>
      </c>
      <c r="F76" s="253" t="s">
        <v>316</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284</v>
      </c>
      <c r="C84" s="37"/>
      <c r="D84" s="37"/>
      <c r="E84" s="37"/>
      <c r="F84" s="37"/>
      <c r="G84" s="37"/>
      <c r="H84" s="37"/>
    </row>
    <row r="85" spans="2:8" ht="15" customHeight="1">
      <c r="B85" s="16" t="s">
        <v>285</v>
      </c>
      <c r="D85" s="241" t="s">
        <v>286</v>
      </c>
    </row>
    <row r="86" spans="2:8" ht="15" customHeight="1">
      <c r="B86" s="238" t="s">
        <v>282</v>
      </c>
      <c r="C86" s="76">
        <f>-DCF!C7*Exchange_Rate</f>
        <v>0</v>
      </c>
      <c r="D86" s="223">
        <f>C86*scaling_factor/Common_Shares</f>
        <v>0</v>
      </c>
      <c r="E86" s="240" t="str">
        <f>Market_currency</f>
        <v>CNY</v>
      </c>
    </row>
    <row r="87" spans="2:8" ht="15" customHeight="1">
      <c r="B87" s="238" t="s">
        <v>283</v>
      </c>
      <c r="C87" s="76">
        <f>DCF!C8*Exchange_Rate</f>
        <v>0</v>
      </c>
      <c r="D87" s="223">
        <f>C87*scaling_factor/Common_Shares</f>
        <v>0</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287</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324</v>
      </c>
      <c r="F17" s="58"/>
      <c r="G17" s="335"/>
      <c r="H17" s="335"/>
      <c r="I17" s="335"/>
      <c r="J17" s="335"/>
      <c r="K17" s="335"/>
      <c r="L17" s="335"/>
      <c r="M17" s="335"/>
      <c r="N17" s="335"/>
      <c r="O17" s="335"/>
      <c r="P17" s="335"/>
      <c r="Q17" s="335"/>
    </row>
    <row r="18" spans="1:17" ht="15.75" customHeight="1">
      <c r="A18" s="10"/>
      <c r="B18" s="27" t="s">
        <v>95</v>
      </c>
      <c r="C18" s="328">
        <v>0</v>
      </c>
      <c r="D18" s="58"/>
      <c r="E18" s="267" t="s">
        <v>325</v>
      </c>
      <c r="F18" s="58"/>
      <c r="G18" s="336"/>
      <c r="H18" s="336"/>
      <c r="I18" s="336"/>
      <c r="J18" s="336"/>
      <c r="K18" s="336"/>
      <c r="L18" s="336"/>
      <c r="M18" s="336"/>
      <c r="N18" s="336"/>
      <c r="O18" s="336"/>
      <c r="P18" s="336"/>
      <c r="Q18" s="336"/>
    </row>
    <row r="19" spans="1:17" ht="15.75" customHeight="1">
      <c r="A19" s="10"/>
      <c r="B19" s="31" t="s">
        <v>64</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-62611</v>
      </c>
      <c r="E33" s="266" t="s">
        <v>326</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326</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338</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335</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328</v>
      </c>
      <c r="G53" s="6">
        <f>IF(Normalized_FCF!G4="","",Normalized_FCF!G49/BS!$C$66)</f>
        <v>171917.5</v>
      </c>
      <c r="H53" s="169"/>
      <c r="I53" s="169"/>
      <c r="J53" s="169"/>
      <c r="K53" s="169"/>
      <c r="L53" s="169"/>
      <c r="M53" s="169"/>
      <c r="N53" s="169"/>
      <c r="O53" s="169"/>
      <c r="P53" s="169"/>
      <c r="Q53" s="169"/>
    </row>
    <row r="54" spans="1:17" ht="15.75" customHeight="1">
      <c r="A54" s="10"/>
      <c r="B54" s="8" t="s">
        <v>85</v>
      </c>
      <c r="C54" s="82">
        <f>G54</f>
        <v>0</v>
      </c>
      <c r="E54" s="265" t="s">
        <v>329</v>
      </c>
      <c r="G54" s="23">
        <f>IFERROR(ABS(Normalized_FCF!G47/BS!$G$31),0)</f>
        <v>0</v>
      </c>
      <c r="H54" s="169"/>
      <c r="I54" s="169"/>
      <c r="J54" s="169"/>
      <c r="K54" s="169"/>
      <c r="L54" s="169"/>
      <c r="M54" s="169"/>
      <c r="N54" s="169"/>
      <c r="O54" s="169"/>
      <c r="P54" s="169"/>
      <c r="Q54" s="169"/>
    </row>
    <row r="55" spans="1:17" ht="15.75" customHeight="1">
      <c r="A55" s="10"/>
      <c r="B55" s="26" t="s">
        <v>88</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330</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347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441</v>
      </c>
      <c r="C93" s="356">
        <v>0</v>
      </c>
      <c r="E93" s="268"/>
      <c r="G93" s="357"/>
      <c r="H93" s="357"/>
      <c r="I93" s="357"/>
      <c r="J93" s="357"/>
      <c r="K93" s="357"/>
      <c r="L93" s="357"/>
      <c r="M93" s="357"/>
      <c r="N93" s="357"/>
      <c r="O93" s="357"/>
      <c r="P93" s="357"/>
      <c r="Q93" s="357"/>
    </row>
    <row r="94" spans="1:17" ht="15.75" customHeight="1">
      <c r="A94" s="10"/>
      <c r="B94" s="2" t="s">
        <v>440</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375</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376</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378</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-540.75</v>
      </c>
      <c r="D4" t="str">
        <f>Reporting_currency</f>
        <v>CNY</v>
      </c>
      <c r="E4" s="100" t="s">
        <v>246</v>
      </c>
      <c r="F4" s="134">
        <f>Terminal_Growth</f>
        <v>0</v>
      </c>
      <c r="H4" s="120"/>
    </row>
    <row r="5" spans="2:8">
      <c r="B5" s="205" t="s">
        <v>119</v>
      </c>
      <c r="C5" s="206">
        <f>Equity_Cost</f>
        <v>0.08</v>
      </c>
      <c r="E5" s="148"/>
      <c r="H5" s="120"/>
    </row>
    <row r="6" spans="2:8" ht="13.35" customHeight="1">
      <c r="B6" s="149" t="s">
        <v>224</v>
      </c>
      <c r="C6" s="347">
        <f>(C4*(1+Terminal_Growth))/(Equity_Cost-Terminal_Growth)</f>
        <v>-6759.375</v>
      </c>
      <c r="D6" t="str">
        <f>Reporting_currency</f>
        <v>CNY</v>
      </c>
      <c r="E6" s="375" t="s">
        <v>245</v>
      </c>
      <c r="F6" s="375"/>
      <c r="H6" s="120"/>
    </row>
    <row r="7" spans="2:8">
      <c r="B7" s="148" t="s">
        <v>220</v>
      </c>
      <c r="C7" s="338">
        <f>BS!G31</f>
        <v>0</v>
      </c>
      <c r="D7" t="str">
        <f>Reporting_currency</f>
        <v>CNY</v>
      </c>
      <c r="E7" s="375"/>
      <c r="F7" s="375"/>
      <c r="H7" s="120"/>
    </row>
    <row r="8" spans="2:8">
      <c r="B8" s="148" t="s">
        <v>221</v>
      </c>
      <c r="C8" s="338">
        <f>BS!D66</f>
        <v>0</v>
      </c>
      <c r="D8" t="str">
        <f>Reporting_currency</f>
        <v>CNY</v>
      </c>
      <c r="E8" s="375"/>
      <c r="F8" s="375"/>
      <c r="H8" s="120"/>
    </row>
    <row r="9" spans="2:8">
      <c r="B9" s="205" t="s">
        <v>186</v>
      </c>
      <c r="C9" s="348">
        <f>BS!H42</f>
        <v>0</v>
      </c>
      <c r="D9" t="str">
        <f>Reporting_currency</f>
        <v>CNY</v>
      </c>
      <c r="E9" s="375"/>
      <c r="F9" s="375"/>
      <c r="H9" s="120"/>
    </row>
    <row r="10" spans="2:8" ht="13.15">
      <c r="B10" s="149" t="s">
        <v>223</v>
      </c>
      <c r="C10" s="347">
        <f>C6-C7+C8+C9</f>
        <v>-6759.375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-0.32537179755928991</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2.3752619295331442E-2</v>
      </c>
      <c r="H16" s="120"/>
    </row>
    <row r="17" spans="2:17" ht="13.35" customHeight="1">
      <c r="B17" s="118" t="s">
        <v>130</v>
      </c>
      <c r="C17" s="162">
        <f>Scenarios!C64</f>
        <v>5</v>
      </c>
      <c r="H17" s="120"/>
    </row>
    <row r="18" spans="2:17" ht="13.35" customHeight="1">
      <c r="B18" s="153" t="s">
        <v>103</v>
      </c>
      <c r="C18" s="140">
        <f>(F52-C7+C8+C9)*Exchange_Rate/Common_Shares*scaling_factor</f>
        <v>-0.33787440309911593</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-6919.9278610493802</v>
      </c>
      <c r="D51" s="139">
        <f>Terminal_Growth</f>
        <v>0</v>
      </c>
      <c r="E51" s="124">
        <f>1/(1+Equity_Cost)^C17</f>
        <v>0.68058319703375303</v>
      </c>
      <c r="F51" s="125">
        <f t="shared" si="1"/>
        <v>-4709.5866269159278</v>
      </c>
      <c r="H51" s="120"/>
    </row>
    <row r="52" spans="1:17">
      <c r="C52" s="114"/>
      <c r="E52" s="127" t="s">
        <v>97</v>
      </c>
      <c r="F52" s="137">
        <f>SUM(F21:F51)</f>
        <v>-7019.1080191328638</v>
      </c>
      <c r="H52" s="120"/>
    </row>
    <row r="53" spans="1:17">
      <c r="C53" s="114"/>
      <c r="H53" s="120"/>
    </row>
    <row r="54" spans="1:17" ht="13.15">
      <c r="B54" s="119" t="s">
        <v>125</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303</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427</v>
      </c>
      <c r="C2" s="37"/>
      <c r="D2" s="37"/>
      <c r="E2" s="37"/>
      <c r="F2" s="37"/>
      <c r="H2" s="130" t="s">
        <v>57</v>
      </c>
    </row>
    <row r="3" spans="2:8" ht="13.15">
      <c r="B3" s="109" t="s">
        <v>426</v>
      </c>
      <c r="C3" s="107">
        <f>scaling_factor</f>
        <v>1000000</v>
      </c>
      <c r="E3" s="109" t="s">
        <v>120</v>
      </c>
      <c r="H3" s="120"/>
    </row>
    <row r="4" spans="2:8">
      <c r="B4" s="100" t="s">
        <v>424</v>
      </c>
      <c r="C4" s="114">
        <f>Normalized_FCF!C91*(1-dividend_tax_rate)</f>
        <v>22020.769943020001</v>
      </c>
      <c r="D4" t="str">
        <f>Market_currency</f>
        <v>CNY</v>
      </c>
      <c r="E4" s="100" t="s">
        <v>246</v>
      </c>
      <c r="F4" s="134">
        <f>Thesis!E22</f>
        <v>0.02</v>
      </c>
      <c r="H4" s="120"/>
    </row>
    <row r="5" spans="2:8">
      <c r="B5" s="205" t="s">
        <v>119</v>
      </c>
      <c r="C5" s="206">
        <f>Equity_Cost</f>
        <v>0.08</v>
      </c>
      <c r="E5" s="148"/>
      <c r="H5" s="120"/>
    </row>
    <row r="6" spans="2:8" ht="13.35" customHeight="1">
      <c r="B6" s="149" t="s">
        <v>425</v>
      </c>
      <c r="C6" s="319">
        <f>(C4*(1+Terminal_Growth))/(Equity_Cost-Terminal_Growth)</f>
        <v>275259.62428774999</v>
      </c>
      <c r="D6" t="str">
        <f>Reporting_currency</f>
        <v>CNY</v>
      </c>
      <c r="E6" s="375"/>
      <c r="F6" s="375"/>
      <c r="H6" s="120"/>
    </row>
    <row r="7" spans="2:8" ht="13.15">
      <c r="B7" s="149" t="s">
        <v>428</v>
      </c>
      <c r="C7" s="111">
        <f>(C6*scaling_factor)/Common_Shares*Exchange_Rate</f>
        <v>13.25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2.3752619295331442E-2</v>
      </c>
      <c r="H11" s="120"/>
    </row>
    <row r="12" spans="2:8" ht="13.35" customHeight="1">
      <c r="B12" s="118" t="s">
        <v>130</v>
      </c>
      <c r="C12" s="162">
        <f>Scenarios!C64</f>
        <v>5</v>
      </c>
      <c r="H12" s="120"/>
    </row>
    <row r="13" spans="2:8" ht="13.35" customHeight="1">
      <c r="B13" s="153" t="s">
        <v>103</v>
      </c>
      <c r="C13" s="140">
        <f>F47/Common_Shares*scaling_factor</f>
        <v>14.72000501651852</v>
      </c>
      <c r="D13" t="str">
        <f>Market_currency</f>
        <v>CNY</v>
      </c>
      <c r="H13" s="120"/>
    </row>
    <row r="14" spans="2:8">
      <c r="H14" s="120"/>
    </row>
    <row r="15" spans="2:8" ht="13.15">
      <c r="B15" s="128" t="s">
        <v>104</v>
      </c>
      <c r="C15" s="128" t="s">
        <v>430</v>
      </c>
      <c r="D15" s="128" t="s">
        <v>114</v>
      </c>
      <c r="E15" s="128" t="s">
        <v>106</v>
      </c>
      <c r="F15" s="129" t="s">
        <v>429</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311127.49869218952</v>
      </c>
      <c r="D46" s="139">
        <f>Terminal_Growth</f>
        <v>0</v>
      </c>
      <c r="E46" s="124">
        <f>1/(1+Equity_Cost)^C12</f>
        <v>0.68058319703375303</v>
      </c>
      <c r="F46" s="125">
        <f t="shared" si="1"/>
        <v>211748.14774504516</v>
      </c>
      <c r="H46" s="120"/>
    </row>
    <row r="47" spans="2:8">
      <c r="C47" s="114"/>
      <c r="E47" s="127" t="s">
        <v>97</v>
      </c>
      <c r="F47" s="137">
        <f>SUM(F16:F46)</f>
        <v>305797.9660649572</v>
      </c>
      <c r="H47" s="120"/>
    </row>
    <row r="48" spans="2:8">
      <c r="C48" s="114"/>
      <c r="H48" s="120"/>
    </row>
    <row r="49" spans="1:8" ht="13.15">
      <c r="B49" s="119" t="s">
        <v>125</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303</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291</v>
      </c>
      <c r="I2" s="249"/>
    </row>
    <row r="3" spans="2:9" ht="13.15">
      <c r="B3" s="159" t="s">
        <v>144</v>
      </c>
      <c r="H3" s="247">
        <v>0</v>
      </c>
      <c r="I3" s="124">
        <f>-Market_Price</f>
        <v>-22.7</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15.783869312014129</v>
      </c>
    </row>
    <row r="7" spans="2:9" ht="12.75" customHeight="1">
      <c r="B7" s="100" t="s">
        <v>270</v>
      </c>
      <c r="C7" s="338">
        <f>Normalized_FCF!G8</f>
        <v>-721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77"/>
      <c r="H7" s="247">
        <v>4</v>
      </c>
      <c r="I7" s="124" t="str">
        <f t="shared" si="0"/>
        <v/>
      </c>
    </row>
    <row r="8" spans="2:9">
      <c r="B8" s="100" t="s">
        <v>64</v>
      </c>
      <c r="C8" s="338">
        <f>Normalized_FCF!G19</f>
        <v>-206364</v>
      </c>
      <c r="D8" t="str">
        <f>Reporting_currency</f>
        <v>CNY</v>
      </c>
      <c r="E8" s="377"/>
      <c r="F8" s="377"/>
      <c r="H8" s="247">
        <v>5</v>
      </c>
      <c r="I8" s="124" t="str">
        <f t="shared" si="0"/>
        <v/>
      </c>
    </row>
    <row r="9" spans="2:9">
      <c r="B9" s="100" t="s">
        <v>55</v>
      </c>
      <c r="C9" s="338">
        <f>Normalized_FCF!C19</f>
        <v>-540.75</v>
      </c>
      <c r="D9" t="str">
        <f>Reporting_currency</f>
        <v>CNY</v>
      </c>
      <c r="E9" s="377"/>
      <c r="F9" s="377"/>
      <c r="H9" s="247">
        <v>6</v>
      </c>
      <c r="I9" s="124" t="str">
        <f t="shared" si="0"/>
        <v/>
      </c>
    </row>
    <row r="10" spans="2:9">
      <c r="E10" s="377"/>
      <c r="F10" s="377"/>
      <c r="H10" s="247">
        <v>7</v>
      </c>
      <c r="I10" s="124" t="str">
        <f t="shared" si="0"/>
        <v/>
      </c>
    </row>
    <row r="11" spans="2:9" ht="13.15">
      <c r="B11" s="159" t="s">
        <v>431</v>
      </c>
      <c r="E11" s="377"/>
      <c r="F11" s="377"/>
      <c r="H11" s="247">
        <v>8</v>
      </c>
      <c r="I11" s="124" t="str">
        <f t="shared" si="0"/>
        <v/>
      </c>
    </row>
    <row r="12" spans="2:9">
      <c r="B12" s="118" t="s">
        <v>140</v>
      </c>
      <c r="C12" s="158" t="e">
        <f ca="1">(Normalized_FCF!G4/OFFSET(Normalized_FCF!G4, 0, $C$4))^(1/$C$4) - 1</f>
        <v>#VALUE!</v>
      </c>
      <c r="D12" s="158"/>
      <c r="E12" s="377"/>
      <c r="F12" s="377"/>
      <c r="H12" s="247">
        <v>9</v>
      </c>
      <c r="I12" s="124" t="str">
        <f t="shared" si="0"/>
        <v/>
      </c>
    </row>
    <row r="13" spans="2:9">
      <c r="B13" s="148" t="s">
        <v>148</v>
      </c>
      <c r="C13" s="158" t="e">
        <f ca="1">(Normalized_FCF!G8/OFFSET(Normalized_FCF!G8, 0, $C$4))^(1/$C$4) - 1</f>
        <v>#VALUE!</v>
      </c>
      <c r="E13" s="377"/>
      <c r="F13" s="377"/>
      <c r="H13" s="247">
        <v>10</v>
      </c>
      <c r="I13" s="124" t="str">
        <f t="shared" si="0"/>
        <v/>
      </c>
    </row>
    <row r="14" spans="2:9">
      <c r="B14" s="100" t="s">
        <v>64</v>
      </c>
      <c r="C14" s="158" t="e">
        <f ca="1">(Normalized_FCF!G19/OFFSET(Normalized_FCF!G19, 0, $C$4))^(1/$C$4) - 1</f>
        <v>#VALUE!</v>
      </c>
      <c r="E14" s="377"/>
      <c r="F14" s="377"/>
    </row>
    <row r="16" spans="2:9" ht="13.9">
      <c r="B16" s="36" t="s">
        <v>158</v>
      </c>
      <c r="C16" s="37"/>
      <c r="D16" s="37"/>
      <c r="E16" s="37"/>
      <c r="F16" s="37"/>
    </row>
    <row r="17" spans="2:6" ht="13.15">
      <c r="B17" s="109" t="s">
        <v>147</v>
      </c>
      <c r="E17" s="159" t="s">
        <v>322</v>
      </c>
    </row>
    <row r="18" spans="2:6">
      <c r="B18" s="152" t="s">
        <v>129</v>
      </c>
      <c r="C18" s="150">
        <v>5</v>
      </c>
      <c r="E18" s="377" t="s">
        <v>323</v>
      </c>
      <c r="F18" s="378"/>
    </row>
    <row r="19" spans="2:6">
      <c r="E19" s="378"/>
      <c r="F19" s="378"/>
    </row>
    <row r="20" spans="2:6" ht="13.15">
      <c r="B20" s="159" t="s">
        <v>299</v>
      </c>
      <c r="E20" s="378"/>
      <c r="F20" s="378"/>
    </row>
    <row r="21" spans="2:6">
      <c r="B21" s="100" t="s">
        <v>272</v>
      </c>
      <c r="C21" s="160">
        <f>Market_Price</f>
        <v>22.7</v>
      </c>
      <c r="D21" t="str">
        <f>Market_currency</f>
        <v>CNY</v>
      </c>
      <c r="E21" s="378"/>
      <c r="F21" s="378"/>
    </row>
    <row r="22" spans="2:6">
      <c r="B22" s="100" t="s">
        <v>273</v>
      </c>
      <c r="C22" s="160">
        <f>IF(valuation_method="DCF",DCF!C12,DDM!C7)</f>
        <v>13.25</v>
      </c>
      <c r="D22" t="str">
        <f>Market_currency</f>
        <v>CNY</v>
      </c>
      <c r="E22" s="378"/>
      <c r="F22" s="378"/>
    </row>
    <row r="24" spans="2:6" ht="13.15">
      <c r="B24" s="159" t="s">
        <v>111</v>
      </c>
      <c r="E24" s="159" t="s">
        <v>145</v>
      </c>
      <c r="F24" s="159"/>
    </row>
    <row r="25" spans="2:6">
      <c r="B25" s="152" t="s">
        <v>129</v>
      </c>
      <c r="C25" s="166">
        <f>C18</f>
        <v>5</v>
      </c>
      <c r="D25" s="163"/>
      <c r="E25" s="376"/>
      <c r="F25" s="376"/>
    </row>
    <row r="26" spans="2:6">
      <c r="B26" s="118" t="s">
        <v>130</v>
      </c>
      <c r="C26" s="164">
        <v>0.02</v>
      </c>
      <c r="D26" s="164"/>
      <c r="E26" s="376"/>
      <c r="F26" s="376"/>
    </row>
    <row r="27" spans="2:6">
      <c r="B27" s="100" t="s">
        <v>109</v>
      </c>
      <c r="C27" s="160">
        <f>IF(valuation_method="DCF",DCF!E76,DDM!E71)</f>
        <v>14.634858113071347</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14.410149171533204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0.03</v>
      </c>
      <c r="D38" s="164"/>
      <c r="E38" s="376"/>
      <c r="F38" s="376"/>
    </row>
    <row r="39" spans="2:6">
      <c r="B39" s="100" t="s">
        <v>109</v>
      </c>
      <c r="C39" s="160">
        <f>IF(valuation_method="DCF",DCF!E75,DDM!E70)</f>
        <v>14.862767754239648</v>
      </c>
      <c r="D39" t="str">
        <f>Market_currency</f>
        <v>CNY</v>
      </c>
      <c r="E39" s="376"/>
      <c r="F39" s="376"/>
    </row>
    <row r="40" spans="2:6">
      <c r="B40" s="100" t="s">
        <v>143</v>
      </c>
      <c r="C40" s="167">
        <f>1-C28-C34</f>
        <v>0.2</v>
      </c>
      <c r="D40" s="165"/>
      <c r="E40" s="376"/>
      <c r="F40" s="376"/>
    </row>
    <row r="42" spans="2:6" ht="13.15">
      <c r="B42" s="100" t="s">
        <v>116</v>
      </c>
      <c r="C42" s="154">
        <f>C27*C28+C33*C34+C39*C40</f>
        <v>14.63549825299738</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14.594037457807008</v>
      </c>
      <c r="D51" t="str">
        <f>Market_currency</f>
        <v>CNY</v>
      </c>
      <c r="E51" s="376"/>
      <c r="F51" s="376"/>
    </row>
    <row r="52" spans="2:6">
      <c r="B52" s="100" t="s">
        <v>143</v>
      </c>
      <c r="C52" s="165">
        <v>0.05</v>
      </c>
      <c r="D52" s="165"/>
      <c r="E52" s="376"/>
      <c r="F52" s="376"/>
    </row>
    <row r="54" spans="2:6" ht="13.15">
      <c r="B54" s="159" t="s">
        <v>308</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16.444380228522771</v>
      </c>
      <c r="D57" t="str">
        <f>Market_currency</f>
        <v>CNY</v>
      </c>
      <c r="E57" s="376"/>
      <c r="F57" s="376"/>
    </row>
    <row r="58" spans="2:6">
      <c r="B58" s="100" t="s">
        <v>143</v>
      </c>
      <c r="C58" s="165">
        <v>0.05</v>
      </c>
      <c r="D58" s="165"/>
      <c r="E58" s="376"/>
      <c r="F58" s="376"/>
    </row>
    <row r="60" spans="2:6" ht="13.15">
      <c r="B60" s="100" t="s">
        <v>116</v>
      </c>
      <c r="C60" s="154">
        <f>C51*C52+C57*C58+C42*(1-C52-C58)</f>
        <v>14.723869312014129</v>
      </c>
      <c r="D60" t="str">
        <f>Market_currency</f>
        <v>CNY</v>
      </c>
      <c r="E60" s="100" t="s">
        <v>292</v>
      </c>
      <c r="F60" s="277">
        <f>Thesis!F28</f>
        <v>3</v>
      </c>
    </row>
    <row r="62" spans="2:6" ht="13.9">
      <c r="B62" s="36" t="s">
        <v>342</v>
      </c>
      <c r="C62" s="37"/>
      <c r="D62" s="37"/>
      <c r="E62" s="37"/>
      <c r="F62" s="37"/>
    </row>
    <row r="63" spans="2:6" ht="13.15">
      <c r="B63" s="109" t="s">
        <v>300</v>
      </c>
      <c r="E63" s="252" t="s">
        <v>304</v>
      </c>
    </row>
    <row r="64" spans="2:6">
      <c r="B64" s="152" t="s">
        <v>129</v>
      </c>
      <c r="C64" s="166">
        <f>C18</f>
        <v>5</v>
      </c>
      <c r="D64" s="150"/>
      <c r="E64" s="251" t="s">
        <v>379</v>
      </c>
    </row>
    <row r="65" spans="2:6">
      <c r="B65" s="118" t="s">
        <v>130</v>
      </c>
      <c r="C65" s="151">
        <v>2.3752619295331442E-2</v>
      </c>
      <c r="D65" s="151"/>
      <c r="E65" s="251" t="s">
        <v>305</v>
      </c>
    </row>
    <row r="66" spans="2:6">
      <c r="B66" s="100" t="s">
        <v>99</v>
      </c>
      <c r="C66" s="160">
        <f>IF(valuation_method="DCF",DCF!C18,DDM!C13)</f>
        <v>14.72000501651852</v>
      </c>
      <c r="D66" s="160" t="str">
        <f>Market_currency</f>
        <v>CNY</v>
      </c>
      <c r="E66" s="251" t="s">
        <v>306</v>
      </c>
    </row>
    <row r="68" spans="2:6" ht="13.15">
      <c r="B68" s="109" t="s">
        <v>343</v>
      </c>
      <c r="E68" s="252" t="s">
        <v>307</v>
      </c>
    </row>
    <row r="69" spans="2:6">
      <c r="B69" s="100" t="s">
        <v>301</v>
      </c>
      <c r="C69" s="244" t="str">
        <f>IF(C60&lt;C22,"Y","N")</f>
        <v>N</v>
      </c>
      <c r="E69" s="134"/>
    </row>
    <row r="70" spans="2:6">
      <c r="B70" s="100" t="s">
        <v>289</v>
      </c>
      <c r="C70" s="244" t="str">
        <f>IF(C69="Y","N",IF(C65&gt;8%,"N","Y"))</f>
        <v>Y</v>
      </c>
      <c r="E70" s="251" t="s">
        <v>290</v>
      </c>
    </row>
    <row r="71" spans="2:6">
      <c r="B71" s="100" t="s">
        <v>288</v>
      </c>
      <c r="C71" s="244" t="str">
        <f>IF(C65&gt;8%,"Y","N")</f>
        <v>N</v>
      </c>
      <c r="E71" s="251"/>
    </row>
    <row r="72" spans="2:6">
      <c r="B72" s="100" t="s">
        <v>280</v>
      </c>
      <c r="C72" s="243" t="str">
        <f>IF(F72&gt;50%,"Y","N")</f>
        <v>N</v>
      </c>
      <c r="E72" s="134" t="s">
        <v>339</v>
      </c>
      <c r="F72" s="291">
        <f>BS!D89/C60</f>
        <v>0</v>
      </c>
    </row>
    <row r="74" spans="2:6" ht="13.9">
      <c r="B74" s="36" t="s">
        <v>123</v>
      </c>
      <c r="C74" s="37"/>
      <c r="D74" s="37"/>
      <c r="E74" s="37"/>
      <c r="F74" s="37"/>
    </row>
    <row r="75" spans="2:6" ht="13.15">
      <c r="B75" s="109" t="s">
        <v>121</v>
      </c>
    </row>
    <row r="76" spans="2:6">
      <c r="B76" s="246" t="s">
        <v>293</v>
      </c>
      <c r="C76" s="245">
        <f>F60</f>
        <v>3</v>
      </c>
      <c r="D76" s="134"/>
    </row>
    <row r="77" spans="2:6">
      <c r="B77" s="100" t="s">
        <v>443</v>
      </c>
      <c r="C77" s="173">
        <f>Normalized_FCF!C90*(1-dividend_tax_rate)</f>
        <v>1.06</v>
      </c>
      <c r="D77" t="str">
        <f>Market_currency</f>
        <v>CNY</v>
      </c>
    </row>
    <row r="79" spans="2:6" ht="13.15">
      <c r="B79" s="109" t="s">
        <v>297</v>
      </c>
    </row>
    <row r="80" spans="2:6">
      <c r="B80" s="148" t="s">
        <v>295</v>
      </c>
      <c r="C80" s="167">
        <f>Thesis!F29</f>
        <v>0.4</v>
      </c>
    </row>
    <row r="81" spans="2:8">
      <c r="B81" s="100" t="s">
        <v>117</v>
      </c>
      <c r="C81" s="116">
        <f>PV(C80, C76, -C77, 0)</f>
        <v>1.6842565597667636</v>
      </c>
      <c r="D81" s="116"/>
      <c r="E81" s="100"/>
      <c r="F81" s="100"/>
    </row>
    <row r="82" spans="2:8">
      <c r="B82" s="100" t="s">
        <v>118</v>
      </c>
      <c r="C82" s="116">
        <f>C60/(1+C80)^C76</f>
        <v>5.3658415860109816</v>
      </c>
      <c r="D82" s="116"/>
    </row>
    <row r="83" spans="2:8" ht="13.15">
      <c r="B83" s="110" t="s">
        <v>98</v>
      </c>
      <c r="C83" s="111">
        <f>C81+C82</f>
        <v>7.0500981457777456</v>
      </c>
      <c r="D83" t="str">
        <f>Market_currency</f>
        <v>CNY</v>
      </c>
      <c r="E83" s="146" t="s">
        <v>122</v>
      </c>
      <c r="F83" s="291">
        <f>(1-C83/C60)</f>
        <v>0.52117897840718208</v>
      </c>
    </row>
    <row r="84" spans="2:8">
      <c r="E84" s="120"/>
    </row>
    <row r="85" spans="2:8" ht="13.15">
      <c r="B85" s="109" t="s">
        <v>298</v>
      </c>
    </row>
    <row r="86" spans="2:8">
      <c r="B86" s="148" t="s">
        <v>296</v>
      </c>
      <c r="C86" s="116">
        <f>Market_Price</f>
        <v>22.7</v>
      </c>
      <c r="D86" t="str">
        <f>Market_currency</f>
        <v>CNY</v>
      </c>
    </row>
    <row r="87" spans="2:8" ht="13.15">
      <c r="B87" s="100" t="s">
        <v>294</v>
      </c>
      <c r="C87" s="237">
        <f ca="1">IRR(OFFSET($I$3, 0, 0, $C$76 + 1, 1))</f>
        <v>-8.0365599930497522E-2</v>
      </c>
    </row>
    <row r="88" spans="2:8">
      <c r="B88" s="100"/>
    </row>
    <row r="89" spans="2:8" ht="13.15">
      <c r="B89" s="109" t="s">
        <v>395</v>
      </c>
    </row>
    <row r="90" spans="2:8">
      <c r="B90" s="148" t="s">
        <v>396</v>
      </c>
      <c r="C90" s="167">
        <f>Thesis!F30</f>
        <v>0.22</v>
      </c>
    </row>
    <row r="91" spans="2:8">
      <c r="B91" s="100" t="s">
        <v>117</v>
      </c>
      <c r="C91" s="116">
        <f>PV(C90, C76, -C77, 0)</f>
        <v>2.1647759063533951</v>
      </c>
      <c r="D91" s="116"/>
      <c r="E91" s="100"/>
      <c r="F91" s="100"/>
    </row>
    <row r="92" spans="2:8">
      <c r="B92" s="100" t="s">
        <v>118</v>
      </c>
      <c r="C92" s="116">
        <f>C60/(1+C90)^C76</f>
        <v>8.1085362387237971</v>
      </c>
      <c r="D92" s="116"/>
    </row>
    <row r="93" spans="2:8" ht="13.15">
      <c r="B93" s="110" t="s">
        <v>98</v>
      </c>
      <c r="C93" s="111">
        <f>C91+C92</f>
        <v>10.273312145077192</v>
      </c>
      <c r="D93" t="str">
        <f>Market_currency</f>
        <v>CNY</v>
      </c>
      <c r="E93" s="146" t="s">
        <v>122</v>
      </c>
      <c r="F93" s="291">
        <f>(1-C93/C60)</f>
        <v>0.30226817914673065</v>
      </c>
    </row>
    <row r="95" spans="2:8" ht="13.15">
      <c r="B95" s="109" t="s">
        <v>381</v>
      </c>
      <c r="G95" s="2"/>
      <c r="H95" s="281"/>
    </row>
    <row r="96" spans="2:8">
      <c r="B96" s="148" t="s">
        <v>386</v>
      </c>
      <c r="C96" s="134">
        <f>Thesis!F31</f>
        <v>0.08</v>
      </c>
      <c r="G96" s="2"/>
      <c r="H96" s="281"/>
    </row>
    <row r="97" spans="2:8">
      <c r="B97" s="100" t="s">
        <v>117</v>
      </c>
      <c r="C97" s="116">
        <f>PV(C96, C76, -C77, 0)</f>
        <v>2.731722806482753</v>
      </c>
      <c r="D97" s="116"/>
      <c r="G97" s="2"/>
      <c r="H97" s="281"/>
    </row>
    <row r="98" spans="2:8">
      <c r="B98" s="100" t="s">
        <v>118</v>
      </c>
      <c r="C98" s="116">
        <f>C60/(1+C96)^C76</f>
        <v>11.688282172444278</v>
      </c>
      <c r="D98" s="116"/>
      <c r="G98" s="2"/>
      <c r="H98" s="281"/>
    </row>
    <row r="99" spans="2:8" ht="13.15">
      <c r="B99" s="110" t="s">
        <v>382</v>
      </c>
      <c r="C99" s="111">
        <f>C97+C98</f>
        <v>14.420004978927032</v>
      </c>
      <c r="D99" t="s">
        <v>380</v>
      </c>
      <c r="E99" s="146" t="s">
        <v>122</v>
      </c>
      <c r="F99" s="291">
        <f>(1-C99/C60)</f>
        <v>2.0637532611020526E-2</v>
      </c>
    </row>
    <row r="100" spans="2:8">
      <c r="B100" s="100"/>
    </row>
    <row r="101" spans="2:8" ht="13.15">
      <c r="B101" s="109" t="s">
        <v>402</v>
      </c>
    </row>
    <row r="102" spans="2:8">
      <c r="B102" s="148" t="s">
        <v>401</v>
      </c>
      <c r="C102" s="134">
        <f>Thesis!F32</f>
        <v>0.12</v>
      </c>
    </row>
    <row r="103" spans="2:8">
      <c r="B103" s="100" t="s">
        <v>117</v>
      </c>
      <c r="C103" s="116">
        <f>PV(C102, C76, -C77, 0)</f>
        <v>2.5459411443148712</v>
      </c>
      <c r="D103" s="116"/>
    </row>
    <row r="104" spans="2:8">
      <c r="B104" s="100" t="s">
        <v>118</v>
      </c>
      <c r="C104" s="116">
        <f>C60/(1+C102)^C76</f>
        <v>10.480159347677692</v>
      </c>
      <c r="D104" s="116"/>
    </row>
    <row r="105" spans="2:8" ht="13.15">
      <c r="B105" s="110" t="s">
        <v>382</v>
      </c>
      <c r="C105" s="111">
        <f>C103+C104</f>
        <v>13.026100491992562</v>
      </c>
      <c r="D105" t="s">
        <v>380</v>
      </c>
      <c r="E105" s="146" t="s">
        <v>122</v>
      </c>
      <c r="F105" s="291">
        <f>(1-C105/C66)</f>
        <v>0.11507499641644758</v>
      </c>
    </row>
    <row r="106" spans="2:8">
      <c r="B106" s="100"/>
    </row>
    <row r="107" spans="2:8" ht="14.65">
      <c r="E107" s="285" t="s">
        <v>317</v>
      </c>
      <c r="F107" s="282"/>
    </row>
    <row r="108" spans="2:8" ht="13.9">
      <c r="E108" s="278" t="s">
        <v>318</v>
      </c>
      <c r="F108" s="283" t="s">
        <v>319</v>
      </c>
    </row>
    <row r="109" spans="2:8" ht="13.9">
      <c r="E109" s="279" t="s">
        <v>318</v>
      </c>
      <c r="F109" s="283" t="s">
        <v>320</v>
      </c>
    </row>
    <row r="110" spans="2:8" ht="13.9">
      <c r="E110" s="280" t="s">
        <v>318</v>
      </c>
      <c r="F110" s="284" t="s">
        <v>321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444</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