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063AF22-EFD0-4C0A-AC03-EF245F8F19C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14" i="8" l="1"/>
  <c r="C25" i="4"/>
  <c r="C41" i="2"/>
  <c r="C19" i="6"/>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C4" i="2" s="1"/>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C119" i="2" s="1"/>
  <c r="G51" i="2"/>
  <c r="M95" i="2"/>
  <c r="O95" i="2"/>
  <c r="P95" i="2"/>
  <c r="N95" i="2"/>
  <c r="L95" i="2"/>
  <c r="G95" i="2"/>
  <c r="I95" i="2"/>
  <c r="C100" i="2"/>
  <c r="C117"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C116" i="2" s="1"/>
  <c r="C40" i="9" s="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F17" i="8"/>
  <c r="E51" i="8" s="1"/>
  <c r="D55" i="3"/>
  <c r="G29" i="3"/>
  <c r="D62" i="3" s="1"/>
  <c r="D51" i="3" l="1"/>
  <c r="C46" i="3"/>
  <c r="C47" i="3" s="1"/>
  <c r="C62" i="3"/>
  <c r="C79" i="2" s="1"/>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12" i="2" s="1"/>
  <c r="C46" i="6"/>
  <c r="C76" i="2"/>
  <c r="J1" i="2"/>
  <c r="K1" i="2" s="1"/>
  <c r="L1" i="2" s="1"/>
  <c r="M1" i="2" s="1"/>
  <c r="N1" i="2" s="1"/>
  <c r="O1" i="2" s="1"/>
  <c r="P1" i="2" s="1"/>
  <c r="Q1" i="2" s="1"/>
  <c r="H31" i="8" l="1"/>
  <c r="C32" i="8"/>
  <c r="C52" i="6"/>
  <c r="C52" i="12"/>
  <c r="C68" i="6"/>
  <c r="C68" i="12"/>
  <c r="C14" i="2"/>
  <c r="C19" i="2" s="1"/>
  <c r="I31" i="8" l="1"/>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<sst xmlns="http://schemas.openxmlformats.org/spreadsheetml/2006/main" count="767" uniqueCount="558">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</sst>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538</v>
      </c>
      <c r="F3" s="432">
        <v>46038</v>
      </c>
    </row>
    <row r="4" spans="1:9" ht="12.4">
      <c r="B4" s="424" t="s">
        <v>533</v>
      </c>
      <c r="C4" s="423" t="s">
        <v>549</v>
      </c>
      <c r="E4" s="433" t="s">
        <v>537</v>
      </c>
      <c r="F4" s="434" t="s">
        <v>324</v>
      </c>
    </row>
    <row r="5" spans="1:9">
      <c r="B5" s="1" t="s">
        <v>349</v>
      </c>
      <c r="C5" s="46" t="s">
        <v>550</v>
      </c>
      <c r="E5" s="436" t="s">
        <v>539</v>
      </c>
      <c r="F5" s="435" t="s">
        <v>497</v>
      </c>
    </row>
    <row r="6" spans="1:9">
      <c r="B6" s="2" t="s">
        <v>53</v>
      </c>
      <c r="C6" s="45" t="s">
        <v>551</v>
      </c>
      <c r="D6" s="45"/>
      <c r="E6" s="45"/>
    </row>
    <row r="7" spans="1:9">
      <c r="B7" s="1" t="s">
        <v>351</v>
      </c>
      <c r="C7" s="45" t="s">
        <v>308</v>
      </c>
      <c r="D7" s="45"/>
      <c r="E7" s="45"/>
    </row>
    <row r="8" spans="1:9">
      <c r="B8" s="4" t="s">
        <v>350</v>
      </c>
      <c r="C8" s="47">
        <v>6.58</v>
      </c>
      <c r="E8" s="32"/>
    </row>
    <row r="9" spans="1:9">
      <c r="B9" s="4" t="s">
        <v>346</v>
      </c>
      <c r="C9" s="48">
        <v>1043529089</v>
      </c>
    </row>
    <row r="10" spans="1:9">
      <c r="B10" s="4" t="s">
        <v>352</v>
      </c>
      <c r="C10" s="33">
        <f>Thesis!C8*Common_Shares/1000000</f>
        <v>6866.4214056199999</v>
      </c>
      <c r="D10" s="1" t="s">
        <v>528</v>
      </c>
      <c r="E10" s="306">
        <f>Scenarios!F34</f>
        <v>9.4493273048875795E-2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0" t="s">
        <v>546</v>
      </c>
      <c r="D15" s="4" t="s">
        <v>353</v>
      </c>
      <c r="E15" s="255" t="str">
        <f>IF(E17=C7,C7,E17&amp;"/"&amp;C7)</f>
        <v>HKD</v>
      </c>
    </row>
    <row r="16" spans="1:9">
      <c r="B16" s="1" t="s">
        <v>320</v>
      </c>
      <c r="C16" s="420" t="s">
        <v>546</v>
      </c>
      <c r="D16" s="4" t="s">
        <v>354</v>
      </c>
      <c r="E16" s="419">
        <v>1</v>
      </c>
    </row>
    <row r="17" spans="1:6">
      <c r="B17" s="1" t="s">
        <v>532</v>
      </c>
      <c r="C17" s="459">
        <v>0.02</v>
      </c>
      <c r="D17" s="4" t="s">
        <v>274</v>
      </c>
      <c r="E17" s="224" t="s">
        <v>308</v>
      </c>
    </row>
    <row r="18" spans="1:6">
      <c r="B18" s="1" t="str">
        <f>"Expected Equity Value ("&amp;C7&amp;") :"</f>
        <v>Expected Equity Value (HKD) :</v>
      </c>
      <c r="C18" s="254">
        <f>C125</f>
        <v>8.1595849322667551</v>
      </c>
      <c r="D18" s="2" t="s">
        <v>347</v>
      </c>
      <c r="E18" s="421">
        <v>6</v>
      </c>
    </row>
    <row r="19" spans="1:6">
      <c r="B19" s="2" t="s">
        <v>275</v>
      </c>
      <c r="C19" s="31" t="str">
        <f>IF(Terminal_Growth&lt;2%, "Lower than Inflation rate", IF(Terminal_Growth&lt;5%, "Low growth", IF(Terminal_Growth&lt;8%, "Medium growth", "High growth")))</f>
        <v>Low growth</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4.020016311949</v>
      </c>
      <c r="D22" s="38" t="s">
        <v>406</v>
      </c>
      <c r="E22" s="79">
        <v>0.29465259038036606</v>
      </c>
    </row>
    <row r="23" spans="1:6">
      <c r="B23" s="1" t="s">
        <v>313</v>
      </c>
      <c r="C23" s="258">
        <f>E141</f>
        <v>5.011886210919001</v>
      </c>
      <c r="D23" s="38" t="s">
        <v>407</v>
      </c>
      <c r="E23" s="446">
        <v>0.20075184365903009</v>
      </c>
    </row>
    <row r="24" spans="1:6">
      <c r="B24" s="1" t="s">
        <v>315</v>
      </c>
      <c r="C24" s="258">
        <f>E144</f>
        <v>6.191056946772469</v>
      </c>
      <c r="D24" s="38" t="s">
        <v>408</v>
      </c>
      <c r="E24" s="446">
        <v>0.1174</v>
      </c>
    </row>
    <row r="25" spans="1:6">
      <c r="B25" s="1" t="s">
        <v>314</v>
      </c>
      <c r="C25" s="258">
        <f>E145</f>
        <v>6.9851396427979022</v>
      </c>
      <c r="D25" s="38" t="s">
        <v>409</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685770.70000000019</v>
      </c>
      <c r="D34" s="1" t="str">
        <f>Reporting_currency</f>
        <v>HKD</v>
      </c>
    </row>
    <row r="35" spans="2:6">
      <c r="B35" s="44"/>
      <c r="C35" s="73"/>
    </row>
    <row r="36" spans="2:6" ht="24.5" customHeight="1">
      <c r="B36" s="462" t="s">
        <v>198</v>
      </c>
      <c r="C36" s="462"/>
      <c r="D36" s="462"/>
      <c r="E36" s="462"/>
      <c r="F36" s="462"/>
    </row>
    <row r="37" spans="2:6">
      <c r="B37" s="44" t="s">
        <v>199</v>
      </c>
      <c r="C37" s="288">
        <f>Normalized_FCF!C15</f>
        <v>0</v>
      </c>
      <c r="D37" s="1" t="str">
        <f>Reporting_currency</f>
        <v>HKD</v>
      </c>
    </row>
    <row r="38" spans="2:6">
      <c r="B38" s="49" t="s">
        <v>200</v>
      </c>
      <c r="C38" s="288">
        <f>Normalized_FCF!C16</f>
        <v>0</v>
      </c>
      <c r="D38" s="1" t="str">
        <f>Reporting_currency</f>
        <v>HKD</v>
      </c>
    </row>
    <row r="40" spans="2:6">
      <c r="B40" s="462" t="s">
        <v>201</v>
      </c>
      <c r="C40" s="462"/>
      <c r="D40" s="462"/>
      <c r="E40" s="462"/>
      <c r="F40" s="462"/>
    </row>
    <row r="41" spans="2:6">
      <c r="B41" s="44" t="s">
        <v>202</v>
      </c>
      <c r="C41" s="288">
        <f>Normalized_FCF!C9</f>
        <v>0</v>
      </c>
      <c r="D41" s="1" t="str">
        <f>Reporting_currency</f>
        <v>HKD</v>
      </c>
    </row>
    <row r="43" spans="2:6">
      <c r="B43" s="462" t="s">
        <v>205</v>
      </c>
      <c r="C43" s="462"/>
      <c r="D43" s="462"/>
      <c r="E43" s="462"/>
      <c r="F43" s="462"/>
    </row>
    <row r="44" spans="2:6">
      <c r="B44" s="44" t="s">
        <v>267</v>
      </c>
      <c r="C44" s="289">
        <f>Normalized_FCF!C46</f>
        <v>2867.9977153189998</v>
      </c>
      <c r="D44" s="1" t="str">
        <f>Reporting_currency</f>
        <v>HKD</v>
      </c>
      <c r="E44" s="246"/>
      <c r="F44" s="246"/>
    </row>
    <row r="45" spans="2:6">
      <c r="B45" s="44" t="s">
        <v>268</v>
      </c>
      <c r="C45" s="289">
        <f>Normalized_FCF!C45</f>
        <v>0</v>
      </c>
      <c r="D45" s="1" t="str">
        <f>Reporting_currency</f>
        <v>HKD</v>
      </c>
      <c r="E45" s="246"/>
      <c r="F45" s="246"/>
    </row>
    <row r="46" spans="2:6">
      <c r="B46" s="44" t="s">
        <v>203</v>
      </c>
      <c r="C46" s="288">
        <f>Normalized_FCF!C10</f>
        <v>2867.9977153189998</v>
      </c>
      <c r="D46" s="1" t="str">
        <f>Reporting_currency</f>
        <v>HKD</v>
      </c>
    </row>
    <row r="48" spans="2:6">
      <c r="B48" s="1" t="s">
        <v>211</v>
      </c>
    </row>
    <row r="49" spans="2:6">
      <c r="B49" s="44" t="s">
        <v>223</v>
      </c>
      <c r="C49" s="288">
        <f>Normalized_FCF!C13</f>
        <v>0</v>
      </c>
      <c r="D49" s="1" t="str">
        <f>Reporting_currency</f>
        <v>HKD</v>
      </c>
    </row>
    <row r="51" spans="2:6">
      <c r="B51" s="462" t="s">
        <v>206</v>
      </c>
      <c r="C51" s="462"/>
      <c r="D51" s="462"/>
      <c r="E51" s="462"/>
      <c r="F51" s="462"/>
    </row>
    <row r="52" spans="2:6">
      <c r="B52" s="44" t="s">
        <v>204</v>
      </c>
      <c r="C52" s="288">
        <f>Normalized_FCF!C12</f>
        <v>-148745.95870650894</v>
      </c>
      <c r="D52" s="1" t="str">
        <f>Reporting_currency</f>
        <v>HKD</v>
      </c>
    </row>
    <row r="54" spans="2:6">
      <c r="B54" s="462" t="s">
        <v>265</v>
      </c>
      <c r="C54" s="465"/>
      <c r="D54" s="465"/>
      <c r="E54" s="465"/>
      <c r="F54" s="465"/>
    </row>
    <row r="55" spans="2:6">
      <c r="B55" s="44" t="s">
        <v>207</v>
      </c>
      <c r="C55" s="288">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506980</v>
      </c>
      <c r="D60" s="1" t="str">
        <f>Reporting_currency</f>
        <v>HKD</v>
      </c>
    </row>
    <row r="61" spans="2:6">
      <c r="B61" s="44" t="s">
        <v>213</v>
      </c>
      <c r="C61" s="288">
        <f>Normalized_FCF!C19</f>
        <v>539892.73900881025</v>
      </c>
      <c r="D61" s="1" t="str">
        <f>Reporting_currency</f>
        <v>HKD</v>
      </c>
    </row>
    <row r="62" spans="2:6">
      <c r="B62" s="204" t="s">
        <v>302</v>
      </c>
      <c r="C62" s="89">
        <f>Normalized_FCF!C124</f>
        <v>7.8627964570732747E-2</v>
      </c>
      <c r="F62" s="259"/>
    </row>
    <row r="63" spans="2:6">
      <c r="B63" s="204" t="s">
        <v>332</v>
      </c>
      <c r="C63" s="89">
        <f>Normalized_FCF!C92</f>
        <v>2.1580547112462004E-2</v>
      </c>
      <c r="E63" s="44" t="s">
        <v>322</v>
      </c>
      <c r="F63" s="260">
        <f>Normalized_FCF!C90</f>
        <v>0.27446401837158602</v>
      </c>
    </row>
    <row r="65" spans="1:6">
      <c r="B65" s="192" t="s">
        <v>325</v>
      </c>
      <c r="C65" s="266" t="s">
        <v>327</v>
      </c>
      <c r="D65" s="266" t="s">
        <v>328</v>
      </c>
    </row>
    <row r="66" spans="1:6">
      <c r="B66" s="44" t="s">
        <v>326</v>
      </c>
      <c r="C66" s="89">
        <f>Normalized_FCF!C119</f>
        <v>0.34431952101742014</v>
      </c>
      <c r="D66" s="89">
        <f>Normalized_FCF!G119</f>
        <v>0.29464814732407368</v>
      </c>
    </row>
    <row r="67" spans="1:6">
      <c r="B67" s="229" t="str">
        <f>Normalized_FCF!B116</f>
        <v>Pre-tax Profit/Sales</v>
      </c>
      <c r="C67" s="265">
        <f>Normalized_FCF!C116</f>
        <v>0.10976797121826185</v>
      </c>
      <c r="D67" s="265">
        <f>Normalized_FCF!G116</f>
        <v>9.3932894828076763E-2</v>
      </c>
    </row>
    <row r="68" spans="1:6">
      <c r="B68" s="229" t="str">
        <f>Normalized_FCF!B117</f>
        <v>Sales/Total Assets</v>
      </c>
      <c r="C68" s="267">
        <f>Normalized_FCF!C117</f>
        <v>3.1367909316045344</v>
      </c>
      <c r="D68" s="267">
        <f>Normalized_FCF!G117</f>
        <v>3.1367909316045344</v>
      </c>
    </row>
    <row r="69" spans="1:6">
      <c r="B69" s="229" t="str">
        <f>Normalized_FCF!B118</f>
        <v>Total Assets/Equity</v>
      </c>
      <c r="C69" s="267">
        <f>Normalized_FCF!C118</f>
        <v>1.0000010000005</v>
      </c>
      <c r="D69" s="267">
        <f>Normalized_FCF!G118</f>
        <v>1.0000010000005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8">
        <f>DCF!F4</f>
        <v>0</v>
      </c>
      <c r="D78" s="1" t="str">
        <f>Reporting_currency</f>
        <v>HKD</v>
      </c>
    </row>
    <row r="79" spans="1:6">
      <c r="A79" s="191"/>
      <c r="B79" s="44" t="s">
        <v>234</v>
      </c>
      <c r="C79" s="201">
        <f>C78*scaling_factor*Exchange_Rate/Common_Shares</f>
        <v>0</v>
      </c>
      <c r="D79" s="1" t="str">
        <f>Market_currency</f>
        <v>HKD</v>
      </c>
    </row>
    <row r="80" spans="1:6">
      <c r="A80" s="191"/>
      <c r="B80" s="229" t="s">
        <v>309</v>
      </c>
      <c r="C80" s="340">
        <f>IF(BS!G31/BS!G27&gt;300%,"nm",BS!G31/BS!G27)</f>
        <v>0</v>
      </c>
    </row>
    <row r="81" spans="1:6">
      <c r="A81" s="191"/>
      <c r="B81" s="229" t="s">
        <v>311</v>
      </c>
      <c r="C81" s="341">
        <f>IF(BS!C50&gt;30,"nm",BS!C50)</f>
        <v>0</v>
      </c>
    </row>
    <row r="82" spans="1:6">
      <c r="A82" s="191"/>
    </row>
    <row r="83" spans="1:6">
      <c r="A83" s="191"/>
      <c r="B83" s="1" t="s">
        <v>466</v>
      </c>
    </row>
    <row r="84" spans="1:6">
      <c r="A84" s="191"/>
      <c r="B84" s="1" t="s">
        <v>224</v>
      </c>
      <c r="C84" s="288">
        <f>DCF!F5</f>
        <v>-477998.61921983329</v>
      </c>
      <c r="D84" s="1" t="str">
        <f>Reporting_currency</f>
        <v>HKD</v>
      </c>
    </row>
    <row r="85" spans="1:6">
      <c r="A85" s="191"/>
      <c r="B85" s="229" t="s">
        <v>222</v>
      </c>
      <c r="C85" s="294">
        <f>BS!C66</f>
        <v>1</v>
      </c>
      <c r="D85" s="342" t="str">
        <f>Reporting_currency</f>
        <v>HKD</v>
      </c>
    </row>
    <row r="86" spans="1:6">
      <c r="A86" s="191"/>
      <c r="B86" s="44" t="s">
        <v>235</v>
      </c>
      <c r="C86" s="201">
        <f>C84*scaling_factor*Exchange_Rate/Common_Shares</f>
        <v>-0.45805969786418987</v>
      </c>
      <c r="D86" s="1" t="str">
        <f>Market_currency</f>
        <v>HKD</v>
      </c>
    </row>
    <row r="87" spans="1:6">
      <c r="A87" s="191"/>
    </row>
    <row r="88" spans="1:6">
      <c r="A88" s="191"/>
      <c r="B88" s="1" t="s">
        <v>216</v>
      </c>
    </row>
    <row r="89" spans="1:6">
      <c r="A89" s="191"/>
      <c r="B89" s="1" t="s">
        <v>217</v>
      </c>
      <c r="C89" s="288">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-0.45805969786418987</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0.02</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0.19165627686685408</v>
      </c>
      <c r="D111" s="1" t="str">
        <f>Market_currency</f>
        <v>HKD</v>
      </c>
    </row>
    <row r="112" spans="2:6">
      <c r="B112" s="44" t="s">
        <v>323</v>
      </c>
      <c r="C112" s="216">
        <f>DCF!C11</f>
        <v>9.5937392928582845</v>
      </c>
      <c r="D112" s="1" t="str">
        <f>Market_currency</f>
        <v>HKD</v>
      </c>
    </row>
    <row r="114" spans="2:6" ht="24.5" customHeight="1">
      <c r="B114" s="461" t="s">
        <v>491</v>
      </c>
      <c r="C114" s="461"/>
      <c r="D114" s="461"/>
      <c r="E114" s="461"/>
      <c r="F114" s="461"/>
    </row>
    <row r="116" spans="2:6">
      <c r="B116" s="192" t="s">
        <v>488</v>
      </c>
    </row>
    <row r="117" spans="2:6" ht="12.4">
      <c r="B117" s="345" t="s">
        <v>101</v>
      </c>
      <c r="C117" s="345" t="s">
        <v>110</v>
      </c>
      <c r="D117" s="345" t="s">
        <v>219</v>
      </c>
      <c r="E117" s="345" t="s">
        <v>124</v>
      </c>
      <c r="F117" s="345" t="s">
        <v>545</v>
      </c>
    </row>
    <row r="118" spans="2:6">
      <c r="B118" s="205" t="str">
        <f>DCF!B90&amp;" ("&amp;DCF!D90&amp;"yrs)"</f>
        <v>Snowball Scenario (10yrs)</v>
      </c>
      <c r="C118" s="206">
        <f>DCF!C90</f>
        <v>0.05</v>
      </c>
      <c r="D118" s="207" t="str">
        <f>ROUND(DCF!E90,2)&amp;" "&amp;Market_currency</f>
        <v>10.04 HKD</v>
      </c>
      <c r="E118" s="208">
        <f>DCF!F90</f>
        <v>0.15</v>
      </c>
      <c r="F118" s="208">
        <f>RATE(Holding_Period,Scenarios!C$58,-DCF!E90,C$18)</f>
        <v>-5.1718967561595344E-2</v>
      </c>
    </row>
    <row r="119" spans="2:6">
      <c r="B119" s="205" t="str">
        <f>DCF!B91&amp;" ("&amp;DCF!D91&amp;"yrs)"</f>
        <v>Optimistic (10yrs)</v>
      </c>
      <c r="C119" s="198">
        <f>DCF!C91</f>
        <v>0.03</v>
      </c>
      <c r="D119" s="207" t="str">
        <f>ROUND(DCF!E91,2)&amp;" "&amp;Market_currency</f>
        <v>8.57 HKD</v>
      </c>
      <c r="E119" s="199">
        <f>DCF!F91</f>
        <v>0.15999999999999995</v>
      </c>
      <c r="F119" s="208">
        <f>RATE(Holding_Period,Scenarios!C$58,-DCF!E91,C$18)</f>
        <v>6.1107908910750669E-4</v>
      </c>
    </row>
    <row r="120" spans="2:6">
      <c r="B120" s="205" t="str">
        <f>DCF!B92&amp;" ("&amp;DCF!D92&amp;"yrs)"</f>
        <v>Base (10yrs)</v>
      </c>
      <c r="C120" s="198">
        <f>DCF!C92</f>
        <v>0.02</v>
      </c>
      <c r="D120" s="207" t="str">
        <f>ROUND(DCF!E92,2)&amp;" "&amp;Market_currency</f>
        <v>7.92 HKD</v>
      </c>
      <c r="E120" s="199">
        <f>DCF!F92</f>
        <v>0.44</v>
      </c>
      <c r="F120" s="208">
        <f>RATE(Holding_Period,Scenarios!C$58,-DCF!E92,C$18)</f>
        <v>2.7955213995817154E-2</v>
      </c>
    </row>
    <row r="121" spans="2:6">
      <c r="B121" s="205" t="str">
        <f>DCF!B93&amp;" ("&amp;DCF!D93&amp;"yrs)"</f>
        <v>Pessimistic (10yrs)</v>
      </c>
      <c r="C121" s="198">
        <f>DCF!C93</f>
        <v>0.01</v>
      </c>
      <c r="D121" s="207" t="str">
        <f>ROUND(DCF!E93,2)&amp;" "&amp;Market_currency</f>
        <v>7.31 HKD</v>
      </c>
      <c r="E121" s="199">
        <f>DCF!F93</f>
        <v>0.19999999999999998</v>
      </c>
      <c r="F121" s="208">
        <f>RATE(Holding_Period,Scenarios!C$58,-DCF!E93,C$18)</f>
        <v>5.6112422267224682E-2</v>
      </c>
    </row>
    <row r="122" spans="2:6">
      <c r="B122" s="205" t="str">
        <f>DCF!B94&amp;" ("&amp;DCF!D94&amp;"yrs)"</f>
        <v>Devil's advocate (10yrs)</v>
      </c>
      <c r="C122" s="198">
        <f>DCF!C94</f>
        <v>0</v>
      </c>
      <c r="D122" s="207" t="str">
        <f>ROUND(DCF!E94,2)&amp;" "&amp;Market_currency</f>
        <v>6.75 HKD</v>
      </c>
      <c r="E122" s="199">
        <f>DCF!F94</f>
        <v>0.05</v>
      </c>
      <c r="F122" s="208">
        <f>RATE(Holding_Period,Scenarios!C$58,-DCF!E94,C$18)</f>
        <v>8.5103258645464488E-2</v>
      </c>
    </row>
    <row r="124" spans="2:6">
      <c r="B124" s="462" t="s">
        <v>357</v>
      </c>
      <c r="C124" s="462"/>
      <c r="D124" s="462"/>
      <c r="E124" s="462"/>
      <c r="F124" s="462"/>
    </row>
    <row r="125" spans="2:6">
      <c r="B125" s="193" t="s">
        <v>218</v>
      </c>
      <c r="C125" s="197">
        <f>Scenarios!C36</f>
        <v>8.1595849322667551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0.25983892380763696</v>
      </c>
      <c r="D140" s="336">
        <f>Scenarios!D62</f>
        <v>3.7601773881413627</v>
      </c>
      <c r="E140" s="337">
        <f>Scenarios!E62</f>
        <v>4.020016311949</v>
      </c>
      <c r="F140" s="338">
        <f>E22</f>
        <v>0.29465259038036606</v>
      </c>
    </row>
    <row r="141" spans="1:6">
      <c r="B141" s="339" t="s">
        <v>313</v>
      </c>
      <c r="C141" s="336">
        <f>Scenarios!C63</f>
        <v>0.29876856051220907</v>
      </c>
      <c r="D141" s="336">
        <f>Scenarios!D63</f>
        <v>4.713117650406792</v>
      </c>
      <c r="E141" s="337">
        <f>Scenarios!E63</f>
        <v>5.011886210919001</v>
      </c>
      <c r="F141" s="338">
        <f>Scenarios!F63</f>
        <v>0.20075184365903009</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0.34258964388328816</v>
      </c>
      <c r="D144" s="336">
        <f>Scenarios!D66</f>
        <v>5.8484673028891807</v>
      </c>
      <c r="E144" s="337">
        <f>Scenarios!E66</f>
        <v>6.191056946772469</v>
      </c>
      <c r="F144" s="338">
        <f>E24</f>
        <v>0.1174</v>
      </c>
    </row>
    <row r="145" spans="1:6">
      <c r="B145" s="339" t="s">
        <v>314</v>
      </c>
      <c r="C145" s="336">
        <f>Scenarios!C67</f>
        <v>0.37095728225856828</v>
      </c>
      <c r="D145" s="336">
        <f>Scenarios!D67</f>
        <v>6.6141823605393339</v>
      </c>
      <c r="E145" s="337">
        <f>Scenarios!E67</f>
        <v>6.9851396427979022</v>
      </c>
      <c r="F145" s="338">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6273585</v>
      </c>
      <c r="D4" s="290"/>
      <c r="E4" s="290"/>
      <c r="F4" s="290"/>
      <c r="G4" s="290"/>
      <c r="H4" s="290"/>
      <c r="I4" s="290"/>
      <c r="J4" s="290"/>
      <c r="K4" s="290"/>
      <c r="L4" s="290"/>
      <c r="M4" s="290"/>
    </row>
    <row r="5" spans="2:13">
      <c r="B5" s="38" t="s">
        <v>40</v>
      </c>
      <c r="C5" s="290">
        <v>3056039</v>
      </c>
      <c r="D5" s="290"/>
      <c r="E5" s="290"/>
      <c r="F5" s="290"/>
      <c r="G5" s="290"/>
      <c r="H5" s="290"/>
      <c r="I5" s="290"/>
      <c r="J5" s="290"/>
      <c r="K5" s="290"/>
      <c r="L5" s="290"/>
      <c r="M5" s="290"/>
    </row>
    <row r="6" spans="2:13">
      <c r="B6" s="38" t="s">
        <v>51</v>
      </c>
      <c r="C6" s="290">
        <v>2595134</v>
      </c>
      <c r="D6" s="290"/>
      <c r="E6" s="290"/>
      <c r="F6" s="290"/>
      <c r="G6" s="290"/>
      <c r="H6" s="290"/>
      <c r="I6" s="290"/>
      <c r="J6" s="290"/>
      <c r="K6" s="290"/>
      <c r="L6" s="290"/>
      <c r="M6" s="290"/>
    </row>
    <row r="7" spans="2:13">
      <c r="B7" s="66" t="s">
        <v>58</v>
      </c>
      <c r="C7" s="291">
        <v>1900716</v>
      </c>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33116</v>
      </c>
      <c r="D12" s="290"/>
      <c r="E12" s="290"/>
      <c r="F12" s="290"/>
      <c r="G12" s="290"/>
      <c r="H12" s="290"/>
      <c r="I12" s="290"/>
      <c r="J12" s="290"/>
      <c r="K12" s="290"/>
      <c r="L12" s="290"/>
      <c r="M12" s="290"/>
    </row>
    <row r="13" spans="2:13">
      <c r="B13" s="38" t="s">
        <v>64</v>
      </c>
      <c r="C13" s="290"/>
      <c r="D13" s="290"/>
      <c r="E13" s="290"/>
      <c r="F13" s="290"/>
      <c r="G13" s="290"/>
      <c r="H13" s="290"/>
      <c r="I13" s="290"/>
      <c r="J13" s="290"/>
      <c r="K13" s="290"/>
      <c r="L13" s="290"/>
      <c r="M13" s="290"/>
    </row>
    <row r="14" spans="2:13">
      <c r="B14" s="38" t="s">
        <v>47</v>
      </c>
      <c r="C14" s="290">
        <v>76422</v>
      </c>
      <c r="D14" s="290"/>
      <c r="E14" s="290"/>
      <c r="F14" s="290"/>
      <c r="G14" s="290"/>
      <c r="H14" s="290"/>
      <c r="I14" s="290"/>
      <c r="J14" s="290"/>
      <c r="K14" s="290"/>
      <c r="L14" s="290"/>
      <c r="M14" s="290"/>
    </row>
    <row r="15" spans="2:13">
      <c r="B15" s="41" t="s">
        <v>39</v>
      </c>
      <c r="C15" s="292">
        <v>240568</v>
      </c>
      <c r="D15" s="292"/>
      <c r="E15" s="292"/>
      <c r="F15" s="292"/>
      <c r="G15" s="292"/>
      <c r="H15" s="292"/>
      <c r="I15" s="292"/>
      <c r="J15" s="292"/>
      <c r="K15" s="292"/>
      <c r="L15" s="292"/>
      <c r="M15" s="292"/>
    </row>
    <row r="16" spans="2:13">
      <c r="B16" s="27" t="s">
        <v>41</v>
      </c>
      <c r="C16" s="290">
        <v>5894</v>
      </c>
      <c r="D16" s="290"/>
      <c r="E16" s="290"/>
      <c r="F16" s="290"/>
      <c r="G16" s="290"/>
      <c r="H16" s="290"/>
      <c r="I16" s="290"/>
      <c r="J16" s="290"/>
      <c r="K16" s="290"/>
      <c r="L16" s="290"/>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859017</v>
      </c>
      <c r="D22" s="290"/>
      <c r="E22" s="290"/>
      <c r="F22" s="290"/>
      <c r="G22" s="290"/>
      <c r="H22" s="290"/>
      <c r="I22" s="290"/>
      <c r="J22" s="290"/>
      <c r="K22" s="290"/>
      <c r="L22" s="290"/>
      <c r="M22" s="290"/>
    </row>
    <row r="23" spans="2:13">
      <c r="B23" s="26" t="s">
        <v>288</v>
      </c>
      <c r="C23" s="290">
        <v>65893</v>
      </c>
      <c r="D23" s="290"/>
      <c r="E23" s="290"/>
      <c r="F23" s="290"/>
      <c r="G23" s="290"/>
      <c r="H23" s="290"/>
      <c r="I23" s="290"/>
      <c r="J23" s="290"/>
      <c r="K23" s="290"/>
      <c r="L23" s="290"/>
      <c r="M23" s="290"/>
    </row>
    <row r="24" spans="2:13">
      <c r="B24" s="26" t="s">
        <v>287</v>
      </c>
      <c r="C24" s="290">
        <v>-298236</v>
      </c>
      <c r="D24" s="290"/>
      <c r="E24" s="290"/>
      <c r="F24" s="290"/>
      <c r="G24" s="290"/>
      <c r="H24" s="290"/>
      <c r="I24" s="290"/>
      <c r="J24" s="290"/>
      <c r="K24" s="290"/>
      <c r="L24" s="290"/>
      <c r="M24" s="290"/>
    </row>
    <row r="25" spans="2:13">
      <c r="B25" s="23" t="str">
        <f>"Dividend per share ("&amp;Market_currency&amp;")"</f>
        <v>Dividend per share (HKD)</v>
      </c>
      <c r="C25" s="37">
        <f>0.102+0.04</f>
        <v>0.14199999999999999</v>
      </c>
      <c r="D25" s="37"/>
      <c r="E25" s="37"/>
      <c r="F25" s="37"/>
      <c r="G25" s="37"/>
      <c r="H25" s="37"/>
      <c r="I25" s="37"/>
      <c r="J25" s="37"/>
      <c r="K25" s="37"/>
      <c r="L25" s="37"/>
      <c r="M25" s="37"/>
    </row>
    <row r="27" spans="2:13">
      <c r="B27" s="16" t="s">
        <v>26</v>
      </c>
      <c r="C27" s="94" t="s">
        <v>547</v>
      </c>
    </row>
    <row r="28" spans="2:13">
      <c r="B28" s="25" t="s">
        <v>22</v>
      </c>
      <c r="C28" s="273">
        <f>BS!C4</f>
        <v>0</v>
      </c>
      <c r="D28" s="290"/>
      <c r="E28" s="290"/>
      <c r="F28" s="290"/>
      <c r="G28" s="290"/>
      <c r="H28" s="290"/>
      <c r="I28" s="290"/>
      <c r="J28" s="290"/>
      <c r="K28" s="290"/>
      <c r="L28" s="290"/>
      <c r="M28" s="290"/>
    </row>
    <row r="29" spans="2:13">
      <c r="B29" s="25" t="s">
        <v>30</v>
      </c>
      <c r="C29" s="273">
        <f>BS!C6</f>
        <v>0</v>
      </c>
      <c r="D29" s="290"/>
      <c r="E29" s="290"/>
      <c r="F29" s="290"/>
      <c r="G29" s="290"/>
      <c r="H29" s="290"/>
      <c r="I29" s="290"/>
      <c r="J29" s="290"/>
      <c r="K29" s="290"/>
      <c r="L29" s="290"/>
      <c r="M29" s="290"/>
    </row>
    <row r="30" spans="2:13">
      <c r="B30" s="28" t="s">
        <v>38</v>
      </c>
      <c r="C30" s="274">
        <f>BS!C33+BS!C42</f>
        <v>2</v>
      </c>
      <c r="D30" s="292"/>
      <c r="E30" s="292"/>
      <c r="F30" s="292"/>
      <c r="G30" s="292"/>
      <c r="H30" s="292"/>
      <c r="I30" s="292"/>
      <c r="J30" s="292"/>
      <c r="K30" s="292"/>
      <c r="L30" s="292"/>
      <c r="M30" s="292"/>
    </row>
    <row r="31" spans="2:13">
      <c r="B31" s="28" t="s">
        <v>28</v>
      </c>
      <c r="C31" s="274">
        <f>BS!G27</f>
        <v>1999999</v>
      </c>
      <c r="D31" s="292"/>
      <c r="E31" s="292"/>
      <c r="F31" s="292"/>
      <c r="G31" s="292"/>
      <c r="H31" s="292"/>
      <c r="I31" s="292"/>
      <c r="J31" s="292"/>
      <c r="K31" s="292"/>
      <c r="L31" s="292"/>
      <c r="M31" s="292"/>
    </row>
    <row r="32" spans="2:13">
      <c r="B32" s="25" t="s">
        <v>143</v>
      </c>
      <c r="C32" s="273">
        <f>BS!G28</f>
        <v>0</v>
      </c>
      <c r="D32" s="290"/>
      <c r="E32" s="290"/>
      <c r="F32" s="290"/>
      <c r="G32" s="290"/>
      <c r="H32" s="290"/>
      <c r="I32" s="290"/>
      <c r="J32" s="290"/>
      <c r="K32" s="290"/>
      <c r="L32" s="290"/>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t="str">
        <f t="shared" si="1"/>
        <v/>
      </c>
      <c r="E36" s="273" t="str">
        <f t="shared" si="1"/>
        <v/>
      </c>
      <c r="F36" s="273" t="str">
        <f t="shared" si="1"/>
        <v/>
      </c>
      <c r="G36" s="273" t="str">
        <f t="shared" si="1"/>
        <v/>
      </c>
      <c r="H36" s="273" t="str">
        <f t="shared" si="1"/>
        <v/>
      </c>
      <c r="I36" s="273" t="str">
        <f t="shared" si="1"/>
        <v/>
      </c>
      <c r="J36" s="273" t="str">
        <f t="shared" si="1"/>
        <v/>
      </c>
      <c r="K36" s="273" t="str">
        <f t="shared" si="1"/>
        <v/>
      </c>
      <c r="L36" s="273" t="str">
        <f t="shared" si="1"/>
        <v/>
      </c>
      <c r="M36" s="273" t="str">
        <f t="shared" si="1"/>
        <v/>
      </c>
    </row>
    <row r="37" spans="2:13">
      <c r="B37" s="38" t="s">
        <v>40</v>
      </c>
      <c r="C37" s="273">
        <f t="shared" ref="C37:M37" si="2">IF(C$4="","",-C5)</f>
        <v>-3056039</v>
      </c>
      <c r="D37" s="273" t="str">
        <f t="shared" si="2"/>
        <v/>
      </c>
      <c r="E37" s="273" t="str">
        <f t="shared" si="2"/>
        <v/>
      </c>
      <c r="F37" s="273" t="str">
        <f t="shared" si="2"/>
        <v/>
      </c>
      <c r="G37" s="273" t="str">
        <f t="shared" si="2"/>
        <v/>
      </c>
      <c r="H37" s="273" t="str">
        <f t="shared" si="2"/>
        <v/>
      </c>
      <c r="I37" s="273" t="str">
        <f t="shared" si="2"/>
        <v/>
      </c>
      <c r="J37" s="273" t="str">
        <f t="shared" si="2"/>
        <v/>
      </c>
      <c r="K37" s="273" t="str">
        <f t="shared" si="2"/>
        <v/>
      </c>
      <c r="L37" s="273" t="str">
        <f t="shared" si="2"/>
        <v/>
      </c>
      <c r="M37" s="273" t="str">
        <f t="shared" si="2"/>
        <v/>
      </c>
    </row>
    <row r="38" spans="2:13">
      <c r="B38" s="30" t="s">
        <v>55</v>
      </c>
      <c r="C38" s="270">
        <f>IF(C36="","",C36+C37)</f>
        <v>3217546</v>
      </c>
      <c r="D38" s="270" t="str">
        <f t="shared" ref="D38" si="3">IF(D36="","",D36+D37)</f>
        <v/>
      </c>
      <c r="E38" s="270" t="str">
        <f t="shared" ref="E38" si="4">IF(E36="","",E36+E37)</f>
        <v/>
      </c>
      <c r="F38" s="270" t="str">
        <f t="shared" ref="F38" si="5">IF(F36="","",F36+F37)</f>
        <v/>
      </c>
      <c r="G38" s="270" t="str">
        <f t="shared" ref="G38" si="6">IF(G36="","",G36+G37)</f>
        <v/>
      </c>
      <c r="H38" s="270" t="str">
        <f t="shared" ref="H38" si="7">IF(H36="","",H36+H37)</f>
        <v/>
      </c>
      <c r="I38" s="270" t="str">
        <f t="shared" ref="I38" si="8">IF(I36="","",I36+I37)</f>
        <v/>
      </c>
      <c r="J38" s="270" t="str">
        <f t="shared" ref="J38" si="9">IF(J36="","",J36+J37)</f>
        <v/>
      </c>
      <c r="K38" s="270" t="str">
        <f t="shared" ref="K38" si="10">IF(K36="","",K36+K37)</f>
        <v/>
      </c>
      <c r="L38" s="270" t="str">
        <f t="shared" ref="L38" si="11">IF(L36="","",L36+L37)</f>
        <v/>
      </c>
      <c r="M38" s="270" t="str">
        <f t="shared" ref="M38" si="12">IF(M36="","",M36+M37)</f>
        <v/>
      </c>
    </row>
    <row r="39" spans="2:13">
      <c r="B39" s="38" t="s">
        <v>51</v>
      </c>
      <c r="C39" s="273">
        <f t="shared" ref="C39:M39" si="13">IF(C$4="","",-C6)</f>
        <v>-2595134</v>
      </c>
      <c r="D39" s="273" t="str">
        <f t="shared" si="13"/>
        <v/>
      </c>
      <c r="E39" s="273" t="str">
        <f t="shared" si="13"/>
        <v/>
      </c>
      <c r="F39" s="273" t="str">
        <f t="shared" si="13"/>
        <v/>
      </c>
      <c r="G39" s="273" t="str">
        <f t="shared" si="13"/>
        <v/>
      </c>
      <c r="H39" s="273" t="str">
        <f t="shared" si="13"/>
        <v/>
      </c>
      <c r="I39" s="273" t="str">
        <f t="shared" si="13"/>
        <v/>
      </c>
      <c r="J39" s="273" t="str">
        <f t="shared" si="13"/>
        <v/>
      </c>
      <c r="K39" s="273" t="str">
        <f t="shared" si="13"/>
        <v/>
      </c>
      <c r="L39" s="273" t="str">
        <f t="shared" si="13"/>
        <v/>
      </c>
      <c r="M39" s="273" t="str">
        <f t="shared" si="13"/>
        <v/>
      </c>
    </row>
    <row r="40" spans="2:13">
      <c r="B40" s="66" t="s">
        <v>58</v>
      </c>
      <c r="C40" s="285">
        <f t="shared" ref="C40:M40" si="14">IF(C$4="","",-C7)</f>
        <v>-1900716</v>
      </c>
      <c r="D40" s="285" t="str">
        <f t="shared" si="14"/>
        <v/>
      </c>
      <c r="E40" s="285" t="str">
        <f t="shared" si="14"/>
        <v/>
      </c>
      <c r="F40" s="285" t="str">
        <f t="shared" si="14"/>
        <v/>
      </c>
      <c r="G40" s="285" t="str">
        <f t="shared" si="14"/>
        <v/>
      </c>
      <c r="H40" s="285" t="str">
        <f t="shared" si="14"/>
        <v/>
      </c>
      <c r="I40" s="285" t="str">
        <f t="shared" si="14"/>
        <v/>
      </c>
      <c r="J40" s="285" t="str">
        <f t="shared" si="14"/>
        <v/>
      </c>
      <c r="K40" s="285" t="str">
        <f t="shared" si="14"/>
        <v/>
      </c>
      <c r="L40" s="285" t="str">
        <f t="shared" si="14"/>
        <v/>
      </c>
      <c r="M40" s="285" t="str">
        <f t="shared" si="14"/>
        <v/>
      </c>
    </row>
    <row r="41" spans="2:13">
      <c r="B41" s="66" t="s">
        <v>61</v>
      </c>
      <c r="C41" s="285">
        <f>IF(C$4="","",C39-C40)</f>
        <v>-694418</v>
      </c>
      <c r="D41" s="285" t="str">
        <f t="shared" ref="D41:M41" si="15">IF(D$4="","",D39-D40)</f>
        <v/>
      </c>
      <c r="E41" s="285" t="str">
        <f t="shared" si="15"/>
        <v/>
      </c>
      <c r="F41" s="285" t="str">
        <f t="shared" si="15"/>
        <v/>
      </c>
      <c r="G41" s="285" t="str">
        <f t="shared" si="15"/>
        <v/>
      </c>
      <c r="H41" s="285" t="str">
        <f t="shared" si="15"/>
        <v/>
      </c>
      <c r="I41" s="285" t="str">
        <f t="shared" si="15"/>
        <v/>
      </c>
      <c r="J41" s="285" t="str">
        <f t="shared" si="15"/>
        <v/>
      </c>
      <c r="K41" s="285" t="str">
        <f t="shared" si="15"/>
        <v/>
      </c>
      <c r="L41" s="285" t="str">
        <f t="shared" si="15"/>
        <v/>
      </c>
      <c r="M41" s="285" t="str">
        <f t="shared" si="15"/>
        <v/>
      </c>
    </row>
    <row r="42" spans="2:13">
      <c r="B42" s="38" t="s">
        <v>46</v>
      </c>
      <c r="C42" s="273">
        <f t="shared" ref="C42:M42" si="16">IF(C$4="","",-C8)</f>
        <v>0</v>
      </c>
      <c r="D42" s="273" t="str">
        <f t="shared" si="16"/>
        <v/>
      </c>
      <c r="E42" s="273" t="str">
        <f t="shared" si="16"/>
        <v/>
      </c>
      <c r="F42" s="273" t="str">
        <f t="shared" si="16"/>
        <v/>
      </c>
      <c r="G42" s="273" t="str">
        <f t="shared" si="16"/>
        <v/>
      </c>
      <c r="H42" s="273" t="str">
        <f t="shared" si="16"/>
        <v/>
      </c>
      <c r="I42" s="273" t="str">
        <f t="shared" si="16"/>
        <v/>
      </c>
      <c r="J42" s="273" t="str">
        <f t="shared" si="16"/>
        <v/>
      </c>
      <c r="K42" s="273" t="str">
        <f t="shared" si="16"/>
        <v/>
      </c>
      <c r="L42" s="273" t="str">
        <f t="shared" si="16"/>
        <v/>
      </c>
      <c r="M42" s="273" t="str">
        <f t="shared" si="16"/>
        <v/>
      </c>
    </row>
    <row r="43" spans="2:13">
      <c r="B43" s="41" t="s">
        <v>127</v>
      </c>
      <c r="C43" s="274">
        <f>IF(C$4="","",C38+C39+C42)</f>
        <v>622412</v>
      </c>
      <c r="D43" s="274" t="str">
        <f t="shared" ref="D43:M43" si="17">IF(D$4="","",D38+D39+D42)</f>
        <v/>
      </c>
      <c r="E43" s="274" t="str">
        <f t="shared" si="17"/>
        <v/>
      </c>
      <c r="F43" s="274" t="str">
        <f t="shared" si="17"/>
        <v/>
      </c>
      <c r="G43" s="274" t="str">
        <f t="shared" si="17"/>
        <v/>
      </c>
      <c r="H43" s="274" t="str">
        <f t="shared" si="17"/>
        <v/>
      </c>
      <c r="I43" s="274" t="str">
        <f t="shared" si="17"/>
        <v/>
      </c>
      <c r="J43" s="274" t="str">
        <f t="shared" si="17"/>
        <v/>
      </c>
      <c r="K43" s="274" t="str">
        <f t="shared" si="17"/>
        <v/>
      </c>
      <c r="L43" s="274" t="str">
        <f t="shared" si="17"/>
        <v/>
      </c>
      <c r="M43" s="274" t="str">
        <f t="shared" si="17"/>
        <v/>
      </c>
    </row>
    <row r="44" spans="2:13">
      <c r="B44" s="41" t="s">
        <v>139</v>
      </c>
      <c r="C44" s="293">
        <f t="shared" ref="C44:M44" si="18">IF(C$4="","",C47-C46-C45-C43)</f>
        <v>-272306</v>
      </c>
      <c r="D44" s="293" t="str">
        <f t="shared" si="18"/>
        <v/>
      </c>
      <c r="E44" s="293" t="str">
        <f t="shared" si="18"/>
        <v/>
      </c>
      <c r="F44" s="293" t="str">
        <f t="shared" si="18"/>
        <v/>
      </c>
      <c r="G44" s="293" t="str">
        <f t="shared" si="18"/>
        <v/>
      </c>
      <c r="H44" s="293" t="str">
        <f t="shared" si="18"/>
        <v/>
      </c>
      <c r="I44" s="293" t="str">
        <f t="shared" si="18"/>
        <v/>
      </c>
      <c r="J44" s="293" t="str">
        <f t="shared" si="18"/>
        <v/>
      </c>
      <c r="K44" s="293" t="str">
        <f t="shared" si="18"/>
        <v/>
      </c>
      <c r="L44" s="293" t="str">
        <f t="shared" si="18"/>
        <v/>
      </c>
      <c r="M44" s="293" t="str">
        <f t="shared" si="18"/>
        <v/>
      </c>
    </row>
    <row r="45" spans="2:13">
      <c r="B45" s="38" t="s">
        <v>65</v>
      </c>
      <c r="C45" s="288">
        <f t="shared" ref="C45:M45" si="19">IF(C$4="","",C51+C52)</f>
        <v>-33116</v>
      </c>
      <c r="D45" s="288" t="str">
        <f t="shared" si="19"/>
        <v/>
      </c>
      <c r="E45" s="288" t="str">
        <f t="shared" si="19"/>
        <v/>
      </c>
      <c r="F45" s="288" t="str">
        <f t="shared" si="19"/>
        <v/>
      </c>
      <c r="G45" s="288" t="str">
        <f t="shared" si="19"/>
        <v/>
      </c>
      <c r="H45" s="288" t="str">
        <f t="shared" si="19"/>
        <v/>
      </c>
      <c r="I45" s="288" t="str">
        <f t="shared" si="19"/>
        <v/>
      </c>
      <c r="J45" s="288" t="str">
        <f t="shared" si="19"/>
        <v/>
      </c>
      <c r="K45" s="288" t="str">
        <f t="shared" si="19"/>
        <v/>
      </c>
      <c r="L45" s="288" t="str">
        <f t="shared" si="19"/>
        <v/>
      </c>
      <c r="M45" s="288" t="str">
        <f t="shared" si="19"/>
        <v/>
      </c>
    </row>
    <row r="46" spans="2:13">
      <c r="B46" s="38" t="s">
        <v>47</v>
      </c>
      <c r="C46" s="273">
        <f>IF(C$4="","",-C14)</f>
        <v>-76422</v>
      </c>
      <c r="D46" s="273" t="str">
        <f t="shared" ref="D46:M46" si="20">IF(D$4="","",-D14)</f>
        <v/>
      </c>
      <c r="E46" s="273" t="str">
        <f t="shared" si="20"/>
        <v/>
      </c>
      <c r="F46" s="273" t="str">
        <f t="shared" si="20"/>
        <v/>
      </c>
      <c r="G46" s="273" t="str">
        <f t="shared" si="20"/>
        <v/>
      </c>
      <c r="H46" s="273" t="str">
        <f t="shared" si="20"/>
        <v/>
      </c>
      <c r="I46" s="273" t="str">
        <f t="shared" si="20"/>
        <v/>
      </c>
      <c r="J46" s="273" t="str">
        <f t="shared" si="20"/>
        <v/>
      </c>
      <c r="K46" s="273" t="str">
        <f t="shared" si="20"/>
        <v/>
      </c>
      <c r="L46" s="273" t="str">
        <f t="shared" si="20"/>
        <v/>
      </c>
      <c r="M46" s="273" t="str">
        <f t="shared" si="20"/>
        <v/>
      </c>
    </row>
    <row r="47" spans="2:13">
      <c r="B47" s="41" t="s">
        <v>39</v>
      </c>
      <c r="C47" s="274">
        <f t="shared" ref="C47:M47" si="21">IF(C$4="","",C15)</f>
        <v>240568</v>
      </c>
      <c r="D47" s="274" t="str">
        <f t="shared" si="21"/>
        <v/>
      </c>
      <c r="E47" s="274" t="str">
        <f t="shared" si="21"/>
        <v/>
      </c>
      <c r="F47" s="274" t="str">
        <f t="shared" si="21"/>
        <v/>
      </c>
      <c r="G47" s="274" t="str">
        <f t="shared" si="21"/>
        <v/>
      </c>
      <c r="H47" s="274" t="str">
        <f t="shared" si="21"/>
        <v/>
      </c>
      <c r="I47" s="274" t="str">
        <f t="shared" si="21"/>
        <v/>
      </c>
      <c r="J47" s="274" t="str">
        <f t="shared" si="21"/>
        <v/>
      </c>
      <c r="K47" s="274" t="str">
        <f t="shared" si="21"/>
        <v/>
      </c>
      <c r="L47" s="274" t="str">
        <f t="shared" si="21"/>
        <v/>
      </c>
      <c r="M47" s="274" t="str">
        <f t="shared" si="21"/>
        <v/>
      </c>
    </row>
    <row r="48" spans="2:13">
      <c r="B48" s="27" t="s">
        <v>41</v>
      </c>
      <c r="C48" s="273">
        <f t="shared" ref="C48:M48" si="22">IF(C$4="","",MIN(-C16,0))</f>
        <v>-5894</v>
      </c>
      <c r="D48" s="273" t="str">
        <f t="shared" si="22"/>
        <v/>
      </c>
      <c r="E48" s="273" t="str">
        <f t="shared" si="22"/>
        <v/>
      </c>
      <c r="F48" s="273" t="str">
        <f t="shared" si="22"/>
        <v/>
      </c>
      <c r="G48" s="273" t="str">
        <f t="shared" si="22"/>
        <v/>
      </c>
      <c r="H48" s="273" t="str">
        <f t="shared" si="22"/>
        <v/>
      </c>
      <c r="I48" s="273" t="str">
        <f t="shared" si="22"/>
        <v/>
      </c>
      <c r="J48" s="273" t="str">
        <f t="shared" si="22"/>
        <v/>
      </c>
      <c r="K48" s="273" t="str">
        <f t="shared" si="22"/>
        <v/>
      </c>
      <c r="L48" s="273" t="str">
        <f t="shared" si="22"/>
        <v/>
      </c>
      <c r="M48" s="273" t="str">
        <f t="shared" si="22"/>
        <v/>
      </c>
    </row>
    <row r="50" spans="2:13">
      <c r="B50" s="16" t="s">
        <v>65</v>
      </c>
    </row>
    <row r="51" spans="2:13">
      <c r="B51" s="38" t="s">
        <v>37</v>
      </c>
      <c r="C51" s="273">
        <f t="shared" ref="C51:M51" si="23">IF(C$4="","",-C12)</f>
        <v>-33116</v>
      </c>
      <c r="D51" s="273" t="str">
        <f t="shared" si="23"/>
        <v/>
      </c>
      <c r="E51" s="273" t="str">
        <f t="shared" si="23"/>
        <v/>
      </c>
      <c r="F51" s="273" t="str">
        <f t="shared" si="23"/>
        <v/>
      </c>
      <c r="G51" s="273" t="str">
        <f t="shared" si="23"/>
        <v/>
      </c>
      <c r="H51" s="273" t="str">
        <f t="shared" si="23"/>
        <v/>
      </c>
      <c r="I51" s="273" t="str">
        <f t="shared" si="23"/>
        <v/>
      </c>
      <c r="J51" s="273" t="str">
        <f t="shared" si="23"/>
        <v/>
      </c>
      <c r="K51" s="273" t="str">
        <f t="shared" si="23"/>
        <v/>
      </c>
      <c r="L51" s="273" t="str">
        <f t="shared" si="23"/>
        <v/>
      </c>
      <c r="M51" s="273" t="str">
        <f t="shared" si="23"/>
        <v/>
      </c>
    </row>
    <row r="52" spans="2:13">
      <c r="B52" s="38" t="s">
        <v>64</v>
      </c>
      <c r="C52" s="273">
        <f>IF(C$4="","",C13)</f>
        <v>0</v>
      </c>
      <c r="D52" s="273" t="str">
        <f t="shared" ref="D52:M52" si="24">IF(D$4="","",D13)</f>
        <v/>
      </c>
      <c r="E52" s="273" t="str">
        <f t="shared" si="24"/>
        <v/>
      </c>
      <c r="F52" s="273" t="str">
        <f t="shared" si="24"/>
        <v/>
      </c>
      <c r="G52" s="273" t="str">
        <f t="shared" si="24"/>
        <v/>
      </c>
      <c r="H52" s="273" t="str">
        <f t="shared" si="24"/>
        <v/>
      </c>
      <c r="I52" s="273" t="str">
        <f t="shared" si="24"/>
        <v/>
      </c>
      <c r="J52" s="273" t="str">
        <f t="shared" si="24"/>
        <v/>
      </c>
      <c r="K52" s="273" t="str">
        <f t="shared" si="24"/>
        <v/>
      </c>
      <c r="L52" s="273" t="str">
        <f t="shared" si="24"/>
        <v/>
      </c>
      <c r="M52" s="273" t="str">
        <f t="shared" si="24"/>
        <v/>
      </c>
    </row>
    <row r="54" spans="2:13">
      <c r="B54" s="156" t="s">
        <v>139</v>
      </c>
    </row>
    <row r="55" spans="2:13">
      <c r="B55" s="38" t="s">
        <v>134</v>
      </c>
      <c r="C55" s="288">
        <f t="shared" ref="C55:M55" si="25">IF(C$4="","",C9)</f>
        <v>0</v>
      </c>
      <c r="D55" s="288" t="str">
        <f t="shared" si="25"/>
        <v/>
      </c>
      <c r="E55" s="288" t="str">
        <f t="shared" si="25"/>
        <v/>
      </c>
      <c r="F55" s="288" t="str">
        <f t="shared" si="25"/>
        <v/>
      </c>
      <c r="G55" s="288" t="str">
        <f t="shared" si="25"/>
        <v/>
      </c>
      <c r="H55" s="288" t="str">
        <f t="shared" si="25"/>
        <v/>
      </c>
      <c r="I55" s="288" t="str">
        <f t="shared" si="25"/>
        <v/>
      </c>
      <c r="J55" s="288" t="str">
        <f t="shared" si="25"/>
        <v/>
      </c>
      <c r="K55" s="288" t="str">
        <f t="shared" si="25"/>
        <v/>
      </c>
      <c r="L55" s="288" t="str">
        <f t="shared" si="25"/>
        <v/>
      </c>
      <c r="M55" s="288" t="str">
        <f t="shared" si="25"/>
        <v/>
      </c>
    </row>
    <row r="56" spans="2:13">
      <c r="B56" s="38" t="s">
        <v>138</v>
      </c>
      <c r="C56" s="288">
        <f t="shared" ref="C56:M56" si="26">IF(C$4="","",C10)</f>
        <v>0</v>
      </c>
      <c r="D56" s="288" t="str">
        <f t="shared" si="26"/>
        <v/>
      </c>
      <c r="E56" s="288" t="str">
        <f t="shared" si="26"/>
        <v/>
      </c>
      <c r="F56" s="288" t="str">
        <f t="shared" si="26"/>
        <v/>
      </c>
      <c r="G56" s="288" t="str">
        <f t="shared" si="26"/>
        <v/>
      </c>
      <c r="H56" s="288" t="str">
        <f t="shared" si="26"/>
        <v/>
      </c>
      <c r="I56" s="288" t="str">
        <f t="shared" si="26"/>
        <v/>
      </c>
      <c r="J56" s="288" t="str">
        <f t="shared" si="26"/>
        <v/>
      </c>
      <c r="K56" s="288" t="str">
        <f t="shared" si="26"/>
        <v/>
      </c>
      <c r="L56" s="288" t="str">
        <f t="shared" si="26"/>
        <v/>
      </c>
      <c r="M56" s="288" t="str">
        <f t="shared" si="26"/>
        <v/>
      </c>
    </row>
    <row r="57" spans="2:13">
      <c r="B57" s="38" t="s">
        <v>133</v>
      </c>
      <c r="C57" s="288">
        <f t="shared" ref="C57:M57" si="27">IF(C$4="","",C11)</f>
        <v>0</v>
      </c>
      <c r="D57" s="288" t="str">
        <f t="shared" si="27"/>
        <v/>
      </c>
      <c r="E57" s="288" t="str">
        <f t="shared" si="27"/>
        <v/>
      </c>
      <c r="F57" s="288" t="str">
        <f t="shared" si="27"/>
        <v/>
      </c>
      <c r="G57" s="288" t="str">
        <f t="shared" si="27"/>
        <v/>
      </c>
      <c r="H57" s="288" t="str">
        <f t="shared" si="27"/>
        <v/>
      </c>
      <c r="I57" s="288" t="str">
        <f t="shared" si="27"/>
        <v/>
      </c>
      <c r="J57" s="288" t="str">
        <f t="shared" si="27"/>
        <v/>
      </c>
      <c r="K57" s="288" t="str">
        <f t="shared" si="27"/>
        <v/>
      </c>
      <c r="L57" s="288" t="str">
        <f t="shared" si="27"/>
        <v/>
      </c>
      <c r="M57" s="288" t="str">
        <f t="shared" si="27"/>
        <v/>
      </c>
    </row>
    <row r="58" spans="2:13">
      <c r="B58" s="38" t="s">
        <v>135</v>
      </c>
      <c r="C58" s="288">
        <f>IF(C$4="","",C44-C55-C56-C57)</f>
        <v>-272306</v>
      </c>
      <c r="D58" s="288" t="str">
        <f t="shared" ref="D58:M58" si="28">IF(D$4="","",D44-D55-D56-D57)</f>
        <v/>
      </c>
      <c r="E58" s="288" t="str">
        <f t="shared" si="28"/>
        <v/>
      </c>
      <c r="F58" s="288" t="str">
        <f t="shared" si="28"/>
        <v/>
      </c>
      <c r="G58" s="288" t="str">
        <f t="shared" si="28"/>
        <v/>
      </c>
      <c r="H58" s="288" t="str">
        <f t="shared" si="28"/>
        <v/>
      </c>
      <c r="I58" s="288" t="str">
        <f t="shared" si="28"/>
        <v/>
      </c>
      <c r="J58" s="288" t="str">
        <f t="shared" si="28"/>
        <v/>
      </c>
      <c r="K58" s="288" t="str">
        <f t="shared" si="28"/>
        <v/>
      </c>
      <c r="L58" s="288" t="str">
        <f t="shared" si="28"/>
        <v/>
      </c>
      <c r="M58" s="288" t="str">
        <f t="shared" si="28"/>
        <v/>
      </c>
    </row>
    <row r="60" spans="2:13">
      <c r="B60" s="16" t="s">
        <v>48</v>
      </c>
      <c r="C60" s="9"/>
    </row>
    <row r="61" spans="2:13">
      <c r="B61" s="26" t="s">
        <v>44</v>
      </c>
      <c r="C61" s="273">
        <f>IF(C$4="","",-C19)</f>
        <v>0</v>
      </c>
      <c r="D61" s="273" t="str">
        <f t="shared" ref="D61:M61" si="29">IF(D$4="","",-D19)</f>
        <v/>
      </c>
      <c r="E61" s="273" t="str">
        <f t="shared" si="29"/>
        <v/>
      </c>
      <c r="F61" s="273" t="str">
        <f t="shared" si="29"/>
        <v/>
      </c>
      <c r="G61" s="273" t="str">
        <f t="shared" si="29"/>
        <v/>
      </c>
      <c r="H61" s="273" t="str">
        <f t="shared" si="29"/>
        <v/>
      </c>
      <c r="I61" s="273" t="str">
        <f t="shared" si="29"/>
        <v/>
      </c>
      <c r="J61" s="273" t="str">
        <f t="shared" si="29"/>
        <v/>
      </c>
      <c r="K61" s="273" t="str">
        <f t="shared" si="29"/>
        <v/>
      </c>
      <c r="L61" s="273" t="str">
        <f t="shared" si="29"/>
        <v/>
      </c>
      <c r="M61" s="273" t="str">
        <f t="shared" si="29"/>
        <v/>
      </c>
    </row>
    <row r="62" spans="2:13">
      <c r="B62" s="26" t="s">
        <v>50</v>
      </c>
      <c r="C62" s="273">
        <f>IF(C$4="","",IF(C20=0,C61,-C20))</f>
        <v>0</v>
      </c>
      <c r="D62" s="273" t="str">
        <f t="shared" ref="D62:M62" si="30">IF(D$4="","",IF(D20=0,D61,-D20))</f>
        <v/>
      </c>
      <c r="E62" s="273" t="str">
        <f t="shared" si="30"/>
        <v/>
      </c>
      <c r="F62" s="273" t="str">
        <f t="shared" si="30"/>
        <v/>
      </c>
      <c r="G62" s="273" t="str">
        <f t="shared" si="30"/>
        <v/>
      </c>
      <c r="H62" s="273" t="str">
        <f t="shared" si="30"/>
        <v/>
      </c>
      <c r="I62" s="273" t="str">
        <f t="shared" si="30"/>
        <v/>
      </c>
      <c r="J62" s="273" t="str">
        <f t="shared" si="30"/>
        <v/>
      </c>
      <c r="K62" s="273" t="str">
        <f t="shared" si="30"/>
        <v/>
      </c>
      <c r="L62" s="273" t="str">
        <f t="shared" si="30"/>
        <v/>
      </c>
      <c r="M62" s="273" t="str">
        <f t="shared" si="30"/>
        <v/>
      </c>
    </row>
    <row r="63" spans="2:13">
      <c r="B63" s="26" t="s">
        <v>49</v>
      </c>
      <c r="C63" s="273">
        <f>IF(C$4="","",-C21)</f>
        <v>0</v>
      </c>
      <c r="D63" s="273" t="str">
        <f t="shared" ref="D63:M63" si="31">IF(D$4="","",-D21)</f>
        <v/>
      </c>
      <c r="E63" s="273" t="str">
        <f t="shared" si="31"/>
        <v/>
      </c>
      <c r="F63" s="273" t="str">
        <f t="shared" si="31"/>
        <v/>
      </c>
      <c r="G63" s="273" t="str">
        <f t="shared" si="31"/>
        <v/>
      </c>
      <c r="H63" s="273" t="str">
        <f t="shared" si="31"/>
        <v/>
      </c>
      <c r="I63" s="273" t="str">
        <f t="shared" si="31"/>
        <v/>
      </c>
      <c r="J63" s="273" t="str">
        <f t="shared" si="31"/>
        <v/>
      </c>
      <c r="K63" s="273" t="str">
        <f t="shared" si="31"/>
        <v/>
      </c>
      <c r="L63" s="273" t="str">
        <f t="shared" si="31"/>
        <v/>
      </c>
      <c r="M63" s="273" t="str">
        <f t="shared" si="31"/>
        <v/>
      </c>
    </row>
    <row r="64" spans="2:13">
      <c r="B64" s="26" t="s">
        <v>305</v>
      </c>
      <c r="C64" s="273">
        <f>IF(C$4="","",C22+C23+C24)</f>
        <v>626674</v>
      </c>
      <c r="D64" s="273" t="str">
        <f t="shared" ref="D64:M64" si="32">IF(D$4="","",D22+D23+D24)</f>
        <v/>
      </c>
      <c r="E64" s="273" t="str">
        <f t="shared" si="32"/>
        <v/>
      </c>
      <c r="F64" s="273" t="str">
        <f t="shared" si="32"/>
        <v/>
      </c>
      <c r="G64" s="273" t="str">
        <f t="shared" si="32"/>
        <v/>
      </c>
      <c r="H64" s="273" t="str">
        <f t="shared" si="32"/>
        <v/>
      </c>
      <c r="I64" s="273" t="str">
        <f t="shared" si="32"/>
        <v/>
      </c>
      <c r="J64" s="273" t="str">
        <f t="shared" si="32"/>
        <v/>
      </c>
      <c r="K64" s="273" t="str">
        <f t="shared" si="32"/>
        <v/>
      </c>
      <c r="L64" s="273" t="str">
        <f t="shared" si="32"/>
        <v/>
      </c>
      <c r="M64" s="273" t="str">
        <f t="shared" si="32"/>
        <v/>
      </c>
    </row>
    <row r="65" spans="2:13">
      <c r="B65" s="23" t="s">
        <v>34</v>
      </c>
      <c r="C65" s="70">
        <f>IF(C$4="","",C25)</f>
        <v>0.14199999999999999</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2000001</v>
      </c>
      <c r="D76" s="288" t="str">
        <f t="shared" ref="D76:M76" si="39">IF(D$4="","",D79+D80)</f>
        <v/>
      </c>
      <c r="E76" s="288" t="str">
        <f t="shared" si="39"/>
        <v/>
      </c>
      <c r="F76" s="288" t="str">
        <f t="shared" si="39"/>
        <v/>
      </c>
      <c r="G76" s="288" t="str">
        <f t="shared" si="39"/>
        <v/>
      </c>
      <c r="H76" s="288" t="str">
        <f t="shared" si="39"/>
        <v/>
      </c>
      <c r="I76" s="288" t="str">
        <f t="shared" si="39"/>
        <v/>
      </c>
      <c r="J76" s="288" t="str">
        <f t="shared" si="39"/>
        <v/>
      </c>
      <c r="K76" s="288" t="str">
        <f t="shared" si="39"/>
        <v/>
      </c>
      <c r="L76" s="288" t="str">
        <f t="shared" si="39"/>
        <v/>
      </c>
      <c r="M76" s="288" t="str">
        <f t="shared" si="39"/>
        <v/>
      </c>
    </row>
    <row r="77" spans="2:13">
      <c r="B77" s="90" t="s">
        <v>82</v>
      </c>
      <c r="C77" s="262">
        <f t="shared" ref="C77:H78" si="40">IF(C$4="","",C28)</f>
        <v>0</v>
      </c>
      <c r="D77" s="285" t="str">
        <f t="shared" si="40"/>
        <v/>
      </c>
      <c r="E77" s="285" t="str">
        <f t="shared" si="40"/>
        <v/>
      </c>
      <c r="F77" s="285" t="str">
        <f t="shared" si="40"/>
        <v/>
      </c>
      <c r="G77" s="285" t="str">
        <f t="shared" si="40"/>
        <v/>
      </c>
      <c r="H77" s="285" t="str">
        <f t="shared" si="40"/>
        <v/>
      </c>
      <c r="I77" s="294"/>
      <c r="J77" s="294"/>
      <c r="K77" s="294"/>
      <c r="L77" s="294"/>
      <c r="M77" s="294"/>
    </row>
    <row r="78" spans="2:13">
      <c r="B78" s="90" t="s">
        <v>83</v>
      </c>
      <c r="C78" s="262">
        <f t="shared" si="40"/>
        <v>0</v>
      </c>
      <c r="D78" s="285" t="str">
        <f t="shared" si="40"/>
        <v/>
      </c>
      <c r="E78" s="285" t="str">
        <f t="shared" si="40"/>
        <v/>
      </c>
      <c r="F78" s="285" t="str">
        <f t="shared" si="40"/>
        <v/>
      </c>
      <c r="G78" s="285" t="str">
        <f t="shared" si="40"/>
        <v/>
      </c>
      <c r="H78" s="285" t="str">
        <f t="shared" si="40"/>
        <v/>
      </c>
      <c r="I78" s="294"/>
      <c r="J78" s="294"/>
      <c r="K78" s="294"/>
      <c r="L78" s="294"/>
      <c r="M78" s="294"/>
    </row>
    <row r="79" spans="2:13">
      <c r="B79" s="25" t="s">
        <v>38</v>
      </c>
      <c r="C79" s="261">
        <f t="shared" ref="C79:M79" si="41">IF(C$4="","",C30)</f>
        <v>2</v>
      </c>
      <c r="D79" s="273" t="str">
        <f t="shared" si="41"/>
        <v/>
      </c>
      <c r="E79" s="273" t="str">
        <f t="shared" si="41"/>
        <v/>
      </c>
      <c r="F79" s="273" t="str">
        <f t="shared" si="41"/>
        <v/>
      </c>
      <c r="G79" s="273" t="str">
        <f t="shared" si="41"/>
        <v/>
      </c>
      <c r="H79" s="273" t="str">
        <f t="shared" si="41"/>
        <v/>
      </c>
      <c r="I79" s="273" t="str">
        <f t="shared" si="41"/>
        <v/>
      </c>
      <c r="J79" s="273" t="str">
        <f t="shared" si="41"/>
        <v/>
      </c>
      <c r="K79" s="273" t="str">
        <f t="shared" si="41"/>
        <v/>
      </c>
      <c r="L79" s="273" t="str">
        <f t="shared" si="41"/>
        <v/>
      </c>
      <c r="M79" s="273" t="str">
        <f t="shared" si="41"/>
        <v/>
      </c>
    </row>
    <row r="80" spans="2:13">
      <c r="B80" s="25" t="s">
        <v>28</v>
      </c>
      <c r="C80" s="261">
        <f t="shared" ref="C80:M80" si="42">IF(C$4="","",C31)</f>
        <v>1999999</v>
      </c>
      <c r="D80" s="273" t="str">
        <f t="shared" si="42"/>
        <v/>
      </c>
      <c r="E80" s="273" t="str">
        <f t="shared" si="42"/>
        <v/>
      </c>
      <c r="F80" s="273" t="str">
        <f t="shared" si="42"/>
        <v/>
      </c>
      <c r="G80" s="273" t="str">
        <f t="shared" si="42"/>
        <v/>
      </c>
      <c r="H80" s="273" t="str">
        <f t="shared" si="42"/>
        <v/>
      </c>
      <c r="I80" s="273" t="str">
        <f t="shared" si="42"/>
        <v/>
      </c>
      <c r="J80" s="273" t="str">
        <f t="shared" si="42"/>
        <v/>
      </c>
      <c r="K80" s="273" t="str">
        <f t="shared" si="42"/>
        <v/>
      </c>
      <c r="L80" s="273" t="str">
        <f t="shared" si="42"/>
        <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1">
        <v>0.6</v>
      </c>
      <c r="E4" s="24"/>
      <c r="F4" s="4" t="s">
        <v>74</v>
      </c>
      <c r="G4" s="18">
        <v>1</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2000000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v>0</v>
      </c>
      <c r="D23" s="231">
        <v>0</v>
      </c>
      <c r="H23" s="232"/>
    </row>
    <row r="24" spans="2:8" ht="15" customHeight="1">
      <c r="B24" s="77" t="s">
        <v>70</v>
      </c>
      <c r="C24" s="78">
        <f>SUM(C15:C23)</f>
        <v>2000000</v>
      </c>
      <c r="D24" s="19">
        <f>C15*D15+C16*D16+C18*D18+C17*D17+C19*D19+C20*D20+C21*D21+C22*D22+C23*D23</f>
        <v>200000</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1999999</v>
      </c>
      <c r="H27" s="170">
        <f>H32-G30</f>
        <v>199998.9</v>
      </c>
    </row>
    <row r="28" spans="2:8" ht="15" customHeight="1">
      <c r="B28" s="4" t="s">
        <v>4</v>
      </c>
      <c r="C28" s="18">
        <v>0</v>
      </c>
      <c r="F28" s="171" t="s">
        <v>209</v>
      </c>
      <c r="G28" s="290">
        <v>0</v>
      </c>
      <c r="H28" s="170"/>
    </row>
    <row r="29" spans="2:8" ht="15" customHeight="1">
      <c r="B29" s="4" t="s">
        <v>5</v>
      </c>
      <c r="C29" s="18">
        <v>0</v>
      </c>
      <c r="F29" s="172" t="s">
        <v>72</v>
      </c>
      <c r="G29" s="14">
        <f>G27-G28</f>
        <v>1999999</v>
      </c>
      <c r="H29" s="170">
        <f>H27-G28</f>
        <v>199998.9</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2000001</v>
      </c>
      <c r="H32" s="170">
        <f>H35+H40</f>
        <v>200000.9</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2000000</v>
      </c>
      <c r="H35" s="182">
        <f>D12+D24</f>
        <v>200000</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2000000</v>
      </c>
      <c r="H39" s="170">
        <f>C7*D7+C17*D17+C19*D19+C20*D20</f>
        <v>200000</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1999999</v>
      </c>
      <c r="D46" s="73">
        <f>H29</f>
        <v>199998.9</v>
      </c>
      <c r="F46" s="223"/>
    </row>
    <row r="47" spans="2:8" ht="15" customHeight="1">
      <c r="B47" s="1" t="str">
        <f>"Equity per share ("&amp;Market_currency&amp;")"</f>
        <v>Equity per share (HKD)</v>
      </c>
      <c r="C47" s="134">
        <f>C46*H1/Common_Shares*Exchange_Rate</f>
        <v>1.9165723515350899</v>
      </c>
      <c r="D47" s="134">
        <f>D46*H1/Common_Shares*Exchange_Rate</f>
        <v>0.19165627686685408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v>
      </c>
      <c r="D50" s="92">
        <f>G31/Normalized_FCF!G8</f>
        <v>0</v>
      </c>
      <c r="F50" s="223"/>
    </row>
    <row r="51" spans="2:8" ht="15" customHeight="1">
      <c r="B51" s="1" t="s">
        <v>146</v>
      </c>
      <c r="C51" s="163"/>
      <c r="D51" s="89">
        <f>G29/G32</f>
        <v>0.99999900000050002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0.34288535000000009</v>
      </c>
      <c r="D54" s="89">
        <f>Normalized_FCF!G8/G35</f>
        <v>0.31120599999999998</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0.99999950000024995</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v>
      </c>
      <c r="D66" s="73">
        <f>C66-D75</f>
        <v>-477998.61921983329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-483279.51088649995</v>
      </c>
      <c r="D73" s="288">
        <f>(Normalized_FCF!C26+Normalized_FCF!C35-Normalized_FCF!C89)/12</f>
        <v>-477999.61921983329</v>
      </c>
      <c r="F73" s="1" t="s">
        <v>278</v>
      </c>
    </row>
    <row r="74" spans="2:6" ht="15" customHeight="1">
      <c r="B74" s="227" t="s">
        <v>259</v>
      </c>
      <c r="C74" s="228">
        <f>-$C$66/C73</f>
        <v>2.0691959362515863E-6</v>
      </c>
      <c r="D74" s="228">
        <f>-$C$66/D73</f>
        <v>2.0920518757570334E-6</v>
      </c>
      <c r="F74" s="223" t="s">
        <v>257</v>
      </c>
    </row>
    <row r="75" spans="2:6" ht="15" customHeight="1">
      <c r="B75" s="77" t="s">
        <v>258</v>
      </c>
      <c r="C75" s="263"/>
      <c r="D75" s="264">
        <f>MAX(-D73*D76,G5)</f>
        <v>477999.61921983329</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0</v>
      </c>
      <c r="D86" s="201">
        <f>C86*scaling_factor/Common_Shares</f>
        <v>0</v>
      </c>
      <c r="E86" s="214" t="str">
        <f>Market_currency</f>
        <v>HKD</v>
      </c>
    </row>
    <row r="87" spans="2:8" ht="15" customHeight="1">
      <c r="B87" s="212" t="s">
        <v>240</v>
      </c>
      <c r="C87" s="73">
        <f>DCF!F5*Exchange_Rate</f>
        <v>-477998.61921983329</v>
      </c>
      <c r="D87" s="201">
        <f>C87*scaling_factor/Common_Shares</f>
        <v>-0.45805969786418987</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-477998.61921983329</v>
      </c>
      <c r="D89" s="216">
        <f>SUM(D86:D88)</f>
        <v>-0.45805969786418987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f>
        <v>6273585</v>
      </c>
      <c r="D4" s="54"/>
      <c r="E4" s="235"/>
      <c r="F4" s="54"/>
      <c r="G4" s="273">
        <f>Data!C36</f>
        <v>6273585</v>
      </c>
      <c r="H4" s="273" t="str">
        <f>Data!D36</f>
        <v/>
      </c>
      <c r="I4" s="273" t="str">
        <f>Data!E36</f>
        <v/>
      </c>
      <c r="J4" s="273" t="str">
        <f>Data!F36</f>
        <v/>
      </c>
      <c r="K4" s="273" t="str">
        <f>Data!G36</f>
        <v/>
      </c>
      <c r="L4" s="273" t="str">
        <f>Data!H36</f>
        <v/>
      </c>
      <c r="M4" s="273" t="str">
        <f>Data!I36</f>
        <v/>
      </c>
      <c r="N4" s="273" t="str">
        <f>Data!J36</f>
        <v/>
      </c>
      <c r="O4" s="273" t="str">
        <f>Data!K36</f>
        <v/>
      </c>
      <c r="P4" s="273" t="str">
        <f>Data!L36</f>
        <v/>
      </c>
      <c r="Q4" s="273" t="str">
        <f>Data!M36</f>
        <v/>
      </c>
    </row>
    <row r="5" spans="1:17" ht="15.75" customHeight="1">
      <c r="A5" s="10"/>
      <c r="B5" s="2" t="s">
        <v>43</v>
      </c>
      <c r="C5" s="269">
        <f>C26</f>
        <v>-4893396.3</v>
      </c>
      <c r="E5" s="237"/>
      <c r="G5" s="273">
        <f t="shared" ref="G5:Q5" si="1">G26</f>
        <v>-4956755</v>
      </c>
      <c r="H5" s="273" t="str">
        <f t="shared" si="1"/>
        <v/>
      </c>
      <c r="I5" s="273" t="str">
        <f t="shared" si="1"/>
        <v/>
      </c>
      <c r="J5" s="273" t="str">
        <f t="shared" si="1"/>
        <v/>
      </c>
      <c r="K5" s="273" t="str">
        <f t="shared" si="1"/>
        <v/>
      </c>
      <c r="L5" s="273" t="str">
        <f t="shared" si="1"/>
        <v/>
      </c>
      <c r="M5" s="273" t="str">
        <f t="shared" si="1"/>
        <v/>
      </c>
      <c r="N5" s="273" t="str">
        <f t="shared" si="1"/>
        <v/>
      </c>
      <c r="O5" s="273" t="str">
        <f t="shared" si="1"/>
        <v/>
      </c>
      <c r="P5" s="273" t="str">
        <f t="shared" si="1"/>
        <v/>
      </c>
      <c r="Q5" s="273" t="str">
        <f t="shared" si="1"/>
        <v/>
      </c>
    </row>
    <row r="6" spans="1:17" ht="15.75" customHeight="1">
      <c r="A6" s="10"/>
      <c r="B6" s="30" t="s">
        <v>45</v>
      </c>
      <c r="C6" s="270">
        <f>C4+C5</f>
        <v>1380188.7000000002</v>
      </c>
      <c r="E6" s="237"/>
      <c r="G6" s="270">
        <f>IF(G4="","",G4+G5)</f>
        <v>1316830</v>
      </c>
      <c r="H6" s="270" t="str">
        <f t="shared" ref="H6:Q6" si="2">IF(H4="","",H4+H5)</f>
        <v/>
      </c>
      <c r="I6" s="270" t="str">
        <f t="shared" si="2"/>
        <v/>
      </c>
      <c r="J6" s="270" t="str">
        <f t="shared" si="2"/>
        <v/>
      </c>
      <c r="K6" s="270" t="str">
        <f t="shared" si="2"/>
        <v/>
      </c>
      <c r="L6" s="270" t="str">
        <f t="shared" si="2"/>
        <v/>
      </c>
      <c r="M6" s="270" t="str">
        <f t="shared" si="2"/>
        <v/>
      </c>
      <c r="N6" s="270" t="str">
        <f t="shared" si="2"/>
        <v/>
      </c>
      <c r="O6" s="270" t="str">
        <f t="shared" si="2"/>
        <v/>
      </c>
      <c r="P6" s="270" t="str">
        <f t="shared" si="2"/>
        <v/>
      </c>
      <c r="Q6" s="270" t="str">
        <f t="shared" si="2"/>
        <v/>
      </c>
    </row>
    <row r="7" spans="1:17" ht="15.75" customHeight="1">
      <c r="A7" s="10"/>
      <c r="B7" s="8" t="s">
        <v>42</v>
      </c>
      <c r="C7" s="269">
        <f>C35</f>
        <v>-694418</v>
      </c>
      <c r="E7" s="237"/>
      <c r="G7" s="269">
        <f t="shared" ref="G7:Q7" si="3">G35</f>
        <v>-694418</v>
      </c>
      <c r="H7" s="269" t="str">
        <f t="shared" si="3"/>
        <v/>
      </c>
      <c r="I7" s="269" t="str">
        <f t="shared" si="3"/>
        <v/>
      </c>
      <c r="J7" s="269" t="str">
        <f t="shared" si="3"/>
        <v/>
      </c>
      <c r="K7" s="269" t="str">
        <f t="shared" si="3"/>
        <v/>
      </c>
      <c r="L7" s="269" t="str">
        <f t="shared" si="3"/>
        <v/>
      </c>
      <c r="M7" s="269" t="str">
        <f t="shared" si="3"/>
        <v/>
      </c>
      <c r="N7" s="269" t="str">
        <f t="shared" si="3"/>
        <v/>
      </c>
      <c r="O7" s="269" t="str">
        <f t="shared" si="3"/>
        <v/>
      </c>
      <c r="P7" s="269" t="str">
        <f t="shared" si="3"/>
        <v/>
      </c>
      <c r="Q7" s="269" t="str">
        <f t="shared" si="3"/>
        <v/>
      </c>
    </row>
    <row r="8" spans="1:17" ht="15.75" customHeight="1">
      <c r="A8" s="10"/>
      <c r="B8" s="28" t="s">
        <v>127</v>
      </c>
      <c r="C8" s="271">
        <f>C6+C7</f>
        <v>685770.70000000019</v>
      </c>
      <c r="D8" s="56"/>
      <c r="E8" s="243"/>
      <c r="F8" s="56"/>
      <c r="G8" s="270">
        <f>IF(G$4="","",G6+G7)</f>
        <v>622412</v>
      </c>
      <c r="H8" s="270" t="str">
        <f t="shared" ref="H8:Q8" si="4">IF(H$4="","",H6+H7)</f>
        <v/>
      </c>
      <c r="I8" s="270" t="str">
        <f t="shared" si="4"/>
        <v/>
      </c>
      <c r="J8" s="270" t="str">
        <f t="shared" si="4"/>
        <v/>
      </c>
      <c r="K8" s="270" t="str">
        <f t="shared" si="4"/>
        <v/>
      </c>
      <c r="L8" s="270" t="str">
        <f t="shared" si="4"/>
        <v/>
      </c>
      <c r="M8" s="270" t="str">
        <f t="shared" si="4"/>
        <v/>
      </c>
      <c r="N8" s="270" t="str">
        <f t="shared" si="4"/>
        <v/>
      </c>
      <c r="O8" s="270" t="str">
        <f t="shared" si="4"/>
        <v/>
      </c>
      <c r="P8" s="270" t="str">
        <f t="shared" si="4"/>
        <v/>
      </c>
      <c r="Q8" s="270" t="str">
        <f t="shared" si="4"/>
        <v/>
      </c>
    </row>
    <row r="9" spans="1:17" ht="15.75" customHeight="1">
      <c r="A9" s="10"/>
      <c r="B9" s="26" t="s">
        <v>415</v>
      </c>
      <c r="C9" s="303">
        <f>C61</f>
        <v>0</v>
      </c>
      <c r="D9" s="55"/>
      <c r="E9" s="236"/>
      <c r="F9" s="55"/>
      <c r="G9" s="273">
        <f>G59</f>
        <v>0</v>
      </c>
      <c r="H9" s="273" t="str">
        <f t="shared" ref="H9:Q9" si="5">H59</f>
        <v/>
      </c>
      <c r="I9" s="273" t="str">
        <f t="shared" si="5"/>
        <v/>
      </c>
      <c r="J9" s="273" t="str">
        <f t="shared" si="5"/>
        <v/>
      </c>
      <c r="K9" s="273" t="str">
        <f t="shared" si="5"/>
        <v/>
      </c>
      <c r="L9" s="273" t="str">
        <f t="shared" si="5"/>
        <v/>
      </c>
      <c r="M9" s="273" t="str">
        <f t="shared" si="5"/>
        <v/>
      </c>
      <c r="N9" s="273" t="str">
        <f t="shared" si="5"/>
        <v/>
      </c>
      <c r="O9" s="273" t="str">
        <f t="shared" si="5"/>
        <v/>
      </c>
      <c r="P9" s="273" t="str">
        <f t="shared" si="5"/>
        <v/>
      </c>
      <c r="Q9" s="273" t="str">
        <f t="shared" si="5"/>
        <v/>
      </c>
    </row>
    <row r="10" spans="1:17" ht="15.75" customHeight="1">
      <c r="A10" s="10"/>
      <c r="B10" s="2" t="s">
        <v>65</v>
      </c>
      <c r="C10" s="269">
        <f>C48</f>
        <v>2867.9977153189998</v>
      </c>
      <c r="E10" s="237"/>
      <c r="G10" s="269">
        <f>G48</f>
        <v>-33116</v>
      </c>
      <c r="H10" s="269" t="str">
        <f t="shared" ref="H10:Q10" si="6">H48</f>
        <v/>
      </c>
      <c r="I10" s="269" t="str">
        <f t="shared" si="6"/>
        <v/>
      </c>
      <c r="J10" s="269" t="str">
        <f t="shared" si="6"/>
        <v/>
      </c>
      <c r="K10" s="269" t="str">
        <f t="shared" si="6"/>
        <v/>
      </c>
      <c r="L10" s="269" t="str">
        <f t="shared" si="6"/>
        <v/>
      </c>
      <c r="M10" s="269" t="str">
        <f t="shared" si="6"/>
        <v/>
      </c>
      <c r="N10" s="269" t="str">
        <f t="shared" si="6"/>
        <v/>
      </c>
      <c r="O10" s="269" t="str">
        <f t="shared" si="6"/>
        <v/>
      </c>
      <c r="P10" s="269" t="str">
        <f t="shared" si="6"/>
        <v/>
      </c>
      <c r="Q10" s="269" t="str">
        <f t="shared" si="6"/>
        <v/>
      </c>
    </row>
    <row r="11" spans="1:17" ht="15.75" customHeight="1">
      <c r="A11" s="10"/>
      <c r="B11" s="67" t="s">
        <v>137</v>
      </c>
      <c r="C11" s="270">
        <f>SUM(C8:C10)</f>
        <v>688638.69771531923</v>
      </c>
      <c r="E11" s="237"/>
      <c r="G11" s="270">
        <f t="shared" ref="G11:Q11" si="7">IF(G$4="","",SUM(G8:G10))</f>
        <v>589296</v>
      </c>
      <c r="H11" s="270" t="str">
        <f t="shared" si="7"/>
        <v/>
      </c>
      <c r="I11" s="270" t="str">
        <f t="shared" si="7"/>
        <v/>
      </c>
      <c r="J11" s="270" t="str">
        <f t="shared" si="7"/>
        <v/>
      </c>
      <c r="K11" s="270" t="str">
        <f t="shared" si="7"/>
        <v/>
      </c>
      <c r="L11" s="270" t="str">
        <f t="shared" si="7"/>
        <v/>
      </c>
      <c r="M11" s="270" t="str">
        <f t="shared" si="7"/>
        <v/>
      </c>
      <c r="N11" s="270" t="str">
        <f t="shared" si="7"/>
        <v/>
      </c>
      <c r="O11" s="270" t="str">
        <f t="shared" si="7"/>
        <v/>
      </c>
      <c r="P11" s="270" t="str">
        <f t="shared" si="7"/>
        <v/>
      </c>
      <c r="Q11" s="270" t="str">
        <f t="shared" si="7"/>
        <v/>
      </c>
    </row>
    <row r="12" spans="1:17" ht="15.75" customHeight="1">
      <c r="A12" s="10"/>
      <c r="B12" s="2" t="s">
        <v>60</v>
      </c>
      <c r="C12" s="269">
        <f>-C11*C41</f>
        <v>-148745.95870650894</v>
      </c>
      <c r="E12" s="237"/>
      <c r="G12" s="269">
        <f>Data!C46</f>
        <v>-76422</v>
      </c>
      <c r="H12" s="269" t="str">
        <f>Data!D46</f>
        <v/>
      </c>
      <c r="I12" s="269" t="str">
        <f>Data!E46</f>
        <v/>
      </c>
      <c r="J12" s="269" t="str">
        <f>Data!F46</f>
        <v/>
      </c>
      <c r="K12" s="269" t="str">
        <f>Data!G46</f>
        <v/>
      </c>
      <c r="L12" s="269" t="str">
        <f>Data!H46</f>
        <v/>
      </c>
      <c r="M12" s="269" t="str">
        <f>Data!I46</f>
        <v/>
      </c>
      <c r="N12" s="269" t="str">
        <f>Data!J46</f>
        <v/>
      </c>
      <c r="O12" s="269" t="str">
        <f>Data!K46</f>
        <v/>
      </c>
      <c r="P12" s="269" t="str">
        <f>Data!L46</f>
        <v/>
      </c>
      <c r="Q12" s="269" t="str">
        <f>Data!M46</f>
        <v/>
      </c>
    </row>
    <row r="13" spans="1:17" ht="15.75" customHeight="1">
      <c r="A13" s="10"/>
      <c r="B13" s="38" t="s">
        <v>208</v>
      </c>
      <c r="C13" s="269">
        <f>-C4*C79</f>
        <v>0</v>
      </c>
      <c r="D13" s="57"/>
      <c r="E13" s="244"/>
      <c r="F13" s="57"/>
      <c r="G13" s="273">
        <f>Data!C48</f>
        <v>-5894</v>
      </c>
      <c r="H13" s="273" t="str">
        <f>Data!D48</f>
        <v/>
      </c>
      <c r="I13" s="273" t="str">
        <f>Data!E48</f>
        <v/>
      </c>
      <c r="J13" s="273" t="str">
        <f>Data!F48</f>
        <v/>
      </c>
      <c r="K13" s="273" t="str">
        <f>Data!G48</f>
        <v/>
      </c>
      <c r="L13" s="273" t="str">
        <f>Data!H48</f>
        <v/>
      </c>
      <c r="M13" s="273" t="str">
        <f>Data!I48</f>
        <v/>
      </c>
      <c r="N13" s="273" t="str">
        <f>Data!J48</f>
        <v/>
      </c>
      <c r="O13" s="273" t="str">
        <f>Data!K48</f>
        <v/>
      </c>
      <c r="P13" s="273" t="str">
        <f>Data!L48</f>
        <v/>
      </c>
      <c r="Q13" s="273" t="str">
        <f>Data!M48</f>
        <v/>
      </c>
    </row>
    <row r="14" spans="1:17" ht="15.75" customHeight="1">
      <c r="A14" s="10"/>
      <c r="B14" s="39" t="s">
        <v>129</v>
      </c>
      <c r="C14" s="272">
        <f>SUM(C11:C13)</f>
        <v>539892.73900881025</v>
      </c>
      <c r="D14" s="58"/>
      <c r="E14" s="245"/>
      <c r="F14" s="58"/>
      <c r="G14" s="270">
        <f t="shared" ref="G14:Q14" si="8">IF(G$4="","",SUM(G11:G13))</f>
        <v>506980</v>
      </c>
      <c r="H14" s="270" t="str">
        <f t="shared" si="8"/>
        <v/>
      </c>
      <c r="I14" s="270" t="str">
        <f t="shared" si="8"/>
        <v/>
      </c>
      <c r="J14" s="270" t="str">
        <f t="shared" si="8"/>
        <v/>
      </c>
      <c r="K14" s="270" t="str">
        <f t="shared" si="8"/>
        <v/>
      </c>
      <c r="L14" s="270" t="str">
        <f t="shared" si="8"/>
        <v/>
      </c>
      <c r="M14" s="270" t="str">
        <f t="shared" si="8"/>
        <v/>
      </c>
      <c r="N14" s="270" t="str">
        <f t="shared" si="8"/>
        <v/>
      </c>
      <c r="O14" s="270" t="str">
        <f t="shared" si="8"/>
        <v/>
      </c>
      <c r="P14" s="270" t="str">
        <f t="shared" si="8"/>
        <v/>
      </c>
      <c r="Q14" s="270" t="str">
        <f t="shared" si="8"/>
        <v/>
      </c>
    </row>
    <row r="15" spans="1:17" ht="15.75" customHeight="1">
      <c r="A15" s="10"/>
      <c r="B15" s="2" t="s">
        <v>62</v>
      </c>
      <c r="C15" s="269">
        <f>BS!$G$39*BS!D58</f>
        <v>0</v>
      </c>
      <c r="E15" s="237"/>
      <c r="G15" s="269">
        <f>IF(Data!C61="","",-Data!C61)</f>
        <v>0</v>
      </c>
      <c r="H15" s="269" t="str">
        <f>IF(Data!D61="","",-Data!D61)</f>
        <v/>
      </c>
      <c r="I15" s="269" t="str">
        <f>IF(Data!E61="","",-Data!E61)</f>
        <v/>
      </c>
      <c r="J15" s="269" t="str">
        <f>IF(Data!F61="","",-Data!F61)</f>
        <v/>
      </c>
      <c r="K15" s="269" t="str">
        <f>IF(Data!G61="","",-Data!G61)</f>
        <v/>
      </c>
      <c r="L15" s="269" t="str">
        <f>IF(Data!H61="","",-Data!H61)</f>
        <v/>
      </c>
      <c r="M15" s="269" t="str">
        <f>IF(Data!I61="","",-Data!I61)</f>
        <v/>
      </c>
      <c r="N15" s="269" t="str">
        <f>IF(Data!J61="","",-Data!J61)</f>
        <v/>
      </c>
      <c r="O15" s="269" t="str">
        <f>IF(Data!K61="","",-Data!K61)</f>
        <v/>
      </c>
      <c r="P15" s="269" t="str">
        <f>IF(Data!L61="","",-Data!L61)</f>
        <v/>
      </c>
      <c r="Q15" s="269" t="str">
        <f>IF(Data!M61="","",-Data!M61)</f>
        <v/>
      </c>
    </row>
    <row r="16" spans="1:17" ht="15.75" customHeight="1">
      <c r="A16" s="10"/>
      <c r="B16" s="2" t="s">
        <v>398</v>
      </c>
      <c r="C16" s="269">
        <f>-C4*C82</f>
        <v>0</v>
      </c>
      <c r="E16" s="237"/>
      <c r="G16" s="269">
        <f>Data!C62</f>
        <v>0</v>
      </c>
      <c r="H16" s="269" t="str">
        <f>Data!D62</f>
        <v/>
      </c>
      <c r="I16" s="269" t="str">
        <f>Data!E62</f>
        <v/>
      </c>
      <c r="J16" s="269" t="str">
        <f>Data!F62</f>
        <v/>
      </c>
      <c r="K16" s="269" t="str">
        <f>Data!G62</f>
        <v/>
      </c>
      <c r="L16" s="269" t="str">
        <f>Data!H62</f>
        <v/>
      </c>
      <c r="M16" s="269" t="str">
        <f>Data!I62</f>
        <v/>
      </c>
      <c r="N16" s="269" t="str">
        <f>Data!J62</f>
        <v/>
      </c>
      <c r="O16" s="269" t="str">
        <f>Data!K62</f>
        <v/>
      </c>
      <c r="P16" s="269" t="str">
        <f>Data!L62</f>
        <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539892.73900881025</v>
      </c>
      <c r="D19" s="26"/>
      <c r="E19" s="234"/>
      <c r="F19" s="26"/>
      <c r="G19" s="274">
        <f t="shared" ref="G19:Q19" si="9">IF(G$4="","",G14+G17)</f>
        <v>506980</v>
      </c>
      <c r="H19" s="274" t="str">
        <f t="shared" si="9"/>
        <v/>
      </c>
      <c r="I19" s="274" t="str">
        <f t="shared" si="9"/>
        <v/>
      </c>
      <c r="J19" s="274" t="str">
        <f t="shared" si="9"/>
        <v/>
      </c>
      <c r="K19" s="274" t="str">
        <f t="shared" si="9"/>
        <v/>
      </c>
      <c r="L19" s="274" t="str">
        <f t="shared" si="9"/>
        <v/>
      </c>
      <c r="M19" s="274" t="str">
        <f t="shared" si="9"/>
        <v/>
      </c>
      <c r="N19" s="274" t="str">
        <f t="shared" si="9"/>
        <v/>
      </c>
      <c r="O19" s="274" t="str">
        <f t="shared" si="9"/>
        <v/>
      </c>
      <c r="P19" s="274" t="str">
        <f t="shared" si="9"/>
        <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-2948584.9499999997</v>
      </c>
      <c r="D23" s="55"/>
      <c r="E23" s="236"/>
      <c r="F23" s="55"/>
      <c r="G23" s="273">
        <f>Data!C37</f>
        <v>-3056039</v>
      </c>
      <c r="H23" s="273" t="str">
        <f>Data!D37</f>
        <v/>
      </c>
      <c r="I23" s="273" t="str">
        <f>Data!E37</f>
        <v/>
      </c>
      <c r="J23" s="273" t="str">
        <f>Data!F37</f>
        <v/>
      </c>
      <c r="K23" s="273" t="str">
        <f>Data!G37</f>
        <v/>
      </c>
      <c r="L23" s="273" t="str">
        <f>Data!H37</f>
        <v/>
      </c>
      <c r="M23" s="273" t="str">
        <f>Data!I37</f>
        <v/>
      </c>
      <c r="N23" s="273" t="str">
        <f>Data!J37</f>
        <v/>
      </c>
      <c r="O23" s="273" t="str">
        <f>Data!K37</f>
        <v/>
      </c>
      <c r="P23" s="273" t="str">
        <f>Data!L37</f>
        <v/>
      </c>
      <c r="Q23" s="273" t="str">
        <f>Data!M37</f>
        <v/>
      </c>
    </row>
    <row r="24" spans="1:17" ht="15.75" customHeight="1">
      <c r="A24" s="10"/>
      <c r="B24" s="65" t="s">
        <v>59</v>
      </c>
      <c r="C24" s="269">
        <f>-C4*C30</f>
        <v>-1944811.35</v>
      </c>
      <c r="D24" s="26"/>
      <c r="E24" s="234"/>
      <c r="F24" s="26"/>
      <c r="G24" s="273">
        <f>Data!C40</f>
        <v>-1900716</v>
      </c>
      <c r="H24" s="273" t="str">
        <f>Data!D40</f>
        <v/>
      </c>
      <c r="I24" s="273" t="str">
        <f>Data!E40</f>
        <v/>
      </c>
      <c r="J24" s="273" t="str">
        <f>Data!F40</f>
        <v/>
      </c>
      <c r="K24" s="273" t="str">
        <f>Data!G40</f>
        <v/>
      </c>
      <c r="L24" s="273" t="str">
        <f>Data!H40</f>
        <v/>
      </c>
      <c r="M24" s="273" t="str">
        <f>Data!I40</f>
        <v/>
      </c>
      <c r="N24" s="273" t="str">
        <f>Data!J40</f>
        <v/>
      </c>
      <c r="O24" s="273" t="str">
        <f>Data!K40</f>
        <v/>
      </c>
      <c r="P24" s="273" t="str">
        <f>Data!L40</f>
        <v/>
      </c>
      <c r="Q24" s="273" t="str">
        <f>Data!M40</f>
        <v/>
      </c>
    </row>
    <row r="25" spans="1:17" ht="15.75" customHeight="1">
      <c r="A25" s="10"/>
      <c r="B25" s="26" t="s">
        <v>46</v>
      </c>
      <c r="C25" s="269">
        <f>-C4*C31</f>
        <v>0</v>
      </c>
      <c r="D25" s="55"/>
      <c r="E25" s="235"/>
      <c r="F25" s="55"/>
      <c r="G25" s="273">
        <f>Data!C42</f>
        <v>0</v>
      </c>
      <c r="H25" s="273" t="str">
        <f>Data!D42</f>
        <v/>
      </c>
      <c r="I25" s="273" t="str">
        <f>Data!E42</f>
        <v/>
      </c>
      <c r="J25" s="273" t="str">
        <f>Data!F42</f>
        <v/>
      </c>
      <c r="K25" s="273" t="str">
        <f>Data!G42</f>
        <v/>
      </c>
      <c r="L25" s="273" t="str">
        <f>Data!H42</f>
        <v/>
      </c>
      <c r="M25" s="273" t="str">
        <f>Data!I42</f>
        <v/>
      </c>
      <c r="N25" s="273" t="str">
        <f>Data!J42</f>
        <v/>
      </c>
      <c r="O25" s="273" t="str">
        <f>Data!K42</f>
        <v/>
      </c>
      <c r="P25" s="273" t="str">
        <f>Data!L42</f>
        <v/>
      </c>
      <c r="Q25" s="273" t="str">
        <f>Data!M42</f>
        <v/>
      </c>
    </row>
    <row r="26" spans="1:17" ht="15.75" customHeight="1">
      <c r="A26" s="10"/>
      <c r="B26" s="67" t="s">
        <v>43</v>
      </c>
      <c r="C26" s="270">
        <f>SUM(C23:C25)</f>
        <v>-4893396.3</v>
      </c>
      <c r="D26" s="9"/>
      <c r="E26" s="242"/>
      <c r="F26" s="9"/>
      <c r="G26" s="270">
        <f>IF(G$4="","",SUM(G23:G25))</f>
        <v>-4956755</v>
      </c>
      <c r="H26" s="270" t="str">
        <f t="shared" ref="H26:Q26" si="10">IF(H$4="","",SUM(H23:H25))</f>
        <v/>
      </c>
      <c r="I26" s="270" t="str">
        <f t="shared" si="10"/>
        <v/>
      </c>
      <c r="J26" s="270" t="str">
        <f t="shared" si="10"/>
        <v/>
      </c>
      <c r="K26" s="270" t="str">
        <f t="shared" si="10"/>
        <v/>
      </c>
      <c r="L26" s="270" t="str">
        <f t="shared" si="10"/>
        <v/>
      </c>
      <c r="M26" s="270" t="str">
        <f t="shared" si="10"/>
        <v/>
      </c>
      <c r="N26" s="270" t="str">
        <f t="shared" si="10"/>
        <v/>
      </c>
      <c r="O26" s="270" t="str">
        <f t="shared" si="10"/>
        <v/>
      </c>
      <c r="P26" s="270" t="str">
        <f t="shared" si="10"/>
        <v/>
      </c>
      <c r="Q26" s="270"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0.31</v>
      </c>
      <c r="D30" s="25"/>
      <c r="E30" s="235"/>
      <c r="F30" s="25"/>
      <c r="G30" s="13">
        <f t="shared" ref="G30:Q30" si="12">IF(G$4="","",ABS(G24/G$4))</f>
        <v>0.30297126762449222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0.77999999999999992</v>
      </c>
      <c r="E32" s="237"/>
      <c r="G32" s="29">
        <f t="shared" ref="G32:Q32" si="14">IF(G$4="","",ABS(G26/G$4))</f>
        <v>0.79009928135189056</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-694418</v>
      </c>
      <c r="D35" s="55"/>
      <c r="E35" s="236"/>
      <c r="F35" s="55"/>
      <c r="G35" s="270">
        <f>IF(G4="","",Data!C41)</f>
        <v>-694418</v>
      </c>
      <c r="H35" s="270" t="str">
        <f>IF(H4="","",Data!D41)</f>
        <v/>
      </c>
      <c r="I35" s="270" t="str">
        <f>IF(I4="","",Data!E41)</f>
        <v/>
      </c>
      <c r="J35" s="270" t="str">
        <f>IF(J4="","",Data!F41)</f>
        <v/>
      </c>
      <c r="K35" s="270" t="str">
        <f>IF(K4="","",Data!G41)</f>
        <v/>
      </c>
      <c r="L35" s="270" t="str">
        <f>IF(L4="","",Data!H41)</f>
        <v/>
      </c>
      <c r="M35" s="270" t="str">
        <f>IF(M4="","",Data!I41)</f>
        <v/>
      </c>
      <c r="N35" s="270" t="str">
        <f>IF(N4="","",Data!J41)</f>
        <v/>
      </c>
      <c r="O35" s="270" t="str">
        <f>IF(O4="","",Data!K41)</f>
        <v/>
      </c>
      <c r="P35" s="270" t="str">
        <f>IF(P4="","",Data!L41)</f>
        <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0.11068918329790702</v>
      </c>
      <c r="E38" s="237"/>
      <c r="G38" s="29">
        <f t="shared" ref="G38:Q38" si="15">IF(G$4="","",ABS(G35/G$4))</f>
        <v>0.11068918329790702</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60">
        <f>25%*60%+16.5%*40%</f>
        <v>0.216</v>
      </c>
      <c r="D41" s="26"/>
      <c r="E41" s="234" t="s">
        <v>403</v>
      </c>
      <c r="F41" s="26"/>
      <c r="G41" s="6">
        <f t="shared" ref="G41:Q41" si="16">IF(G$4="","",-G12/SUM(G8+G9,G10))</f>
        <v>0.12968355461431946</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0</v>
      </c>
      <c r="E45" s="237"/>
      <c r="G45" s="269">
        <f>Data!C51</f>
        <v>-33116</v>
      </c>
      <c r="H45" s="269" t="str">
        <f>Data!D51</f>
        <v/>
      </c>
      <c r="I45" s="269" t="str">
        <f>Data!E51</f>
        <v/>
      </c>
      <c r="J45" s="269" t="str">
        <f>Data!F51</f>
        <v/>
      </c>
      <c r="K45" s="269" t="str">
        <f>Data!G51</f>
        <v/>
      </c>
      <c r="L45" s="269" t="str">
        <f>Data!H51</f>
        <v/>
      </c>
      <c r="M45" s="269" t="str">
        <f>Data!I51</f>
        <v/>
      </c>
      <c r="N45" s="269" t="str">
        <f>Data!J51</f>
        <v/>
      </c>
      <c r="O45" s="269" t="str">
        <f>Data!K51</f>
        <v/>
      </c>
      <c r="P45" s="269" t="str">
        <f>Data!L51</f>
        <v/>
      </c>
      <c r="Q45" s="269" t="str">
        <f>Data!M51</f>
        <v/>
      </c>
    </row>
    <row r="46" spans="1:17" ht="15.75" customHeight="1">
      <c r="A46" s="10"/>
      <c r="B46" s="2" t="s">
        <v>272</v>
      </c>
      <c r="C46" s="269">
        <f>BS!D75*C51</f>
        <v>2867.9977153189998</v>
      </c>
      <c r="E46" s="237"/>
      <c r="G46" s="277">
        <f t="shared" ref="G46:Q46" si="17">IFERROR(IF(G$4="","",($C$46/$C$47)*G47),0)</f>
        <v>0</v>
      </c>
      <c r="H46" s="277" t="str">
        <f t="shared" si="17"/>
        <v/>
      </c>
      <c r="I46" s="277" t="str">
        <f t="shared" si="17"/>
        <v/>
      </c>
      <c r="J46" s="277" t="str">
        <f t="shared" si="17"/>
        <v/>
      </c>
      <c r="K46" s="277" t="str">
        <f t="shared" si="17"/>
        <v/>
      </c>
      <c r="L46" s="277" t="str">
        <f t="shared" si="17"/>
        <v/>
      </c>
      <c r="M46" s="277" t="str">
        <f t="shared" si="17"/>
        <v/>
      </c>
      <c r="N46" s="277" t="str">
        <f t="shared" si="17"/>
        <v/>
      </c>
      <c r="O46" s="277" t="str">
        <f t="shared" si="17"/>
        <v/>
      </c>
      <c r="P46" s="277" t="str">
        <f t="shared" si="17"/>
        <v/>
      </c>
      <c r="Q46" s="277" t="str">
        <f t="shared" si="17"/>
        <v/>
      </c>
    </row>
    <row r="47" spans="1:17" ht="15.75" customHeight="1">
      <c r="A47" s="10"/>
      <c r="B47" s="247" t="s">
        <v>269</v>
      </c>
      <c r="C47" s="281">
        <f>BS!$C$66*C51</f>
        <v>6.0000000000000001E-3</v>
      </c>
      <c r="D47" s="248"/>
      <c r="E47" s="249"/>
      <c r="F47" s="248"/>
      <c r="G47" s="281">
        <f>Data!C52</f>
        <v>0</v>
      </c>
      <c r="H47" s="281" t="str">
        <f>Data!D52</f>
        <v/>
      </c>
      <c r="I47" s="281" t="str">
        <f>Data!E52</f>
        <v/>
      </c>
      <c r="J47" s="281" t="str">
        <f>Data!F52</f>
        <v/>
      </c>
      <c r="K47" s="281" t="str">
        <f>Data!G52</f>
        <v/>
      </c>
      <c r="L47" s="281" t="str">
        <f>Data!H52</f>
        <v/>
      </c>
      <c r="M47" s="281" t="str">
        <f>Data!I52</f>
        <v/>
      </c>
      <c r="N47" s="281" t="str">
        <f>Data!J52</f>
        <v/>
      </c>
      <c r="O47" s="281" t="str">
        <f>Data!K52</f>
        <v/>
      </c>
      <c r="P47" s="281" t="str">
        <f>Data!L52</f>
        <v/>
      </c>
      <c r="Q47" s="281" t="str">
        <f>Data!M52</f>
        <v/>
      </c>
    </row>
    <row r="48" spans="1:17" ht="15.75" customHeight="1">
      <c r="A48" s="10"/>
      <c r="B48" s="67" t="s">
        <v>65</v>
      </c>
      <c r="C48" s="270">
        <f>C45+C46</f>
        <v>2867.9977153189998</v>
      </c>
      <c r="E48" s="237"/>
      <c r="G48" s="270">
        <f>IF(G$4="","",(G45+G46))</f>
        <v>-33116</v>
      </c>
      <c r="H48" s="270" t="str">
        <f t="shared" ref="H48:Q48" si="18">IF(H$4="","",(H45+H46))</f>
        <v/>
      </c>
      <c r="I48" s="270" t="str">
        <f t="shared" si="18"/>
        <v/>
      </c>
      <c r="J48" s="270" t="str">
        <f t="shared" si="18"/>
        <v/>
      </c>
      <c r="K48" s="270" t="str">
        <f t="shared" si="18"/>
        <v/>
      </c>
      <c r="L48" s="270" t="str">
        <f t="shared" si="18"/>
        <v/>
      </c>
      <c r="M48" s="270" t="str">
        <f t="shared" si="18"/>
        <v/>
      </c>
      <c r="N48" s="270" t="str">
        <f t="shared" si="18"/>
        <v/>
      </c>
      <c r="O48" s="270" t="str">
        <f t="shared" si="18"/>
        <v/>
      </c>
      <c r="P48" s="270" t="str">
        <f t="shared" si="18"/>
        <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37"/>
      <c r="G53" s="40">
        <f t="shared" ref="G53:Q53" si="19">IF(G4="","",-G8/G45)</f>
        <v>18.794902766034546</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t="str">
        <f>Data!D56</f>
        <v/>
      </c>
      <c r="I56" s="269" t="str">
        <f>Data!E56</f>
        <v/>
      </c>
      <c r="J56" s="269" t="str">
        <f>Data!F56</f>
        <v/>
      </c>
      <c r="K56" s="269" t="str">
        <f>Data!G56</f>
        <v/>
      </c>
      <c r="L56" s="269" t="str">
        <f>Data!H56</f>
        <v/>
      </c>
      <c r="M56" s="269" t="str">
        <f>Data!I56</f>
        <v/>
      </c>
      <c r="N56" s="269" t="str">
        <f>Data!J56</f>
        <v/>
      </c>
      <c r="O56" s="269" t="str">
        <f>Data!K56</f>
        <v/>
      </c>
      <c r="P56" s="269" t="str">
        <f>Data!L56</f>
        <v/>
      </c>
      <c r="Q56" s="269" t="str">
        <f>Data!M56</f>
        <v/>
      </c>
    </row>
    <row r="57" spans="1:17" ht="15.75" customHeight="1">
      <c r="A57" s="10"/>
      <c r="B57" s="38" t="s">
        <v>134</v>
      </c>
      <c r="C57" s="269">
        <f>BS!$C68*C65</f>
        <v>0</v>
      </c>
      <c r="E57" s="237"/>
      <c r="G57" s="269">
        <f>Data!C55</f>
        <v>0</v>
      </c>
      <c r="H57" s="269" t="str">
        <f>Data!D55</f>
        <v/>
      </c>
      <c r="I57" s="269" t="str">
        <f>Data!E55</f>
        <v/>
      </c>
      <c r="J57" s="269" t="str">
        <f>Data!F55</f>
        <v/>
      </c>
      <c r="K57" s="269" t="str">
        <f>Data!G55</f>
        <v/>
      </c>
      <c r="L57" s="269" t="str">
        <f>Data!H55</f>
        <v/>
      </c>
      <c r="M57" s="269" t="str">
        <f>Data!I55</f>
        <v/>
      </c>
      <c r="N57" s="269" t="str">
        <f>Data!J55</f>
        <v/>
      </c>
      <c r="O57" s="269" t="str">
        <f>Data!K55</f>
        <v/>
      </c>
      <c r="P57" s="269" t="str">
        <f>Data!L55</f>
        <v/>
      </c>
      <c r="Q57" s="269" t="str">
        <f>Data!M55</f>
        <v/>
      </c>
    </row>
    <row r="58" spans="1:17" ht="15.75" customHeight="1">
      <c r="A58" s="10"/>
      <c r="B58" s="38" t="s">
        <v>133</v>
      </c>
      <c r="C58" s="269">
        <f>BS!$C69*C66</f>
        <v>0</v>
      </c>
      <c r="E58" s="237"/>
      <c r="G58" s="269">
        <f>Data!C57</f>
        <v>0</v>
      </c>
      <c r="H58" s="269" t="str">
        <f>Data!D57</f>
        <v/>
      </c>
      <c r="I58" s="269" t="str">
        <f>Data!E57</f>
        <v/>
      </c>
      <c r="J58" s="269" t="str">
        <f>Data!F57</f>
        <v/>
      </c>
      <c r="K58" s="269" t="str">
        <f>Data!G57</f>
        <v/>
      </c>
      <c r="L58" s="269" t="str">
        <f>Data!H57</f>
        <v/>
      </c>
      <c r="M58" s="269" t="str">
        <f>Data!I57</f>
        <v/>
      </c>
      <c r="N58" s="269" t="str">
        <f>Data!J57</f>
        <v/>
      </c>
      <c r="O58" s="269" t="str">
        <f>Data!K57</f>
        <v/>
      </c>
      <c r="P58" s="269" t="str">
        <f>Data!L57</f>
        <v/>
      </c>
      <c r="Q58" s="269" t="str">
        <f>Data!M57</f>
        <v/>
      </c>
    </row>
    <row r="59" spans="1:17" ht="15.75" customHeight="1">
      <c r="A59" s="10"/>
      <c r="B59" s="30" t="s">
        <v>163</v>
      </c>
      <c r="C59" s="270">
        <f>SUM(C56:C58)</f>
        <v>0</v>
      </c>
      <c r="E59" s="237"/>
      <c r="G59" s="270">
        <f t="shared" ref="G59:Q59" si="20">IF(G4="","",SUM(G56:G58))</f>
        <v>0</v>
      </c>
      <c r="H59" s="270" t="str">
        <f t="shared" si="20"/>
        <v/>
      </c>
      <c r="I59" s="270" t="str">
        <f t="shared" si="20"/>
        <v/>
      </c>
      <c r="J59" s="270" t="str">
        <f t="shared" si="20"/>
        <v/>
      </c>
      <c r="K59" s="270" t="str">
        <f t="shared" si="20"/>
        <v/>
      </c>
      <c r="L59" s="270" t="str">
        <f t="shared" si="20"/>
        <v/>
      </c>
      <c r="M59" s="270" t="str">
        <f t="shared" si="20"/>
        <v/>
      </c>
      <c r="N59" s="270" t="str">
        <f t="shared" si="20"/>
        <v/>
      </c>
      <c r="O59" s="270" t="str">
        <f t="shared" si="20"/>
        <v/>
      </c>
      <c r="P59" s="270" t="str">
        <f t="shared" si="20"/>
        <v/>
      </c>
      <c r="Q59" s="270" t="str">
        <f t="shared" si="20"/>
        <v/>
      </c>
    </row>
    <row r="60" spans="1:17" ht="15.75" customHeight="1">
      <c r="A60" s="10"/>
      <c r="B60" s="38" t="s">
        <v>135</v>
      </c>
      <c r="C60" s="282">
        <v>0</v>
      </c>
      <c r="E60" s="235" t="s">
        <v>264</v>
      </c>
      <c r="G60" s="269">
        <f>Data!C58</f>
        <v>-272306</v>
      </c>
      <c r="H60" s="269" t="str">
        <f>Data!D58</f>
        <v/>
      </c>
      <c r="I60" s="269" t="str">
        <f>Data!E58</f>
        <v/>
      </c>
      <c r="J60" s="269" t="str">
        <f>Data!F58</f>
        <v/>
      </c>
      <c r="K60" s="269" t="str">
        <f>Data!G58</f>
        <v/>
      </c>
      <c r="L60" s="269" t="str">
        <f>Data!H58</f>
        <v/>
      </c>
      <c r="M60" s="269" t="str">
        <f>Data!I58</f>
        <v/>
      </c>
      <c r="N60" s="269" t="str">
        <f>Data!J58</f>
        <v/>
      </c>
      <c r="O60" s="269" t="str">
        <f>Data!K58</f>
        <v/>
      </c>
      <c r="P60" s="269" t="str">
        <f>Data!L58</f>
        <v/>
      </c>
      <c r="Q60" s="269" t="str">
        <f>Data!M58</f>
        <v/>
      </c>
    </row>
    <row r="61" spans="1:17" ht="15.75" customHeight="1">
      <c r="A61" s="10"/>
      <c r="B61" s="30" t="s">
        <v>164</v>
      </c>
      <c r="C61" s="270">
        <f>C59+C60</f>
        <v>0</v>
      </c>
      <c r="E61" s="237"/>
      <c r="G61" s="270">
        <f t="shared" ref="G61:Q61" si="21">IF(G4="","",G59+G60)</f>
        <v>-272306</v>
      </c>
      <c r="H61" s="270" t="str">
        <f t="shared" si="21"/>
        <v/>
      </c>
      <c r="I61" s="270" t="str">
        <f t="shared" si="21"/>
        <v/>
      </c>
      <c r="J61" s="270" t="str">
        <f t="shared" si="21"/>
        <v/>
      </c>
      <c r="K61" s="270" t="str">
        <f t="shared" si="21"/>
        <v/>
      </c>
      <c r="L61" s="270" t="str">
        <f t="shared" si="21"/>
        <v/>
      </c>
      <c r="M61" s="270" t="str">
        <f t="shared" si="21"/>
        <v/>
      </c>
      <c r="N61" s="270" t="str">
        <f t="shared" si="21"/>
        <v/>
      </c>
      <c r="O61" s="270" t="str">
        <f t="shared" si="21"/>
        <v/>
      </c>
      <c r="P61" s="270" t="str">
        <f t="shared" si="21"/>
        <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0.22000000000000003</v>
      </c>
      <c r="D72" s="26"/>
      <c r="E72" s="234"/>
      <c r="F72" s="26"/>
      <c r="G72" s="62">
        <f t="shared" ref="G72:Q72" si="24">IF(G$4="","",ABS(G6/G$4))</f>
        <v>0.2099007186481095</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0.11068918329790702</v>
      </c>
      <c r="D73" s="26"/>
      <c r="E73" s="234"/>
      <c r="F73" s="26"/>
      <c r="G73" s="6">
        <f t="shared" ref="G73:Q73" si="25">IF(G$4="","",ABS(G7/G$4))</f>
        <v>0.11068918329790702</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0.10931081670209301</v>
      </c>
      <c r="D74" s="26"/>
      <c r="E74" s="234"/>
      <c r="F74" s="26"/>
      <c r="G74" s="62">
        <f t="shared" ref="G74:Q74" si="26">IF(G$4="","",ABS(G8/G$4))</f>
        <v>9.9211535350202482E-2</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4.5715451616882527E-4</v>
      </c>
      <c r="D76" s="26"/>
      <c r="E76" s="234"/>
      <c r="F76" s="26"/>
      <c r="G76" s="6">
        <f t="shared" ref="G76:Q76" si="28">IF(G$4="","",ABS(G10/G$4))</f>
        <v>5.2786405221257066E-3</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0.10976797121826185</v>
      </c>
      <c r="D77" s="26"/>
      <c r="E77" s="234"/>
      <c r="F77" s="26"/>
      <c r="G77" s="62">
        <f t="shared" ref="G77:Q77" si="29">IF(G$4="","",G11/G$4)</f>
        <v>9.3932894828076763E-2</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2.3709881783144558E-2</v>
      </c>
      <c r="D78" s="26"/>
      <c r="E78" s="234"/>
      <c r="F78" s="26"/>
      <c r="G78" s="6">
        <f t="shared" ref="G78:Q78" si="30">IF(G$4="","",ABS(G12/G$4))</f>
        <v>1.2181551696518019E-2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9.3949472271436505E-4</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8.605808943511728E-2</v>
      </c>
      <c r="D80" s="26"/>
      <c r="E80" s="234"/>
      <c r="F80" s="26"/>
      <c r="G80" s="62">
        <f t="shared" ref="G80:Q80" si="32">IF(G$4="","",ABS(G14/G$4))</f>
        <v>8.0811848408844381E-2</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8.605808943511728E-2</v>
      </c>
      <c r="D85" s="72"/>
      <c r="E85" s="234"/>
      <c r="F85" s="72"/>
      <c r="G85" s="62">
        <f t="shared" ref="G85:Q85" si="35">IF(G$4="","",ABS(G19/G$4))</f>
        <v>8.0811848408844381E-2</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0.27446401837158602</v>
      </c>
      <c r="E90" s="237"/>
      <c r="G90" s="152">
        <f t="shared" ref="G90:Q90" si="37">IF(G$4="","",G88/(G19*scaling_factor/Common_Shares))</f>
        <v>0.29228200449327385</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2.1580547112462004E-2</v>
      </c>
      <c r="E92" s="237"/>
      <c r="G92" s="22">
        <f t="shared" ref="G92:Q92" si="38">IF(G$4="","",(G88*(1-dividend_tax_rate))/Market_Price)</f>
        <v>2.1580547112462004E-2</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0.16857860517519074</v>
      </c>
      <c r="D96" s="26"/>
      <c r="E96" s="234"/>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2000001</v>
      </c>
      <c r="D100" s="25"/>
      <c r="E100" s="238"/>
      <c r="F100" s="25"/>
      <c r="G100" s="273">
        <f t="shared" ref="G100:Q100" si="41">IF(G$4="","",G104+G103)</f>
        <v>2000001</v>
      </c>
      <c r="H100" s="273" t="str">
        <f t="shared" si="41"/>
        <v/>
      </c>
      <c r="I100" s="273" t="str">
        <f t="shared" si="41"/>
        <v/>
      </c>
      <c r="J100" s="273" t="str">
        <f t="shared" si="41"/>
        <v/>
      </c>
      <c r="K100" s="273" t="str">
        <f t="shared" si="41"/>
        <v/>
      </c>
      <c r="L100" s="273" t="str">
        <f t="shared" si="41"/>
        <v/>
      </c>
      <c r="M100" s="273" t="str">
        <f t="shared" si="41"/>
        <v/>
      </c>
      <c r="N100" s="273" t="str">
        <f t="shared" si="41"/>
        <v/>
      </c>
      <c r="O100" s="273" t="str">
        <f t="shared" si="41"/>
        <v/>
      </c>
      <c r="P100" s="273" t="str">
        <f t="shared" si="41"/>
        <v/>
      </c>
      <c r="Q100" s="273" t="str">
        <f t="shared" si="41"/>
        <v/>
      </c>
    </row>
    <row r="101" spans="1:17" ht="15.75" customHeight="1">
      <c r="A101" s="10"/>
      <c r="B101" s="90" t="s">
        <v>179</v>
      </c>
      <c r="C101" s="284">
        <f>BS!C4</f>
        <v>0</v>
      </c>
      <c r="D101" s="86"/>
      <c r="E101" s="239"/>
      <c r="F101" s="86"/>
      <c r="G101" s="285" t="str">
        <f>IF(G$4="","",Data!D77)</f>
        <v/>
      </c>
      <c r="H101" s="285" t="str">
        <f>IF(H$4="","",Data!E77)</f>
        <v/>
      </c>
      <c r="I101" s="285" t="str">
        <f>IF(I$4="","",Data!F77)</f>
        <v/>
      </c>
      <c r="J101" s="285" t="str">
        <f>IF(J$4="","",Data!G77)</f>
        <v/>
      </c>
      <c r="K101" s="285" t="str">
        <f>IF(K$4="","",Data!H77)</f>
        <v/>
      </c>
      <c r="L101" s="285" t="str">
        <f>IF(L$4="","",Data!I77)</f>
        <v/>
      </c>
      <c r="M101" s="285" t="str">
        <f>IF(M$4="","",Data!J77)</f>
        <v/>
      </c>
      <c r="N101" s="285" t="str">
        <f>IF(N$4="","",Data!K77)</f>
        <v/>
      </c>
      <c r="O101" s="285" t="str">
        <f>IF(O$4="","",Data!L77)</f>
        <v/>
      </c>
      <c r="P101" s="285" t="str">
        <f>IF(P$4="","",Data!M77)</f>
        <v/>
      </c>
      <c r="Q101" s="285" t="str">
        <f>IF(Q$4="","",Data!N77)</f>
        <v/>
      </c>
    </row>
    <row r="102" spans="1:17" ht="15.75" customHeight="1">
      <c r="A102" s="10"/>
      <c r="B102" s="90" t="s">
        <v>180</v>
      </c>
      <c r="C102" s="284">
        <f>BS!C6+BS!C7</f>
        <v>0</v>
      </c>
      <c r="D102" s="86"/>
      <c r="E102" s="239"/>
      <c r="F102" s="86"/>
      <c r="G102" s="285" t="str">
        <f>IF(G$4="","",Data!D78)</f>
        <v/>
      </c>
      <c r="H102" s="285" t="str">
        <f>IF(H$4="","",Data!E78)</f>
        <v/>
      </c>
      <c r="I102" s="285" t="str">
        <f>IF(I$4="","",Data!F78)</f>
        <v/>
      </c>
      <c r="J102" s="285" t="str">
        <f>IF(J$4="","",Data!G78)</f>
        <v/>
      </c>
      <c r="K102" s="285" t="str">
        <f>IF(K$4="","",Data!H78)</f>
        <v/>
      </c>
      <c r="L102" s="285" t="str">
        <f>IF(L$4="","",Data!I78)</f>
        <v/>
      </c>
      <c r="M102" s="285" t="str">
        <f>IF(M$4="","",Data!J78)</f>
        <v/>
      </c>
      <c r="N102" s="285" t="str">
        <f>IF(N$4="","",Data!K78)</f>
        <v/>
      </c>
      <c r="O102" s="285" t="str">
        <f>IF(O$4="","",Data!L78)</f>
        <v/>
      </c>
      <c r="P102" s="285" t="str">
        <f>IF(P$4="","",Data!M78)</f>
        <v/>
      </c>
      <c r="Q102" s="285" t="str">
        <f>IF(Q$4="","",Data!N78)</f>
        <v/>
      </c>
    </row>
    <row r="103" spans="1:17" ht="15.75" customHeight="1">
      <c r="A103" s="10"/>
      <c r="B103" s="25" t="s">
        <v>38</v>
      </c>
      <c r="C103" s="283">
        <f>BS!G30</f>
        <v>2</v>
      </c>
      <c r="D103" s="25"/>
      <c r="E103" s="238"/>
      <c r="F103" s="25"/>
      <c r="G103" s="273">
        <f>Data!C79</f>
        <v>2</v>
      </c>
      <c r="H103" s="273" t="str">
        <f>Data!D79</f>
        <v/>
      </c>
      <c r="I103" s="273" t="str">
        <f>Data!E79</f>
        <v/>
      </c>
      <c r="J103" s="273" t="str">
        <f>Data!F79</f>
        <v/>
      </c>
      <c r="K103" s="273" t="str">
        <f>Data!G79</f>
        <v/>
      </c>
      <c r="L103" s="273" t="str">
        <f>Data!H79</f>
        <v/>
      </c>
      <c r="M103" s="273" t="str">
        <f>Data!I79</f>
        <v/>
      </c>
      <c r="N103" s="273" t="str">
        <f>Data!J79</f>
        <v/>
      </c>
      <c r="O103" s="273" t="str">
        <f>Data!K79</f>
        <v/>
      </c>
      <c r="P103" s="273" t="str">
        <f>Data!L79</f>
        <v/>
      </c>
      <c r="Q103" s="273" t="str">
        <f>Data!M79</f>
        <v/>
      </c>
    </row>
    <row r="104" spans="1:17" ht="15.75" customHeight="1">
      <c r="A104" s="10"/>
      <c r="B104" s="25" t="s">
        <v>28</v>
      </c>
      <c r="C104" s="283">
        <f>BS!G27</f>
        <v>1999999</v>
      </c>
      <c r="D104" s="25"/>
      <c r="E104" s="238"/>
      <c r="F104" s="25"/>
      <c r="G104" s="273">
        <f>Data!C80</f>
        <v>1999999</v>
      </c>
      <c r="H104" s="273" t="str">
        <f>Data!D80</f>
        <v/>
      </c>
      <c r="I104" s="273" t="str">
        <f>Data!E80</f>
        <v/>
      </c>
      <c r="J104" s="273" t="str">
        <f>Data!F80</f>
        <v/>
      </c>
      <c r="K104" s="273" t="str">
        <f>Data!G80</f>
        <v/>
      </c>
      <c r="L104" s="273" t="str">
        <f>Data!H80</f>
        <v/>
      </c>
      <c r="M104" s="273" t="str">
        <f>Data!I80</f>
        <v/>
      </c>
      <c r="N104" s="273" t="str">
        <f>Data!J80</f>
        <v/>
      </c>
      <c r="O104" s="273" t="str">
        <f>Data!K80</f>
        <v/>
      </c>
      <c r="P104" s="273" t="str">
        <f>Data!L80</f>
        <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38"/>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3.5707866382893818</v>
      </c>
      <c r="H112" s="253" t="str">
        <f>IF(H$4="","",Data!D$22/Data!D15)</f>
        <v/>
      </c>
      <c r="I112" s="253" t="str">
        <f>IF(I$4="","",Data!E$22/Data!E15)</f>
        <v/>
      </c>
      <c r="J112" s="253" t="str">
        <f>IF(J$4="","",Data!F$22/Data!F15)</f>
        <v/>
      </c>
      <c r="K112" s="253" t="str">
        <f>IF(K$4="","",Data!G$22/Data!G15)</f>
        <v/>
      </c>
      <c r="L112" s="253" t="str">
        <f>IF(L$4="","",Data!H$22/Data!H15)</f>
        <v/>
      </c>
      <c r="M112" s="253" t="str">
        <f>IF(M$4="","",Data!I$22/Data!I15)</f>
        <v/>
      </c>
      <c r="N112" s="253" t="str">
        <f>IF(N$4="","",Data!J$22/Data!J15)</f>
        <v/>
      </c>
      <c r="O112" s="253" t="str">
        <f>IF(O$4="","",Data!K$22/Data!K15)</f>
        <v/>
      </c>
      <c r="P112" s="253" t="str">
        <f>IF(P$4="","",Data!L$22/Data!L15)</f>
        <v/>
      </c>
      <c r="Q112" s="253" t="str">
        <f>IF(Q$4="","",Data!M$22/Data!M15)</f>
        <v/>
      </c>
    </row>
    <row r="113" spans="1:17" ht="15.75" customHeight="1">
      <c r="A113" s="10"/>
      <c r="B113" s="2" t="s">
        <v>304</v>
      </c>
      <c r="C113" s="151"/>
      <c r="E113" s="237"/>
      <c r="G113" s="253">
        <f>IF(G$4="","",Data!C$22/G19)</f>
        <v>1.6943804489328969</v>
      </c>
      <c r="H113" s="253" t="str">
        <f>IF(H$4="","",Data!D$22/H19)</f>
        <v/>
      </c>
      <c r="I113" s="253" t="str">
        <f>IF(I$4="","",Data!E$22/I19)</f>
        <v/>
      </c>
      <c r="J113" s="253" t="str">
        <f>IF(J$4="","",Data!F$22/J19)</f>
        <v/>
      </c>
      <c r="K113" s="253" t="str">
        <f>IF(K$4="","",Data!G$22/K19)</f>
        <v/>
      </c>
      <c r="L113" s="253" t="str">
        <f>IF(L$4="","",Data!H$22/L19)</f>
        <v/>
      </c>
      <c r="M113" s="253" t="str">
        <f>IF(M$4="","",Data!I$22/M19)</f>
        <v/>
      </c>
      <c r="N113" s="253" t="str">
        <f>IF(N$4="","",Data!J$22/N19)</f>
        <v/>
      </c>
      <c r="O113" s="253" t="str">
        <f>IF(O$4="","",Data!K$22/O19)</f>
        <v/>
      </c>
      <c r="P113" s="253" t="str">
        <f>IF(P$4="","",Data!L$22/P19)</f>
        <v/>
      </c>
      <c r="Q113" s="253" t="str">
        <f>IF(Q$4="","",Data!M$22/Q19)</f>
        <v/>
      </c>
    </row>
    <row r="114" spans="1:17" ht="15.75" customHeight="1">
      <c r="A114" s="10"/>
      <c r="E114" s="237"/>
    </row>
    <row r="115" spans="1:17" ht="15.75" customHeight="1">
      <c r="A115" s="10"/>
      <c r="B115" s="88" t="s">
        <v>36</v>
      </c>
      <c r="C115" s="454" t="s">
        <v>556</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0.10976797121826185</v>
      </c>
      <c r="E116" s="237"/>
      <c r="G116" s="22">
        <f t="shared" ref="G116:Q116" si="44">IF(G4="","",G77)</f>
        <v>9.3932894828076763E-2</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5">
        <f>C4/C100</f>
        <v>3.1367909316045344</v>
      </c>
      <c r="E117" s="237"/>
      <c r="G117" s="40">
        <f t="shared" ref="G117:Q117" si="45">IF(G4="","",G4/G100)</f>
        <v>3.1367909316045344</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1.0000010000005</v>
      </c>
      <c r="D118" s="11"/>
      <c r="E118" s="241"/>
      <c r="F118" s="11"/>
      <c r="G118" s="15">
        <f t="shared" ref="G118:Q118" si="46">IF(G$4="","",G100/G104)</f>
        <v>1.0000010000005</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456">
        <f>C11/C104</f>
        <v>0.34431952101742014</v>
      </c>
      <c r="D119" s="100"/>
      <c r="E119" s="240"/>
      <c r="F119" s="100"/>
      <c r="G119" s="99">
        <f t="shared" ref="G119:Q119" si="47">IF(G$4="","",G11/G104)</f>
        <v>0.29464814732407368</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0.5173720068754214</v>
      </c>
      <c r="D123" s="26"/>
      <c r="E123" s="234"/>
      <c r="F123" s="26"/>
      <c r="G123" s="159">
        <f t="shared" ref="G123:Q123" si="48">IF(G$4="","",G14*$C$3/Common_Shares*Exchange_Rate)</f>
        <v>0.48583216830671405</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7.8627964570732747E-2</v>
      </c>
      <c r="D124" s="26"/>
      <c r="E124" s="234"/>
      <c r="F124" s="26"/>
      <c r="G124" s="74">
        <f t="shared" ref="G124" si="49">IF(G$4="","",G123/Market_Price)</f>
        <v>7.3834676034455024E-2</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3.503542613960467E-2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539892.73900881025</v>
      </c>
      <c r="D4" t="str">
        <f>Reporting_currency</f>
        <v>HKD</v>
      </c>
      <c r="E4" s="135" t="s">
        <v>431</v>
      </c>
      <c r="F4" s="278">
        <f>-BS!G31</f>
        <v>0</v>
      </c>
      <c r="G4" t="str">
        <f>Reporting_currency</f>
        <v>HKD</v>
      </c>
      <c r="H4" s="311" t="s">
        <v>394</v>
      </c>
      <c r="I4" s="308">
        <f>Normalized_FCF!C4</f>
        <v>6273585</v>
      </c>
      <c r="J4" s="308"/>
    </row>
    <row r="5" spans="2:15">
      <c r="B5" s="187" t="s">
        <v>105</v>
      </c>
      <c r="C5" s="188">
        <f>Equity_Cost</f>
        <v>7.2499999999999995E-2</v>
      </c>
      <c r="E5" s="135" t="s">
        <v>432</v>
      </c>
      <c r="F5" s="278">
        <f>BS!D66</f>
        <v>-477998.61921983329</v>
      </c>
      <c r="G5" t="str">
        <f>Reporting_currency</f>
        <v>HKD</v>
      </c>
      <c r="H5" s="311" t="s">
        <v>395</v>
      </c>
      <c r="I5" s="308">
        <f>Normalized_FCF!C7</f>
        <v>-694418</v>
      </c>
      <c r="J5" s="308"/>
    </row>
    <row r="6" spans="2:15" ht="13.25" customHeight="1">
      <c r="B6" s="136" t="s">
        <v>194</v>
      </c>
      <c r="C6" s="286">
        <f>(C4*(1+Terminal_Growth))/(Equity_Cost-Terminal_Growth)</f>
        <v>10489344.643599743</v>
      </c>
      <c r="D6" t="str">
        <f>Reporting_currency</f>
        <v>HKD</v>
      </c>
      <c r="E6" s="187" t="s">
        <v>433</v>
      </c>
      <c r="F6" s="287">
        <f>BS!H42</f>
        <v>0</v>
      </c>
      <c r="G6" t="str">
        <f>Reporting_currency</f>
        <v>HKD</v>
      </c>
      <c r="H6" s="311" t="s">
        <v>416</v>
      </c>
      <c r="I6" s="308">
        <f>I7+I8</f>
        <v>2867.9977153189998</v>
      </c>
      <c r="J6" s="308"/>
      <c r="N6" s="135"/>
    </row>
    <row r="7" spans="2:15" ht="12.75" customHeight="1">
      <c r="B7" s="321" t="s">
        <v>430</v>
      </c>
      <c r="C7" s="278">
        <f>F7</f>
        <v>-477998.61921983329</v>
      </c>
      <c r="E7" s="140" t="s">
        <v>424</v>
      </c>
      <c r="F7" s="286">
        <f>SUM(F4:F6)</f>
        <v>-477998.61921983329</v>
      </c>
      <c r="G7" t="str">
        <f>Reporting_currency</f>
        <v>HKD</v>
      </c>
      <c r="H7" s="315" t="s">
        <v>417</v>
      </c>
      <c r="I7" s="316">
        <f>Normalized_FCF!C9</f>
        <v>0</v>
      </c>
      <c r="J7" s="316"/>
      <c r="N7" s="307"/>
      <c r="O7" s="307"/>
    </row>
    <row r="8" spans="2:15" ht="13.15">
      <c r="B8" s="136" t="s">
        <v>426</v>
      </c>
      <c r="C8" s="286">
        <f>C6+C7</f>
        <v>10011346.024379909</v>
      </c>
      <c r="D8" t="str">
        <f>Reporting_currency</f>
        <v>HKD</v>
      </c>
      <c r="E8" s="140" t="s">
        <v>464</v>
      </c>
      <c r="F8" s="108">
        <f>FV_adjustments*scaling_factor/Common_Shares*Exchange_Rate</f>
        <v>-0.45805969786418987</v>
      </c>
      <c r="G8" s="297" t="str">
        <f>Market_currency</f>
        <v>HKD</v>
      </c>
      <c r="H8" s="317" t="str">
        <f>Normalized_FCF!B10</f>
        <v>Net Interest Income</v>
      </c>
      <c r="I8" s="316">
        <f>Normalized_FCF!C10</f>
        <v>2867.9977153189998</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0</v>
      </c>
      <c r="J9" s="309"/>
      <c r="N9" s="307"/>
      <c r="O9" s="307"/>
    </row>
    <row r="10" spans="2:15" ht="13.5" thickTop="1">
      <c r="B10" s="107" t="s">
        <v>427</v>
      </c>
      <c r="C10" s="286">
        <f>C8*Exchange_Rate</f>
        <v>10011346.024379909</v>
      </c>
      <c r="D10" t="str">
        <f>Market_currency</f>
        <v>HKD</v>
      </c>
      <c r="H10" s="311" t="s">
        <v>397</v>
      </c>
      <c r="I10" s="309">
        <f>Normalized_FCF!C41</f>
        <v>0.216</v>
      </c>
      <c r="N10" s="307"/>
      <c r="O10" s="307"/>
    </row>
    <row r="11" spans="2:15" ht="13.15">
      <c r="B11" s="136" t="s">
        <v>425</v>
      </c>
      <c r="C11" s="108">
        <f>(C10*scaling_factor)/Common_Shares</f>
        <v>9.5937392928582845</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10</v>
      </c>
      <c r="E15" s="311" t="str">
        <f>IF(F14="II","Change year","Terminal Year")</f>
        <v>Terminal Year</v>
      </c>
      <c r="F15" s="313">
        <f>IF(F14="II",_xlfn.CEILING.MATH(C15/2),C15+1)</f>
        <v>11</v>
      </c>
      <c r="H15" s="97" t="s">
        <v>429</v>
      </c>
      <c r="I15" s="126">
        <f>Terminal_Growth</f>
        <v>0.02</v>
      </c>
      <c r="J15" s="126"/>
    </row>
    <row r="16" spans="2:15" ht="13.25" customHeight="1">
      <c r="B16" s="114" t="s">
        <v>422</v>
      </c>
      <c r="C16" s="147">
        <f>Scenarios!C46</f>
        <v>2.3855917147759486E-2</v>
      </c>
      <c r="E16" s="311" t="s">
        <v>400</v>
      </c>
      <c r="F16" s="314">
        <f>Scenarios!C41</f>
        <v>2.3855917147759486E-2</v>
      </c>
    </row>
    <row r="17" spans="1:21" ht="13.25" customHeight="1">
      <c r="B17" s="311" t="s">
        <v>552</v>
      </c>
      <c r="C17" s="309">
        <f>Normalized_FCF!C77</f>
        <v>0.10976797121826185</v>
      </c>
      <c r="E17" s="311" t="s">
        <v>553</v>
      </c>
      <c r="F17" s="314">
        <f>Scenarios!C40</f>
        <v>0.10976797121826185</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8.1616310890516512</v>
      </c>
      <c r="J18" t="str">
        <f>Market_currency</f>
        <v>HKD</v>
      </c>
    </row>
    <row r="19" spans="1:21">
      <c r="L19" s="278"/>
    </row>
    <row r="20" spans="1:21" ht="13.15">
      <c r="A20" s="121" t="s">
        <v>399</v>
      </c>
      <c r="B20" s="121" t="s">
        <v>98</v>
      </c>
      <c r="C20" s="121" t="s">
        <v>394</v>
      </c>
      <c r="D20" s="121" t="s">
        <v>102</v>
      </c>
      <c r="E20" s="121" t="s">
        <v>552</v>
      </c>
      <c r="F20" s="121" t="s">
        <v>554</v>
      </c>
      <c r="G20" s="121" t="str">
        <f>B18</f>
        <v>D&amp;A - maint. Capx</v>
      </c>
      <c r="H20" s="121" t="s">
        <v>557</v>
      </c>
      <c r="I20" s="121" t="s">
        <v>530</v>
      </c>
      <c r="J20" s="121" t="s">
        <v>555</v>
      </c>
      <c r="K20" s="121" t="s">
        <v>531</v>
      </c>
      <c r="L20" s="122" t="s">
        <v>419</v>
      </c>
    </row>
    <row r="21" spans="1:21">
      <c r="A21" s="305" t="str">
        <f t="shared" ref="A21:A50" si="0">IF($C$15&lt;B21,"",IF(B21&gt;=$F$15,"II","I"))</f>
        <v>I</v>
      </c>
      <c r="B21" s="117">
        <v>1</v>
      </c>
      <c r="C21" s="280">
        <f>I4*(1+D21)</f>
        <v>6423247.1239794269</v>
      </c>
      <c r="D21" s="302">
        <f t="shared" ref="D21:D50" si="1">IF(A21="",0,IF(A21="I",$C$16,$F$16))</f>
        <v>2.3855917147759486E-2</v>
      </c>
      <c r="E21" s="302">
        <f>$C$17</f>
        <v>0.10976797121826185</v>
      </c>
      <c r="F21" s="280">
        <f>C21*E21</f>
        <v>705066.8054327569</v>
      </c>
      <c r="G21" s="302">
        <f t="shared" ref="G21:G50" si="2">IF(A21="",0%,IF(A21="I",$C$18,$F$18))</f>
        <v>0</v>
      </c>
      <c r="H21" s="280">
        <f>(F21*(1-$I$10)+C21*(G21-$I$9))</f>
        <v>552772.37545928138</v>
      </c>
      <c r="I21" s="302">
        <f>H21/C4-1</f>
        <v>2.3855917147759476E-2</v>
      </c>
      <c r="J21" s="302">
        <f>H21/C21</f>
        <v>8.605808943511728E-2</v>
      </c>
      <c r="K21" s="119">
        <f t="shared" ref="K21:K50" si="3">IF($C$15&lt;B21,0,1/(1+Equity_Cost)^B21)</f>
        <v>0.93240093240093236</v>
      </c>
      <c r="L21" s="280">
        <f t="shared" ref="L21:L51" si="4">H21*K21</f>
        <v>515405.47828371223</v>
      </c>
    </row>
    <row r="22" spans="1:21">
      <c r="A22" s="305" t="str">
        <f t="shared" si="0"/>
        <v>I</v>
      </c>
      <c r="B22" s="117">
        <v>2</v>
      </c>
      <c r="C22" s="280">
        <f t="shared" ref="C22:C50" si="5">IF(A22="",0,C21*(1+D22))</f>
        <v>6576479.5751886647</v>
      </c>
      <c r="D22" s="302">
        <f t="shared" si="1"/>
        <v>2.3855917147759486E-2</v>
      </c>
      <c r="E22" s="302">
        <f t="shared" ref="E22:E50" si="6">IF($C$15&lt;B22,0,IF(B22&gt;=$F$15,$F$17,$C$17))</f>
        <v>0.10976797121826185</v>
      </c>
      <c r="F22" s="280">
        <f t="shared" ref="F22:F50" si="7">IF(A22="", 0,C22*E22)</f>
        <v>721886.82072679629</v>
      </c>
      <c r="G22" s="302">
        <f t="shared" si="2"/>
        <v>0</v>
      </c>
      <c r="H22" s="280">
        <f t="shared" ref="H22:H50" si="8">IF(A22="", 0,F22*(1-$I$10)+C22*(G22-$I$9))</f>
        <v>565959.26744980831</v>
      </c>
      <c r="I22" s="302">
        <f t="shared" ref="I22:I50" si="9">IF(A22="", 0,H22/H21-1)</f>
        <v>2.3855917147759698E-2</v>
      </c>
      <c r="J22" s="302">
        <f>IF(A22="", 0,H22/C22)</f>
        <v>8.6058089435117294E-2</v>
      </c>
      <c r="K22" s="119">
        <f t="shared" si="3"/>
        <v>0.86937149874212816</v>
      </c>
      <c r="L22" s="280">
        <f t="shared" si="4"/>
        <v>492028.85656983679</v>
      </c>
    </row>
    <row r="23" spans="1:21">
      <c r="A23" s="305" t="str">
        <f t="shared" si="0"/>
        <v>I</v>
      </c>
      <c r="B23" s="117">
        <v>3</v>
      </c>
      <c r="C23" s="280">
        <f t="shared" si="5"/>
        <v>6733367.5270582978</v>
      </c>
      <c r="D23" s="302">
        <f t="shared" si="1"/>
        <v>2.3855917147759486E-2</v>
      </c>
      <c r="E23" s="302">
        <f t="shared" si="6"/>
        <v>0.10976797121826185</v>
      </c>
      <c r="F23" s="280">
        <f t="shared" si="7"/>
        <v>739108.09291211411</v>
      </c>
      <c r="G23" s="302">
        <f t="shared" si="2"/>
        <v>0</v>
      </c>
      <c r="H23" s="280">
        <f t="shared" si="8"/>
        <v>579460.74484309752</v>
      </c>
      <c r="I23" s="302">
        <f t="shared" si="9"/>
        <v>2.3855917147759476E-2</v>
      </c>
      <c r="J23" s="302">
        <f t="shared" ref="J23:J50" si="10">IF(A23="", 0,H23/C23)</f>
        <v>8.6058089435117294E-2</v>
      </c>
      <c r="K23" s="119">
        <f t="shared" si="3"/>
        <v>0.81060279602995633</v>
      </c>
      <c r="L23" s="280">
        <f t="shared" si="4"/>
        <v>469712.49995941593</v>
      </c>
      <c r="N23" s="278"/>
      <c r="O23" s="278"/>
      <c r="P23" s="278"/>
      <c r="Q23" s="278"/>
      <c r="R23" s="278"/>
      <c r="S23" s="278"/>
      <c r="T23" s="278"/>
      <c r="U23" s="278"/>
    </row>
    <row r="24" spans="1:21">
      <c r="A24" s="305" t="str">
        <f t="shared" si="0"/>
        <v>I</v>
      </c>
      <c r="B24" s="117">
        <v>4</v>
      </c>
      <c r="C24" s="280">
        <f t="shared" si="5"/>
        <v>6893998.1849092143</v>
      </c>
      <c r="D24" s="302">
        <f t="shared" si="1"/>
        <v>2.3855917147759486E-2</v>
      </c>
      <c r="E24" s="302">
        <f t="shared" si="6"/>
        <v>0.10976797121826185</v>
      </c>
      <c r="F24" s="280">
        <f t="shared" si="7"/>
        <v>756740.19433986407</v>
      </c>
      <c r="G24" s="302">
        <f t="shared" si="2"/>
        <v>0</v>
      </c>
      <c r="H24" s="280">
        <f t="shared" si="8"/>
        <v>593284.31236245343</v>
      </c>
      <c r="I24" s="302">
        <f t="shared" si="9"/>
        <v>2.3855917147759476E-2</v>
      </c>
      <c r="J24" s="302">
        <f t="shared" si="10"/>
        <v>8.6058089435117294E-2</v>
      </c>
      <c r="K24" s="119">
        <f t="shared" si="3"/>
        <v>0.75580680282513402</v>
      </c>
      <c r="L24" s="280">
        <f t="shared" si="4"/>
        <v>448408.31929297408</v>
      </c>
      <c r="N24" s="278"/>
      <c r="O24" s="278"/>
      <c r="P24" s="278"/>
      <c r="Q24" s="278"/>
      <c r="R24" s="278"/>
      <c r="S24" s="278"/>
      <c r="T24" s="278"/>
      <c r="U24" s="278"/>
    </row>
    <row r="25" spans="1:21">
      <c r="A25" s="305" t="str">
        <f t="shared" si="0"/>
        <v>I</v>
      </c>
      <c r="B25" s="117">
        <v>5</v>
      </c>
      <c r="C25" s="280">
        <f t="shared" si="5"/>
        <v>7058460.8344252128</v>
      </c>
      <c r="D25" s="302">
        <f t="shared" si="1"/>
        <v>2.3855917147759486E-2</v>
      </c>
      <c r="E25" s="302">
        <f t="shared" si="6"/>
        <v>0.10976797121826185</v>
      </c>
      <c r="F25" s="280">
        <f t="shared" si="7"/>
        <v>774792.9257184153</v>
      </c>
      <c r="G25" s="302">
        <f t="shared" si="2"/>
        <v>0</v>
      </c>
      <c r="H25" s="280">
        <f t="shared" si="8"/>
        <v>607437.65376323764</v>
      </c>
      <c r="I25" s="302">
        <f t="shared" si="9"/>
        <v>2.3855917147759476E-2</v>
      </c>
      <c r="J25" s="302">
        <f t="shared" si="10"/>
        <v>8.6058089435117294E-2</v>
      </c>
      <c r="K25" s="119">
        <f t="shared" si="3"/>
        <v>0.70471496766912267</v>
      </c>
      <c r="L25" s="280">
        <f t="shared" si="4"/>
        <v>428070.40653276775</v>
      </c>
      <c r="N25" s="278"/>
      <c r="O25" s="278"/>
      <c r="P25" s="278"/>
      <c r="Q25" s="278"/>
      <c r="R25" s="278"/>
      <c r="S25" s="278"/>
      <c r="T25" s="278"/>
      <c r="U25" s="278"/>
    </row>
    <row r="26" spans="1:21">
      <c r="A26" s="305" t="str">
        <f t="shared" si="0"/>
        <v>I</v>
      </c>
      <c r="B26" s="117">
        <v>6</v>
      </c>
      <c r="C26" s="280">
        <f t="shared" si="5"/>
        <v>7226846.8912819661</v>
      </c>
      <c r="D26" s="302">
        <f t="shared" si="1"/>
        <v>2.3855917147759486E-2</v>
      </c>
      <c r="E26" s="302">
        <f t="shared" si="6"/>
        <v>0.10976797121826185</v>
      </c>
      <c r="F26" s="280">
        <f t="shared" si="7"/>
        <v>793276.32156102394</v>
      </c>
      <c r="G26" s="302">
        <f t="shared" si="2"/>
        <v>0</v>
      </c>
      <c r="H26" s="280">
        <f t="shared" si="8"/>
        <v>621928.63610384276</v>
      </c>
      <c r="I26" s="302">
        <f t="shared" si="9"/>
        <v>2.3855917147759254E-2</v>
      </c>
      <c r="J26" s="302">
        <f t="shared" si="10"/>
        <v>8.605808943511728E-2</v>
      </c>
      <c r="K26" s="119">
        <f t="shared" si="3"/>
        <v>0.65707689293158289</v>
      </c>
      <c r="L26" s="280">
        <f t="shared" si="4"/>
        <v>408654.93583629007</v>
      </c>
    </row>
    <row r="27" spans="1:21">
      <c r="A27" s="305" t="str">
        <f t="shared" si="0"/>
        <v>I</v>
      </c>
      <c r="B27" s="117">
        <v>7</v>
      </c>
      <c r="C27" s="280">
        <f t="shared" si="5"/>
        <v>7399249.9519599322</v>
      </c>
      <c r="D27" s="302">
        <f t="shared" si="1"/>
        <v>2.3855917147759486E-2</v>
      </c>
      <c r="E27" s="302">
        <f t="shared" si="6"/>
        <v>0.10976797121826185</v>
      </c>
      <c r="F27" s="280">
        <f t="shared" si="7"/>
        <v>812200.65576346323</v>
      </c>
      <c r="G27" s="302">
        <f t="shared" si="2"/>
        <v>0</v>
      </c>
      <c r="H27" s="280">
        <f t="shared" si="8"/>
        <v>636765.31411855516</v>
      </c>
      <c r="I27" s="302">
        <f t="shared" si="9"/>
        <v>2.3855917147759698E-2</v>
      </c>
      <c r="J27" s="302">
        <f t="shared" si="10"/>
        <v>8.6058089435117294E-2</v>
      </c>
      <c r="K27" s="119">
        <f t="shared" si="3"/>
        <v>0.61265910762851561</v>
      </c>
      <c r="L27" s="280">
        <f t="shared" si="4"/>
        <v>390120.06911666546</v>
      </c>
    </row>
    <row r="28" spans="1:21">
      <c r="A28" s="305" t="str">
        <f t="shared" si="0"/>
        <v>I</v>
      </c>
      <c r="B28" s="117">
        <v>8</v>
      </c>
      <c r="C28" s="280">
        <f t="shared" si="5"/>
        <v>7575765.8457694519</v>
      </c>
      <c r="D28" s="302">
        <f t="shared" si="1"/>
        <v>2.3855917147759486E-2</v>
      </c>
      <c r="E28" s="302">
        <f t="shared" si="6"/>
        <v>0.10976797121826185</v>
      </c>
      <c r="F28" s="280">
        <f t="shared" si="7"/>
        <v>831576.44731471234</v>
      </c>
      <c r="G28" s="302">
        <f t="shared" si="2"/>
        <v>0</v>
      </c>
      <c r="H28" s="280">
        <f t="shared" si="8"/>
        <v>651955.93469473452</v>
      </c>
      <c r="I28" s="302">
        <f t="shared" si="9"/>
        <v>2.3855917147759476E-2</v>
      </c>
      <c r="J28" s="302">
        <f t="shared" si="10"/>
        <v>8.6058089435117294E-2</v>
      </c>
      <c r="K28" s="119">
        <f t="shared" si="3"/>
        <v>0.5712439231967511</v>
      </c>
      <c r="L28" s="280">
        <f t="shared" si="4"/>
        <v>372425.86588642502</v>
      </c>
    </row>
    <row r="29" spans="1:21">
      <c r="A29" s="305" t="str">
        <f t="shared" si="0"/>
        <v>I</v>
      </c>
      <c r="B29" s="117">
        <v>9</v>
      </c>
      <c r="C29" s="280">
        <f t="shared" si="5"/>
        <v>7756492.6881169537</v>
      </c>
      <c r="D29" s="302">
        <f t="shared" si="1"/>
        <v>2.3855917147759486E-2</v>
      </c>
      <c r="E29" s="302">
        <f t="shared" si="6"/>
        <v>0.10976797121826185</v>
      </c>
      <c r="F29" s="280">
        <f t="shared" si="7"/>
        <v>851414.46614388027</v>
      </c>
      <c r="G29" s="302">
        <f t="shared" si="2"/>
        <v>0</v>
      </c>
      <c r="H29" s="280">
        <f t="shared" si="8"/>
        <v>667508.94145680219</v>
      </c>
      <c r="I29" s="302">
        <f t="shared" si="9"/>
        <v>2.3855917147759476E-2</v>
      </c>
      <c r="J29" s="302">
        <f t="shared" si="10"/>
        <v>8.6058089435117294E-2</v>
      </c>
      <c r="K29" s="119">
        <f t="shared" si="3"/>
        <v>0.53262836661701729</v>
      </c>
      <c r="L29" s="280">
        <f t="shared" si="4"/>
        <v>355534.19719039078</v>
      </c>
    </row>
    <row r="30" spans="1:21">
      <c r="A30" s="305" t="str">
        <f t="shared" si="0"/>
        <v>I</v>
      </c>
      <c r="B30" s="117">
        <v>10</v>
      </c>
      <c r="C30" s="280">
        <f t="shared" si="5"/>
        <v>7941530.9350418737</v>
      </c>
      <c r="D30" s="302">
        <f t="shared" si="1"/>
        <v>2.3855917147759486E-2</v>
      </c>
      <c r="E30" s="302">
        <f t="shared" si="6"/>
        <v>0.10976797121826185</v>
      </c>
      <c r="F30" s="280">
        <f t="shared" si="7"/>
        <v>871725.73910661251</v>
      </c>
      <c r="G30" s="302">
        <f t="shared" si="2"/>
        <v>0</v>
      </c>
      <c r="H30" s="280">
        <f t="shared" si="8"/>
        <v>683432.97945958422</v>
      </c>
      <c r="I30" s="302">
        <f t="shared" si="9"/>
        <v>2.3855917147759476E-2</v>
      </c>
      <c r="J30" s="302">
        <f t="shared" si="10"/>
        <v>8.6058089435117294E-2</v>
      </c>
      <c r="K30" s="119">
        <f t="shared" si="3"/>
        <v>0.49662318565689262</v>
      </c>
      <c r="L30" s="280">
        <f t="shared" si="4"/>
        <v>339408.6634422004</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11</v>
      </c>
      <c r="C51" s="280">
        <f>VLOOKUP(C15,B21:C50,2,FALSE)*(1+Terminal_Growth)</f>
        <v>8100361.5537427114</v>
      </c>
      <c r="D51" s="304">
        <f>Terminal_Growth</f>
        <v>0.02</v>
      </c>
      <c r="E51" s="304">
        <f>F17</f>
        <v>0.10976797121826185</v>
      </c>
      <c r="F51" s="280">
        <f>C51*E51</f>
        <v>889160.25388874474</v>
      </c>
      <c r="G51" s="302">
        <f>F18</f>
        <v>0</v>
      </c>
      <c r="H51" s="280">
        <f>(F51*(1-$I$10)+C51*(G51-$I$9))/Equity_Cost</f>
        <v>9615195.0213624276</v>
      </c>
      <c r="I51" s="418">
        <f>(F51*(1-$I$10)+C51*(G51-$I$9))/VLOOKUP(C15,B21:H50,7,FALSE)-1</f>
        <v>2.0000000000000018E-2</v>
      </c>
      <c r="J51" s="457"/>
      <c r="K51" s="119">
        <f>1/(1+Equity_Cost)^C15</f>
        <v>0.49662318565689262</v>
      </c>
      <c r="L51" s="280">
        <f t="shared" si="4"/>
        <v>4775128.7822213024</v>
      </c>
    </row>
    <row r="52" spans="1:21" ht="13.15">
      <c r="G52" s="111"/>
      <c r="H52" s="111"/>
      <c r="I52" s="111"/>
      <c r="J52" s="469" t="s">
        <v>420</v>
      </c>
      <c r="K52" s="469"/>
      <c r="L52" s="320">
        <f>SUM(L21:L51)</f>
        <v>8994898.0743319802</v>
      </c>
    </row>
    <row r="53" spans="1:21">
      <c r="C53" s="111"/>
    </row>
    <row r="54" spans="1:21" ht="13.15">
      <c r="B54" s="115" t="s">
        <v>108</v>
      </c>
      <c r="C54" s="128"/>
      <c r="D54" s="128"/>
      <c r="E54" s="113"/>
      <c r="F54" s="113"/>
      <c r="G54" s="113"/>
      <c r="H54" s="113"/>
      <c r="I54" s="113"/>
      <c r="J54" s="113"/>
      <c r="K54" s="113"/>
      <c r="L54" s="113"/>
    </row>
    <row r="55" spans="1:21" ht="13.15">
      <c r="A55" s="125">
        <f>L52</f>
        <v>8994898.0743319802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7585664.398258985</v>
      </c>
      <c r="C56" s="118">
        <v>7661521.0422415752</v>
      </c>
      <c r="D56" s="118">
        <v>7737377.6862241672</v>
      </c>
      <c r="E56" s="118">
        <v>7813234.3302067537</v>
      </c>
      <c r="F56" s="118">
        <v>7964947.6181719359</v>
      </c>
      <c r="G56" s="298"/>
      <c r="H56" s="298"/>
      <c r="I56" s="298"/>
      <c r="J56" s="298"/>
      <c r="K56" s="298"/>
      <c r="L56" s="298"/>
    </row>
    <row r="57" spans="1:21" ht="13.15">
      <c r="A57" s="131">
        <v>2</v>
      </c>
      <c r="B57" s="118">
        <v>7576277.0510655437</v>
      </c>
      <c r="C57" s="118">
        <v>7723475.915210153</v>
      </c>
      <c r="D57" s="118">
        <v>7872089.3554663295</v>
      </c>
      <c r="E57" s="118">
        <v>8022117.3718340639</v>
      </c>
      <c r="F57" s="118">
        <v>8326417.1329042269</v>
      </c>
      <c r="G57" s="298"/>
      <c r="H57" s="298"/>
      <c r="I57" s="298"/>
      <c r="J57" s="298"/>
      <c r="K57" s="298"/>
      <c r="L57" s="298"/>
    </row>
    <row r="58" spans="1:21" ht="13.15">
      <c r="A58" s="131">
        <v>3</v>
      </c>
      <c r="B58" s="118">
        <v>7567524.279789608</v>
      </c>
      <c r="C58" s="118">
        <v>7781820.3643460628</v>
      </c>
      <c r="D58" s="118">
        <v>8000206.74719314</v>
      </c>
      <c r="E58" s="118">
        <v>8222722.9968933882</v>
      </c>
      <c r="F58" s="118">
        <v>8680303.3711036742</v>
      </c>
      <c r="G58" s="298"/>
      <c r="H58" s="298"/>
      <c r="I58" s="298"/>
      <c r="J58" s="298"/>
      <c r="K58" s="298"/>
      <c r="L58" s="298"/>
    </row>
    <row r="59" spans="1:21" ht="13.15">
      <c r="A59" s="131">
        <v>4</v>
      </c>
      <c r="B59" s="118">
        <v>7559363.1876908317</v>
      </c>
      <c r="C59" s="118">
        <v>7836764.7873085514</v>
      </c>
      <c r="D59" s="118">
        <v>8122052.6582060494</v>
      </c>
      <c r="E59" s="118">
        <v>8415379.2148990817</v>
      </c>
      <c r="F59" s="118">
        <v>9026765.4224877451</v>
      </c>
      <c r="G59" s="298"/>
      <c r="H59" s="298"/>
      <c r="I59" s="298"/>
      <c r="J59" s="298"/>
      <c r="K59" s="298"/>
      <c r="L59" s="298"/>
    </row>
    <row r="60" spans="1:21" ht="13.15">
      <c r="A60" s="131">
        <v>5</v>
      </c>
      <c r="B60" s="118">
        <v>7551753.7778085247</v>
      </c>
      <c r="C60" s="118">
        <v>7888507.3208210142</v>
      </c>
      <c r="D60" s="118">
        <v>8237934.0840644818</v>
      </c>
      <c r="E60" s="118">
        <v>8600401.0373194665</v>
      </c>
      <c r="F60" s="118">
        <v>9365959.0392274</v>
      </c>
      <c r="G60" s="298"/>
      <c r="H60" s="298"/>
      <c r="I60" s="298"/>
      <c r="J60" s="298"/>
      <c r="K60" s="298"/>
      <c r="L60" s="298"/>
    </row>
    <row r="61" spans="1:21" ht="13.15">
      <c r="A61" s="131">
        <v>6</v>
      </c>
      <c r="B61" s="118">
        <v>7544658.7569392398</v>
      </c>
      <c r="C61" s="118">
        <v>7937234.5551777352</v>
      </c>
      <c r="D61" s="118">
        <v>8348142.9925732017</v>
      </c>
      <c r="E61" s="118">
        <v>8778090.9926509336</v>
      </c>
      <c r="F61" s="118">
        <v>9698036.705965519</v>
      </c>
      <c r="G61" s="298"/>
      <c r="H61" s="298"/>
      <c r="I61" s="298"/>
      <c r="J61" s="298"/>
      <c r="K61" s="298"/>
      <c r="L61" s="298"/>
    </row>
    <row r="62" spans="1:21" ht="13.15">
      <c r="A62" s="131">
        <v>7</v>
      </c>
      <c r="B62" s="118">
        <v>7538043.352865316</v>
      </c>
      <c r="C62" s="118">
        <v>7983122.2071127389</v>
      </c>
      <c r="D62" s="118">
        <v>8452957.0594066679</v>
      </c>
      <c r="E62" s="118">
        <v>8948739.6210811529</v>
      </c>
      <c r="F62" s="118">
        <v>10023147.70836648</v>
      </c>
      <c r="G62" s="298"/>
      <c r="H62" s="298"/>
      <c r="I62" s="298"/>
      <c r="J62" s="298"/>
      <c r="K62" s="298"/>
      <c r="L62" s="298"/>
    </row>
    <row r="63" spans="1:21" ht="13.15">
      <c r="A63" s="131">
        <v>8</v>
      </c>
      <c r="B63" s="118">
        <v>7531875.1439385777</v>
      </c>
      <c r="C63" s="118">
        <v>8026335.7534571234</v>
      </c>
      <c r="D63" s="118">
        <v>8552640.3677238114</v>
      </c>
      <c r="E63" s="118">
        <v>9112625.9495502673</v>
      </c>
      <c r="F63" s="118">
        <v>10341438.200227557</v>
      </c>
      <c r="G63" s="298"/>
      <c r="H63" s="298"/>
      <c r="I63" s="298"/>
      <c r="J63" s="298"/>
      <c r="K63" s="298"/>
      <c r="L63" s="298"/>
    </row>
    <row r="64" spans="1:21" ht="13.15">
      <c r="A64" s="131">
        <v>9</v>
      </c>
      <c r="B64" s="118">
        <v>7526123.9001840446</v>
      </c>
      <c r="C64" s="118">
        <v>8067031.0278700162</v>
      </c>
      <c r="D64" s="118">
        <v>8647444.0735359211</v>
      </c>
      <c r="E64" s="118">
        <v>9270017.9479868077</v>
      </c>
      <c r="F64" s="118">
        <v>10653051.269182457</v>
      </c>
      <c r="G64" s="298"/>
      <c r="H64" s="298"/>
      <c r="I64" s="298"/>
      <c r="J64" s="298"/>
      <c r="K64" s="298"/>
      <c r="L64" s="298"/>
    </row>
    <row r="65" spans="1:21" ht="13.15">
      <c r="A65" s="131">
        <v>10</v>
      </c>
      <c r="B65" s="118">
        <v>7520761.4351448528</v>
      </c>
      <c r="C65" s="118">
        <v>8105354.7827949775</v>
      </c>
      <c r="D65" s="118">
        <v>8737607.0385040808</v>
      </c>
      <c r="E65" s="118">
        <v>9421172.9674643241</v>
      </c>
      <c r="F65" s="118">
        <v>10958127.001026418</v>
      </c>
      <c r="G65" s="298"/>
      <c r="H65" s="298"/>
      <c r="I65" s="298"/>
      <c r="J65" s="298"/>
      <c r="K65" s="298"/>
      <c r="L65" s="298"/>
    </row>
    <row r="66" spans="1:21" ht="13.15">
      <c r="A66" s="131">
        <v>15</v>
      </c>
      <c r="B66" s="118">
        <v>7498920.6673866343</v>
      </c>
      <c r="C66" s="280">
        <v>8265965.5690215398</v>
      </c>
      <c r="D66" s="118">
        <v>9126383.7104593627</v>
      </c>
      <c r="E66" s="118">
        <v>10091708.99107866</v>
      </c>
      <c r="F66" s="118">
        <v>12390146.302666642</v>
      </c>
      <c r="G66" s="298"/>
      <c r="H66" s="298"/>
      <c r="I66" s="298"/>
      <c r="J66" s="298"/>
      <c r="K66" s="298"/>
      <c r="L66" s="298"/>
      <c r="M66" s="278"/>
      <c r="N66" s="278"/>
      <c r="O66" s="278"/>
      <c r="P66" s="278"/>
      <c r="Q66" s="278"/>
      <c r="R66" s="278"/>
      <c r="S66" s="278"/>
      <c r="T66" s="278"/>
      <c r="U66" s="278"/>
    </row>
    <row r="67" spans="1:21" ht="13.15">
      <c r="A67" s="132">
        <v>20</v>
      </c>
      <c r="B67" s="118">
        <v>7483529.1514420314</v>
      </c>
      <c r="C67" s="280">
        <v>8384923.9576394819</v>
      </c>
      <c r="D67" s="118">
        <v>9428876.1694041155</v>
      </c>
      <c r="E67" s="118">
        <v>10639508.620246261</v>
      </c>
      <c r="F67" s="118">
        <v>13678125.541963147</v>
      </c>
      <c r="G67" s="298"/>
      <c r="H67" s="298"/>
      <c r="I67" s="298"/>
      <c r="J67" s="298"/>
      <c r="K67" s="298"/>
      <c r="L67" s="298"/>
      <c r="M67" s="278"/>
      <c r="N67" s="278"/>
      <c r="O67" s="278"/>
      <c r="P67" s="278"/>
      <c r="Q67" s="278"/>
      <c r="R67" s="278"/>
      <c r="S67" s="278"/>
      <c r="T67" s="278"/>
      <c r="U67" s="278"/>
    </row>
    <row r="68" spans="1:21" ht="13.15">
      <c r="A68" s="132">
        <v>25</v>
      </c>
      <c r="B68" s="118">
        <v>7472682.5197807513</v>
      </c>
      <c r="C68" s="280">
        <v>8473031.9767523203</v>
      </c>
      <c r="D68" s="118">
        <v>9664234.1379217543</v>
      </c>
      <c r="E68" s="118">
        <v>11087037.795634393</v>
      </c>
      <c r="F68" s="118">
        <v>14836553.028910227</v>
      </c>
      <c r="G68" s="298"/>
      <c r="H68" s="298"/>
      <c r="I68" s="298"/>
      <c r="J68" s="298"/>
      <c r="K68" s="298"/>
      <c r="L68" s="298"/>
      <c r="M68" s="278"/>
      <c r="N68" s="278"/>
      <c r="O68" s="278"/>
      <c r="P68" s="278"/>
      <c r="Q68" s="278"/>
      <c r="R68" s="278"/>
      <c r="S68" s="278"/>
      <c r="T68" s="278"/>
      <c r="U68" s="278"/>
    </row>
    <row r="69" spans="1:21" ht="13.15">
      <c r="A69" s="132">
        <v>30</v>
      </c>
      <c r="B69" s="118">
        <v>7465038.7361002546</v>
      </c>
      <c r="C69" s="280">
        <v>8538290.2836458385</v>
      </c>
      <c r="D69" s="118">
        <v>9847357.2925881241</v>
      </c>
      <c r="E69" s="118">
        <v>11452650.242521068</v>
      </c>
      <c r="F69" s="118">
        <v>15878459.762785463</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9.5937392928582845</v>
      </c>
      <c r="C73" s="119">
        <f>C11</f>
        <v>9.5937392928582845</v>
      </c>
      <c r="D73" s="119">
        <f>C11</f>
        <v>9.5937392928582845</v>
      </c>
      <c r="E73" s="119">
        <f>C11</f>
        <v>9.5937392928582845</v>
      </c>
      <c r="F73" s="119">
        <f>C11</f>
        <v>9.5937392928582845</v>
      </c>
      <c r="G73" s="299"/>
      <c r="H73" s="299"/>
      <c r="I73" s="299"/>
      <c r="J73" s="299"/>
      <c r="K73" s="299"/>
      <c r="L73" s="299"/>
    </row>
    <row r="74" spans="1:21" ht="13.15">
      <c r="A74" s="131">
        <v>1</v>
      </c>
      <c r="B74" s="119">
        <f t="shared" ref="B74:F87" si="11">(B56+FV_adjustments)/Common_Shares*scaling_factor*Exchange_Rate</f>
        <v>6.8111812636199085</v>
      </c>
      <c r="C74" s="119">
        <f t="shared" si="11"/>
        <v>6.8838736732347492</v>
      </c>
      <c r="D74" s="119">
        <f t="shared" si="11"/>
        <v>6.9565660828495925</v>
      </c>
      <c r="E74" s="119">
        <f t="shared" si="11"/>
        <v>7.0292584924644306</v>
      </c>
      <c r="F74" s="119">
        <f t="shared" si="11"/>
        <v>7.1746433116941146</v>
      </c>
      <c r="G74" s="299"/>
      <c r="H74" s="299"/>
      <c r="I74" s="299"/>
      <c r="J74" s="299"/>
      <c r="K74" s="299"/>
      <c r="L74" s="299"/>
    </row>
    <row r="75" spans="1:21" ht="13.15">
      <c r="A75" s="131">
        <v>2</v>
      </c>
      <c r="B75" s="119">
        <f t="shared" si="11"/>
        <v>6.8021854940794189</v>
      </c>
      <c r="C75" s="119">
        <f t="shared" si="11"/>
        <v>6.9432442012072357</v>
      </c>
      <c r="D75" s="119">
        <f t="shared" si="11"/>
        <v>7.0856584777451248</v>
      </c>
      <c r="E75" s="119">
        <f t="shared" si="11"/>
        <v>7.2294283236930745</v>
      </c>
      <c r="F75" s="119">
        <f t="shared" si="11"/>
        <v>7.5210347238191781</v>
      </c>
      <c r="G75" s="299"/>
      <c r="H75" s="299"/>
      <c r="I75" s="299"/>
      <c r="J75" s="299"/>
      <c r="K75" s="299"/>
      <c r="L75" s="299"/>
    </row>
    <row r="76" spans="1:21" ht="13.15">
      <c r="A76" s="131">
        <v>3</v>
      </c>
      <c r="B76" s="119">
        <f t="shared" si="11"/>
        <v>6.7937978301722026</v>
      </c>
      <c r="C76" s="119">
        <f t="shared" si="11"/>
        <v>6.9991549082023043</v>
      </c>
      <c r="D76" s="119">
        <f t="shared" si="11"/>
        <v>7.2084316644989155</v>
      </c>
      <c r="E76" s="119">
        <f t="shared" si="11"/>
        <v>7.4216660170874782</v>
      </c>
      <c r="F76" s="119">
        <f t="shared" si="11"/>
        <v>7.8601591832423194</v>
      </c>
      <c r="G76" s="299"/>
      <c r="H76" s="299"/>
      <c r="I76" s="299"/>
      <c r="J76" s="299"/>
      <c r="K76" s="299"/>
      <c r="L76" s="299"/>
    </row>
    <row r="77" spans="1:21" ht="13.15">
      <c r="A77" s="131">
        <v>4</v>
      </c>
      <c r="B77" s="119">
        <f t="shared" si="11"/>
        <v>6.7859771645244464</v>
      </c>
      <c r="C77" s="119">
        <f t="shared" si="11"/>
        <v>7.0518074154890353</v>
      </c>
      <c r="D77" s="119">
        <f t="shared" si="11"/>
        <v>7.3251949749780447</v>
      </c>
      <c r="E77" s="119">
        <f t="shared" si="11"/>
        <v>7.6062858997879346</v>
      </c>
      <c r="F77" s="119">
        <f t="shared" si="11"/>
        <v>8.1921691435167183</v>
      </c>
      <c r="G77" s="299"/>
      <c r="H77" s="299"/>
      <c r="I77" s="299"/>
      <c r="J77" s="299"/>
      <c r="K77" s="299"/>
      <c r="L77" s="299"/>
    </row>
    <row r="78" spans="1:21" ht="13.15">
      <c r="A78" s="131">
        <v>5</v>
      </c>
      <c r="B78" s="119">
        <f t="shared" si="11"/>
        <v>6.7786851685824843</v>
      </c>
      <c r="C78" s="119">
        <f t="shared" si="11"/>
        <v>7.1013915948453077</v>
      </c>
      <c r="D78" s="119">
        <f t="shared" si="11"/>
        <v>7.4362425989302237</v>
      </c>
      <c r="E78" s="119">
        <f t="shared" si="11"/>
        <v>7.7835898430806782</v>
      </c>
      <c r="F78" s="119">
        <f t="shared" si="11"/>
        <v>8.5172138598692833</v>
      </c>
      <c r="G78" s="299"/>
      <c r="H78" s="299"/>
      <c r="I78" s="299"/>
      <c r="J78" s="299"/>
      <c r="K78" s="299"/>
      <c r="L78" s="299"/>
    </row>
    <row r="79" spans="1:21" ht="13.15">
      <c r="A79" s="131">
        <v>6</v>
      </c>
      <c r="B79" s="119">
        <f t="shared" si="11"/>
        <v>6.7718861047671348</v>
      </c>
      <c r="C79" s="119">
        <f t="shared" si="11"/>
        <v>7.1480862532600682</v>
      </c>
      <c r="D79" s="119">
        <f t="shared" si="11"/>
        <v>7.5418543252064234</v>
      </c>
      <c r="E79" s="119">
        <f t="shared" si="11"/>
        <v>7.9538677559865318</v>
      </c>
      <c r="F79" s="119">
        <f t="shared" si="11"/>
        <v>8.8354394562983618</v>
      </c>
      <c r="G79" s="299"/>
      <c r="H79" s="299"/>
      <c r="I79" s="299"/>
      <c r="J79" s="299"/>
      <c r="K79" s="299"/>
      <c r="L79" s="299"/>
    </row>
    <row r="80" spans="1:21" ht="13.15">
      <c r="A80" s="131">
        <f t="shared" ref="A80" si="12">A62</f>
        <v>7</v>
      </c>
      <c r="B80" s="119">
        <f t="shared" si="11"/>
        <v>6.7655466513262503</v>
      </c>
      <c r="C80" s="119">
        <f t="shared" si="11"/>
        <v>7.1920597777345767</v>
      </c>
      <c r="D80" s="119">
        <f t="shared" si="11"/>
        <v>7.6422962466998703</v>
      </c>
      <c r="E80" s="119">
        <f t="shared" si="11"/>
        <v>8.1173980592900552</v>
      </c>
      <c r="F80" s="119">
        <f t="shared" si="11"/>
        <v>9.1469889912638997</v>
      </c>
      <c r="G80" s="299"/>
      <c r="H80" s="299"/>
      <c r="I80" s="299"/>
      <c r="J80" s="299"/>
      <c r="K80" s="299"/>
      <c r="L80" s="299"/>
    </row>
    <row r="81" spans="1:12" ht="13.15">
      <c r="A81" s="131">
        <v>8</v>
      </c>
      <c r="B81" s="119">
        <f t="shared" si="11"/>
        <v>6.7596357390270558</v>
      </c>
      <c r="C81" s="119">
        <f t="shared" si="11"/>
        <v>7.233470742507774</v>
      </c>
      <c r="D81" s="119">
        <f t="shared" si="11"/>
        <v>7.7378214307775552</v>
      </c>
      <c r="E81" s="119">
        <f t="shared" si="11"/>
        <v>8.2744481407843455</v>
      </c>
      <c r="F81" s="119">
        <f t="shared" si="11"/>
        <v>9.452002521999388</v>
      </c>
      <c r="G81" s="299"/>
      <c r="H81" s="299"/>
      <c r="I81" s="299"/>
      <c r="J81" s="299"/>
      <c r="K81" s="299"/>
      <c r="L81" s="299"/>
    </row>
    <row r="82" spans="1:12" ht="13.15">
      <c r="A82" s="131">
        <f t="shared" ref="A82" si="13">A64</f>
        <v>9</v>
      </c>
      <c r="B82" s="119">
        <f t="shared" si="11"/>
        <v>6.7541243988879467</v>
      </c>
      <c r="C82" s="119">
        <f t="shared" si="11"/>
        <v>7.2724684808955846</v>
      </c>
      <c r="D82" s="119">
        <f t="shared" si="11"/>
        <v>7.8286705568933952</v>
      </c>
      <c r="E82" s="119">
        <f t="shared" si="11"/>
        <v>8.425274792475836</v>
      </c>
      <c r="F82" s="119">
        <f t="shared" si="11"/>
        <v>9.7506171674746884</v>
      </c>
      <c r="G82" s="299"/>
      <c r="H82" s="299"/>
      <c r="I82" s="299"/>
      <c r="J82" s="299"/>
      <c r="K82" s="299"/>
      <c r="L82" s="299"/>
    </row>
    <row r="83" spans="1:12" ht="13.15">
      <c r="A83" s="131">
        <f t="shared" ref="A83:A87" si="14">A65</f>
        <v>10</v>
      </c>
      <c r="B83" s="119">
        <f t="shared" si="11"/>
        <v>6.748985620203463</v>
      </c>
      <c r="C83" s="119">
        <f t="shared" si="11"/>
        <v>7.3091936238062498</v>
      </c>
      <c r="D83" s="119">
        <f t="shared" si="11"/>
        <v>7.9150725229895791</v>
      </c>
      <c r="E83" s="119">
        <f t="shared" si="11"/>
        <v>8.5701246304639334</v>
      </c>
      <c r="F83" s="119">
        <f t="shared" si="11"/>
        <v>10.042967170037924</v>
      </c>
      <c r="G83" s="299"/>
      <c r="H83" s="299"/>
      <c r="I83" s="299"/>
      <c r="J83" s="299"/>
      <c r="K83" s="299"/>
      <c r="L83" s="299"/>
    </row>
    <row r="84" spans="1:12" ht="13.15">
      <c r="A84" s="131">
        <f t="shared" si="14"/>
        <v>15</v>
      </c>
      <c r="B84" s="119">
        <f t="shared" si="11"/>
        <v>6.7280559039277552</v>
      </c>
      <c r="C84" s="119">
        <f t="shared" si="11"/>
        <v>7.4631047968819075</v>
      </c>
      <c r="D84" s="119">
        <f t="shared" si="11"/>
        <v>8.2876320194649882</v>
      </c>
      <c r="E84" s="119">
        <f t="shared" si="11"/>
        <v>9.2126903535305527</v>
      </c>
      <c r="F84" s="119">
        <f t="shared" si="11"/>
        <v>11.415252156374539</v>
      </c>
      <c r="G84" s="299"/>
      <c r="H84" s="299"/>
      <c r="I84" s="299"/>
      <c r="J84" s="299"/>
      <c r="K84" s="299"/>
      <c r="L84" s="299"/>
    </row>
    <row r="85" spans="1:12" ht="13.15">
      <c r="A85" s="132">
        <f t="shared" si="14"/>
        <v>20</v>
      </c>
      <c r="B85" s="119">
        <f t="shared" si="11"/>
        <v>6.7133064195991938</v>
      </c>
      <c r="C85" s="119">
        <f t="shared" si="11"/>
        <v>7.5771010331841833</v>
      </c>
      <c r="D85" s="119">
        <f t="shared" si="11"/>
        <v>8.5775065060829192</v>
      </c>
      <c r="E85" s="119">
        <f t="shared" si="11"/>
        <v>9.7376394277269895</v>
      </c>
      <c r="F85" s="119">
        <f t="shared" si="11"/>
        <v>12.649505473194637</v>
      </c>
      <c r="G85" s="299"/>
      <c r="H85" s="299"/>
      <c r="I85" s="299"/>
      <c r="J85" s="299"/>
      <c r="K85" s="299"/>
      <c r="L85" s="299"/>
    </row>
    <row r="86" spans="1:12" ht="13.15">
      <c r="A86" s="132">
        <f t="shared" si="14"/>
        <v>25</v>
      </c>
      <c r="B86" s="119">
        <f t="shared" si="11"/>
        <v>6.7029122372274559</v>
      </c>
      <c r="C86" s="119">
        <f t="shared" si="11"/>
        <v>7.6615337720906478</v>
      </c>
      <c r="D86" s="119">
        <f t="shared" si="11"/>
        <v>8.8030469064403043</v>
      </c>
      <c r="E86" s="119">
        <f t="shared" si="11"/>
        <v>10.166500664184705</v>
      </c>
      <c r="F86" s="119">
        <f t="shared" si="11"/>
        <v>13.759611074617963</v>
      </c>
      <c r="G86" s="299"/>
      <c r="H86" s="299"/>
      <c r="I86" s="299"/>
      <c r="J86" s="299"/>
      <c r="K86" s="299"/>
      <c r="L86" s="299"/>
    </row>
    <row r="87" spans="1:12" ht="13.15">
      <c r="A87" s="132">
        <f t="shared" si="14"/>
        <v>30</v>
      </c>
      <c r="B87" s="119">
        <f t="shared" si="11"/>
        <v>6.6955873013334095</v>
      </c>
      <c r="C87" s="119">
        <f t="shared" si="11"/>
        <v>7.7240699367087844</v>
      </c>
      <c r="D87" s="119">
        <f t="shared" si="11"/>
        <v>8.9785313817622665</v>
      </c>
      <c r="E87" s="119">
        <f t="shared" si="11"/>
        <v>10.516862192905515</v>
      </c>
      <c r="F87" s="119">
        <f t="shared" si="11"/>
        <v>14.758056393352373</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0.05</v>
      </c>
      <c r="D90" s="133">
        <f>Scenarios!D29</f>
        <v>10</v>
      </c>
      <c r="E90" s="127">
        <f>INDEX(B$73:F$87, MATCH(D90, A$73:A$87, 0), MATCH(C90, B$72:F$72, 0))</f>
        <v>10.042967170037924</v>
      </c>
      <c r="F90" s="130">
        <f>Scenarios!F29</f>
        <v>0.15</v>
      </c>
      <c r="G90" s="300"/>
      <c r="H90" s="300"/>
      <c r="I90" s="300"/>
      <c r="J90" s="300"/>
      <c r="K90" s="300"/>
      <c r="L90" s="300"/>
    </row>
    <row r="91" spans="1:12">
      <c r="B91" s="120" t="str">
        <f>Scenarios!B22</f>
        <v>Optimistic</v>
      </c>
      <c r="C91" s="130">
        <f>Scenarios!C22</f>
        <v>0.03</v>
      </c>
      <c r="D91" s="133">
        <f>Scenarios!D22</f>
        <v>10</v>
      </c>
      <c r="E91" s="127">
        <f>INDEX(B$73:F$87, MATCH(D91, A$73:A$87, 0), MATCH(C91, B$72:F$72, 0))</f>
        <v>8.5701246304639334</v>
      </c>
      <c r="F91" s="130">
        <f>Scenarios!F22*(1-F$90-F$94)</f>
        <v>0.15999999999999995</v>
      </c>
      <c r="G91" s="300"/>
      <c r="H91" s="300"/>
      <c r="I91" s="300"/>
      <c r="J91" s="300"/>
      <c r="K91" s="300"/>
      <c r="L91" s="300"/>
    </row>
    <row r="92" spans="1:12">
      <c r="B92" s="120" t="str">
        <f>Scenarios!B23</f>
        <v>Base</v>
      </c>
      <c r="C92" s="130">
        <f>Scenarios!C23</f>
        <v>0.02</v>
      </c>
      <c r="D92" s="133">
        <f>Scenarios!D23</f>
        <v>10</v>
      </c>
      <c r="E92" s="127">
        <f>INDEX(B$73:F$87, MATCH(D92, A$73:A$87, 0), MATCH(C92, B$72:F$72, 0))</f>
        <v>7.9150725229895791</v>
      </c>
      <c r="F92" s="130">
        <f>Scenarios!F23*(1-F$90-F$94)</f>
        <v>0.44</v>
      </c>
      <c r="G92" s="300"/>
      <c r="H92" s="300"/>
      <c r="I92" s="300"/>
      <c r="J92" s="300"/>
      <c r="K92" s="300"/>
      <c r="L92" s="300"/>
    </row>
    <row r="93" spans="1:12">
      <c r="B93" s="120" t="str">
        <f>Scenarios!B24</f>
        <v>Pessimistic</v>
      </c>
      <c r="C93" s="130">
        <f>Scenarios!C24</f>
        <v>0.01</v>
      </c>
      <c r="D93" s="133">
        <f>Scenarios!D24</f>
        <v>10</v>
      </c>
      <c r="E93" s="127">
        <f>INDEX(B$73:F$87, MATCH(D93, A$73:A$87, 0), MATCH(C93, B$72:F$72, 0))</f>
        <v>7.3091936238062498</v>
      </c>
      <c r="F93" s="130">
        <f>Scenarios!F24*(1-F$90-F$94)</f>
        <v>0.19999999999999998</v>
      </c>
      <c r="G93" s="300"/>
      <c r="H93" s="300"/>
      <c r="I93" s="300"/>
      <c r="J93" s="300"/>
      <c r="K93" s="300"/>
      <c r="L93" s="300"/>
    </row>
    <row r="94" spans="1:12">
      <c r="B94" s="120" t="str">
        <f>Scenarios!B30</f>
        <v>Devil's advocate</v>
      </c>
      <c r="C94" s="130">
        <f>Scenarios!C30</f>
        <v>0</v>
      </c>
      <c r="D94" s="133">
        <f>Scenarios!D30</f>
        <v>10</v>
      </c>
      <c r="E94" s="127">
        <f>INDEX(B$73:F$87, MATCH(D94, A$73:A$87, 0), MATCH(C94, B$72:F$72, 0))</f>
        <v>6.748985620203463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622412</v>
      </c>
      <c r="D7" s="470"/>
      <c r="E7" s="470"/>
      <c r="F7" s="470"/>
      <c r="G7" s="470"/>
    </row>
    <row r="8" spans="2:7">
      <c r="B8" s="97" t="s">
        <v>63</v>
      </c>
      <c r="C8" s="450">
        <f>Normalized_FCF!G19</f>
        <v>506980</v>
      </c>
      <c r="D8" s="470"/>
      <c r="E8" s="470"/>
      <c r="F8" s="470"/>
      <c r="G8" s="470"/>
    </row>
    <row r="9" spans="2:7">
      <c r="B9" s="97" t="s">
        <v>54</v>
      </c>
      <c r="C9" s="450">
        <f>Normalized_FCF!C19</f>
        <v>539892.73900881025</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t="e">
        <f ca="1">(Normalized_FCF!G4/OFFSET(Normalized_FCF!G4, 0, $C$4))^(1/$C$4) - 1</f>
        <v>#VALUE!</v>
      </c>
      <c r="D12" s="470"/>
      <c r="E12" s="470"/>
      <c r="F12" s="470"/>
      <c r="G12" s="470"/>
    </row>
    <row r="13" spans="2:7">
      <c r="B13" s="135" t="s">
        <v>127</v>
      </c>
      <c r="C13" s="251" t="e">
        <f ca="1">(Normalized_FCF!G8/OFFSET(Normalized_FCF!G8, 0, $C$4))^(1/$C$4) - 1</f>
        <v>#VALUE!</v>
      </c>
      <c r="D13" s="470"/>
      <c r="E13" s="470"/>
      <c r="F13" s="470"/>
      <c r="G13" s="470"/>
    </row>
    <row r="14" spans="2:7">
      <c r="B14" s="97" t="s">
        <v>63</v>
      </c>
      <c r="C14" s="251" t="e">
        <f ca="1">(Normalized_FCF!G19/OFFSET(Normalized_FCF!G19, 0, $C$4))^(1/$C$4) - 1</f>
        <v>#VALUE!</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3" t="s">
        <v>544</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0.03</v>
      </c>
      <c r="D22" s="328">
        <f>C18</f>
        <v>10</v>
      </c>
      <c r="E22" s="329">
        <f>DCF!E91</f>
        <v>8.5701246304639334</v>
      </c>
      <c r="F22" s="331">
        <f>1-F23-F24</f>
        <v>0.19999999999999996</v>
      </c>
      <c r="G22" s="331">
        <f>F22*(1-F$29-F$30)</f>
        <v>0.15999999999999995</v>
      </c>
    </row>
    <row r="23" spans="2:7">
      <c r="B23" s="305" t="s">
        <v>437</v>
      </c>
      <c r="C23" s="327">
        <v>0.02</v>
      </c>
      <c r="D23" s="328">
        <f>C18</f>
        <v>10</v>
      </c>
      <c r="E23" s="329">
        <f>DCF!E92</f>
        <v>7.9150725229895791</v>
      </c>
      <c r="F23" s="330">
        <v>0.55000000000000004</v>
      </c>
      <c r="G23" s="331">
        <f t="shared" ref="G23:G24" si="0">F23*(1-F$29-F$30)</f>
        <v>0.44</v>
      </c>
    </row>
    <row r="24" spans="2:7">
      <c r="B24" s="305" t="s">
        <v>446</v>
      </c>
      <c r="C24" s="327">
        <v>0.01</v>
      </c>
      <c r="D24" s="328">
        <f>C18</f>
        <v>10</v>
      </c>
      <c r="E24" s="329">
        <f>DCF!E93</f>
        <v>7.3091936238062498</v>
      </c>
      <c r="F24" s="330">
        <v>0.25</v>
      </c>
      <c r="G24" s="331">
        <f t="shared" si="0"/>
        <v>0.19999999999999998</v>
      </c>
    </row>
    <row r="25" spans="2:7">
      <c r="B25" s="141" t="s">
        <v>451</v>
      </c>
      <c r="C25" s="444">
        <f>E23*F23+E24*F24+E22*F22</f>
        <v>7.8946132196886172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0.05</v>
      </c>
      <c r="D29" s="328">
        <f>C18</f>
        <v>10</v>
      </c>
      <c r="E29" s="329">
        <f>DCF!E90</f>
        <v>10.042967170037924</v>
      </c>
      <c r="F29" s="330">
        <v>0.15</v>
      </c>
      <c r="G29" s="331">
        <f>F29</f>
        <v>0.15</v>
      </c>
    </row>
    <row r="30" spans="2:7">
      <c r="B30" s="318" t="s">
        <v>447</v>
      </c>
      <c r="C30" s="327">
        <v>0</v>
      </c>
      <c r="D30" s="328">
        <f>C18</f>
        <v>10</v>
      </c>
      <c r="E30" s="329">
        <f>DCF!E94</f>
        <v>6.748985620203463</v>
      </c>
      <c r="F30" s="330">
        <v>0.05</v>
      </c>
      <c r="G30" s="331">
        <f>F30</f>
        <v>0.05</v>
      </c>
    </row>
    <row r="31" spans="2:7">
      <c r="E31" s="332"/>
      <c r="F31" s="332"/>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6.58</v>
      </c>
      <c r="D34" t="str">
        <f>Market_currency</f>
        <v>HKD</v>
      </c>
      <c r="E34" s="97" t="s">
        <v>454</v>
      </c>
      <c r="F34" s="333">
        <f>RATE(Holding_Period,$C$33,-C34,$C$36)</f>
        <v>9.4493273048875795E-2</v>
      </c>
    </row>
    <row r="35" spans="2:7">
      <c r="B35" s="97" t="s">
        <v>434</v>
      </c>
      <c r="C35" s="323">
        <f>DCF!C11</f>
        <v>9.5937392928582845</v>
      </c>
      <c r="D35" s="97" t="str">
        <f>Market_currency</f>
        <v>HKD</v>
      </c>
      <c r="E35" s="97" t="s">
        <v>454</v>
      </c>
      <c r="F35" s="333">
        <f>RATE(Holding_Period,$C$33,-C35,$C$36)</f>
        <v>-3.691370768059881E-2</v>
      </c>
    </row>
    <row r="36" spans="2:7">
      <c r="B36" s="97" t="s">
        <v>435</v>
      </c>
      <c r="C36" s="324">
        <f>E22*G22+E23*G23+E24*G24+E30*G30+E29*G29</f>
        <v>8.1595849322667551</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553</v>
      </c>
      <c r="C40" s="126">
        <f>Normalized_FCF!C116</f>
        <v>0.10976797121826185</v>
      </c>
      <c r="E40" s="97" t="s">
        <v>401</v>
      </c>
    </row>
    <row r="41" spans="2:7">
      <c r="B41" s="97" t="s">
        <v>400</v>
      </c>
      <c r="C41" s="458">
        <f>DCF!C16</f>
        <v>2.3855917147759486E-2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2.3855917147759486E-2</v>
      </c>
      <c r="D46" s="138"/>
      <c r="E46" s="221" t="s">
        <v>252</v>
      </c>
    </row>
    <row r="47" spans="2:7">
      <c r="B47" s="97" t="s">
        <v>96</v>
      </c>
      <c r="C47" s="146">
        <f>DCF!I18</f>
        <v>8.1616310890516512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1">
        <f>BS!D89/C36</f>
        <v>-5.6137622399493749E-2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0.25983892380763696</v>
      </c>
      <c r="D62" s="119">
        <f>C36/(1+F62)^Holding_Period</f>
        <v>3.7601773881413627</v>
      </c>
      <c r="E62" s="335">
        <f>C62+D62</f>
        <v>4.020016311949</v>
      </c>
      <c r="F62" s="304">
        <f>Thesis!E22</f>
        <v>0.29465259038036606</v>
      </c>
      <c r="G62" s="443">
        <f>(1-E62/C36)</f>
        <v>0.50732588173057613</v>
      </c>
    </row>
    <row r="63" spans="2:7" ht="13.15">
      <c r="B63" s="305" t="s">
        <v>313</v>
      </c>
      <c r="C63" s="119">
        <f>PV(F63, Holding_Period, -C58, 0)</f>
        <v>0.29876856051220907</v>
      </c>
      <c r="D63" s="119">
        <f>C36/(1+F63)^Holding_Period</f>
        <v>4.713117650406792</v>
      </c>
      <c r="E63" s="335">
        <f>C63+D63</f>
        <v>5.011886210919001</v>
      </c>
      <c r="F63" s="304">
        <f>Thesis!E23</f>
        <v>0.20075184365903009</v>
      </c>
      <c r="G63" s="443">
        <f>(1-E63/C36)</f>
        <v>0.38576701480246922</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0.34258964388328816</v>
      </c>
      <c r="D66" s="119">
        <f>C36/(1+F66)^Holding_Period</f>
        <v>5.8484673028891807</v>
      </c>
      <c r="E66" s="335">
        <f>C66+D66</f>
        <v>6.191056946772469</v>
      </c>
      <c r="F66" s="304">
        <f>Thesis!E24</f>
        <v>0.1174</v>
      </c>
      <c r="G66" s="443">
        <f>(1-E66/C36)</f>
        <v>0.24125344632541545</v>
      </c>
    </row>
    <row r="67" spans="2:7" ht="13.15">
      <c r="B67" s="305" t="s">
        <v>314</v>
      </c>
      <c r="C67" s="119">
        <f>PV(F67, Holding_Period, -C58, 0)</f>
        <v>0.37095728225856828</v>
      </c>
      <c r="D67" s="119">
        <f>C36/(1+F67)^Holding_Period</f>
        <v>6.6141823605393339</v>
      </c>
      <c r="E67" s="335">
        <f>C67+D67</f>
        <v>6.9851396427979022</v>
      </c>
      <c r="F67" s="304">
        <f>Thesis!E25</f>
        <v>7.2499999999999995E-2</v>
      </c>
      <c r="G67" s="443">
        <f>(1-E67/C36)</f>
        <v>0.14393444019738744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542</v>
      </c>
      <c r="F3" s="439">
        <f>Thesis!F3</f>
        <v>46038</v>
      </c>
    </row>
    <row r="4" spans="1:10">
      <c r="B4" s="425" t="s">
        <v>534</v>
      </c>
      <c r="C4" s="426" t="str">
        <f>Thesis!C4</f>
        <v>维他奶</v>
      </c>
      <c r="D4" s="352"/>
      <c r="E4" s="437" t="s">
        <v>540</v>
      </c>
      <c r="F4" s="440" t="str">
        <f>Thesis!F4</f>
        <v>INT</v>
      </c>
    </row>
    <row r="5" spans="1:10">
      <c r="B5" s="346" t="s">
        <v>364</v>
      </c>
      <c r="C5" s="358" t="str">
        <f>Thesis!C5</f>
        <v>0345.HK</v>
      </c>
      <c r="E5" s="441" t="s">
        <v>541</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6.58</v>
      </c>
    </row>
    <row r="9" spans="1:10">
      <c r="B9" s="354" t="s">
        <v>361</v>
      </c>
      <c r="C9" s="356">
        <f>Common_Shares</f>
        <v>1043529089</v>
      </c>
    </row>
    <row r="10" spans="1:10">
      <c r="B10" s="354" t="s">
        <v>367</v>
      </c>
      <c r="C10" s="360">
        <f>投资主题!C8*Common_Shares/1000000</f>
        <v>6866.4214056199999</v>
      </c>
      <c r="D10" s="346" t="s">
        <v>529</v>
      </c>
      <c r="E10" s="363">
        <f>Scenarios!F34</f>
        <v>9.4493273048875795E-2</v>
      </c>
    </row>
    <row r="11" spans="1:10">
      <c r="D11" s="352"/>
      <c r="E11" s="352"/>
    </row>
    <row r="12" spans="1:10" ht="24.5" customHeight="1">
      <c r="B12" s="472" t="s">
        <v>498</v>
      </c>
      <c r="C12" s="472"/>
      <c r="D12" s="472"/>
      <c r="E12" s="472"/>
      <c r="F12" s="472"/>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535</v>
      </c>
      <c r="C17" s="427">
        <f>Terminal_Growth</f>
        <v>0.02</v>
      </c>
      <c r="D17" s="354" t="s">
        <v>339</v>
      </c>
      <c r="E17" s="347" t="str">
        <f>Reporting_currency</f>
        <v>HKD</v>
      </c>
    </row>
    <row r="18" spans="1:6">
      <c r="B18" s="346" t="str">
        <f>"预期股权价值 ("&amp;C7&amp;") :"</f>
        <v>预期股权价值 (HKD) :</v>
      </c>
      <c r="C18" s="362">
        <f>C125</f>
        <v>8.1595849322667551</v>
      </c>
      <c r="D18" s="353" t="s">
        <v>362</v>
      </c>
      <c r="E18" s="429">
        <f>Thesis!E18</f>
        <v>6</v>
      </c>
    </row>
    <row r="19" spans="1:6">
      <c r="B19" s="353" t="s">
        <v>335</v>
      </c>
      <c r="C19" s="355" t="str">
        <f>IF(Scenarios!C50="Y",Scenarios!B50,"")&amp;IF(Scenarios!C51="Y",Scenarios!B51,"")&amp;IF(Scenarios!C52="Y",Scenarios!B52,"")&amp;" "&amp;IF(Scenarios!C53="Y",Scenarios!B53,"")</f>
        <v xml:space="preserve">Negative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4.020016311949</v>
      </c>
      <c r="D22" s="368" t="s">
        <v>440</v>
      </c>
      <c r="E22" s="369">
        <f>Thesis!E22</f>
        <v>0.29465259038036606</v>
      </c>
    </row>
    <row r="23" spans="1:6">
      <c r="B23" s="346" t="s">
        <v>341</v>
      </c>
      <c r="C23" s="370">
        <f>E141</f>
        <v>5.011886210919001</v>
      </c>
      <c r="D23" s="368" t="s">
        <v>441</v>
      </c>
      <c r="E23" s="371">
        <f>Thesis!E23</f>
        <v>0.20075184365903009</v>
      </c>
    </row>
    <row r="24" spans="1:6">
      <c r="B24" s="346" t="s">
        <v>343</v>
      </c>
      <c r="C24" s="370">
        <f>E144</f>
        <v>6.191056946772469</v>
      </c>
      <c r="D24" s="368" t="s">
        <v>443</v>
      </c>
      <c r="E24" s="371">
        <f>Thesis!E24</f>
        <v>0.1174</v>
      </c>
    </row>
    <row r="25" spans="1:6">
      <c r="B25" s="346" t="s">
        <v>342</v>
      </c>
      <c r="C25" s="370">
        <f>E145</f>
        <v>6.9851396427979022</v>
      </c>
      <c r="D25" s="368" t="s">
        <v>442</v>
      </c>
      <c r="E25" s="371">
        <f>Thesis!E25</f>
        <v>7.2499999999999995E-2</v>
      </c>
    </row>
    <row r="27" spans="1:6" ht="13.9">
      <c r="A27" s="348" t="s">
        <v>345</v>
      </c>
      <c r="B27" s="348"/>
      <c r="C27" s="348"/>
      <c r="D27" s="348"/>
      <c r="E27" s="348"/>
      <c r="F27" s="348"/>
    </row>
    <row r="29" spans="1:6">
      <c r="B29" s="472" t="s">
        <v>499</v>
      </c>
      <c r="C29" s="472"/>
      <c r="D29" s="472"/>
      <c r="E29" s="472"/>
      <c r="F29" s="472"/>
    </row>
    <row r="30" spans="1:6" ht="24.5" customHeight="1">
      <c r="B30" s="473" t="s">
        <v>500</v>
      </c>
      <c r="C30" s="473"/>
      <c r="D30" s="473"/>
      <c r="E30" s="473"/>
      <c r="F30" s="473"/>
    </row>
    <row r="32" spans="1:6">
      <c r="B32" s="372" t="s">
        <v>371</v>
      </c>
      <c r="C32" s="373">
        <f>scaling_factor</f>
        <v>1000</v>
      </c>
    </row>
    <row r="33" spans="2:6">
      <c r="B33" s="471" t="s">
        <v>501</v>
      </c>
      <c r="C33" s="471"/>
      <c r="D33" s="471"/>
      <c r="E33" s="471"/>
      <c r="F33" s="471"/>
    </row>
    <row r="34" spans="2:6">
      <c r="B34" s="375" t="s">
        <v>197</v>
      </c>
      <c r="C34" s="376">
        <f>Normalized_FCF!C8</f>
        <v>685770.70000000019</v>
      </c>
      <c r="D34" s="346" t="str">
        <f>Reporting_currency</f>
        <v>HKD</v>
      </c>
    </row>
    <row r="35" spans="2:6">
      <c r="B35" s="375"/>
      <c r="C35" s="377"/>
    </row>
    <row r="36" spans="2:6" ht="24.5" customHeight="1">
      <c r="B36" s="471" t="s">
        <v>502</v>
      </c>
      <c r="C36" s="471"/>
      <c r="D36" s="471"/>
      <c r="E36" s="471"/>
      <c r="F36" s="471"/>
    </row>
    <row r="37" spans="2:6">
      <c r="B37" s="375" t="s">
        <v>199</v>
      </c>
      <c r="C37" s="376">
        <f>Normalized_FCF!C15</f>
        <v>0</v>
      </c>
      <c r="D37" s="346" t="str">
        <f>Reporting_currency</f>
        <v>HKD</v>
      </c>
    </row>
    <row r="38" spans="2:6">
      <c r="B38" s="378" t="s">
        <v>200</v>
      </c>
      <c r="C38" s="376">
        <f>Normalized_FCF!C16</f>
        <v>0</v>
      </c>
      <c r="D38" s="346" t="str">
        <f>Reporting_currency</f>
        <v>HKD</v>
      </c>
    </row>
    <row r="40" spans="2:6">
      <c r="B40" s="471" t="s">
        <v>503</v>
      </c>
      <c r="C40" s="471"/>
      <c r="D40" s="471"/>
      <c r="E40" s="471"/>
      <c r="F40" s="471"/>
    </row>
    <row r="41" spans="2:6">
      <c r="B41" s="375" t="s">
        <v>202</v>
      </c>
      <c r="C41" s="376">
        <f>Normalized_FCF!C9</f>
        <v>0</v>
      </c>
      <c r="D41" s="346" t="str">
        <f>Reporting_currency</f>
        <v>HKD</v>
      </c>
    </row>
    <row r="43" spans="2:6">
      <c r="B43" s="471" t="s">
        <v>504</v>
      </c>
      <c r="C43" s="471"/>
      <c r="D43" s="471"/>
      <c r="E43" s="471"/>
      <c r="F43" s="471"/>
    </row>
    <row r="44" spans="2:6">
      <c r="B44" s="375" t="s">
        <v>267</v>
      </c>
      <c r="C44" s="379">
        <f>Normalized_FCF!C46</f>
        <v>2867.9977153189998</v>
      </c>
      <c r="D44" s="346" t="str">
        <f>Reporting_currency</f>
        <v>HKD</v>
      </c>
      <c r="E44" s="374"/>
      <c r="F44" s="374"/>
    </row>
    <row r="45" spans="2:6">
      <c r="B45" s="375" t="s">
        <v>268</v>
      </c>
      <c r="C45" s="379">
        <f>Normalized_FCF!C45</f>
        <v>0</v>
      </c>
      <c r="D45" s="346" t="str">
        <f>Reporting_currency</f>
        <v>HKD</v>
      </c>
      <c r="E45" s="374"/>
      <c r="F45" s="374"/>
    </row>
    <row r="46" spans="2:6">
      <c r="B46" s="375" t="s">
        <v>203</v>
      </c>
      <c r="C46" s="376">
        <f>Normalized_FCF!C10</f>
        <v>2867.9977153189998</v>
      </c>
      <c r="D46" s="346" t="str">
        <f>Reporting_currency</f>
        <v>HKD</v>
      </c>
    </row>
    <row r="48" spans="2:6">
      <c r="B48" s="346" t="s">
        <v>505</v>
      </c>
    </row>
    <row r="49" spans="2:6">
      <c r="B49" s="375" t="s">
        <v>223</v>
      </c>
      <c r="C49" s="376">
        <f>Normalized_FCF!C13</f>
        <v>0</v>
      </c>
      <c r="D49" s="346" t="str">
        <f>Reporting_currency</f>
        <v>HKD</v>
      </c>
    </row>
    <row r="51" spans="2:6">
      <c r="B51" s="471" t="s">
        <v>506</v>
      </c>
      <c r="C51" s="471"/>
      <c r="D51" s="471"/>
      <c r="E51" s="471"/>
      <c r="F51" s="471"/>
    </row>
    <row r="52" spans="2:6">
      <c r="B52" s="375" t="s">
        <v>496</v>
      </c>
      <c r="C52" s="376">
        <f>Normalized_FCF!C12</f>
        <v>-148745.95870650894</v>
      </c>
      <c r="D52" s="346" t="str">
        <f>Reporting_currency</f>
        <v>HKD</v>
      </c>
    </row>
    <row r="54" spans="2:6">
      <c r="B54" s="471" t="s">
        <v>507</v>
      </c>
      <c r="C54" s="474"/>
      <c r="D54" s="474"/>
      <c r="E54" s="474"/>
      <c r="F54" s="474"/>
    </row>
    <row r="55" spans="2:6">
      <c r="B55" s="375" t="s">
        <v>207</v>
      </c>
      <c r="C55" s="376">
        <f>Normalized_FCF!C17</f>
        <v>0</v>
      </c>
      <c r="D55" s="346" t="str">
        <f>Reporting_currency</f>
        <v>HKD</v>
      </c>
    </row>
    <row r="57" spans="2:6">
      <c r="B57" s="472" t="s">
        <v>508</v>
      </c>
      <c r="C57" s="472"/>
      <c r="D57" s="472"/>
      <c r="E57" s="472"/>
      <c r="F57" s="472"/>
    </row>
    <row r="58" spans="2:6">
      <c r="B58" s="472" t="s">
        <v>509</v>
      </c>
      <c r="C58" s="472"/>
      <c r="D58" s="472"/>
      <c r="E58" s="472"/>
      <c r="F58" s="472"/>
    </row>
    <row r="60" spans="2:6">
      <c r="B60" s="375" t="s">
        <v>372</v>
      </c>
      <c r="C60" s="376">
        <f>Normalized_FCF!G19</f>
        <v>506980</v>
      </c>
      <c r="D60" s="346" t="str">
        <f>Reporting_currency</f>
        <v>HKD</v>
      </c>
    </row>
    <row r="61" spans="2:6">
      <c r="B61" s="375" t="s">
        <v>213</v>
      </c>
      <c r="C61" s="376">
        <f>Normalized_FCF!C19</f>
        <v>539892.73900881025</v>
      </c>
      <c r="D61" s="346" t="str">
        <f>Reporting_currency</f>
        <v>HKD</v>
      </c>
    </row>
    <row r="62" spans="2:6">
      <c r="B62" s="380" t="s">
        <v>302</v>
      </c>
      <c r="C62" s="381">
        <f>Normalized_FCF!C124</f>
        <v>7.8627964570732747E-2</v>
      </c>
      <c r="F62" s="382"/>
    </row>
    <row r="63" spans="2:6">
      <c r="B63" s="380" t="s">
        <v>332</v>
      </c>
      <c r="C63" s="381">
        <f>Normalized_FCF!C92</f>
        <v>2.1580547112462004E-2</v>
      </c>
      <c r="E63" s="375" t="s">
        <v>373</v>
      </c>
      <c r="F63" s="383">
        <f>Normalized_FCF!C90</f>
        <v>0.27446401837158602</v>
      </c>
    </row>
    <row r="65" spans="1:6">
      <c r="B65" s="372" t="s">
        <v>376</v>
      </c>
      <c r="C65" s="384" t="s">
        <v>327</v>
      </c>
      <c r="D65" s="384" t="s">
        <v>374</v>
      </c>
    </row>
    <row r="66" spans="1:6">
      <c r="B66" s="375" t="s">
        <v>326</v>
      </c>
      <c r="C66" s="381">
        <f>Normalized_FCF!C119</f>
        <v>0.34431952101742014</v>
      </c>
      <c r="D66" s="381">
        <f>Normalized_FCF!G119</f>
        <v>0.29464814732407368</v>
      </c>
    </row>
    <row r="67" spans="1:6">
      <c r="B67" s="385" t="str">
        <f>Normalized_FCF!B116</f>
        <v>Pre-tax Profit/Sales</v>
      </c>
      <c r="C67" s="386">
        <f>Normalized_FCF!C116</f>
        <v>0.10976797121826185</v>
      </c>
      <c r="D67" s="386">
        <f>Normalized_FCF!G116</f>
        <v>9.3932894828076763E-2</v>
      </c>
    </row>
    <row r="68" spans="1:6">
      <c r="B68" s="385" t="str">
        <f>Normalized_FCF!B117</f>
        <v>Sales/Total Assets</v>
      </c>
      <c r="C68" s="387">
        <f>Normalized_FCF!C117</f>
        <v>3.1367909316045344</v>
      </c>
      <c r="D68" s="387">
        <f>Normalized_FCF!G117</f>
        <v>3.1367909316045344</v>
      </c>
    </row>
    <row r="69" spans="1:6">
      <c r="B69" s="385" t="str">
        <f>Normalized_FCF!B118</f>
        <v>Total Assets/Equity</v>
      </c>
      <c r="C69" s="387">
        <f>Normalized_FCF!C118</f>
        <v>1.0000010000005</v>
      </c>
      <c r="D69" s="387">
        <f>Normalized_FCF!G118</f>
        <v>1.0000010000005</v>
      </c>
    </row>
    <row r="71" spans="1:6" ht="13.9">
      <c r="A71" s="348" t="s">
        <v>476</v>
      </c>
      <c r="B71" s="348"/>
      <c r="C71" s="348"/>
      <c r="D71" s="348"/>
      <c r="E71" s="348"/>
      <c r="F71" s="348"/>
    </row>
    <row r="72" spans="1:6">
      <c r="A72" s="388"/>
    </row>
    <row r="73" spans="1:6">
      <c r="A73" s="389"/>
      <c r="B73" s="472" t="s">
        <v>510</v>
      </c>
      <c r="C73" s="472"/>
      <c r="D73" s="472"/>
      <c r="E73" s="472"/>
      <c r="F73" s="472"/>
    </row>
    <row r="74" spans="1:6">
      <c r="B74" s="473" t="s">
        <v>479</v>
      </c>
      <c r="C74" s="473"/>
      <c r="D74" s="473"/>
      <c r="E74" s="473"/>
      <c r="F74" s="473"/>
    </row>
    <row r="76" spans="1:6">
      <c r="B76" s="372" t="s">
        <v>371</v>
      </c>
    </row>
    <row r="77" spans="1:6">
      <c r="B77" s="472" t="s">
        <v>511</v>
      </c>
      <c r="C77" s="472"/>
      <c r="D77" s="472"/>
      <c r="E77" s="472"/>
      <c r="F77" s="472"/>
    </row>
    <row r="78" spans="1:6">
      <c r="B78" s="346" t="s">
        <v>215</v>
      </c>
      <c r="C78" s="376">
        <f>DCF!F4</f>
        <v>0</v>
      </c>
      <c r="D78" s="346" t="str">
        <f>Reporting_currency</f>
        <v>HKD</v>
      </c>
    </row>
    <row r="79" spans="1:6">
      <c r="B79" s="375" t="s">
        <v>234</v>
      </c>
      <c r="C79" s="390">
        <f>C78*scaling_factor*Exchange_Rate/Common_Shares</f>
        <v>0</v>
      </c>
      <c r="D79" s="346" t="str">
        <f>Market_currency</f>
        <v>HKD</v>
      </c>
    </row>
    <row r="80" spans="1:6">
      <c r="B80" s="385" t="s">
        <v>309</v>
      </c>
      <c r="C80" s="391">
        <f>IF(BS!G31/BS!G27&gt;300%,"nm",BS!G31/BS!G27)</f>
        <v>0</v>
      </c>
    </row>
    <row r="81" spans="1:6">
      <c r="B81" s="385" t="s">
        <v>311</v>
      </c>
      <c r="C81" s="392">
        <f>IF(BS!C50&gt;30,"nm",BS!C50)</f>
        <v>0</v>
      </c>
    </row>
    <row r="83" spans="1:6">
      <c r="B83" s="346" t="s">
        <v>512</v>
      </c>
    </row>
    <row r="84" spans="1:6">
      <c r="B84" s="346" t="s">
        <v>224</v>
      </c>
      <c r="C84" s="376">
        <f>DCF!F5</f>
        <v>-477998.61921983329</v>
      </c>
      <c r="D84" s="346" t="str">
        <f>Reporting_currency</f>
        <v>HKD</v>
      </c>
    </row>
    <row r="85" spans="1:6">
      <c r="B85" s="385" t="s">
        <v>481</v>
      </c>
      <c r="C85" s="393">
        <f>BS!C66</f>
        <v>1</v>
      </c>
      <c r="D85" s="394" t="str">
        <f>Reporting_currency</f>
        <v>HKD</v>
      </c>
    </row>
    <row r="86" spans="1:6">
      <c r="B86" s="375" t="s">
        <v>235</v>
      </c>
      <c r="C86" s="390">
        <f>C84*scaling_factor*Exchange_Rate/Common_Shares</f>
        <v>-0.45805969786418987</v>
      </c>
      <c r="D86" s="346" t="str">
        <f>Market_currency</f>
        <v>HKD</v>
      </c>
    </row>
    <row r="88" spans="1:6">
      <c r="B88" s="346" t="s">
        <v>513</v>
      </c>
    </row>
    <row r="89" spans="1:6">
      <c r="B89" s="346" t="s">
        <v>217</v>
      </c>
      <c r="C89" s="376">
        <f>DCF!F6</f>
        <v>0</v>
      </c>
      <c r="D89" s="346" t="str">
        <f>Reporting_currency</f>
        <v>HKD</v>
      </c>
    </row>
    <row r="90" spans="1:6">
      <c r="B90" s="375" t="s">
        <v>236</v>
      </c>
      <c r="C90" s="390">
        <f>C89*scaling_factor*Exchange_Rate/Common_Shares</f>
        <v>0</v>
      </c>
      <c r="D90" s="346" t="str">
        <f>Market_currency</f>
        <v>HKD</v>
      </c>
    </row>
    <row r="92" spans="1:6">
      <c r="B92" s="375" t="s">
        <v>480</v>
      </c>
      <c r="C92" s="390">
        <f>DCF!F8</f>
        <v>-0.45805969786418987</v>
      </c>
      <c r="D92" s="346" t="str">
        <f>Market_currency</f>
        <v>HKD</v>
      </c>
    </row>
    <row r="94" spans="1:6" ht="13.9">
      <c r="A94" s="348" t="s">
        <v>482</v>
      </c>
      <c r="B94" s="348"/>
      <c r="C94" s="348"/>
      <c r="D94" s="348"/>
      <c r="E94" s="348"/>
      <c r="F94" s="348"/>
    </row>
    <row r="95" spans="1:6">
      <c r="A95" s="388"/>
    </row>
    <row r="96" spans="1:6">
      <c r="A96" s="388"/>
      <c r="B96" s="472" t="s">
        <v>514</v>
      </c>
      <c r="C96" s="472"/>
      <c r="D96" s="472"/>
      <c r="E96" s="472"/>
      <c r="F96" s="472"/>
    </row>
    <row r="97" spans="1:6">
      <c r="A97" s="388"/>
      <c r="B97" s="473" t="s">
        <v>515</v>
      </c>
      <c r="C97" s="473"/>
      <c r="D97" s="473"/>
      <c r="E97" s="473"/>
      <c r="F97" s="473"/>
    </row>
    <row r="98" spans="1:6">
      <c r="A98" s="388"/>
      <c r="B98" s="473" t="s">
        <v>516</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535</v>
      </c>
      <c r="C104" s="371">
        <v>0</v>
      </c>
    </row>
    <row r="105" spans="1:6">
      <c r="A105" s="388"/>
      <c r="C105" s="395"/>
    </row>
    <row r="106" spans="1:6">
      <c r="A106" s="388"/>
      <c r="B106" s="396" t="s">
        <v>375</v>
      </c>
      <c r="C106" s="395"/>
    </row>
    <row r="107" spans="1:6">
      <c r="A107" s="388"/>
      <c r="B107" s="472" t="s">
        <v>517</v>
      </c>
      <c r="C107" s="472"/>
      <c r="D107" s="472"/>
      <c r="E107" s="472"/>
      <c r="F107" s="472"/>
    </row>
    <row r="108" spans="1:6">
      <c r="A108" s="388"/>
      <c r="B108" s="472" t="s">
        <v>536</v>
      </c>
      <c r="C108" s="472"/>
      <c r="D108" s="472"/>
      <c r="E108" s="472"/>
      <c r="F108" s="472"/>
    </row>
    <row r="109" spans="1:6">
      <c r="A109" s="388"/>
    </row>
    <row r="110" spans="1:6">
      <c r="A110" s="388"/>
      <c r="B110" s="372" t="s">
        <v>489</v>
      </c>
    </row>
    <row r="111" spans="1:6">
      <c r="A111" s="388"/>
      <c r="B111" s="378" t="s">
        <v>486</v>
      </c>
      <c r="C111" s="397">
        <f>BS!D47</f>
        <v>0.19165627686685408</v>
      </c>
      <c r="D111" s="346" t="str">
        <f>Market_currency</f>
        <v>HKD</v>
      </c>
    </row>
    <row r="112" spans="1:6">
      <c r="A112" s="388"/>
      <c r="B112" s="375" t="s">
        <v>377</v>
      </c>
      <c r="C112" s="397">
        <f>DCF!C11</f>
        <v>9.5937392928582845</v>
      </c>
      <c r="D112" s="346" t="str">
        <f>Market_currency</f>
        <v>HKD</v>
      </c>
    </row>
    <row r="113" spans="1:6">
      <c r="A113" s="388"/>
    </row>
    <row r="114" spans="1:6">
      <c r="A114" s="388"/>
      <c r="B114" s="472" t="s">
        <v>518</v>
      </c>
      <c r="C114" s="472"/>
      <c r="D114" s="472"/>
      <c r="E114" s="472"/>
      <c r="F114" s="472"/>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0.05</v>
      </c>
      <c r="D118" s="400">
        <f>DCF!D90</f>
        <v>10</v>
      </c>
      <c r="E118" s="401" t="str">
        <f>ROUND(DCF!E90,2)&amp;" "&amp;Market_currency</f>
        <v>10.04 HKD</v>
      </c>
      <c r="F118" s="402">
        <f>DCF!F90</f>
        <v>0.15</v>
      </c>
    </row>
    <row r="119" spans="1:6">
      <c r="A119" s="388"/>
      <c r="B119" s="403" t="str">
        <f>DCF!B91</f>
        <v>Optimistic</v>
      </c>
      <c r="C119" s="404">
        <f>DCF!C91</f>
        <v>0.03</v>
      </c>
      <c r="D119" s="405">
        <f>DCF!D91</f>
        <v>10</v>
      </c>
      <c r="E119" s="401" t="str">
        <f>ROUND(DCF!E91,2)&amp;" "&amp;Market_currency</f>
        <v>8.57 HKD</v>
      </c>
      <c r="F119" s="406">
        <f>DCF!F91</f>
        <v>0.15999999999999995</v>
      </c>
    </row>
    <row r="120" spans="1:6">
      <c r="B120" s="403" t="str">
        <f>DCF!B92</f>
        <v>Base</v>
      </c>
      <c r="C120" s="404">
        <f>DCF!C92</f>
        <v>0.02</v>
      </c>
      <c r="D120" s="405">
        <f>DCF!D92</f>
        <v>10</v>
      </c>
      <c r="E120" s="401" t="str">
        <f>ROUND(DCF!E92,2)&amp;" "&amp;Market_currency</f>
        <v>7.92 HKD</v>
      </c>
      <c r="F120" s="406">
        <f>DCF!F92</f>
        <v>0.44</v>
      </c>
    </row>
    <row r="121" spans="1:6">
      <c r="B121" s="403" t="str">
        <f>DCF!B93</f>
        <v>Pessimistic</v>
      </c>
      <c r="C121" s="404">
        <f>DCF!C93</f>
        <v>0.01</v>
      </c>
      <c r="D121" s="405">
        <f>DCF!D93</f>
        <v>10</v>
      </c>
      <c r="E121" s="401" t="str">
        <f>ROUND(DCF!E93,2)&amp;" "&amp;Market_currency</f>
        <v>7.31 HKD</v>
      </c>
      <c r="F121" s="406">
        <f>DCF!F93</f>
        <v>0.19999999999999998</v>
      </c>
    </row>
    <row r="122" spans="1:6">
      <c r="B122" s="403" t="str">
        <f>DCF!B94</f>
        <v>Devil's advocate</v>
      </c>
      <c r="C122" s="404">
        <f>DCF!C94</f>
        <v>0</v>
      </c>
      <c r="D122" s="405">
        <f>DCF!D94</f>
        <v>10</v>
      </c>
      <c r="E122" s="401" t="str">
        <f>ROUND(DCF!E94,2)&amp;" "&amp;Market_currency</f>
        <v>6.75 HKD</v>
      </c>
      <c r="F122" s="406">
        <f>DCF!F94</f>
        <v>0.05</v>
      </c>
    </row>
    <row r="124" spans="1:6">
      <c r="B124" s="471" t="s">
        <v>519</v>
      </c>
      <c r="C124" s="471"/>
      <c r="D124" s="471"/>
      <c r="E124" s="471"/>
      <c r="F124" s="471"/>
    </row>
    <row r="125" spans="1:6">
      <c r="B125" s="375" t="s">
        <v>218</v>
      </c>
      <c r="C125" s="407">
        <f>Scenarios!C36</f>
        <v>8.1595849322667551</v>
      </c>
      <c r="D125" s="346" t="str">
        <f>Market_currency</f>
        <v>HKD</v>
      </c>
    </row>
    <row r="127" spans="1:6">
      <c r="B127" s="476" t="s">
        <v>520</v>
      </c>
      <c r="C127" s="476"/>
      <c r="D127" s="476"/>
      <c r="E127" s="476"/>
      <c r="F127" s="476"/>
    </row>
    <row r="129" spans="1:6" ht="13.9">
      <c r="A129" s="348" t="s">
        <v>492</v>
      </c>
      <c r="B129" s="348"/>
      <c r="C129" s="348"/>
      <c r="D129" s="348"/>
      <c r="E129" s="348"/>
      <c r="F129" s="348"/>
    </row>
    <row r="131" spans="1:6">
      <c r="B131" s="477" t="s">
        <v>521</v>
      </c>
      <c r="C131" s="477"/>
      <c r="D131" s="477"/>
      <c r="E131" s="477"/>
      <c r="F131" s="477"/>
    </row>
    <row r="132" spans="1:6" ht="24.5" customHeight="1">
      <c r="B132" s="472" t="s">
        <v>522</v>
      </c>
      <c r="C132" s="472"/>
      <c r="D132" s="472"/>
      <c r="E132" s="472"/>
      <c r="F132" s="472"/>
    </row>
    <row r="134" spans="1:6">
      <c r="B134" s="372" t="s">
        <v>371</v>
      </c>
    </row>
    <row r="135" spans="1:6">
      <c r="B135" s="346" t="s">
        <v>382</v>
      </c>
      <c r="C135" s="408">
        <f>E21</f>
        <v>3</v>
      </c>
    </row>
    <row r="136" spans="1:6">
      <c r="B136" s="346" t="s">
        <v>383</v>
      </c>
      <c r="C136" s="409">
        <f>Scenarios!C58</f>
        <v>0.14199999999999999</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0.25983892380763696</v>
      </c>
      <c r="D140" s="412">
        <f>Scenarios!D62</f>
        <v>3.7601773881413627</v>
      </c>
      <c r="E140" s="413">
        <f>Scenarios!E62</f>
        <v>4.020016311949</v>
      </c>
      <c r="F140" s="414">
        <f>E22</f>
        <v>0.29465259038036606</v>
      </c>
    </row>
    <row r="141" spans="1:6">
      <c r="B141" s="411" t="s">
        <v>313</v>
      </c>
      <c r="C141" s="412">
        <f>Scenarios!C63</f>
        <v>0.29876856051220907</v>
      </c>
      <c r="D141" s="412">
        <f>Scenarios!D63</f>
        <v>4.713117650406792</v>
      </c>
      <c r="E141" s="413">
        <f>Scenarios!E63</f>
        <v>5.011886210919001</v>
      </c>
      <c r="F141" s="414">
        <f>Scenarios!F63</f>
        <v>0.20075184365903009</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0.34258964388328816</v>
      </c>
      <c r="D144" s="412">
        <f>Scenarios!D66</f>
        <v>5.8484673028891807</v>
      </c>
      <c r="E144" s="413">
        <f>Scenarios!E66</f>
        <v>6.191056946772469</v>
      </c>
      <c r="F144" s="414">
        <f>E24</f>
        <v>0.1174</v>
      </c>
    </row>
    <row r="145" spans="1:6">
      <c r="B145" s="411" t="s">
        <v>314</v>
      </c>
      <c r="C145" s="412">
        <f>Scenarios!C67</f>
        <v>0.37095728225856828</v>
      </c>
      <c r="D145" s="412">
        <f>Scenarios!D67</f>
        <v>6.6141823605393339</v>
      </c>
      <c r="E145" s="413">
        <f>Scenarios!E67</f>
        <v>6.9851396427979022</v>
      </c>
      <c r="F145" s="414">
        <f>Scenarios!F67</f>
        <v>7.2499999999999995E-2</v>
      </c>
    </row>
    <row r="147" spans="1:6" ht="13.9">
      <c r="A147" s="348" t="s">
        <v>475</v>
      </c>
      <c r="B147" s="348"/>
      <c r="C147" s="348"/>
      <c r="D147" s="348"/>
      <c r="E147" s="348"/>
      <c r="F147" s="348"/>
    </row>
    <row r="149" spans="1:6">
      <c r="B149" s="478" t="s">
        <v>523</v>
      </c>
      <c r="C149" s="472"/>
      <c r="D149" s="472"/>
      <c r="E149" s="472"/>
      <c r="F149" s="472"/>
    </row>
    <row r="151" spans="1:6">
      <c r="B151" s="372" t="s">
        <v>384</v>
      </c>
    </row>
    <row r="152" spans="1:6">
      <c r="B152" s="474" t="s">
        <v>524</v>
      </c>
      <c r="C152" s="474"/>
      <c r="D152" s="474"/>
      <c r="E152" s="474"/>
      <c r="F152" s="474"/>
    </row>
    <row r="153" spans="1:6">
      <c r="B153" s="415" t="s">
        <v>385</v>
      </c>
    </row>
    <row r="154" spans="1:6">
      <c r="B154" s="415" t="s">
        <v>386</v>
      </c>
    </row>
    <row r="155" spans="1:6">
      <c r="B155" s="415" t="s">
        <v>387</v>
      </c>
    </row>
    <row r="157" spans="1:6">
      <c r="B157" s="346" t="s">
        <v>525</v>
      </c>
    </row>
    <row r="158" spans="1:6" ht="24.5" customHeight="1">
      <c r="B158" s="471" t="s">
        <v>439</v>
      </c>
      <c r="C158" s="471"/>
      <c r="D158" s="471"/>
      <c r="E158" s="471"/>
      <c r="F158" s="471"/>
    </row>
    <row r="160" spans="1:6">
      <c r="B160" s="346" t="s">
        <v>526</v>
      </c>
    </row>
    <row r="161" spans="2:6">
      <c r="B161" s="475" t="s">
        <v>388</v>
      </c>
      <c r="C161" s="475"/>
      <c r="D161" s="475"/>
      <c r="E161" s="475"/>
      <c r="F161" s="475"/>
    </row>
    <row r="162" spans="2:6">
      <c r="B162" s="475" t="s">
        <v>389</v>
      </c>
      <c r="C162" s="475"/>
      <c r="D162" s="475"/>
      <c r="E162" s="475"/>
      <c r="F162" s="475"/>
    </row>
    <row r="164" spans="2:6">
      <c r="B164" s="346" t="s">
        <v>527</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