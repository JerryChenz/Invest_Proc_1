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FD0F31F3-8395-41CB-B4BB-96CB4EFA2EB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90" i="6" l="1"/>
  <c r="C89" i="6"/>
  <c r="C88" i="6"/>
  <c r="D104" i="6"/>
  <c r="C90" i="9"/>
  <c r="D139"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11" i="6"/>
  <c r="C98" i="6"/>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<sst xmlns="http://schemas.openxmlformats.org/spreadsheetml/2006/main" count="604" uniqueCount="426">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</sst>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3" fillId="0" borderId="0" xfId="0" applyFont="1" applyAlignment="1">
      <alignment horizontal="left" indent="1"/>
    </xf>
    <xf numFmtId="9" fontId="3" fillId="0" borderId="0" xfId="0" applyNumberFormat="1" applyFont="1"/>
    <xf numFmtId="192" fontId="3" fillId="0" borderId="0" xfId="0" applyNumberFormat="1" applyFont="1"/>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325</v>
      </c>
      <c r="C5" s="333" t="s">
        <v>409</v>
      </c>
      <c r="D5" s="49" t="s">
        <v>408</v>
      </c>
    </row>
    <row r="6" spans="1:10" x14ac:dyDescent="0.35">
      <c r="B6" s="4" t="s">
        <v>96</v>
      </c>
      <c r="C6" s="50">
        <v>54.75</v>
      </c>
      <c r="D6" s="48" t="s">
        <v>41</v>
      </c>
      <c r="E6" s="48"/>
    </row>
    <row r="7" spans="1:10" x14ac:dyDescent="0.35">
      <c r="B7" s="4" t="s">
        <v>0</v>
      </c>
      <c r="C7" s="51">
        <v>1364196788</v>
      </c>
      <c r="D7" s="34"/>
      <c r="E7" s="34"/>
    </row>
    <row r="8" spans="1:10" x14ac:dyDescent="0.35">
      <c r="B8" s="2" t="s">
        <v>316</v>
      </c>
      <c r="C8" s="279">
        <v>6</v>
      </c>
      <c r="D8" s="5"/>
      <c r="E8" s="48"/>
    </row>
    <row r="9" spans="1:10" x14ac:dyDescent="0.35">
      <c r="B9" s="1" t="s">
        <v>270</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37" t="s">
        <v>372</v>
      </c>
      <c r="C12" s="337"/>
      <c r="D12" s="337"/>
      <c r="E12" s="337"/>
      <c r="F12" s="337"/>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404</v>
      </c>
      <c r="D16" s="32"/>
      <c r="E16" s="5"/>
    </row>
    <row r="17" spans="1:6" x14ac:dyDescent="0.35">
      <c r="B17" s="4" t="s">
        <v>1</v>
      </c>
      <c r="C17" s="50">
        <v>0.94020000000000004</v>
      </c>
      <c r="D17" s="32" t="str">
        <f>IF(C16=D6,D6,C16&amp;"/"&amp;D6)</f>
        <v>CNY/HKD</v>
      </c>
      <c r="E17" s="5"/>
    </row>
    <row r="18" spans="1:6" x14ac:dyDescent="0.35">
      <c r="B18" s="2" t="s">
        <v>57</v>
      </c>
      <c r="C18" s="48" t="s">
        <v>365</v>
      </c>
      <c r="E18" s="5"/>
    </row>
    <row r="19" spans="1:6" x14ac:dyDescent="0.35">
      <c r="B19" s="2" t="s">
        <v>278</v>
      </c>
      <c r="C19" s="249">
        <v>0.25</v>
      </c>
      <c r="D19" s="1" t="s">
        <v>412</v>
      </c>
      <c r="E19" s="336">
        <v>3.4500000000000003E-2</v>
      </c>
    </row>
    <row r="20" spans="1:6" x14ac:dyDescent="0.35">
      <c r="B20" s="2" t="str">
        <f>"Target Buy Price ("&amp;Market_currency&amp;"):"</f>
        <v>Target Buy Price (HKD):</v>
      </c>
      <c r="C20" s="252">
        <f>C133</f>
        <v>27.038487197680578</v>
      </c>
      <c r="D20" s="1" t="s">
        <v>317</v>
      </c>
      <c r="E20" s="330">
        <v>3</v>
      </c>
    </row>
    <row r="21" spans="1:6" x14ac:dyDescent="0.35">
      <c r="B21" s="1" t="s">
        <v>416</v>
      </c>
      <c r="C21" s="280">
        <f ca="1">Scenarios!C87</f>
        <v>-2.5075247395360156E-2</v>
      </c>
      <c r="D21" s="5"/>
      <c r="E21" s="5"/>
    </row>
    <row r="22" spans="1:6" x14ac:dyDescent="0.35">
      <c r="D22" s="5"/>
      <c r="E22" s="5"/>
    </row>
    <row r="23" spans="1:6" ht="13.9" x14ac:dyDescent="0.45">
      <c r="A23" s="247" t="s">
        <v>367</v>
      </c>
      <c r="B23" s="36"/>
      <c r="C23" s="36"/>
      <c r="D23" s="36"/>
      <c r="E23" s="36"/>
      <c r="F23" s="36"/>
    </row>
    <row r="25" spans="1:6" ht="24.4" customHeight="1" x14ac:dyDescent="0.35">
      <c r="B25" s="337" t="s">
        <v>373</v>
      </c>
      <c r="C25" s="337"/>
      <c r="D25" s="337"/>
      <c r="E25" s="337"/>
      <c r="F25" s="337"/>
    </row>
    <row r="26" spans="1:6" ht="24.4" customHeight="1" x14ac:dyDescent="0.35">
      <c r="B26" s="339" t="s">
        <v>350</v>
      </c>
      <c r="C26" s="339"/>
      <c r="D26" s="339"/>
      <c r="E26" s="339"/>
      <c r="F26" s="339"/>
    </row>
    <row r="28" spans="1:6" x14ac:dyDescent="0.35">
      <c r="B28" s="234" t="s">
        <v>232</v>
      </c>
      <c r="C28" s="108">
        <f>Data!C3</f>
        <v>1</v>
      </c>
    </row>
    <row r="29" spans="1:6" ht="24.4" customHeight="1" x14ac:dyDescent="0.35">
      <c r="B29" s="338" t="s">
        <v>233</v>
      </c>
      <c r="C29" s="338"/>
      <c r="D29" s="338"/>
      <c r="E29" s="338"/>
      <c r="F29" s="338"/>
    </row>
    <row r="30" spans="1:6" x14ac:dyDescent="0.35">
      <c r="B30" s="47" t="s">
        <v>234</v>
      </c>
      <c r="C30" s="188">
        <f>Normalized_FCF!C8</f>
        <v>4487792577</v>
      </c>
      <c r="D30" s="1" t="str">
        <f>Reporting_currency</f>
        <v>CNY</v>
      </c>
    </row>
    <row r="31" spans="1:6" x14ac:dyDescent="0.35">
      <c r="B31" s="47"/>
      <c r="C31" s="76"/>
    </row>
    <row r="32" spans="1:6" ht="24.4" customHeight="1" x14ac:dyDescent="0.35">
      <c r="B32" s="338" t="s">
        <v>235</v>
      </c>
      <c r="C32" s="338"/>
      <c r="D32" s="338"/>
      <c r="E32" s="338"/>
      <c r="F32" s="338"/>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8" t="s">
        <v>238</v>
      </c>
      <c r="C36" s="338"/>
      <c r="D36" s="338"/>
      <c r="E36" s="338"/>
      <c r="F36" s="338"/>
    </row>
    <row r="37" spans="2:6" x14ac:dyDescent="0.35">
      <c r="B37" s="47" t="s">
        <v>239</v>
      </c>
      <c r="C37" s="188">
        <f>Normalized_FCF!C11</f>
        <v>0</v>
      </c>
      <c r="D37" s="1" t="str">
        <f>Reporting_currency</f>
        <v>CNY</v>
      </c>
    </row>
    <row r="39" spans="2:6" x14ac:dyDescent="0.35">
      <c r="B39" s="338" t="s">
        <v>242</v>
      </c>
      <c r="C39" s="338"/>
      <c r="D39" s="338"/>
      <c r="E39" s="338"/>
      <c r="F39" s="338"/>
    </row>
    <row r="40" spans="2:6" x14ac:dyDescent="0.35">
      <c r="B40" s="47" t="s">
        <v>351</v>
      </c>
      <c r="C40" s="322">
        <f>Normalized_FCF!C48</f>
        <v>176342732.47651258</v>
      </c>
      <c r="D40" s="1" t="str">
        <f>Reporting_currency</f>
        <v>CNY</v>
      </c>
      <c r="E40" s="321"/>
      <c r="F40" s="321"/>
    </row>
    <row r="41" spans="2:6" x14ac:dyDescent="0.35">
      <c r="B41" s="47" t="s">
        <v>352</v>
      </c>
      <c r="C41" s="322">
        <f>Normalized_FCF!C47</f>
        <v>-21837054</v>
      </c>
      <c r="D41" s="1" t="str">
        <f>Reporting_currency</f>
        <v>CNY</v>
      </c>
      <c r="E41" s="321"/>
      <c r="F41" s="321"/>
    </row>
    <row r="42" spans="2:6" x14ac:dyDescent="0.35">
      <c r="B42" s="47" t="s">
        <v>240</v>
      </c>
      <c r="C42" s="188">
        <f>Normalized_FCF!C12</f>
        <v>154505678.47651258</v>
      </c>
      <c r="D42" s="1" t="str">
        <f>Reporting_currency</f>
        <v>CNY</v>
      </c>
    </row>
    <row r="44" spans="2:6" x14ac:dyDescent="0.35">
      <c r="B44" s="1" t="s">
        <v>248</v>
      </c>
    </row>
    <row r="45" spans="2:6" x14ac:dyDescent="0.35">
      <c r="B45" s="47" t="s">
        <v>267</v>
      </c>
      <c r="C45" s="188">
        <f>Normalized_FCF!C15</f>
        <v>-146792828</v>
      </c>
      <c r="D45" s="1" t="str">
        <f>Reporting_currency</f>
        <v>CNY</v>
      </c>
    </row>
    <row r="47" spans="2:6" x14ac:dyDescent="0.35">
      <c r="B47" s="338" t="s">
        <v>243</v>
      </c>
      <c r="C47" s="338"/>
      <c r="D47" s="338"/>
      <c r="E47" s="338"/>
      <c r="F47" s="338"/>
    </row>
    <row r="48" spans="2:6" x14ac:dyDescent="0.35">
      <c r="B48" s="47" t="s">
        <v>241</v>
      </c>
      <c r="C48" s="188">
        <f>Normalized_FCF!C14</f>
        <v>-1160574563.8691282</v>
      </c>
      <c r="D48" s="1" t="str">
        <f>Reporting_currency</f>
        <v>CNY</v>
      </c>
    </row>
    <row r="50" spans="1:6" x14ac:dyDescent="0.35">
      <c r="B50" s="338" t="s">
        <v>349</v>
      </c>
      <c r="C50" s="341"/>
      <c r="D50" s="341"/>
      <c r="E50" s="341"/>
      <c r="F50" s="341"/>
    </row>
    <row r="51" spans="1:6" x14ac:dyDescent="0.35">
      <c r="B51" s="47" t="s">
        <v>244</v>
      </c>
      <c r="C51" s="1">
        <f>Normalized_FCF!C17</f>
        <v>0</v>
      </c>
      <c r="D51" s="1" t="str">
        <f>Reporting_currency</f>
        <v>CNY</v>
      </c>
    </row>
    <row r="53" spans="1:6" ht="24.4" customHeight="1" x14ac:dyDescent="0.35">
      <c r="B53" s="337" t="s">
        <v>354</v>
      </c>
      <c r="C53" s="337"/>
      <c r="D53" s="337"/>
      <c r="E53" s="337"/>
      <c r="F53" s="337"/>
    </row>
    <row r="54" spans="1:6" ht="24.4" customHeight="1" x14ac:dyDescent="0.35">
      <c r="B54" s="337" t="s">
        <v>374</v>
      </c>
      <c r="C54" s="337"/>
      <c r="D54" s="337"/>
      <c r="E54" s="337"/>
      <c r="F54" s="337"/>
    </row>
    <row r="56" spans="1:6" x14ac:dyDescent="0.35">
      <c r="B56" s="47" t="s">
        <v>272</v>
      </c>
      <c r="C56" s="188">
        <f>Normalized_FCF!G19</f>
        <v>3105789113.4765129</v>
      </c>
      <c r="D56" s="1" t="str">
        <f>Reporting_currency</f>
        <v>CNY</v>
      </c>
    </row>
    <row r="57" spans="1:6" x14ac:dyDescent="0.35">
      <c r="B57" s="47" t="s">
        <v>250</v>
      </c>
      <c r="C57" s="188">
        <f>Normalized_FCF!C19</f>
        <v>3334930863.6073847</v>
      </c>
      <c r="D57" s="1" t="str">
        <f>Reporting_currency</f>
        <v>CNY</v>
      </c>
    </row>
    <row r="58" spans="1:6" x14ac:dyDescent="0.35">
      <c r="B58" s="254" t="s">
        <v>403</v>
      </c>
      <c r="C58" s="92">
        <f>Normalized_FCF!C125</f>
        <v>4.1980338459190879E-2</v>
      </c>
    </row>
    <row r="59" spans="1:6" x14ac:dyDescent="0.35">
      <c r="B59" s="254" t="s">
        <v>318</v>
      </c>
      <c r="C59" s="92">
        <f>Normalized_FCF!C93</f>
        <v>4.2738405022151121E-2</v>
      </c>
    </row>
    <row r="61" spans="1:6" ht="13.9" x14ac:dyDescent="0.45">
      <c r="A61" s="247" t="s">
        <v>368</v>
      </c>
      <c r="B61" s="36"/>
      <c r="C61" s="36"/>
      <c r="D61" s="36"/>
      <c r="E61" s="36"/>
      <c r="F61" s="36"/>
    </row>
    <row r="62" spans="1:6" x14ac:dyDescent="0.35">
      <c r="A62" s="233"/>
    </row>
    <row r="63" spans="1:6" ht="24.4" customHeight="1" x14ac:dyDescent="0.35">
      <c r="A63" s="17"/>
      <c r="B63" s="337" t="s">
        <v>375</v>
      </c>
      <c r="C63" s="337"/>
      <c r="D63" s="337"/>
      <c r="E63" s="337"/>
      <c r="F63" s="337"/>
    </row>
    <row r="64" spans="1:6" x14ac:dyDescent="0.35">
      <c r="B64" s="339" t="s">
        <v>254</v>
      </c>
      <c r="C64" s="339"/>
      <c r="D64" s="339"/>
      <c r="E64" s="339"/>
      <c r="F64" s="339"/>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7" t="s">
        <v>376</v>
      </c>
      <c r="C73" s="337"/>
      <c r="D73" s="337"/>
      <c r="E73" s="337"/>
      <c r="F73" s="337"/>
    </row>
    <row r="74" spans="1:6" ht="24.4" customHeight="1" x14ac:dyDescent="0.35">
      <c r="B74" s="337" t="s">
        <v>377</v>
      </c>
      <c r="C74" s="337"/>
      <c r="D74" s="337"/>
      <c r="E74" s="337"/>
      <c r="F74" s="337"/>
    </row>
    <row r="76" spans="1:6" x14ac:dyDescent="0.35">
      <c r="B76" s="47" t="s">
        <v>253</v>
      </c>
      <c r="C76" s="263">
        <v>0</v>
      </c>
    </row>
    <row r="77" spans="1:6" x14ac:dyDescent="0.35">
      <c r="B77" s="47" t="s">
        <v>285</v>
      </c>
      <c r="C77" s="248">
        <f>Valuation_Model!C6*C28*Exchange_Rate/Common_Shares</f>
        <v>28.730294133008758</v>
      </c>
      <c r="D77" s="1" t="str">
        <f>Market_currency</f>
        <v>HKD</v>
      </c>
    </row>
    <row r="79" spans="1:6" ht="13.9" x14ac:dyDescent="0.45">
      <c r="A79" s="247" t="s">
        <v>370</v>
      </c>
      <c r="B79" s="36"/>
      <c r="C79" s="36"/>
      <c r="D79" s="36"/>
      <c r="E79" s="36"/>
      <c r="F79" s="36"/>
    </row>
    <row r="80" spans="1:6" x14ac:dyDescent="0.35">
      <c r="A80" s="233"/>
    </row>
    <row r="81" spans="2:6" x14ac:dyDescent="0.35">
      <c r="B81" s="337" t="s">
        <v>378</v>
      </c>
      <c r="C81" s="337"/>
      <c r="D81" s="337"/>
      <c r="E81" s="337"/>
      <c r="F81" s="337"/>
    </row>
    <row r="82" spans="2:6" x14ac:dyDescent="0.35">
      <c r="B82" s="1" t="s">
        <v>255</v>
      </c>
    </row>
    <row r="84" spans="2:6" x14ac:dyDescent="0.35">
      <c r="B84" s="234" t="s">
        <v>232</v>
      </c>
    </row>
    <row r="85" spans="2:6" ht="24.4" customHeight="1" x14ac:dyDescent="0.35">
      <c r="B85" s="337" t="s">
        <v>355</v>
      </c>
      <c r="C85" s="337"/>
      <c r="D85" s="337"/>
      <c r="E85" s="337"/>
      <c r="F85" s="337"/>
    </row>
    <row r="86" spans="2:6" x14ac:dyDescent="0.35">
      <c r="B86" s="47" t="s">
        <v>257</v>
      </c>
      <c r="C86" s="188">
        <f>Valuation_Model!C7</f>
        <v>285396383</v>
      </c>
      <c r="D86" s="1" t="str">
        <f>Reporting_currency</f>
        <v>CNY</v>
      </c>
    </row>
    <row r="87" spans="2:6" x14ac:dyDescent="0.35">
      <c r="B87" s="47" t="s">
        <v>286</v>
      </c>
      <c r="C87" s="248">
        <f>C86*C28*Exchange_Rate/Common_Shares</f>
        <v>0.19669426116300168</v>
      </c>
      <c r="D87" s="1" t="str">
        <f>Market_currency</f>
        <v>HKD</v>
      </c>
    </row>
    <row r="88" spans="2:6" x14ac:dyDescent="0.35">
      <c r="B88" s="349" t="s">
        <v>422</v>
      </c>
      <c r="C88" s="350">
        <f>BS!G30/BS!G27</f>
        <v>0.72207550313588764</v>
      </c>
    </row>
    <row r="89" spans="2:6" x14ac:dyDescent="0.35">
      <c r="B89" s="349" t="s">
        <v>423</v>
      </c>
      <c r="C89" s="350">
        <f>BS!G31/BS!G27</f>
        <v>9.5579625064196368E-3</v>
      </c>
    </row>
    <row r="90" spans="2:6" x14ac:dyDescent="0.35">
      <c r="B90" s="349" t="s">
        <v>425</v>
      </c>
      <c r="C90" s="351">
        <f>BS!C50</f>
        <v>6.3593933566061064E-2</v>
      </c>
    </row>
    <row r="92" spans="2:6" x14ac:dyDescent="0.35">
      <c r="B92" s="1" t="s">
        <v>256</v>
      </c>
    </row>
    <row r="93" spans="2:6" x14ac:dyDescent="0.35">
      <c r="B93" s="47" t="s">
        <v>266</v>
      </c>
      <c r="C93" s="188">
        <f>BS!C66</f>
        <v>17978772896</v>
      </c>
      <c r="D93" s="1" t="str">
        <f>Reporting_currency</f>
        <v>CNY</v>
      </c>
    </row>
    <row r="94" spans="2:6" x14ac:dyDescent="0.35">
      <c r="B94" s="47" t="s">
        <v>268</v>
      </c>
      <c r="C94" s="188">
        <f>Valuation_Model!C8</f>
        <v>12838413003.943913</v>
      </c>
      <c r="D94" s="1" t="str">
        <f>Reporting_currency</f>
        <v>CNY</v>
      </c>
    </row>
    <row r="95" spans="2:6" x14ac:dyDescent="0.35">
      <c r="B95" s="47" t="s">
        <v>287</v>
      </c>
      <c r="C95" s="248">
        <f>C94*C28*Exchange_Rate/Common_Shares</f>
        <v>8.8481925866461335</v>
      </c>
      <c r="D95" s="1" t="str">
        <f>Market_currency</f>
        <v>HKD</v>
      </c>
    </row>
    <row r="97" spans="1:6" x14ac:dyDescent="0.35">
      <c r="B97" s="1" t="s">
        <v>258</v>
      </c>
    </row>
    <row r="98" spans="1:6" x14ac:dyDescent="0.35">
      <c r="B98" s="47" t="s">
        <v>259</v>
      </c>
      <c r="C98" s="188">
        <f>Valuation_Model!C9</f>
        <v>2755411575.5</v>
      </c>
      <c r="D98" s="1" t="str">
        <f>Reporting_currency</f>
        <v>CNY</v>
      </c>
    </row>
    <row r="99" spans="1:6" x14ac:dyDescent="0.35">
      <c r="B99" s="47" t="s">
        <v>288</v>
      </c>
      <c r="C99" s="248">
        <f>C98*C28*Exchange_Rate/Common_Shares</f>
        <v>1.899020717592468</v>
      </c>
      <c r="D99" s="1" t="str">
        <f>Market_currency</f>
        <v>HKD</v>
      </c>
    </row>
    <row r="101" spans="1:6" ht="24.4" customHeight="1" x14ac:dyDescent="0.35">
      <c r="B101" s="337" t="s">
        <v>379</v>
      </c>
      <c r="C101" s="337"/>
      <c r="D101" s="337"/>
      <c r="E101" s="337"/>
      <c r="F101" s="337"/>
    </row>
    <row r="103" spans="1:6" x14ac:dyDescent="0.35">
      <c r="B103" s="47" t="s">
        <v>284</v>
      </c>
      <c r="C103" s="248">
        <f>Valuation_Model!C12</f>
        <v>39.280813176084358</v>
      </c>
      <c r="D103" s="1" t="str">
        <f>Market_currency</f>
        <v>HKD</v>
      </c>
    </row>
    <row r="104" spans="1:6" x14ac:dyDescent="0.35">
      <c r="B104" s="349" t="s">
        <v>424</v>
      </c>
      <c r="C104" s="248">
        <f>BS!D47</f>
        <v>1.1685753266721788</v>
      </c>
      <c r="D104" s="1" t="str">
        <f>Market_currency</f>
        <v>HKD</v>
      </c>
    </row>
    <row r="106" spans="1:6" ht="13.9" x14ac:dyDescent="0.45">
      <c r="A106" s="247" t="s">
        <v>371</v>
      </c>
      <c r="B106" s="36"/>
      <c r="C106" s="36"/>
      <c r="D106" s="36"/>
      <c r="E106" s="36"/>
      <c r="F106" s="36"/>
    </row>
    <row r="108" spans="1:6" ht="24.4" customHeight="1" x14ac:dyDescent="0.35">
      <c r="B108" s="338" t="s">
        <v>380</v>
      </c>
      <c r="C108" s="338"/>
      <c r="D108" s="338"/>
      <c r="E108" s="338"/>
      <c r="F108" s="338"/>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0.1</v>
      </c>
      <c r="D111" s="257">
        <f>Valuation_Model!D74</f>
        <v>15</v>
      </c>
      <c r="E111" s="258" t="str">
        <f>ROUND(Valuation_Model!E74,2)&amp;" "&amp;Market_currency</f>
        <v>60.57 HKD</v>
      </c>
      <c r="F111" s="259">
        <f>Valuation_Model!F74</f>
        <v>0.05</v>
      </c>
    </row>
    <row r="112" spans="1:6" x14ac:dyDescent="0.35">
      <c r="B112" s="242" t="str">
        <f>Valuation_Model!B75</f>
        <v>Optimistic</v>
      </c>
      <c r="C112" s="243">
        <f>Valuation_Model!C75</f>
        <v>0.06</v>
      </c>
      <c r="D112" s="244">
        <f>Valuation_Model!D75</f>
        <v>10</v>
      </c>
      <c r="E112" s="245" t="str">
        <f>ROUND(Valuation_Model!E75,2)&amp;" "&amp;Market_currency</f>
        <v>45.43 HKD</v>
      </c>
      <c r="F112" s="246">
        <f>Valuation_Model!F75</f>
        <v>0.18</v>
      </c>
    </row>
    <row r="113" spans="1:6" x14ac:dyDescent="0.35">
      <c r="B113" s="242" t="str">
        <f>Valuation_Model!B76</f>
        <v>Base</v>
      </c>
      <c r="C113" s="243">
        <f>Valuation_Model!C76</f>
        <v>0.04</v>
      </c>
      <c r="D113" s="244">
        <f>Valuation_Model!D76</f>
        <v>10</v>
      </c>
      <c r="E113" s="245" t="str">
        <f>ROUND(Valuation_Model!E76,2)&amp;" "&amp;Market_currency</f>
        <v>43.18 HKD</v>
      </c>
      <c r="F113" s="246">
        <f>Valuation_Model!F76</f>
        <v>0.53999999999999992</v>
      </c>
    </row>
    <row r="114" spans="1:6" x14ac:dyDescent="0.35">
      <c r="B114" s="242" t="str">
        <f>Valuation_Model!B77</f>
        <v>Pessimistic</v>
      </c>
      <c r="C114" s="243">
        <f>Valuation_Model!C77</f>
        <v>0.02</v>
      </c>
      <c r="D114" s="244">
        <f>Valuation_Model!D77</f>
        <v>10</v>
      </c>
      <c r="E114" s="245" t="str">
        <f>ROUND(Valuation_Model!E77,2)&amp;" "&amp;Market_currency</f>
        <v>41.14 HKD</v>
      </c>
      <c r="F114" s="246">
        <f>Valuation_Model!F77</f>
        <v>0.18</v>
      </c>
    </row>
    <row r="115" spans="1:6" x14ac:dyDescent="0.35">
      <c r="B115" s="242" t="str">
        <f>Valuation_Model!B78</f>
        <v>Devil's advocate</v>
      </c>
      <c r="C115" s="243">
        <f>Valuation_Model!C78</f>
        <v>0</v>
      </c>
      <c r="D115" s="244">
        <f>Valuation_Model!D78</f>
        <v>15</v>
      </c>
      <c r="E115" s="245" t="str">
        <f>ROUND(Valuation_Model!E78,2)&amp;" "&amp;Market_currency</f>
        <v>39.28 HKD</v>
      </c>
      <c r="F115" s="246">
        <f>Valuation_Model!F78</f>
        <v>0.05</v>
      </c>
    </row>
    <row r="117" spans="1:6" x14ac:dyDescent="0.35">
      <c r="B117" s="235" t="s">
        <v>260</v>
      </c>
      <c r="C117" s="241">
        <f>Scenarios!C60</f>
        <v>43.888571047174302</v>
      </c>
      <c r="D117" s="236" t="str">
        <f>Market_currency</f>
        <v>HKD</v>
      </c>
    </row>
    <row r="119" spans="1:6" ht="24.4" customHeight="1" x14ac:dyDescent="0.35">
      <c r="B119" s="342" t="s">
        <v>383</v>
      </c>
      <c r="C119" s="342"/>
      <c r="D119" s="342"/>
      <c r="E119" s="342"/>
      <c r="F119" s="342"/>
    </row>
    <row r="121" spans="1:6" ht="13.9" x14ac:dyDescent="0.45">
      <c r="A121" s="247" t="s">
        <v>420</v>
      </c>
      <c r="B121" s="36"/>
      <c r="C121" s="36"/>
      <c r="D121" s="36"/>
      <c r="E121" s="36"/>
      <c r="F121" s="36"/>
    </row>
    <row r="123" spans="1:6" x14ac:dyDescent="0.35">
      <c r="B123" s="340" t="s">
        <v>381</v>
      </c>
      <c r="C123" s="340"/>
      <c r="D123" s="340"/>
      <c r="E123" s="340"/>
      <c r="F123" s="340"/>
    </row>
    <row r="124" spans="1:6" ht="24.4" customHeight="1" x14ac:dyDescent="0.35">
      <c r="B124" s="337" t="s">
        <v>382</v>
      </c>
      <c r="C124" s="337"/>
      <c r="D124" s="337"/>
      <c r="E124" s="337"/>
      <c r="F124" s="337"/>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2.339927674962774</v>
      </c>
      <c r="D128" s="236" t="str">
        <f>Market_currency</f>
        <v>HKD</v>
      </c>
    </row>
    <row r="130" spans="1:6" x14ac:dyDescent="0.35">
      <c r="B130" s="234" t="s">
        <v>417</v>
      </c>
    </row>
    <row r="131" spans="1:6" x14ac:dyDescent="0.35">
      <c r="B131" s="236" t="str">
        <f>"PV("&amp;C126&amp;" yrs of Dividends)"</f>
        <v>PV(3 yrs of Dividends)</v>
      </c>
      <c r="C131" s="240">
        <f>Scenarios!C81</f>
        <v>4.5675388215273349</v>
      </c>
    </row>
    <row r="132" spans="1:6" x14ac:dyDescent="0.35">
      <c r="B132" s="236" t="str">
        <f>"+ PV(Equity Value realized at year "&amp;C126&amp;")"</f>
        <v>+ PV(Equity Value realized at year 3)</v>
      </c>
      <c r="C132" s="240">
        <f>Scenarios!C82</f>
        <v>22.470948376153242</v>
      </c>
    </row>
    <row r="133" spans="1:6" x14ac:dyDescent="0.35">
      <c r="B133" s="80" t="s">
        <v>262</v>
      </c>
      <c r="C133" s="239">
        <f>Scenarios!C83</f>
        <v>27.038487197680578</v>
      </c>
      <c r="D133" s="47" t="str">
        <f>Reporting_currency</f>
        <v>CNY</v>
      </c>
    </row>
    <row r="134" spans="1:6" x14ac:dyDescent="0.35">
      <c r="B134" s="238" t="s">
        <v>264</v>
      </c>
      <c r="C134" s="92">
        <f>Scenarios!F83</f>
        <v>0.38392874152549084</v>
      </c>
    </row>
    <row r="136" spans="1:6" x14ac:dyDescent="0.35">
      <c r="B136" s="234" t="s">
        <v>418</v>
      </c>
    </row>
    <row r="137" spans="1:6" x14ac:dyDescent="0.35">
      <c r="B137" s="236" t="str">
        <f>"PV("&amp;C126&amp;" yrs of Dividends)"</f>
        <v>PV(3 yrs of Dividends)</v>
      </c>
      <c r="C137" s="240">
        <f>Scenarios!C91</f>
        <v>6.2866148239914477</v>
      </c>
    </row>
    <row r="138" spans="1:6" x14ac:dyDescent="0.35">
      <c r="B138" s="236" t="str">
        <f>"+ PV(Equity Value realized at year "&amp;C126&amp;")"</f>
        <v>+ PV(Equity Value realized at year 3)</v>
      </c>
      <c r="C138" s="240">
        <f>Scenarios!C92</f>
        <v>37.137986975177412</v>
      </c>
    </row>
    <row r="139" spans="1:6" x14ac:dyDescent="0.35">
      <c r="B139" s="80" t="s">
        <v>419</v>
      </c>
      <c r="C139" s="239">
        <f>Scenarios!C93</f>
        <v>43.424601799168862</v>
      </c>
      <c r="D139" s="101" t="str">
        <f>Reporting_currency</f>
        <v>CNY</v>
      </c>
    </row>
    <row r="140" spans="1:6" x14ac:dyDescent="0.35">
      <c r="B140" s="238" t="s">
        <v>264</v>
      </c>
      <c r="C140" s="92">
        <f>Scenarios!F93</f>
        <v>1.0571527778991396E-2</v>
      </c>
    </row>
    <row r="142" spans="1:6" ht="13.9" x14ac:dyDescent="0.45">
      <c r="A142" s="247" t="s">
        <v>387</v>
      </c>
      <c r="B142" s="36"/>
      <c r="C142" s="36"/>
      <c r="D142" s="36"/>
      <c r="E142" s="36"/>
      <c r="F142" s="36"/>
    </row>
    <row r="144" spans="1:6" x14ac:dyDescent="0.35">
      <c r="B144" s="344" t="s">
        <v>389</v>
      </c>
      <c r="C144" s="337"/>
      <c r="D144" s="337"/>
      <c r="E144" s="337"/>
      <c r="F144" s="337"/>
    </row>
    <row r="146" spans="2:6" x14ac:dyDescent="0.35">
      <c r="B146" s="234" t="s">
        <v>388</v>
      </c>
    </row>
    <row r="147" spans="2:6" x14ac:dyDescent="0.35">
      <c r="B147" s="341" t="s">
        <v>393</v>
      </c>
      <c r="C147" s="341"/>
      <c r="D147" s="341"/>
      <c r="E147" s="341"/>
      <c r="F147" s="341"/>
    </row>
    <row r="148" spans="2:6" x14ac:dyDescent="0.35">
      <c r="B148" s="238" t="s">
        <v>390</v>
      </c>
    </row>
    <row r="149" spans="2:6" x14ac:dyDescent="0.35">
      <c r="B149" s="238" t="s">
        <v>391</v>
      </c>
    </row>
    <row r="150" spans="2:6" x14ac:dyDescent="0.35">
      <c r="B150" s="238" t="s">
        <v>392</v>
      </c>
    </row>
    <row r="152" spans="2:6" x14ac:dyDescent="0.35">
      <c r="B152" s="1" t="s">
        <v>397</v>
      </c>
    </row>
    <row r="153" spans="2:6" ht="46.5" customHeight="1" x14ac:dyDescent="0.35">
      <c r="B153" s="338" t="s">
        <v>394</v>
      </c>
      <c r="C153" s="338"/>
      <c r="D153" s="338"/>
      <c r="E153" s="338"/>
      <c r="F153" s="338"/>
    </row>
    <row r="155" spans="2:6" x14ac:dyDescent="0.35">
      <c r="B155" s="1" t="s">
        <v>398</v>
      </c>
    </row>
    <row r="156" spans="2:6" ht="24.4" customHeight="1" x14ac:dyDescent="0.35">
      <c r="B156" s="343" t="s">
        <v>395</v>
      </c>
      <c r="C156" s="343"/>
      <c r="D156" s="343"/>
      <c r="E156" s="343"/>
      <c r="F156" s="343"/>
    </row>
    <row r="157" spans="2:6" ht="24.4" customHeight="1" x14ac:dyDescent="0.35">
      <c r="B157" s="343" t="s">
        <v>396</v>
      </c>
      <c r="C157" s="343"/>
      <c r="D157" s="343"/>
      <c r="E157" s="343"/>
      <c r="F157" s="343"/>
    </row>
    <row r="159" spans="2:6" x14ac:dyDescent="0.35">
      <c r="B159" s="1" t="s">
        <v>402</v>
      </c>
    </row>
    <row r="160" spans="2:6" x14ac:dyDescent="0.35">
      <c r="B160" s="238" t="s">
        <v>399</v>
      </c>
    </row>
    <row r="161" spans="2:2" x14ac:dyDescent="0.35">
      <c r="B161" s="238" t="s">
        <v>400</v>
      </c>
    </row>
    <row r="162" spans="2:2" x14ac:dyDescent="0.35">
      <c r="B162" s="238" t="s">
        <v>401</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c r="E4" s="181"/>
      <c r="F4" s="181"/>
      <c r="G4" s="181"/>
      <c r="H4" s="181"/>
      <c r="I4" s="181"/>
      <c r="J4" s="181"/>
      <c r="K4" s="181"/>
      <c r="L4" s="181"/>
      <c r="M4" s="181"/>
    </row>
    <row r="5" spans="2:13" x14ac:dyDescent="0.35">
      <c r="B5" s="40" t="s">
        <v>44</v>
      </c>
      <c r="C5" s="181">
        <f>19209915823+2328256391</f>
        <v>21538172214</v>
      </c>
      <c r="D5" s="181"/>
      <c r="E5" s="181"/>
      <c r="F5" s="181"/>
      <c r="G5" s="181"/>
      <c r="H5" s="181"/>
      <c r="I5" s="181"/>
      <c r="J5" s="181"/>
      <c r="K5" s="181"/>
      <c r="L5" s="181"/>
      <c r="M5" s="181"/>
    </row>
    <row r="6" spans="2:13" x14ac:dyDescent="0.35">
      <c r="B6" s="40" t="s">
        <v>55</v>
      </c>
      <c r="C6" s="181">
        <f>1406578781+C7</f>
        <v>6009098645</v>
      </c>
      <c r="D6" s="181"/>
      <c r="E6" s="181"/>
      <c r="F6" s="181"/>
      <c r="G6" s="181"/>
      <c r="H6" s="181"/>
      <c r="I6" s="181"/>
      <c r="J6" s="181"/>
      <c r="K6" s="181"/>
      <c r="L6" s="181"/>
      <c r="M6" s="181"/>
    </row>
    <row r="7" spans="2:13" x14ac:dyDescent="0.35">
      <c r="B7" s="69" t="s">
        <v>62</v>
      </c>
      <c r="C7" s="189">
        <v>4602519864</v>
      </c>
      <c r="D7" s="189"/>
      <c r="E7" s="189"/>
      <c r="F7" s="189"/>
      <c r="G7" s="189"/>
      <c r="H7" s="189"/>
      <c r="I7" s="189"/>
      <c r="J7" s="189"/>
      <c r="K7" s="189"/>
      <c r="L7" s="189"/>
      <c r="M7" s="189"/>
    </row>
    <row r="8" spans="2:13" x14ac:dyDescent="0.35">
      <c r="B8" s="40" t="s">
        <v>50</v>
      </c>
      <c r="C8" s="181">
        <v>102766675</v>
      </c>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c r="E12" s="181"/>
      <c r="F12" s="181"/>
      <c r="G12" s="181"/>
      <c r="H12" s="181"/>
      <c r="I12" s="181"/>
      <c r="J12" s="181"/>
      <c r="K12" s="181"/>
      <c r="L12" s="181"/>
      <c r="M12" s="181"/>
    </row>
    <row r="13" spans="2:13" x14ac:dyDescent="0.35">
      <c r="B13" s="40" t="s">
        <v>68</v>
      </c>
      <c r="C13" s="181">
        <v>616771200</v>
      </c>
      <c r="D13" s="181"/>
      <c r="E13" s="181"/>
      <c r="F13" s="181"/>
      <c r="G13" s="181"/>
      <c r="H13" s="181"/>
      <c r="I13" s="181"/>
      <c r="J13" s="181"/>
      <c r="K13" s="181"/>
      <c r="L13" s="181"/>
      <c r="M13" s="181"/>
    </row>
    <row r="14" spans="2:13" x14ac:dyDescent="0.35">
      <c r="B14" s="40" t="s">
        <v>51</v>
      </c>
      <c r="C14" s="181">
        <v>1389716314</v>
      </c>
      <c r="D14" s="181"/>
      <c r="E14" s="181"/>
      <c r="F14" s="181"/>
      <c r="G14" s="181"/>
      <c r="H14" s="181"/>
      <c r="I14" s="181"/>
      <c r="J14" s="181"/>
      <c r="K14" s="181"/>
      <c r="L14" s="181"/>
      <c r="M14" s="181"/>
    </row>
    <row r="15" spans="2:13" x14ac:dyDescent="0.35">
      <c r="B15" s="43" t="s">
        <v>43</v>
      </c>
      <c r="C15" s="182">
        <v>4491776686</v>
      </c>
      <c r="D15" s="182"/>
      <c r="E15" s="182"/>
      <c r="F15" s="182"/>
      <c r="G15" s="182"/>
      <c r="H15" s="182"/>
      <c r="I15" s="182"/>
      <c r="J15" s="182"/>
      <c r="K15" s="182"/>
      <c r="L15" s="182"/>
      <c r="M15" s="182"/>
    </row>
    <row r="16" spans="2:13" x14ac:dyDescent="0.35">
      <c r="B16" s="28" t="s">
        <v>45</v>
      </c>
      <c r="C16" s="181">
        <v>146792828</v>
      </c>
      <c r="D16" s="181"/>
      <c r="E16" s="181"/>
      <c r="F16" s="181"/>
      <c r="G16" s="181"/>
      <c r="H16" s="181"/>
      <c r="I16" s="181"/>
      <c r="J16" s="181"/>
      <c r="K16" s="181"/>
      <c r="L16" s="181"/>
      <c r="M16" s="181"/>
    </row>
    <row r="18" spans="2:13" x14ac:dyDescent="0.35">
      <c r="B18" s="16" t="s">
        <v>52</v>
      </c>
      <c r="C18" s="9"/>
    </row>
    <row r="19" spans="2:13" x14ac:dyDescent="0.35">
      <c r="B19" s="27" t="s">
        <v>48</v>
      </c>
      <c r="C19" s="181">
        <v>1191305772</v>
      </c>
      <c r="D19" s="181"/>
      <c r="E19" s="181"/>
      <c r="F19" s="181"/>
      <c r="G19" s="181"/>
      <c r="H19" s="181"/>
      <c r="I19" s="181"/>
      <c r="J19" s="181"/>
      <c r="K19" s="181"/>
      <c r="L19" s="181"/>
      <c r="M19" s="181"/>
    </row>
    <row r="20" spans="2:13" x14ac:dyDescent="0.35">
      <c r="B20" s="27" t="s">
        <v>54</v>
      </c>
      <c r="C20" s="181">
        <f>C19</f>
        <v>1191305772</v>
      </c>
      <c r="D20" s="181"/>
      <c r="E20" s="181"/>
      <c r="F20" s="181"/>
      <c r="G20" s="181"/>
      <c r="H20" s="181"/>
      <c r="I20" s="181"/>
      <c r="J20" s="181"/>
      <c r="K20" s="181"/>
      <c r="L20" s="181"/>
      <c r="M20" s="181"/>
    </row>
    <row r="21" spans="2:13" x14ac:dyDescent="0.35">
      <c r="B21" s="27" t="s">
        <v>53</v>
      </c>
      <c r="C21" s="181">
        <v>583532518</v>
      </c>
      <c r="D21" s="181"/>
      <c r="E21" s="181"/>
      <c r="F21" s="181"/>
      <c r="G21" s="181"/>
      <c r="H21" s="181"/>
      <c r="I21" s="181"/>
      <c r="J21" s="181"/>
      <c r="K21" s="181"/>
      <c r="L21" s="181"/>
      <c r="M21" s="181"/>
    </row>
    <row r="22" spans="2:13" x14ac:dyDescent="0.35">
      <c r="B22" s="27" t="s">
        <v>384</v>
      </c>
      <c r="C22" s="181">
        <v>5154661132</v>
      </c>
      <c r="D22" s="181"/>
      <c r="E22" s="181"/>
      <c r="F22" s="181"/>
      <c r="G22" s="181"/>
      <c r="H22" s="181"/>
      <c r="I22" s="181"/>
      <c r="J22" s="181"/>
      <c r="K22" s="181"/>
      <c r="L22" s="181"/>
      <c r="M22" s="181"/>
    </row>
    <row r="23" spans="2:13" x14ac:dyDescent="0.35">
      <c r="B23" s="27" t="s">
        <v>386</v>
      </c>
      <c r="C23" s="181">
        <v>-7421783375</v>
      </c>
      <c r="D23" s="181"/>
      <c r="E23" s="181"/>
      <c r="F23" s="181"/>
      <c r="G23" s="181"/>
      <c r="H23" s="181"/>
      <c r="I23" s="181"/>
      <c r="J23" s="181"/>
      <c r="K23" s="181"/>
      <c r="L23" s="181"/>
      <c r="M23" s="181"/>
    </row>
    <row r="24" spans="2:13" x14ac:dyDescent="0.35">
      <c r="B24" s="27" t="s">
        <v>385</v>
      </c>
      <c r="C24" s="181">
        <v>-2983143705</v>
      </c>
      <c r="D24" s="181"/>
      <c r="E24" s="181"/>
      <c r="F24" s="181"/>
      <c r="G24" s="181"/>
      <c r="H24" s="181"/>
      <c r="I24" s="181"/>
      <c r="J24" s="181"/>
      <c r="K24" s="181"/>
      <c r="L24" s="181"/>
      <c r="M24" s="181"/>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97" t="s">
        <v>221</v>
      </c>
    </row>
    <row r="28" spans="2:13" x14ac:dyDescent="0.35">
      <c r="B28" s="26" t="s">
        <v>24</v>
      </c>
      <c r="C28" s="183">
        <f>BS!C4</f>
        <v>185704725</v>
      </c>
      <c r="D28" s="181"/>
      <c r="E28" s="181"/>
      <c r="F28" s="181"/>
      <c r="G28" s="181"/>
      <c r="H28" s="181"/>
      <c r="I28" s="181"/>
      <c r="J28" s="181"/>
      <c r="K28" s="181"/>
      <c r="L28" s="181"/>
      <c r="M28" s="181"/>
    </row>
    <row r="29" spans="2:13" x14ac:dyDescent="0.35">
      <c r="B29" s="26" t="s">
        <v>32</v>
      </c>
      <c r="C29" s="183">
        <f>BS!C6</f>
        <v>3576387537</v>
      </c>
      <c r="D29" s="181"/>
      <c r="E29" s="181"/>
      <c r="F29" s="181"/>
      <c r="G29" s="181"/>
      <c r="H29" s="181"/>
      <c r="I29" s="181"/>
      <c r="J29" s="181"/>
      <c r="K29" s="181"/>
      <c r="L29" s="181"/>
      <c r="M29" s="181"/>
    </row>
    <row r="30" spans="2:13" x14ac:dyDescent="0.35">
      <c r="B30" s="29" t="s">
        <v>40</v>
      </c>
      <c r="C30" s="186">
        <f>BS!C33+BS!C42</f>
        <v>21560843821</v>
      </c>
      <c r="D30" s="182"/>
      <c r="E30" s="182"/>
      <c r="F30" s="182"/>
      <c r="G30" s="182"/>
      <c r="H30" s="182"/>
      <c r="I30" s="182"/>
      <c r="J30" s="182"/>
      <c r="K30" s="182"/>
      <c r="L30" s="182"/>
      <c r="M30" s="182"/>
    </row>
    <row r="31" spans="2:13" x14ac:dyDescent="0.35">
      <c r="B31" s="29" t="s">
        <v>30</v>
      </c>
      <c r="C31" s="186">
        <f>BS!G27</f>
        <v>29859542011</v>
      </c>
      <c r="D31" s="182"/>
      <c r="E31" s="182"/>
      <c r="F31" s="182"/>
      <c r="G31" s="182"/>
      <c r="H31" s="182"/>
      <c r="I31" s="182"/>
      <c r="J31" s="182"/>
      <c r="K31" s="182"/>
      <c r="L31" s="182"/>
      <c r="M31" s="182"/>
    </row>
    <row r="32" spans="2:13" x14ac:dyDescent="0.35">
      <c r="B32" s="26" t="s">
        <v>174</v>
      </c>
      <c r="C32" s="183">
        <f>BS!G28</f>
        <v>799157484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2.339927674962774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x14ac:dyDescent="0.35">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x14ac:dyDescent="0.35">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Quarter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273</v>
      </c>
      <c r="C45" s="261" t="s">
        <v>138</v>
      </c>
      <c r="D45" s="203" t="s">
        <v>424</v>
      </c>
      <c r="F45" s="287" t="s">
        <v>60</v>
      </c>
    </row>
    <row r="46" spans="2:8" ht="15" customHeight="1" x14ac:dyDescent="0.35">
      <c r="B46" s="1" t="s">
        <v>275</v>
      </c>
      <c r="C46" s="188">
        <f>G29</f>
        <v>29060384527</v>
      </c>
      <c r="D46" s="188">
        <f>H29</f>
        <v>1695561271.1999969</v>
      </c>
      <c r="F46" s="283"/>
    </row>
    <row r="47" spans="2:8" ht="15" customHeight="1" x14ac:dyDescent="0.35">
      <c r="B47" s="1" t="str">
        <f>"Equity per share ("&amp;Market_currency&amp;")"</f>
        <v>Equity per share (HKD)</v>
      </c>
      <c r="C47" s="148">
        <f>C46*H1/Common_Shares*Exchange_Rate</f>
        <v>20.02832272632898</v>
      </c>
      <c r="D47" s="148">
        <f>D46*H1/Common_Shares*Exchange_Rate</f>
        <v>1.1685753266721788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6.3593933566061064E-2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0.15753043334415495</v>
      </c>
      <c r="D54" s="92">
        <f>Normalized_FCF!G8/G35</f>
        <v>0.15753043334415495</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2.749989365273205E-2</v>
      </c>
      <c r="D62" s="92">
        <f>G28/G29</f>
        <v>2.749989365273205E-2</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17978772896</v>
      </c>
      <c r="D66" s="188">
        <f>C66-D75</f>
        <v>12838413003.943913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-2570179946.0280437</v>
      </c>
      <c r="D73" s="188">
        <f>(Normalized_FCF!C25+Normalized_FCF!C35-Normalized_FCF!C91)/12</f>
        <v>-2570179946.0280437</v>
      </c>
      <c r="F73" s="1" t="s">
        <v>362</v>
      </c>
    </row>
    <row r="74" spans="2:6" ht="15" customHeight="1" x14ac:dyDescent="0.35">
      <c r="B74" s="288" t="s">
        <v>332</v>
      </c>
      <c r="C74" s="289">
        <f>-$C$66/C73</f>
        <v>6.9951416918431715</v>
      </c>
      <c r="D74" s="289">
        <f>-$C$66/D73</f>
        <v>6.9951416918431715</v>
      </c>
      <c r="F74" s="283" t="s">
        <v>329</v>
      </c>
    </row>
    <row r="75" spans="2:6" ht="15" customHeight="1" x14ac:dyDescent="0.35">
      <c r="B75" s="80" t="s">
        <v>330</v>
      </c>
      <c r="C75" s="293"/>
      <c r="D75" s="292">
        <f>MAX(-D73*D76,G5)</f>
        <v>5140359892.0560875</v>
      </c>
      <c r="F75" s="283" t="s">
        <v>363</v>
      </c>
    </row>
    <row r="76" spans="2:6" ht="15" customHeight="1" x14ac:dyDescent="0.35">
      <c r="B76" s="290" t="s">
        <v>333</v>
      </c>
      <c r="C76" s="291"/>
      <c r="D76" s="327">
        <f>IF(D74&lt;=3,1,IF(D74&gt;18,6,2))</f>
        <v>2</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-268329679.29660001</v>
      </c>
      <c r="D86" s="248">
        <f>C86*$H$1/Common_Shares</f>
        <v>-0.19669426116300168</v>
      </c>
      <c r="E86" s="269" t="str">
        <f>Market_currency</f>
        <v>HKD</v>
      </c>
    </row>
    <row r="87" spans="2:8" ht="15" customHeight="1" x14ac:dyDescent="0.35">
      <c r="B87" s="267" t="s">
        <v>296</v>
      </c>
      <c r="C87" s="188">
        <f>Valuation_Model!C8*Exchange_Rate</f>
        <v>12070675906.308067</v>
      </c>
      <c r="D87" s="248">
        <f>C87*$H$1/Common_Shares</f>
        <v>8.8481925866461335</v>
      </c>
      <c r="E87" s="269" t="str">
        <f>Market_currency</f>
        <v>HKD</v>
      </c>
    </row>
    <row r="88" spans="2:8" ht="15" customHeight="1" x14ac:dyDescent="0.35">
      <c r="B88" s="268" t="s">
        <v>191</v>
      </c>
      <c r="C88" s="188">
        <f>Valuation_Model!C9*Exchange_Rate</f>
        <v>2590637963.2851</v>
      </c>
      <c r="D88" s="248">
        <f>C88*$H$1/Common_Shares</f>
        <v>1.899020717592468</v>
      </c>
      <c r="E88" s="269" t="str">
        <f>Market_currency</f>
        <v>HKD</v>
      </c>
    </row>
    <row r="89" spans="2:8" ht="15" customHeight="1" x14ac:dyDescent="0.35">
      <c r="B89" s="80" t="s">
        <v>300</v>
      </c>
      <c r="C89" s="187">
        <f>SUM(C86:C88)</f>
        <v>14392984190.296566</v>
      </c>
      <c r="D89" s="271">
        <f>SUM(D86:D88)</f>
        <v>10.5505190430756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154505678.47651258</v>
      </c>
      <c r="E12" s="302"/>
      <c r="G12" s="191">
        <f>G50</f>
        <v>154505678.47651258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4642298255.4765129</v>
      </c>
      <c r="E13" s="302"/>
      <c r="G13" s="184">
        <f>IF(G$4="","",SUM(G8:G12))</f>
        <v>4642298255.4765129</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-1160574563.8691282</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3334930863.6073847</v>
      </c>
      <c r="D16" s="61"/>
      <c r="E16" s="310"/>
      <c r="F16" s="61"/>
      <c r="G16" s="184">
        <f>IF(G$4="","",SUM(G13:G15))</f>
        <v>3105789113.4765129</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3334930863.6073847</v>
      </c>
      <c r="D19" s="27"/>
      <c r="E19" s="299"/>
      <c r="F19" s="27"/>
      <c r="G19" s="186">
        <f>IF(G$4="","",G16+G17)</f>
        <v>3105789113.4765129</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0.29935954941295589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176342732.47651258</v>
      </c>
      <c r="E48" s="302"/>
      <c r="G48" s="328">
        <f>IFERROR(IF(G$4="","",($C$48/$C$49)*G49),0)</f>
        <v>176342732.47651258</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154505678.47651258</v>
      </c>
      <c r="E50" s="302"/>
      <c r="G50" s="184">
        <f>IF(G$4="","",(G47+G48))</f>
        <v>154505678.47651258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4.8075952216708323E-3</v>
      </c>
      <c r="D80" s="27"/>
      <c r="E80" s="299"/>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0.14444964826320264</v>
      </c>
      <c r="D81" s="27"/>
      <c r="E81" s="299"/>
      <c r="F81" s="27"/>
      <c r="G81" s="65">
        <f t="shared" ref="G81:Q81" si="32">IF(G$4="","",G13/G$4)</f>
        <v>0.14444964826320264</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3.611241206580066E-2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0.10376963385794732</v>
      </c>
      <c r="D84" s="27"/>
      <c r="E84" s="299"/>
      <c r="F84" s="27"/>
      <c r="G84" s="65">
        <f t="shared" ref="G84:Q84" si="35">IF(G$4="","",ABS(G16/G$4))</f>
        <v>9.6639664306815684E-2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0.10376963385794732</v>
      </c>
      <c r="D87" s="75"/>
      <c r="E87" s="299"/>
      <c r="F87" s="75"/>
      <c r="G87" s="65">
        <f t="shared" ref="G87:Q87" si="36">IF(G$4="","",ABS(G19/G$4))</f>
        <v>9.6639664306815684E-2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2.339927674962774</v>
      </c>
      <c r="E90" s="302"/>
      <c r="G90" s="113">
        <f>Data!C65</f>
        <v>2.339927674962774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3192121818.3365245</v>
      </c>
      <c r="E91" s="302"/>
      <c r="G91" s="74">
        <f t="shared" ref="G91:Q91" si="37">IF(G$4="","",G90*Common_Shares/$C$3)</f>
        <v>3192121818.3365245</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0.95717780934253482</v>
      </c>
      <c r="E92" s="302"/>
      <c r="G92" s="171">
        <f t="shared" ref="G92:Q92" si="38">IF(G$4="","",G90/(G19*$C$3/Common_Shares))</f>
        <v>1.0277973493066221</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4.2738405022151121E-2</v>
      </c>
      <c r="E93" s="302"/>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406</v>
      </c>
      <c r="C114" s="170"/>
      <c r="E114" s="302"/>
      <c r="G114" s="334">
        <f>IF(G$4="","",Data!C$22/G19)</f>
        <v>1.6596945071489579</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2"/>
      <c r="G117" s="23">
        <f t="shared" ref="G117:Q117" si="45">G81</f>
        <v>0.14444964826320264</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2.2984235306407004</v>
      </c>
      <c r="D124" s="27"/>
      <c r="E124" s="299"/>
      <c r="F124" s="27"/>
      <c r="G124" s="178">
        <f t="shared" ref="G124:Q124" si="49">IF(G$4="","",G16*$C$3/Common_Shares*Exchange_Rate)</f>
        <v>2.1404997799266314</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4.1980338459190879E-2</v>
      </c>
      <c r="D125" s="27"/>
      <c r="E125" s="299"/>
      <c r="F125" s="27"/>
      <c r="G125" s="77">
        <f t="shared" ref="G125" si="50">IF(G$4="","",G124/Market_Price)</f>
        <v>3.9095886391354001E-2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3334930863.6073847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41686635795.092308</v>
      </c>
      <c r="D6" t="str">
        <f>Reporting_currency</f>
        <v>CNY</v>
      </c>
      <c r="E6" s="345" t="s">
        <v>251</v>
      </c>
      <c r="F6" s="345"/>
      <c r="H6" s="121"/>
    </row>
    <row r="7" spans="2:8" x14ac:dyDescent="0.35">
      <c r="B7" s="149" t="s">
        <v>226</v>
      </c>
      <c r="C7" s="226">
        <f>BS!G31</f>
        <v>285396383</v>
      </c>
      <c r="D7" t="str">
        <f>Reporting_currency</f>
        <v>CNY</v>
      </c>
      <c r="E7" s="345"/>
      <c r="F7" s="345"/>
      <c r="H7" s="121"/>
    </row>
    <row r="8" spans="2:8" x14ac:dyDescent="0.35">
      <c r="B8" s="149" t="s">
        <v>227</v>
      </c>
      <c r="C8" s="201">
        <f>BS!D66</f>
        <v>12838413003.943913</v>
      </c>
      <c r="D8" t="str">
        <f>Reporting_currency</f>
        <v>CNY</v>
      </c>
      <c r="E8" s="345"/>
      <c r="F8" s="345"/>
      <c r="H8" s="121"/>
    </row>
    <row r="9" spans="2:8" x14ac:dyDescent="0.35">
      <c r="B9" s="227" t="s">
        <v>192</v>
      </c>
      <c r="C9" s="229">
        <f>BS!H42</f>
        <v>2755411575.5</v>
      </c>
      <c r="D9" t="str">
        <f>Reporting_currency</f>
        <v>CNY</v>
      </c>
      <c r="E9" s="345"/>
      <c r="F9" s="345"/>
      <c r="H9" s="121"/>
    </row>
    <row r="10" spans="2:8" ht="13.15" x14ac:dyDescent="0.4">
      <c r="B10" s="150" t="s">
        <v>229</v>
      </c>
      <c r="C10" s="232">
        <f>C6-C7+C8+C9</f>
        <v>56995063991.536224</v>
      </c>
      <c r="D10" t="str">
        <f>Reporting_currency</f>
        <v>CNY</v>
      </c>
      <c r="H10" s="121"/>
    </row>
    <row r="11" spans="2:8" ht="13.15" thickBot="1" x14ac:dyDescent="0.4">
      <c r="B11" s="230" t="s">
        <v>168</v>
      </c>
      <c r="C11" s="231">
        <f>Exchange_Rate</f>
        <v>0.94020000000000004</v>
      </c>
      <c r="D11" t="str">
        <f>Thesis!D17</f>
        <v>CNY/HKD</v>
      </c>
      <c r="H11" s="121"/>
    </row>
    <row r="12" spans="2:8" ht="13.5" thickTop="1" x14ac:dyDescent="0.4">
      <c r="B12" s="150" t="s">
        <v>104</v>
      </c>
      <c r="C12" s="112">
        <f>(C10*C3)/Common_Shares*C11</f>
        <v>39.280813176084358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43.891569402079135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3490254838.0072398</v>
      </c>
      <c r="D21" s="139">
        <f>IF($C$17&lt;B21,0,Valuation_Model!$C$16)</f>
        <v>4.6574870890079501E-2</v>
      </c>
      <c r="E21" s="125">
        <f t="shared" ref="E21:E50" si="0">IF($C$17&lt;B21,0,1/(1+Equity_Cost)^B21)</f>
        <v>0.92592592592592582</v>
      </c>
      <c r="F21" s="126">
        <f t="shared" ref="F21:F51" si="1">C21*E21</f>
        <v>3231717442.5992956</v>
      </c>
      <c r="H21" s="121"/>
    </row>
    <row r="22" spans="2:8" x14ac:dyDescent="0.35">
      <c r="B22" s="123">
        <v>2</v>
      </c>
      <c r="C22" s="124">
        <f t="shared" ref="C22:C50" si="2">IF(ROW()-ROW($C$21)&lt;$C$17, $C$21*(1+D22)^(ROW()-ROW($C$21)), 0)</f>
        <v>3652813006.4609022</v>
      </c>
      <c r="D22" s="139">
        <f>IF($C$17&lt;B22,0,Valuation_Model!$C$16)</f>
        <v>4.6574870890079501E-2</v>
      </c>
      <c r="E22" s="125">
        <f t="shared" si="0"/>
        <v>0.85733882030178321</v>
      </c>
      <c r="F22" s="126">
        <f t="shared" si="1"/>
        <v>3131698393.7421999</v>
      </c>
      <c r="H22" s="121"/>
    </row>
    <row r="23" spans="2:8" x14ac:dyDescent="0.35">
      <c r="B23" s="123">
        <v>3</v>
      </c>
      <c r="C23" s="124">
        <f t="shared" si="2"/>
        <v>3822942300.6224222</v>
      </c>
      <c r="D23" s="139">
        <f>IF($C$17&lt;B23,0,Valuation_Model!$C$16)</f>
        <v>4.6574870890079501E-2</v>
      </c>
      <c r="E23" s="125">
        <f t="shared" si="0"/>
        <v>0.79383224102016958</v>
      </c>
      <c r="F23" s="126">
        <f t="shared" si="1"/>
        <v>3034774853.7939005</v>
      </c>
      <c r="H23" s="121"/>
    </row>
    <row r="24" spans="2:8" x14ac:dyDescent="0.35">
      <c r="B24" s="123">
        <v>4</v>
      </c>
      <c r="C24" s="124">
        <f t="shared" si="2"/>
        <v>4000995344.6941352</v>
      </c>
      <c r="D24" s="139">
        <f>IF($C$17&lt;B24,0,Valuation_Model!$C$16)</f>
        <v>4.6574870890079501E-2</v>
      </c>
      <c r="E24" s="125">
        <f t="shared" si="0"/>
        <v>0.73502985279645328</v>
      </c>
      <c r="F24" s="126">
        <f t="shared" si="1"/>
        <v>2940851019.249825</v>
      </c>
      <c r="H24" s="121"/>
    </row>
    <row r="25" spans="2:8" x14ac:dyDescent="0.35">
      <c r="B25" s="123">
        <v>5</v>
      </c>
      <c r="C25" s="124">
        <f t="shared" si="2"/>
        <v>4187341186.3050742</v>
      </c>
      <c r="D25" s="139">
        <f>IF($C$17&lt;B25,0,Valuation_Model!$C$16)</f>
        <v>4.6574870890079501E-2</v>
      </c>
      <c r="E25" s="125">
        <f t="shared" si="0"/>
        <v>0.68058319703375303</v>
      </c>
      <c r="F25" s="126">
        <f t="shared" si="1"/>
        <v>2849834051.6466155</v>
      </c>
      <c r="H25" s="121"/>
    </row>
    <row r="26" spans="2:8" x14ac:dyDescent="0.35">
      <c r="B26" s="123">
        <v>6</v>
      </c>
      <c r="C26" s="124">
        <f t="shared" si="2"/>
        <v>4382366061.429945</v>
      </c>
      <c r="D26" s="139">
        <f>IF($C$17&lt;B26,0,Valuation_Model!$C$16)</f>
        <v>4.6574870890079501E-2</v>
      </c>
      <c r="E26" s="125">
        <f t="shared" si="0"/>
        <v>0.63016962688310452</v>
      </c>
      <c r="F26" s="126">
        <f t="shared" si="1"/>
        <v>2761633985.7964888</v>
      </c>
      <c r="H26" s="121"/>
    </row>
    <row r="27" spans="2:8" x14ac:dyDescent="0.35">
      <c r="B27" s="123">
        <v>7</v>
      </c>
      <c r="C27" s="124">
        <f t="shared" si="2"/>
        <v>4586474194.9341116</v>
      </c>
      <c r="D27" s="139">
        <f>IF($C$17&lt;B27,0,Valuation_Model!$C$16)</f>
        <v>4.6574870890079501E-2</v>
      </c>
      <c r="E27" s="125">
        <f t="shared" si="0"/>
        <v>0.58349039526213387</v>
      </c>
      <c r="F27" s="126">
        <f t="shared" si="1"/>
        <v>2676163640.8616819</v>
      </c>
      <c r="H27" s="121"/>
    </row>
    <row r="28" spans="2:8" x14ac:dyDescent="0.35">
      <c r="B28" s="123">
        <v>8</v>
      </c>
      <c r="C28" s="124">
        <f t="shared" si="2"/>
        <v>4800088638.4038496</v>
      </c>
      <c r="D28" s="139">
        <f>IF($C$17&lt;B28,0,Valuation_Model!$C$16)</f>
        <v>4.6574870890079501E-2</v>
      </c>
      <c r="E28" s="125">
        <f t="shared" si="0"/>
        <v>0.54026888450197574</v>
      </c>
      <c r="F28" s="126">
        <f t="shared" si="1"/>
        <v>2593338534.1810555</v>
      </c>
      <c r="H28" s="121"/>
    </row>
    <row r="29" spans="2:8" x14ac:dyDescent="0.35">
      <c r="B29" s="123">
        <v>9</v>
      </c>
      <c r="C29" s="124">
        <f t="shared" si="2"/>
        <v>5023652146.9984465</v>
      </c>
      <c r="D29" s="139">
        <f>IF($C$17&lt;B29,0,Valuation_Model!$C$16)</f>
        <v>4.6574870890079501E-2</v>
      </c>
      <c r="E29" s="125">
        <f t="shared" si="0"/>
        <v>0.50024896713145905</v>
      </c>
      <c r="F29" s="126">
        <f t="shared" si="1"/>
        <v>2513076797.7637095</v>
      </c>
      <c r="H29" s="121"/>
    </row>
    <row r="30" spans="2:8" x14ac:dyDescent="0.35">
      <c r="B30" s="123">
        <v>10</v>
      </c>
      <c r="C30" s="124">
        <f t="shared" si="2"/>
        <v>5257628097.1415701</v>
      </c>
      <c r="D30" s="139">
        <f>IF($C$17&lt;B30,0,Valuation_Model!$C$16)</f>
        <v>4.6574870890079501E-2</v>
      </c>
      <c r="E30" s="125">
        <f t="shared" si="0"/>
        <v>0.46319348808468425</v>
      </c>
      <c r="F30" s="126">
        <f t="shared" si="1"/>
        <v>2435299097.3670449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43628185475.0905</v>
      </c>
      <c r="D51" s="140">
        <f>Terminal_Growth</f>
        <v>0</v>
      </c>
      <c r="E51" s="125">
        <f>1/(1+Equity_Cost)^C17</f>
        <v>0.46319348808468425</v>
      </c>
      <c r="F51" s="126">
        <f t="shared" si="1"/>
        <v>20208291409.012726</v>
      </c>
      <c r="H51" s="121"/>
    </row>
    <row r="52" spans="1:8" x14ac:dyDescent="0.35">
      <c r="C52" s="115"/>
      <c r="E52" s="128" t="s">
        <v>102</v>
      </c>
      <c r="F52" s="138">
        <f>SUM(F21:F51)</f>
        <v>48376679226.014542</v>
      </c>
      <c r="H52" s="121"/>
    </row>
    <row r="53" spans="1:8" x14ac:dyDescent="0.35">
      <c r="C53" s="115"/>
      <c r="H53" s="121"/>
    </row>
    <row r="54" spans="1:8" ht="13.15" x14ac:dyDescent="0.35">
      <c r="B54" s="120" t="s">
        <v>131</v>
      </c>
      <c r="C54" s="137"/>
      <c r="D54" s="137"/>
      <c r="E54" s="118"/>
      <c r="F54" s="118"/>
      <c r="H54" s="121"/>
    </row>
    <row r="55" spans="1:8" ht="13.15" x14ac:dyDescent="0.4">
      <c r="A55" s="134">
        <f>F52</f>
        <v>48376679226.014542</v>
      </c>
      <c r="B55" s="132">
        <f>C78</f>
        <v>0</v>
      </c>
      <c r="C55" s="132">
        <f>C77</f>
        <v>0.02</v>
      </c>
      <c r="D55" s="132">
        <f>C76</f>
        <v>0.04</v>
      </c>
      <c r="E55" s="132">
        <f>C75</f>
        <v>0.06</v>
      </c>
      <c r="F55" s="132">
        <f>C74</f>
        <v>0.1</v>
      </c>
      <c r="H55" s="121"/>
    </row>
    <row r="56" spans="1:8" ht="13.15" x14ac:dyDescent="0.4">
      <c r="A56" s="144">
        <v>5</v>
      </c>
      <c r="B56" s="124">
        <f t="dataTable" ref="B56:F61" dt2D="1" dtr="1" r1="C16" r2="C17"/>
        <v>41686635795.0923</v>
      </c>
      <c r="C56" s="124">
        <v>43031664884.200684</v>
      </c>
      <c r="D56" s="124">
        <v>44416977007.580719</v>
      </c>
      <c r="E56" s="124">
        <v>45844339914.909462</v>
      </c>
      <c r="F56" s="124">
        <v>48832563622.78038</v>
      </c>
      <c r="H56" s="121"/>
    </row>
    <row r="57" spans="1:8" ht="13.15" x14ac:dyDescent="0.4">
      <c r="A57" s="144">
        <v>10</v>
      </c>
      <c r="B57" s="124">
        <v>41686635795.092293</v>
      </c>
      <c r="C57" s="124">
        <v>44377932532.552048</v>
      </c>
      <c r="D57" s="124">
        <v>47338970072.750206</v>
      </c>
      <c r="E57" s="124">
        <v>50602030478.99791</v>
      </c>
      <c r="F57" s="124">
        <v>58181752148.991631</v>
      </c>
      <c r="H57" s="121"/>
    </row>
    <row r="58" spans="1:8" ht="13.15" x14ac:dyDescent="0.4">
      <c r="A58" s="144">
        <v>15</v>
      </c>
      <c r="B58" s="124">
        <v>41686635795.092293</v>
      </c>
      <c r="C58" s="124">
        <v>46044312032.426598</v>
      </c>
      <c r="D58" s="124">
        <v>51148158586.159439</v>
      </c>
      <c r="E58" s="124">
        <v>57146417407.040382</v>
      </c>
      <c r="F58" s="124">
        <v>72571194969.636124</v>
      </c>
      <c r="H58" s="121"/>
    </row>
    <row r="59" spans="1:8" ht="13.15" x14ac:dyDescent="0.4">
      <c r="A59" s="145">
        <v>20</v>
      </c>
      <c r="B59" s="124">
        <v>41686635795.092293</v>
      </c>
      <c r="C59" s="124">
        <v>47742085509.611755</v>
      </c>
      <c r="D59" s="124">
        <v>55248087431.293556</v>
      </c>
      <c r="E59" s="124">
        <v>64611784035.615005</v>
      </c>
      <c r="F59" s="124">
        <v>91162188864.467712</v>
      </c>
      <c r="H59" s="121"/>
    </row>
    <row r="60" spans="1:8" ht="13.15" x14ac:dyDescent="0.4">
      <c r="A60" s="145">
        <v>25</v>
      </c>
      <c r="B60" s="124">
        <v>41686635795.092293</v>
      </c>
      <c r="C60" s="124">
        <v>49321109052.860527</v>
      </c>
      <c r="D60" s="124">
        <v>59286656820.384186</v>
      </c>
      <c r="E60" s="124">
        <v>72435261278.651276</v>
      </c>
      <c r="F60" s="124">
        <v>113458031789.94728</v>
      </c>
      <c r="H60" s="121"/>
    </row>
    <row r="61" spans="1:8" ht="13.15" x14ac:dyDescent="0.4">
      <c r="A61" s="145">
        <v>30</v>
      </c>
      <c r="B61" s="124">
        <v>41686635795.092293</v>
      </c>
      <c r="C61" s="124">
        <v>50714027473.096329</v>
      </c>
      <c r="D61" s="124">
        <v>63068812843.976898</v>
      </c>
      <c r="E61" s="124">
        <v>80257744310.867432</v>
      </c>
      <c r="F61" s="124">
        <v>139201902439.57507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39.280813176084358</v>
      </c>
      <c r="C65" s="125">
        <f>C12</f>
        <v>39.280813176084358</v>
      </c>
      <c r="D65" s="125">
        <f>C12</f>
        <v>39.280813176084358</v>
      </c>
      <c r="E65" s="142">
        <f>C12</f>
        <v>39.280813176084358</v>
      </c>
      <c r="F65" s="125">
        <f>C12</f>
        <v>39.280813176084358</v>
      </c>
      <c r="H65" s="121"/>
    </row>
    <row r="66" spans="1:8" ht="13.15" x14ac:dyDescent="0.4">
      <c r="A66" s="144">
        <f t="shared" ref="A66:A71" si="3">A56</f>
        <v>5</v>
      </c>
      <c r="B66" s="125">
        <f t="shared" ref="B66:F71" si="4">(B56-$C$7+$C$8+$C$9)/Common_Shares*$C$3*Exchange_Rate</f>
        <v>39.280813176084351</v>
      </c>
      <c r="C66" s="125">
        <f t="shared" si="4"/>
        <v>40.207802860199997</v>
      </c>
      <c r="D66" s="125">
        <f t="shared" si="4"/>
        <v>41.162555480832843</v>
      </c>
      <c r="E66" s="125">
        <f t="shared" si="4"/>
        <v>42.146289365324655</v>
      </c>
      <c r="F66" s="125">
        <f t="shared" si="4"/>
        <v>44.205763449162056</v>
      </c>
      <c r="H66" s="121"/>
    </row>
    <row r="67" spans="1:8" ht="13.15" x14ac:dyDescent="0.4">
      <c r="A67" s="144">
        <f t="shared" si="3"/>
        <v>10</v>
      </c>
      <c r="B67" s="125">
        <f t="shared" si="4"/>
        <v>39.280813176084351</v>
      </c>
      <c r="C67" s="125">
        <f t="shared" si="4"/>
        <v>41.135646155327265</v>
      </c>
      <c r="D67" s="125">
        <f t="shared" si="4"/>
        <v>43.176383620613187</v>
      </c>
      <c r="E67" s="125">
        <f t="shared" si="4"/>
        <v>45.425274265233355</v>
      </c>
      <c r="F67" s="125">
        <f t="shared" si="4"/>
        <v>50.649193846935304</v>
      </c>
      <c r="H67" s="121"/>
    </row>
    <row r="68" spans="1:8" ht="13.15" x14ac:dyDescent="0.4">
      <c r="A68" s="144">
        <f t="shared" si="3"/>
        <v>15</v>
      </c>
      <c r="B68" s="125">
        <f t="shared" si="4"/>
        <v>39.280813176084351</v>
      </c>
      <c r="C68" s="125">
        <f t="shared" si="4"/>
        <v>42.284109499885474</v>
      </c>
      <c r="D68" s="125">
        <f t="shared" si="4"/>
        <v>45.801663984715141</v>
      </c>
      <c r="E68" s="125">
        <f t="shared" si="4"/>
        <v>49.93564450204228</v>
      </c>
      <c r="F68" s="125">
        <f t="shared" si="4"/>
        <v>60.566351150761136</v>
      </c>
      <c r="H68" s="121"/>
    </row>
    <row r="69" spans="1:8" ht="13.15" x14ac:dyDescent="0.4">
      <c r="A69" s="145">
        <f t="shared" si="3"/>
        <v>20</v>
      </c>
      <c r="B69" s="125">
        <f t="shared" si="4"/>
        <v>39.280813176084351</v>
      </c>
      <c r="C69" s="125">
        <f t="shared" si="4"/>
        <v>43.454209471744875</v>
      </c>
      <c r="D69" s="125">
        <f t="shared" si="4"/>
        <v>48.627321642102252</v>
      </c>
      <c r="E69" s="125">
        <f t="shared" si="4"/>
        <v>55.080750960235946</v>
      </c>
      <c r="F69" s="125">
        <f t="shared" si="4"/>
        <v>73.379203822512679</v>
      </c>
      <c r="H69" s="121"/>
    </row>
    <row r="70" spans="1:8" ht="13.15" x14ac:dyDescent="0.4">
      <c r="A70" s="145">
        <f t="shared" si="3"/>
        <v>25</v>
      </c>
      <c r="B70" s="125">
        <f t="shared" si="4"/>
        <v>39.280813176084351</v>
      </c>
      <c r="C70" s="125">
        <f t="shared" si="4"/>
        <v>44.54246737443281</v>
      </c>
      <c r="D70" s="125">
        <f t="shared" si="4"/>
        <v>51.410690561471824</v>
      </c>
      <c r="E70" s="125">
        <f t="shared" si="4"/>
        <v>60.472666091986497</v>
      </c>
      <c r="F70" s="125">
        <f t="shared" si="4"/>
        <v>88.745426425388274</v>
      </c>
    </row>
    <row r="71" spans="1:8" ht="13.15" x14ac:dyDescent="0.4">
      <c r="A71" s="145">
        <f t="shared" si="3"/>
        <v>30</v>
      </c>
      <c r="B71" s="125">
        <f t="shared" si="4"/>
        <v>39.280813176084351</v>
      </c>
      <c r="C71" s="125">
        <f t="shared" si="4"/>
        <v>45.502462230179169</v>
      </c>
      <c r="D71" s="125">
        <f t="shared" si="4"/>
        <v>54.017340221302177</v>
      </c>
      <c r="E71" s="125">
        <f t="shared" si="4"/>
        <v>65.863896016865652</v>
      </c>
      <c r="F71" s="125">
        <f t="shared" si="4"/>
        <v>106.48801854823385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60.566351150761136</v>
      </c>
      <c r="F74" s="143">
        <f>Scenarios!C58</f>
        <v>0.05</v>
      </c>
    </row>
    <row r="75" spans="1:8" x14ac:dyDescent="0.35">
      <c r="B75" s="128" t="str">
        <f>Scenarios!B36</f>
        <v>Optimistic</v>
      </c>
      <c r="C75" s="143">
        <f>Scenarios!C38</f>
        <v>0.06</v>
      </c>
      <c r="D75" s="146">
        <f>Scenarios!C37</f>
        <v>10</v>
      </c>
      <c r="E75" s="136">
        <f>INDEX(B$65:F$71, MATCH(D75, A$65:A$71, 0), MATCH(C75, B$64:F$64, 0))</f>
        <v>45.425274265233355</v>
      </c>
      <c r="F75" s="143">
        <f>Scenarios!C40*(1-F$74-F$78)</f>
        <v>0.18</v>
      </c>
      <c r="H75" s="121"/>
    </row>
    <row r="76" spans="1:8" x14ac:dyDescent="0.35">
      <c r="B76" s="128" t="str">
        <f>Scenarios!B24</f>
        <v>Base</v>
      </c>
      <c r="C76" s="143">
        <f>Scenarios!C26</f>
        <v>0.04</v>
      </c>
      <c r="D76" s="146">
        <f>Scenarios!C25</f>
        <v>10</v>
      </c>
      <c r="E76" s="136">
        <f>INDEX(B$65:F$71, MATCH(D76, A$65:A$71, 0), MATCH(C76, B$64:F$64, 0))</f>
        <v>43.176383620613187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41.135646155327265</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39.280813176084351</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-54.75</v>
      </c>
    </row>
    <row r="4" spans="2:9" x14ac:dyDescent="0.35">
      <c r="B4" s="153" t="s">
        <v>148</v>
      </c>
      <c r="C4" s="121">
        <v>3</v>
      </c>
      <c r="D4" s="121"/>
      <c r="E4" s="156" t="s">
        <v>152</v>
      </c>
      <c r="F4" s="156"/>
      <c r="H4" s="276">
        <v>1</v>
      </c>
      <c r="I4" s="264">
        <f t="shared" ref="I4:I13" si="0">IF(ROW()-3 &lt; $C$76, $C$77, IF(ROW()-3 = $C$76, $C$77 + $C$60, ""))</f>
        <v>2.339927674962774</v>
      </c>
    </row>
    <row r="5" spans="2:9" x14ac:dyDescent="0.35">
      <c r="H5" s="276">
        <v>2</v>
      </c>
      <c r="I5" s="264">
        <f t="shared" si="0"/>
        <v>2.339927674962774</v>
      </c>
    </row>
    <row r="6" spans="2:9" ht="13.15" x14ac:dyDescent="0.4">
      <c r="B6" s="160" t="s">
        <v>97</v>
      </c>
      <c r="C6" s="107">
        <f>Valuation_Model!C3</f>
        <v>1</v>
      </c>
      <c r="E6" s="100" t="s">
        <v>283</v>
      </c>
      <c r="F6" s="100"/>
      <c r="H6" s="276">
        <v>3</v>
      </c>
      <c r="I6" s="264">
        <f t="shared" si="0"/>
        <v>46.228498722137076</v>
      </c>
    </row>
    <row r="7" spans="2:9" ht="12.75" customHeight="1" x14ac:dyDescent="0.35">
      <c r="B7" s="100" t="s">
        <v>277</v>
      </c>
      <c r="C7" s="115">
        <f>Normalized_FCF!G8</f>
        <v>4487792577</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7"/>
      <c r="H7" s="276">
        <v>4</v>
      </c>
      <c r="I7" s="264" t="str">
        <f t="shared" si="0"/>
        <v/>
      </c>
    </row>
    <row r="8" spans="2:9" x14ac:dyDescent="0.35">
      <c r="B8" s="100" t="s">
        <v>67</v>
      </c>
      <c r="C8" s="115">
        <f>Normalized_FCF!G19</f>
        <v>3105789113.4765129</v>
      </c>
      <c r="D8" t="str">
        <f>Reporting_currency</f>
        <v>CNY</v>
      </c>
      <c r="E8" s="347"/>
      <c r="F8" s="347"/>
      <c r="H8" s="276">
        <v>5</v>
      </c>
      <c r="I8" s="264" t="str">
        <f t="shared" si="0"/>
        <v/>
      </c>
    </row>
    <row r="9" spans="2:9" x14ac:dyDescent="0.35">
      <c r="B9" s="100" t="s">
        <v>58</v>
      </c>
      <c r="C9" s="201">
        <f>Normalized_FCF!C19</f>
        <v>3334930863.6073847</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280</v>
      </c>
      <c r="E11" s="347"/>
      <c r="F11" s="347"/>
      <c r="H11" s="276">
        <v>8</v>
      </c>
      <c r="I11" s="264" t="str">
        <f t="shared" si="0"/>
        <v/>
      </c>
    </row>
    <row r="12" spans="2:9" x14ac:dyDescent="0.35">
      <c r="B12" s="119" t="s">
        <v>146</v>
      </c>
      <c r="C12" s="159" t="e">
        <f ca="1">(Normalized_FCF!G4/OFFSET(Normalized_FCF!G4, 0, $C$4))^(1/$C$4) - 1</f>
        <v>#VALUE!</v>
      </c>
      <c r="D12" s="159"/>
      <c r="E12" s="347"/>
      <c r="F12" s="347"/>
      <c r="H12" s="276">
        <v>9</v>
      </c>
      <c r="I12" s="264" t="str">
        <f t="shared" si="0"/>
        <v/>
      </c>
    </row>
    <row r="13" spans="2:9" x14ac:dyDescent="0.35">
      <c r="B13" s="149" t="s">
        <v>154</v>
      </c>
      <c r="C13" s="159" t="e">
        <f ca="1">(Normalized_FCF!G8/OFFSET(Normalized_FCF!G8, 0, $C$4))^(1/$C$4) - 1</f>
        <v>#VALUE!</v>
      </c>
      <c r="E13" s="347"/>
      <c r="F13" s="347"/>
      <c r="H13" s="276">
        <v>10</v>
      </c>
      <c r="I13" s="264" t="str">
        <f t="shared" si="0"/>
        <v/>
      </c>
    </row>
    <row r="14" spans="2:9" x14ac:dyDescent="0.35">
      <c r="B14" s="100" t="s">
        <v>67</v>
      </c>
      <c r="C14" s="159" t="e">
        <f ca="1">(Normalized_FCF!G19/OFFSET(Normalized_FCF!G19, 0, $C$4))^(1/$C$4) - 1</f>
        <v>#VALUE!</v>
      </c>
      <c r="E14" s="347"/>
      <c r="F14" s="347"/>
    </row>
    <row r="16" spans="2:9" ht="13.9" x14ac:dyDescent="0.45">
      <c r="B16" s="36" t="s">
        <v>164</v>
      </c>
      <c r="C16" s="37"/>
      <c r="D16" s="37"/>
      <c r="E16" s="37"/>
      <c r="F16" s="37"/>
    </row>
    <row r="17" spans="2:6" ht="13.15" x14ac:dyDescent="0.4">
      <c r="B17" s="109" t="s">
        <v>153</v>
      </c>
      <c r="E17" s="160" t="s">
        <v>340</v>
      </c>
    </row>
    <row r="18" spans="2:6" x14ac:dyDescent="0.35">
      <c r="B18" s="153" t="s">
        <v>135</v>
      </c>
      <c r="C18" s="151">
        <v>10</v>
      </c>
      <c r="E18" s="347" t="s">
        <v>341</v>
      </c>
      <c r="F18" s="348"/>
    </row>
    <row r="19" spans="2:6" x14ac:dyDescent="0.35">
      <c r="E19" s="348"/>
      <c r="F19" s="348"/>
    </row>
    <row r="20" spans="2:6" ht="13.15" x14ac:dyDescent="0.4">
      <c r="B20" s="160" t="s">
        <v>312</v>
      </c>
      <c r="E20" s="348"/>
      <c r="F20" s="348"/>
    </row>
    <row r="21" spans="2:6" x14ac:dyDescent="0.35">
      <c r="B21" s="100" t="s">
        <v>281</v>
      </c>
      <c r="C21" s="161">
        <f>Market_Price</f>
        <v>54.75</v>
      </c>
      <c r="D21" t="str">
        <f>Market_currency</f>
        <v>HKD</v>
      </c>
      <c r="E21" s="348"/>
      <c r="F21" s="348"/>
    </row>
    <row r="22" spans="2:6" x14ac:dyDescent="0.35">
      <c r="B22" s="100" t="s">
        <v>282</v>
      </c>
      <c r="C22" s="161">
        <f>Valuation_Model!C12</f>
        <v>39.280813176084358</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0.04</v>
      </c>
      <c r="D26" s="165"/>
      <c r="E26" s="346"/>
      <c r="F26" s="346"/>
    </row>
    <row r="27" spans="2:6" x14ac:dyDescent="0.35">
      <c r="B27" s="100" t="s">
        <v>115</v>
      </c>
      <c r="C27" s="161">
        <f>Valuation_Model!E76</f>
        <v>43.176383620613187</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0.02</v>
      </c>
      <c r="D32" s="165"/>
      <c r="E32" s="346"/>
      <c r="F32" s="346"/>
    </row>
    <row r="33" spans="2:6" x14ac:dyDescent="0.35">
      <c r="B33" s="100" t="s">
        <v>115</v>
      </c>
      <c r="C33" s="161">
        <f>Valuation_Model!E77</f>
        <v>41.135646155327265</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0.06</v>
      </c>
      <c r="D38" s="165"/>
      <c r="E38" s="346"/>
      <c r="F38" s="346"/>
    </row>
    <row r="39" spans="2:6" x14ac:dyDescent="0.35">
      <c r="B39" s="100" t="s">
        <v>115</v>
      </c>
      <c r="C39" s="161">
        <f>Valuation_Model!E75</f>
        <v>45.425274265233355</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43.218014256480032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v>
      </c>
      <c r="D50" s="165"/>
      <c r="E50" s="346"/>
      <c r="F50" s="346"/>
    </row>
    <row r="51" spans="2:6" x14ac:dyDescent="0.35">
      <c r="B51" s="100" t="s">
        <v>115</v>
      </c>
      <c r="C51" s="161">
        <f>Valuation_Model!E78</f>
        <v>39.280813176084351</v>
      </c>
      <c r="D51" t="str">
        <f>Market_currency</f>
        <v>HKD</v>
      </c>
      <c r="E51" s="346"/>
      <c r="F51" s="346"/>
    </row>
    <row r="52" spans="2:6" x14ac:dyDescent="0.35">
      <c r="B52" s="100" t="s">
        <v>149</v>
      </c>
      <c r="C52" s="166">
        <v>0.05</v>
      </c>
      <c r="D52" s="166"/>
      <c r="E52" s="346"/>
      <c r="F52" s="346"/>
    </row>
    <row r="54" spans="2:6" ht="13.15" x14ac:dyDescent="0.4">
      <c r="B54" s="160" t="s">
        <v>326</v>
      </c>
      <c r="E54" s="160" t="s">
        <v>151</v>
      </c>
      <c r="F54" s="160"/>
    </row>
    <row r="55" spans="2:6" x14ac:dyDescent="0.35">
      <c r="B55" s="153" t="s">
        <v>135</v>
      </c>
      <c r="C55" s="167">
        <f>C46</f>
        <v>15</v>
      </c>
      <c r="D55" s="164"/>
      <c r="E55" s="346"/>
      <c r="F55" s="346"/>
    </row>
    <row r="56" spans="2:6" x14ac:dyDescent="0.35">
      <c r="B56" s="119" t="s">
        <v>136</v>
      </c>
      <c r="C56" s="165">
        <v>0.1</v>
      </c>
      <c r="D56" s="165"/>
      <c r="E56" s="346"/>
      <c r="F56" s="346"/>
    </row>
    <row r="57" spans="2:6" x14ac:dyDescent="0.35">
      <c r="B57" s="100" t="s">
        <v>115</v>
      </c>
      <c r="C57" s="161">
        <f>Valuation_Model!E74</f>
        <v>60.566351150761136</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43.888571047174302</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10</v>
      </c>
      <c r="D64" s="151"/>
      <c r="E64" s="281" t="s">
        <v>411</v>
      </c>
    </row>
    <row r="65" spans="2:6" x14ac:dyDescent="0.35">
      <c r="B65" s="119" t="s">
        <v>136</v>
      </c>
      <c r="C65" s="152">
        <v>4.6574870890079501E-2</v>
      </c>
      <c r="D65" s="152"/>
      <c r="E65" s="281" t="s">
        <v>322</v>
      </c>
    </row>
    <row r="66" spans="2:6" x14ac:dyDescent="0.35">
      <c r="B66" s="100" t="s">
        <v>104</v>
      </c>
      <c r="C66" s="161">
        <f>Valuation_Model!C18</f>
        <v>43.891569402079135</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0.24039331405288208</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2.339927674962774</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4.5675388215273349</v>
      </c>
      <c r="D81" s="117"/>
      <c r="E81" s="100"/>
      <c r="F81" s="100"/>
    </row>
    <row r="82" spans="2:8" x14ac:dyDescent="0.35">
      <c r="B82" s="100" t="s">
        <v>124</v>
      </c>
      <c r="C82" s="117">
        <f>C60/(1+C80)^C76</f>
        <v>22.470948376153242</v>
      </c>
      <c r="D82" s="117"/>
    </row>
    <row r="83" spans="2:8" ht="13.15" x14ac:dyDescent="0.4">
      <c r="B83" s="111" t="s">
        <v>103</v>
      </c>
      <c r="C83" s="112">
        <f>C81+C82</f>
        <v>27.038487197680578</v>
      </c>
      <c r="D83" t="str">
        <f>Market_currency</f>
        <v>HKD</v>
      </c>
      <c r="E83" s="147" t="s">
        <v>128</v>
      </c>
      <c r="F83" s="329">
        <f>(1-C83/C60)</f>
        <v>0.38392874152549084</v>
      </c>
    </row>
    <row r="84" spans="2:8" x14ac:dyDescent="0.35">
      <c r="E84" s="121"/>
    </row>
    <row r="85" spans="2:8" ht="13.15" x14ac:dyDescent="0.4">
      <c r="B85" s="109" t="s">
        <v>311</v>
      </c>
    </row>
    <row r="86" spans="2:8" x14ac:dyDescent="0.35">
      <c r="B86" s="149" t="s">
        <v>309</v>
      </c>
      <c r="C86" s="266">
        <f>Market_Price</f>
        <v>54.75</v>
      </c>
      <c r="D86" t="str">
        <f>Market_currency</f>
        <v>HKD</v>
      </c>
    </row>
    <row r="87" spans="2:8" ht="13.15" x14ac:dyDescent="0.4">
      <c r="B87" s="100" t="s">
        <v>307</v>
      </c>
      <c r="C87" s="265">
        <f ca="1">IRR(OFFSET($I$3, 0, 0, $C$76 + 1, 1))</f>
        <v>-2.5075247395360156E-2</v>
      </c>
    </row>
    <row r="88" spans="2:8" x14ac:dyDescent="0.35">
      <c r="B88" s="100"/>
    </row>
    <row r="89" spans="2:8" ht="13.15" x14ac:dyDescent="0.4">
      <c r="B89" s="109" t="s">
        <v>414</v>
      </c>
    </row>
    <row r="90" spans="2:8" x14ac:dyDescent="0.35">
      <c r="B90" s="149" t="s">
        <v>421</v>
      </c>
      <c r="C90" s="135">
        <f>(Thesis!E19+Thesis!C67)/2</f>
        <v>5.7250000000000002E-2</v>
      </c>
    </row>
    <row r="91" spans="2:8" x14ac:dyDescent="0.35">
      <c r="B91" s="100" t="s">
        <v>123</v>
      </c>
      <c r="C91" s="117">
        <f>PV(C90, C76, -C77, 0)</f>
        <v>6.2866148239914477</v>
      </c>
      <c r="D91" s="117"/>
    </row>
    <row r="92" spans="2:8" x14ac:dyDescent="0.35">
      <c r="B92" s="100" t="s">
        <v>124</v>
      </c>
      <c r="C92" s="117">
        <f>C60/(1+C90)^C76</f>
        <v>37.137986975177412</v>
      </c>
      <c r="D92" s="117"/>
    </row>
    <row r="93" spans="2:8" ht="13.15" x14ac:dyDescent="0.4">
      <c r="B93" s="111" t="s">
        <v>415</v>
      </c>
      <c r="C93" s="112">
        <f>C91+C92</f>
        <v>43.424601799168862</v>
      </c>
      <c r="D93" t="s">
        <v>413</v>
      </c>
      <c r="E93" s="147" t="s">
        <v>128</v>
      </c>
      <c r="F93" s="329">
        <f>(1-C93/C60)</f>
        <v>1.0571527778991396E-2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2025-04-29T14:28:06Z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