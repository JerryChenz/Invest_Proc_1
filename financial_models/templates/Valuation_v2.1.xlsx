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templates\"/>
    </mc:Choice>
  </mc:AlternateContent>
  <xr:revisionPtr revIDLastSave="0" documentId="13_ncr:1_{A01ECF68-34A5-476C-BB47-1B2D9EB84220}" xr6:coauthVersionLast="47" xr6:coauthVersionMax="47" xr10:uidLastSave="{00000000-0000-0000-0000-000000000000}"/>
  <bookViews>
    <workbookView xWindow="33720" yWindow="-120" windowWidth="29040" windowHeight="15720" activeTab="5"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Thesis!$C$7</definedName>
    <definedName name="Equity_Cost">Valuation_Model!$C$5</definedName>
    <definedName name="Exchange_Rate">Thesis!$C$17</definedName>
    <definedName name="Market_currency">Thesis!$D$6</definedName>
    <definedName name="Market_Price">Thesis!$C$6</definedName>
    <definedName name="Reporting_currency">Thesis!$C$16</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C72" i="9" l="1"/>
  <c r="F72" i="9"/>
  <c r="H50" i="2"/>
  <c r="I50" i="2"/>
  <c r="J50" i="2"/>
  <c r="K50" i="2"/>
  <c r="L50" i="2"/>
  <c r="M50" i="2"/>
  <c r="N50" i="2"/>
  <c r="O50" i="2"/>
  <c r="P50" i="2"/>
  <c r="Q50" i="2"/>
  <c r="G50" i="2"/>
  <c r="G12" i="2" s="1"/>
  <c r="H48" i="2"/>
  <c r="I48" i="2"/>
  <c r="J48" i="2"/>
  <c r="K48" i="2"/>
  <c r="L48" i="2"/>
  <c r="M48" i="2"/>
  <c r="N48" i="2"/>
  <c r="O48" i="2"/>
  <c r="P48" i="2"/>
  <c r="Q48" i="2"/>
  <c r="G48" i="2"/>
  <c r="D41" i="6"/>
  <c r="D40" i="6"/>
  <c r="E86" i="2"/>
  <c r="E85" i="2"/>
  <c r="F60" i="9"/>
  <c r="B10" i="6"/>
  <c r="B20" i="6"/>
  <c r="C40" i="3" l="1"/>
  <c r="C3" i="2" l="1"/>
  <c r="B91" i="2"/>
  <c r="B90" i="2"/>
  <c r="C9" i="6"/>
  <c r="C71" i="9"/>
  <c r="D66" i="9"/>
  <c r="D18" i="8"/>
  <c r="D22" i="9"/>
  <c r="D21" i="9"/>
  <c r="D9" i="9"/>
  <c r="D86" i="9"/>
  <c r="C86" i="9"/>
  <c r="C76" i="9"/>
  <c r="E87" i="3"/>
  <c r="E88" i="3"/>
  <c r="E89" i="3"/>
  <c r="E86" i="3"/>
  <c r="I3" i="9"/>
  <c r="C69" i="6" l="1"/>
  <c r="C68" i="6"/>
  <c r="C70" i="6" l="1"/>
  <c r="D95" i="6"/>
  <c r="D91" i="6"/>
  <c r="D86" i="6"/>
  <c r="D76" i="6"/>
  <c r="E7" i="9"/>
  <c r="D8" i="9"/>
  <c r="D7" i="9"/>
  <c r="C21" i="9"/>
  <c r="D56" i="6"/>
  <c r="B120" i="2"/>
  <c r="C120" i="6"/>
  <c r="C121" i="6"/>
  <c r="C80" i="9" s="1"/>
  <c r="D89" i="6"/>
  <c r="D99" i="6"/>
  <c r="D122" i="6"/>
  <c r="D112" i="6"/>
  <c r="F78" i="8"/>
  <c r="F74" i="8"/>
  <c r="F106" i="6" s="1"/>
  <c r="D94" i="6"/>
  <c r="D90" i="6"/>
  <c r="D85" i="6"/>
  <c r="F4" i="8"/>
  <c r="D57" i="6"/>
  <c r="D45" i="6"/>
  <c r="B83" i="2"/>
  <c r="D51" i="6"/>
  <c r="D48" i="6"/>
  <c r="D42" i="6"/>
  <c r="D37" i="6"/>
  <c r="D34" i="6"/>
  <c r="D33" i="6"/>
  <c r="D30" i="6"/>
  <c r="B125" i="6" l="1"/>
  <c r="B126" i="6"/>
  <c r="F76" i="8"/>
  <c r="F108" i="6" s="1"/>
  <c r="F77" i="8"/>
  <c r="F109" i="6" s="1"/>
  <c r="F110"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K58" i="4"/>
  <c r="O62" i="2" s="1"/>
  <c r="L58" i="4"/>
  <c r="P62"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K44" i="4"/>
  <c r="L44" i="4"/>
  <c r="M44" i="4"/>
  <c r="B22" i="4"/>
  <c r="G39" i="3" l="1"/>
  <c r="H39" i="3"/>
  <c r="D24" i="3"/>
  <c r="G36" i="3"/>
  <c r="D12" i="3"/>
  <c r="G66" i="2"/>
  <c r="C66" i="2" s="1"/>
  <c r="D79" i="3"/>
  <c r="D82" i="3" s="1"/>
  <c r="H42" i="3" s="1"/>
  <c r="C9" i="8" s="1"/>
  <c r="C88" i="3" s="1"/>
  <c r="C79" i="3"/>
  <c r="C82" i="3" s="1"/>
  <c r="G42" i="3" s="1"/>
  <c r="B47" i="3"/>
  <c r="D83" i="9"/>
  <c r="D77" i="9"/>
  <c r="D60" i="9"/>
  <c r="D57" i="9"/>
  <c r="D51" i="9"/>
  <c r="D42" i="9"/>
  <c r="D39" i="9"/>
  <c r="D27" i="9"/>
  <c r="D33" i="9"/>
  <c r="D12" i="8"/>
  <c r="C11" i="8"/>
  <c r="D10" i="8"/>
  <c r="H1" i="3"/>
  <c r="B78" i="8"/>
  <c r="B110" i="6" s="1"/>
  <c r="B77" i="8"/>
  <c r="B109" i="6" s="1"/>
  <c r="B76" i="8"/>
  <c r="B108" i="6" s="1"/>
  <c r="B75" i="8"/>
  <c r="B107" i="6" s="1"/>
  <c r="B74" i="8"/>
  <c r="B106" i="6" s="1"/>
  <c r="C74" i="8"/>
  <c r="C55" i="9"/>
  <c r="D74" i="8" s="1"/>
  <c r="D106" i="6" s="1"/>
  <c r="C49" i="9"/>
  <c r="C40" i="9"/>
  <c r="F75" i="8" s="1"/>
  <c r="F107"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G68" i="2"/>
  <c r="C68" i="2" s="1"/>
  <c r="D88" i="3" l="1"/>
  <c r="F55" i="8"/>
  <c r="F64" i="8" s="1"/>
  <c r="C106" i="6"/>
  <c r="C94" i="6"/>
  <c r="G67" i="2"/>
  <c r="C60" i="2"/>
  <c r="C67" i="2" l="1"/>
  <c r="C59" i="2" s="1"/>
  <c r="C58" i="2"/>
  <c r="C77" i="8"/>
  <c r="C31" i="9"/>
  <c r="D77" i="8" s="1"/>
  <c r="D109" i="6" s="1"/>
  <c r="D78" i="8"/>
  <c r="D110" i="6" s="1"/>
  <c r="C25" i="9"/>
  <c r="D76" i="8" s="1"/>
  <c r="D108" i="6" s="1"/>
  <c r="C76" i="8"/>
  <c r="C5" i="8"/>
  <c r="C78" i="8"/>
  <c r="D75" i="8"/>
  <c r="D107" i="6" s="1"/>
  <c r="C75" i="8"/>
  <c r="C17" i="8"/>
  <c r="C16" i="8"/>
  <c r="Q96" i="2"/>
  <c r="D51" i="8"/>
  <c r="D127" i="6"/>
  <c r="A71" i="8"/>
  <c r="A70" i="8"/>
  <c r="C61" i="2" l="1"/>
  <c r="C63" i="2" s="1"/>
  <c r="D55" i="8"/>
  <c r="C108" i="6"/>
  <c r="B55" i="8"/>
  <c r="B64" i="8" s="1"/>
  <c r="C110" i="6"/>
  <c r="C55" i="8"/>
  <c r="C109" i="6"/>
  <c r="E55" i="8"/>
  <c r="C10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37" i="6" s="1"/>
  <c r="H32" i="3"/>
  <c r="H27" i="3" s="1"/>
  <c r="H29" i="3" s="1"/>
  <c r="D46" i="3" s="1"/>
  <c r="D47" i="3" s="1"/>
  <c r="D64" i="8"/>
  <c r="E64" i="8"/>
  <c r="A67" i="8"/>
  <c r="A68" i="8"/>
  <c r="A69" i="8"/>
  <c r="A66" i="8"/>
  <c r="D4" i="8"/>
  <c r="I64" i="4" l="1"/>
  <c r="M90" i="2" s="1"/>
  <c r="J64" i="4"/>
  <c r="N90" i="2" s="1"/>
  <c r="K64" i="4"/>
  <c r="O90" i="2" s="1"/>
  <c r="L64" i="4"/>
  <c r="P90" i="2" s="1"/>
  <c r="M64" i="4"/>
  <c r="Q90" i="2" s="1"/>
  <c r="C28" i="6" l="1"/>
  <c r="C102" i="2"/>
  <c r="C103" i="2"/>
  <c r="K75" i="4"/>
  <c r="L75" i="4"/>
  <c r="M75" i="4"/>
  <c r="E78" i="4"/>
  <c r="I104" i="2" s="1"/>
  <c r="F78" i="4"/>
  <c r="J104" i="2" s="1"/>
  <c r="G78" i="4"/>
  <c r="K104" i="2" s="1"/>
  <c r="H78" i="4"/>
  <c r="L104" i="2" s="1"/>
  <c r="I78" i="4"/>
  <c r="M104" i="2" s="1"/>
  <c r="J78" i="4"/>
  <c r="N104" i="2" s="1"/>
  <c r="K78" i="4"/>
  <c r="O104" i="2" s="1"/>
  <c r="L78" i="4"/>
  <c r="P104" i="2" s="1"/>
  <c r="M78" i="4"/>
  <c r="Q104" i="2" s="1"/>
  <c r="E79" i="4"/>
  <c r="I105" i="2" s="1"/>
  <c r="F79" i="4"/>
  <c r="J105" i="2" s="1"/>
  <c r="G79" i="4"/>
  <c r="K105" i="2" s="1"/>
  <c r="H79" i="4"/>
  <c r="L105" i="2" s="1"/>
  <c r="I79" i="4"/>
  <c r="M105" i="2" s="1"/>
  <c r="J79" i="4"/>
  <c r="N105" i="2" s="1"/>
  <c r="K79" i="4"/>
  <c r="O105" i="2" s="1"/>
  <c r="L79" i="4"/>
  <c r="P105" i="2" s="1"/>
  <c r="M79" i="4"/>
  <c r="Q105" i="2" s="1"/>
  <c r="C78" i="4"/>
  <c r="D78" i="4"/>
  <c r="H104" i="2" s="1"/>
  <c r="C76" i="4"/>
  <c r="C77" i="4"/>
  <c r="M71" i="4"/>
  <c r="B71" i="4"/>
  <c r="M67" i="4"/>
  <c r="M68" i="4"/>
  <c r="M69" i="4"/>
  <c r="M70" i="4"/>
  <c r="B70" i="4"/>
  <c r="B69" i="4"/>
  <c r="B68" i="4"/>
  <c r="B67" i="4"/>
  <c r="D17" i="6"/>
  <c r="D11" i="8" s="1"/>
  <c r="D1" i="4"/>
  <c r="C95" i="6" l="1"/>
  <c r="J75" i="4"/>
  <c r="I75" i="4"/>
  <c r="H75" i="4"/>
  <c r="F75" i="4"/>
  <c r="E75" i="4"/>
  <c r="G75" i="4"/>
  <c r="C46" i="4" l="1"/>
  <c r="G14" i="2" s="1"/>
  <c r="C47" i="4"/>
  <c r="C48" i="4"/>
  <c r="G15" i="2" s="1"/>
  <c r="C66" i="3"/>
  <c r="C49" i="2" s="1"/>
  <c r="C24" i="3"/>
  <c r="G24" i="3"/>
  <c r="G12" i="3"/>
  <c r="C12" i="3"/>
  <c r="K45" i="4"/>
  <c r="L45" i="4"/>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C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K43" i="4"/>
  <c r="L43" i="4"/>
  <c r="M43" i="4"/>
  <c r="D64" i="4"/>
  <c r="H90" i="2" s="1"/>
  <c r="E64" i="4"/>
  <c r="I90" i="2" s="1"/>
  <c r="F64" i="4"/>
  <c r="J90" i="2" s="1"/>
  <c r="G64" i="4"/>
  <c r="K90" i="2" s="1"/>
  <c r="H64" i="4"/>
  <c r="L90" i="2" s="1"/>
  <c r="C64" i="4"/>
  <c r="G90" i="2" s="1"/>
  <c r="C90" i="2" s="1"/>
  <c r="G104" i="2"/>
  <c r="C79" i="4"/>
  <c r="E76" i="4"/>
  <c r="F76" i="4"/>
  <c r="G76" i="4"/>
  <c r="H76" i="4"/>
  <c r="E77" i="4"/>
  <c r="F77" i="4"/>
  <c r="G77" i="4"/>
  <c r="H77" i="4"/>
  <c r="D77" i="4"/>
  <c r="D79" i="4"/>
  <c r="H105" i="2" s="1"/>
  <c r="D76" i="4"/>
  <c r="C77" i="9" l="1"/>
  <c r="C122" i="6" s="1"/>
  <c r="C93" i="2"/>
  <c r="C59" i="6" s="1"/>
  <c r="I4" i="9"/>
  <c r="C70" i="3"/>
  <c r="C69" i="2" s="1"/>
  <c r="C89" i="6"/>
  <c r="J45" i="4"/>
  <c r="I45" i="4"/>
  <c r="G35" i="3"/>
  <c r="G40" i="3"/>
  <c r="D58" i="3"/>
  <c r="G105" i="2"/>
  <c r="C75" i="4"/>
  <c r="D75" i="4"/>
  <c r="C45" i="4"/>
  <c r="F45" i="4"/>
  <c r="D45" i="4"/>
  <c r="G45" i="4"/>
  <c r="E45" i="4"/>
  <c r="H45" i="4"/>
  <c r="I41" i="4"/>
  <c r="M33" i="2" s="1"/>
  <c r="J41" i="4"/>
  <c r="N33" i="2" s="1"/>
  <c r="K41" i="4"/>
  <c r="O33" i="2" s="1"/>
  <c r="L41" i="4"/>
  <c r="P33" i="2" s="1"/>
  <c r="M41" i="4"/>
  <c r="Q33" i="2" s="1"/>
  <c r="D41" i="4"/>
  <c r="H33" i="2" s="1"/>
  <c r="D36" i="4"/>
  <c r="C71" i="4" s="1"/>
  <c r="E36" i="4"/>
  <c r="D71" i="4" s="1"/>
  <c r="F36" i="4"/>
  <c r="E71" i="4" s="1"/>
  <c r="G36" i="4"/>
  <c r="F71" i="4" s="1"/>
  <c r="H36" i="4"/>
  <c r="G71" i="4" s="1"/>
  <c r="I36" i="4"/>
  <c r="H71" i="4" s="1"/>
  <c r="J36" i="4"/>
  <c r="I71" i="4" s="1"/>
  <c r="K36" i="4"/>
  <c r="J71" i="4" s="1"/>
  <c r="L36" i="4"/>
  <c r="K71" i="4" s="1"/>
  <c r="M36" i="4"/>
  <c r="L71" i="4" s="1"/>
  <c r="C36" i="4"/>
  <c r="B39" i="2"/>
  <c r="B38" i="2"/>
  <c r="B29" i="2"/>
  <c r="I5" i="9" l="1"/>
  <c r="C81" i="9"/>
  <c r="C125" i="6" s="1"/>
  <c r="C9" i="2"/>
  <c r="C33" i="6" s="1"/>
  <c r="G41" i="3"/>
  <c r="G32" i="3"/>
  <c r="G27" i="3" s="1"/>
  <c r="L69" i="4"/>
  <c r="L67" i="4"/>
  <c r="L68" i="4"/>
  <c r="L70" i="4"/>
  <c r="D67" i="4"/>
  <c r="D68" i="4"/>
  <c r="D70" i="4"/>
  <c r="K69" i="4"/>
  <c r="K68" i="4"/>
  <c r="K70" i="4"/>
  <c r="K67" i="4"/>
  <c r="C67" i="4"/>
  <c r="C68" i="4"/>
  <c r="C70" i="4"/>
  <c r="J68" i="4"/>
  <c r="J70" i="4"/>
  <c r="J69" i="4"/>
  <c r="J67" i="4"/>
  <c r="I70" i="4"/>
  <c r="I67" i="4"/>
  <c r="I68" i="4"/>
  <c r="E68" i="4"/>
  <c r="E67" i="4"/>
  <c r="E70" i="4"/>
  <c r="H67" i="4"/>
  <c r="H70" i="4"/>
  <c r="H68" i="4"/>
  <c r="G67" i="4"/>
  <c r="G68" i="4"/>
  <c r="G70" i="4"/>
  <c r="F68" i="4"/>
  <c r="F70" i="4"/>
  <c r="F67" i="4"/>
  <c r="J4" i="2"/>
  <c r="Q4" i="2"/>
  <c r="Q19" i="2" s="1"/>
  <c r="P4" i="2"/>
  <c r="P19" i="2" s="1"/>
  <c r="I4" i="2"/>
  <c r="G4" i="2"/>
  <c r="H4" i="2"/>
  <c r="L4" i="2"/>
  <c r="L19" i="2" s="1"/>
  <c r="K4" i="2"/>
  <c r="K38" i="4"/>
  <c r="O4" i="2"/>
  <c r="O19" i="2" s="1"/>
  <c r="J38" i="4"/>
  <c r="J43" i="4" s="1"/>
  <c r="J44" i="4" s="1"/>
  <c r="J58" i="4" s="1"/>
  <c r="N62" i="2" s="1"/>
  <c r="N4" i="2"/>
  <c r="N19" i="2" s="1"/>
  <c r="I38" i="4"/>
  <c r="I43" i="4" s="1"/>
  <c r="I44" i="4" s="1"/>
  <c r="I58" i="4" s="1"/>
  <c r="M62" i="2" s="1"/>
  <c r="M4" i="2"/>
  <c r="M19" i="2" s="1"/>
  <c r="H41" i="4"/>
  <c r="L33" i="2" s="1"/>
  <c r="G38" i="4"/>
  <c r="G43" i="4" s="1"/>
  <c r="G44" i="4" s="1"/>
  <c r="E41" i="4"/>
  <c r="I33" i="2" s="1"/>
  <c r="G41" i="4"/>
  <c r="K33" i="2" s="1"/>
  <c r="H38" i="4"/>
  <c r="H43" i="4" s="1"/>
  <c r="C41" i="4"/>
  <c r="G33" i="2" s="1"/>
  <c r="C33" i="2" s="1"/>
  <c r="F41" i="4"/>
  <c r="J33" i="2" s="1"/>
  <c r="C38" i="4"/>
  <c r="C43" i="4" s="1"/>
  <c r="D38" i="4"/>
  <c r="D43" i="4" s="1"/>
  <c r="D44" i="4" s="1"/>
  <c r="F38" i="4"/>
  <c r="F43" i="4" s="1"/>
  <c r="F44" i="4" s="1"/>
  <c r="L38" i="4"/>
  <c r="E38" i="4"/>
  <c r="E43" i="4" s="1"/>
  <c r="M38" i="4"/>
  <c r="C10" i="6"/>
  <c r="B4" i="6"/>
  <c r="Q93" i="2" l="1"/>
  <c r="O93" i="2"/>
  <c r="K93" i="2"/>
  <c r="P93" i="2"/>
  <c r="J93" i="2"/>
  <c r="H93" i="2"/>
  <c r="C4" i="2"/>
  <c r="I93" i="2"/>
  <c r="L43" i="2"/>
  <c r="L93" i="2"/>
  <c r="M43" i="2"/>
  <c r="M93" i="2"/>
  <c r="N43" i="2"/>
  <c r="N93" i="2"/>
  <c r="G93" i="2"/>
  <c r="P81" i="2"/>
  <c r="P113" i="2" s="1"/>
  <c r="P43" i="2"/>
  <c r="O81" i="2"/>
  <c r="O113" i="2" s="1"/>
  <c r="O43" i="2"/>
  <c r="Q81" i="2"/>
  <c r="Q113" i="2" s="1"/>
  <c r="Q43" i="2"/>
  <c r="C12" i="9"/>
  <c r="H101" i="2"/>
  <c r="P55" i="2"/>
  <c r="P120" i="2"/>
  <c r="P121" i="2"/>
  <c r="P101" i="2"/>
  <c r="M101" i="2"/>
  <c r="N101" i="2"/>
  <c r="Q55" i="2"/>
  <c r="Q120" i="2"/>
  <c r="Q121" i="2"/>
  <c r="Q101" i="2"/>
  <c r="K101" i="2"/>
  <c r="I101" i="2"/>
  <c r="O55" i="2"/>
  <c r="O120" i="2"/>
  <c r="O121" i="2"/>
  <c r="O101" i="2"/>
  <c r="J101" i="2"/>
  <c r="L101" i="2"/>
  <c r="G110" i="2"/>
  <c r="N103" i="2"/>
  <c r="N109" i="2" s="1"/>
  <c r="N102" i="2"/>
  <c r="N108" i="2" s="1"/>
  <c r="O8" i="2"/>
  <c r="O103" i="2"/>
  <c r="O102" i="2"/>
  <c r="J102" i="2"/>
  <c r="J108" i="2" s="1"/>
  <c r="J103" i="2"/>
  <c r="J109" i="2" s="1"/>
  <c r="M103" i="2"/>
  <c r="M109" i="2" s="1"/>
  <c r="M102" i="2"/>
  <c r="M108" i="2" s="1"/>
  <c r="H102" i="2"/>
  <c r="H108" i="2" s="1"/>
  <c r="H103" i="2"/>
  <c r="H109" i="2" s="1"/>
  <c r="I102" i="2"/>
  <c r="I108" i="2" s="1"/>
  <c r="I103" i="2"/>
  <c r="I109" i="2" s="1"/>
  <c r="P8" i="2"/>
  <c r="P102" i="2"/>
  <c r="P103" i="2"/>
  <c r="Q8" i="2"/>
  <c r="Q102" i="2"/>
  <c r="Q103" i="2"/>
  <c r="K103" i="2"/>
  <c r="K109" i="2" s="1"/>
  <c r="K102" i="2"/>
  <c r="K108" i="2" s="1"/>
  <c r="L102" i="2"/>
  <c r="L108" i="2" s="1"/>
  <c r="L103" i="2"/>
  <c r="L109" i="2" s="1"/>
  <c r="H61" i="2"/>
  <c r="H11" i="2" s="1"/>
  <c r="G61" i="2"/>
  <c r="I61" i="2"/>
  <c r="I11" i="2" s="1"/>
  <c r="Q61" i="2"/>
  <c r="Q11" i="2" s="1"/>
  <c r="Q63" i="2"/>
  <c r="M61" i="2"/>
  <c r="P61" i="2"/>
  <c r="P11" i="2" s="1"/>
  <c r="P63" i="2"/>
  <c r="J61" i="2"/>
  <c r="J11" i="2" s="1"/>
  <c r="N61" i="2"/>
  <c r="K61" i="2"/>
  <c r="K11" i="2" s="1"/>
  <c r="O63" i="2"/>
  <c r="O61" i="2"/>
  <c r="O11" i="2" s="1"/>
  <c r="L61" i="2"/>
  <c r="L11" i="2" s="1"/>
  <c r="H69" i="4"/>
  <c r="I69" i="4"/>
  <c r="F58" i="4"/>
  <c r="J62" i="2" s="1"/>
  <c r="D58" i="4"/>
  <c r="H62" i="2" s="1"/>
  <c r="G58" i="4"/>
  <c r="H44" i="4"/>
  <c r="H58" i="4" s="1"/>
  <c r="E44" i="4"/>
  <c r="E58" i="4" s="1"/>
  <c r="C44" i="4"/>
  <c r="C58" i="4" s="1"/>
  <c r="Q13" i="2"/>
  <c r="Q16" i="2"/>
  <c r="P16" i="2"/>
  <c r="P13" i="2"/>
  <c r="O13" i="2"/>
  <c r="O16" i="2"/>
  <c r="C105" i="2"/>
  <c r="G53" i="2"/>
  <c r="P92" i="2"/>
  <c r="Q92" i="2"/>
  <c r="O92" i="2"/>
  <c r="M96" i="2"/>
  <c r="O96" i="2"/>
  <c r="P96" i="2"/>
  <c r="N96" i="2"/>
  <c r="L96" i="2"/>
  <c r="G96" i="2"/>
  <c r="I96" i="2"/>
  <c r="C101" i="2"/>
  <c r="D59" i="3"/>
  <c r="K96" i="2"/>
  <c r="H96" i="2"/>
  <c r="J96" i="2"/>
  <c r="O91" i="2"/>
  <c r="Q91" i="2"/>
  <c r="P91" i="2"/>
  <c r="P115" i="2"/>
  <c r="P116" i="2"/>
  <c r="Q115" i="2"/>
  <c r="Q116" i="2"/>
  <c r="O116" i="2"/>
  <c r="O115" i="2"/>
  <c r="O109" i="2"/>
  <c r="O108" i="2"/>
  <c r="Q108" i="2"/>
  <c r="Q109" i="2"/>
  <c r="P108" i="2"/>
  <c r="P109" i="2"/>
  <c r="K82" i="2"/>
  <c r="Q79" i="2"/>
  <c r="J29" i="2"/>
  <c r="P83" i="2"/>
  <c r="G78" i="2"/>
  <c r="G102" i="2"/>
  <c r="G108" i="2" s="1"/>
  <c r="G103" i="2"/>
  <c r="G109" i="2" s="1"/>
  <c r="G101" i="2"/>
  <c r="L83" i="2"/>
  <c r="J77" i="2"/>
  <c r="P77" i="2"/>
  <c r="I25" i="2"/>
  <c r="I30" i="2" s="1"/>
  <c r="E69" i="4"/>
  <c r="Q35" i="2"/>
  <c r="Q7" i="2" s="1"/>
  <c r="Q77" i="2"/>
  <c r="H29" i="2"/>
  <c r="Q6" i="2"/>
  <c r="Q12" i="2"/>
  <c r="Q83" i="2"/>
  <c r="Q38" i="2"/>
  <c r="Q75" i="2"/>
  <c r="Q87" i="2"/>
  <c r="K25" i="2"/>
  <c r="K30" i="2" s="1"/>
  <c r="I82" i="2"/>
  <c r="K12" i="2"/>
  <c r="K80" i="2" s="1"/>
  <c r="Q84" i="2"/>
  <c r="Q80" i="2"/>
  <c r="Q82" i="2"/>
  <c r="Q73" i="2"/>
  <c r="Q25" i="2"/>
  <c r="Q5" i="2" s="1"/>
  <c r="P97" i="2" s="1"/>
  <c r="Q29" i="2"/>
  <c r="K38" i="2"/>
  <c r="Q76" i="2"/>
  <c r="Q40" i="2"/>
  <c r="Q39" i="2"/>
  <c r="Q30" i="2"/>
  <c r="Q28" i="2"/>
  <c r="Q74" i="2"/>
  <c r="Q78" i="2"/>
  <c r="F69" i="4"/>
  <c r="J35" i="2"/>
  <c r="J40" i="2" s="1"/>
  <c r="H12" i="2"/>
  <c r="H80" i="2" s="1"/>
  <c r="I29" i="2"/>
  <c r="H39" i="2"/>
  <c r="H82" i="2"/>
  <c r="C69" i="4"/>
  <c r="I39" i="2"/>
  <c r="H83" i="2"/>
  <c r="D69" i="4"/>
  <c r="H77" i="2"/>
  <c r="I12" i="2"/>
  <c r="I80" i="2" s="1"/>
  <c r="H78" i="2"/>
  <c r="I38" i="2"/>
  <c r="I78" i="2"/>
  <c r="H28" i="2"/>
  <c r="H35" i="2"/>
  <c r="H40" i="2" s="1"/>
  <c r="I77" i="2"/>
  <c r="I28" i="2"/>
  <c r="H38" i="2"/>
  <c r="G69" i="4"/>
  <c r="H25" i="2"/>
  <c r="H30" i="2" s="1"/>
  <c r="I83" i="2"/>
  <c r="L12" i="2"/>
  <c r="L80" i="2" s="1"/>
  <c r="J12" i="2"/>
  <c r="J80" i="2" s="1"/>
  <c r="J39" i="2"/>
  <c r="L78" i="2"/>
  <c r="J83" i="2"/>
  <c r="J78" i="2"/>
  <c r="J25" i="2"/>
  <c r="J30" i="2" s="1"/>
  <c r="J28" i="2"/>
  <c r="L28" i="2"/>
  <c r="L25" i="2"/>
  <c r="L30" i="2" s="1"/>
  <c r="L35" i="2"/>
  <c r="L40" i="2" s="1"/>
  <c r="J82" i="2"/>
  <c r="L82" i="2"/>
  <c r="L77" i="2"/>
  <c r="L29" i="2"/>
  <c r="G35" i="2"/>
  <c r="G40" i="2" s="1"/>
  <c r="L39" i="2"/>
  <c r="G83" i="2"/>
  <c r="G77" i="2"/>
  <c r="G39" i="2"/>
  <c r="G82" i="2"/>
  <c r="P40" i="2"/>
  <c r="P38" i="2"/>
  <c r="P84" i="2"/>
  <c r="K28" i="2"/>
  <c r="K29" i="2"/>
  <c r="P12" i="2"/>
  <c r="K77" i="2"/>
  <c r="P76" i="2"/>
  <c r="P30" i="2"/>
  <c r="P80" i="2"/>
  <c r="P74" i="2"/>
  <c r="P87" i="2"/>
  <c r="G29" i="2"/>
  <c r="P75" i="2"/>
  <c r="P39" i="2"/>
  <c r="P25" i="2"/>
  <c r="P5" i="2" s="1"/>
  <c r="O97" i="2" s="1"/>
  <c r="P82" i="2"/>
  <c r="P29" i="2"/>
  <c r="P35" i="2"/>
  <c r="P7" i="2" s="1"/>
  <c r="P73" i="2"/>
  <c r="G25" i="2"/>
  <c r="P6" i="2"/>
  <c r="G80" i="2"/>
  <c r="G28" i="2"/>
  <c r="C28" i="2" s="1"/>
  <c r="P28" i="2"/>
  <c r="K39" i="2"/>
  <c r="K83" i="2"/>
  <c r="P78" i="2"/>
  <c r="K78" i="2"/>
  <c r="P79" i="2"/>
  <c r="B1" i="4"/>
  <c r="G38" i="2"/>
  <c r="L38" i="2"/>
  <c r="J38" i="2"/>
  <c r="O79" i="2"/>
  <c r="O78" i="2"/>
  <c r="O77" i="2"/>
  <c r="O83" i="2"/>
  <c r="M78" i="2"/>
  <c r="M83" i="2"/>
  <c r="M77" i="2"/>
  <c r="N78" i="2"/>
  <c r="N83" i="2"/>
  <c r="N77" i="2"/>
  <c r="O80" i="2"/>
  <c r="O12" i="2"/>
  <c r="M12" i="2"/>
  <c r="M80" i="2" s="1"/>
  <c r="N12" i="2"/>
  <c r="N80" i="2" s="1"/>
  <c r="K35" i="2"/>
  <c r="I35" i="2"/>
  <c r="I40" i="2" s="1"/>
  <c r="M82" i="2"/>
  <c r="M39" i="2"/>
  <c r="M35" i="2"/>
  <c r="M7" i="2" s="1"/>
  <c r="M75" i="2" s="1"/>
  <c r="M28" i="2"/>
  <c r="M29" i="2"/>
  <c r="M25" i="2"/>
  <c r="M5" i="2" s="1"/>
  <c r="M38" i="2"/>
  <c r="N28" i="2"/>
  <c r="N82" i="2"/>
  <c r="N35" i="2"/>
  <c r="N7" i="2" s="1"/>
  <c r="N75" i="2" s="1"/>
  <c r="N38" i="2"/>
  <c r="N39" i="2"/>
  <c r="N25" i="2"/>
  <c r="N5" i="2" s="1"/>
  <c r="N29" i="2"/>
  <c r="O87" i="2"/>
  <c r="O84" i="2"/>
  <c r="O38" i="2"/>
  <c r="O39" i="2"/>
  <c r="O30" i="2"/>
  <c r="O29" i="2"/>
  <c r="O25" i="2"/>
  <c r="O5" i="2" s="1"/>
  <c r="N97" i="2" s="1"/>
  <c r="O35" i="2"/>
  <c r="O7" i="2" s="1"/>
  <c r="O6" i="2"/>
  <c r="O82" i="2"/>
  <c r="O76" i="2"/>
  <c r="O73" i="2"/>
  <c r="O74" i="2"/>
  <c r="O40" i="2"/>
  <c r="O28" i="2"/>
  <c r="O75" i="2"/>
  <c r="C29" i="2" l="1"/>
  <c r="C24" i="2" s="1"/>
  <c r="C110" i="2"/>
  <c r="G30" i="2"/>
  <c r="C73" i="3"/>
  <c r="C23" i="2"/>
  <c r="C17" i="2"/>
  <c r="C51" i="6" s="1"/>
  <c r="M63" i="2"/>
  <c r="M79" i="2" s="1"/>
  <c r="M11" i="2"/>
  <c r="N63" i="2"/>
  <c r="N79" i="2" s="1"/>
  <c r="N11" i="2"/>
  <c r="G69" i="2"/>
  <c r="G11" i="2"/>
  <c r="N73" i="2"/>
  <c r="M6" i="2"/>
  <c r="M8" i="2"/>
  <c r="M55" i="2" s="1"/>
  <c r="C96" i="2"/>
  <c r="J63" i="2"/>
  <c r="J79" i="2" s="1"/>
  <c r="H63" i="2"/>
  <c r="H79" i="2" s="1"/>
  <c r="N40" i="2"/>
  <c r="N115" i="2"/>
  <c r="M115" i="2"/>
  <c r="M74" i="2"/>
  <c r="M40" i="2"/>
  <c r="N6" i="2"/>
  <c r="N8" i="2" s="1"/>
  <c r="N55" i="2" s="1"/>
  <c r="M30" i="2"/>
  <c r="M73" i="2"/>
  <c r="N30" i="2"/>
  <c r="K62" i="2"/>
  <c r="L62" i="2"/>
  <c r="G62" i="2"/>
  <c r="G63" i="2" s="1"/>
  <c r="I62" i="2"/>
  <c r="C115" i="2"/>
  <c r="C55" i="3"/>
  <c r="L115" i="2"/>
  <c r="J115" i="2"/>
  <c r="G115" i="2"/>
  <c r="H115" i="2"/>
  <c r="K115" i="2"/>
  <c r="I115" i="2"/>
  <c r="C114" i="2"/>
  <c r="H5" i="2"/>
  <c r="I5" i="2"/>
  <c r="C108" i="2"/>
  <c r="C109" i="2"/>
  <c r="K5" i="2"/>
  <c r="J7" i="2"/>
  <c r="J75" i="2" s="1"/>
  <c r="C77" i="2"/>
  <c r="C78" i="2" s="1"/>
  <c r="L5" i="2"/>
  <c r="G7" i="2"/>
  <c r="G75" i="2" s="1"/>
  <c r="J5" i="2"/>
  <c r="C38" i="2"/>
  <c r="C39" i="2"/>
  <c r="L7" i="2"/>
  <c r="L75" i="2" s="1"/>
  <c r="H7" i="2"/>
  <c r="H75" i="2" s="1"/>
  <c r="G5" i="2"/>
  <c r="G73" i="2" s="1"/>
  <c r="K7" i="2"/>
  <c r="K75" i="2" s="1"/>
  <c r="K40" i="2"/>
  <c r="I7" i="2"/>
  <c r="I75" i="2" s="1"/>
  <c r="C35" i="2"/>
  <c r="C7" i="2" s="1"/>
  <c r="C74" i="3" l="1"/>
  <c r="C25" i="2"/>
  <c r="D73" i="3" s="1"/>
  <c r="C10" i="2"/>
  <c r="K73" i="2"/>
  <c r="I73" i="2"/>
  <c r="H73" i="2"/>
  <c r="J73" i="2"/>
  <c r="L73" i="2"/>
  <c r="L63" i="2"/>
  <c r="L79" i="2" s="1"/>
  <c r="K63" i="2"/>
  <c r="K79" i="2" s="1"/>
  <c r="I63" i="2"/>
  <c r="I79" i="2" s="1"/>
  <c r="N74" i="2"/>
  <c r="C79" i="2"/>
  <c r="H6" i="2"/>
  <c r="H8" i="2" s="1"/>
  <c r="K6" i="2"/>
  <c r="K8" i="2" s="1"/>
  <c r="K43" i="2" s="1"/>
  <c r="G6" i="2"/>
  <c r="G8" i="2" s="1"/>
  <c r="G43" i="2" s="1"/>
  <c r="I6" i="2"/>
  <c r="I8" i="2" s="1"/>
  <c r="L6" i="2"/>
  <c r="L8" i="2" s="1"/>
  <c r="L55" i="2" s="1"/>
  <c r="J6" i="2"/>
  <c r="J8" i="2" s="1"/>
  <c r="C75" i="2"/>
  <c r="C40" i="2"/>
  <c r="D74" i="3" l="1"/>
  <c r="C30" i="2"/>
  <c r="C5" i="2"/>
  <c r="C6" i="2" s="1"/>
  <c r="C8" i="2" s="1"/>
  <c r="C34" i="6"/>
  <c r="I55" i="2"/>
  <c r="I43" i="2"/>
  <c r="H55" i="2"/>
  <c r="H43" i="2"/>
  <c r="J55" i="2"/>
  <c r="J43" i="2"/>
  <c r="G55" i="2"/>
  <c r="C7" i="9"/>
  <c r="K55" i="2"/>
  <c r="C13" i="9"/>
  <c r="G79" i="2"/>
  <c r="L74" i="2"/>
  <c r="I74" i="2"/>
  <c r="H74" i="2"/>
  <c r="G74" i="2"/>
  <c r="K74" i="2"/>
  <c r="J74" i="2"/>
  <c r="C104" i="2"/>
  <c r="D76" i="3" l="1"/>
  <c r="D75" i="3" s="1"/>
  <c r="D55" i="3"/>
  <c r="G29" i="3"/>
  <c r="D62" i="3" s="1"/>
  <c r="C48" i="2" l="1"/>
  <c r="C40" i="6" s="1"/>
  <c r="D66" i="3"/>
  <c r="C8" i="8" s="1"/>
  <c r="D51" i="3"/>
  <c r="C46" i="3"/>
  <c r="C47" i="3" s="1"/>
  <c r="C62" i="3"/>
  <c r="C83" i="2" s="1"/>
  <c r="C90" i="6" l="1"/>
  <c r="C91" i="6" s="1"/>
  <c r="C87" i="3"/>
  <c r="D87" i="3" s="1"/>
  <c r="C15" i="2"/>
  <c r="G1" i="2"/>
  <c r="C45" i="6" l="1"/>
  <c r="N91" i="2"/>
  <c r="M91" i="2"/>
  <c r="C3" i="8"/>
  <c r="C91" i="2"/>
  <c r="J91" i="2"/>
  <c r="I91" i="2"/>
  <c r="K91" i="2"/>
  <c r="L91" i="2"/>
  <c r="H91" i="2"/>
  <c r="G91" i="2"/>
  <c r="F1" i="3"/>
  <c r="H1" i="2"/>
  <c r="P114" i="2"/>
  <c r="M114" i="2"/>
  <c r="L114" i="2"/>
  <c r="J114" i="2"/>
  <c r="K114" i="2"/>
  <c r="N114" i="2"/>
  <c r="I114" i="2"/>
  <c r="O114" i="2"/>
  <c r="H114" i="2"/>
  <c r="Q114" i="2"/>
  <c r="E1" i="4"/>
  <c r="F1" i="4" s="1"/>
  <c r="G1" i="4" s="1"/>
  <c r="H1" i="4" s="1"/>
  <c r="I1" i="4" s="1"/>
  <c r="J1" i="4" s="1"/>
  <c r="K1" i="4" s="1"/>
  <c r="L1" i="4" s="1"/>
  <c r="M1" i="4" s="1"/>
  <c r="C6" i="9" l="1"/>
  <c r="Q112" i="2" l="1"/>
  <c r="O112" i="2"/>
  <c r="P112" i="2"/>
  <c r="C73" i="2" l="1"/>
  <c r="C41" i="3"/>
  <c r="C31" i="3" l="1"/>
  <c r="C30" i="6" l="1"/>
  <c r="C74" i="2"/>
  <c r="C32" i="3"/>
  <c r="G31" i="3"/>
  <c r="C7" i="8" s="1"/>
  <c r="C86" i="3" s="1"/>
  <c r="B1" i="2"/>
  <c r="C89" i="3" l="1"/>
  <c r="D86" i="3"/>
  <c r="D89" i="3" s="1"/>
  <c r="C85" i="6"/>
  <c r="C86" i="6" s="1"/>
  <c r="B71" i="8"/>
  <c r="E71" i="8"/>
  <c r="C71" i="8"/>
  <c r="F69" i="8"/>
  <c r="B69" i="8"/>
  <c r="E68" i="8"/>
  <c r="D69" i="8"/>
  <c r="F66" i="8"/>
  <c r="F68" i="8"/>
  <c r="D67" i="8"/>
  <c r="F67" i="8"/>
  <c r="C67" i="8"/>
  <c r="C70" i="8"/>
  <c r="E66" i="8"/>
  <c r="D71" i="8"/>
  <c r="D70" i="8"/>
  <c r="D68" i="8"/>
  <c r="C68" i="8"/>
  <c r="F70" i="8"/>
  <c r="E67" i="8"/>
  <c r="B70" i="8"/>
  <c r="C66" i="8"/>
  <c r="E70" i="8"/>
  <c r="F71" i="8"/>
  <c r="E69" i="8"/>
  <c r="C69" i="8"/>
  <c r="B68" i="8"/>
  <c r="B67" i="8"/>
  <c r="D66" i="8"/>
  <c r="B66" i="8"/>
  <c r="G54" i="2"/>
  <c r="C54" i="2" s="1"/>
  <c r="C47" i="2" l="1"/>
  <c r="C55" i="2" l="1"/>
  <c r="C41" i="6"/>
  <c r="E78" i="8"/>
  <c r="E110" i="6" s="1"/>
  <c r="C50" i="2"/>
  <c r="C12" i="2" s="1"/>
  <c r="I1" i="2"/>
  <c r="C13" i="2" l="1"/>
  <c r="C14" i="2"/>
  <c r="C48" i="6" s="1"/>
  <c r="C42" i="6"/>
  <c r="C51" i="9"/>
  <c r="C80" i="2"/>
  <c r="J1" i="2"/>
  <c r="K1" i="2" s="1"/>
  <c r="L1" i="2" s="1"/>
  <c r="M1" i="2" s="1"/>
  <c r="N1" i="2" s="1"/>
  <c r="O1" i="2" s="1"/>
  <c r="P1" i="2" s="1"/>
  <c r="Q1" i="2" s="1"/>
  <c r="C16" i="2" l="1"/>
  <c r="C19" i="2" s="1"/>
  <c r="G114" i="2"/>
  <c r="C43" i="8" l="1"/>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06" i="6" s="1"/>
  <c r="E75" i="8"/>
  <c r="E107" i="6" s="1"/>
  <c r="E77" i="8"/>
  <c r="E109" i="6" s="1"/>
  <c r="E76" i="8"/>
  <c r="E108" i="6" s="1"/>
  <c r="C27" i="9" l="1"/>
  <c r="C57" i="9"/>
  <c r="C33" i="9"/>
  <c r="C39" i="9"/>
  <c r="C42" i="9" l="1"/>
  <c r="C60" i="9" s="1"/>
  <c r="I6" i="9" l="1"/>
  <c r="C82" i="9"/>
  <c r="C112" i="6"/>
  <c r="C87" i="9" l="1"/>
  <c r="C21" i="6" s="1"/>
  <c r="C83" i="9"/>
  <c r="C126" i="6"/>
  <c r="H76" i="2"/>
  <c r="H116" i="2"/>
  <c r="H112" i="2" s="1"/>
  <c r="H13" i="2"/>
  <c r="F83" i="9" l="1"/>
  <c r="C128" i="6" s="1"/>
  <c r="C127" i="6"/>
  <c r="C20" i="6" s="1"/>
  <c r="H16" i="2"/>
  <c r="H19" i="2" s="1"/>
  <c r="H81" i="2"/>
  <c r="H113" i="2" s="1"/>
  <c r="H120" i="2" l="1"/>
  <c r="H121" i="2" s="1"/>
  <c r="H84" i="2"/>
  <c r="H92" i="2"/>
  <c r="G116" i="2"/>
  <c r="G112" i="2" s="1"/>
  <c r="G76" i="2"/>
  <c r="D54" i="3"/>
  <c r="D50" i="3"/>
  <c r="G13" i="2"/>
  <c r="G97" i="2" s="1"/>
  <c r="H87" i="2" l="1"/>
  <c r="G16" i="2"/>
  <c r="G19" i="2" s="1"/>
  <c r="G81" i="2"/>
  <c r="G113" i="2" s="1"/>
  <c r="G120" i="2" l="1"/>
  <c r="G121" i="2" s="1"/>
  <c r="G84" i="2"/>
  <c r="N116" i="2"/>
  <c r="N112" i="2" s="1"/>
  <c r="J76" i="2"/>
  <c r="I76" i="2"/>
  <c r="N76" i="2"/>
  <c r="L76" i="2"/>
  <c r="L116" i="2"/>
  <c r="L112" i="2" s="1"/>
  <c r="M116" i="2"/>
  <c r="M112" i="2" s="1"/>
  <c r="I116" i="2"/>
  <c r="I112" i="2" s="1"/>
  <c r="J116" i="2"/>
  <c r="J112" i="2" s="1"/>
  <c r="K116" i="2"/>
  <c r="K112" i="2" s="1"/>
  <c r="J13" i="2"/>
  <c r="M76" i="2"/>
  <c r="L13" i="2"/>
  <c r="K13" i="2"/>
  <c r="K16" i="2" s="1"/>
  <c r="K19" i="2" s="1"/>
  <c r="N13" i="2"/>
  <c r="M13" i="2"/>
  <c r="I13" i="2"/>
  <c r="K76" i="2"/>
  <c r="G92" i="2" l="1"/>
  <c r="C8" i="9"/>
  <c r="C56" i="6"/>
  <c r="G87" i="2"/>
  <c r="K81" i="2"/>
  <c r="K113" i="2" s="1"/>
  <c r="K97" i="2"/>
  <c r="L97" i="2"/>
  <c r="M97" i="2"/>
  <c r="I97" i="2"/>
  <c r="H97" i="2"/>
  <c r="J97" i="2"/>
  <c r="I16" i="2"/>
  <c r="I19" i="2" s="1"/>
  <c r="I81" i="2"/>
  <c r="I113" i="2" s="1"/>
  <c r="N16" i="2"/>
  <c r="N81" i="2"/>
  <c r="N113" i="2" s="1"/>
  <c r="L16" i="2"/>
  <c r="L120" i="2" s="1"/>
  <c r="L121" i="2" s="1"/>
  <c r="L81" i="2"/>
  <c r="L113" i="2" s="1"/>
  <c r="J16" i="2"/>
  <c r="J19" i="2" s="1"/>
  <c r="J81" i="2"/>
  <c r="J113" i="2" s="1"/>
  <c r="M16" i="2"/>
  <c r="M120" i="2" s="1"/>
  <c r="M121" i="2" s="1"/>
  <c r="M81" i="2"/>
  <c r="M113" i="2" s="1"/>
  <c r="K120" i="2"/>
  <c r="K121" i="2" s="1"/>
  <c r="K84" i="2"/>
  <c r="N84" i="2"/>
  <c r="I120" i="2" l="1"/>
  <c r="I121" i="2" s="1"/>
  <c r="J84" i="2"/>
  <c r="J92" i="2"/>
  <c r="K92" i="2"/>
  <c r="N120" i="2"/>
  <c r="N121" i="2" s="1"/>
  <c r="M84" i="2"/>
  <c r="I87" i="2"/>
  <c r="M92" i="2"/>
  <c r="I84" i="2"/>
  <c r="J120" i="2"/>
  <c r="J121" i="2" s="1"/>
  <c r="L87" i="2"/>
  <c r="K87" i="2"/>
  <c r="L84" i="2"/>
  <c r="N87" i="2"/>
  <c r="N92" i="2"/>
  <c r="C76" i="2"/>
  <c r="C50" i="3"/>
  <c r="C54" i="3"/>
  <c r="C116" i="2"/>
  <c r="I92" i="2" l="1"/>
  <c r="C14" i="9"/>
  <c r="M87" i="2"/>
  <c r="C81" i="2"/>
  <c r="C113" i="2" s="1"/>
  <c r="C97" i="2"/>
  <c r="J87" i="2"/>
  <c r="L92" i="2"/>
  <c r="C82" i="2"/>
  <c r="C120" i="2" l="1"/>
  <c r="C84" i="2" l="1"/>
  <c r="C9" i="9"/>
  <c r="C57" i="6" l="1"/>
  <c r="C121" i="2"/>
  <c r="C58" i="6" s="1"/>
  <c r="C4" i="8"/>
  <c r="C92" i="2"/>
  <c r="C87" i="2"/>
  <c r="C6" i="8" l="1"/>
  <c r="C76"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99" i="6" l="1"/>
  <c r="C22" i="9"/>
  <c r="C69" i="9" s="1"/>
  <c r="E65" i="8"/>
  <c r="F65" i="8"/>
  <c r="C65" i="8"/>
  <c r="B65" i="8"/>
  <c r="D65" i="8"/>
  <c r="F52" i="8"/>
  <c r="C70" i="9" l="1"/>
  <c r="C15" i="6" s="1"/>
  <c r="C18" i="8"/>
  <c r="A55" i="8"/>
  <c r="C66" i="9" l="1"/>
</calcChain>
</file>

<file path=xl/sharedStrings.xml><?xml version="1.0" encoding="utf-8"?>
<sst xmlns="http://schemas.openxmlformats.org/spreadsheetml/2006/main" count="561" uniqueCount="392">
  <si>
    <t>Number of Shares:</t>
  </si>
  <si>
    <t>Reporting Currency:</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</si>
  <si>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</si>
  <si>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</si>
  <si>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</si>
  <si>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</si>
  <si>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</si>
  <si>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</si>
  <si>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</si>
  <si>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</si>
  <si>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</si>
  <si>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</si>
  <si>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</si>
  <si>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</si>
  <si>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</si>
  <si>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</si>
  <si>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</si>
  <si>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</si>
  <si>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</si>
  <si>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</si>
  <si>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</si>
  <si>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</si>
  <si>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</si>
  <si>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</si>
  <si>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</si>
  <si>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</si>
  <si>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</si>
  <si>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</si>
  <si>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</si>
  <si>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</si>
  <si>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</si>
  <si>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</si>
  <si>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</si>
  <si>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</si>
  <si>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</si>
  <si>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</si>
  <si>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</si>
  <si>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</si>
  <si>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</si>
  <si>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</si>
  <si>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</si>
  <si>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</si>
  <si>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Contingent Liabilities</t>
    <phoneticPr fontId="2" type="noConversion"/>
  </si>
  <si>
    <t>HKD</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</si>
  <si>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</si>
  <si>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</si>
  <si>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</si>
  <si>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</si>
  <si>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</si>
  <si>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</si>
  <si>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</si>
  <si>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</si>
  <si>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</si>
  <si>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</si>
  <si>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</si>
  <si>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</si>
  <si>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</si>
  <si>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Other Data</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</si>
  <si>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</si>
  <si>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</si>
  <si>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</si>
  <si>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</si>
  <si>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</si>
  <si>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</si>
  <si>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</si>
  <si>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</si>
  <si>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</si>
  <si>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</si>
  <si>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</si>
  <si>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</si>
  <si>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</si>
  <si>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</si>
  <si>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</si>
  <si>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</si>
  <si>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</si>
  <si>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</si>
  <si>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</si>
  <si>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</si>
  <si>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</si>
  <si>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</si>
  <si>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</si>
  <si>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</si>
  <si>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</si>
  <si>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</si>
  <si>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</si>
  <si>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</si>
  <si>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</si>
  <si>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</si>
  <si>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</si>
  <si>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</si>
  <si>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</si>
  <si>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</si>
  <si>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</si>
  <si>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</si>
  <si>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</si>
  <si>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</si>
  <si>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</si>
  <si>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</si>
  <si>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</si>
  <si>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</si>
  <si>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</si>
  <si>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</si>
  <si>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</si>
  <si>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</si>
  <si>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</si>
  <si>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</si>
  <si>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</si>
  <si>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</si>
  <si>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</si>
  <si>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</si>
  <si>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</si>
  <si>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</si>
  <si>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</si>
  <si>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</si>
  <si>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</si>
  <si>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</si>
  <si>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</si>
  <si>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</si>
  <si>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</si>
  <si>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</si>
  <si>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</si>
  <si>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</si>
  <si>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</si>
  <si>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</si>
  <si>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</si>
  <si>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</si>
  <si>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</si>
  <si>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</si>
  <si>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</si>
  <si>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</si>
  <si>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</si>
  <si>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</si>
  <si>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</si>
  <si>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</si>
  <si>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</si>
  <si>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</si>
  <si>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</si>
  <si>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</si>
  <si>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</si>
  <si>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</si>
  <si>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</si>
  <si>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</si>
  <si>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</si>
  <si>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</si>
  <si>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</si>
  <si>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</si>
  <si>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</si>
  <si>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</si>
  <si>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</si>
  <si>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</si>
  <si>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</si>
  <si>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</si>
  <si>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</si>
  <si>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</si>
  <si>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</si>
  <si>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</si>
  <si>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</si>
  <si>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</si>
  <si>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</si>
  <si>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</si>
  <si>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</si>
  <si>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</si>
  <si>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</si>
  <si>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</si>
  <si>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</si>
  <si>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</si>
  <si>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</si>
  <si>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</si>
  <si>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</si>
  <si>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</si>
  <si>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</si>
  <si>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</si>
  <si>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</si>
  <si>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</si>
  <si>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</si>
  <si>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</si>
  <si>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</si>
  <si>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</si>
  <si>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</si>
  <si>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</si>
  <si>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</si>
  <si>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</si>
  <si>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</si>
  <si>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</si>
  <si>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</si>
  <si>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</si>
  <si>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</si>
  <si>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</si>
  <si>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</si>
  <si>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</si>
  <si>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</si>
  <si>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</si>
  <si>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</si>
  <si>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</si>
  <si>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</si>
  <si>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</si>
  <si>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</si>
  <si>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</si>
  <si>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</si>
  <si>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</si>
  <si>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</si>
  <si>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</si>
  <si>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</si>
  <si>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</si>
  <si>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</si>
  <si>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</si>
  <si>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</si>
  <si>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</si>
  <si>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</si>
  <si>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</si>
  <si>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</si>
  <si>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</si>
  <si>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</si>
  <si>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</si>
  <si>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</si>
  <si>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</si>
  <si>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</si>
  <si>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</si>
  <si>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</si>
  <si>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</si>
  <si>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</si>
  <si>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</si>
  <si>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</si>
  <si>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</si>
  <si>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</si>
  <si>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</si>
  <si>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</si>
  <si>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</si>
  <si>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</si>
  <si>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</si>
  <si>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</si>
  <si>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</si>
  <si>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</si>
  <si>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</si>
  <si>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</si>
  <si>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Step 1: Calculate FCFE</t>
    <phoneticPr fontId="2" type="noConversion"/>
  </si>
  <si>
    <t>FCFE represents the cash available to equity holders after accounting for operating expenses, reinvestments, taxes, and interest obligations.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</si>
  <si>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</si>
  <si>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</si>
  <si>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</si>
  <si>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</si>
  <si>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</si>
  <si>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</si>
  <si>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</si>
  <si>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</si>
  <si>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</si>
  <si>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</si>
  <si>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</si>
  <si>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</si>
  <si>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</si>
  <si>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</si>
  <si>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</si>
  <si>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</si>
  <si>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</si>
  <si>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</si>
  <si>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</si>
  <si>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</si>
  <si>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</si>
  <si>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</si>
  <si>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</si>
  <si>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t>Step 3: Calculate Equity Value</t>
    <phoneticPr fontId="2" type="noConversion"/>
  </si>
  <si>
    <t>The Equity Value adjusts the stable income value for debt and incorporates non-operating resources available to equity holders. The formula is:</t>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</si>
  <si>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</si>
  <si>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</si>
  <si>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</si>
  <si>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</si>
  <si>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</si>
  <si>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r>
      <rPr>
        <b/>
        <i/>
        <sz val="9"/>
        <color rgb="FF000000"/>
        <rFont val="Arial"/>
        <family val="2"/>
        <scheme val="major"/>
      </rPr>
      <t>Purpose:</t>
    </r>
    <r>
      <rPr>
        <i/>
        <sz val="9"/>
        <color rgb="FF000000"/>
        <rFont val="Arial"/>
        <family val="2"/>
        <scheme val="major"/>
      </rPr>
      <t xml:space="preserve"> This step ensures the equity value reflects all resources available to shareholders by deducting debt and adding excess cash and non-operating assets, avoiding double-counting of income-generating assets.</t>
    </r>
    <phoneticPr fontId="2" type="noConversion"/>
  </si>
  <si>
    <r>
      <rPr>
        <b/>
        <i/>
        <sz val="9"/>
        <color rgb="FF000000"/>
        <rFont val="Arial"/>
        <family val="2"/>
        <scheme val="major"/>
      </rPr>
      <t xml:space="preserve">Purpose: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</si>
  <si>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</si>
  <si>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</si>
  <si>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</si>
  <si>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</si>
  <si>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</si>
  <si>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Result</t>
    <phoneticPr fontId="2" type="noConversion"/>
  </si>
  <si>
    <t>Assume the Equity Value will be realized over the holding period.</t>
    <phoneticPr fontId="2" type="noConversion"/>
  </si>
  <si>
    <t xml:space="preserve">Expected Holding period = </t>
    <phoneticPr fontId="28" type="noConversion"/>
  </si>
  <si>
    <t>Step 4: Scenario Analysis</t>
    <phoneticPr fontId="2"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</si>
  <si>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</si>
  <si>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</si>
  <si>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</si>
  <si>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</si>
  <si>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</si>
  <si>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</si>
  <si>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FCFE/Market Cap =</t>
    <phoneticPr fontId="2" type="noConversion"/>
  </si>
  <si>
    <t>Latest FCFE =</t>
    <phoneticPr fontId="2" type="noConversion"/>
  </si>
  <si>
    <r>
      <rPr>
        <b/>
        <i/>
        <sz val="9"/>
        <color rgb="FF000000"/>
        <rFont val="Arial"/>
        <family val="2"/>
        <scheme val="major"/>
      </rPr>
      <t xml:space="preserve">Guidance Note: </t>
    </r>
    <r>
      <rPr>
        <i/>
        <sz val="9"/>
        <color rgb="FF000000"/>
        <rFont val="Arial"/>
        <family val="2"/>
        <scheme val="major"/>
      </rPr>
      <t>This valuation method estimates the equity value of a company through a five-step process. Each step is designed to systematically derive cash flows available to equity holders, discount them appropriately, and adjust for debt and non-operating assets.</t>
    </r>
    <phoneticPr fontId="2" type="noConversion"/>
  </si>
  <si>
    <t>Asset Value Stress Test</t>
    <phoneticPr fontId="2" type="noConversion"/>
  </si>
  <si>
    <t>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</si>
  <si>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</si>
  <si>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</si>
  <si>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</si>
  <si>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</si>
  <si>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</si>
  <si>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</si>
  <si>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</si>
  <si>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</si>
  <si>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</si>
  <si>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</si>
  <si>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Step 5: Calculate Target Buy Price</t>
    <phoneticPr fontId="2" type="noConversion"/>
  </si>
  <si>
    <t>No Growth Equity Value per share =</t>
    <phoneticPr fontId="2" type="noConversion"/>
  </si>
  <si>
    <t>No Growth SIV Per Share =</t>
    <phoneticPr fontId="2" type="noConversion"/>
  </si>
  <si>
    <t>Step 2: Calculate Stable Income Value (SIV) Using FCFE</t>
    <phoneticPr fontId="2" type="noConversion"/>
  </si>
  <si>
    <t>The Stable Income Value (SIV) represents the present value of FCFE, assuming it grows at a constant rate indefinitely. This is calculated using the Gordon Growth Model:</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</si>
  <si>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</si>
  <si>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</si>
  <si>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</si>
  <si>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Y</t>
    <phoneticPr fontId="2" type="noConversion"/>
  </si>
  <si>
    <t>Base Cost of Equity</t>
    <phoneticPr fontId="2" type="noConversion"/>
  </si>
  <si>
    <t>Management Risk Premium</t>
    <phoneticPr fontId="2" type="noConversion"/>
  </si>
  <si>
    <t>Business Model Risk Premium</t>
    <phoneticPr fontId="2" type="noConversion"/>
  </si>
  <si>
    <t>Categorize the investment</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</si>
  <si>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</si>
  <si>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</si>
  <si>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</si>
  <si>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</si>
  <si>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</si>
  <si>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</si>
  <si>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</si>
  <si>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</si>
  <si>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Type of Investment</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</si>
  <si>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</si>
  <si>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</si>
  <si>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</si>
  <si>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</si>
  <si>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</si>
  <si>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</si>
  <si>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</si>
  <si>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</si>
  <si>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</si>
  <si>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</si>
  <si>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</si>
  <si>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</si>
  <si>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</si>
  <si>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</si>
  <si>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Investment Type:</t>
    <phoneticPr fontId="2" type="noConversion"/>
  </si>
  <si>
    <t>Valuation Overview</t>
    <phoneticPr fontId="2" type="noConversion"/>
  </si>
  <si>
    <t>Report Interval:</t>
    <phoneticPr fontId="2" type="noConversion"/>
  </si>
  <si>
    <t>Market Annual Return:</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</si>
  <si>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</si>
  <si>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</si>
  <si>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</si>
  <si>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</si>
  <si>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</si>
  <si>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Always use 10yrs to identify the HGR</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</si>
  <si>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</si>
  <si>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</si>
  <si>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</si>
  <si>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</si>
  <si>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Status in Portfolio:</t>
    <phoneticPr fontId="2" type="noConversion"/>
  </si>
  <si>
    <t>Snowball Scenario</t>
    <phoneticPr fontId="2" type="noConversion"/>
  </si>
  <si>
    <t>Held</t>
    <phoneticPr fontId="2" type="noConversion"/>
  </si>
  <si>
    <t>C0003</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</si>
  <si>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</si>
  <si>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</si>
  <si>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</si>
  <si>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</si>
  <si>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</si>
  <si>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1x for stable businesses, 2x for for volatile ones</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</si>
  <si>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</si>
  <si>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</si>
  <si>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</si>
  <si>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</si>
  <si>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</si>
  <si>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</si>
  <si>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</si>
  <si>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</si>
  <si>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</si>
  <si>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</si>
  <si>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Based on fundamental research, the following scenarios have been developed, considering driving factors of high growth periods (HGP) and high growth rates (HGR), along with their associated probabilities.</t>
    <phoneticPr fontId="2" type="noConversion"/>
  </si>
  <si>
    <t>Note that this model prioritizes fundamental analysis when combined with supplementary market signal analysis. While market signal analysis predicts future trends, fundamental analysis interprets these trends and identifies relevant factors and possibilities.</t>
    <phoneticPr fontId="2" type="noConversion"/>
  </si>
  <si>
    <t>SINO LAND</t>
    <phoneticPr fontId="2" type="noConversion"/>
  </si>
  <si>
    <t>0083.HK</t>
    <phoneticPr fontId="2" type="noConversion"/>
  </si>
  <si>
    <t>WCInv is by default excluded</t>
  </si>
  <si>
    <t>Net borrowing is excluded</t>
  </si>
  <si>
    <t>Historical Average</t>
  </si>
  <si>
    <t>Use the highest past tax rate</t>
  </si>
  <si>
    <t>Reference the market rate</t>
  </si>
  <si>
    <t>Use Last year's rate</t>
  </si>
  <si>
    <t>Assume 0</t>
  </si>
  <si>
    <t>Historical Average or D&amp;A</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</si>
  <si>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</si>
  <si>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</si>
  <si>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</si>
  <si>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</si>
  <si>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</si>
  <si>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</si>
  <si>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Note on Cost of Equity:</t>
    </r>
    <r>
      <rPr>
        <i/>
        <sz val="9"/>
        <color rgb="FF000000"/>
        <rFont val="Arial"/>
        <family val="2"/>
        <scheme val="major"/>
      </rPr>
      <t xml:space="preserve"> Cost of Equity reflects the company’s risk profile, while target annual return is the investor’s hurdle rate.</t>
    </r>
    <phoneticPr fontId="2" type="noConversion"/>
  </si>
  <si>
    <r>
      <rPr>
        <b/>
        <i/>
        <sz val="9"/>
        <color rgb="FF000000"/>
        <rFont val="Arial"/>
        <family val="2"/>
        <scheme val="major"/>
      </rPr>
      <t>Note on Terminal Growth Rate:</t>
    </r>
    <r>
      <rPr>
        <i/>
        <sz val="9"/>
        <color rgb="FF000000"/>
        <rFont val="Arial"/>
        <family val="2"/>
        <scheme val="major"/>
      </rPr>
      <t xml:space="preserve"> Setting g=0 can be a conservative assumption to avoid overestimating the stock’s value, especially if future growth is uncertain or unreliable.</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</si>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</sst>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yyyy\-mm\-dd"/>
    <numFmt numFmtId="177" formatCode="#,##0&quot;mm&quot;"/>
    <numFmt numFmtId="178" formatCode="#,##0.00&quot;x&quot;"/>
    <numFmt numFmtId="179" formatCode="0.00\x"/>
    <numFmt numFmtId="180" formatCode="yyyy\-mm\-dd;@"/>
    <numFmt numFmtId="181" formatCode="#,##0.0000"/>
    <numFmt numFmtId="182" formatCode="#,##0_ "/>
    <numFmt numFmtId="183" formatCode="#,##0.0000_);\(#,##0.0000\)"/>
    <numFmt numFmtId="184" formatCode="#,##0.0000_ "/>
    <numFmt numFmtId="185" formatCode="&quot;in &quot;#,##0&quot;s&quot;"/>
    <numFmt numFmtId="186" formatCode="#,##0.00_ "/>
    <numFmt numFmtId="187" formatCode="0&quot; yrs&quot;"/>
    <numFmt numFmtId="188" formatCode="0.000_ "/>
    <numFmt numFmtId="189" formatCode="#,##0_);\(#,##0\)"/>
    <numFmt numFmtId="190" formatCode="#,##0.00_);\(#,##0.00\)"/>
    <numFmt numFmtId="191" formatCode="&quot;every&quot;\ 0\ &quot;Months&quot;"/>
    <numFmt numFmtId="192" formatCode="0.0\x"/>
    <numFmt numFmtId="193" formatCode="0\x"/>
  </numFmts>
  <fonts count="58"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5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6"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1"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applyNumberFormat="1" applyFont="1" applyBorder="1" applyAlignment="1">
      <alignment horizontal="right"/>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37" fontId="14" fillId="0" borderId="1" xfId="0" applyNumberFormat="1" applyFont="1" applyBorder="1" applyAlignment="1">
      <alignment horizontal="right"/>
    </xf>
    <xf numFmtId="183" fontId="8" fillId="0" borderId="1" xfId="0" applyNumberFormat="1" applyFont="1" applyBorder="1" applyAlignment="1">
      <alignment horizontal="right"/>
    </xf>
    <xf numFmtId="182"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80"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37" fontId="12" fillId="0" borderId="0" xfId="0" applyNumberFormat="1" applyFont="1"/>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5" fillId="0" borderId="1" xfId="0" applyNumberFormat="1" applyFont="1" applyBorder="1" applyAlignment="1">
      <alignment horizontal="center"/>
    </xf>
    <xf numFmtId="0" fontId="3" fillId="0" borderId="0" xfId="0" applyFont="1" applyAlignment="1">
      <alignment horizontal="left"/>
    </xf>
    <xf numFmtId="185" fontId="17" fillId="0" borderId="2" xfId="0" applyNumberFormat="1" applyFont="1" applyBorder="1" applyAlignment="1">
      <alignment horizontal="right"/>
    </xf>
    <xf numFmtId="185" fontId="14" fillId="0" borderId="2" xfId="0" applyNumberFormat="1" applyFont="1" applyBorder="1" applyAlignment="1">
      <alignment horizontal="right"/>
    </xf>
    <xf numFmtId="185" fontId="23" fillId="0" borderId="1" xfId="0" applyNumberFormat="1" applyFont="1" applyBorder="1" applyAlignment="1">
      <alignment horizontal="right"/>
    </xf>
    <xf numFmtId="0" fontId="24" fillId="0" borderId="2" xfId="0" applyFont="1" applyBorder="1"/>
    <xf numFmtId="182" fontId="0" fillId="0" borderId="0" xfId="0" applyNumberFormat="1"/>
    <xf numFmtId="0" fontId="24" fillId="0" borderId="0" xfId="0" applyFont="1" applyAlignment="1">
      <alignment horizontal="left" indent="1"/>
    </xf>
    <xf numFmtId="39" fontId="24" fillId="0" borderId="0" xfId="0" applyNumberFormat="1" applyFont="1"/>
    <xf numFmtId="184" fontId="3" fillId="0" borderId="1" xfId="0" applyNumberFormat="1" applyFont="1" applyBorder="1"/>
    <xf numFmtId="184"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82"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82"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82"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86"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87" fontId="30" fillId="0" borderId="0" xfId="0" applyNumberFormat="1" applyFont="1"/>
    <xf numFmtId="187" fontId="24" fillId="0" borderId="0" xfId="0" applyNumberFormat="1" applyFont="1"/>
    <xf numFmtId="187" fontId="25" fillId="0" borderId="3" xfId="0" applyNumberFormat="1" applyFont="1" applyBorder="1" applyAlignment="1">
      <alignment horizontal="center"/>
    </xf>
    <xf numFmtId="0" fontId="1" fillId="0" borderId="0" xfId="0" applyFont="1" applyAlignment="1">
      <alignment horizontal="center"/>
    </xf>
    <xf numFmtId="186" fontId="3" fillId="0" borderId="0" xfId="0" applyNumberFormat="1" applyFont="1"/>
    <xf numFmtId="0" fontId="1" fillId="0" borderId="0" xfId="0" quotePrefix="1" applyFont="1"/>
    <xf numFmtId="0" fontId="24" fillId="0" borderId="0" xfId="0" quotePrefix="1" applyFont="1" applyAlignment="1">
      <alignment horizontal="left" indent="1"/>
    </xf>
    <xf numFmtId="187"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9" fontId="3" fillId="0" borderId="0" xfId="0" applyNumberFormat="1" applyFont="1"/>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86" fontId="0" fillId="0" borderId="0" xfId="0" applyNumberFormat="1"/>
    <xf numFmtId="10" fontId="25" fillId="0" borderId="0" xfId="0" applyNumberFormat="1" applyFont="1" applyAlignment="1">
      <alignment vertical="center"/>
    </xf>
    <xf numFmtId="187" fontId="25" fillId="0" borderId="0" xfId="0" applyNumberFormat="1" applyFont="1" applyAlignment="1">
      <alignment vertical="center"/>
    </xf>
    <xf numFmtId="187" fontId="29" fillId="0" borderId="0" xfId="0" applyNumberFormat="1" applyFont="1"/>
    <xf numFmtId="10" fontId="29" fillId="0" borderId="0" xfId="0" applyNumberFormat="1" applyFont="1"/>
    <xf numFmtId="9" fontId="29" fillId="0" borderId="0" xfId="0" applyNumberFormat="1" applyFont="1"/>
    <xf numFmtId="187"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88"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86"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89" fontId="7" fillId="0" borderId="1" xfId="0" applyNumberFormat="1" applyFont="1" applyBorder="1" applyAlignment="1">
      <alignment horizontal="right"/>
    </xf>
    <xf numFmtId="189" fontId="15" fillId="0" borderId="1" xfId="0" applyNumberFormat="1" applyFont="1" applyBorder="1" applyAlignment="1">
      <alignment horizontal="right"/>
    </xf>
    <xf numFmtId="189" fontId="8" fillId="0" borderId="1" xfId="0" applyNumberFormat="1" applyFont="1" applyBorder="1" applyAlignment="1">
      <alignment horizontal="right"/>
    </xf>
    <xf numFmtId="189" fontId="10" fillId="0" borderId="1" xfId="0" applyNumberFormat="1" applyFont="1" applyBorder="1"/>
    <xf numFmtId="189" fontId="14" fillId="0" borderId="1" xfId="0" applyNumberFormat="1" applyFont="1" applyBorder="1" applyAlignment="1">
      <alignment horizontal="right"/>
    </xf>
    <xf numFmtId="189" fontId="11" fillId="0" borderId="1" xfId="0" applyNumberFormat="1" applyFont="1" applyBorder="1" applyAlignment="1">
      <alignment horizontal="right"/>
    </xf>
    <xf numFmtId="189" fontId="10" fillId="0" borderId="0" xfId="0" applyNumberFormat="1" applyFont="1"/>
    <xf numFmtId="189" fontId="3" fillId="0" borderId="0" xfId="0" applyNumberFormat="1" applyFont="1"/>
    <xf numFmtId="189" fontId="17" fillId="0" borderId="1" xfId="0" applyNumberFormat="1" applyFont="1" applyBorder="1" applyAlignment="1">
      <alignment horizontal="right"/>
    </xf>
    <xf numFmtId="182" fontId="7" fillId="0" borderId="1" xfId="0" applyNumberFormat="1" applyFont="1" applyBorder="1" applyAlignment="1">
      <alignment horizontal="right"/>
    </xf>
    <xf numFmtId="182" fontId="17" fillId="0" borderId="1" xfId="0" applyNumberFormat="1" applyFont="1" applyBorder="1" applyAlignment="1">
      <alignment horizontal="right"/>
    </xf>
    <xf numFmtId="182" fontId="15" fillId="0" borderId="1" xfId="0" applyNumberFormat="1" applyFont="1" applyBorder="1" applyAlignment="1">
      <alignment horizontal="right"/>
    </xf>
    <xf numFmtId="189" fontId="13" fillId="0" borderId="1" xfId="0" applyNumberFormat="1" applyFont="1" applyBorder="1" applyAlignment="1">
      <alignment wrapText="1"/>
    </xf>
    <xf numFmtId="189" fontId="3" fillId="0" borderId="1" xfId="0" applyNumberFormat="1" applyFont="1" applyBorder="1"/>
    <xf numFmtId="189" fontId="11" fillId="0" borderId="1" xfId="0" applyNumberFormat="1" applyFont="1" applyBorder="1" applyAlignment="1">
      <alignment wrapText="1"/>
    </xf>
    <xf numFmtId="189" fontId="11" fillId="0" borderId="1" xfId="0" quotePrefix="1" applyNumberFormat="1" applyFont="1" applyBorder="1" applyAlignment="1">
      <alignment wrapText="1"/>
    </xf>
    <xf numFmtId="189" fontId="11" fillId="0" borderId="1" xfId="0" applyNumberFormat="1" applyFont="1" applyBorder="1"/>
    <xf numFmtId="189" fontId="3" fillId="8" borderId="1" xfId="0" applyNumberFormat="1" applyFont="1" applyFill="1" applyBorder="1"/>
    <xf numFmtId="189" fontId="3" fillId="5" borderId="1" xfId="0" applyNumberFormat="1" applyFont="1" applyFill="1" applyBorder="1"/>
    <xf numFmtId="189" fontId="8" fillId="0" borderId="1" xfId="0" applyNumberFormat="1" applyFont="1" applyBorder="1" applyAlignment="1">
      <alignment wrapText="1"/>
    </xf>
    <xf numFmtId="189" fontId="13" fillId="0" borderId="1" xfId="0" applyNumberFormat="1" applyFont="1" applyBorder="1"/>
    <xf numFmtId="189" fontId="8" fillId="0" borderId="1" xfId="0" applyNumberFormat="1" applyFont="1" applyBorder="1" applyAlignment="1">
      <alignment horizontal="right" wrapText="1"/>
    </xf>
    <xf numFmtId="189" fontId="14" fillId="0" borderId="1" xfId="0" applyNumberFormat="1" applyFont="1" applyBorder="1" applyAlignment="1">
      <alignment horizontal="right" wrapText="1"/>
    </xf>
    <xf numFmtId="189"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89"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89" fontId="0" fillId="0" borderId="2" xfId="0" applyNumberFormat="1" applyBorder="1"/>
    <xf numFmtId="0" fontId="1" fillId="0" borderId="12" xfId="0" quotePrefix="1" applyFont="1" applyBorder="1" applyAlignment="1">
      <alignment horizontal="left"/>
    </xf>
    <xf numFmtId="186" fontId="1" fillId="0" borderId="12" xfId="0" applyNumberFormat="1" applyFont="1" applyBorder="1"/>
    <xf numFmtId="189"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88" fontId="42" fillId="0" borderId="0" xfId="0" applyNumberFormat="1" applyFont="1"/>
    <xf numFmtId="0" fontId="3" fillId="0" borderId="0" xfId="0" quotePrefix="1" applyFont="1"/>
    <xf numFmtId="186"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87"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90"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87" fontId="8" fillId="0" borderId="0" xfId="0" applyNumberFormat="1" applyFont="1"/>
    <xf numFmtId="186"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87"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9" fontId="0" fillId="0" borderId="0" xfId="0" applyNumberFormat="1" applyAlignment="1">
      <alignment horizontal="left"/>
    </xf>
    <xf numFmtId="10" fontId="8" fillId="0" borderId="0" xfId="0" applyNumberFormat="1" applyFont="1"/>
    <xf numFmtId="190" fontId="0" fillId="0" borderId="3" xfId="0" applyNumberFormat="1" applyBorder="1"/>
    <xf numFmtId="10" fontId="24" fillId="0" borderId="0" xfId="0" applyNumberFormat="1" applyFont="1"/>
    <xf numFmtId="190"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90" fontId="10" fillId="0" borderId="0" xfId="0" applyNumberFormat="1" applyFont="1"/>
    <xf numFmtId="190" fontId="0" fillId="0" borderId="0" xfId="0" applyNumberFormat="1" applyAlignment="1">
      <alignment horizontal="right"/>
    </xf>
    <xf numFmtId="0" fontId="0" fillId="0" borderId="0" xfId="0" applyAlignment="1">
      <alignment horizontal="right"/>
    </xf>
    <xf numFmtId="187" fontId="25" fillId="0" borderId="0" xfId="0" applyNumberFormat="1" applyFont="1" applyAlignment="1">
      <alignment horizontal="right"/>
    </xf>
    <xf numFmtId="0" fontId="1" fillId="0" borderId="0" xfId="0" applyFont="1" applyAlignment="1">
      <alignment horizontal="left"/>
    </xf>
    <xf numFmtId="187" fontId="0" fillId="0" borderId="3" xfId="0" applyNumberFormat="1" applyBorder="1"/>
    <xf numFmtId="0" fontId="1" fillId="9" borderId="3" xfId="0" applyFont="1" applyFill="1" applyBorder="1"/>
    <xf numFmtId="0" fontId="0" fillId="9" borderId="3" xfId="0" applyFill="1" applyBorder="1"/>
    <xf numFmtId="191"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8" fillId="0" borderId="1" xfId="0" applyFont="1" applyBorder="1" applyAlignment="1">
      <alignment horizontal="right"/>
    </xf>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92" fontId="12" fillId="0" borderId="0" xfId="0" applyNumberFormat="1" applyFont="1"/>
    <xf numFmtId="0" fontId="12" fillId="0" borderId="0" xfId="0" applyFont="1" applyAlignment="1">
      <alignment horizontal="left" indent="1"/>
    </xf>
    <xf numFmtId="0" fontId="12" fillId="8" borderId="0" xfId="0" applyFont="1" applyFill="1"/>
    <xf numFmtId="189" fontId="11" fillId="0" borderId="0" xfId="0" applyNumberFormat="1" applyFont="1"/>
    <xf numFmtId="189"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89"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87" fontId="25" fillId="0" borderId="0" xfId="0" applyNumberFormat="1" applyFont="1" applyAlignment="1">
      <alignment horizontal="left"/>
    </xf>
    <xf numFmtId="187" fontId="47" fillId="0" borderId="1" xfId="0" applyNumberFormat="1" applyFont="1" applyBorder="1" applyAlignment="1">
      <alignment horizontal="righ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89" fontId="3" fillId="0" borderId="0" xfId="0" applyNumberFormat="1" applyFont="1" applyAlignment="1">
      <alignment horizontal="right" wrapText="1"/>
    </xf>
    <xf numFmtId="0" fontId="12" fillId="0" borderId="1" xfId="0" applyFont="1" applyBorder="1" applyAlignment="1">
      <alignment horizontal="left" indent="1"/>
    </xf>
    <xf numFmtId="189" fontId="12" fillId="0" borderId="1" xfId="0" applyNumberFormat="1" applyFont="1" applyBorder="1"/>
    <xf numFmtId="0" fontId="12" fillId="0" borderId="1" xfId="0" applyFont="1" applyBorder="1"/>
    <xf numFmtId="0" fontId="49" fillId="0" borderId="1" xfId="0" applyFont="1" applyBorder="1"/>
    <xf numFmtId="193" fontId="46" fillId="0" borderId="0" xfId="0" applyNumberFormat="1" applyFont="1"/>
    <xf numFmtId="189" fontId="8" fillId="0" borderId="1" xfId="0" applyNumberFormat="1" applyFont="1" applyBorder="1"/>
    <xf numFmtId="0" fontId="3" fillId="0" borderId="0" xfId="0" applyFont="1" applyAlignment="1">
      <alignment horizontal="left" wrapText="1"/>
    </xf>
    <xf numFmtId="0" fontId="12"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xf numFmtId="10" fontId="0" fillId="0" borderId="0" xfId="0" applyNumberFormat="1" applyAlignment="1">
      <alignment horizontal="left"/>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28"/>
  <sheetViews>
    <sheetView showGridLines="0" topLeftCell="A22" zoomScale="86" zoomScaleNormal="100" workbookViewId="0">
      <selection activeCell="C67" sqref="C67"/>
    </sheetView>
  </sheetViews>
  <sheetFormatPr defaultColWidth="9" defaultRowHeight="11.65" x14ac:dyDescent="0.35"/>
  <cols>
    <col min="1" max="1" width="2.6640625" style="1" customWidth="1"/>
    <col min="2" max="2" width="32.59765625" style="1" customWidth="1"/>
    <col min="3" max="3" width="25.59765625" style="1" customWidth="1"/>
    <col min="4" max="4" width="21.59765625" style="1" customWidth="1"/>
    <col min="5" max="6" width="15.59765625" style="1" customWidth="1"/>
    <col min="7" max="16384" width="9" style="1"/>
  </cols>
  <sheetData>
    <row r="1" spans="1:10" x14ac:dyDescent="0.35">
      <c r="B1" s="3" t="s">
        <v>44</v>
      </c>
      <c r="C1" s="44">
        <v>45730</v>
      </c>
      <c r="D1" s="52"/>
      <c r="E1" s="292" t="s">
        <v>349</v>
      </c>
      <c r="F1" s="293" t="s">
        <v>351</v>
      </c>
    </row>
    <row r="2" spans="1:10" ht="13.9" x14ac:dyDescent="0.45">
      <c r="A2" s="254" t="s">
        <v>281</v>
      </c>
      <c r="B2" s="36"/>
      <c r="C2" s="36"/>
      <c r="D2" s="36"/>
      <c r="E2" s="36"/>
      <c r="F2" s="36"/>
      <c r="G2" s="22"/>
      <c r="H2" s="22"/>
      <c r="I2" s="22"/>
      <c r="J2" s="22"/>
    </row>
    <row r="4" spans="1:10" x14ac:dyDescent="0.35">
      <c r="B4" s="45" t="str">
        <f>D5&amp;" Stock Information"</f>
        <v>0083.HK Stock Information</v>
      </c>
      <c r="C4" s="46"/>
      <c r="D4" s="5"/>
      <c r="E4" s="2"/>
      <c r="F4" s="2"/>
    </row>
    <row r="5" spans="1:10" x14ac:dyDescent="0.35">
      <c r="B5" s="4" t="s">
        <v>348</v>
      </c>
      <c r="C5" s="48" t="s">
        <v>371</v>
      </c>
      <c r="D5" s="49" t="s">
        <v>372</v>
      </c>
    </row>
    <row r="6" spans="1:10" x14ac:dyDescent="0.35">
      <c r="B6" s="4" t="s">
        <v>99</v>
      </c>
      <c r="C6" s="50">
        <v>7.9</v>
      </c>
      <c r="D6" s="48" t="s">
        <v>43</v>
      </c>
      <c r="E6" s="48"/>
    </row>
    <row r="7" spans="1:10" x14ac:dyDescent="0.35">
      <c r="B7" s="4" t="s">
        <v>0</v>
      </c>
      <c r="C7" s="51">
        <v>8171879936</v>
      </c>
      <c r="D7" s="34"/>
      <c r="E7" s="34"/>
    </row>
    <row r="8" spans="1:10" x14ac:dyDescent="0.35">
      <c r="B8" s="2" t="s">
        <v>337</v>
      </c>
      <c r="C8" s="287">
        <v>6</v>
      </c>
      <c r="D8" s="5"/>
      <c r="E8" s="48"/>
    </row>
    <row r="9" spans="1:10" x14ac:dyDescent="0.35">
      <c r="B9" s="1" t="s">
        <v>282</v>
      </c>
      <c r="C9" s="33">
        <f>EOMONTH(EDATE(BS!C1,C8+2),0)</f>
        <v>45716</v>
      </c>
      <c r="D9" s="5"/>
      <c r="E9" s="5"/>
    </row>
    <row r="10" spans="1:10" x14ac:dyDescent="0.35">
      <c r="B10" s="4" t="str">
        <f>"Capitalization ("&amp;Market_currency&amp;"):"</f>
        <v>Capitalization (HKD):</v>
      </c>
      <c r="C10" s="35">
        <f>Thesis!C6*Thesis!C7/1000000</f>
        <v>64557.851494399998</v>
      </c>
      <c r="D10" s="32"/>
      <c r="E10" s="5"/>
    </row>
    <row r="11" spans="1:10" x14ac:dyDescent="0.35">
      <c r="D11" s="5"/>
      <c r="E11" s="5"/>
    </row>
    <row r="12" spans="1:10" ht="24.4" customHeight="1" x14ac:dyDescent="0.35">
      <c r="B12" s="340" t="s">
        <v>286</v>
      </c>
      <c r="C12" s="340"/>
      <c r="D12" s="340"/>
      <c r="E12" s="340"/>
      <c r="F12" s="340"/>
    </row>
    <row r="14" spans="1:10" x14ac:dyDescent="0.35">
      <c r="B14" s="45" t="s">
        <v>336</v>
      </c>
      <c r="C14" s="46"/>
      <c r="D14" s="5"/>
    </row>
    <row r="15" spans="1:10" x14ac:dyDescent="0.35">
      <c r="B15" s="2" t="s">
        <v>335</v>
      </c>
      <c r="C15" s="32" t="str">
        <f>IF(Scenarios!C69="Y",Scenarios!B69,"")&amp;IF(Scenarios!C70="Y",Scenarios!B70,"")&amp;IF(Scenarios!C71="Y",Scenarios!B71,"")&amp;" "&amp;IF(Scenarios!C72="Y",Scenarios!B72,"")</f>
        <v>Negative Growth Asset Play</v>
      </c>
      <c r="E15" s="5"/>
    </row>
    <row r="16" spans="1:10" x14ac:dyDescent="0.35">
      <c r="B16" s="4" t="s">
        <v>1</v>
      </c>
      <c r="C16" s="48" t="s">
        <v>43</v>
      </c>
      <c r="D16" s="32"/>
      <c r="E16" s="5"/>
    </row>
    <row r="17" spans="1:6" x14ac:dyDescent="0.35">
      <c r="B17" s="4" t="s">
        <v>2</v>
      </c>
      <c r="C17" s="50">
        <v>1</v>
      </c>
      <c r="D17" s="32" t="str">
        <f>IF(C16=D6,D6,C16&amp;"/"&amp;D6)</f>
        <v>HKD</v>
      </c>
      <c r="E17" s="5"/>
    </row>
    <row r="18" spans="1:6" x14ac:dyDescent="0.35">
      <c r="B18" s="2" t="s">
        <v>60</v>
      </c>
      <c r="C18" s="48" t="s">
        <v>352</v>
      </c>
      <c r="E18" s="5"/>
    </row>
    <row r="19" spans="1:6" x14ac:dyDescent="0.35">
      <c r="B19" s="2" t="s">
        <v>293</v>
      </c>
      <c r="C19" s="256">
        <v>0.2</v>
      </c>
      <c r="E19" s="5"/>
    </row>
    <row r="20" spans="1:6" x14ac:dyDescent="0.35">
      <c r="B20" s="2" t="str">
        <f>"Target Buy Price ("&amp;Market_currency&amp;"):"</f>
        <v>Target Buy Price (HKD):</v>
      </c>
      <c r="C20" s="259">
        <f>C127</f>
        <v>6.4501768017717804</v>
      </c>
      <c r="D20" s="1" t="s">
        <v>339</v>
      </c>
      <c r="E20" s="322">
        <v>3</v>
      </c>
    </row>
    <row r="21" spans="1:6" x14ac:dyDescent="0.35">
      <c r="B21" s="1" t="s">
        <v>338</v>
      </c>
      <c r="C21" s="288">
        <f ca="1">Scenarios!C87</f>
        <v>0.11614149089878545</v>
      </c>
      <c r="D21" s="5"/>
      <c r="E21" s="5"/>
    </row>
    <row r="22" spans="1:6" x14ac:dyDescent="0.35">
      <c r="D22" s="5"/>
      <c r="E22" s="5"/>
    </row>
    <row r="23" spans="1:6" ht="13.9" x14ac:dyDescent="0.45">
      <c r="A23" s="254" t="s">
        <v>235</v>
      </c>
      <c r="B23" s="36"/>
      <c r="C23" s="36"/>
      <c r="D23" s="36"/>
      <c r="E23" s="36"/>
      <c r="F23" s="36"/>
    </row>
    <row r="25" spans="1:6" x14ac:dyDescent="0.35">
      <c r="B25" s="340" t="s">
        <v>236</v>
      </c>
      <c r="C25" s="340"/>
      <c r="D25" s="340"/>
      <c r="E25" s="340"/>
      <c r="F25" s="340"/>
    </row>
    <row r="26" spans="1:6" ht="24.4" customHeight="1" x14ac:dyDescent="0.35">
      <c r="B26" s="341" t="s">
        <v>382</v>
      </c>
      <c r="C26" s="341"/>
      <c r="D26" s="341"/>
      <c r="E26" s="341"/>
      <c r="F26" s="341"/>
    </row>
    <row r="28" spans="1:6" x14ac:dyDescent="0.35">
      <c r="B28" s="241" t="s">
        <v>237</v>
      </c>
      <c r="C28" s="111">
        <f>Data!C3</f>
        <v>1000000</v>
      </c>
    </row>
    <row r="29" spans="1:6" ht="24.4" customHeight="1" x14ac:dyDescent="0.35">
      <c r="B29" s="339" t="s">
        <v>238</v>
      </c>
      <c r="C29" s="339"/>
      <c r="D29" s="339"/>
      <c r="E29" s="339"/>
      <c r="F29" s="339"/>
    </row>
    <row r="30" spans="1:6" x14ac:dyDescent="0.35">
      <c r="B30" s="47" t="s">
        <v>239</v>
      </c>
      <c r="C30" s="192">
        <f>Normalized_FCF!C8</f>
        <v>2591.8202592374382</v>
      </c>
      <c r="D30" s="1" t="str">
        <f>Reporting_currency</f>
        <v>HKD</v>
      </c>
    </row>
    <row r="31" spans="1:6" x14ac:dyDescent="0.35">
      <c r="B31" s="47"/>
      <c r="C31" s="78"/>
    </row>
    <row r="32" spans="1:6" ht="24.4" customHeight="1" x14ac:dyDescent="0.35">
      <c r="B32" s="339" t="s">
        <v>240</v>
      </c>
      <c r="C32" s="339"/>
      <c r="D32" s="339"/>
      <c r="E32" s="339"/>
      <c r="F32" s="339"/>
    </row>
    <row r="33" spans="2:6" x14ac:dyDescent="0.35">
      <c r="B33" s="47" t="s">
        <v>241</v>
      </c>
      <c r="C33" s="192">
        <f>Normalized_FCF!C9</f>
        <v>159.99999999999997</v>
      </c>
      <c r="D33" s="1" t="str">
        <f>Reporting_currency</f>
        <v>HKD</v>
      </c>
    </row>
    <row r="34" spans="2:6" x14ac:dyDescent="0.35">
      <c r="B34" s="52" t="s">
        <v>242</v>
      </c>
      <c r="C34" s="192">
        <f>Normalized_FCF!C10</f>
        <v>-159.99999999999997</v>
      </c>
      <c r="D34" s="1" t="str">
        <f>Reporting_currency</f>
        <v>HKD</v>
      </c>
    </row>
    <row r="36" spans="2:6" x14ac:dyDescent="0.35">
      <c r="B36" s="339" t="s">
        <v>243</v>
      </c>
      <c r="C36" s="339"/>
      <c r="D36" s="339"/>
      <c r="E36" s="339"/>
      <c r="F36" s="339"/>
    </row>
    <row r="37" spans="2:6" x14ac:dyDescent="0.35">
      <c r="B37" s="47" t="s">
        <v>244</v>
      </c>
      <c r="C37" s="192">
        <f>Normalized_FCF!C11</f>
        <v>639</v>
      </c>
      <c r="D37" s="1" t="str">
        <f>Reporting_currency</f>
        <v>HKD</v>
      </c>
    </row>
    <row r="39" spans="2:6" x14ac:dyDescent="0.35">
      <c r="B39" s="339" t="s">
        <v>247</v>
      </c>
      <c r="C39" s="339"/>
      <c r="D39" s="339"/>
      <c r="E39" s="339"/>
      <c r="F39" s="339"/>
    </row>
    <row r="40" spans="2:6" x14ac:dyDescent="0.35">
      <c r="B40" s="47" t="s">
        <v>383</v>
      </c>
      <c r="C40" s="332">
        <f>Normalized_FCF!C48</f>
        <v>185.19539222287685</v>
      </c>
      <c r="D40" s="1" t="str">
        <f>Reporting_currency</f>
        <v>HKD</v>
      </c>
      <c r="E40" s="331"/>
      <c r="F40" s="331"/>
    </row>
    <row r="41" spans="2:6" x14ac:dyDescent="0.35">
      <c r="B41" s="47" t="s">
        <v>384</v>
      </c>
      <c r="C41" s="332">
        <f>Normalized_FCF!C47</f>
        <v>-43</v>
      </c>
      <c r="D41" s="1" t="str">
        <f>Reporting_currency</f>
        <v>HKD</v>
      </c>
      <c r="E41" s="331"/>
      <c r="F41" s="331"/>
    </row>
    <row r="42" spans="2:6" x14ac:dyDescent="0.35">
      <c r="B42" s="47" t="s">
        <v>245</v>
      </c>
      <c r="C42" s="192">
        <f>Normalized_FCF!C12</f>
        <v>142.19539222287685</v>
      </c>
      <c r="D42" s="1" t="str">
        <f>Reporting_currency</f>
        <v>HKD</v>
      </c>
    </row>
    <row r="44" spans="2:6" x14ac:dyDescent="0.35">
      <c r="B44" s="1" t="s">
        <v>253</v>
      </c>
    </row>
    <row r="45" spans="2:6" x14ac:dyDescent="0.35">
      <c r="B45" s="47" t="s">
        <v>279</v>
      </c>
      <c r="C45" s="192">
        <f>Normalized_FCF!C15</f>
        <v>-22.869707937042335</v>
      </c>
      <c r="D45" s="1" t="str">
        <f>Reporting_currency</f>
        <v>HKD</v>
      </c>
    </row>
    <row r="47" spans="2:6" x14ac:dyDescent="0.35">
      <c r="B47" s="339" t="s">
        <v>248</v>
      </c>
      <c r="C47" s="339"/>
      <c r="D47" s="339"/>
      <c r="E47" s="339"/>
      <c r="F47" s="339"/>
    </row>
    <row r="48" spans="2:6" x14ac:dyDescent="0.35">
      <c r="B48" s="47" t="s">
        <v>246</v>
      </c>
      <c r="C48" s="192">
        <f>Normalized_FCF!C14</f>
        <v>-809.52375635047554</v>
      </c>
      <c r="D48" s="1" t="str">
        <f>Reporting_currency</f>
        <v>HKD</v>
      </c>
    </row>
    <row r="50" spans="1:6" x14ac:dyDescent="0.35">
      <c r="B50" s="339" t="s">
        <v>381</v>
      </c>
      <c r="C50" s="343"/>
      <c r="D50" s="343"/>
      <c r="E50" s="343"/>
      <c r="F50" s="343"/>
    </row>
    <row r="51" spans="1:6" x14ac:dyDescent="0.35">
      <c r="B51" s="47" t="s">
        <v>249</v>
      </c>
      <c r="C51" s="1">
        <f>Normalized_FCF!C17</f>
        <v>0</v>
      </c>
      <c r="D51" s="1" t="str">
        <f>Reporting_currency</f>
        <v>HKD</v>
      </c>
    </row>
    <row r="53" spans="1:6" ht="24.4" customHeight="1" x14ac:dyDescent="0.35">
      <c r="B53" s="340" t="s">
        <v>386</v>
      </c>
      <c r="C53" s="340"/>
      <c r="D53" s="340"/>
      <c r="E53" s="340"/>
      <c r="F53" s="340"/>
    </row>
    <row r="54" spans="1:6" ht="24.4" customHeight="1" x14ac:dyDescent="0.35">
      <c r="B54" s="340" t="s">
        <v>268</v>
      </c>
      <c r="C54" s="340"/>
      <c r="D54" s="340"/>
      <c r="E54" s="340"/>
      <c r="F54" s="340"/>
    </row>
    <row r="56" spans="1:6" x14ac:dyDescent="0.35">
      <c r="B56" s="47" t="s">
        <v>285</v>
      </c>
      <c r="C56" s="192">
        <f>Normalized_FCF!G19</f>
        <v>2807.968614974819</v>
      </c>
      <c r="D56" s="1" t="str">
        <f>Reporting_currency</f>
        <v>HKD</v>
      </c>
    </row>
    <row r="57" spans="1:6" x14ac:dyDescent="0.35">
      <c r="B57" s="47" t="s">
        <v>255</v>
      </c>
      <c r="C57" s="192">
        <f>Normalized_FCF!C19</f>
        <v>2540.6221871727971</v>
      </c>
      <c r="D57" s="1" t="str">
        <f>Reporting_currency</f>
        <v>HKD</v>
      </c>
    </row>
    <row r="58" spans="1:6" x14ac:dyDescent="0.35">
      <c r="B58" s="261" t="s">
        <v>284</v>
      </c>
      <c r="C58" s="94">
        <f>Normalized_FCF!C121</f>
        <v>3.9354193616452378E-2</v>
      </c>
    </row>
    <row r="59" spans="1:6" x14ac:dyDescent="0.35">
      <c r="B59" s="261" t="s">
        <v>340</v>
      </c>
      <c r="C59" s="94">
        <f>Normalized_FCF!C93</f>
        <v>7.3417721518987331E-2</v>
      </c>
    </row>
    <row r="61" spans="1:6" ht="13.9" x14ac:dyDescent="0.45">
      <c r="A61" s="254" t="s">
        <v>302</v>
      </c>
      <c r="B61" s="36"/>
      <c r="C61" s="36"/>
      <c r="D61" s="36"/>
      <c r="E61" s="36"/>
      <c r="F61" s="36"/>
    </row>
    <row r="62" spans="1:6" x14ac:dyDescent="0.35">
      <c r="A62" s="240"/>
    </row>
    <row r="63" spans="1:6" ht="24.4" customHeight="1" x14ac:dyDescent="0.35">
      <c r="A63" s="17"/>
      <c r="B63" s="339" t="s">
        <v>303</v>
      </c>
      <c r="C63" s="339"/>
      <c r="D63" s="339"/>
      <c r="E63" s="339"/>
      <c r="F63" s="339"/>
    </row>
    <row r="64" spans="1:6" x14ac:dyDescent="0.35">
      <c r="B64" s="341" t="s">
        <v>259</v>
      </c>
      <c r="C64" s="341"/>
      <c r="D64" s="341"/>
      <c r="E64" s="341"/>
      <c r="F64" s="341"/>
    </row>
    <row r="66" spans="1:6" x14ac:dyDescent="0.35">
      <c r="B66" s="241" t="s">
        <v>237</v>
      </c>
    </row>
    <row r="67" spans="1:6" x14ac:dyDescent="0.35">
      <c r="B67" s="1" t="s">
        <v>308</v>
      </c>
      <c r="C67" s="320">
        <v>0.08</v>
      </c>
    </row>
    <row r="68" spans="1:6" x14ac:dyDescent="0.35">
      <c r="B68" s="1" t="s">
        <v>310</v>
      </c>
      <c r="C68" s="271">
        <f>IF(D68="Y",1%,0)</f>
        <v>0.01</v>
      </c>
      <c r="D68" s="295" t="s">
        <v>307</v>
      </c>
    </row>
    <row r="69" spans="1:6" x14ac:dyDescent="0.35">
      <c r="B69" s="1" t="s">
        <v>309</v>
      </c>
      <c r="C69" s="271">
        <f>IF(D69="Y",1%,0)</f>
        <v>0</v>
      </c>
      <c r="D69" s="295" t="s">
        <v>357</v>
      </c>
    </row>
    <row r="70" spans="1:6" x14ac:dyDescent="0.35">
      <c r="B70" s="82" t="s">
        <v>254</v>
      </c>
      <c r="C70" s="271">
        <f>SUM(C67:C69)</f>
        <v>0.09</v>
      </c>
    </row>
    <row r="71" spans="1:6" x14ac:dyDescent="0.35">
      <c r="C71" s="125"/>
    </row>
    <row r="72" spans="1:6" x14ac:dyDescent="0.35">
      <c r="B72" s="340" t="s">
        <v>387</v>
      </c>
      <c r="C72" s="340"/>
      <c r="D72" s="340"/>
      <c r="E72" s="340"/>
      <c r="F72" s="340"/>
    </row>
    <row r="73" spans="1:6" ht="24.4" customHeight="1" x14ac:dyDescent="0.35">
      <c r="B73" s="340" t="s">
        <v>388</v>
      </c>
      <c r="C73" s="340"/>
      <c r="D73" s="340"/>
      <c r="E73" s="340"/>
      <c r="F73" s="340"/>
    </row>
    <row r="75" spans="1:6" x14ac:dyDescent="0.35">
      <c r="B75" s="47" t="s">
        <v>258</v>
      </c>
      <c r="C75" s="271">
        <v>0</v>
      </c>
    </row>
    <row r="76" spans="1:6" x14ac:dyDescent="0.35">
      <c r="B76" s="47" t="s">
        <v>301</v>
      </c>
      <c r="C76" s="255">
        <f>Valuation_Model!C6*C28*Exchange_Rate/Common_Shares</f>
        <v>3.4544236618885975</v>
      </c>
      <c r="D76" s="1" t="str">
        <f>Market_currency</f>
        <v>HKD</v>
      </c>
    </row>
    <row r="78" spans="1:6" ht="13.9" x14ac:dyDescent="0.45">
      <c r="A78" s="254" t="s">
        <v>260</v>
      </c>
      <c r="B78" s="36"/>
      <c r="C78" s="36"/>
      <c r="D78" s="36"/>
      <c r="E78" s="36"/>
      <c r="F78" s="36"/>
    </row>
    <row r="79" spans="1:6" x14ac:dyDescent="0.35">
      <c r="A79" s="240"/>
    </row>
    <row r="80" spans="1:6" ht="24.4" customHeight="1" x14ac:dyDescent="0.35">
      <c r="B80" s="340" t="s">
        <v>261</v>
      </c>
      <c r="C80" s="340"/>
      <c r="D80" s="340"/>
      <c r="E80" s="340"/>
      <c r="F80" s="340"/>
    </row>
    <row r="81" spans="2:6" x14ac:dyDescent="0.35">
      <c r="B81" s="1" t="s">
        <v>262</v>
      </c>
    </row>
    <row r="83" spans="2:6" x14ac:dyDescent="0.35">
      <c r="B83" s="241" t="s">
        <v>237</v>
      </c>
    </row>
    <row r="84" spans="2:6" ht="24.4" customHeight="1" x14ac:dyDescent="0.35">
      <c r="B84" s="340" t="s">
        <v>389</v>
      </c>
      <c r="C84" s="340"/>
      <c r="D84" s="340"/>
      <c r="E84" s="340"/>
      <c r="F84" s="340"/>
    </row>
    <row r="85" spans="2:6" x14ac:dyDescent="0.35">
      <c r="B85" s="47" t="s">
        <v>264</v>
      </c>
      <c r="C85" s="192">
        <f>Valuation_Model!C7</f>
        <v>3093</v>
      </c>
      <c r="D85" s="1" t="str">
        <f>Reporting_currency</f>
        <v>HKD</v>
      </c>
    </row>
    <row r="86" spans="2:6" x14ac:dyDescent="0.35">
      <c r="B86" s="47" t="s">
        <v>304</v>
      </c>
      <c r="C86" s="255">
        <f>C85*C28*Exchange_Rate/Common_Shares</f>
        <v>0.37849307922088393</v>
      </c>
      <c r="D86" s="1" t="str">
        <f>Market_currency</f>
        <v>HKD</v>
      </c>
    </row>
    <row r="88" spans="2:6" x14ac:dyDescent="0.35">
      <c r="B88" s="1" t="s">
        <v>263</v>
      </c>
    </row>
    <row r="89" spans="2:6" x14ac:dyDescent="0.35">
      <c r="B89" s="47" t="s">
        <v>278</v>
      </c>
      <c r="C89" s="192">
        <f>BS!C66</f>
        <v>47679</v>
      </c>
      <c r="D89" s="1" t="str">
        <f>Reporting_currency</f>
        <v>HKD</v>
      </c>
    </row>
    <row r="90" spans="2:6" x14ac:dyDescent="0.35">
      <c r="B90" s="47" t="s">
        <v>280</v>
      </c>
      <c r="C90" s="192">
        <f>Valuation_Model!C8</f>
        <v>41505.820259237436</v>
      </c>
      <c r="D90" s="1" t="str">
        <f>Reporting_currency</f>
        <v>HKD</v>
      </c>
    </row>
    <row r="91" spans="2:6" x14ac:dyDescent="0.35">
      <c r="B91" s="47" t="s">
        <v>305</v>
      </c>
      <c r="C91" s="255">
        <f>C90*C28*Exchange_Rate/Common_Shares</f>
        <v>5.0791030441342784</v>
      </c>
      <c r="D91" s="1" t="str">
        <f>Market_currency</f>
        <v>HKD</v>
      </c>
    </row>
    <row r="93" spans="2:6" x14ac:dyDescent="0.35">
      <c r="B93" s="1" t="s">
        <v>265</v>
      </c>
    </row>
    <row r="94" spans="2:6" x14ac:dyDescent="0.35">
      <c r="B94" s="47" t="s">
        <v>266</v>
      </c>
      <c r="C94" s="192">
        <f>Valuation_Model!C9</f>
        <v>7814.4</v>
      </c>
      <c r="D94" s="1" t="str">
        <f>Reporting_currency</f>
        <v>HKD</v>
      </c>
    </row>
    <row r="95" spans="2:6" x14ac:dyDescent="0.35">
      <c r="B95" s="47" t="s">
        <v>306</v>
      </c>
      <c r="C95" s="255">
        <f>C94*C28*Exchange_Rate/Common_Shares</f>
        <v>0.95625487173090062</v>
      </c>
      <c r="D95" s="1" t="str">
        <f>Market_currency</f>
        <v>HKD</v>
      </c>
    </row>
    <row r="97" spans="1:6" ht="24.4" customHeight="1" x14ac:dyDescent="0.35">
      <c r="B97" s="340" t="s">
        <v>267</v>
      </c>
      <c r="C97" s="340"/>
      <c r="D97" s="340"/>
      <c r="E97" s="340"/>
      <c r="F97" s="340"/>
    </row>
    <row r="99" spans="1:6" x14ac:dyDescent="0.35">
      <c r="B99" s="47" t="s">
        <v>300</v>
      </c>
      <c r="C99" s="255">
        <f>Valuation_Model!C12</f>
        <v>9.111288498532895</v>
      </c>
      <c r="D99" s="1" t="str">
        <f>Market_currency</f>
        <v>HKD</v>
      </c>
    </row>
    <row r="101" spans="1:6" ht="13.9" x14ac:dyDescent="0.45">
      <c r="A101" s="254" t="s">
        <v>277</v>
      </c>
      <c r="B101" s="36"/>
      <c r="C101" s="36"/>
      <c r="D101" s="36"/>
      <c r="E101" s="36"/>
      <c r="F101" s="36"/>
    </row>
    <row r="103" spans="1:6" ht="24.4" customHeight="1" x14ac:dyDescent="0.35">
      <c r="B103" s="339" t="s">
        <v>369</v>
      </c>
      <c r="C103" s="339"/>
      <c r="D103" s="339"/>
      <c r="E103" s="339"/>
      <c r="F103" s="339"/>
    </row>
    <row r="105" spans="1:6" ht="12.4" x14ac:dyDescent="0.4">
      <c r="B105" s="267" t="s">
        <v>122</v>
      </c>
      <c r="C105" s="267" t="s">
        <v>137</v>
      </c>
      <c r="D105" s="267" t="s">
        <v>117</v>
      </c>
      <c r="E105" s="267" t="s">
        <v>270</v>
      </c>
      <c r="F105" s="267" t="s">
        <v>152</v>
      </c>
    </row>
    <row r="106" spans="1:6" x14ac:dyDescent="0.35">
      <c r="B106" s="262" t="str">
        <f>Valuation_Model!B74</f>
        <v>Snowball Scenario</v>
      </c>
      <c r="C106" s="263">
        <f>Valuation_Model!C74</f>
        <v>0.05</v>
      </c>
      <c r="D106" s="264">
        <f>Valuation_Model!D74</f>
        <v>15</v>
      </c>
      <c r="E106" s="265" t="str">
        <f>ROUND(Valuation_Model!E74,2)&amp;" "&amp;Market_currency</f>
        <v>10.16 HKD</v>
      </c>
      <c r="F106" s="266">
        <f>Valuation_Model!F74</f>
        <v>0.05</v>
      </c>
    </row>
    <row r="107" spans="1:6" x14ac:dyDescent="0.35">
      <c r="B107" s="249" t="str">
        <f>Valuation_Model!B75</f>
        <v>Optimistic</v>
      </c>
      <c r="C107" s="250">
        <f>Valuation_Model!C75</f>
        <v>0.02</v>
      </c>
      <c r="D107" s="251">
        <f>Valuation_Model!D75</f>
        <v>10</v>
      </c>
      <c r="E107" s="252" t="str">
        <f>ROUND(Valuation_Model!E75,2)&amp;" "&amp;Market_currency</f>
        <v>9.34 HKD</v>
      </c>
      <c r="F107" s="253">
        <f>Valuation_Model!F75</f>
        <v>0.22499999999999992</v>
      </c>
    </row>
    <row r="108" spans="1:6" x14ac:dyDescent="0.35">
      <c r="B108" s="249" t="str">
        <f>Valuation_Model!B76</f>
        <v>Base</v>
      </c>
      <c r="C108" s="250">
        <f>Valuation_Model!C76</f>
        <v>0</v>
      </c>
      <c r="D108" s="251">
        <f>Valuation_Model!D76</f>
        <v>10</v>
      </c>
      <c r="E108" s="252" t="str">
        <f>ROUND(Valuation_Model!E76,2)&amp;" "&amp;Market_currency</f>
        <v>9.11 HKD</v>
      </c>
      <c r="F108" s="253">
        <f>Valuation_Model!F76</f>
        <v>0.495</v>
      </c>
    </row>
    <row r="109" spans="1:6" x14ac:dyDescent="0.35">
      <c r="B109" s="249" t="str">
        <f>Valuation_Model!B77</f>
        <v>Pessimistic</v>
      </c>
      <c r="C109" s="250">
        <f>Valuation_Model!C77</f>
        <v>-0.05</v>
      </c>
      <c r="D109" s="251">
        <f>Valuation_Model!D77</f>
        <v>10</v>
      </c>
      <c r="E109" s="252" t="str">
        <f>ROUND(Valuation_Model!E77,2)&amp;" "&amp;Market_currency</f>
        <v>8.62 HKD</v>
      </c>
      <c r="F109" s="253">
        <f>Valuation_Model!F77</f>
        <v>0.18</v>
      </c>
    </row>
    <row r="110" spans="1:6" x14ac:dyDescent="0.35">
      <c r="B110" s="249" t="str">
        <f>Valuation_Model!B78</f>
        <v>Devil's advocate</v>
      </c>
      <c r="C110" s="250">
        <f>Valuation_Model!C78</f>
        <v>-0.2</v>
      </c>
      <c r="D110" s="251">
        <f>Valuation_Model!D78</f>
        <v>15</v>
      </c>
      <c r="E110" s="252" t="str">
        <f>ROUND(Valuation_Model!E78,2)&amp;" "&amp;Market_currency</f>
        <v>7.26 HKD</v>
      </c>
      <c r="F110" s="253">
        <f>Valuation_Model!F78</f>
        <v>0.05</v>
      </c>
    </row>
    <row r="112" spans="1:6" x14ac:dyDescent="0.35">
      <c r="B112" s="242" t="s">
        <v>269</v>
      </c>
      <c r="C112" s="248">
        <f>Scenarios!C60</f>
        <v>9.0347055134616365</v>
      </c>
      <c r="D112" s="243" t="str">
        <f>Market_currency</f>
        <v>HKD</v>
      </c>
    </row>
    <row r="114" spans="1:6" ht="24.4" customHeight="1" x14ac:dyDescent="0.35">
      <c r="B114" s="344" t="s">
        <v>370</v>
      </c>
      <c r="C114" s="344"/>
      <c r="D114" s="344"/>
      <c r="E114" s="344"/>
      <c r="F114" s="344"/>
    </row>
    <row r="116" spans="1:6" ht="13.9" x14ac:dyDescent="0.45">
      <c r="A116" s="254" t="s">
        <v>299</v>
      </c>
      <c r="B116" s="36"/>
      <c r="C116" s="36"/>
      <c r="D116" s="36"/>
      <c r="E116" s="36"/>
      <c r="F116" s="36"/>
    </row>
    <row r="118" spans="1:6" x14ac:dyDescent="0.35">
      <c r="B118" s="342" t="s">
        <v>275</v>
      </c>
      <c r="C118" s="342"/>
      <c r="D118" s="342"/>
      <c r="E118" s="342"/>
      <c r="F118" s="342"/>
    </row>
    <row r="119" spans="1:6" x14ac:dyDescent="0.35">
      <c r="B119" s="241" t="s">
        <v>237</v>
      </c>
    </row>
    <row r="120" spans="1:6" x14ac:dyDescent="0.35">
      <c r="B120" s="1" t="s">
        <v>276</v>
      </c>
      <c r="C120" s="258">
        <f>E20</f>
        <v>3</v>
      </c>
    </row>
    <row r="121" spans="1:6" x14ac:dyDescent="0.35">
      <c r="B121" s="1" t="s">
        <v>294</v>
      </c>
      <c r="C121" s="257">
        <f>C19</f>
        <v>0.2</v>
      </c>
    </row>
    <row r="122" spans="1:6" x14ac:dyDescent="0.35">
      <c r="B122" s="243" t="s">
        <v>272</v>
      </c>
      <c r="C122" s="244">
        <f>Scenarios!C77</f>
        <v>0.57999999999999996</v>
      </c>
      <c r="D122" s="243" t="str">
        <f>Market_currency</f>
        <v>HKD</v>
      </c>
    </row>
    <row r="124" spans="1:6" x14ac:dyDescent="0.35">
      <c r="B124" s="241" t="s">
        <v>274</v>
      </c>
    </row>
    <row r="125" spans="1:6" x14ac:dyDescent="0.35">
      <c r="B125" s="243" t="str">
        <f>"PV("&amp;C120&amp;" yrs of Dividends)"</f>
        <v>PV(3 yrs of Dividends)</v>
      </c>
      <c r="C125" s="247">
        <f>Scenarios!C81</f>
        <v>1.2217592592592592</v>
      </c>
    </row>
    <row r="126" spans="1:6" x14ac:dyDescent="0.35">
      <c r="B126" s="243" t="str">
        <f>"+ PV(Equity Value realized at year "&amp;C120&amp;")"</f>
        <v>+ PV(Equity Value realized at year 3)</v>
      </c>
      <c r="C126" s="247">
        <f>Scenarios!C82</f>
        <v>5.2284175425125214</v>
      </c>
    </row>
    <row r="127" spans="1:6" x14ac:dyDescent="0.35">
      <c r="B127" s="82" t="s">
        <v>271</v>
      </c>
      <c r="C127" s="246">
        <f>Scenarios!C83</f>
        <v>6.4501768017717804</v>
      </c>
      <c r="D127" s="47" t="str">
        <f>Reporting_currency</f>
        <v>HKD</v>
      </c>
    </row>
    <row r="128" spans="1:6" x14ac:dyDescent="0.35">
      <c r="B128" s="245" t="s">
        <v>273</v>
      </c>
      <c r="C128" s="158">
        <f>Scenarios!F83</f>
        <v>-0.28606673541699057</v>
      </c>
    </row>
  </sheetData>
  <mergeCells count="21">
    <mergeCell ref="B73:F73"/>
    <mergeCell ref="B80:F80"/>
    <mergeCell ref="B97:F97"/>
    <mergeCell ref="B118:F118"/>
    <mergeCell ref="B39:F39"/>
    <mergeCell ref="B47:F47"/>
    <mergeCell ref="B50:F50"/>
    <mergeCell ref="B54:F54"/>
    <mergeCell ref="B63:F63"/>
    <mergeCell ref="B64:F64"/>
    <mergeCell ref="B103:F103"/>
    <mergeCell ref="B72:F72"/>
    <mergeCell ref="B114:F114"/>
    <mergeCell ref="B53:F53"/>
    <mergeCell ref="B84:F84"/>
    <mergeCell ref="B36:F36"/>
    <mergeCell ref="B12:F12"/>
    <mergeCell ref="B25:F25"/>
    <mergeCell ref="B26:F26"/>
    <mergeCell ref="B29:F29"/>
    <mergeCell ref="B32:F32"/>
  </mergeCells>
  <phoneticPr fontId="2" type="noConversion"/>
  <dataValidations count="3">
    <dataValidation type="list" allowBlank="1" sqref="C16" xr:uid="{00000000-0002-0000-0000-000001000000}">
      <formula1>"HKD,USD,CNY,EUR"</formula1>
    </dataValidation>
    <dataValidation type="list" allowBlank="1" showInputMessage="1" showErrorMessage="1" sqref="F1" xr:uid="{45F807FD-9E0F-415A-9BBD-D5FB6470B56D}">
      <formula1>"Not Held, Held"</formula1>
    </dataValidation>
    <dataValidation type="list" allowBlank="1" showInputMessage="1" showErrorMessage="1" sqref="D68:D69" xr:uid="{342D2C68-3352-49DC-9D77-964DC8D8A160}">
      <formula1>"Y,N"</formula1>
    </dataValidation>
  </dataValidations>
  <pageMargins left="0.25" right="0.25" top="0.75" bottom="0.75" header="0.3" footer="0.3"/>
  <pageSetup paperSize="9" scale="88"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79"/>
  <sheetViews>
    <sheetView showGridLines="0" zoomScaleNormal="100" workbookViewId="0">
      <pane xSplit="2" ySplit="1" topLeftCell="C2" activePane="bottomRight" state="frozen"/>
      <selection pane="topRight" activeCell="C1" sqref="C1"/>
      <selection pane="bottomLeft" activeCell="A2" sqref="A2"/>
      <selection pane="bottomRight" activeCell="C10" sqref="C10"/>
    </sheetView>
  </sheetViews>
  <sheetFormatPr defaultColWidth="8.796875" defaultRowHeight="11.65" x14ac:dyDescent="0.35"/>
  <cols>
    <col min="1" max="1" width="3" style="1" customWidth="1"/>
    <col min="2" max="2" width="27.33203125" style="1" customWidth="1"/>
    <col min="3" max="13" width="20.6640625" style="1" customWidth="1"/>
    <col min="14" max="16384" width="8.796875" style="1"/>
  </cols>
  <sheetData>
    <row r="1" spans="2:13" x14ac:dyDescent="0.35">
      <c r="B1" s="92" t="str">
        <f>Thesis!C16</f>
        <v>HKD</v>
      </c>
      <c r="C1" s="107">
        <v>45473</v>
      </c>
      <c r="D1" s="38">
        <f>EOMONTH(EDATE(C1,-12),0)</f>
        <v>45107</v>
      </c>
      <c r="E1" s="38">
        <f t="shared" ref="E1:M1" si="0">EOMONTH(EDATE(D1,-12),0)</f>
        <v>44742</v>
      </c>
      <c r="F1" s="38">
        <f t="shared" si="0"/>
        <v>44377</v>
      </c>
      <c r="G1" s="38">
        <f t="shared" si="0"/>
        <v>44012</v>
      </c>
      <c r="H1" s="38">
        <f t="shared" si="0"/>
        <v>43646</v>
      </c>
      <c r="I1" s="38">
        <f t="shared" si="0"/>
        <v>43281</v>
      </c>
      <c r="J1" s="38">
        <f t="shared" si="0"/>
        <v>42916</v>
      </c>
      <c r="K1" s="38">
        <f t="shared" si="0"/>
        <v>42551</v>
      </c>
      <c r="L1" s="38">
        <f t="shared" si="0"/>
        <v>42185</v>
      </c>
      <c r="M1" s="38">
        <f t="shared" si="0"/>
        <v>41820</v>
      </c>
    </row>
    <row r="2" spans="2:13" ht="13.9" x14ac:dyDescent="0.45">
      <c r="B2" s="36" t="s">
        <v>102</v>
      </c>
      <c r="C2" s="37"/>
      <c r="D2" s="37"/>
      <c r="E2" s="37"/>
      <c r="F2" s="37"/>
      <c r="G2" s="37"/>
      <c r="H2" s="37"/>
      <c r="I2" s="37"/>
      <c r="J2" s="37"/>
      <c r="K2" s="37"/>
      <c r="L2" s="37"/>
      <c r="M2" s="37"/>
    </row>
    <row r="3" spans="2:13" x14ac:dyDescent="0.35">
      <c r="B3" s="16" t="s">
        <v>28</v>
      </c>
      <c r="C3" s="109">
        <v>1000000</v>
      </c>
    </row>
    <row r="4" spans="2:13" x14ac:dyDescent="0.35">
      <c r="B4" s="32" t="s">
        <v>3</v>
      </c>
      <c r="C4" s="194">
        <v>8765</v>
      </c>
      <c r="D4" s="185">
        <v>11881</v>
      </c>
      <c r="E4" s="185"/>
      <c r="F4" s="185"/>
      <c r="G4" s="185"/>
      <c r="H4" s="185"/>
      <c r="I4" s="185"/>
      <c r="J4" s="185"/>
      <c r="K4" s="185"/>
      <c r="L4" s="185"/>
      <c r="M4" s="185"/>
    </row>
    <row r="5" spans="2:13" x14ac:dyDescent="0.35">
      <c r="B5" s="40" t="s">
        <v>46</v>
      </c>
      <c r="C5" s="194">
        <v>5344</v>
      </c>
      <c r="D5" s="185">
        <v>6492</v>
      </c>
      <c r="E5" s="185"/>
      <c r="F5" s="185"/>
      <c r="G5" s="185"/>
      <c r="H5" s="185"/>
      <c r="I5" s="185"/>
      <c r="J5" s="185"/>
      <c r="K5" s="185"/>
      <c r="L5" s="185"/>
      <c r="M5" s="185"/>
    </row>
    <row r="6" spans="2:13" x14ac:dyDescent="0.35">
      <c r="B6" s="40" t="s">
        <v>58</v>
      </c>
      <c r="C6" s="194">
        <v>1084</v>
      </c>
      <c r="D6" s="185">
        <v>1129</v>
      </c>
      <c r="E6" s="185"/>
      <c r="F6" s="185"/>
      <c r="G6" s="185"/>
      <c r="H6" s="185"/>
      <c r="I6" s="185"/>
      <c r="J6" s="185"/>
      <c r="K6" s="185"/>
      <c r="L6" s="185"/>
      <c r="M6" s="185"/>
    </row>
    <row r="7" spans="2:13" x14ac:dyDescent="0.35">
      <c r="B7" s="70" t="s">
        <v>65</v>
      </c>
      <c r="C7" s="195"/>
      <c r="D7" s="193"/>
      <c r="E7" s="193"/>
      <c r="F7" s="193"/>
      <c r="G7" s="193"/>
      <c r="H7" s="193"/>
      <c r="I7" s="193"/>
      <c r="J7" s="193"/>
      <c r="K7" s="193"/>
      <c r="L7" s="193"/>
      <c r="M7" s="193"/>
    </row>
    <row r="8" spans="2:13" x14ac:dyDescent="0.35">
      <c r="B8" s="40" t="s">
        <v>52</v>
      </c>
      <c r="C8" s="194"/>
      <c r="D8" s="185"/>
      <c r="E8" s="185"/>
      <c r="F8" s="185"/>
      <c r="G8" s="185"/>
      <c r="H8" s="185"/>
      <c r="I8" s="185"/>
      <c r="J8" s="185"/>
      <c r="K8" s="185"/>
      <c r="L8" s="185"/>
      <c r="M8" s="185"/>
    </row>
    <row r="9" spans="2:13" x14ac:dyDescent="0.35">
      <c r="B9" s="40" t="s">
        <v>164</v>
      </c>
      <c r="C9" s="194">
        <v>639</v>
      </c>
      <c r="D9" s="185">
        <v>927</v>
      </c>
      <c r="E9" s="185"/>
      <c r="F9" s="185"/>
      <c r="G9" s="185"/>
      <c r="H9" s="185"/>
      <c r="I9" s="185"/>
      <c r="J9" s="185"/>
      <c r="K9" s="185"/>
      <c r="L9" s="185"/>
      <c r="M9" s="185"/>
    </row>
    <row r="10" spans="2:13" x14ac:dyDescent="0.35">
      <c r="B10" s="40" t="s">
        <v>172</v>
      </c>
      <c r="C10" s="194"/>
      <c r="D10" s="185"/>
      <c r="E10" s="185"/>
      <c r="F10" s="185"/>
      <c r="G10" s="185"/>
      <c r="H10" s="185"/>
      <c r="I10" s="185"/>
      <c r="J10" s="185"/>
      <c r="K10" s="185"/>
      <c r="L10" s="185"/>
      <c r="M10" s="185"/>
    </row>
    <row r="11" spans="2:13" x14ac:dyDescent="0.35">
      <c r="B11" s="40" t="s">
        <v>163</v>
      </c>
      <c r="C11" s="194"/>
      <c r="D11" s="185"/>
      <c r="E11" s="185"/>
      <c r="F11" s="185"/>
      <c r="G11" s="185"/>
      <c r="H11" s="185"/>
      <c r="I11" s="185"/>
      <c r="J11" s="185"/>
      <c r="K11" s="185"/>
      <c r="L11" s="185"/>
      <c r="M11" s="185"/>
    </row>
    <row r="12" spans="2:13" x14ac:dyDescent="0.35">
      <c r="B12" s="40" t="s">
        <v>40</v>
      </c>
      <c r="C12" s="194">
        <v>43</v>
      </c>
      <c r="D12" s="185">
        <v>40.775368</v>
      </c>
      <c r="E12" s="185"/>
      <c r="F12" s="185"/>
      <c r="G12" s="185"/>
      <c r="H12" s="185"/>
      <c r="I12" s="185"/>
      <c r="J12" s="185"/>
      <c r="K12" s="185"/>
      <c r="L12" s="185"/>
      <c r="M12" s="185"/>
    </row>
    <row r="13" spans="2:13" x14ac:dyDescent="0.35">
      <c r="B13" s="40" t="s">
        <v>71</v>
      </c>
      <c r="C13" s="194">
        <v>2340</v>
      </c>
      <c r="D13" s="185">
        <v>1390.845307</v>
      </c>
      <c r="E13" s="185"/>
      <c r="F13" s="185"/>
      <c r="G13" s="185"/>
      <c r="H13" s="185"/>
      <c r="I13" s="185"/>
      <c r="J13" s="185"/>
      <c r="K13" s="185"/>
      <c r="L13" s="185"/>
      <c r="M13" s="185"/>
    </row>
    <row r="14" spans="2:13" x14ac:dyDescent="0.35">
      <c r="B14" s="40" t="s">
        <v>53</v>
      </c>
      <c r="C14" s="194">
        <v>519</v>
      </c>
      <c r="D14" s="185">
        <v>860.83482800000002</v>
      </c>
      <c r="E14" s="185"/>
      <c r="F14" s="185"/>
      <c r="G14" s="185"/>
      <c r="H14" s="185"/>
      <c r="I14" s="185"/>
      <c r="J14" s="185"/>
      <c r="K14" s="185"/>
      <c r="L14" s="185"/>
      <c r="M14" s="185"/>
    </row>
    <row r="15" spans="2:13" x14ac:dyDescent="0.35">
      <c r="B15" s="43" t="s">
        <v>45</v>
      </c>
      <c r="C15" s="196">
        <v>4251</v>
      </c>
      <c r="D15" s="186">
        <v>5880</v>
      </c>
      <c r="E15" s="186"/>
      <c r="F15" s="186"/>
      <c r="G15" s="186"/>
      <c r="H15" s="186"/>
      <c r="I15" s="186"/>
      <c r="J15" s="186"/>
      <c r="K15" s="186"/>
      <c r="L15" s="186"/>
      <c r="M15" s="186"/>
    </row>
    <row r="16" spans="2:13" x14ac:dyDescent="0.35">
      <c r="B16" s="28" t="s">
        <v>47</v>
      </c>
      <c r="C16" s="194">
        <v>-151</v>
      </c>
      <c r="D16" s="185">
        <v>31</v>
      </c>
      <c r="E16" s="185"/>
      <c r="F16" s="185"/>
      <c r="G16" s="185"/>
      <c r="H16" s="185"/>
      <c r="I16" s="185"/>
      <c r="J16" s="185"/>
      <c r="K16" s="185"/>
      <c r="L16" s="185"/>
      <c r="M16" s="185"/>
    </row>
    <row r="18" spans="2:13" x14ac:dyDescent="0.35">
      <c r="B18" s="16" t="s">
        <v>54</v>
      </c>
      <c r="C18" s="9"/>
    </row>
    <row r="19" spans="2:13" x14ac:dyDescent="0.35">
      <c r="B19" s="27" t="s">
        <v>50</v>
      </c>
      <c r="C19" s="185">
        <v>160</v>
      </c>
      <c r="D19" s="185">
        <v>198</v>
      </c>
      <c r="E19" s="185"/>
      <c r="F19" s="185"/>
      <c r="G19" s="185"/>
      <c r="H19" s="185"/>
      <c r="I19" s="185"/>
      <c r="J19" s="185"/>
      <c r="K19" s="185"/>
      <c r="L19" s="185"/>
      <c r="M19" s="185"/>
    </row>
    <row r="20" spans="2:13" x14ac:dyDescent="0.35">
      <c r="B20" s="27" t="s">
        <v>56</v>
      </c>
      <c r="C20" s="185">
        <v>69</v>
      </c>
      <c r="D20" s="185">
        <v>108</v>
      </c>
      <c r="E20" s="185"/>
      <c r="F20" s="185"/>
      <c r="G20" s="185"/>
      <c r="H20" s="185"/>
      <c r="I20" s="185"/>
      <c r="J20" s="185"/>
      <c r="K20" s="185"/>
      <c r="L20" s="185"/>
      <c r="M20" s="185"/>
    </row>
    <row r="21" spans="2:13" x14ac:dyDescent="0.35">
      <c r="B21" s="27" t="s">
        <v>55</v>
      </c>
      <c r="C21" s="185">
        <v>910</v>
      </c>
      <c r="D21" s="185">
        <v>2541</v>
      </c>
      <c r="E21" s="185"/>
      <c r="F21" s="185"/>
      <c r="G21" s="185"/>
      <c r="H21" s="185"/>
      <c r="I21" s="185"/>
      <c r="J21" s="185"/>
      <c r="K21" s="185"/>
      <c r="L21" s="185"/>
      <c r="M21" s="185"/>
    </row>
    <row r="22" spans="2:13" x14ac:dyDescent="0.35">
      <c r="B22" s="24" t="str">
        <f>"Dividend per share ("&amp;Market_currency&amp;")"</f>
        <v>Dividend per share (HKD)</v>
      </c>
      <c r="C22" s="39">
        <v>0.57999999999999996</v>
      </c>
      <c r="D22" s="39">
        <v>0.57999999999999996</v>
      </c>
      <c r="E22" s="39"/>
      <c r="F22" s="39"/>
      <c r="G22" s="39"/>
      <c r="H22" s="39"/>
      <c r="I22" s="39"/>
      <c r="J22" s="39"/>
      <c r="K22" s="39"/>
      <c r="L22" s="39"/>
      <c r="M22" s="39"/>
    </row>
    <row r="24" spans="2:13" x14ac:dyDescent="0.35">
      <c r="B24" s="16" t="s">
        <v>29</v>
      </c>
      <c r="C24" s="9"/>
    </row>
    <row r="25" spans="2:13" x14ac:dyDescent="0.35">
      <c r="B25" s="26" t="s">
        <v>25</v>
      </c>
      <c r="C25" s="187"/>
      <c r="D25" s="185">
        <v>7251</v>
      </c>
      <c r="E25" s="185"/>
      <c r="F25" s="185"/>
      <c r="G25" s="185"/>
      <c r="H25" s="185"/>
      <c r="I25" s="185"/>
      <c r="J25" s="185"/>
      <c r="K25" s="185"/>
      <c r="L25" s="185"/>
      <c r="M25" s="185"/>
    </row>
    <row r="26" spans="2:13" x14ac:dyDescent="0.35">
      <c r="B26" s="26" t="s">
        <v>33</v>
      </c>
      <c r="C26" s="187"/>
      <c r="D26" s="185">
        <v>16389</v>
      </c>
      <c r="E26" s="185"/>
      <c r="F26" s="185"/>
      <c r="G26" s="185"/>
      <c r="H26" s="185"/>
      <c r="I26" s="185"/>
      <c r="J26" s="185"/>
      <c r="K26" s="185"/>
      <c r="L26" s="185"/>
      <c r="M26" s="185"/>
    </row>
    <row r="27" spans="2:13" x14ac:dyDescent="0.35">
      <c r="B27" s="29" t="s">
        <v>41</v>
      </c>
      <c r="C27" s="186">
        <v>14028</v>
      </c>
      <c r="D27" s="186">
        <v>10902</v>
      </c>
      <c r="E27" s="186"/>
      <c r="F27" s="186"/>
      <c r="G27" s="186"/>
      <c r="H27" s="186"/>
      <c r="I27" s="186"/>
      <c r="J27" s="186"/>
      <c r="K27" s="186"/>
      <c r="L27" s="186"/>
      <c r="M27" s="186"/>
    </row>
    <row r="28" spans="2:13" x14ac:dyDescent="0.35">
      <c r="B28" s="29" t="s">
        <v>31</v>
      </c>
      <c r="C28" s="186">
        <v>166316</v>
      </c>
      <c r="D28" s="186">
        <v>163105</v>
      </c>
      <c r="E28" s="186"/>
      <c r="F28" s="186"/>
      <c r="G28" s="186"/>
      <c r="H28" s="186"/>
      <c r="I28" s="186"/>
      <c r="J28" s="186"/>
      <c r="K28" s="186"/>
      <c r="L28" s="186"/>
      <c r="M28" s="186"/>
    </row>
    <row r="29" spans="2:13" x14ac:dyDescent="0.35">
      <c r="B29" s="26" t="s">
        <v>177</v>
      </c>
      <c r="C29" s="185"/>
      <c r="D29" s="185"/>
      <c r="E29" s="185"/>
      <c r="F29" s="185"/>
      <c r="G29" s="186"/>
      <c r="H29" s="186"/>
      <c r="I29" s="186"/>
      <c r="J29" s="186"/>
      <c r="K29" s="186"/>
      <c r="L29" s="186"/>
      <c r="M29" s="186"/>
    </row>
    <row r="31" spans="2:13" x14ac:dyDescent="0.35">
      <c r="B31" s="16" t="s">
        <v>57</v>
      </c>
      <c r="C31" s="9"/>
    </row>
    <row r="32" spans="2:13" x14ac:dyDescent="0.35">
      <c r="B32" s="26" t="s">
        <v>42</v>
      </c>
      <c r="C32" s="185"/>
      <c r="D32" s="185"/>
      <c r="E32" s="185"/>
      <c r="F32" s="185"/>
      <c r="G32" s="185"/>
      <c r="H32" s="185"/>
      <c r="I32" s="185"/>
      <c r="J32" s="185"/>
      <c r="K32" s="185"/>
      <c r="L32" s="185"/>
      <c r="M32" s="185"/>
    </row>
    <row r="34" spans="2:13" ht="13.9" x14ac:dyDescent="0.45">
      <c r="B34" s="36" t="s">
        <v>86</v>
      </c>
      <c r="C34" s="37"/>
      <c r="D34" s="37"/>
      <c r="E34" s="37"/>
      <c r="F34" s="37"/>
      <c r="G34" s="37"/>
      <c r="H34" s="37"/>
      <c r="I34" s="37"/>
      <c r="J34" s="37"/>
      <c r="K34" s="37"/>
      <c r="L34" s="37"/>
      <c r="M34" s="37"/>
    </row>
    <row r="35" spans="2:13" x14ac:dyDescent="0.35">
      <c r="B35" s="16" t="s">
        <v>28</v>
      </c>
    </row>
    <row r="36" spans="2:13" x14ac:dyDescent="0.35">
      <c r="B36" s="32" t="s">
        <v>3</v>
      </c>
      <c r="C36" s="187">
        <f t="shared" ref="C36:M36" si="1">IF(C$4="","",C4)</f>
        <v>8765</v>
      </c>
      <c r="D36" s="187">
        <f t="shared" si="1"/>
        <v>11881</v>
      </c>
      <c r="E36" s="187" t="str">
        <f t="shared" si="1"/>
        <v/>
      </c>
      <c r="F36" s="187" t="str">
        <f t="shared" si="1"/>
        <v/>
      </c>
      <c r="G36" s="187" t="str">
        <f t="shared" si="1"/>
        <v/>
      </c>
      <c r="H36" s="187" t="str">
        <f t="shared" si="1"/>
        <v/>
      </c>
      <c r="I36" s="187" t="str">
        <f t="shared" si="1"/>
        <v/>
      </c>
      <c r="J36" s="187" t="str">
        <f t="shared" si="1"/>
        <v/>
      </c>
      <c r="K36" s="187" t="str">
        <f t="shared" si="1"/>
        <v/>
      </c>
      <c r="L36" s="187" t="str">
        <f t="shared" si="1"/>
        <v/>
      </c>
      <c r="M36" s="187" t="str">
        <f t="shared" si="1"/>
        <v/>
      </c>
    </row>
    <row r="37" spans="2:13" x14ac:dyDescent="0.35">
      <c r="B37" s="40" t="s">
        <v>46</v>
      </c>
      <c r="C37" s="187">
        <f t="shared" ref="C37:M37" si="2">IF(C$4="","",-C5)</f>
        <v>-5344</v>
      </c>
      <c r="D37" s="187">
        <f t="shared" si="2"/>
        <v>-6492</v>
      </c>
      <c r="E37" s="187" t="str">
        <f t="shared" si="2"/>
        <v/>
      </c>
      <c r="F37" s="187" t="str">
        <f t="shared" si="2"/>
        <v/>
      </c>
      <c r="G37" s="187" t="str">
        <f t="shared" si="2"/>
        <v/>
      </c>
      <c r="H37" s="187" t="str">
        <f t="shared" si="2"/>
        <v/>
      </c>
      <c r="I37" s="187" t="str">
        <f t="shared" si="2"/>
        <v/>
      </c>
      <c r="J37" s="187" t="str">
        <f t="shared" si="2"/>
        <v/>
      </c>
      <c r="K37" s="187" t="str">
        <f t="shared" si="2"/>
        <v/>
      </c>
      <c r="L37" s="187" t="str">
        <f t="shared" si="2"/>
        <v/>
      </c>
      <c r="M37" s="187" t="str">
        <f t="shared" si="2"/>
        <v/>
      </c>
    </row>
    <row r="38" spans="2:13" x14ac:dyDescent="0.35">
      <c r="B38" s="31" t="s">
        <v>62</v>
      </c>
      <c r="C38" s="188">
        <f>IF(C36="","",C36+C37)</f>
        <v>3421</v>
      </c>
      <c r="D38" s="188">
        <f t="shared" ref="D38" si="3">IF(D36="","",D36+D37)</f>
        <v>5389</v>
      </c>
      <c r="E38" s="188" t="str">
        <f t="shared" ref="E38" si="4">IF(E36="","",E36+E37)</f>
        <v/>
      </c>
      <c r="F38" s="188" t="str">
        <f t="shared" ref="F38" si="5">IF(F36="","",F36+F37)</f>
        <v/>
      </c>
      <c r="G38" s="188" t="str">
        <f t="shared" ref="G38" si="6">IF(G36="","",G36+G37)</f>
        <v/>
      </c>
      <c r="H38" s="188" t="str">
        <f t="shared" ref="H38" si="7">IF(H36="","",H36+H37)</f>
        <v/>
      </c>
      <c r="I38" s="188" t="str">
        <f t="shared" ref="I38" si="8">IF(I36="","",I36+I37)</f>
        <v/>
      </c>
      <c r="J38" s="188" t="str">
        <f t="shared" ref="J38" si="9">IF(J36="","",J36+J37)</f>
        <v/>
      </c>
      <c r="K38" s="188" t="str">
        <f t="shared" ref="K38" si="10">IF(K36="","",K36+K37)</f>
        <v/>
      </c>
      <c r="L38" s="188" t="str">
        <f t="shared" ref="L38" si="11">IF(L36="","",L36+L37)</f>
        <v/>
      </c>
      <c r="M38" s="188" t="str">
        <f t="shared" ref="M38" si="12">IF(M36="","",M36+M37)</f>
        <v/>
      </c>
    </row>
    <row r="39" spans="2:13" x14ac:dyDescent="0.35">
      <c r="B39" s="40" t="s">
        <v>58</v>
      </c>
      <c r="C39" s="187">
        <f t="shared" ref="C39:M39" si="13">IF(C$4="","",-C6)</f>
        <v>-1084</v>
      </c>
      <c r="D39" s="187">
        <f t="shared" si="13"/>
        <v>-1129</v>
      </c>
      <c r="E39" s="187" t="str">
        <f t="shared" si="13"/>
        <v/>
      </c>
      <c r="F39" s="187" t="str">
        <f t="shared" si="13"/>
        <v/>
      </c>
      <c r="G39" s="187" t="str">
        <f t="shared" si="13"/>
        <v/>
      </c>
      <c r="H39" s="187" t="str">
        <f t="shared" si="13"/>
        <v/>
      </c>
      <c r="I39" s="187" t="str">
        <f t="shared" si="13"/>
        <v/>
      </c>
      <c r="J39" s="187" t="str">
        <f t="shared" si="13"/>
        <v/>
      </c>
      <c r="K39" s="187" t="str">
        <f t="shared" si="13"/>
        <v/>
      </c>
      <c r="L39" s="187" t="str">
        <f t="shared" si="13"/>
        <v/>
      </c>
      <c r="M39" s="187" t="str">
        <f t="shared" si="13"/>
        <v/>
      </c>
    </row>
    <row r="40" spans="2:13" x14ac:dyDescent="0.35">
      <c r="B40" s="70" t="s">
        <v>65</v>
      </c>
      <c r="C40" s="189">
        <f t="shared" ref="C40:M40" si="14">IF(C$4="","",-C7)</f>
        <v>0</v>
      </c>
      <c r="D40" s="189">
        <f t="shared" si="14"/>
        <v>0</v>
      </c>
      <c r="E40" s="189" t="str">
        <f t="shared" si="14"/>
        <v/>
      </c>
      <c r="F40" s="189" t="str">
        <f t="shared" si="14"/>
        <v/>
      </c>
      <c r="G40" s="189" t="str">
        <f t="shared" si="14"/>
        <v/>
      </c>
      <c r="H40" s="189" t="str">
        <f t="shared" si="14"/>
        <v/>
      </c>
      <c r="I40" s="189" t="str">
        <f t="shared" si="14"/>
        <v/>
      </c>
      <c r="J40" s="189" t="str">
        <f t="shared" si="14"/>
        <v/>
      </c>
      <c r="K40" s="189" t="str">
        <f t="shared" si="14"/>
        <v/>
      </c>
      <c r="L40" s="189" t="str">
        <f t="shared" si="14"/>
        <v/>
      </c>
      <c r="M40" s="189" t="str">
        <f t="shared" si="14"/>
        <v/>
      </c>
    </row>
    <row r="41" spans="2:13" x14ac:dyDescent="0.35">
      <c r="B41" s="70" t="s">
        <v>68</v>
      </c>
      <c r="C41" s="189">
        <f>IF(C$4="","",C39-C40)</f>
        <v>-1084</v>
      </c>
      <c r="D41" s="189">
        <f t="shared" ref="D41:M41" si="15">IF(D$4="","",D39-D40)</f>
        <v>-1129</v>
      </c>
      <c r="E41" s="189" t="str">
        <f t="shared" si="15"/>
        <v/>
      </c>
      <c r="F41" s="189" t="str">
        <f t="shared" si="15"/>
        <v/>
      </c>
      <c r="G41" s="189" t="str">
        <f t="shared" si="15"/>
        <v/>
      </c>
      <c r="H41" s="189" t="str">
        <f t="shared" si="15"/>
        <v/>
      </c>
      <c r="I41" s="189" t="str">
        <f t="shared" si="15"/>
        <v/>
      </c>
      <c r="J41" s="189" t="str">
        <f t="shared" si="15"/>
        <v/>
      </c>
      <c r="K41" s="189" t="str">
        <f t="shared" si="15"/>
        <v/>
      </c>
      <c r="L41" s="189" t="str">
        <f t="shared" si="15"/>
        <v/>
      </c>
      <c r="M41" s="189" t="str">
        <f t="shared" si="15"/>
        <v/>
      </c>
    </row>
    <row r="42" spans="2:13" x14ac:dyDescent="0.35">
      <c r="B42" s="40" t="s">
        <v>52</v>
      </c>
      <c r="C42" s="187">
        <f t="shared" ref="C42:M42" si="16">IF(C$4="","",-C8)</f>
        <v>0</v>
      </c>
      <c r="D42" s="187">
        <f t="shared" si="16"/>
        <v>0</v>
      </c>
      <c r="E42" s="187" t="str">
        <f t="shared" si="16"/>
        <v/>
      </c>
      <c r="F42" s="187" t="str">
        <f t="shared" si="16"/>
        <v/>
      </c>
      <c r="G42" s="187" t="str">
        <f t="shared" si="16"/>
        <v/>
      </c>
      <c r="H42" s="187" t="str">
        <f t="shared" si="16"/>
        <v/>
      </c>
      <c r="I42" s="187" t="str">
        <f t="shared" si="16"/>
        <v/>
      </c>
      <c r="J42" s="187" t="str">
        <f t="shared" si="16"/>
        <v/>
      </c>
      <c r="K42" s="187" t="str">
        <f t="shared" si="16"/>
        <v/>
      </c>
      <c r="L42" s="187" t="str">
        <f t="shared" si="16"/>
        <v/>
      </c>
      <c r="M42" s="187" t="str">
        <f t="shared" si="16"/>
        <v/>
      </c>
    </row>
    <row r="43" spans="2:13" x14ac:dyDescent="0.35">
      <c r="B43" s="43" t="s">
        <v>157</v>
      </c>
      <c r="C43" s="190">
        <f>IF(C$4="","",C38+C39+C42)</f>
        <v>2337</v>
      </c>
      <c r="D43" s="190">
        <f t="shared" ref="D43:M43" si="17">IF(D$4="","",D38+D39+D42)</f>
        <v>4260</v>
      </c>
      <c r="E43" s="190" t="str">
        <f t="shared" si="17"/>
        <v/>
      </c>
      <c r="F43" s="190" t="str">
        <f t="shared" si="17"/>
        <v/>
      </c>
      <c r="G43" s="190" t="str">
        <f t="shared" si="17"/>
        <v/>
      </c>
      <c r="H43" s="190" t="str">
        <f t="shared" si="17"/>
        <v/>
      </c>
      <c r="I43" s="190" t="str">
        <f t="shared" si="17"/>
        <v/>
      </c>
      <c r="J43" s="190" t="str">
        <f t="shared" si="17"/>
        <v/>
      </c>
      <c r="K43" s="190" t="str">
        <f t="shared" si="17"/>
        <v/>
      </c>
      <c r="L43" s="190" t="str">
        <f t="shared" si="17"/>
        <v/>
      </c>
      <c r="M43" s="190" t="str">
        <f t="shared" si="17"/>
        <v/>
      </c>
    </row>
    <row r="44" spans="2:13" x14ac:dyDescent="0.35">
      <c r="B44" s="43" t="s">
        <v>173</v>
      </c>
      <c r="C44" s="191">
        <f t="shared" ref="C44:M44" si="18">IF(C$4="","",C47-C46-C45-C43)</f>
        <v>136</v>
      </c>
      <c r="D44" s="191">
        <f t="shared" si="18"/>
        <v>1130.764889</v>
      </c>
      <c r="E44" s="191" t="str">
        <f t="shared" si="18"/>
        <v/>
      </c>
      <c r="F44" s="191" t="str">
        <f t="shared" si="18"/>
        <v/>
      </c>
      <c r="G44" s="191" t="str">
        <f t="shared" si="18"/>
        <v/>
      </c>
      <c r="H44" s="191" t="str">
        <f t="shared" si="18"/>
        <v/>
      </c>
      <c r="I44" s="191" t="str">
        <f t="shared" si="18"/>
        <v/>
      </c>
      <c r="J44" s="191" t="str">
        <f t="shared" si="18"/>
        <v/>
      </c>
      <c r="K44" s="191" t="str">
        <f t="shared" si="18"/>
        <v/>
      </c>
      <c r="L44" s="191" t="str">
        <f t="shared" si="18"/>
        <v/>
      </c>
      <c r="M44" s="191" t="str">
        <f t="shared" si="18"/>
        <v/>
      </c>
    </row>
    <row r="45" spans="2:13" x14ac:dyDescent="0.35">
      <c r="B45" s="40" t="s">
        <v>72</v>
      </c>
      <c r="C45" s="192">
        <f t="shared" ref="C45:M45" si="19">IF(C$4="","",C51+C52)</f>
        <v>2297</v>
      </c>
      <c r="D45" s="192">
        <f t="shared" si="19"/>
        <v>1350.069939</v>
      </c>
      <c r="E45" s="192" t="str">
        <f t="shared" si="19"/>
        <v/>
      </c>
      <c r="F45" s="192" t="str">
        <f t="shared" si="19"/>
        <v/>
      </c>
      <c r="G45" s="192" t="str">
        <f t="shared" si="19"/>
        <v/>
      </c>
      <c r="H45" s="192" t="str">
        <f t="shared" si="19"/>
        <v/>
      </c>
      <c r="I45" s="192" t="str">
        <f t="shared" si="19"/>
        <v/>
      </c>
      <c r="J45" s="192" t="str">
        <f t="shared" si="19"/>
        <v/>
      </c>
      <c r="K45" s="192" t="str">
        <f t="shared" si="19"/>
        <v/>
      </c>
      <c r="L45" s="192" t="str">
        <f t="shared" si="19"/>
        <v/>
      </c>
      <c r="M45" s="192" t="str">
        <f t="shared" si="19"/>
        <v/>
      </c>
    </row>
    <row r="46" spans="2:13" x14ac:dyDescent="0.35">
      <c r="B46" s="40" t="s">
        <v>53</v>
      </c>
      <c r="C46" s="187">
        <f t="shared" ref="C46:M46" si="20">IF(C$4="","",-C14)</f>
        <v>-519</v>
      </c>
      <c r="D46" s="187">
        <f t="shared" si="20"/>
        <v>-860.83482800000002</v>
      </c>
      <c r="E46" s="187" t="str">
        <f t="shared" si="20"/>
        <v/>
      </c>
      <c r="F46" s="187" t="str">
        <f t="shared" si="20"/>
        <v/>
      </c>
      <c r="G46" s="187" t="str">
        <f t="shared" si="20"/>
        <v/>
      </c>
      <c r="H46" s="187" t="str">
        <f t="shared" si="20"/>
        <v/>
      </c>
      <c r="I46" s="187" t="str">
        <f t="shared" si="20"/>
        <v/>
      </c>
      <c r="J46" s="187" t="str">
        <f t="shared" si="20"/>
        <v/>
      </c>
      <c r="K46" s="187" t="str">
        <f t="shared" si="20"/>
        <v/>
      </c>
      <c r="L46" s="187" t="str">
        <f t="shared" si="20"/>
        <v/>
      </c>
      <c r="M46" s="187" t="str">
        <f t="shared" si="20"/>
        <v/>
      </c>
    </row>
    <row r="47" spans="2:13" x14ac:dyDescent="0.35">
      <c r="B47" s="43" t="s">
        <v>45</v>
      </c>
      <c r="C47" s="190">
        <f t="shared" ref="C47:M47" si="21">IF(C$4="","",C15)</f>
        <v>4251</v>
      </c>
      <c r="D47" s="190">
        <f t="shared" si="21"/>
        <v>5880</v>
      </c>
      <c r="E47" s="190" t="str">
        <f t="shared" si="21"/>
        <v/>
      </c>
      <c r="F47" s="190" t="str">
        <f t="shared" si="21"/>
        <v/>
      </c>
      <c r="G47" s="190" t="str">
        <f t="shared" si="21"/>
        <v/>
      </c>
      <c r="H47" s="190" t="str">
        <f t="shared" si="21"/>
        <v/>
      </c>
      <c r="I47" s="190" t="str">
        <f t="shared" si="21"/>
        <v/>
      </c>
      <c r="J47" s="190" t="str">
        <f t="shared" si="21"/>
        <v/>
      </c>
      <c r="K47" s="190" t="str">
        <f t="shared" si="21"/>
        <v/>
      </c>
      <c r="L47" s="190" t="str">
        <f t="shared" si="21"/>
        <v/>
      </c>
      <c r="M47" s="190" t="str">
        <f t="shared" si="21"/>
        <v/>
      </c>
    </row>
    <row r="48" spans="2:13" x14ac:dyDescent="0.35">
      <c r="B48" s="28" t="s">
        <v>47</v>
      </c>
      <c r="C48" s="187">
        <f t="shared" ref="C48:M48" si="22">IF(C$4="","",MIN(-C16,0))</f>
        <v>0</v>
      </c>
      <c r="D48" s="187">
        <f t="shared" si="22"/>
        <v>-31</v>
      </c>
      <c r="E48" s="187" t="str">
        <f t="shared" si="22"/>
        <v/>
      </c>
      <c r="F48" s="187" t="str">
        <f t="shared" si="22"/>
        <v/>
      </c>
      <c r="G48" s="187" t="str">
        <f t="shared" si="22"/>
        <v/>
      </c>
      <c r="H48" s="187" t="str">
        <f t="shared" si="22"/>
        <v/>
      </c>
      <c r="I48" s="187" t="str">
        <f t="shared" si="22"/>
        <v/>
      </c>
      <c r="J48" s="187" t="str">
        <f t="shared" si="22"/>
        <v/>
      </c>
      <c r="K48" s="187" t="str">
        <f t="shared" si="22"/>
        <v/>
      </c>
      <c r="L48" s="187" t="str">
        <f t="shared" si="22"/>
        <v/>
      </c>
      <c r="M48" s="187" t="str">
        <f t="shared" si="22"/>
        <v/>
      </c>
    </row>
    <row r="50" spans="2:13" x14ac:dyDescent="0.35">
      <c r="B50" s="16" t="s">
        <v>72</v>
      </c>
    </row>
    <row r="51" spans="2:13" x14ac:dyDescent="0.35">
      <c r="B51" s="40" t="s">
        <v>40</v>
      </c>
      <c r="C51" s="187">
        <f t="shared" ref="C51:M51" si="23">IF(C$4="","",-C12)</f>
        <v>-43</v>
      </c>
      <c r="D51" s="187">
        <f t="shared" si="23"/>
        <v>-40.775368</v>
      </c>
      <c r="E51" s="187" t="str">
        <f t="shared" si="23"/>
        <v/>
      </c>
      <c r="F51" s="187" t="str">
        <f t="shared" si="23"/>
        <v/>
      </c>
      <c r="G51" s="187" t="str">
        <f t="shared" si="23"/>
        <v/>
      </c>
      <c r="H51" s="187" t="str">
        <f t="shared" si="23"/>
        <v/>
      </c>
      <c r="I51" s="187" t="str">
        <f t="shared" si="23"/>
        <v/>
      </c>
      <c r="J51" s="187" t="str">
        <f t="shared" si="23"/>
        <v/>
      </c>
      <c r="K51" s="187" t="str">
        <f t="shared" si="23"/>
        <v/>
      </c>
      <c r="L51" s="187" t="str">
        <f t="shared" si="23"/>
        <v/>
      </c>
      <c r="M51" s="187" t="str">
        <f t="shared" si="23"/>
        <v/>
      </c>
    </row>
    <row r="52" spans="2:13" x14ac:dyDescent="0.35">
      <c r="B52" s="40" t="s">
        <v>71</v>
      </c>
      <c r="C52" s="187">
        <f t="shared" ref="C52:M52" si="24">IF(C$4="","",C13)</f>
        <v>2340</v>
      </c>
      <c r="D52" s="187">
        <f t="shared" si="24"/>
        <v>1390.845307</v>
      </c>
      <c r="E52" s="187" t="str">
        <f t="shared" si="24"/>
        <v/>
      </c>
      <c r="F52" s="187" t="str">
        <f t="shared" si="24"/>
        <v/>
      </c>
      <c r="G52" s="187" t="str">
        <f t="shared" si="24"/>
        <v/>
      </c>
      <c r="H52" s="187" t="str">
        <f t="shared" si="24"/>
        <v/>
      </c>
      <c r="I52" s="187" t="str">
        <f t="shared" si="24"/>
        <v/>
      </c>
      <c r="J52" s="187" t="str">
        <f t="shared" si="24"/>
        <v/>
      </c>
      <c r="K52" s="187" t="str">
        <f t="shared" si="24"/>
        <v/>
      </c>
      <c r="L52" s="187" t="str">
        <f t="shared" si="24"/>
        <v/>
      </c>
      <c r="M52" s="187" t="str">
        <f t="shared" si="24"/>
        <v/>
      </c>
    </row>
    <row r="54" spans="2:13" x14ac:dyDescent="0.35">
      <c r="B54" s="179" t="s">
        <v>173</v>
      </c>
    </row>
    <row r="55" spans="2:13" x14ac:dyDescent="0.35">
      <c r="B55" s="40" t="s">
        <v>164</v>
      </c>
      <c r="C55" s="192">
        <f t="shared" ref="C55:M55" si="25">IF(C$4="","",C9)</f>
        <v>639</v>
      </c>
      <c r="D55" s="192">
        <f t="shared" si="25"/>
        <v>927</v>
      </c>
      <c r="E55" s="192" t="str">
        <f t="shared" si="25"/>
        <v/>
      </c>
      <c r="F55" s="192" t="str">
        <f t="shared" si="25"/>
        <v/>
      </c>
      <c r="G55" s="192" t="str">
        <f t="shared" si="25"/>
        <v/>
      </c>
      <c r="H55" s="192" t="str">
        <f t="shared" si="25"/>
        <v/>
      </c>
      <c r="I55" s="192" t="str">
        <f t="shared" si="25"/>
        <v/>
      </c>
      <c r="J55" s="192" t="str">
        <f t="shared" si="25"/>
        <v/>
      </c>
      <c r="K55" s="192" t="str">
        <f t="shared" si="25"/>
        <v/>
      </c>
      <c r="L55" s="192" t="str">
        <f t="shared" si="25"/>
        <v/>
      </c>
      <c r="M55" s="192" t="str">
        <f t="shared" si="25"/>
        <v/>
      </c>
    </row>
    <row r="56" spans="2:13" x14ac:dyDescent="0.35">
      <c r="B56" s="40" t="s">
        <v>172</v>
      </c>
      <c r="C56" s="192">
        <f t="shared" ref="C56:M56" si="26">IF(C$4="","",C10)</f>
        <v>0</v>
      </c>
      <c r="D56" s="192">
        <f t="shared" si="26"/>
        <v>0</v>
      </c>
      <c r="E56" s="192" t="str">
        <f t="shared" si="26"/>
        <v/>
      </c>
      <c r="F56" s="192" t="str">
        <f t="shared" si="26"/>
        <v/>
      </c>
      <c r="G56" s="192" t="str">
        <f t="shared" si="26"/>
        <v/>
      </c>
      <c r="H56" s="192" t="str">
        <f t="shared" si="26"/>
        <v/>
      </c>
      <c r="I56" s="192" t="str">
        <f t="shared" si="26"/>
        <v/>
      </c>
      <c r="J56" s="192" t="str">
        <f t="shared" si="26"/>
        <v/>
      </c>
      <c r="K56" s="192" t="str">
        <f t="shared" si="26"/>
        <v/>
      </c>
      <c r="L56" s="192" t="str">
        <f t="shared" si="26"/>
        <v/>
      </c>
      <c r="M56" s="192" t="str">
        <f t="shared" si="26"/>
        <v/>
      </c>
    </row>
    <row r="57" spans="2:13" x14ac:dyDescent="0.35">
      <c r="B57" s="40" t="s">
        <v>163</v>
      </c>
      <c r="C57" s="192">
        <f>IF(C$4="","",C11)</f>
        <v>0</v>
      </c>
      <c r="D57" s="192">
        <f t="shared" ref="D57:M57" si="27">IF(D$4="","",D11)</f>
        <v>0</v>
      </c>
      <c r="E57" s="192" t="str">
        <f t="shared" si="27"/>
        <v/>
      </c>
      <c r="F57" s="192" t="str">
        <f t="shared" si="27"/>
        <v/>
      </c>
      <c r="G57" s="192" t="str">
        <f t="shared" si="27"/>
        <v/>
      </c>
      <c r="H57" s="192" t="str">
        <f t="shared" si="27"/>
        <v/>
      </c>
      <c r="I57" s="192" t="str">
        <f t="shared" si="27"/>
        <v/>
      </c>
      <c r="J57" s="192" t="str">
        <f t="shared" si="27"/>
        <v/>
      </c>
      <c r="K57" s="192" t="str">
        <f t="shared" si="27"/>
        <v/>
      </c>
      <c r="L57" s="192" t="str">
        <f t="shared" si="27"/>
        <v/>
      </c>
      <c r="M57" s="192" t="str">
        <f t="shared" si="27"/>
        <v/>
      </c>
    </row>
    <row r="58" spans="2:13" x14ac:dyDescent="0.35">
      <c r="B58" s="40" t="s">
        <v>165</v>
      </c>
      <c r="C58" s="192">
        <f>IF(C$4="","",C44-C55-C56-C57)</f>
        <v>-503</v>
      </c>
      <c r="D58" s="192">
        <f t="shared" ref="D58:M58" si="28">IF(D$4="","",D44-D55-D56-D57)</f>
        <v>203.76488900000004</v>
      </c>
      <c r="E58" s="192" t="str">
        <f t="shared" si="28"/>
        <v/>
      </c>
      <c r="F58" s="192" t="str">
        <f t="shared" si="28"/>
        <v/>
      </c>
      <c r="G58" s="192" t="str">
        <f t="shared" si="28"/>
        <v/>
      </c>
      <c r="H58" s="192" t="str">
        <f t="shared" si="28"/>
        <v/>
      </c>
      <c r="I58" s="192" t="str">
        <f t="shared" si="28"/>
        <v/>
      </c>
      <c r="J58" s="192" t="str">
        <f t="shared" si="28"/>
        <v/>
      </c>
      <c r="K58" s="192" t="str">
        <f t="shared" si="28"/>
        <v/>
      </c>
      <c r="L58" s="192" t="str">
        <f t="shared" si="28"/>
        <v/>
      </c>
      <c r="M58" s="192" t="str">
        <f t="shared" si="28"/>
        <v/>
      </c>
    </row>
    <row r="60" spans="2:13" x14ac:dyDescent="0.35">
      <c r="B60" s="16" t="s">
        <v>54</v>
      </c>
      <c r="C60" s="9"/>
    </row>
    <row r="61" spans="2:13" x14ac:dyDescent="0.35">
      <c r="B61" s="27" t="s">
        <v>50</v>
      </c>
      <c r="C61" s="187">
        <f t="shared" ref="C61:M61" si="29">IF(C$4="","",-C19)</f>
        <v>-160</v>
      </c>
      <c r="D61" s="187">
        <f t="shared" si="29"/>
        <v>-198</v>
      </c>
      <c r="E61" s="187" t="str">
        <f t="shared" si="29"/>
        <v/>
      </c>
      <c r="F61" s="187" t="str">
        <f t="shared" si="29"/>
        <v/>
      </c>
      <c r="G61" s="187" t="str">
        <f t="shared" si="29"/>
        <v/>
      </c>
      <c r="H61" s="187" t="str">
        <f t="shared" si="29"/>
        <v/>
      </c>
      <c r="I61" s="187" t="str">
        <f t="shared" si="29"/>
        <v/>
      </c>
      <c r="J61" s="187" t="str">
        <f t="shared" si="29"/>
        <v/>
      </c>
      <c r="K61" s="187" t="str">
        <f t="shared" si="29"/>
        <v/>
      </c>
      <c r="L61" s="187" t="str">
        <f t="shared" si="29"/>
        <v/>
      </c>
      <c r="M61" s="187" t="str">
        <f t="shared" si="29"/>
        <v/>
      </c>
    </row>
    <row r="62" spans="2:13" x14ac:dyDescent="0.35">
      <c r="B62" s="27" t="s">
        <v>56</v>
      </c>
      <c r="C62" s="187">
        <f t="shared" ref="C62:M62" si="30">IF(C$4="","",-C20)</f>
        <v>-69</v>
      </c>
      <c r="D62" s="187">
        <f t="shared" si="30"/>
        <v>-108</v>
      </c>
      <c r="E62" s="187" t="str">
        <f t="shared" si="30"/>
        <v/>
      </c>
      <c r="F62" s="187" t="str">
        <f t="shared" si="30"/>
        <v/>
      </c>
      <c r="G62" s="187" t="str">
        <f t="shared" si="30"/>
        <v/>
      </c>
      <c r="H62" s="187" t="str">
        <f t="shared" si="30"/>
        <v/>
      </c>
      <c r="I62" s="187" t="str">
        <f t="shared" si="30"/>
        <v/>
      </c>
      <c r="J62" s="187" t="str">
        <f t="shared" si="30"/>
        <v/>
      </c>
      <c r="K62" s="187" t="str">
        <f t="shared" si="30"/>
        <v/>
      </c>
      <c r="L62" s="187" t="str">
        <f t="shared" si="30"/>
        <v/>
      </c>
      <c r="M62" s="187" t="str">
        <f t="shared" si="30"/>
        <v/>
      </c>
    </row>
    <row r="63" spans="2:13" x14ac:dyDescent="0.35">
      <c r="B63" s="27" t="s">
        <v>55</v>
      </c>
      <c r="C63" s="187">
        <f t="shared" ref="C63:M63" si="31">IF(C$4="","",-C21)</f>
        <v>-910</v>
      </c>
      <c r="D63" s="187">
        <f t="shared" si="31"/>
        <v>-2541</v>
      </c>
      <c r="E63" s="187" t="str">
        <f t="shared" si="31"/>
        <v/>
      </c>
      <c r="F63" s="187" t="str">
        <f t="shared" si="31"/>
        <v/>
      </c>
      <c r="G63" s="187" t="str">
        <f t="shared" si="31"/>
        <v/>
      </c>
      <c r="H63" s="187" t="str">
        <f t="shared" si="31"/>
        <v/>
      </c>
      <c r="I63" s="187" t="str">
        <f t="shared" si="31"/>
        <v/>
      </c>
      <c r="J63" s="187" t="str">
        <f t="shared" si="31"/>
        <v/>
      </c>
      <c r="K63" s="187" t="str">
        <f t="shared" si="31"/>
        <v/>
      </c>
      <c r="L63" s="187" t="str">
        <f t="shared" si="31"/>
        <v/>
      </c>
      <c r="M63" s="187" t="str">
        <f t="shared" si="31"/>
        <v/>
      </c>
    </row>
    <row r="64" spans="2:13" x14ac:dyDescent="0.35">
      <c r="B64" s="24" t="s">
        <v>37</v>
      </c>
      <c r="C64" s="75">
        <f t="shared" ref="C64:M64" si="32">IF(C$4="","",C22)</f>
        <v>0.57999999999999996</v>
      </c>
      <c r="D64" s="75">
        <f t="shared" si="32"/>
        <v>0.57999999999999996</v>
      </c>
      <c r="E64" s="75" t="str">
        <f t="shared" si="32"/>
        <v/>
      </c>
      <c r="F64" s="75" t="str">
        <f t="shared" si="32"/>
        <v/>
      </c>
      <c r="G64" s="75" t="str">
        <f t="shared" si="32"/>
        <v/>
      </c>
      <c r="H64" s="75" t="str">
        <f t="shared" si="32"/>
        <v/>
      </c>
      <c r="I64" s="75" t="str">
        <f t="shared" si="32"/>
        <v/>
      </c>
      <c r="J64" s="75" t="str">
        <f t="shared" si="32"/>
        <v/>
      </c>
      <c r="K64" s="75" t="str">
        <f t="shared" si="32"/>
        <v/>
      </c>
      <c r="L64" s="75" t="str">
        <f t="shared" si="32"/>
        <v/>
      </c>
      <c r="M64" s="75" t="str">
        <f t="shared" si="32"/>
        <v/>
      </c>
    </row>
    <row r="66" spans="2:13" x14ac:dyDescent="0.35">
      <c r="B66" s="93" t="s">
        <v>89</v>
      </c>
    </row>
    <row r="67" spans="2:13" x14ac:dyDescent="0.35">
      <c r="B67" s="1" t="str">
        <f>B36</f>
        <v>Sales</v>
      </c>
      <c r="C67" s="94">
        <f t="shared" ref="C67:M67" si="33">IF(D$36="","",C36/D36-1)</f>
        <v>-0.26226748590186011</v>
      </c>
      <c r="D67" s="94" t="str">
        <f t="shared" si="33"/>
        <v/>
      </c>
      <c r="E67" s="94" t="str">
        <f t="shared" si="33"/>
        <v/>
      </c>
      <c r="F67" s="94" t="str">
        <f t="shared" si="33"/>
        <v/>
      </c>
      <c r="G67" s="94" t="str">
        <f t="shared" si="33"/>
        <v/>
      </c>
      <c r="H67" s="94" t="str">
        <f t="shared" si="33"/>
        <v/>
      </c>
      <c r="I67" s="94" t="str">
        <f t="shared" si="33"/>
        <v/>
      </c>
      <c r="J67" s="94" t="str">
        <f t="shared" si="33"/>
        <v/>
      </c>
      <c r="K67" s="94" t="str">
        <f t="shared" si="33"/>
        <v/>
      </c>
      <c r="L67" s="94" t="str">
        <f t="shared" si="33"/>
        <v/>
      </c>
      <c r="M67" s="94" t="str">
        <f t="shared" si="33"/>
        <v/>
      </c>
    </row>
    <row r="68" spans="2:13" x14ac:dyDescent="0.35">
      <c r="B68" s="82" t="str">
        <f>B43</f>
        <v>Operating EBIT</v>
      </c>
      <c r="C68" s="104">
        <f t="shared" ref="C68:M68" si="34">IF(D$36="","",C37/D37-1)</f>
        <v>-0.17683302526186073</v>
      </c>
      <c r="D68" s="104" t="str">
        <f t="shared" si="34"/>
        <v/>
      </c>
      <c r="E68" s="104" t="str">
        <f t="shared" si="34"/>
        <v/>
      </c>
      <c r="F68" s="104" t="str">
        <f t="shared" si="34"/>
        <v/>
      </c>
      <c r="G68" s="104" t="str">
        <f t="shared" si="34"/>
        <v/>
      </c>
      <c r="H68" s="104" t="str">
        <f t="shared" si="34"/>
        <v/>
      </c>
      <c r="I68" s="104" t="str">
        <f t="shared" si="34"/>
        <v/>
      </c>
      <c r="J68" s="104" t="str">
        <f t="shared" si="34"/>
        <v/>
      </c>
      <c r="K68" s="104" t="str">
        <f t="shared" si="34"/>
        <v/>
      </c>
      <c r="L68" s="104" t="str">
        <f t="shared" si="34"/>
        <v/>
      </c>
      <c r="M68" s="104" t="str">
        <f t="shared" si="34"/>
        <v/>
      </c>
    </row>
    <row r="69" spans="2:13" x14ac:dyDescent="0.35">
      <c r="B69" s="1" t="str">
        <f>B58</f>
        <v>Other Non-operating Income</v>
      </c>
      <c r="C69" s="94">
        <f t="shared" ref="C69:M69" si="35">IF(D$36="","",C38/D38-1)</f>
        <v>-0.36518834663202826</v>
      </c>
      <c r="D69" s="94" t="str">
        <f t="shared" si="35"/>
        <v/>
      </c>
      <c r="E69" s="94" t="str">
        <f t="shared" si="35"/>
        <v/>
      </c>
      <c r="F69" s="94" t="str">
        <f t="shared" si="35"/>
        <v/>
      </c>
      <c r="G69" s="94" t="str">
        <f t="shared" si="35"/>
        <v/>
      </c>
      <c r="H69" s="94" t="str">
        <f t="shared" si="35"/>
        <v/>
      </c>
      <c r="I69" s="94" t="str">
        <f t="shared" si="35"/>
        <v/>
      </c>
      <c r="J69" s="94" t="str">
        <f t="shared" si="35"/>
        <v/>
      </c>
      <c r="K69" s="94" t="str">
        <f t="shared" si="35"/>
        <v/>
      </c>
      <c r="L69" s="94" t="str">
        <f t="shared" si="35"/>
        <v/>
      </c>
      <c r="M69" s="94" t="str">
        <f t="shared" si="35"/>
        <v/>
      </c>
    </row>
    <row r="70" spans="2:13" x14ac:dyDescent="0.35">
      <c r="B70" s="82" t="str">
        <f>B47</f>
        <v>Reported Net Income</v>
      </c>
      <c r="C70" s="104">
        <f t="shared" ref="C70:M70" si="36">IF(D$36="","",C39/D39-1)</f>
        <v>-3.9858281665190454E-2</v>
      </c>
      <c r="D70" s="104" t="str">
        <f t="shared" si="36"/>
        <v/>
      </c>
      <c r="E70" s="104" t="str">
        <f t="shared" si="36"/>
        <v/>
      </c>
      <c r="F70" s="104" t="str">
        <f t="shared" si="36"/>
        <v/>
      </c>
      <c r="G70" s="104" t="str">
        <f t="shared" si="36"/>
        <v/>
      </c>
      <c r="H70" s="104" t="str">
        <f t="shared" si="36"/>
        <v/>
      </c>
      <c r="I70" s="104" t="str">
        <f t="shared" si="36"/>
        <v/>
      </c>
      <c r="J70" s="104" t="str">
        <f t="shared" si="36"/>
        <v/>
      </c>
      <c r="K70" s="104" t="str">
        <f t="shared" si="36"/>
        <v/>
      </c>
      <c r="L70" s="104" t="str">
        <f t="shared" si="36"/>
        <v/>
      </c>
      <c r="M70" s="104" t="str">
        <f t="shared" si="36"/>
        <v/>
      </c>
    </row>
    <row r="71" spans="2:13" x14ac:dyDescent="0.35">
      <c r="B71" s="1" t="str">
        <f>B48</f>
        <v>Non-controling Interests</v>
      </c>
      <c r="C71" s="94">
        <f>IF(D$36="","",C64/D64-1)</f>
        <v>0</v>
      </c>
      <c r="D71" s="94" t="str">
        <f t="shared" ref="D71:M71" si="37">IF(E$36="","",D64/E64-1)</f>
        <v/>
      </c>
      <c r="E71" s="94" t="str">
        <f t="shared" si="37"/>
        <v/>
      </c>
      <c r="F71" s="94" t="str">
        <f t="shared" si="37"/>
        <v/>
      </c>
      <c r="G71" s="94" t="str">
        <f t="shared" si="37"/>
        <v/>
      </c>
      <c r="H71" s="94" t="str">
        <f t="shared" si="37"/>
        <v/>
      </c>
      <c r="I71" s="94" t="str">
        <f t="shared" si="37"/>
        <v/>
      </c>
      <c r="J71" s="94" t="str">
        <f t="shared" si="37"/>
        <v/>
      </c>
      <c r="K71" s="94" t="str">
        <f t="shared" si="37"/>
        <v/>
      </c>
      <c r="L71" s="94" t="str">
        <f t="shared" si="37"/>
        <v/>
      </c>
      <c r="M71" s="94" t="str">
        <f t="shared" si="37"/>
        <v/>
      </c>
    </row>
    <row r="73" spans="2:13" ht="13.9" x14ac:dyDescent="0.45">
      <c r="B73" s="36" t="s">
        <v>87</v>
      </c>
      <c r="C73" s="37"/>
      <c r="D73" s="37"/>
      <c r="E73" s="37"/>
      <c r="F73" s="37"/>
      <c r="G73" s="37"/>
      <c r="H73" s="37"/>
      <c r="I73" s="37"/>
      <c r="J73" s="37"/>
      <c r="K73" s="37"/>
      <c r="L73" s="37"/>
      <c r="M73" s="37"/>
    </row>
    <row r="74" spans="2:13" x14ac:dyDescent="0.35">
      <c r="B74" s="16" t="s">
        <v>29</v>
      </c>
      <c r="C74" s="9"/>
    </row>
    <row r="75" spans="2:13" x14ac:dyDescent="0.35">
      <c r="B75" s="26" t="s">
        <v>4</v>
      </c>
      <c r="C75" s="78">
        <f>IF(C$4="","",C78+C79)</f>
        <v>180344</v>
      </c>
      <c r="D75" s="78">
        <f t="shared" ref="D75:M75" si="38">IF(D$4="","",D78+D79)</f>
        <v>174007</v>
      </c>
      <c r="E75" s="78" t="str">
        <f t="shared" si="38"/>
        <v/>
      </c>
      <c r="F75" s="78" t="str">
        <f t="shared" si="38"/>
        <v/>
      </c>
      <c r="G75" s="78" t="str">
        <f t="shared" si="38"/>
        <v/>
      </c>
      <c r="H75" s="78" t="str">
        <f t="shared" si="38"/>
        <v/>
      </c>
      <c r="I75" s="78" t="str">
        <f t="shared" si="38"/>
        <v/>
      </c>
      <c r="J75" s="78" t="str">
        <f t="shared" si="38"/>
        <v/>
      </c>
      <c r="K75" s="78" t="str">
        <f t="shared" si="38"/>
        <v/>
      </c>
      <c r="L75" s="78" t="str">
        <f t="shared" si="38"/>
        <v/>
      </c>
      <c r="M75" s="78" t="str">
        <f t="shared" si="38"/>
        <v/>
      </c>
    </row>
    <row r="76" spans="2:13" x14ac:dyDescent="0.35">
      <c r="B76" s="95" t="s">
        <v>90</v>
      </c>
      <c r="C76" s="74">
        <f t="shared" ref="C76:H77" si="39">IF(C$4="","",C25)</f>
        <v>0</v>
      </c>
      <c r="D76" s="74">
        <f t="shared" si="39"/>
        <v>7251</v>
      </c>
      <c r="E76" s="74" t="str">
        <f t="shared" si="39"/>
        <v/>
      </c>
      <c r="F76" s="74" t="str">
        <f t="shared" si="39"/>
        <v/>
      </c>
      <c r="G76" s="74" t="str">
        <f t="shared" si="39"/>
        <v/>
      </c>
      <c r="H76" s="74" t="str">
        <f t="shared" si="39"/>
        <v/>
      </c>
      <c r="I76" s="96"/>
      <c r="J76" s="96"/>
      <c r="K76" s="96"/>
      <c r="L76" s="96"/>
      <c r="M76" s="96"/>
    </row>
    <row r="77" spans="2:13" x14ac:dyDescent="0.35">
      <c r="B77" s="95" t="s">
        <v>91</v>
      </c>
      <c r="C77" s="74">
        <f t="shared" si="39"/>
        <v>0</v>
      </c>
      <c r="D77" s="74">
        <f t="shared" si="39"/>
        <v>16389</v>
      </c>
      <c r="E77" s="74" t="str">
        <f t="shared" si="39"/>
        <v/>
      </c>
      <c r="F77" s="74" t="str">
        <f t="shared" si="39"/>
        <v/>
      </c>
      <c r="G77" s="74" t="str">
        <f t="shared" si="39"/>
        <v/>
      </c>
      <c r="H77" s="74" t="str">
        <f t="shared" si="39"/>
        <v/>
      </c>
      <c r="I77" s="96"/>
      <c r="J77" s="96"/>
      <c r="K77" s="96"/>
      <c r="L77" s="96"/>
      <c r="M77" s="96"/>
    </row>
    <row r="78" spans="2:13" x14ac:dyDescent="0.35">
      <c r="B78" s="26" t="s">
        <v>41</v>
      </c>
      <c r="C78" s="58">
        <f t="shared" ref="C78:M78" si="40">IF(C$4="","",C27)</f>
        <v>14028</v>
      </c>
      <c r="D78" s="58">
        <f t="shared" si="40"/>
        <v>10902</v>
      </c>
      <c r="E78" s="58" t="str">
        <f t="shared" si="40"/>
        <v/>
      </c>
      <c r="F78" s="58" t="str">
        <f t="shared" si="40"/>
        <v/>
      </c>
      <c r="G78" s="58" t="str">
        <f t="shared" si="40"/>
        <v/>
      </c>
      <c r="H78" s="58" t="str">
        <f t="shared" si="40"/>
        <v/>
      </c>
      <c r="I78" s="58" t="str">
        <f t="shared" si="40"/>
        <v/>
      </c>
      <c r="J78" s="58" t="str">
        <f t="shared" si="40"/>
        <v/>
      </c>
      <c r="K78" s="58" t="str">
        <f t="shared" si="40"/>
        <v/>
      </c>
      <c r="L78" s="58" t="str">
        <f t="shared" si="40"/>
        <v/>
      </c>
      <c r="M78" s="58" t="str">
        <f t="shared" si="40"/>
        <v/>
      </c>
    </row>
    <row r="79" spans="2:13" x14ac:dyDescent="0.35">
      <c r="B79" s="26" t="s">
        <v>31</v>
      </c>
      <c r="C79" s="58">
        <f t="shared" ref="C79:M79" si="41">IF(C$4="","",C28)</f>
        <v>166316</v>
      </c>
      <c r="D79" s="58">
        <f t="shared" si="41"/>
        <v>163105</v>
      </c>
      <c r="E79" s="58" t="str">
        <f t="shared" si="41"/>
        <v/>
      </c>
      <c r="F79" s="58" t="str">
        <f t="shared" si="41"/>
        <v/>
      </c>
      <c r="G79" s="58" t="str">
        <f t="shared" si="41"/>
        <v/>
      </c>
      <c r="H79" s="58" t="str">
        <f t="shared" si="41"/>
        <v/>
      </c>
      <c r="I79" s="58" t="str">
        <f t="shared" si="41"/>
        <v/>
      </c>
      <c r="J79" s="58" t="str">
        <f t="shared" si="41"/>
        <v/>
      </c>
      <c r="K79" s="58" t="str">
        <f t="shared" si="41"/>
        <v/>
      </c>
      <c r="L79" s="58" t="str">
        <f t="shared" si="41"/>
        <v/>
      </c>
      <c r="M79" s="58" t="str">
        <f t="shared" si="41"/>
        <v/>
      </c>
    </row>
  </sheetData>
  <phoneticPr fontId="2" type="noConversion"/>
  <conditionalFormatting sqref="C4:M16 C19:M22 C32:M32 C39:M43 C45:M48 C51:M52 C55:M58 C76:H77 C78:M79">
    <cfRule type="expression" dxfId="5" priority="4">
      <formula>ISBLANK(C4)</formula>
    </cfRule>
  </conditionalFormatting>
  <conditionalFormatting sqref="C25:M29">
    <cfRule type="expression" dxfId="4" priority="1">
      <formula>ISBLANK(C25)</formula>
    </cfRule>
  </conditionalFormatting>
  <conditionalFormatting sqref="C36:M37 C61:M64">
    <cfRule type="expression" dxfId="3"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67" zoomScaleNormal="100" workbookViewId="0">
      <selection activeCell="D76" sqref="D76"/>
    </sheetView>
  </sheetViews>
  <sheetFormatPr defaultColWidth="12.33203125" defaultRowHeight="15" customHeight="1" x14ac:dyDescent="0.3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35">
      <c r="B1" s="18" t="s">
        <v>38</v>
      </c>
      <c r="C1" s="102">
        <v>45473</v>
      </c>
      <c r="F1" s="88" t="str">
        <f>IF(MONTH(C1)=MONTH(Normalized_FCF!G1),"FY","Quarter")&amp;" Report"</f>
        <v>FY Report</v>
      </c>
      <c r="H1" s="110">
        <f>Data!C3</f>
        <v>1000000</v>
      </c>
    </row>
    <row r="2" spans="2:8" ht="15" customHeight="1" x14ac:dyDescent="0.35">
      <c r="B2" s="81" t="s">
        <v>161</v>
      </c>
      <c r="C2" s="37"/>
      <c r="D2" s="37"/>
      <c r="E2" s="37"/>
      <c r="F2" s="37"/>
      <c r="G2" s="37"/>
      <c r="H2" s="37"/>
    </row>
    <row r="3" spans="2:8" ht="15" customHeight="1" x14ac:dyDescent="0.35">
      <c r="B3" s="16" t="s">
        <v>189</v>
      </c>
      <c r="C3" s="210" t="s">
        <v>141</v>
      </c>
      <c r="D3" s="211" t="s">
        <v>36</v>
      </c>
      <c r="F3" s="16" t="s">
        <v>190</v>
      </c>
      <c r="G3" s="210" t="s">
        <v>141</v>
      </c>
      <c r="H3" s="211" t="s">
        <v>36</v>
      </c>
    </row>
    <row r="4" spans="2:8" ht="15" customHeight="1" x14ac:dyDescent="0.35">
      <c r="B4" s="4" t="s">
        <v>25</v>
      </c>
      <c r="C4" s="19">
        <v>8029</v>
      </c>
      <c r="D4" s="303">
        <v>0.6</v>
      </c>
      <c r="E4" s="25"/>
      <c r="F4" s="4" t="s">
        <v>82</v>
      </c>
      <c r="G4" s="19">
        <v>45665</v>
      </c>
      <c r="H4" s="303">
        <v>0.9</v>
      </c>
    </row>
    <row r="5" spans="2:8" ht="15" customHeight="1" x14ac:dyDescent="0.35">
      <c r="B5" s="1" t="s">
        <v>34</v>
      </c>
      <c r="C5" s="19">
        <v>0</v>
      </c>
      <c r="D5" s="303">
        <v>0.6</v>
      </c>
      <c r="E5" s="25"/>
      <c r="F5" s="1" t="s">
        <v>30</v>
      </c>
      <c r="G5" s="19">
        <v>2014</v>
      </c>
      <c r="H5" s="303">
        <v>0.7</v>
      </c>
    </row>
    <row r="6" spans="2:8" ht="15" customHeight="1" x14ac:dyDescent="0.35">
      <c r="B6" s="4" t="s">
        <v>11</v>
      </c>
      <c r="C6" s="19">
        <v>9844</v>
      </c>
      <c r="D6" s="303">
        <v>0.5</v>
      </c>
      <c r="E6" s="25"/>
      <c r="F6" s="4" t="s">
        <v>182</v>
      </c>
      <c r="G6" s="19">
        <v>156</v>
      </c>
      <c r="H6" s="303">
        <v>0.6</v>
      </c>
    </row>
    <row r="7" spans="2:8" ht="15" customHeight="1" x14ac:dyDescent="0.35">
      <c r="B7" s="1" t="s">
        <v>73</v>
      </c>
      <c r="C7" s="19">
        <v>5466</v>
      </c>
      <c r="D7" s="303">
        <v>0.6</v>
      </c>
      <c r="E7" s="25"/>
      <c r="F7" s="4" t="s">
        <v>183</v>
      </c>
      <c r="G7" s="19">
        <v>0</v>
      </c>
      <c r="H7" s="303">
        <v>0.6</v>
      </c>
    </row>
    <row r="8" spans="2:8" ht="15" customHeight="1" x14ac:dyDescent="0.35">
      <c r="B8" s="1" t="s">
        <v>178</v>
      </c>
      <c r="C8" s="19">
        <v>0</v>
      </c>
      <c r="D8" s="303">
        <v>0.6</v>
      </c>
      <c r="E8" s="25"/>
      <c r="F8" s="1" t="s">
        <v>184</v>
      </c>
      <c r="G8" s="19">
        <v>0</v>
      </c>
      <c r="H8" s="303">
        <v>0.6</v>
      </c>
    </row>
    <row r="9" spans="2:8" ht="15" customHeight="1" x14ac:dyDescent="0.35">
      <c r="B9" s="4" t="s">
        <v>26</v>
      </c>
      <c r="C9" s="19">
        <v>0</v>
      </c>
      <c r="D9" s="303">
        <v>0.1</v>
      </c>
      <c r="E9" s="25"/>
      <c r="F9" s="4" t="s">
        <v>185</v>
      </c>
      <c r="G9" s="19">
        <v>0</v>
      </c>
      <c r="H9" s="303">
        <v>0.6</v>
      </c>
    </row>
    <row r="10" spans="2:8" ht="15" customHeight="1" x14ac:dyDescent="0.35">
      <c r="B10" s="4" t="s">
        <v>12</v>
      </c>
      <c r="C10" s="19">
        <v>10</v>
      </c>
      <c r="D10" s="303">
        <v>0.9</v>
      </c>
      <c r="H10" s="304"/>
    </row>
    <row r="11" spans="2:8" ht="15" customHeight="1" x14ac:dyDescent="0.35">
      <c r="B11" s="4" t="s">
        <v>13</v>
      </c>
      <c r="C11" s="19">
        <v>0</v>
      </c>
      <c r="D11" s="303">
        <v>0.05</v>
      </c>
      <c r="H11" s="304"/>
    </row>
    <row r="12" spans="2:8" ht="15" customHeight="1" x14ac:dyDescent="0.35">
      <c r="B12" s="82" t="s">
        <v>76</v>
      </c>
      <c r="C12" s="83">
        <f>SUM(C4:C11)</f>
        <v>23349</v>
      </c>
      <c r="D12" s="20">
        <f>C4*D4+C5*D5+C9*D9+C6*D6+C8*D8+C7*D7+C10*D10+C11*D11</f>
        <v>13028</v>
      </c>
      <c r="F12" s="82" t="s">
        <v>74</v>
      </c>
      <c r="G12" s="83">
        <f>SUM(G4:G9)</f>
        <v>47835</v>
      </c>
      <c r="H12" s="20">
        <f>G4*H4+G5*H5+G6*H6+G7*H7+G8*H8+G9*H9</f>
        <v>42601.9</v>
      </c>
    </row>
    <row r="13" spans="2:8" ht="15" customHeight="1" x14ac:dyDescent="0.35">
      <c r="F13" s="82"/>
      <c r="G13" s="83"/>
      <c r="H13" s="20"/>
    </row>
    <row r="14" spans="2:8" ht="15" customHeight="1" x14ac:dyDescent="0.35">
      <c r="B14" s="16" t="s">
        <v>188</v>
      </c>
      <c r="C14" s="210" t="s">
        <v>141</v>
      </c>
      <c r="D14" s="211" t="s">
        <v>36</v>
      </c>
      <c r="F14" s="16" t="s">
        <v>191</v>
      </c>
      <c r="G14" s="210" t="s">
        <v>141</v>
      </c>
      <c r="H14" s="211" t="s">
        <v>36</v>
      </c>
    </row>
    <row r="15" spans="2:8" ht="15" customHeight="1" x14ac:dyDescent="0.35">
      <c r="B15" s="4" t="s">
        <v>77</v>
      </c>
      <c r="C15" s="19">
        <v>2757</v>
      </c>
      <c r="D15" s="303">
        <v>0.4</v>
      </c>
      <c r="F15" s="4" t="s">
        <v>83</v>
      </c>
      <c r="G15" s="19">
        <v>0</v>
      </c>
      <c r="H15" s="303">
        <v>0.8</v>
      </c>
    </row>
    <row r="16" spans="2:8" ht="15" customHeight="1" x14ac:dyDescent="0.35">
      <c r="B16" s="1" t="s">
        <v>35</v>
      </c>
      <c r="C16" s="19">
        <v>0</v>
      </c>
      <c r="D16" s="303">
        <v>0.5</v>
      </c>
      <c r="F16" s="4" t="s">
        <v>182</v>
      </c>
      <c r="G16" s="19">
        <v>1373</v>
      </c>
      <c r="H16" s="303">
        <v>0.6</v>
      </c>
    </row>
    <row r="17" spans="2:8" ht="15" customHeight="1" x14ac:dyDescent="0.35">
      <c r="B17" s="1" t="s">
        <v>73</v>
      </c>
      <c r="C17" s="19">
        <v>67668</v>
      </c>
      <c r="D17" s="303">
        <v>0.6</v>
      </c>
      <c r="F17" s="4" t="s">
        <v>183</v>
      </c>
      <c r="G17" s="19">
        <v>13024</v>
      </c>
      <c r="H17" s="303">
        <v>0.6</v>
      </c>
    </row>
    <row r="18" spans="2:8" ht="15" customHeight="1" x14ac:dyDescent="0.35">
      <c r="B18" s="4" t="s">
        <v>178</v>
      </c>
      <c r="C18" s="19">
        <v>0</v>
      </c>
      <c r="D18" s="303">
        <v>0.6</v>
      </c>
      <c r="F18" s="4" t="s">
        <v>186</v>
      </c>
      <c r="G18" s="19">
        <v>23696</v>
      </c>
      <c r="H18" s="303">
        <v>0.1</v>
      </c>
    </row>
    <row r="19" spans="2:8" ht="15" customHeight="1" x14ac:dyDescent="0.35">
      <c r="B19" s="4" t="s">
        <v>27</v>
      </c>
      <c r="C19" s="19">
        <v>1284</v>
      </c>
      <c r="D19" s="303">
        <v>0.1</v>
      </c>
      <c r="F19" s="4" t="s">
        <v>187</v>
      </c>
      <c r="G19" s="19">
        <v>0</v>
      </c>
      <c r="H19" s="303">
        <v>0.1</v>
      </c>
    </row>
    <row r="20" spans="2:8" ht="15" customHeight="1" x14ac:dyDescent="0.35">
      <c r="B20" s="4" t="s">
        <v>19</v>
      </c>
      <c r="C20" s="19">
        <v>0</v>
      </c>
      <c r="D20" s="303">
        <v>0.05</v>
      </c>
      <c r="F20" s="4" t="s">
        <v>184</v>
      </c>
      <c r="G20" s="19">
        <v>0</v>
      </c>
      <c r="H20" s="303">
        <v>0.2</v>
      </c>
    </row>
    <row r="21" spans="2:8" ht="15" customHeight="1" x14ac:dyDescent="0.35">
      <c r="B21" s="4" t="s">
        <v>20</v>
      </c>
      <c r="C21" s="19">
        <v>0</v>
      </c>
      <c r="D21" s="303">
        <v>0.05</v>
      </c>
      <c r="F21" s="1" t="s">
        <v>185</v>
      </c>
      <c r="G21" s="19">
        <v>0</v>
      </c>
      <c r="H21" s="303">
        <v>0.1</v>
      </c>
    </row>
    <row r="22" spans="2:8" ht="15" customHeight="1" x14ac:dyDescent="0.35">
      <c r="B22" s="4" t="s">
        <v>21</v>
      </c>
      <c r="C22" s="19">
        <v>10</v>
      </c>
      <c r="D22" s="303">
        <v>0.9</v>
      </c>
      <c r="H22" s="304"/>
    </row>
    <row r="23" spans="2:8" ht="15" customHeight="1" x14ac:dyDescent="0.35">
      <c r="B23" s="4" t="s">
        <v>22</v>
      </c>
      <c r="C23" s="19">
        <v>0</v>
      </c>
      <c r="D23" s="303">
        <v>0</v>
      </c>
      <c r="H23" s="304"/>
    </row>
    <row r="24" spans="2:8" ht="15" customHeight="1" x14ac:dyDescent="0.35">
      <c r="B24" s="82" t="s">
        <v>78</v>
      </c>
      <c r="C24" s="83">
        <f>SUM(C15:C23)</f>
        <v>71719</v>
      </c>
      <c r="D24" s="20">
        <f>C15*D15+C16*D16+C18*D18+C17*D17+C19*D19+C20*D20+C21*D21+C22*D22+C23*D23</f>
        <v>41841</v>
      </c>
      <c r="F24" s="82" t="s">
        <v>75</v>
      </c>
      <c r="G24" s="83">
        <f>SUM(G15:G21)</f>
        <v>38093</v>
      </c>
      <c r="H24" s="20">
        <f>G15*H15+G16*H16+G17*H17+G18*H18+G19*H19+G20*H20+G21*H21</f>
        <v>11007.8</v>
      </c>
    </row>
    <row r="26" spans="2:8" ht="15" customHeight="1" x14ac:dyDescent="0.35">
      <c r="B26" s="16" t="s">
        <v>205</v>
      </c>
      <c r="C26" s="210" t="s">
        <v>141</v>
      </c>
      <c r="F26" s="212" t="s">
        <v>201</v>
      </c>
      <c r="G26" s="213" t="s">
        <v>141</v>
      </c>
      <c r="H26" s="214" t="s">
        <v>36</v>
      </c>
    </row>
    <row r="27" spans="2:8" ht="15" customHeight="1" x14ac:dyDescent="0.35">
      <c r="B27" s="4" t="s">
        <v>6</v>
      </c>
      <c r="C27" s="19">
        <v>967</v>
      </c>
      <c r="F27" s="215" t="s">
        <v>31</v>
      </c>
      <c r="G27" s="87">
        <f>G32-G30</f>
        <v>167107</v>
      </c>
      <c r="H27" s="216">
        <f>H32-G30</f>
        <v>94589.7</v>
      </c>
    </row>
    <row r="28" spans="2:8" ht="15" customHeight="1" x14ac:dyDescent="0.35">
      <c r="B28" s="4" t="s">
        <v>7</v>
      </c>
      <c r="C28" s="19">
        <v>37</v>
      </c>
      <c r="F28" s="217" t="s">
        <v>251</v>
      </c>
      <c r="G28" s="185">
        <v>519</v>
      </c>
      <c r="H28" s="216"/>
    </row>
    <row r="29" spans="2:8" ht="15" customHeight="1" x14ac:dyDescent="0.35">
      <c r="B29" s="4" t="s">
        <v>8</v>
      </c>
      <c r="C29" s="19">
        <v>0</v>
      </c>
      <c r="F29" s="218" t="s">
        <v>80</v>
      </c>
      <c r="G29" s="14">
        <f>G27-G28</f>
        <v>166588</v>
      </c>
      <c r="H29" s="216">
        <f>H27-G28</f>
        <v>94070.7</v>
      </c>
    </row>
    <row r="30" spans="2:8" ht="15" customHeight="1" x14ac:dyDescent="0.35">
      <c r="B30" s="2" t="s">
        <v>9</v>
      </c>
      <c r="C30" s="19">
        <v>0</v>
      </c>
      <c r="F30" s="215" t="s">
        <v>24</v>
      </c>
      <c r="G30" s="87">
        <f>C33+C42</f>
        <v>13889</v>
      </c>
      <c r="H30" s="216"/>
    </row>
    <row r="31" spans="2:8" ht="15" customHeight="1" x14ac:dyDescent="0.35">
      <c r="B31" s="82" t="s">
        <v>208</v>
      </c>
      <c r="C31" s="83">
        <f>SUM(C27:C30)</f>
        <v>1004</v>
      </c>
      <c r="F31" s="218" t="s">
        <v>81</v>
      </c>
      <c r="G31" s="219">
        <f>C31+C40</f>
        <v>3093</v>
      </c>
      <c r="H31" s="216"/>
    </row>
    <row r="32" spans="2:8" ht="15" customHeight="1" x14ac:dyDescent="0.35">
      <c r="B32" s="4" t="s">
        <v>10</v>
      </c>
      <c r="C32" s="21">
        <f>C33-C31</f>
        <v>8048</v>
      </c>
      <c r="F32" s="220" t="s">
        <v>79</v>
      </c>
      <c r="G32" s="221">
        <f>G35+G40</f>
        <v>180996</v>
      </c>
      <c r="H32" s="216">
        <f>H35+H40</f>
        <v>108478.7</v>
      </c>
    </row>
    <row r="33" spans="2:8" ht="15" customHeight="1" x14ac:dyDescent="0.35">
      <c r="B33" s="85" t="s">
        <v>5</v>
      </c>
      <c r="C33" s="86">
        <v>9052</v>
      </c>
      <c r="F33" s="222"/>
      <c r="G33" s="2"/>
      <c r="H33" s="223"/>
    </row>
    <row r="34" spans="2:8" ht="15" customHeight="1" x14ac:dyDescent="0.35">
      <c r="B34" s="85"/>
      <c r="C34" s="86"/>
      <c r="F34" s="224" t="s">
        <v>207</v>
      </c>
      <c r="G34" s="225" t="s">
        <v>141</v>
      </c>
      <c r="H34" s="226" t="s">
        <v>36</v>
      </c>
    </row>
    <row r="35" spans="2:8" ht="15" customHeight="1" x14ac:dyDescent="0.35">
      <c r="B35" s="16" t="s">
        <v>206</v>
      </c>
      <c r="C35" s="210" t="s">
        <v>141</v>
      </c>
      <c r="F35" s="227" t="s">
        <v>32</v>
      </c>
      <c r="G35" s="221">
        <f>C12+C24</f>
        <v>95068</v>
      </c>
      <c r="H35" s="228">
        <f>D12+D24</f>
        <v>54869</v>
      </c>
    </row>
    <row r="36" spans="2:8" ht="15" customHeight="1" x14ac:dyDescent="0.35">
      <c r="B36" s="4" t="s">
        <v>14</v>
      </c>
      <c r="C36" s="19">
        <v>832</v>
      </c>
      <c r="F36" s="218" t="s">
        <v>202</v>
      </c>
      <c r="G36" s="219">
        <f>C4+C15</f>
        <v>10786</v>
      </c>
      <c r="H36" s="223"/>
    </row>
    <row r="37" spans="2:8" ht="15" customHeight="1" x14ac:dyDescent="0.35">
      <c r="B37" s="4" t="s">
        <v>15</v>
      </c>
      <c r="C37" s="19">
        <v>27</v>
      </c>
      <c r="F37" s="218" t="s">
        <v>203</v>
      </c>
      <c r="G37" s="219">
        <f>C6</f>
        <v>9844</v>
      </c>
      <c r="H37" s="223"/>
    </row>
    <row r="38" spans="2:8" ht="15" customHeight="1" x14ac:dyDescent="0.35">
      <c r="B38" s="4" t="s">
        <v>16</v>
      </c>
      <c r="C38" s="19">
        <v>1230</v>
      </c>
      <c r="F38" s="218" t="s">
        <v>204</v>
      </c>
      <c r="G38" s="219">
        <f>C7+C17</f>
        <v>73134</v>
      </c>
      <c r="H38" s="223"/>
    </row>
    <row r="39" spans="2:8" ht="15" customHeight="1" x14ac:dyDescent="0.35">
      <c r="B39" s="2" t="s">
        <v>17</v>
      </c>
      <c r="C39" s="19">
        <v>0</v>
      </c>
      <c r="F39" s="218" t="s">
        <v>84</v>
      </c>
      <c r="G39" s="219">
        <f>C7+C17+C19+C20</f>
        <v>74418</v>
      </c>
      <c r="H39" s="216">
        <f>C7*D7+C17*D17+C19*D19+C20*D20</f>
        <v>44008.799999999996</v>
      </c>
    </row>
    <row r="40" spans="2:8" ht="15" customHeight="1" x14ac:dyDescent="0.35">
      <c r="B40" s="82" t="s">
        <v>209</v>
      </c>
      <c r="C40" s="83">
        <f>SUM(C36:C39)</f>
        <v>2089</v>
      </c>
      <c r="F40" s="227" t="s">
        <v>143</v>
      </c>
      <c r="G40" s="221">
        <f>G12+G24</f>
        <v>85928</v>
      </c>
      <c r="H40" s="228">
        <f>H12+H24</f>
        <v>53609.7</v>
      </c>
    </row>
    <row r="41" spans="2:8" ht="15" customHeight="1" x14ac:dyDescent="0.35">
      <c r="B41" s="4" t="s">
        <v>18</v>
      </c>
      <c r="C41" s="21">
        <f>C42-C40</f>
        <v>2748</v>
      </c>
      <c r="F41" s="218" t="s">
        <v>196</v>
      </c>
      <c r="G41" s="219">
        <f>C70</f>
        <v>72904</v>
      </c>
      <c r="H41" s="228">
        <f>H40-H42</f>
        <v>45795.299999999996</v>
      </c>
    </row>
    <row r="42" spans="2:8" ht="15" customHeight="1" x14ac:dyDescent="0.35">
      <c r="B42" s="85" t="s">
        <v>23</v>
      </c>
      <c r="C42" s="86">
        <v>4837</v>
      </c>
      <c r="F42" s="229" t="s">
        <v>197</v>
      </c>
      <c r="G42" s="230">
        <f>C82</f>
        <v>13024</v>
      </c>
      <c r="H42" s="231">
        <f>D82</f>
        <v>7814.4</v>
      </c>
    </row>
    <row r="44" spans="2:8" ht="15" customHeight="1" x14ac:dyDescent="0.35">
      <c r="B44" s="81" t="s">
        <v>101</v>
      </c>
      <c r="C44" s="37"/>
      <c r="D44" s="37"/>
      <c r="E44" s="37"/>
      <c r="F44" s="37"/>
      <c r="G44" s="37"/>
      <c r="H44" s="37"/>
    </row>
    <row r="45" spans="2:8" ht="15" customHeight="1" x14ac:dyDescent="0.35">
      <c r="B45" s="16" t="s">
        <v>287</v>
      </c>
      <c r="C45" s="268" t="s">
        <v>141</v>
      </c>
      <c r="D45" s="210" t="s">
        <v>288</v>
      </c>
      <c r="F45" s="296" t="s">
        <v>63</v>
      </c>
    </row>
    <row r="46" spans="2:8" ht="15" customHeight="1" x14ac:dyDescent="0.35">
      <c r="B46" s="1" t="s">
        <v>290</v>
      </c>
      <c r="C46" s="192">
        <f>G29</f>
        <v>166588</v>
      </c>
      <c r="D46" s="192">
        <f>H29</f>
        <v>94070.7</v>
      </c>
      <c r="F46" s="291"/>
    </row>
    <row r="47" spans="2:8" ht="15" customHeight="1" x14ac:dyDescent="0.35">
      <c r="B47" s="1" t="str">
        <f>"Equity per share ("&amp;Market_currency&amp;")"</f>
        <v>Equity per share (HKD)</v>
      </c>
      <c r="C47" s="151">
        <f>C46*H1/Common_Shares*Exchange_Rate</f>
        <v>20.385517323391081</v>
      </c>
      <c r="D47" s="151">
        <f>D46*H1/Common_Shares*Exchange_Rate</f>
        <v>11.511512740854835</v>
      </c>
      <c r="F47" s="291"/>
    </row>
    <row r="48" spans="2:8" ht="15" customHeight="1" x14ac:dyDescent="0.35">
      <c r="F48" s="291"/>
    </row>
    <row r="49" spans="2:8" ht="15" customHeight="1" x14ac:dyDescent="0.35">
      <c r="B49" s="162" t="s">
        <v>148</v>
      </c>
      <c r="C49" s="269" t="s">
        <v>61</v>
      </c>
      <c r="D49" s="225" t="s">
        <v>100</v>
      </c>
      <c r="E49" s="2"/>
      <c r="F49" s="291"/>
    </row>
    <row r="50" spans="2:8" ht="15" customHeight="1" x14ac:dyDescent="0.35">
      <c r="B50" s="8" t="s">
        <v>98</v>
      </c>
      <c r="C50" s="98">
        <f>G31/Normalized_FCF!C8</f>
        <v>1.1933697905849452</v>
      </c>
      <c r="D50" s="98">
        <f>G31/Normalized_FCF!G8</f>
        <v>1.3234916559691912</v>
      </c>
      <c r="F50" s="291"/>
    </row>
    <row r="51" spans="2:8" ht="15" customHeight="1" x14ac:dyDescent="0.35">
      <c r="B51" s="1" t="s">
        <v>181</v>
      </c>
      <c r="C51" s="209"/>
      <c r="D51" s="94">
        <f>G29/G32</f>
        <v>0.92039603085151056</v>
      </c>
      <c r="F51" s="291"/>
    </row>
    <row r="52" spans="2:8" ht="15" customHeight="1" x14ac:dyDescent="0.35">
      <c r="F52" s="291"/>
    </row>
    <row r="53" spans="2:8" ht="15" customHeight="1" x14ac:dyDescent="0.35">
      <c r="B53" s="162" t="s">
        <v>147</v>
      </c>
      <c r="C53" s="269" t="s">
        <v>61</v>
      </c>
      <c r="D53" s="225" t="s">
        <v>100</v>
      </c>
      <c r="F53" s="291"/>
    </row>
    <row r="54" spans="2:8" ht="15" customHeight="1" x14ac:dyDescent="0.35">
      <c r="B54" s="1" t="s">
        <v>144</v>
      </c>
      <c r="C54" s="94">
        <f>Normalized_FCF!C8/G35</f>
        <v>2.7262804090098017E-2</v>
      </c>
      <c r="D54" s="94">
        <f>Normalized_FCF!G8/G35</f>
        <v>2.4582404173854506E-2</v>
      </c>
      <c r="F54" s="291"/>
    </row>
    <row r="55" spans="2:8" ht="15" customHeight="1" x14ac:dyDescent="0.35">
      <c r="B55" s="1" t="s">
        <v>146</v>
      </c>
      <c r="C55" s="94">
        <f>Normalized_FCF!C11/G40</f>
        <v>7.4364584303137507E-3</v>
      </c>
      <c r="D55" s="94">
        <f>Normalized_FCF!G11/G40</f>
        <v>7.4364584303137507E-3</v>
      </c>
      <c r="F55" s="291"/>
    </row>
    <row r="56" spans="2:8" ht="15" customHeight="1" x14ac:dyDescent="0.35">
      <c r="F56" s="291"/>
    </row>
    <row r="57" spans="2:8" ht="15" customHeight="1" x14ac:dyDescent="0.35">
      <c r="B57" s="162" t="s">
        <v>180</v>
      </c>
      <c r="C57" s="269" t="s">
        <v>61</v>
      </c>
      <c r="D57" s="225" t="s">
        <v>100</v>
      </c>
      <c r="F57" s="291"/>
    </row>
    <row r="58" spans="2:8" ht="15" customHeight="1" x14ac:dyDescent="0.35">
      <c r="B58" s="2" t="s">
        <v>94</v>
      </c>
      <c r="C58" s="101"/>
      <c r="D58" s="23">
        <f>Normalized_FCF!G9/BS!$G$39</f>
        <v>2.1500174688919346E-3</v>
      </c>
      <c r="F58" s="5"/>
    </row>
    <row r="59" spans="2:8" ht="15" customHeight="1" x14ac:dyDescent="0.35">
      <c r="B59" s="1" t="s">
        <v>97</v>
      </c>
      <c r="C59" s="101"/>
      <c r="D59" s="94">
        <f>G39/G32</f>
        <v>0.41115825764105285</v>
      </c>
      <c r="F59" s="291"/>
    </row>
    <row r="60" spans="2:8" ht="15" customHeight="1" x14ac:dyDescent="0.35">
      <c r="F60" s="291"/>
    </row>
    <row r="61" spans="2:8" ht="15" customHeight="1" x14ac:dyDescent="0.35">
      <c r="B61" s="162" t="s">
        <v>291</v>
      </c>
      <c r="C61" s="269" t="s">
        <v>142</v>
      </c>
      <c r="D61" s="225" t="s">
        <v>100</v>
      </c>
      <c r="F61" s="291"/>
    </row>
    <row r="62" spans="2:8" ht="15" customHeight="1" x14ac:dyDescent="0.35">
      <c r="B62" s="1" t="s">
        <v>252</v>
      </c>
      <c r="C62" s="94">
        <f>IF(G28&lt;=0,0,G28/G29)</f>
        <v>3.1154705020769802E-3</v>
      </c>
      <c r="D62" s="94">
        <f>G28/G29</f>
        <v>3.1154705020769802E-3</v>
      </c>
      <c r="F62" s="291" t="s">
        <v>289</v>
      </c>
    </row>
    <row r="64" spans="2:8" ht="15" customHeight="1" x14ac:dyDescent="0.35">
      <c r="B64" s="81" t="s">
        <v>198</v>
      </c>
      <c r="C64" s="37"/>
      <c r="D64" s="37"/>
      <c r="E64" s="37"/>
      <c r="F64" s="37"/>
      <c r="G64" s="37"/>
      <c r="H64" s="37"/>
    </row>
    <row r="65" spans="2:6" ht="15" customHeight="1" x14ac:dyDescent="0.35">
      <c r="B65" s="16" t="s">
        <v>193</v>
      </c>
      <c r="C65" s="268" t="s">
        <v>141</v>
      </c>
      <c r="D65" s="211" t="s">
        <v>313</v>
      </c>
      <c r="F65" s="296" t="s">
        <v>63</v>
      </c>
    </row>
    <row r="66" spans="2:6" ht="15" customHeight="1" x14ac:dyDescent="0.35">
      <c r="B66" s="108" t="s">
        <v>192</v>
      </c>
      <c r="C66" s="20">
        <f>G4+G5+G15</f>
        <v>47679</v>
      </c>
      <c r="D66" s="192">
        <f>C66-D75</f>
        <v>41505.820259237436</v>
      </c>
      <c r="F66" s="5" t="s">
        <v>231</v>
      </c>
    </row>
    <row r="67" spans="2:6" ht="15" customHeight="1" x14ac:dyDescent="0.35">
      <c r="B67" s="108" t="s">
        <v>182</v>
      </c>
      <c r="C67" s="20">
        <f>G6+G16</f>
        <v>1529</v>
      </c>
      <c r="F67" s="291"/>
    </row>
    <row r="68" spans="2:6" ht="15" customHeight="1" x14ac:dyDescent="0.35">
      <c r="B68" s="108" t="s">
        <v>186</v>
      </c>
      <c r="C68" s="20">
        <f>G18</f>
        <v>23696</v>
      </c>
      <c r="F68" s="291"/>
    </row>
    <row r="69" spans="2:6" ht="15" customHeight="1" x14ac:dyDescent="0.35">
      <c r="B69" s="108" t="s">
        <v>184</v>
      </c>
      <c r="C69" s="20">
        <f>G8+G20</f>
        <v>0</v>
      </c>
      <c r="F69" s="291"/>
    </row>
    <row r="70" spans="2:6" ht="15" customHeight="1" x14ac:dyDescent="0.35">
      <c r="B70" s="82" t="s">
        <v>193</v>
      </c>
      <c r="C70" s="83">
        <f>SUM(C66:C69)</f>
        <v>72904</v>
      </c>
      <c r="F70" s="291"/>
    </row>
    <row r="71" spans="2:6" ht="15" customHeight="1" x14ac:dyDescent="0.35">
      <c r="F71" s="291"/>
    </row>
    <row r="72" spans="2:6" ht="15" customHeight="1" x14ac:dyDescent="0.35">
      <c r="B72" s="294" t="s">
        <v>354</v>
      </c>
      <c r="C72" s="268" t="s">
        <v>100</v>
      </c>
      <c r="D72" s="210" t="s">
        <v>61</v>
      </c>
      <c r="F72" s="291"/>
    </row>
    <row r="73" spans="2:6" ht="15" customHeight="1" x14ac:dyDescent="0.35">
      <c r="B73" s="108" t="s">
        <v>353</v>
      </c>
      <c r="C73" s="192">
        <f>(Normalized_FCF!G25+Normalized_FCF!G35)/12</f>
        <v>-535.66666666666663</v>
      </c>
      <c r="D73" s="192">
        <f>(Normalized_FCF!C25+Normalized_FCF!C35)/12</f>
        <v>-514.43164506354685</v>
      </c>
    </row>
    <row r="74" spans="2:6" ht="15" customHeight="1" x14ac:dyDescent="0.35">
      <c r="B74" s="297" t="s">
        <v>359</v>
      </c>
      <c r="C74" s="298">
        <f>-$C$66/C73</f>
        <v>89.008711885500944</v>
      </c>
      <c r="D74" s="298">
        <f>-$C$66/D73</f>
        <v>92.682867505381196</v>
      </c>
      <c r="F74" s="291" t="s">
        <v>355</v>
      </c>
    </row>
    <row r="75" spans="2:6" ht="15" customHeight="1" x14ac:dyDescent="0.35">
      <c r="B75" s="82" t="s">
        <v>356</v>
      </c>
      <c r="C75" s="302"/>
      <c r="D75" s="301">
        <f>MAX(-D73*D76,G5)</f>
        <v>6173.1797407625618</v>
      </c>
      <c r="F75" s="291" t="s">
        <v>358</v>
      </c>
    </row>
    <row r="76" spans="2:6" ht="15" customHeight="1" x14ac:dyDescent="0.35">
      <c r="B76" s="299" t="s">
        <v>360</v>
      </c>
      <c r="C76" s="300"/>
      <c r="D76" s="337">
        <f>IF(D74&lt;=3,1,IF(D74&gt;18,IF(D74&gt;36,12,6),2))</f>
        <v>12</v>
      </c>
      <c r="F76" s="291" t="s">
        <v>361</v>
      </c>
    </row>
    <row r="77" spans="2:6" ht="15" customHeight="1" x14ac:dyDescent="0.35">
      <c r="F77" s="291"/>
    </row>
    <row r="78" spans="2:6" ht="15" customHeight="1" x14ac:dyDescent="0.35">
      <c r="B78" s="16" t="s">
        <v>194</v>
      </c>
      <c r="C78" s="268" t="s">
        <v>141</v>
      </c>
      <c r="D78" s="211" t="s">
        <v>36</v>
      </c>
      <c r="F78" s="291"/>
    </row>
    <row r="79" spans="2:6" ht="15" customHeight="1" x14ac:dyDescent="0.35">
      <c r="B79" s="108" t="s">
        <v>183</v>
      </c>
      <c r="C79" s="20">
        <f>G7+G17</f>
        <v>13024</v>
      </c>
      <c r="D79" s="192">
        <f>G7*H7+G17*H17</f>
        <v>7814.4</v>
      </c>
      <c r="F79" s="291"/>
    </row>
    <row r="80" spans="2:6" ht="15" customHeight="1" x14ac:dyDescent="0.35">
      <c r="B80" s="108" t="s">
        <v>187</v>
      </c>
      <c r="C80" s="20">
        <f>G19</f>
        <v>0</v>
      </c>
      <c r="D80" s="192">
        <f>G19*H19</f>
        <v>0</v>
      </c>
      <c r="F80" s="291"/>
    </row>
    <row r="81" spans="2:8" ht="15" customHeight="1" x14ac:dyDescent="0.35">
      <c r="B81" s="108" t="s">
        <v>185</v>
      </c>
      <c r="C81" s="20">
        <f>G9+G21</f>
        <v>0</v>
      </c>
      <c r="D81" s="192">
        <f>G9*H9+G21*H21</f>
        <v>0</v>
      </c>
      <c r="F81" s="291"/>
    </row>
    <row r="82" spans="2:8" ht="15" customHeight="1" x14ac:dyDescent="0.35">
      <c r="B82" s="82" t="s">
        <v>194</v>
      </c>
      <c r="C82" s="83">
        <f>SUM(C79:C81)</f>
        <v>13024</v>
      </c>
      <c r="D82" s="83">
        <f>SUM(D79:D81)</f>
        <v>7814.4</v>
      </c>
      <c r="F82" s="291"/>
    </row>
    <row r="84" spans="2:8" ht="15" customHeight="1" x14ac:dyDescent="0.35">
      <c r="B84" s="81" t="s">
        <v>316</v>
      </c>
      <c r="C84" s="37"/>
      <c r="D84" s="37"/>
      <c r="E84" s="37"/>
      <c r="F84" s="37"/>
      <c r="G84" s="37"/>
      <c r="H84" s="37"/>
    </row>
    <row r="85" spans="2:8" ht="15" customHeight="1" x14ac:dyDescent="0.35">
      <c r="B85" s="16" t="s">
        <v>317</v>
      </c>
      <c r="D85" s="278" t="s">
        <v>318</v>
      </c>
    </row>
    <row r="86" spans="2:8" ht="15" customHeight="1" x14ac:dyDescent="0.35">
      <c r="B86" s="275" t="s">
        <v>314</v>
      </c>
      <c r="C86" s="192">
        <f>-Valuation_Model!C7*Exchange_Rate</f>
        <v>-3093</v>
      </c>
      <c r="D86" s="255">
        <f>C86*$H$1/Common_Shares</f>
        <v>-0.37849307922088393</v>
      </c>
      <c r="E86" s="277" t="str">
        <f>Market_currency</f>
        <v>HKD</v>
      </c>
    </row>
    <row r="87" spans="2:8" ht="15" customHeight="1" x14ac:dyDescent="0.35">
      <c r="B87" s="275" t="s">
        <v>315</v>
      </c>
      <c r="C87" s="192">
        <f>Valuation_Model!C8*Exchange_Rate</f>
        <v>41505.820259237436</v>
      </c>
      <c r="D87" s="255">
        <f>C87*$H$1/Common_Shares</f>
        <v>5.0791030441342784</v>
      </c>
      <c r="E87" s="277" t="str">
        <f>Market_currency</f>
        <v>HKD</v>
      </c>
    </row>
    <row r="88" spans="2:8" ht="15" customHeight="1" x14ac:dyDescent="0.35">
      <c r="B88" s="276" t="s">
        <v>194</v>
      </c>
      <c r="C88" s="192">
        <f>Valuation_Model!C9*Exchange_Rate</f>
        <v>7814.4</v>
      </c>
      <c r="D88" s="255">
        <f>C88*$H$1/Common_Shares</f>
        <v>0.95625487173090062</v>
      </c>
      <c r="E88" s="277" t="str">
        <f>Market_currency</f>
        <v>HKD</v>
      </c>
    </row>
    <row r="89" spans="2:8" ht="15" customHeight="1" x14ac:dyDescent="0.35">
      <c r="B89" s="82" t="s">
        <v>319</v>
      </c>
      <c r="C89" s="191">
        <f>SUM(C86:C88)</f>
        <v>46227.220259237438</v>
      </c>
      <c r="D89" s="279">
        <f>SUM(D86:D88)</f>
        <v>5.6568648366442948</v>
      </c>
      <c r="E89" s="277"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4"/>
  <sheetViews>
    <sheetView showGridLines="0" zoomScale="90" zoomScaleNormal="90" workbookViewId="0">
      <pane xSplit="2" ySplit="1" topLeftCell="C2" activePane="bottomRight" state="frozen"/>
      <selection pane="topRight" activeCell="C1" sqref="C1"/>
      <selection pane="bottomLeft" activeCell="A2" sqref="A2"/>
      <selection pane="bottomRight" activeCell="B4" sqref="B4"/>
    </sheetView>
  </sheetViews>
  <sheetFormatPr defaultColWidth="12.33203125" defaultRowHeight="15" customHeight="1" x14ac:dyDescent="0.35"/>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x14ac:dyDescent="0.35">
      <c r="A1" s="3"/>
      <c r="B1" s="92" t="str">
        <f>Thesis!C16</f>
        <v>HKD</v>
      </c>
      <c r="C1" s="53" t="s">
        <v>61</v>
      </c>
      <c r="D1" s="53"/>
      <c r="E1" s="53"/>
      <c r="F1" s="53"/>
      <c r="G1" s="38">
        <f>Data!C1</f>
        <v>45473</v>
      </c>
      <c r="H1" s="38">
        <f>EOMONTH(EDATE(G1,-12),0)</f>
        <v>45107</v>
      </c>
      <c r="I1" s="38">
        <f t="shared" ref="I1:Q1" si="0">EOMONTH(EDATE(H1,-12),0)</f>
        <v>44742</v>
      </c>
      <c r="J1" s="38">
        <f t="shared" si="0"/>
        <v>44377</v>
      </c>
      <c r="K1" s="38">
        <f t="shared" si="0"/>
        <v>44012</v>
      </c>
      <c r="L1" s="38">
        <f t="shared" si="0"/>
        <v>43646</v>
      </c>
      <c r="M1" s="38">
        <f t="shared" si="0"/>
        <v>43281</v>
      </c>
      <c r="N1" s="38">
        <f t="shared" si="0"/>
        <v>42916</v>
      </c>
      <c r="O1" s="38">
        <f t="shared" si="0"/>
        <v>42551</v>
      </c>
      <c r="P1" s="38">
        <f t="shared" si="0"/>
        <v>42185</v>
      </c>
      <c r="Q1" s="38">
        <f t="shared" si="0"/>
        <v>41820</v>
      </c>
    </row>
    <row r="2" spans="1:17" ht="15.75" customHeight="1" x14ac:dyDescent="0.5">
      <c r="A2" s="3"/>
      <c r="B2" s="54" t="s">
        <v>104</v>
      </c>
      <c r="C2" s="54"/>
      <c r="D2" s="56"/>
      <c r="E2" s="67" t="s">
        <v>63</v>
      </c>
      <c r="F2" s="56"/>
      <c r="G2" s="37"/>
      <c r="H2" s="37"/>
      <c r="I2" s="37"/>
      <c r="J2" s="37"/>
      <c r="K2" s="37"/>
      <c r="L2" s="37"/>
      <c r="M2" s="37"/>
      <c r="N2" s="37"/>
      <c r="O2" s="37"/>
      <c r="P2" s="37"/>
      <c r="Q2" s="37"/>
    </row>
    <row r="3" spans="1:17" ht="15.75" customHeight="1" x14ac:dyDescent="0.35">
      <c r="A3" s="10"/>
      <c r="B3" s="16" t="s">
        <v>70</v>
      </c>
      <c r="C3" s="110">
        <f>Data!C3</f>
        <v>1000000</v>
      </c>
      <c r="D3" s="9"/>
      <c r="E3" s="311"/>
      <c r="F3" s="9"/>
      <c r="G3" s="9"/>
    </row>
    <row r="4" spans="1:17" ht="15.75" customHeight="1" x14ac:dyDescent="0.35">
      <c r="A4" s="10"/>
      <c r="B4" s="26" t="s">
        <v>3</v>
      </c>
      <c r="C4" s="197">
        <f>G4</f>
        <v>8765</v>
      </c>
      <c r="D4" s="57"/>
      <c r="E4" s="309"/>
      <c r="F4" s="57"/>
      <c r="G4" s="187">
        <f>Data!C36</f>
        <v>8765</v>
      </c>
      <c r="H4" s="187">
        <f>Data!D36</f>
        <v>11881</v>
      </c>
      <c r="I4" s="187" t="str">
        <f>Data!E36</f>
        <v/>
      </c>
      <c r="J4" s="187" t="str">
        <f>Data!F36</f>
        <v/>
      </c>
      <c r="K4" s="187" t="str">
        <f>Data!G36</f>
        <v/>
      </c>
      <c r="L4" s="187" t="str">
        <f>Data!H36</f>
        <v/>
      </c>
      <c r="M4" s="187" t="str">
        <f>Data!I36</f>
        <v/>
      </c>
      <c r="N4" s="187" t="str">
        <f>Data!J36</f>
        <v/>
      </c>
      <c r="O4" s="187" t="str">
        <f>Data!K36</f>
        <v/>
      </c>
      <c r="P4" s="187" t="str">
        <f>Data!L36</f>
        <v/>
      </c>
      <c r="Q4" s="187" t="str">
        <f>Data!M36</f>
        <v/>
      </c>
    </row>
    <row r="5" spans="1:17" ht="15.75" customHeight="1" x14ac:dyDescent="0.35">
      <c r="A5" s="10"/>
      <c r="B5" s="2" t="s">
        <v>49</v>
      </c>
      <c r="C5" s="198">
        <f>C25</f>
        <v>-5066.6797407625618</v>
      </c>
      <c r="E5" s="311"/>
      <c r="G5" s="187">
        <f t="shared" ref="G5:Q5" si="1">G25</f>
        <v>-5344</v>
      </c>
      <c r="H5" s="187">
        <f t="shared" si="1"/>
        <v>-6492</v>
      </c>
      <c r="I5" s="187" t="str">
        <f t="shared" si="1"/>
        <v/>
      </c>
      <c r="J5" s="187" t="str">
        <f t="shared" si="1"/>
        <v/>
      </c>
      <c r="K5" s="187" t="str">
        <f t="shared" si="1"/>
        <v/>
      </c>
      <c r="L5" s="187" t="str">
        <f t="shared" si="1"/>
        <v/>
      </c>
      <c r="M5" s="187" t="str">
        <f t="shared" si="1"/>
        <v/>
      </c>
      <c r="N5" s="187" t="str">
        <f t="shared" si="1"/>
        <v/>
      </c>
      <c r="O5" s="187" t="str">
        <f t="shared" si="1"/>
        <v/>
      </c>
      <c r="P5" s="187" t="str">
        <f t="shared" si="1"/>
        <v/>
      </c>
      <c r="Q5" s="187" t="str">
        <f t="shared" si="1"/>
        <v/>
      </c>
    </row>
    <row r="6" spans="1:17" ht="15.75" customHeight="1" x14ac:dyDescent="0.35">
      <c r="A6" s="10"/>
      <c r="B6" s="31" t="s">
        <v>51</v>
      </c>
      <c r="C6" s="188">
        <f>C4+C5</f>
        <v>3698.3202592374382</v>
      </c>
      <c r="E6" s="311"/>
      <c r="G6" s="188">
        <f>IF(G4="","",G4+G5)</f>
        <v>3421</v>
      </c>
      <c r="H6" s="188">
        <f t="shared" ref="H6:Q6" si="2">IF(H4="","",H4+H5)</f>
        <v>5389</v>
      </c>
      <c r="I6" s="188" t="str">
        <f t="shared" si="2"/>
        <v/>
      </c>
      <c r="J6" s="188" t="str">
        <f t="shared" si="2"/>
        <v/>
      </c>
      <c r="K6" s="188" t="str">
        <f t="shared" si="2"/>
        <v/>
      </c>
      <c r="L6" s="188" t="str">
        <f t="shared" si="2"/>
        <v/>
      </c>
      <c r="M6" s="188" t="str">
        <f t="shared" si="2"/>
        <v/>
      </c>
      <c r="N6" s="188" t="str">
        <f t="shared" si="2"/>
        <v/>
      </c>
      <c r="O6" s="188" t="str">
        <f t="shared" si="2"/>
        <v/>
      </c>
      <c r="P6" s="188" t="str">
        <f t="shared" si="2"/>
        <v/>
      </c>
      <c r="Q6" s="188" t="str">
        <f t="shared" si="2"/>
        <v/>
      </c>
    </row>
    <row r="7" spans="1:17" ht="15.75" customHeight="1" x14ac:dyDescent="0.35">
      <c r="A7" s="10"/>
      <c r="B7" s="8" t="s">
        <v>48</v>
      </c>
      <c r="C7" s="198">
        <f>C35</f>
        <v>-1106.5</v>
      </c>
      <c r="E7" s="311"/>
      <c r="G7" s="198">
        <f t="shared" ref="G7:Q7" si="3">G35</f>
        <v>-1084</v>
      </c>
      <c r="H7" s="198">
        <f t="shared" si="3"/>
        <v>-1129</v>
      </c>
      <c r="I7" s="198" t="str">
        <f t="shared" si="3"/>
        <v/>
      </c>
      <c r="J7" s="198" t="str">
        <f t="shared" si="3"/>
        <v/>
      </c>
      <c r="K7" s="198" t="str">
        <f t="shared" si="3"/>
        <v/>
      </c>
      <c r="L7" s="198" t="str">
        <f t="shared" si="3"/>
        <v/>
      </c>
      <c r="M7" s="198" t="str">
        <f t="shared" si="3"/>
        <v/>
      </c>
      <c r="N7" s="198" t="str">
        <f t="shared" si="3"/>
        <v/>
      </c>
      <c r="O7" s="198" t="str">
        <f t="shared" si="3"/>
        <v/>
      </c>
      <c r="P7" s="198" t="str">
        <f t="shared" si="3"/>
        <v/>
      </c>
      <c r="Q7" s="198" t="str">
        <f t="shared" si="3"/>
        <v/>
      </c>
    </row>
    <row r="8" spans="1:17" ht="15.75" customHeight="1" x14ac:dyDescent="0.35">
      <c r="A8" s="10"/>
      <c r="B8" s="29" t="s">
        <v>157</v>
      </c>
      <c r="C8" s="199">
        <f>C6+C7</f>
        <v>2591.8202592374382</v>
      </c>
      <c r="D8" s="60"/>
      <c r="E8" s="317"/>
      <c r="F8" s="60"/>
      <c r="G8" s="188">
        <f>IF(G$4="","",G6+G7)</f>
        <v>2337</v>
      </c>
      <c r="H8" s="188">
        <f t="shared" ref="H8:Q8" si="4">IF(H$4="","",H6+H7)</f>
        <v>4260</v>
      </c>
      <c r="I8" s="188" t="str">
        <f t="shared" si="4"/>
        <v/>
      </c>
      <c r="J8" s="188" t="str">
        <f t="shared" si="4"/>
        <v/>
      </c>
      <c r="K8" s="188" t="str">
        <f t="shared" si="4"/>
        <v/>
      </c>
      <c r="L8" s="188" t="str">
        <f t="shared" si="4"/>
        <v/>
      </c>
      <c r="M8" s="188" t="str">
        <f t="shared" si="4"/>
        <v/>
      </c>
      <c r="N8" s="188" t="str">
        <f t="shared" si="4"/>
        <v/>
      </c>
      <c r="O8" s="188" t="str">
        <f t="shared" si="4"/>
        <v/>
      </c>
      <c r="P8" s="188" t="str">
        <f t="shared" si="4"/>
        <v/>
      </c>
      <c r="Q8" s="188" t="str">
        <f t="shared" si="4"/>
        <v/>
      </c>
    </row>
    <row r="9" spans="1:17" ht="15.75" customHeight="1" x14ac:dyDescent="0.35">
      <c r="A9" s="10"/>
      <c r="B9" s="2" t="s">
        <v>69</v>
      </c>
      <c r="C9" s="198">
        <f>BS!$G$39*BS!D58</f>
        <v>159.99999999999997</v>
      </c>
      <c r="E9" s="311"/>
      <c r="G9" s="198">
        <f>IF(Data!C61="","",-Data!C61)</f>
        <v>160</v>
      </c>
      <c r="H9" s="198">
        <f>IF(Data!D61="","",-Data!D61)</f>
        <v>198</v>
      </c>
      <c r="I9" s="198" t="str">
        <f>IF(Data!E61="","",-Data!E61)</f>
        <v/>
      </c>
      <c r="J9" s="198" t="str">
        <f>IF(Data!F61="","",-Data!F61)</f>
        <v/>
      </c>
      <c r="K9" s="198" t="str">
        <f>IF(Data!G61="","",-Data!G61)</f>
        <v/>
      </c>
      <c r="L9" s="198" t="str">
        <f>IF(Data!H61="","",-Data!H61)</f>
        <v/>
      </c>
      <c r="M9" s="198" t="str">
        <f>IF(Data!I61="","",-Data!I61)</f>
        <v/>
      </c>
      <c r="N9" s="198" t="str">
        <f>IF(Data!J61="","",-Data!J61)</f>
        <v/>
      </c>
      <c r="O9" s="198" t="str">
        <f>IF(Data!K61="","",-Data!K61)</f>
        <v/>
      </c>
      <c r="P9" s="198" t="str">
        <f>IF(Data!L61="","",-Data!L61)</f>
        <v/>
      </c>
      <c r="Q9" s="198" t="str">
        <f>IF(Data!M61="","",-Data!M61)</f>
        <v/>
      </c>
    </row>
    <row r="10" spans="1:17" ht="15.75" customHeight="1" x14ac:dyDescent="0.35">
      <c r="A10" s="10"/>
      <c r="B10" s="2" t="s">
        <v>85</v>
      </c>
      <c r="C10" s="198">
        <f>-C4*C78</f>
        <v>-159.99999999999997</v>
      </c>
      <c r="E10" s="311"/>
      <c r="G10" s="198">
        <f>Data!C62</f>
        <v>-69</v>
      </c>
      <c r="H10" s="198">
        <f>Data!D62</f>
        <v>-108</v>
      </c>
      <c r="I10" s="198" t="str">
        <f>Data!E62</f>
        <v/>
      </c>
      <c r="J10" s="198" t="str">
        <f>Data!F62</f>
        <v/>
      </c>
      <c r="K10" s="198" t="str">
        <f>Data!G62</f>
        <v/>
      </c>
      <c r="L10" s="198" t="str">
        <f>Data!H62</f>
        <v/>
      </c>
      <c r="M10" s="198" t="str">
        <f>Data!I62</f>
        <v/>
      </c>
      <c r="N10" s="198" t="str">
        <f>Data!J62</f>
        <v/>
      </c>
      <c r="O10" s="198" t="str">
        <f>Data!K62</f>
        <v/>
      </c>
      <c r="P10" s="198" t="str">
        <f>Data!L62</f>
        <v/>
      </c>
      <c r="Q10" s="198" t="str">
        <f>Data!M62</f>
        <v/>
      </c>
    </row>
    <row r="11" spans="1:17" ht="15.75" customHeight="1" x14ac:dyDescent="0.35">
      <c r="A11" s="10"/>
      <c r="B11" s="31" t="s">
        <v>199</v>
      </c>
      <c r="C11" s="200">
        <f>C63</f>
        <v>639</v>
      </c>
      <c r="D11" s="173"/>
      <c r="E11" s="310"/>
      <c r="F11" s="173"/>
      <c r="G11" s="190">
        <f>G61</f>
        <v>639</v>
      </c>
      <c r="H11" s="190">
        <f t="shared" ref="H11:Q11" si="5">H61</f>
        <v>927</v>
      </c>
      <c r="I11" s="190" t="str">
        <f t="shared" si="5"/>
        <v/>
      </c>
      <c r="J11" s="190" t="str">
        <f t="shared" si="5"/>
        <v/>
      </c>
      <c r="K11" s="190" t="str">
        <f t="shared" si="5"/>
        <v/>
      </c>
      <c r="L11" s="190" t="str">
        <f t="shared" si="5"/>
        <v/>
      </c>
      <c r="M11" s="190" t="str">
        <f t="shared" si="5"/>
        <v/>
      </c>
      <c r="N11" s="190" t="str">
        <f t="shared" si="5"/>
        <v/>
      </c>
      <c r="O11" s="190" t="str">
        <f t="shared" si="5"/>
        <v/>
      </c>
      <c r="P11" s="190" t="str">
        <f t="shared" si="5"/>
        <v/>
      </c>
      <c r="Q11" s="190" t="str">
        <f t="shared" si="5"/>
        <v/>
      </c>
    </row>
    <row r="12" spans="1:17" ht="15.75" customHeight="1" x14ac:dyDescent="0.35">
      <c r="A12" s="10"/>
      <c r="B12" s="2" t="s">
        <v>72</v>
      </c>
      <c r="C12" s="198">
        <f>C50</f>
        <v>142.19539222287685</v>
      </c>
      <c r="E12" s="311"/>
      <c r="G12" s="198">
        <f>G50</f>
        <v>259.96861497481899</v>
      </c>
      <c r="H12" s="198">
        <f t="shared" ref="H12:Q12" si="6">H50</f>
        <v>139.30261332735768</v>
      </c>
      <c r="I12" s="198" t="str">
        <f t="shared" si="6"/>
        <v/>
      </c>
      <c r="J12" s="198" t="str">
        <f t="shared" si="6"/>
        <v/>
      </c>
      <c r="K12" s="198" t="str">
        <f t="shared" si="6"/>
        <v/>
      </c>
      <c r="L12" s="198" t="str">
        <f t="shared" si="6"/>
        <v/>
      </c>
      <c r="M12" s="198" t="str">
        <f t="shared" si="6"/>
        <v/>
      </c>
      <c r="N12" s="198" t="str">
        <f t="shared" si="6"/>
        <v/>
      </c>
      <c r="O12" s="198" t="str">
        <f t="shared" si="6"/>
        <v/>
      </c>
      <c r="P12" s="198" t="str">
        <f t="shared" si="6"/>
        <v/>
      </c>
      <c r="Q12" s="198" t="str">
        <f t="shared" si="6"/>
        <v/>
      </c>
    </row>
    <row r="13" spans="1:17" ht="15.75" customHeight="1" x14ac:dyDescent="0.35">
      <c r="A13" s="10"/>
      <c r="B13" s="71" t="s">
        <v>169</v>
      </c>
      <c r="C13" s="188">
        <f>SUM(C8:C12)</f>
        <v>3373.015651460315</v>
      </c>
      <c r="E13" s="311"/>
      <c r="G13" s="188">
        <f>IF(G$4="","",SUM(G8:G12))</f>
        <v>3326.968614974819</v>
      </c>
      <c r="H13" s="188">
        <f t="shared" ref="H13:Q13" si="7">IF(H$4="","",SUM(H8:H12))</f>
        <v>5416.3026133273579</v>
      </c>
      <c r="I13" s="188" t="str">
        <f t="shared" si="7"/>
        <v/>
      </c>
      <c r="J13" s="188" t="str">
        <f t="shared" si="7"/>
        <v/>
      </c>
      <c r="K13" s="188" t="str">
        <f t="shared" si="7"/>
        <v/>
      </c>
      <c r="L13" s="188" t="str">
        <f t="shared" si="7"/>
        <v/>
      </c>
      <c r="M13" s="188" t="str">
        <f t="shared" si="7"/>
        <v/>
      </c>
      <c r="N13" s="188" t="str">
        <f t="shared" si="7"/>
        <v/>
      </c>
      <c r="O13" s="188" t="str">
        <f t="shared" si="7"/>
        <v/>
      </c>
      <c r="P13" s="188" t="str">
        <f t="shared" si="7"/>
        <v/>
      </c>
      <c r="Q13" s="188" t="str">
        <f t="shared" si="7"/>
        <v/>
      </c>
    </row>
    <row r="14" spans="1:17" ht="15.75" customHeight="1" x14ac:dyDescent="0.35">
      <c r="A14" s="10"/>
      <c r="B14" s="2" t="s">
        <v>67</v>
      </c>
      <c r="C14" s="198">
        <f>-SUM(C8+C11,C12)*C43</f>
        <v>-809.52375635047554</v>
      </c>
      <c r="E14" s="311"/>
      <c r="G14" s="198">
        <f>Data!C46</f>
        <v>-519</v>
      </c>
      <c r="H14" s="198">
        <f>Data!D46</f>
        <v>-860.83482800000002</v>
      </c>
      <c r="I14" s="198" t="str">
        <f>Data!E46</f>
        <v/>
      </c>
      <c r="J14" s="198" t="str">
        <f>Data!F46</f>
        <v/>
      </c>
      <c r="K14" s="198" t="str">
        <f>Data!G46</f>
        <v/>
      </c>
      <c r="L14" s="198" t="str">
        <f>Data!H46</f>
        <v/>
      </c>
      <c r="M14" s="198" t="str">
        <f>Data!I46</f>
        <v/>
      </c>
      <c r="N14" s="198" t="str">
        <f>Data!J46</f>
        <v/>
      </c>
      <c r="O14" s="198" t="str">
        <f>Data!K46</f>
        <v/>
      </c>
      <c r="P14" s="198" t="str">
        <f>Data!L46</f>
        <v/>
      </c>
      <c r="Q14" s="198" t="str">
        <f>Data!M46</f>
        <v/>
      </c>
    </row>
    <row r="15" spans="1:17" ht="15.75" customHeight="1" x14ac:dyDescent="0.35">
      <c r="A15" s="10"/>
      <c r="B15" s="40" t="s">
        <v>250</v>
      </c>
      <c r="C15" s="198">
        <f>-C4*C83</f>
        <v>-22.869707937042335</v>
      </c>
      <c r="D15" s="61"/>
      <c r="E15" s="318"/>
      <c r="F15" s="61"/>
      <c r="G15" s="187">
        <f>Data!C48</f>
        <v>0</v>
      </c>
      <c r="H15" s="187">
        <f>Data!D48</f>
        <v>-31</v>
      </c>
      <c r="I15" s="187" t="str">
        <f>Data!E48</f>
        <v/>
      </c>
      <c r="J15" s="187" t="str">
        <f>Data!F48</f>
        <v/>
      </c>
      <c r="K15" s="187" t="str">
        <f>Data!G48</f>
        <v/>
      </c>
      <c r="L15" s="187" t="str">
        <f>Data!H48</f>
        <v/>
      </c>
      <c r="M15" s="187" t="str">
        <f>Data!I48</f>
        <v/>
      </c>
      <c r="N15" s="187" t="str">
        <f>Data!J48</f>
        <v/>
      </c>
      <c r="O15" s="187" t="str">
        <f>Data!K48</f>
        <v/>
      </c>
      <c r="P15" s="187" t="str">
        <f>Data!L48</f>
        <v/>
      </c>
      <c r="Q15" s="187" t="str">
        <f>Data!M48</f>
        <v/>
      </c>
    </row>
    <row r="16" spans="1:17" ht="15.75" customHeight="1" x14ac:dyDescent="0.35">
      <c r="A16" s="10"/>
      <c r="B16" s="41" t="s">
        <v>159</v>
      </c>
      <c r="C16" s="201">
        <f>SUM(C13:C15)</f>
        <v>2540.6221871727971</v>
      </c>
      <c r="D16" s="62"/>
      <c r="E16" s="319"/>
      <c r="F16" s="62"/>
      <c r="G16" s="188">
        <f>IF(G$4="","",SUM(G13:G15))</f>
        <v>2807.968614974819</v>
      </c>
      <c r="H16" s="188">
        <f t="shared" ref="H16:Q16" si="8">IF(H$4="","",SUM(H13:H15))</f>
        <v>4524.4677853273579</v>
      </c>
      <c r="I16" s="188" t="str">
        <f t="shared" si="8"/>
        <v/>
      </c>
      <c r="J16" s="188" t="str">
        <f t="shared" si="8"/>
        <v/>
      </c>
      <c r="K16" s="188" t="str">
        <f t="shared" si="8"/>
        <v/>
      </c>
      <c r="L16" s="188" t="str">
        <f t="shared" si="8"/>
        <v/>
      </c>
      <c r="M16" s="188" t="str">
        <f t="shared" si="8"/>
        <v/>
      </c>
      <c r="N16" s="188" t="str">
        <f t="shared" si="8"/>
        <v/>
      </c>
      <c r="O16" s="188" t="str">
        <f t="shared" si="8"/>
        <v/>
      </c>
      <c r="P16" s="188" t="str">
        <f t="shared" si="8"/>
        <v/>
      </c>
      <c r="Q16" s="188" t="str">
        <f t="shared" si="8"/>
        <v/>
      </c>
    </row>
    <row r="17" spans="1:17" ht="15.75" customHeight="1" x14ac:dyDescent="0.35">
      <c r="A17" s="10"/>
      <c r="B17" s="27" t="s">
        <v>55</v>
      </c>
      <c r="C17" s="198">
        <f>-C4*C85</f>
        <v>0</v>
      </c>
      <c r="D17" s="59"/>
      <c r="E17" s="310" t="s">
        <v>373</v>
      </c>
      <c r="F17" s="59"/>
      <c r="G17" s="202"/>
      <c r="H17" s="202"/>
      <c r="I17" s="202"/>
      <c r="J17" s="202"/>
      <c r="K17" s="202"/>
      <c r="L17" s="202"/>
      <c r="M17" s="202"/>
      <c r="N17" s="202"/>
      <c r="O17" s="202"/>
      <c r="P17" s="202"/>
      <c r="Q17" s="202"/>
    </row>
    <row r="18" spans="1:17" ht="15.75" customHeight="1" x14ac:dyDescent="0.35">
      <c r="A18" s="10"/>
      <c r="B18" s="27" t="s">
        <v>103</v>
      </c>
      <c r="C18" s="198">
        <v>0</v>
      </c>
      <c r="D18" s="59"/>
      <c r="E18" s="310" t="s">
        <v>374</v>
      </c>
      <c r="F18" s="59"/>
      <c r="G18" s="203"/>
      <c r="H18" s="203"/>
      <c r="I18" s="203"/>
      <c r="J18" s="203"/>
      <c r="K18" s="203"/>
      <c r="L18" s="203"/>
      <c r="M18" s="203"/>
      <c r="N18" s="203"/>
      <c r="O18" s="203"/>
      <c r="P18" s="203"/>
      <c r="Q18" s="203"/>
    </row>
    <row r="19" spans="1:17" ht="15.75" customHeight="1" x14ac:dyDescent="0.35">
      <c r="A19" s="10"/>
      <c r="B19" s="31" t="s">
        <v>70</v>
      </c>
      <c r="C19" s="188">
        <f>C16+C17</f>
        <v>2540.6221871727971</v>
      </c>
      <c r="D19" s="27"/>
      <c r="E19" s="308"/>
      <c r="F19" s="27"/>
      <c r="G19" s="190">
        <f>IF(G$4="","",G16+G17)</f>
        <v>2807.968614974819</v>
      </c>
      <c r="H19" s="190">
        <f t="shared" ref="H19:Q19" si="9">IF(H$4="","",H16+H17)</f>
        <v>4524.4677853273579</v>
      </c>
      <c r="I19" s="190" t="str">
        <f t="shared" si="9"/>
        <v/>
      </c>
      <c r="J19" s="190" t="str">
        <f t="shared" si="9"/>
        <v/>
      </c>
      <c r="K19" s="190" t="str">
        <f t="shared" si="9"/>
        <v/>
      </c>
      <c r="L19" s="190" t="str">
        <f t="shared" si="9"/>
        <v/>
      </c>
      <c r="M19" s="190" t="str">
        <f t="shared" si="9"/>
        <v/>
      </c>
      <c r="N19" s="190" t="str">
        <f t="shared" si="9"/>
        <v/>
      </c>
      <c r="O19" s="190" t="str">
        <f t="shared" si="9"/>
        <v/>
      </c>
      <c r="P19" s="190" t="str">
        <f t="shared" si="9"/>
        <v/>
      </c>
      <c r="Q19" s="190" t="str">
        <f t="shared" si="9"/>
        <v/>
      </c>
    </row>
    <row r="20" spans="1:17" ht="15.75" customHeight="1" x14ac:dyDescent="0.35">
      <c r="A20" s="10"/>
      <c r="B20" s="27"/>
      <c r="C20" s="63"/>
      <c r="D20" s="27"/>
      <c r="E20" s="68"/>
      <c r="F20" s="27"/>
      <c r="G20" s="12"/>
      <c r="H20" s="12"/>
      <c r="I20" s="12"/>
      <c r="J20" s="12"/>
      <c r="K20" s="12"/>
      <c r="L20" s="12"/>
      <c r="M20" s="12"/>
      <c r="N20" s="12"/>
      <c r="O20" s="12"/>
      <c r="P20" s="12"/>
      <c r="Q20" s="12"/>
    </row>
    <row r="21" spans="1:17" ht="15.75" customHeight="1" x14ac:dyDescent="0.5">
      <c r="A21" s="10"/>
      <c r="B21" s="54" t="s">
        <v>210</v>
      </c>
      <c r="C21" s="54"/>
      <c r="D21" s="56"/>
      <c r="E21" s="67" t="s">
        <v>63</v>
      </c>
      <c r="F21" s="56"/>
      <c r="G21" s="37"/>
      <c r="H21" s="37"/>
      <c r="I21" s="37"/>
      <c r="J21" s="37"/>
      <c r="K21" s="37"/>
      <c r="L21" s="37"/>
      <c r="M21" s="37"/>
      <c r="N21" s="37"/>
      <c r="O21" s="37"/>
      <c r="P21" s="37"/>
      <c r="Q21" s="37"/>
    </row>
    <row r="22" spans="1:17" ht="15.75" customHeight="1" x14ac:dyDescent="0.35">
      <c r="A22" s="10"/>
      <c r="B22" s="65" t="s">
        <v>49</v>
      </c>
      <c r="C22" s="63"/>
      <c r="D22" s="27"/>
      <c r="E22" s="308"/>
      <c r="F22" s="27"/>
      <c r="G22" s="12"/>
      <c r="H22" s="12"/>
      <c r="I22" s="12"/>
      <c r="J22" s="12"/>
      <c r="K22" s="12"/>
      <c r="L22" s="12"/>
      <c r="M22" s="12"/>
      <c r="N22" s="12"/>
      <c r="O22" s="12"/>
      <c r="P22" s="12"/>
      <c r="Q22" s="12"/>
    </row>
    <row r="23" spans="1:17" ht="15.75" customHeight="1" x14ac:dyDescent="0.35">
      <c r="A23" s="10"/>
      <c r="B23" s="27" t="s">
        <v>46</v>
      </c>
      <c r="C23" s="204">
        <f>-C4*C28</f>
        <v>-5066.6797407625618</v>
      </c>
      <c r="D23" s="59"/>
      <c r="E23" s="310"/>
      <c r="F23" s="59"/>
      <c r="G23" s="187">
        <f>Data!C37</f>
        <v>-5344</v>
      </c>
      <c r="H23" s="187">
        <f>Data!D37</f>
        <v>-6492</v>
      </c>
      <c r="I23" s="187" t="str">
        <f>Data!E37</f>
        <v/>
      </c>
      <c r="J23" s="187" t="str">
        <f>Data!F37</f>
        <v/>
      </c>
      <c r="K23" s="187" t="str">
        <f>Data!G37</f>
        <v/>
      </c>
      <c r="L23" s="187" t="str">
        <f>Data!H37</f>
        <v/>
      </c>
      <c r="M23" s="187" t="str">
        <f>Data!I37</f>
        <v/>
      </c>
      <c r="N23" s="187" t="str">
        <f>Data!J37</f>
        <v/>
      </c>
      <c r="O23" s="187" t="str">
        <f>Data!K37</f>
        <v/>
      </c>
      <c r="P23" s="187" t="str">
        <f>Data!L37</f>
        <v/>
      </c>
      <c r="Q23" s="187" t="str">
        <f>Data!M37</f>
        <v/>
      </c>
    </row>
    <row r="24" spans="1:17" ht="15.75" customHeight="1" x14ac:dyDescent="0.4">
      <c r="A24" s="10"/>
      <c r="B24" s="69" t="s">
        <v>66</v>
      </c>
      <c r="C24" s="198">
        <f>-C4*C29</f>
        <v>0</v>
      </c>
      <c r="D24" s="27"/>
      <c r="E24" s="308"/>
      <c r="F24" s="27"/>
      <c r="G24" s="187">
        <f>Data!C40</f>
        <v>0</v>
      </c>
      <c r="H24" s="187">
        <f>Data!D40</f>
        <v>0</v>
      </c>
      <c r="I24" s="187" t="str">
        <f>Data!E40</f>
        <v/>
      </c>
      <c r="J24" s="187" t="str">
        <f>Data!F40</f>
        <v/>
      </c>
      <c r="K24" s="187" t="str">
        <f>Data!G40</f>
        <v/>
      </c>
      <c r="L24" s="187" t="str">
        <f>Data!H40</f>
        <v/>
      </c>
      <c r="M24" s="187" t="str">
        <f>Data!I40</f>
        <v/>
      </c>
      <c r="N24" s="187" t="str">
        <f>Data!J40</f>
        <v/>
      </c>
      <c r="O24" s="187" t="str">
        <f>Data!K40</f>
        <v/>
      </c>
      <c r="P24" s="187" t="str">
        <f>Data!L40</f>
        <v/>
      </c>
      <c r="Q24" s="187" t="str">
        <f>Data!M40</f>
        <v/>
      </c>
    </row>
    <row r="25" spans="1:17" ht="15.75" customHeight="1" x14ac:dyDescent="0.35">
      <c r="A25" s="10"/>
      <c r="B25" s="71" t="s">
        <v>49</v>
      </c>
      <c r="C25" s="188">
        <f>C23+C24</f>
        <v>-5066.6797407625618</v>
      </c>
      <c r="D25" s="9"/>
      <c r="E25" s="316"/>
      <c r="F25" s="9"/>
      <c r="G25" s="188">
        <f t="shared" ref="G25:Q25" si="10">IF(G$4="","",G23+G24)</f>
        <v>-5344</v>
      </c>
      <c r="H25" s="188">
        <f t="shared" si="10"/>
        <v>-6492</v>
      </c>
      <c r="I25" s="188" t="str">
        <f t="shared" si="10"/>
        <v/>
      </c>
      <c r="J25" s="188" t="str">
        <f t="shared" si="10"/>
        <v/>
      </c>
      <c r="K25" s="188" t="str">
        <f t="shared" si="10"/>
        <v/>
      </c>
      <c r="L25" s="188" t="str">
        <f t="shared" si="10"/>
        <v/>
      </c>
      <c r="M25" s="188" t="str">
        <f t="shared" si="10"/>
        <v/>
      </c>
      <c r="N25" s="188" t="str">
        <f t="shared" si="10"/>
        <v/>
      </c>
      <c r="O25" s="188" t="str">
        <f t="shared" si="10"/>
        <v/>
      </c>
      <c r="P25" s="188" t="str">
        <f t="shared" si="10"/>
        <v/>
      </c>
      <c r="Q25" s="188" t="str">
        <f t="shared" si="10"/>
        <v/>
      </c>
    </row>
    <row r="26" spans="1:17" ht="15.75" customHeight="1" x14ac:dyDescent="0.35">
      <c r="A26" s="10"/>
      <c r="E26" s="311"/>
    </row>
    <row r="27" spans="1:17" ht="15.75" customHeight="1" x14ac:dyDescent="0.35">
      <c r="A27" s="10"/>
      <c r="B27" s="65" t="s">
        <v>211</v>
      </c>
      <c r="E27" s="311"/>
    </row>
    <row r="28" spans="1:17" ht="15.75" customHeight="1" x14ac:dyDescent="0.35">
      <c r="A28" s="10"/>
      <c r="B28" s="26" t="s">
        <v>46</v>
      </c>
      <c r="C28" s="64">
        <f>AVERAGE(G28:H28)</f>
        <v>0.57805815639048053</v>
      </c>
      <c r="D28" s="26"/>
      <c r="E28" s="309" t="s">
        <v>375</v>
      </c>
      <c r="F28" s="26"/>
      <c r="G28" s="13">
        <f t="shared" ref="G28:Q28" si="11">IF(G$4="","",ABS(G23/G$4))</f>
        <v>0.60969766115231028</v>
      </c>
      <c r="H28" s="13">
        <f t="shared" si="11"/>
        <v>0.54641865162865078</v>
      </c>
      <c r="I28" s="13" t="str">
        <f t="shared" si="11"/>
        <v/>
      </c>
      <c r="J28" s="13" t="str">
        <f t="shared" si="11"/>
        <v/>
      </c>
      <c r="K28" s="13" t="str">
        <f t="shared" si="11"/>
        <v/>
      </c>
      <c r="L28" s="13" t="str">
        <f t="shared" si="11"/>
        <v/>
      </c>
      <c r="M28" s="13" t="str">
        <f t="shared" si="11"/>
        <v/>
      </c>
      <c r="N28" s="13" t="str">
        <f t="shared" si="11"/>
        <v/>
      </c>
      <c r="O28" s="13" t="str">
        <f t="shared" si="11"/>
        <v/>
      </c>
      <c r="P28" s="13" t="str">
        <f t="shared" si="11"/>
        <v/>
      </c>
      <c r="Q28" s="13" t="str">
        <f t="shared" si="11"/>
        <v/>
      </c>
    </row>
    <row r="29" spans="1:17" ht="15.75" customHeight="1" x14ac:dyDescent="0.4">
      <c r="A29" s="10"/>
      <c r="B29" s="69" t="str">
        <f>B24</f>
        <v>Selling Expenses</v>
      </c>
      <c r="C29" s="64">
        <f>AVERAGE(G29:J29)</f>
        <v>0</v>
      </c>
      <c r="D29" s="26"/>
      <c r="E29" s="309" t="s">
        <v>375</v>
      </c>
      <c r="F29" s="26"/>
      <c r="G29" s="13">
        <f t="shared" ref="G29:Q29" si="12">IF(G$4="","",ABS(G24/G$4))</f>
        <v>0</v>
      </c>
      <c r="H29" s="13">
        <f t="shared" si="12"/>
        <v>0</v>
      </c>
      <c r="I29" s="13" t="str">
        <f t="shared" si="12"/>
        <v/>
      </c>
      <c r="J29" s="13" t="str">
        <f t="shared" si="12"/>
        <v/>
      </c>
      <c r="K29" s="13" t="str">
        <f t="shared" si="12"/>
        <v/>
      </c>
      <c r="L29" s="13" t="str">
        <f t="shared" si="12"/>
        <v/>
      </c>
      <c r="M29" s="13" t="str">
        <f t="shared" si="12"/>
        <v/>
      </c>
      <c r="N29" s="13" t="str">
        <f t="shared" si="12"/>
        <v/>
      </c>
      <c r="O29" s="13" t="str">
        <f t="shared" si="12"/>
        <v/>
      </c>
      <c r="P29" s="13" t="str">
        <f t="shared" si="12"/>
        <v/>
      </c>
      <c r="Q29" s="13" t="str">
        <f t="shared" si="12"/>
        <v/>
      </c>
    </row>
    <row r="30" spans="1:17" ht="15.75" customHeight="1" x14ac:dyDescent="0.35">
      <c r="A30" s="10"/>
      <c r="B30" s="71" t="s">
        <v>49</v>
      </c>
      <c r="C30" s="72">
        <f>ABS(C25/$C$4)</f>
        <v>0.57805815639048053</v>
      </c>
      <c r="E30" s="311"/>
      <c r="G30" s="30">
        <f t="shared" ref="G30:Q30" si="13">IF(G$4="","",ABS(G25/G$4))</f>
        <v>0.60969766115231028</v>
      </c>
      <c r="H30" s="30">
        <f t="shared" si="13"/>
        <v>0.54641865162865078</v>
      </c>
      <c r="I30" s="30" t="str">
        <f t="shared" si="13"/>
        <v/>
      </c>
      <c r="J30" s="30" t="str">
        <f t="shared" si="13"/>
        <v/>
      </c>
      <c r="K30" s="30" t="str">
        <f t="shared" si="13"/>
        <v/>
      </c>
      <c r="L30" s="30" t="str">
        <f t="shared" si="13"/>
        <v/>
      </c>
      <c r="M30" s="30" t="str">
        <f t="shared" si="13"/>
        <v/>
      </c>
      <c r="N30" s="30" t="str">
        <f t="shared" si="13"/>
        <v/>
      </c>
      <c r="O30" s="30" t="str">
        <f t="shared" si="13"/>
        <v/>
      </c>
      <c r="P30" s="30" t="str">
        <f t="shared" si="13"/>
        <v/>
      </c>
      <c r="Q30" s="30" t="str">
        <f t="shared" si="13"/>
        <v/>
      </c>
    </row>
    <row r="31" spans="1:17" ht="15.75" customHeight="1" x14ac:dyDescent="0.35">
      <c r="A31" s="10"/>
      <c r="E31" s="311"/>
    </row>
    <row r="32" spans="1:17" ht="15.75" customHeight="1" x14ac:dyDescent="0.35">
      <c r="A32" s="10"/>
      <c r="B32" s="65" t="s">
        <v>48</v>
      </c>
      <c r="E32" s="311"/>
    </row>
    <row r="33" spans="1:17" ht="15.75" customHeight="1" x14ac:dyDescent="0.35">
      <c r="A33" s="10"/>
      <c r="B33" s="8" t="s">
        <v>179</v>
      </c>
      <c r="C33" s="205">
        <f>AVERAGE(G33:H33)</f>
        <v>-1106.5</v>
      </c>
      <c r="E33" s="309" t="s">
        <v>375</v>
      </c>
      <c r="G33" s="198">
        <f>Data!C41</f>
        <v>-1084</v>
      </c>
      <c r="H33" s="198">
        <f>Data!D41</f>
        <v>-1129</v>
      </c>
      <c r="I33" s="198" t="str">
        <f>Data!E41</f>
        <v/>
      </c>
      <c r="J33" s="198" t="str">
        <f>Data!F41</f>
        <v/>
      </c>
      <c r="K33" s="198" t="str">
        <f>Data!G41</f>
        <v/>
      </c>
      <c r="L33" s="198" t="str">
        <f>Data!H41</f>
        <v/>
      </c>
      <c r="M33" s="198" t="str">
        <f>Data!I41</f>
        <v/>
      </c>
      <c r="N33" s="198" t="str">
        <f>Data!J41</f>
        <v/>
      </c>
      <c r="O33" s="198" t="str">
        <f>Data!K41</f>
        <v/>
      </c>
      <c r="P33" s="198" t="str">
        <f>Data!L41</f>
        <v/>
      </c>
      <c r="Q33" s="198" t="str">
        <f>Data!M41</f>
        <v/>
      </c>
    </row>
    <row r="34" spans="1:17" ht="15.75" customHeight="1" x14ac:dyDescent="0.35">
      <c r="A34" s="10"/>
      <c r="B34" s="27" t="s">
        <v>52</v>
      </c>
      <c r="C34" s="205">
        <f>AVERAGE(G34:J34)</f>
        <v>0</v>
      </c>
      <c r="D34" s="59"/>
      <c r="E34" s="309" t="s">
        <v>375</v>
      </c>
      <c r="F34" s="59"/>
      <c r="G34" s="187">
        <f>Data!C42</f>
        <v>0</v>
      </c>
      <c r="H34" s="187">
        <f>Data!D42</f>
        <v>0</v>
      </c>
      <c r="I34" s="187" t="str">
        <f>Data!E42</f>
        <v/>
      </c>
      <c r="J34" s="187" t="str">
        <f>Data!F42</f>
        <v/>
      </c>
      <c r="K34" s="187" t="str">
        <f>Data!G42</f>
        <v/>
      </c>
      <c r="L34" s="187" t="str">
        <f>Data!H42</f>
        <v/>
      </c>
      <c r="M34" s="187" t="str">
        <f>Data!I42</f>
        <v/>
      </c>
      <c r="N34" s="187" t="str">
        <f>Data!J42</f>
        <v/>
      </c>
      <c r="O34" s="187" t="str">
        <f>Data!K42</f>
        <v/>
      </c>
      <c r="P34" s="187" t="str">
        <f>Data!L42</f>
        <v/>
      </c>
      <c r="Q34" s="187" t="str">
        <f>Data!M42</f>
        <v/>
      </c>
    </row>
    <row r="35" spans="1:17" ht="15.75" customHeight="1" x14ac:dyDescent="0.35">
      <c r="A35" s="10"/>
      <c r="B35" s="71" t="s">
        <v>48</v>
      </c>
      <c r="C35" s="188">
        <f>C33+C34</f>
        <v>-1106.5</v>
      </c>
      <c r="D35" s="59"/>
      <c r="E35" s="310"/>
      <c r="F35" s="59"/>
      <c r="G35" s="188">
        <f t="shared" ref="G35:Q35" si="14">IF(G4="","",G33+G34)</f>
        <v>-1084</v>
      </c>
      <c r="H35" s="188">
        <f t="shared" si="14"/>
        <v>-1129</v>
      </c>
      <c r="I35" s="188" t="str">
        <f t="shared" si="14"/>
        <v/>
      </c>
      <c r="J35" s="188" t="str">
        <f t="shared" si="14"/>
        <v/>
      </c>
      <c r="K35" s="188" t="str">
        <f t="shared" si="14"/>
        <v/>
      </c>
      <c r="L35" s="188" t="str">
        <f t="shared" si="14"/>
        <v/>
      </c>
      <c r="M35" s="188" t="str">
        <f t="shared" si="14"/>
        <v/>
      </c>
      <c r="N35" s="188" t="str">
        <f t="shared" si="14"/>
        <v/>
      </c>
      <c r="O35" s="188" t="str">
        <f t="shared" si="14"/>
        <v/>
      </c>
      <c r="P35" s="188" t="str">
        <f t="shared" si="14"/>
        <v/>
      </c>
      <c r="Q35" s="188" t="str">
        <f t="shared" si="14"/>
        <v/>
      </c>
    </row>
    <row r="36" spans="1:17" ht="15.75" customHeight="1" x14ac:dyDescent="0.35">
      <c r="A36" s="10"/>
      <c r="E36" s="311"/>
    </row>
    <row r="37" spans="1:17" ht="15.75" customHeight="1" x14ac:dyDescent="0.35">
      <c r="A37" s="10"/>
      <c r="B37" s="65" t="s">
        <v>212</v>
      </c>
      <c r="E37" s="311"/>
    </row>
    <row r="38" spans="1:17" ht="15.75" customHeight="1" x14ac:dyDescent="0.35">
      <c r="A38" s="10"/>
      <c r="B38" s="2" t="str">
        <f>B33</f>
        <v>G&amp;A and other Opex</v>
      </c>
      <c r="C38" s="23">
        <f>ABS(C33/$C$4)</f>
        <v>0.1262407301768397</v>
      </c>
      <c r="D38" s="27"/>
      <c r="E38" s="308"/>
      <c r="F38" s="27"/>
      <c r="G38" s="13">
        <f t="shared" ref="G38:Q38" si="15">IF(G$4="","",ABS(G33/G$4))</f>
        <v>0.12367370222475756</v>
      </c>
      <c r="H38" s="13">
        <f t="shared" si="15"/>
        <v>9.5025671239794635E-2</v>
      </c>
      <c r="I38" s="13" t="str">
        <f t="shared" si="15"/>
        <v/>
      </c>
      <c r="J38" s="13" t="str">
        <f t="shared" si="15"/>
        <v/>
      </c>
      <c r="K38" s="13" t="str">
        <f t="shared" si="15"/>
        <v/>
      </c>
      <c r="L38" s="13" t="str">
        <f t="shared" si="15"/>
        <v/>
      </c>
      <c r="M38" s="13" t="str">
        <f t="shared" si="15"/>
        <v/>
      </c>
      <c r="N38" s="13" t="str">
        <f t="shared" si="15"/>
        <v/>
      </c>
      <c r="O38" s="13" t="str">
        <f t="shared" si="15"/>
        <v/>
      </c>
      <c r="P38" s="13" t="str">
        <f t="shared" si="15"/>
        <v/>
      </c>
      <c r="Q38" s="13" t="str">
        <f t="shared" si="15"/>
        <v/>
      </c>
    </row>
    <row r="39" spans="1:17" ht="15.75" customHeight="1" x14ac:dyDescent="0.35">
      <c r="A39" s="10"/>
      <c r="B39" s="27" t="str">
        <f>B34</f>
        <v>R&amp;D</v>
      </c>
      <c r="C39" s="23">
        <f>ABS(C34/$C$4)</f>
        <v>0</v>
      </c>
      <c r="D39" s="27"/>
      <c r="E39" s="308"/>
      <c r="F39" s="27"/>
      <c r="G39" s="13">
        <f t="shared" ref="G39:Q39" si="16">IF(G$4="","",ABS(G34/G$4))</f>
        <v>0</v>
      </c>
      <c r="H39" s="13">
        <f t="shared" si="16"/>
        <v>0</v>
      </c>
      <c r="I39" s="13" t="str">
        <f t="shared" si="16"/>
        <v/>
      </c>
      <c r="J39" s="13" t="str">
        <f t="shared" si="16"/>
        <v/>
      </c>
      <c r="K39" s="13" t="str">
        <f t="shared" si="16"/>
        <v/>
      </c>
      <c r="L39" s="13" t="str">
        <f t="shared" si="16"/>
        <v/>
      </c>
      <c r="M39" s="13" t="str">
        <f t="shared" si="16"/>
        <v/>
      </c>
      <c r="N39" s="13" t="str">
        <f t="shared" si="16"/>
        <v/>
      </c>
      <c r="O39" s="13" t="str">
        <f t="shared" si="16"/>
        <v/>
      </c>
      <c r="P39" s="13" t="str">
        <f t="shared" si="16"/>
        <v/>
      </c>
      <c r="Q39" s="13" t="str">
        <f t="shared" si="16"/>
        <v/>
      </c>
    </row>
    <row r="40" spans="1:17" ht="15.75" customHeight="1" x14ac:dyDescent="0.35">
      <c r="A40" s="10"/>
      <c r="B40" s="71" t="s">
        <v>48</v>
      </c>
      <c r="C40" s="72">
        <f>ABS(C35/$C$4)</f>
        <v>0.1262407301768397</v>
      </c>
      <c r="E40" s="311"/>
      <c r="G40" s="30">
        <f t="shared" ref="G40:Q40" si="17">IF(G$4="","",ABS(G35/G$4))</f>
        <v>0.12367370222475756</v>
      </c>
      <c r="H40" s="30">
        <f t="shared" si="17"/>
        <v>9.5025671239794635E-2</v>
      </c>
      <c r="I40" s="30" t="str">
        <f t="shared" si="17"/>
        <v/>
      </c>
      <c r="J40" s="30" t="str">
        <f t="shared" si="17"/>
        <v/>
      </c>
      <c r="K40" s="30" t="str">
        <f t="shared" si="17"/>
        <v/>
      </c>
      <c r="L40" s="30" t="str">
        <f t="shared" si="17"/>
        <v/>
      </c>
      <c r="M40" s="30" t="str">
        <f t="shared" si="17"/>
        <v/>
      </c>
      <c r="N40" s="30" t="str">
        <f t="shared" si="17"/>
        <v/>
      </c>
      <c r="O40" s="30" t="str">
        <f t="shared" si="17"/>
        <v/>
      </c>
      <c r="P40" s="30" t="str">
        <f t="shared" si="17"/>
        <v/>
      </c>
      <c r="Q40" s="30" t="str">
        <f t="shared" si="17"/>
        <v/>
      </c>
    </row>
    <row r="41" spans="1:17" ht="15.75" customHeight="1" x14ac:dyDescent="0.35">
      <c r="A41" s="10"/>
      <c r="E41" s="311"/>
    </row>
    <row r="42" spans="1:17" ht="15.75" customHeight="1" x14ac:dyDescent="0.35">
      <c r="A42" s="10"/>
      <c r="B42" s="65" t="s">
        <v>213</v>
      </c>
      <c r="E42" s="311"/>
    </row>
    <row r="43" spans="1:17" ht="15.75" customHeight="1" x14ac:dyDescent="0.35">
      <c r="A43" s="10"/>
      <c r="B43" s="27" t="s">
        <v>176</v>
      </c>
      <c r="C43" s="305">
        <v>0.24</v>
      </c>
      <c r="D43" s="27"/>
      <c r="E43" s="308" t="s">
        <v>376</v>
      </c>
      <c r="F43" s="27"/>
      <c r="G43" s="6">
        <f t="shared" ref="G43:Q43" si="18">IF(G$4="","",-G14/SUM(G8+G11,G12))</f>
        <v>0.16038474464748129</v>
      </c>
      <c r="H43" s="6">
        <f t="shared" si="18"/>
        <v>0.16161958688679046</v>
      </c>
      <c r="I43" s="6" t="str">
        <f t="shared" si="18"/>
        <v/>
      </c>
      <c r="J43" s="6" t="str">
        <f t="shared" si="18"/>
        <v/>
      </c>
      <c r="K43" s="6" t="str">
        <f t="shared" si="18"/>
        <v/>
      </c>
      <c r="L43" s="6" t="str">
        <f t="shared" si="18"/>
        <v/>
      </c>
      <c r="M43" s="6" t="str">
        <f t="shared" si="18"/>
        <v/>
      </c>
      <c r="N43" s="6" t="str">
        <f t="shared" si="18"/>
        <v/>
      </c>
      <c r="O43" s="6" t="str">
        <f t="shared" si="18"/>
        <v/>
      </c>
      <c r="P43" s="6" t="str">
        <f t="shared" si="18"/>
        <v/>
      </c>
      <c r="Q43" s="6" t="str">
        <f t="shared" si="18"/>
        <v/>
      </c>
    </row>
    <row r="44" spans="1:17" ht="15.75" customHeight="1" x14ac:dyDescent="0.35">
      <c r="A44" s="10"/>
    </row>
    <row r="45" spans="1:17" ht="15.75" customHeight="1" x14ac:dyDescent="0.5">
      <c r="A45" s="10"/>
      <c r="B45" s="54" t="s">
        <v>214</v>
      </c>
      <c r="C45" s="54"/>
      <c r="D45" s="56"/>
      <c r="E45" s="67" t="s">
        <v>63</v>
      </c>
      <c r="F45" s="56"/>
      <c r="G45" s="37"/>
      <c r="H45" s="37"/>
      <c r="I45" s="37"/>
      <c r="J45" s="37"/>
      <c r="K45" s="37"/>
      <c r="L45" s="37"/>
      <c r="M45" s="37"/>
      <c r="N45" s="37"/>
      <c r="O45" s="37"/>
      <c r="P45" s="37"/>
      <c r="Q45" s="37"/>
    </row>
    <row r="46" spans="1:17" ht="15.75" customHeight="1" x14ac:dyDescent="0.35">
      <c r="A46" s="10"/>
      <c r="B46" s="65" t="s">
        <v>64</v>
      </c>
      <c r="E46" s="311"/>
    </row>
    <row r="47" spans="1:17" ht="15.75" customHeight="1" x14ac:dyDescent="0.35">
      <c r="A47" s="10"/>
      <c r="B47" s="2" t="s">
        <v>40</v>
      </c>
      <c r="C47" s="198">
        <f>-BS!G31*Normalized_FCF!C54</f>
        <v>-43</v>
      </c>
      <c r="E47" s="311"/>
      <c r="G47" s="198">
        <f>Data!C51</f>
        <v>-43</v>
      </c>
      <c r="H47" s="198">
        <f>Data!D51</f>
        <v>-40.775368</v>
      </c>
      <c r="I47" s="198" t="str">
        <f>Data!E51</f>
        <v/>
      </c>
      <c r="J47" s="198" t="str">
        <f>Data!F51</f>
        <v/>
      </c>
      <c r="K47" s="198" t="str">
        <f>Data!G51</f>
        <v/>
      </c>
      <c r="L47" s="198" t="str">
        <f>Data!H51</f>
        <v/>
      </c>
      <c r="M47" s="198" t="str">
        <f>Data!I51</f>
        <v/>
      </c>
      <c r="N47" s="198" t="str">
        <f>Data!J51</f>
        <v/>
      </c>
      <c r="O47" s="198" t="str">
        <f>Data!K51</f>
        <v/>
      </c>
      <c r="P47" s="198" t="str">
        <f>Data!L51</f>
        <v/>
      </c>
      <c r="Q47" s="198" t="str">
        <f>Data!M51</f>
        <v/>
      </c>
    </row>
    <row r="48" spans="1:17" ht="15.75" customHeight="1" x14ac:dyDescent="0.35">
      <c r="A48" s="10"/>
      <c r="B48" s="2" t="s">
        <v>390</v>
      </c>
      <c r="C48" s="198">
        <f>BS!D75*C53</f>
        <v>185.19539222287685</v>
      </c>
      <c r="E48" s="311"/>
      <c r="G48" s="338">
        <f>IF(G$4="","",($C$48/$C$49)*G49)</f>
        <v>302.96861497481899</v>
      </c>
      <c r="H48" s="338">
        <f t="shared" ref="H48:Q48" si="19">IF(H$4="","",($C$48/$C$49)*H49)</f>
        <v>180.07798132735766</v>
      </c>
      <c r="I48" s="338" t="str">
        <f t="shared" si="19"/>
        <v/>
      </c>
      <c r="J48" s="338" t="str">
        <f t="shared" si="19"/>
        <v/>
      </c>
      <c r="K48" s="338" t="str">
        <f t="shared" si="19"/>
        <v/>
      </c>
      <c r="L48" s="338" t="str">
        <f t="shared" si="19"/>
        <v/>
      </c>
      <c r="M48" s="338" t="str">
        <f t="shared" si="19"/>
        <v/>
      </c>
      <c r="N48" s="338" t="str">
        <f t="shared" si="19"/>
        <v/>
      </c>
      <c r="O48" s="338" t="str">
        <f t="shared" si="19"/>
        <v/>
      </c>
      <c r="P48" s="338" t="str">
        <f t="shared" si="19"/>
        <v/>
      </c>
      <c r="Q48" s="338" t="str">
        <f t="shared" si="19"/>
        <v/>
      </c>
    </row>
    <row r="49" spans="1:17" ht="15.75" customHeight="1" x14ac:dyDescent="0.35">
      <c r="A49" s="10"/>
      <c r="B49" s="333" t="s">
        <v>385</v>
      </c>
      <c r="C49" s="334">
        <f>BS!$C$66*C53</f>
        <v>1430.37</v>
      </c>
      <c r="D49" s="335"/>
      <c r="E49" s="336"/>
      <c r="F49" s="335"/>
      <c r="G49" s="334">
        <f>Data!C52</f>
        <v>2340</v>
      </c>
      <c r="H49" s="334">
        <f>Data!D52</f>
        <v>1390.845307</v>
      </c>
      <c r="I49" s="334" t="str">
        <f>Data!E52</f>
        <v/>
      </c>
      <c r="J49" s="334" t="str">
        <f>Data!F52</f>
        <v/>
      </c>
      <c r="K49" s="334" t="str">
        <f>Data!G52</f>
        <v/>
      </c>
      <c r="L49" s="334" t="str">
        <f>Data!H52</f>
        <v/>
      </c>
      <c r="M49" s="334" t="str">
        <f>Data!I52</f>
        <v/>
      </c>
      <c r="N49" s="334" t="str">
        <f>Data!J52</f>
        <v/>
      </c>
      <c r="O49" s="334" t="str">
        <f>Data!K52</f>
        <v/>
      </c>
      <c r="P49" s="334" t="str">
        <f>Data!L52</f>
        <v/>
      </c>
      <c r="Q49" s="334" t="str">
        <f>Data!M52</f>
        <v/>
      </c>
    </row>
    <row r="50" spans="1:17" ht="15.75" customHeight="1" x14ac:dyDescent="0.35">
      <c r="A50" s="10"/>
      <c r="B50" s="71" t="s">
        <v>72</v>
      </c>
      <c r="C50" s="188">
        <f>C47+C48</f>
        <v>142.19539222287685</v>
      </c>
      <c r="E50" s="311"/>
      <c r="G50" s="188">
        <f>IF(G$4="","",(G47+G48))</f>
        <v>259.96861497481899</v>
      </c>
      <c r="H50" s="188">
        <f t="shared" ref="H50:Q50" si="20">IF(H$4="","",(H47+H48))</f>
        <v>139.30261332735768</v>
      </c>
      <c r="I50" s="188" t="str">
        <f t="shared" si="20"/>
        <v/>
      </c>
      <c r="J50" s="188" t="str">
        <f t="shared" si="20"/>
        <v/>
      </c>
      <c r="K50" s="188" t="str">
        <f t="shared" si="20"/>
        <v/>
      </c>
      <c r="L50" s="188" t="str">
        <f t="shared" si="20"/>
        <v/>
      </c>
      <c r="M50" s="188" t="str">
        <f t="shared" si="20"/>
        <v/>
      </c>
      <c r="N50" s="188" t="str">
        <f t="shared" si="20"/>
        <v/>
      </c>
      <c r="O50" s="188" t="str">
        <f t="shared" si="20"/>
        <v/>
      </c>
      <c r="P50" s="188" t="str">
        <f t="shared" si="20"/>
        <v/>
      </c>
      <c r="Q50" s="188" t="str">
        <f t="shared" si="20"/>
        <v/>
      </c>
    </row>
    <row r="51" spans="1:17" ht="15.75" customHeight="1" x14ac:dyDescent="0.35">
      <c r="A51" s="10"/>
      <c r="E51" s="311"/>
    </row>
    <row r="52" spans="1:17" ht="15.75" customHeight="1" x14ac:dyDescent="0.35">
      <c r="A52" s="10"/>
      <c r="B52" s="73" t="s">
        <v>160</v>
      </c>
      <c r="E52" s="311"/>
      <c r="G52" s="100" t="s">
        <v>224</v>
      </c>
    </row>
    <row r="53" spans="1:17" ht="15.75" customHeight="1" x14ac:dyDescent="0.35">
      <c r="A53" s="10"/>
      <c r="B53" s="8" t="s">
        <v>93</v>
      </c>
      <c r="C53" s="89">
        <v>0.03</v>
      </c>
      <c r="E53" s="308" t="s">
        <v>377</v>
      </c>
      <c r="G53" s="6">
        <f>IF(Normalized_FCF!G4="","",Normalized_FCF!G49/BS!$C$66)</f>
        <v>4.907821053293903E-2</v>
      </c>
      <c r="H53" s="174"/>
      <c r="I53" s="174"/>
      <c r="J53" s="174"/>
      <c r="K53" s="174"/>
      <c r="L53" s="174"/>
      <c r="M53" s="174"/>
      <c r="N53" s="174"/>
      <c r="O53" s="174"/>
      <c r="P53" s="174"/>
      <c r="Q53" s="174"/>
    </row>
    <row r="54" spans="1:17" ht="15.75" customHeight="1" x14ac:dyDescent="0.35">
      <c r="A54" s="10"/>
      <c r="B54" s="8" t="s">
        <v>92</v>
      </c>
      <c r="C54" s="84">
        <f>G54</f>
        <v>1.3902360168121564E-2</v>
      </c>
      <c r="E54" s="308" t="s">
        <v>378</v>
      </c>
      <c r="G54" s="23">
        <f>IFERROR(ABS(Normalized_FCF!G47/BS!$G$31),0)</f>
        <v>1.3902360168121564E-2</v>
      </c>
      <c r="H54" s="174"/>
      <c r="I54" s="174"/>
      <c r="J54" s="174"/>
      <c r="K54" s="174"/>
      <c r="L54" s="174"/>
      <c r="M54" s="174"/>
      <c r="N54" s="174"/>
      <c r="O54" s="174"/>
      <c r="P54" s="174"/>
      <c r="Q54" s="174"/>
    </row>
    <row r="55" spans="1:17" ht="15.75" customHeight="1" x14ac:dyDescent="0.35">
      <c r="A55" s="10"/>
      <c r="B55" s="26" t="s">
        <v>95</v>
      </c>
      <c r="C55" s="42">
        <f>-C8/C47</f>
        <v>60.274889749707867</v>
      </c>
      <c r="E55" s="311"/>
      <c r="G55" s="42">
        <f t="shared" ref="G55:Q55" si="21">IF(G4="","",-G8/G47)</f>
        <v>54.348837209302324</v>
      </c>
      <c r="H55" s="42">
        <f t="shared" si="21"/>
        <v>104.47483882916765</v>
      </c>
      <c r="I55" s="42" t="str">
        <f t="shared" si="21"/>
        <v/>
      </c>
      <c r="J55" s="42" t="str">
        <f t="shared" si="21"/>
        <v/>
      </c>
      <c r="K55" s="42" t="str">
        <f t="shared" si="21"/>
        <v/>
      </c>
      <c r="L55" s="42" t="str">
        <f t="shared" si="21"/>
        <v/>
      </c>
      <c r="M55" s="42" t="str">
        <f t="shared" si="21"/>
        <v/>
      </c>
      <c r="N55" s="42" t="str">
        <f t="shared" si="21"/>
        <v/>
      </c>
      <c r="O55" s="42" t="str">
        <f t="shared" si="21"/>
        <v/>
      </c>
      <c r="P55" s="42" t="str">
        <f t="shared" si="21"/>
        <v/>
      </c>
      <c r="Q55" s="42" t="str">
        <f t="shared" si="21"/>
        <v/>
      </c>
    </row>
    <row r="56" spans="1:17" ht="15.75" customHeight="1" x14ac:dyDescent="0.35">
      <c r="A56" s="10"/>
      <c r="E56" s="311"/>
    </row>
    <row r="57" spans="1:17" ht="15.75" customHeight="1" x14ac:dyDescent="0.35">
      <c r="A57" s="10"/>
      <c r="B57" s="65" t="s">
        <v>173</v>
      </c>
      <c r="E57" s="311"/>
      <c r="G57" s="100" t="s">
        <v>224</v>
      </c>
    </row>
    <row r="58" spans="1:17" ht="15.75" customHeight="1" x14ac:dyDescent="0.35">
      <c r="A58" s="10"/>
      <c r="B58" s="40" t="s">
        <v>172</v>
      </c>
      <c r="C58" s="198">
        <f>BS!$C79*C66</f>
        <v>0</v>
      </c>
      <c r="E58" s="311"/>
      <c r="G58" s="198">
        <f>Data!C56</f>
        <v>0</v>
      </c>
      <c r="H58" s="198">
        <f>Data!D56</f>
        <v>0</v>
      </c>
      <c r="I58" s="198" t="str">
        <f>Data!E56</f>
        <v/>
      </c>
      <c r="J58" s="198" t="str">
        <f>Data!F56</f>
        <v/>
      </c>
      <c r="K58" s="198" t="str">
        <f>Data!G56</f>
        <v/>
      </c>
      <c r="L58" s="198" t="str">
        <f>Data!H56</f>
        <v/>
      </c>
      <c r="M58" s="198" t="str">
        <f>Data!I56</f>
        <v/>
      </c>
      <c r="N58" s="198" t="str">
        <f>Data!J56</f>
        <v/>
      </c>
      <c r="O58" s="198" t="str">
        <f>Data!K56</f>
        <v/>
      </c>
      <c r="P58" s="198" t="str">
        <f>Data!L56</f>
        <v/>
      </c>
      <c r="Q58" s="198" t="str">
        <f>Data!M56</f>
        <v/>
      </c>
    </row>
    <row r="59" spans="1:17" ht="15.75" customHeight="1" x14ac:dyDescent="0.35">
      <c r="A59" s="10"/>
      <c r="B59" s="40" t="s">
        <v>164</v>
      </c>
      <c r="C59" s="198">
        <f>BS!$C68*C67</f>
        <v>639</v>
      </c>
      <c r="E59" s="311"/>
      <c r="G59" s="198">
        <f>Data!C55</f>
        <v>639</v>
      </c>
      <c r="H59" s="198">
        <f>Data!D55</f>
        <v>927</v>
      </c>
      <c r="I59" s="198" t="str">
        <f>Data!E55</f>
        <v/>
      </c>
      <c r="J59" s="198" t="str">
        <f>Data!F55</f>
        <v/>
      </c>
      <c r="K59" s="198" t="str">
        <f>Data!G55</f>
        <v/>
      </c>
      <c r="L59" s="198" t="str">
        <f>Data!H55</f>
        <v/>
      </c>
      <c r="M59" s="198" t="str">
        <f>Data!I55</f>
        <v/>
      </c>
      <c r="N59" s="198" t="str">
        <f>Data!J55</f>
        <v/>
      </c>
      <c r="O59" s="198" t="str">
        <f>Data!K55</f>
        <v/>
      </c>
      <c r="P59" s="198" t="str">
        <f>Data!L55</f>
        <v/>
      </c>
      <c r="Q59" s="198" t="str">
        <f>Data!M55</f>
        <v/>
      </c>
    </row>
    <row r="60" spans="1:17" ht="15.75" customHeight="1" x14ac:dyDescent="0.35">
      <c r="A60" s="10"/>
      <c r="B60" s="40" t="s">
        <v>163</v>
      </c>
      <c r="C60" s="198">
        <f>BS!$C81*C68</f>
        <v>0</v>
      </c>
      <c r="E60" s="311"/>
      <c r="G60" s="198">
        <f>Data!C57</f>
        <v>0</v>
      </c>
      <c r="H60" s="198">
        <f>Data!D57</f>
        <v>0</v>
      </c>
      <c r="I60" s="198" t="str">
        <f>Data!E57</f>
        <v/>
      </c>
      <c r="J60" s="198" t="str">
        <f>Data!F57</f>
        <v/>
      </c>
      <c r="K60" s="198" t="str">
        <f>Data!G57</f>
        <v/>
      </c>
      <c r="L60" s="198" t="str">
        <f>Data!H57</f>
        <v/>
      </c>
      <c r="M60" s="198" t="str">
        <f>Data!I57</f>
        <v/>
      </c>
      <c r="N60" s="198" t="str">
        <f>Data!J57</f>
        <v/>
      </c>
      <c r="O60" s="198" t="str">
        <f>Data!K57</f>
        <v/>
      </c>
      <c r="P60" s="198" t="str">
        <f>Data!L57</f>
        <v/>
      </c>
      <c r="Q60" s="198" t="str">
        <f>Data!M57</f>
        <v/>
      </c>
    </row>
    <row r="61" spans="1:17" ht="15.75" customHeight="1" x14ac:dyDescent="0.35">
      <c r="A61" s="10"/>
      <c r="B61" s="31" t="s">
        <v>199</v>
      </c>
      <c r="C61" s="188">
        <f>SUM(C58:C60)</f>
        <v>639</v>
      </c>
      <c r="E61" s="311"/>
      <c r="G61" s="188">
        <f t="shared" ref="G61:Q61" si="22">IF(G4="","",SUM(G58:G60))</f>
        <v>639</v>
      </c>
      <c r="H61" s="188">
        <f t="shared" si="22"/>
        <v>927</v>
      </c>
      <c r="I61" s="188" t="str">
        <f t="shared" si="22"/>
        <v/>
      </c>
      <c r="J61" s="188" t="str">
        <f t="shared" si="22"/>
        <v/>
      </c>
      <c r="K61" s="188" t="str">
        <f t="shared" si="22"/>
        <v/>
      </c>
      <c r="L61" s="188" t="str">
        <f t="shared" si="22"/>
        <v/>
      </c>
      <c r="M61" s="188" t="str">
        <f t="shared" si="22"/>
        <v/>
      </c>
      <c r="N61" s="188" t="str">
        <f t="shared" si="22"/>
        <v/>
      </c>
      <c r="O61" s="188" t="str">
        <f t="shared" si="22"/>
        <v/>
      </c>
      <c r="P61" s="188" t="str">
        <f t="shared" si="22"/>
        <v/>
      </c>
      <c r="Q61" s="188" t="str">
        <f t="shared" si="22"/>
        <v/>
      </c>
    </row>
    <row r="62" spans="1:17" ht="15.75" customHeight="1" x14ac:dyDescent="0.35">
      <c r="A62" s="10"/>
      <c r="B62" s="40" t="s">
        <v>165</v>
      </c>
      <c r="C62" s="306">
        <v>0</v>
      </c>
      <c r="E62" s="309" t="s">
        <v>379</v>
      </c>
      <c r="G62" s="198">
        <f>Data!C58</f>
        <v>-503</v>
      </c>
      <c r="H62" s="198">
        <f>Data!D58</f>
        <v>203.76488900000004</v>
      </c>
      <c r="I62" s="198" t="str">
        <f>Data!E58</f>
        <v/>
      </c>
      <c r="J62" s="198" t="str">
        <f>Data!F58</f>
        <v/>
      </c>
      <c r="K62" s="198" t="str">
        <f>Data!G58</f>
        <v/>
      </c>
      <c r="L62" s="198" t="str">
        <f>Data!H58</f>
        <v/>
      </c>
      <c r="M62" s="198" t="str">
        <f>Data!I58</f>
        <v/>
      </c>
      <c r="N62" s="198" t="str">
        <f>Data!J58</f>
        <v/>
      </c>
      <c r="O62" s="198" t="str">
        <f>Data!K58</f>
        <v/>
      </c>
      <c r="P62" s="198" t="str">
        <f>Data!L58</f>
        <v/>
      </c>
      <c r="Q62" s="198" t="str">
        <f>Data!M58</f>
        <v/>
      </c>
    </row>
    <row r="63" spans="1:17" ht="15.75" customHeight="1" x14ac:dyDescent="0.35">
      <c r="A63" s="10"/>
      <c r="B63" s="31" t="s">
        <v>200</v>
      </c>
      <c r="C63" s="188">
        <f>C61+C62</f>
        <v>639</v>
      </c>
      <c r="E63" s="311"/>
      <c r="G63" s="188">
        <f t="shared" ref="G63:Q63" si="23">IF(G4="","",G61+G62)</f>
        <v>136</v>
      </c>
      <c r="H63" s="188">
        <f t="shared" si="23"/>
        <v>1130.764889</v>
      </c>
      <c r="I63" s="188" t="str">
        <f t="shared" si="23"/>
        <v/>
      </c>
      <c r="J63" s="188" t="str">
        <f t="shared" si="23"/>
        <v/>
      </c>
      <c r="K63" s="188" t="str">
        <f t="shared" si="23"/>
        <v/>
      </c>
      <c r="L63" s="188" t="str">
        <f t="shared" si="23"/>
        <v/>
      </c>
      <c r="M63" s="188" t="str">
        <f t="shared" si="23"/>
        <v/>
      </c>
      <c r="N63" s="188" t="str">
        <f t="shared" si="23"/>
        <v/>
      </c>
      <c r="O63" s="188" t="str">
        <f t="shared" si="23"/>
        <v/>
      </c>
      <c r="P63" s="188" t="str">
        <f t="shared" si="23"/>
        <v/>
      </c>
      <c r="Q63" s="188" t="str">
        <f t="shared" si="23"/>
        <v/>
      </c>
    </row>
    <row r="64" spans="1:17" ht="15.75" customHeight="1" x14ac:dyDescent="0.35">
      <c r="A64" s="10"/>
      <c r="E64" s="311"/>
    </row>
    <row r="65" spans="1:17" ht="15.75" customHeight="1" x14ac:dyDescent="0.35">
      <c r="A65" s="10"/>
      <c r="B65" s="99" t="s">
        <v>174</v>
      </c>
      <c r="E65" s="311"/>
      <c r="G65" s="100" t="s">
        <v>224</v>
      </c>
    </row>
    <row r="66" spans="1:17" ht="15.75" customHeight="1" x14ac:dyDescent="0.35">
      <c r="A66" s="10"/>
      <c r="B66" s="40" t="s">
        <v>172</v>
      </c>
      <c r="C66" s="181">
        <f>G66</f>
        <v>0</v>
      </c>
      <c r="E66" s="311"/>
      <c r="G66" s="23">
        <f>IFERROR(G58/BS!$C$67,0)</f>
        <v>0</v>
      </c>
      <c r="H66" s="180"/>
      <c r="I66" s="180"/>
      <c r="J66" s="180"/>
      <c r="K66" s="180"/>
      <c r="L66" s="180"/>
      <c r="M66" s="180"/>
      <c r="N66" s="180"/>
      <c r="O66" s="180"/>
      <c r="P66" s="180"/>
      <c r="Q66" s="180"/>
    </row>
    <row r="67" spans="1:17" ht="15.75" customHeight="1" x14ac:dyDescent="0.35">
      <c r="A67" s="10"/>
      <c r="B67" s="108" t="s">
        <v>162</v>
      </c>
      <c r="C67" s="181">
        <f>G67</f>
        <v>2.6966576637407157E-2</v>
      </c>
      <c r="E67" s="311"/>
      <c r="G67" s="23">
        <f>IFERROR(G59/BS!$C$68,0)</f>
        <v>2.6966576637407157E-2</v>
      </c>
      <c r="H67" s="180"/>
      <c r="I67" s="180"/>
      <c r="J67" s="180"/>
      <c r="K67" s="180"/>
      <c r="L67" s="180"/>
      <c r="M67" s="180"/>
      <c r="N67" s="180"/>
      <c r="O67" s="180"/>
      <c r="P67" s="180"/>
      <c r="Q67" s="180"/>
    </row>
    <row r="68" spans="1:17" ht="15.75" customHeight="1" x14ac:dyDescent="0.35">
      <c r="A68" s="10"/>
      <c r="B68" s="108" t="s">
        <v>163</v>
      </c>
      <c r="C68" s="181">
        <f>G68</f>
        <v>0</v>
      </c>
      <c r="E68" s="311"/>
      <c r="G68" s="23">
        <f>IFERROR(G60/BS!$C$81,0)</f>
        <v>0</v>
      </c>
      <c r="H68" s="180"/>
      <c r="I68" s="180"/>
      <c r="J68" s="180"/>
      <c r="K68" s="180"/>
      <c r="L68" s="180"/>
      <c r="M68" s="180"/>
      <c r="N68" s="180"/>
      <c r="O68" s="180"/>
      <c r="P68" s="180"/>
      <c r="Q68" s="180"/>
    </row>
    <row r="69" spans="1:17" ht="15.75" customHeight="1" x14ac:dyDescent="0.35">
      <c r="A69" s="10"/>
      <c r="B69" s="31" t="s">
        <v>199</v>
      </c>
      <c r="C69" s="72">
        <f>C61/BS!C70</f>
        <v>8.7649511686601553E-3</v>
      </c>
      <c r="D69" s="9"/>
      <c r="E69" s="316"/>
      <c r="F69" s="9"/>
      <c r="G69" s="72">
        <f>G61/BS!C70</f>
        <v>8.7649511686601553E-3</v>
      </c>
      <c r="H69" s="180"/>
      <c r="I69" s="180"/>
      <c r="J69" s="180"/>
      <c r="K69" s="180"/>
      <c r="L69" s="180"/>
      <c r="M69" s="180"/>
      <c r="N69" s="180"/>
      <c r="O69" s="180"/>
      <c r="P69" s="180"/>
      <c r="Q69" s="180"/>
    </row>
    <row r="70" spans="1:17" ht="15.75" customHeight="1" x14ac:dyDescent="0.35">
      <c r="A70" s="10"/>
    </row>
    <row r="71" spans="1:17" ht="15.75" customHeight="1" x14ac:dyDescent="0.5">
      <c r="A71" s="10"/>
      <c r="B71" s="54" t="s">
        <v>217</v>
      </c>
      <c r="C71" s="54"/>
      <c r="D71" s="56"/>
      <c r="E71" s="67" t="s">
        <v>63</v>
      </c>
      <c r="F71" s="56"/>
      <c r="G71" s="37"/>
      <c r="H71" s="37"/>
      <c r="I71" s="37"/>
      <c r="J71" s="37"/>
      <c r="K71" s="37"/>
      <c r="L71" s="37"/>
      <c r="M71" s="37"/>
      <c r="N71" s="37"/>
      <c r="O71" s="37"/>
      <c r="P71" s="37"/>
      <c r="Q71" s="37"/>
    </row>
    <row r="72" spans="1:17" ht="15.75" customHeight="1" x14ac:dyDescent="0.35">
      <c r="A72" s="10"/>
      <c r="B72" s="73" t="s">
        <v>221</v>
      </c>
      <c r="C72" s="63"/>
      <c r="D72" s="27"/>
      <c r="E72" s="308"/>
      <c r="F72" s="27"/>
      <c r="G72" s="100"/>
      <c r="H72" s="12"/>
      <c r="I72" s="12"/>
      <c r="J72" s="12"/>
      <c r="K72" s="12"/>
      <c r="L72" s="12"/>
      <c r="M72" s="12"/>
      <c r="N72" s="12"/>
      <c r="O72" s="12"/>
      <c r="P72" s="12"/>
      <c r="Q72" s="12"/>
    </row>
    <row r="73" spans="1:17" ht="15.75" customHeight="1" x14ac:dyDescent="0.35">
      <c r="A73" s="10"/>
      <c r="B73" s="2" t="s">
        <v>49</v>
      </c>
      <c r="C73" s="79">
        <f>ABS(C5/C$4)</f>
        <v>0.57805815639048053</v>
      </c>
      <c r="D73" s="27"/>
      <c r="E73" s="308"/>
      <c r="F73" s="27"/>
      <c r="G73" s="6">
        <f t="shared" ref="G73:Q73" si="24">IF(G$4="","",ABS(G5/G$4))</f>
        <v>0.60969766115231028</v>
      </c>
      <c r="H73" s="6">
        <f t="shared" si="24"/>
        <v>0.54641865162865078</v>
      </c>
      <c r="I73" s="6" t="str">
        <f t="shared" si="24"/>
        <v/>
      </c>
      <c r="J73" s="6" t="str">
        <f t="shared" si="24"/>
        <v/>
      </c>
      <c r="K73" s="6" t="str">
        <f t="shared" si="24"/>
        <v/>
      </c>
      <c r="L73" s="6" t="str">
        <f t="shared" si="24"/>
        <v/>
      </c>
      <c r="M73" s="6" t="str">
        <f t="shared" si="24"/>
        <v/>
      </c>
      <c r="N73" s="6" t="str">
        <f t="shared" si="24"/>
        <v/>
      </c>
      <c r="O73" s="6" t="str">
        <f t="shared" si="24"/>
        <v/>
      </c>
      <c r="P73" s="6" t="str">
        <f t="shared" si="24"/>
        <v/>
      </c>
      <c r="Q73" s="6" t="str">
        <f t="shared" si="24"/>
        <v/>
      </c>
    </row>
    <row r="74" spans="1:17" ht="15.75" customHeight="1" x14ac:dyDescent="0.35">
      <c r="A74" s="10"/>
      <c r="B74" s="31" t="s">
        <v>51</v>
      </c>
      <c r="C74" s="80">
        <f>ABS(C6/C$4)</f>
        <v>0.42194184360951947</v>
      </c>
      <c r="D74" s="27"/>
      <c r="E74" s="308"/>
      <c r="F74" s="27"/>
      <c r="G74" s="66">
        <f t="shared" ref="G74:Q74" si="25">IF(G$4="","",ABS(G6/G$4))</f>
        <v>0.39030233884768967</v>
      </c>
      <c r="H74" s="66">
        <f t="shared" si="25"/>
        <v>0.45358134837134922</v>
      </c>
      <c r="I74" s="66" t="str">
        <f t="shared" si="25"/>
        <v/>
      </c>
      <c r="J74" s="66" t="str">
        <f t="shared" si="25"/>
        <v/>
      </c>
      <c r="K74" s="66" t="str">
        <f t="shared" si="25"/>
        <v/>
      </c>
      <c r="L74" s="66" t="str">
        <f t="shared" si="25"/>
        <v/>
      </c>
      <c r="M74" s="66" t="str">
        <f t="shared" si="25"/>
        <v/>
      </c>
      <c r="N74" s="66" t="str">
        <f t="shared" si="25"/>
        <v/>
      </c>
      <c r="O74" s="66" t="str">
        <f t="shared" si="25"/>
        <v/>
      </c>
      <c r="P74" s="66" t="str">
        <f t="shared" si="25"/>
        <v/>
      </c>
      <c r="Q74" s="66" t="str">
        <f t="shared" si="25"/>
        <v/>
      </c>
    </row>
    <row r="75" spans="1:17" ht="15.75" customHeight="1" x14ac:dyDescent="0.35">
      <c r="A75" s="10"/>
      <c r="B75" s="8" t="s">
        <v>48</v>
      </c>
      <c r="C75" s="79">
        <f>ABS(C7/C$4)</f>
        <v>0.1262407301768397</v>
      </c>
      <c r="D75" s="27"/>
      <c r="E75" s="308"/>
      <c r="F75" s="27"/>
      <c r="G75" s="6">
        <f t="shared" ref="G75:Q75" si="26">IF(G$4="","",ABS(G7/G$4))</f>
        <v>0.12367370222475756</v>
      </c>
      <c r="H75" s="6">
        <f t="shared" si="26"/>
        <v>9.5025671239794635E-2</v>
      </c>
      <c r="I75" s="6" t="str">
        <f t="shared" si="26"/>
        <v/>
      </c>
      <c r="J75" s="6" t="str">
        <f t="shared" si="26"/>
        <v/>
      </c>
      <c r="K75" s="6" t="str">
        <f t="shared" si="26"/>
        <v/>
      </c>
      <c r="L75" s="6" t="str">
        <f t="shared" si="26"/>
        <v/>
      </c>
      <c r="M75" s="6" t="str">
        <f t="shared" si="26"/>
        <v/>
      </c>
      <c r="N75" s="6" t="str">
        <f t="shared" si="26"/>
        <v/>
      </c>
      <c r="O75" s="6" t="str">
        <f t="shared" si="26"/>
        <v/>
      </c>
      <c r="P75" s="6" t="str">
        <f t="shared" si="26"/>
        <v/>
      </c>
      <c r="Q75" s="6" t="str">
        <f t="shared" si="26"/>
        <v/>
      </c>
    </row>
    <row r="76" spans="1:17" ht="15.75" customHeight="1" x14ac:dyDescent="0.35">
      <c r="A76" s="10"/>
      <c r="B76" s="29" t="s">
        <v>157</v>
      </c>
      <c r="C76" s="80">
        <f>ABS(C8/C$4)</f>
        <v>0.2957011134326798</v>
      </c>
      <c r="D76" s="27"/>
      <c r="E76" s="308"/>
      <c r="F76" s="27"/>
      <c r="G76" s="66">
        <f t="shared" ref="G76:Q76" si="27">IF(G$4="","",ABS(G8/G$4))</f>
        <v>0.26662863662293212</v>
      </c>
      <c r="H76" s="66">
        <f t="shared" si="27"/>
        <v>0.35855567713155456</v>
      </c>
      <c r="I76" s="66" t="str">
        <f t="shared" si="27"/>
        <v/>
      </c>
      <c r="J76" s="66" t="str">
        <f t="shared" si="27"/>
        <v/>
      </c>
      <c r="K76" s="66" t="str">
        <f t="shared" si="27"/>
        <v/>
      </c>
      <c r="L76" s="66" t="str">
        <f t="shared" si="27"/>
        <v/>
      </c>
      <c r="M76" s="66" t="str">
        <f t="shared" si="27"/>
        <v/>
      </c>
      <c r="N76" s="66" t="str">
        <f t="shared" si="27"/>
        <v/>
      </c>
      <c r="O76" s="66" t="str">
        <f t="shared" si="27"/>
        <v/>
      </c>
      <c r="P76" s="66" t="str">
        <f t="shared" si="27"/>
        <v/>
      </c>
      <c r="Q76" s="66" t="str">
        <f t="shared" si="27"/>
        <v/>
      </c>
    </row>
    <row r="77" spans="1:17" ht="15.75" customHeight="1" x14ac:dyDescent="0.35">
      <c r="A77" s="10"/>
      <c r="B77" s="2" t="s">
        <v>69</v>
      </c>
      <c r="C77" s="79">
        <f>ABS(C9/C$4)</f>
        <v>1.8254420992584137E-2</v>
      </c>
      <c r="D77" s="27"/>
      <c r="E77" s="308"/>
      <c r="F77" s="27"/>
      <c r="G77" s="6">
        <f t="shared" ref="G77:Q77" si="28">IF(G$4="","",G9/G$4)</f>
        <v>1.825442099258414E-2</v>
      </c>
      <c r="H77" s="6">
        <f t="shared" si="28"/>
        <v>1.6665263866677889E-2</v>
      </c>
      <c r="I77" s="6" t="str">
        <f t="shared" si="28"/>
        <v/>
      </c>
      <c r="J77" s="6" t="str">
        <f t="shared" si="28"/>
        <v/>
      </c>
      <c r="K77" s="6" t="str">
        <f t="shared" si="28"/>
        <v/>
      </c>
      <c r="L77" s="6" t="str">
        <f t="shared" si="28"/>
        <v/>
      </c>
      <c r="M77" s="6" t="str">
        <f t="shared" si="28"/>
        <v/>
      </c>
      <c r="N77" s="6" t="str">
        <f t="shared" si="28"/>
        <v/>
      </c>
      <c r="O77" s="6" t="str">
        <f t="shared" si="28"/>
        <v/>
      </c>
      <c r="P77" s="6" t="str">
        <f t="shared" si="28"/>
        <v/>
      </c>
      <c r="Q77" s="6" t="str">
        <f t="shared" si="28"/>
        <v/>
      </c>
    </row>
    <row r="78" spans="1:17" ht="15.75" customHeight="1" x14ac:dyDescent="0.35">
      <c r="A78" s="10"/>
      <c r="B78" s="2" t="s">
        <v>85</v>
      </c>
      <c r="C78" s="90">
        <f>MAX(AVERAGE(G78:J78),C77)</f>
        <v>1.8254420992584137E-2</v>
      </c>
      <c r="D78" s="27"/>
      <c r="E78" s="309" t="s">
        <v>380</v>
      </c>
      <c r="F78" s="27"/>
      <c r="G78" s="6">
        <f t="shared" ref="G78:Q78" si="29">IF(G$4="","",-G10/G$4)</f>
        <v>7.8722190530519116E-3</v>
      </c>
      <c r="H78" s="6">
        <f t="shared" si="29"/>
        <v>9.0901439272788494E-3</v>
      </c>
      <c r="I78" s="6" t="str">
        <f t="shared" si="29"/>
        <v/>
      </c>
      <c r="J78" s="6" t="str">
        <f t="shared" si="29"/>
        <v/>
      </c>
      <c r="K78" s="6" t="str">
        <f t="shared" si="29"/>
        <v/>
      </c>
      <c r="L78" s="6" t="str">
        <f t="shared" si="29"/>
        <v/>
      </c>
      <c r="M78" s="6" t="str">
        <f t="shared" si="29"/>
        <v/>
      </c>
      <c r="N78" s="6" t="str">
        <f t="shared" si="29"/>
        <v/>
      </c>
      <c r="O78" s="6" t="str">
        <f t="shared" si="29"/>
        <v/>
      </c>
      <c r="P78" s="6" t="str">
        <f t="shared" si="29"/>
        <v/>
      </c>
      <c r="Q78" s="6" t="str">
        <f t="shared" si="29"/>
        <v/>
      </c>
    </row>
    <row r="79" spans="1:17" ht="15.75" customHeight="1" x14ac:dyDescent="0.35">
      <c r="A79" s="10"/>
      <c r="B79" s="31" t="s">
        <v>158</v>
      </c>
      <c r="C79" s="80">
        <f>ABS(C11/C$4)</f>
        <v>7.2903593839132919E-2</v>
      </c>
      <c r="D79" s="27"/>
      <c r="E79" s="308"/>
      <c r="F79" s="27"/>
      <c r="G79" s="66">
        <f t="shared" ref="G79:Q79" si="30">IF(G$4="","",G11/G$4)</f>
        <v>7.2903593839132919E-2</v>
      </c>
      <c r="H79" s="66">
        <f t="shared" si="30"/>
        <v>7.8023735375810116E-2</v>
      </c>
      <c r="I79" s="66" t="str">
        <f t="shared" si="30"/>
        <v/>
      </c>
      <c r="J79" s="66" t="str">
        <f t="shared" si="30"/>
        <v/>
      </c>
      <c r="K79" s="66" t="str">
        <f t="shared" si="30"/>
        <v/>
      </c>
      <c r="L79" s="66" t="str">
        <f t="shared" si="30"/>
        <v/>
      </c>
      <c r="M79" s="66" t="str">
        <f t="shared" si="30"/>
        <v/>
      </c>
      <c r="N79" s="66" t="str">
        <f t="shared" si="30"/>
        <v/>
      </c>
      <c r="O79" s="66" t="str">
        <f t="shared" si="30"/>
        <v/>
      </c>
      <c r="P79" s="66" t="str">
        <f t="shared" si="30"/>
        <v/>
      </c>
      <c r="Q79" s="66" t="str">
        <f t="shared" si="30"/>
        <v/>
      </c>
    </row>
    <row r="80" spans="1:17" ht="15.75" customHeight="1" x14ac:dyDescent="0.35">
      <c r="A80" s="10"/>
      <c r="B80" s="2" t="s">
        <v>72</v>
      </c>
      <c r="C80" s="79">
        <f>ABS(C12/C$4)</f>
        <v>1.6223090955262618E-2</v>
      </c>
      <c r="D80" s="27"/>
      <c r="E80" s="308"/>
      <c r="F80" s="27"/>
      <c r="G80" s="6">
        <f t="shared" ref="G80:Q80" si="31">IF(G$4="","",ABS(G12/G$4))</f>
        <v>2.9659853391308499E-2</v>
      </c>
      <c r="H80" s="6">
        <f t="shared" si="31"/>
        <v>1.1724822264738463E-2</v>
      </c>
      <c r="I80" s="6" t="str">
        <f t="shared" si="31"/>
        <v/>
      </c>
      <c r="J80" s="6" t="str">
        <f t="shared" si="31"/>
        <v/>
      </c>
      <c r="K80" s="6" t="str">
        <f t="shared" si="31"/>
        <v/>
      </c>
      <c r="L80" s="6" t="str">
        <f t="shared" si="31"/>
        <v/>
      </c>
      <c r="M80" s="6" t="str">
        <f t="shared" si="31"/>
        <v/>
      </c>
      <c r="N80" s="6" t="str">
        <f t="shared" si="31"/>
        <v/>
      </c>
      <c r="O80" s="6" t="str">
        <f t="shared" si="31"/>
        <v/>
      </c>
      <c r="P80" s="6" t="str">
        <f t="shared" si="31"/>
        <v/>
      </c>
      <c r="Q80" s="6" t="str">
        <f t="shared" si="31"/>
        <v/>
      </c>
    </row>
    <row r="81" spans="1:17" ht="15.75" customHeight="1" x14ac:dyDescent="0.35">
      <c r="A81" s="10"/>
      <c r="B81" s="71" t="s">
        <v>169</v>
      </c>
      <c r="C81" s="80">
        <f>C13/C4</f>
        <v>0.3848277982270753</v>
      </c>
      <c r="D81" s="27"/>
      <c r="E81" s="308"/>
      <c r="F81" s="27"/>
      <c r="G81" s="66">
        <f t="shared" ref="G81:Q81" si="32">IF(G$4="","",G13/G$4)</f>
        <v>0.37957428579290575</v>
      </c>
      <c r="H81" s="66">
        <f t="shared" si="32"/>
        <v>0.4558793547115022</v>
      </c>
      <c r="I81" s="66" t="str">
        <f t="shared" si="32"/>
        <v/>
      </c>
      <c r="J81" s="66" t="str">
        <f t="shared" si="32"/>
        <v/>
      </c>
      <c r="K81" s="66" t="str">
        <f t="shared" si="32"/>
        <v/>
      </c>
      <c r="L81" s="66" t="str">
        <f t="shared" si="32"/>
        <v/>
      </c>
      <c r="M81" s="66" t="str">
        <f t="shared" si="32"/>
        <v/>
      </c>
      <c r="N81" s="66" t="str">
        <f t="shared" si="32"/>
        <v/>
      </c>
      <c r="O81" s="66" t="str">
        <f t="shared" si="32"/>
        <v/>
      </c>
      <c r="P81" s="66" t="str">
        <f t="shared" si="32"/>
        <v/>
      </c>
      <c r="Q81" s="66" t="str">
        <f t="shared" si="32"/>
        <v/>
      </c>
    </row>
    <row r="82" spans="1:17" ht="15.75" customHeight="1" x14ac:dyDescent="0.35">
      <c r="A82" s="10"/>
      <c r="B82" s="2" t="s">
        <v>67</v>
      </c>
      <c r="C82" s="79">
        <f>ABS(C14/C$4)</f>
        <v>9.2358671574498064E-2</v>
      </c>
      <c r="D82" s="27"/>
      <c r="E82" s="308"/>
      <c r="F82" s="27"/>
      <c r="G82" s="6">
        <f t="shared" ref="G82:Q82" si="33">IF(G$4="","",ABS(G14/G$4))</f>
        <v>5.9212778094694808E-2</v>
      </c>
      <c r="H82" s="6">
        <f t="shared" si="33"/>
        <v>7.2454745223466038E-2</v>
      </c>
      <c r="I82" s="6" t="str">
        <f t="shared" si="33"/>
        <v/>
      </c>
      <c r="J82" s="6" t="str">
        <f t="shared" si="33"/>
        <v/>
      </c>
      <c r="K82" s="6" t="str">
        <f t="shared" si="33"/>
        <v/>
      </c>
      <c r="L82" s="6" t="str">
        <f t="shared" si="33"/>
        <v/>
      </c>
      <c r="M82" s="6" t="str">
        <f t="shared" si="33"/>
        <v/>
      </c>
      <c r="N82" s="6" t="str">
        <f t="shared" si="33"/>
        <v/>
      </c>
      <c r="O82" s="6" t="str">
        <f t="shared" si="33"/>
        <v/>
      </c>
      <c r="P82" s="6" t="str">
        <f t="shared" si="33"/>
        <v/>
      </c>
      <c r="Q82" s="6" t="str">
        <f t="shared" si="33"/>
        <v/>
      </c>
    </row>
    <row r="83" spans="1:17" ht="15.75" customHeight="1" x14ac:dyDescent="0.35">
      <c r="A83" s="10"/>
      <c r="B83" s="40" t="str">
        <f>B15</f>
        <v>NCI’s Share of Profits</v>
      </c>
      <c r="C83" s="307">
        <f>MIN(BS!C62,MAX(G83:K83))</f>
        <v>2.6092079791263361E-3</v>
      </c>
      <c r="D83" s="27"/>
      <c r="E83" s="308"/>
      <c r="F83" s="27"/>
      <c r="G83" s="6">
        <f t="shared" ref="G83:Q83" si="34">IF(G$4="","",-G15/G$4)</f>
        <v>0</v>
      </c>
      <c r="H83" s="6">
        <f t="shared" si="34"/>
        <v>2.6092079791263361E-3</v>
      </c>
      <c r="I83" s="6" t="str">
        <f t="shared" si="34"/>
        <v/>
      </c>
      <c r="J83" s="6" t="str">
        <f t="shared" si="34"/>
        <v/>
      </c>
      <c r="K83" s="6" t="str">
        <f t="shared" si="34"/>
        <v/>
      </c>
      <c r="L83" s="6" t="str">
        <f t="shared" si="34"/>
        <v/>
      </c>
      <c r="M83" s="6" t="str">
        <f t="shared" si="34"/>
        <v/>
      </c>
      <c r="N83" s="6" t="str">
        <f t="shared" si="34"/>
        <v/>
      </c>
      <c r="O83" s="6" t="str">
        <f t="shared" si="34"/>
        <v/>
      </c>
      <c r="P83" s="6" t="str">
        <f t="shared" si="34"/>
        <v/>
      </c>
      <c r="Q83" s="6" t="str">
        <f t="shared" si="34"/>
        <v/>
      </c>
    </row>
    <row r="84" spans="1:17" ht="15.75" customHeight="1" x14ac:dyDescent="0.35">
      <c r="A84" s="10"/>
      <c r="B84" s="41" t="s">
        <v>159</v>
      </c>
      <c r="C84" s="80">
        <f>ABS(C16/C$4)</f>
        <v>0.2898599186734509</v>
      </c>
      <c r="D84" s="27"/>
      <c r="E84" s="308"/>
      <c r="F84" s="27"/>
      <c r="G84" s="66">
        <f t="shared" ref="G84:Q84" si="35">IF(G$4="","",ABS(G16/G$4))</f>
        <v>0.32036150769821098</v>
      </c>
      <c r="H84" s="66">
        <f t="shared" si="35"/>
        <v>0.38081540150890986</v>
      </c>
      <c r="I84" s="66" t="str">
        <f t="shared" si="35"/>
        <v/>
      </c>
      <c r="J84" s="66" t="str">
        <f t="shared" si="35"/>
        <v/>
      </c>
      <c r="K84" s="66" t="str">
        <f t="shared" si="35"/>
        <v/>
      </c>
      <c r="L84" s="66" t="str">
        <f t="shared" si="35"/>
        <v/>
      </c>
      <c r="M84" s="66" t="str">
        <f t="shared" si="35"/>
        <v/>
      </c>
      <c r="N84" s="66" t="str">
        <f t="shared" si="35"/>
        <v/>
      </c>
      <c r="O84" s="66" t="str">
        <f t="shared" si="35"/>
        <v/>
      </c>
      <c r="P84" s="66" t="str">
        <f t="shared" si="35"/>
        <v/>
      </c>
      <c r="Q84" s="66" t="str">
        <f t="shared" si="35"/>
        <v/>
      </c>
    </row>
    <row r="85" spans="1:17" ht="15.75" customHeight="1" x14ac:dyDescent="0.35">
      <c r="A85" s="10"/>
      <c r="B85" s="27" t="s">
        <v>55</v>
      </c>
      <c r="C85" s="307">
        <v>0</v>
      </c>
      <c r="D85" s="27"/>
      <c r="E85" s="310" t="str">
        <f>E17</f>
        <v>WCInv is by default excluded</v>
      </c>
      <c r="F85" s="27"/>
      <c r="G85" s="260"/>
      <c r="H85" s="260"/>
      <c r="I85" s="260"/>
      <c r="J85" s="260"/>
      <c r="K85" s="260"/>
      <c r="L85" s="260"/>
      <c r="M85" s="260"/>
      <c r="N85" s="260"/>
      <c r="O85" s="260"/>
      <c r="P85" s="260"/>
      <c r="Q85" s="260"/>
    </row>
    <row r="86" spans="1:17" ht="15.75" customHeight="1" x14ac:dyDescent="0.35">
      <c r="A86" s="10"/>
      <c r="B86" s="8" t="s">
        <v>103</v>
      </c>
      <c r="C86" s="79">
        <v>0</v>
      </c>
      <c r="E86" s="310" t="str">
        <f>E18</f>
        <v>Net borrowing is excluded</v>
      </c>
      <c r="G86" s="174"/>
      <c r="H86" s="174"/>
      <c r="I86" s="174"/>
      <c r="J86" s="174"/>
      <c r="K86" s="174"/>
      <c r="L86" s="174"/>
      <c r="M86" s="174"/>
      <c r="N86" s="174"/>
      <c r="O86" s="174"/>
      <c r="P86" s="174"/>
      <c r="Q86" s="174"/>
    </row>
    <row r="87" spans="1:17" ht="15.75" customHeight="1" x14ac:dyDescent="0.35">
      <c r="A87" s="10"/>
      <c r="B87" s="31" t="s">
        <v>145</v>
      </c>
      <c r="C87" s="80">
        <f>ABS(C19/C$4)</f>
        <v>0.2898599186734509</v>
      </c>
      <c r="D87" s="77"/>
      <c r="E87" s="308"/>
      <c r="F87" s="77"/>
      <c r="G87" s="66">
        <f t="shared" ref="G87:Q87" si="36">IF(G$4="","",ABS(G19/G$4))</f>
        <v>0.32036150769821098</v>
      </c>
      <c r="H87" s="66">
        <f t="shared" si="36"/>
        <v>0.38081540150890986</v>
      </c>
      <c r="I87" s="66" t="str">
        <f t="shared" si="36"/>
        <v/>
      </c>
      <c r="J87" s="66" t="str">
        <f t="shared" si="36"/>
        <v/>
      </c>
      <c r="K87" s="66" t="str">
        <f t="shared" si="36"/>
        <v/>
      </c>
      <c r="L87" s="66" t="str">
        <f t="shared" si="36"/>
        <v/>
      </c>
      <c r="M87" s="66" t="str">
        <f t="shared" si="36"/>
        <v/>
      </c>
      <c r="N87" s="66" t="str">
        <f t="shared" si="36"/>
        <v/>
      </c>
      <c r="O87" s="66" t="str">
        <f t="shared" si="36"/>
        <v/>
      </c>
      <c r="P87" s="66" t="str">
        <f t="shared" si="36"/>
        <v/>
      </c>
      <c r="Q87" s="66" t="str">
        <f t="shared" si="36"/>
        <v/>
      </c>
    </row>
    <row r="88" spans="1:17" ht="15.75" customHeight="1" x14ac:dyDescent="0.35">
      <c r="A88" s="10"/>
      <c r="E88" s="311"/>
    </row>
    <row r="89" spans="1:17" ht="15.75" customHeight="1" x14ac:dyDescent="0.35">
      <c r="A89" s="10"/>
      <c r="B89" s="65" t="s">
        <v>219</v>
      </c>
      <c r="E89" s="311"/>
    </row>
    <row r="90" spans="1:17" ht="15.75" customHeight="1" x14ac:dyDescent="0.35">
      <c r="A90" s="10"/>
      <c r="B90" s="2" t="str">
        <f>"Dividend per share ("&amp;Market_currency&amp;")"</f>
        <v>Dividend per share (HKD)</v>
      </c>
      <c r="C90" s="117">
        <f>G90</f>
        <v>0.57999999999999996</v>
      </c>
      <c r="E90" s="311"/>
      <c r="G90" s="116">
        <f>Data!C64</f>
        <v>0.57999999999999996</v>
      </c>
      <c r="H90" s="116">
        <f>Data!D64</f>
        <v>0.57999999999999996</v>
      </c>
      <c r="I90" s="116" t="str">
        <f>Data!E64</f>
        <v/>
      </c>
      <c r="J90" s="116" t="str">
        <f>Data!F64</f>
        <v/>
      </c>
      <c r="K90" s="116" t="str">
        <f>Data!G64</f>
        <v/>
      </c>
      <c r="L90" s="116" t="str">
        <f>Data!H64</f>
        <v/>
      </c>
      <c r="M90" s="116" t="str">
        <f>Data!I64</f>
        <v/>
      </c>
      <c r="N90" s="116" t="str">
        <f>Data!J64</f>
        <v/>
      </c>
      <c r="O90" s="116" t="str">
        <f>Data!K64</f>
        <v/>
      </c>
      <c r="P90" s="116" t="str">
        <f>Data!L64</f>
        <v/>
      </c>
      <c r="Q90" s="116" t="str">
        <f>Data!M64</f>
        <v/>
      </c>
    </row>
    <row r="91" spans="1:17" ht="15.75" customHeight="1" x14ac:dyDescent="0.35">
      <c r="A91" s="10"/>
      <c r="B91" s="2" t="str">
        <f>"Dividend ("&amp;Market_currency&amp;")"</f>
        <v>Dividend (HKD)</v>
      </c>
      <c r="C91" s="76">
        <f>C90*Common_Shares/$C$3</f>
        <v>4739.6903628800001</v>
      </c>
      <c r="E91" s="311"/>
      <c r="G91" s="76">
        <f t="shared" ref="G91:Q91" si="37">IF(G$4="","",G90*Common_Shares/$C$3)</f>
        <v>4739.6903628800001</v>
      </c>
      <c r="H91" s="76">
        <f t="shared" si="37"/>
        <v>4739.6903628800001</v>
      </c>
      <c r="I91" s="76" t="str">
        <f t="shared" si="37"/>
        <v/>
      </c>
      <c r="J91" s="76" t="str">
        <f t="shared" si="37"/>
        <v/>
      </c>
      <c r="K91" s="76" t="str">
        <f t="shared" si="37"/>
        <v/>
      </c>
      <c r="L91" s="76" t="str">
        <f t="shared" si="37"/>
        <v/>
      </c>
      <c r="M91" s="76" t="str">
        <f t="shared" si="37"/>
        <v/>
      </c>
      <c r="N91" s="76" t="str">
        <f t="shared" si="37"/>
        <v/>
      </c>
      <c r="O91" s="76" t="str">
        <f t="shared" si="37"/>
        <v/>
      </c>
      <c r="P91" s="76" t="str">
        <f t="shared" si="37"/>
        <v/>
      </c>
      <c r="Q91" s="76" t="str">
        <f t="shared" si="37"/>
        <v/>
      </c>
    </row>
    <row r="92" spans="1:17" ht="15.75" customHeight="1" x14ac:dyDescent="0.35">
      <c r="A92" s="10"/>
      <c r="B92" s="2" t="s">
        <v>218</v>
      </c>
      <c r="C92" s="23">
        <f>C90/(C19*$C$3/Common_Shares)</f>
        <v>1.8655628478763795</v>
      </c>
      <c r="E92" s="311"/>
      <c r="G92" s="175">
        <f t="shared" ref="G92:Q92" si="38">IF(G$4="","",G90/(G19*$C$3/Common_Shares))</f>
        <v>1.6879427845465798</v>
      </c>
      <c r="H92" s="175">
        <f t="shared" si="38"/>
        <v>1.0475685954159291</v>
      </c>
      <c r="I92" s="175" t="str">
        <f t="shared" si="38"/>
        <v/>
      </c>
      <c r="J92" s="175" t="str">
        <f t="shared" si="38"/>
        <v/>
      </c>
      <c r="K92" s="175" t="str">
        <f t="shared" si="38"/>
        <v/>
      </c>
      <c r="L92" s="175" t="str">
        <f t="shared" si="38"/>
        <v/>
      </c>
      <c r="M92" s="175" t="str">
        <f t="shared" si="38"/>
        <v/>
      </c>
      <c r="N92" s="175" t="str">
        <f t="shared" si="38"/>
        <v/>
      </c>
      <c r="O92" s="175" t="str">
        <f t="shared" si="38"/>
        <v/>
      </c>
      <c r="P92" s="175" t="str">
        <f t="shared" si="38"/>
        <v/>
      </c>
      <c r="Q92" s="175" t="str">
        <f t="shared" si="38"/>
        <v/>
      </c>
    </row>
    <row r="93" spans="1:17" ht="15.75" customHeight="1" x14ac:dyDescent="0.35">
      <c r="A93" s="10"/>
      <c r="B93" s="2" t="s">
        <v>341</v>
      </c>
      <c r="C93" s="23">
        <f>C90/Market_Price</f>
        <v>7.3417721518987331E-2</v>
      </c>
      <c r="E93" s="311"/>
      <c r="G93" s="23">
        <f t="shared" ref="G93:Q93" si="39">IF(G$4="","",G90/Market_Price)</f>
        <v>7.3417721518987331E-2</v>
      </c>
      <c r="H93" s="23">
        <f t="shared" si="39"/>
        <v>7.3417721518987331E-2</v>
      </c>
      <c r="I93" s="23" t="str">
        <f t="shared" si="39"/>
        <v/>
      </c>
      <c r="J93" s="23" t="str">
        <f t="shared" si="39"/>
        <v/>
      </c>
      <c r="K93" s="23" t="str">
        <f t="shared" si="39"/>
        <v/>
      </c>
      <c r="L93" s="23" t="str">
        <f t="shared" si="39"/>
        <v/>
      </c>
      <c r="M93" s="23" t="str">
        <f t="shared" si="39"/>
        <v/>
      </c>
      <c r="N93" s="23" t="str">
        <f t="shared" si="39"/>
        <v/>
      </c>
      <c r="O93" s="23" t="str">
        <f t="shared" si="39"/>
        <v/>
      </c>
      <c r="P93" s="23" t="str">
        <f t="shared" si="39"/>
        <v/>
      </c>
      <c r="Q93" s="23" t="str">
        <f t="shared" si="39"/>
        <v/>
      </c>
    </row>
    <row r="94" spans="1:17" ht="15.75" customHeight="1" x14ac:dyDescent="0.35">
      <c r="A94" s="10"/>
      <c r="E94" s="311"/>
    </row>
    <row r="95" spans="1:17" ht="15.75" customHeight="1" x14ac:dyDescent="0.35">
      <c r="A95" s="10"/>
      <c r="B95" s="162" t="s">
        <v>89</v>
      </c>
      <c r="C95" s="63"/>
      <c r="D95" s="27"/>
      <c r="E95" s="308"/>
      <c r="F95" s="27"/>
      <c r="G95" s="12"/>
      <c r="H95" s="12"/>
      <c r="I95" s="12"/>
      <c r="J95" s="12"/>
      <c r="K95" s="12"/>
      <c r="L95" s="12"/>
      <c r="M95" s="12"/>
      <c r="N95" s="12"/>
      <c r="O95" s="12"/>
      <c r="P95" s="12"/>
      <c r="Q95" s="12"/>
    </row>
    <row r="96" spans="1:17" ht="15.75" customHeight="1" x14ac:dyDescent="0.35">
      <c r="A96" s="10"/>
      <c r="B96" s="27" t="s">
        <v>149</v>
      </c>
      <c r="C96" s="79">
        <f>C4/G4-1</f>
        <v>0</v>
      </c>
      <c r="D96" s="27"/>
      <c r="E96" s="308"/>
      <c r="F96" s="27"/>
      <c r="G96" s="6">
        <f t="shared" ref="G96:Q96" si="40">IF(H4="","",G4/H4-1)</f>
        <v>-0.26226748590186011</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x14ac:dyDescent="0.35">
      <c r="A97" s="10"/>
      <c r="B97" s="71" t="s">
        <v>169</v>
      </c>
      <c r="C97" s="79">
        <f>C13/G13-1</f>
        <v>1.3840538284081383E-2</v>
      </c>
      <c r="D97" s="27"/>
      <c r="E97" s="308"/>
      <c r="F97" s="27"/>
      <c r="G97" s="6">
        <f t="shared" ref="G97:Q97" si="41">IF(H5="","",G13/H13-1)</f>
        <v>-0.38574912583568022</v>
      </c>
      <c r="H97" s="6" t="str">
        <f t="shared" si="41"/>
        <v/>
      </c>
      <c r="I97" s="6" t="str">
        <f t="shared" si="41"/>
        <v/>
      </c>
      <c r="J97" s="6" t="str">
        <f t="shared" si="41"/>
        <v/>
      </c>
      <c r="K97" s="6" t="str">
        <f t="shared" si="41"/>
        <v/>
      </c>
      <c r="L97" s="6" t="str">
        <f t="shared" si="41"/>
        <v/>
      </c>
      <c r="M97" s="6" t="str">
        <f t="shared" si="41"/>
        <v/>
      </c>
      <c r="N97" s="6" t="str">
        <f t="shared" si="41"/>
        <v/>
      </c>
      <c r="O97" s="6" t="str">
        <f t="shared" si="41"/>
        <v/>
      </c>
      <c r="P97" s="6" t="str">
        <f t="shared" si="41"/>
        <v/>
      </c>
      <c r="Q97" s="6" t="str">
        <f t="shared" si="41"/>
        <v/>
      </c>
    </row>
    <row r="98" spans="1:17" ht="15.75" customHeight="1" x14ac:dyDescent="0.35">
      <c r="A98" s="10"/>
    </row>
    <row r="99" spans="1:17" ht="15.75" customHeight="1" x14ac:dyDescent="0.5">
      <c r="A99" s="3"/>
      <c r="B99" s="54" t="s">
        <v>220</v>
      </c>
      <c r="C99" s="54"/>
      <c r="D99" s="56"/>
      <c r="E99" s="67" t="s">
        <v>63</v>
      </c>
      <c r="F99" s="56"/>
      <c r="G99" s="37"/>
      <c r="H99" s="37"/>
      <c r="I99" s="37"/>
      <c r="J99" s="37"/>
      <c r="K99" s="37"/>
      <c r="L99" s="37"/>
      <c r="M99" s="37"/>
      <c r="N99" s="37"/>
      <c r="O99" s="37"/>
      <c r="P99" s="37"/>
      <c r="Q99" s="37"/>
    </row>
    <row r="100" spans="1:17" ht="15.75" customHeight="1" x14ac:dyDescent="0.35">
      <c r="A100" s="10"/>
      <c r="B100" s="65" t="s">
        <v>29</v>
      </c>
      <c r="E100" s="311"/>
      <c r="G100" s="100" t="s">
        <v>224</v>
      </c>
    </row>
    <row r="101" spans="1:17" ht="15.75" customHeight="1" x14ac:dyDescent="0.35">
      <c r="A101" s="10"/>
      <c r="B101" s="26" t="s">
        <v>4</v>
      </c>
      <c r="C101" s="206">
        <f>BS!G32</f>
        <v>180996</v>
      </c>
      <c r="D101" s="26"/>
      <c r="E101" s="312"/>
      <c r="F101" s="26"/>
      <c r="G101" s="187">
        <f t="shared" ref="G101:Q101" si="42">IF(G$4="","",G105+G104)</f>
        <v>180344</v>
      </c>
      <c r="H101" s="187">
        <f t="shared" si="42"/>
        <v>174007</v>
      </c>
      <c r="I101" s="187" t="str">
        <f t="shared" si="42"/>
        <v/>
      </c>
      <c r="J101" s="187" t="str">
        <f t="shared" si="42"/>
        <v/>
      </c>
      <c r="K101" s="187" t="str">
        <f t="shared" si="42"/>
        <v/>
      </c>
      <c r="L101" s="187" t="str">
        <f t="shared" si="42"/>
        <v/>
      </c>
      <c r="M101" s="187" t="str">
        <f t="shared" si="42"/>
        <v/>
      </c>
      <c r="N101" s="187" t="str">
        <f t="shared" si="42"/>
        <v/>
      </c>
      <c r="O101" s="187" t="str">
        <f t="shared" si="42"/>
        <v/>
      </c>
      <c r="P101" s="187" t="str">
        <f t="shared" si="42"/>
        <v/>
      </c>
      <c r="Q101" s="187" t="str">
        <f t="shared" si="42"/>
        <v/>
      </c>
    </row>
    <row r="102" spans="1:17" ht="15.75" customHeight="1" x14ac:dyDescent="0.35">
      <c r="A102" s="10"/>
      <c r="B102" s="95" t="s">
        <v>215</v>
      </c>
      <c r="C102" s="207">
        <f>BS!C4</f>
        <v>8029</v>
      </c>
      <c r="D102" s="91"/>
      <c r="E102" s="313"/>
      <c r="F102" s="91"/>
      <c r="G102" s="189">
        <f>IF(G$4="","",Data!D76)</f>
        <v>7251</v>
      </c>
      <c r="H102" s="189" t="str">
        <f>IF(H$4="","",Data!E76)</f>
        <v/>
      </c>
      <c r="I102" s="189" t="str">
        <f>IF(I$4="","",Data!F76)</f>
        <v/>
      </c>
      <c r="J102" s="189" t="str">
        <f>IF(J$4="","",Data!G76)</f>
        <v/>
      </c>
      <c r="K102" s="189" t="str">
        <f>IF(K$4="","",Data!H76)</f>
        <v/>
      </c>
      <c r="L102" s="189" t="str">
        <f>IF(L$4="","",Data!I76)</f>
        <v/>
      </c>
      <c r="M102" s="189" t="str">
        <f>IF(M$4="","",Data!J76)</f>
        <v/>
      </c>
      <c r="N102" s="189" t="str">
        <f>IF(N$4="","",Data!K76)</f>
        <v/>
      </c>
      <c r="O102" s="189" t="str">
        <f>IF(O$4="","",Data!L76)</f>
        <v/>
      </c>
      <c r="P102" s="189" t="str">
        <f>IF(P$4="","",Data!M76)</f>
        <v/>
      </c>
      <c r="Q102" s="189" t="str">
        <f>IF(Q$4="","",Data!N76)</f>
        <v/>
      </c>
    </row>
    <row r="103" spans="1:17" ht="15.75" customHeight="1" x14ac:dyDescent="0.35">
      <c r="A103" s="10"/>
      <c r="B103" s="95" t="s">
        <v>216</v>
      </c>
      <c r="C103" s="207">
        <f>BS!C6+BS!C7</f>
        <v>15310</v>
      </c>
      <c r="D103" s="91"/>
      <c r="E103" s="313"/>
      <c r="F103" s="91"/>
      <c r="G103" s="189">
        <f>IF(G$4="","",Data!D77)</f>
        <v>16389</v>
      </c>
      <c r="H103" s="189" t="str">
        <f>IF(H$4="","",Data!E77)</f>
        <v/>
      </c>
      <c r="I103" s="189" t="str">
        <f>IF(I$4="","",Data!F77)</f>
        <v/>
      </c>
      <c r="J103" s="189" t="str">
        <f>IF(J$4="","",Data!G77)</f>
        <v/>
      </c>
      <c r="K103" s="189" t="str">
        <f>IF(K$4="","",Data!H77)</f>
        <v/>
      </c>
      <c r="L103" s="189" t="str">
        <f>IF(L$4="","",Data!I77)</f>
        <v/>
      </c>
      <c r="M103" s="189" t="str">
        <f>IF(M$4="","",Data!J77)</f>
        <v/>
      </c>
      <c r="N103" s="189" t="str">
        <f>IF(N$4="","",Data!K77)</f>
        <v/>
      </c>
      <c r="O103" s="189" t="str">
        <f>IF(O$4="","",Data!L77)</f>
        <v/>
      </c>
      <c r="P103" s="189" t="str">
        <f>IF(P$4="","",Data!M77)</f>
        <v/>
      </c>
      <c r="Q103" s="189" t="str">
        <f>IF(Q$4="","",Data!N77)</f>
        <v/>
      </c>
    </row>
    <row r="104" spans="1:17" ht="15.75" customHeight="1" x14ac:dyDescent="0.35">
      <c r="A104" s="10"/>
      <c r="B104" s="26" t="s">
        <v>41</v>
      </c>
      <c r="C104" s="206">
        <f>BS!G30</f>
        <v>13889</v>
      </c>
      <c r="D104" s="26"/>
      <c r="E104" s="312"/>
      <c r="F104" s="26"/>
      <c r="G104" s="187">
        <f>Data!C78</f>
        <v>14028</v>
      </c>
      <c r="H104" s="187">
        <f>Data!D78</f>
        <v>10902</v>
      </c>
      <c r="I104" s="187" t="str">
        <f>Data!E78</f>
        <v/>
      </c>
      <c r="J104" s="187" t="str">
        <f>Data!F78</f>
        <v/>
      </c>
      <c r="K104" s="187" t="str">
        <f>Data!G78</f>
        <v/>
      </c>
      <c r="L104" s="187" t="str">
        <f>Data!H78</f>
        <v/>
      </c>
      <c r="M104" s="187" t="str">
        <f>Data!I78</f>
        <v/>
      </c>
      <c r="N104" s="187" t="str">
        <f>Data!J78</f>
        <v/>
      </c>
      <c r="O104" s="187" t="str">
        <f>Data!K78</f>
        <v/>
      </c>
      <c r="P104" s="187" t="str">
        <f>Data!L78</f>
        <v/>
      </c>
      <c r="Q104" s="187" t="str">
        <f>Data!M78</f>
        <v/>
      </c>
    </row>
    <row r="105" spans="1:17" ht="15.75" customHeight="1" x14ac:dyDescent="0.35">
      <c r="A105" s="10"/>
      <c r="B105" s="26" t="s">
        <v>31</v>
      </c>
      <c r="C105" s="206">
        <f>BS!G27</f>
        <v>167107</v>
      </c>
      <c r="D105" s="26"/>
      <c r="E105" s="312"/>
      <c r="F105" s="26"/>
      <c r="G105" s="187">
        <f>Data!C79</f>
        <v>166316</v>
      </c>
      <c r="H105" s="187">
        <f>Data!D79</f>
        <v>163105</v>
      </c>
      <c r="I105" s="187" t="str">
        <f>Data!E79</f>
        <v/>
      </c>
      <c r="J105" s="187" t="str">
        <f>Data!F79</f>
        <v/>
      </c>
      <c r="K105" s="187" t="str">
        <f>Data!G79</f>
        <v/>
      </c>
      <c r="L105" s="187" t="str">
        <f>Data!H79</f>
        <v/>
      </c>
      <c r="M105" s="187" t="str">
        <f>Data!I79</f>
        <v/>
      </c>
      <c r="N105" s="187" t="str">
        <f>Data!J79</f>
        <v/>
      </c>
      <c r="O105" s="187" t="str">
        <f>Data!K79</f>
        <v/>
      </c>
      <c r="P105" s="187" t="str">
        <f>Data!L79</f>
        <v/>
      </c>
      <c r="Q105" s="187" t="str">
        <f>Data!M79</f>
        <v/>
      </c>
    </row>
    <row r="106" spans="1:17" ht="15.75" customHeight="1" x14ac:dyDescent="0.35">
      <c r="A106" s="10"/>
      <c r="E106" s="311"/>
    </row>
    <row r="107" spans="1:17" ht="15.75" customHeight="1" x14ac:dyDescent="0.35">
      <c r="A107" s="10"/>
      <c r="B107" s="93" t="s">
        <v>225</v>
      </c>
      <c r="C107" s="26"/>
      <c r="D107" s="26"/>
      <c r="E107" s="312"/>
      <c r="F107" s="26"/>
      <c r="G107" s="100" t="s">
        <v>224</v>
      </c>
      <c r="H107" s="12"/>
      <c r="I107" s="12"/>
      <c r="J107" s="12"/>
      <c r="K107" s="12"/>
      <c r="L107" s="12"/>
      <c r="M107" s="12"/>
      <c r="N107" s="12"/>
      <c r="O107" s="12"/>
      <c r="P107" s="12"/>
      <c r="Q107" s="12"/>
    </row>
    <row r="108" spans="1:17" ht="15.75" customHeight="1" x14ac:dyDescent="0.35">
      <c r="A108" s="10"/>
      <c r="B108" s="26" t="s">
        <v>222</v>
      </c>
      <c r="C108" s="97">
        <f>C102/C$4</f>
        <v>0.91602966343411296</v>
      </c>
      <c r="D108" s="26"/>
      <c r="E108" s="312"/>
      <c r="F108" s="26"/>
      <c r="G108" s="97">
        <f t="shared" ref="G108:Q108" si="43">IF(G$4="","",G102/G$4)</f>
        <v>0.82726754135767255</v>
      </c>
      <c r="H108" s="97" t="e">
        <f t="shared" si="43"/>
        <v>#VALUE!</v>
      </c>
      <c r="I108" s="97" t="str">
        <f t="shared" si="43"/>
        <v/>
      </c>
      <c r="J108" s="97" t="str">
        <f t="shared" si="43"/>
        <v/>
      </c>
      <c r="K108" s="97" t="str">
        <f t="shared" si="43"/>
        <v/>
      </c>
      <c r="L108" s="97" t="str">
        <f t="shared" si="43"/>
        <v/>
      </c>
      <c r="M108" s="97" t="str">
        <f t="shared" si="43"/>
        <v/>
      </c>
      <c r="N108" s="97" t="str">
        <f t="shared" si="43"/>
        <v/>
      </c>
      <c r="O108" s="97" t="str">
        <f t="shared" si="43"/>
        <v/>
      </c>
      <c r="P108" s="97" t="str">
        <f t="shared" si="43"/>
        <v/>
      </c>
      <c r="Q108" s="97" t="str">
        <f t="shared" si="43"/>
        <v/>
      </c>
    </row>
    <row r="109" spans="1:17" ht="15.75" customHeight="1" x14ac:dyDescent="0.35">
      <c r="A109" s="10"/>
      <c r="B109" s="26" t="s">
        <v>223</v>
      </c>
      <c r="C109" s="97">
        <f>C103/C$4</f>
        <v>1.7467199087278951</v>
      </c>
      <c r="D109" s="26"/>
      <c r="E109" s="312"/>
      <c r="F109" s="26"/>
      <c r="G109" s="97">
        <f t="shared" ref="G109:Q109" si="44">IF(G$4="","",G103/G$4)</f>
        <v>1.8698231602966344</v>
      </c>
      <c r="H109" s="97" t="e">
        <f t="shared" si="44"/>
        <v>#VALUE!</v>
      </c>
      <c r="I109" s="97" t="str">
        <f t="shared" si="44"/>
        <v/>
      </c>
      <c r="J109" s="97" t="str">
        <f t="shared" si="44"/>
        <v/>
      </c>
      <c r="K109" s="97" t="str">
        <f t="shared" si="44"/>
        <v/>
      </c>
      <c r="L109" s="97" t="str">
        <f t="shared" si="44"/>
        <v/>
      </c>
      <c r="M109" s="97" t="str">
        <f t="shared" si="44"/>
        <v/>
      </c>
      <c r="N109" s="97" t="str">
        <f t="shared" si="44"/>
        <v/>
      </c>
      <c r="O109" s="97" t="str">
        <f t="shared" si="44"/>
        <v/>
      </c>
      <c r="P109" s="97" t="str">
        <f t="shared" si="44"/>
        <v/>
      </c>
      <c r="Q109" s="97" t="str">
        <f t="shared" si="44"/>
        <v/>
      </c>
    </row>
    <row r="110" spans="1:17" ht="15.75" customHeight="1" x14ac:dyDescent="0.35">
      <c r="A110" s="10"/>
      <c r="B110" s="26" t="s">
        <v>73</v>
      </c>
      <c r="C110" s="97">
        <f>BS!$G$38/C$4</f>
        <v>8.343867655447804</v>
      </c>
      <c r="D110" s="26"/>
      <c r="E110" s="312"/>
      <c r="F110" s="26"/>
      <c r="G110" s="97">
        <f>BS!$G$38/G$4</f>
        <v>8.343867655447804</v>
      </c>
      <c r="H110" s="232"/>
      <c r="I110" s="232"/>
      <c r="J110" s="232"/>
      <c r="K110" s="232"/>
      <c r="L110" s="232"/>
      <c r="M110" s="232"/>
      <c r="N110" s="232"/>
      <c r="O110" s="232"/>
      <c r="P110" s="232"/>
      <c r="Q110" s="232"/>
    </row>
    <row r="111" spans="1:17" ht="15.75" customHeight="1" x14ac:dyDescent="0.35">
      <c r="A111" s="10"/>
      <c r="E111" s="311"/>
    </row>
    <row r="112" spans="1:17" ht="15.75" customHeight="1" x14ac:dyDescent="0.35">
      <c r="A112" s="10"/>
      <c r="B112" s="93" t="s">
        <v>39</v>
      </c>
      <c r="C112" s="55"/>
      <c r="D112" s="55"/>
      <c r="E112" s="314"/>
      <c r="F112" s="55"/>
      <c r="G112" s="23" t="str">
        <f>IFERROR(IF(#REF!*G114*(1/#REF!)=G116,"","Error"),"")</f>
        <v/>
      </c>
      <c r="H112" s="23" t="str">
        <f>IFERROR(IF(#REF!*H114*(1/#REF!)=H116,"","Error"),"")</f>
        <v/>
      </c>
      <c r="I112" s="23" t="str">
        <f>IFERROR(IF(#REF!*I114*(1/#REF!)=I116,"","Error"),"")</f>
        <v/>
      </c>
      <c r="J112" s="23" t="str">
        <f>IFERROR(IF(#REF!*J114*(1/#REF!)=J116,"","Error"),"")</f>
        <v/>
      </c>
      <c r="K112" s="23" t="str">
        <f>IFERROR(IF(#REF!*K114*(1/#REF!)=K116,"","Error"),"")</f>
        <v/>
      </c>
      <c r="L112" s="23" t="str">
        <f>IFERROR(IF(#REF!*L114*(1/#REF!)=L116,"","Error"),"")</f>
        <v/>
      </c>
      <c r="M112" s="23" t="str">
        <f>IFERROR(IF(#REF!*M114*(1/#REF!)=M116,"","Error"),"")</f>
        <v/>
      </c>
      <c r="N112" s="23" t="str">
        <f>IFERROR(IF(#REF!*N114*(1/#REF!)=N116,"","Error"),"")</f>
        <v/>
      </c>
      <c r="O112" s="23" t="str">
        <f>IFERROR(IF(#REF!*O114*(1/#REF!)=O116,"","Error"),"")</f>
        <v/>
      </c>
      <c r="P112" s="23" t="str">
        <f>IFERROR(IF(#REF!*P114*(1/#REF!)=P116,"","Error"),"")</f>
        <v/>
      </c>
      <c r="Q112" s="23" t="str">
        <f>IFERROR(IF(#REF!*Q114*(1/#REF!)=Q116,"","Error"),"")</f>
        <v/>
      </c>
    </row>
    <row r="113" spans="1:17" ht="15.75" customHeight="1" x14ac:dyDescent="0.35">
      <c r="A113" s="10"/>
      <c r="B113" s="7" t="s">
        <v>226</v>
      </c>
      <c r="C113" s="23">
        <f>C81</f>
        <v>0.3848277982270753</v>
      </c>
      <c r="E113" s="311"/>
      <c r="G113" s="23">
        <f t="shared" ref="G113:Q113" si="45">G81</f>
        <v>0.37957428579290575</v>
      </c>
      <c r="H113" s="23">
        <f t="shared" si="45"/>
        <v>0.4558793547115022</v>
      </c>
      <c r="I113" s="23" t="str">
        <f t="shared" si="45"/>
        <v/>
      </c>
      <c r="J113" s="23" t="str">
        <f t="shared" si="45"/>
        <v/>
      </c>
      <c r="K113" s="23" t="str">
        <f t="shared" si="45"/>
        <v/>
      </c>
      <c r="L113" s="23" t="str">
        <f t="shared" si="45"/>
        <v/>
      </c>
      <c r="M113" s="23" t="str">
        <f t="shared" si="45"/>
        <v/>
      </c>
      <c r="N113" s="23" t="str">
        <f t="shared" si="45"/>
        <v/>
      </c>
      <c r="O113" s="23" t="str">
        <f t="shared" si="45"/>
        <v/>
      </c>
      <c r="P113" s="23" t="str">
        <f t="shared" si="45"/>
        <v/>
      </c>
      <c r="Q113" s="23" t="str">
        <f t="shared" si="45"/>
        <v/>
      </c>
    </row>
    <row r="114" spans="1:17" ht="15.75" customHeight="1" x14ac:dyDescent="0.35">
      <c r="B114" s="7" t="s">
        <v>88</v>
      </c>
      <c r="C114" s="42">
        <f>C4/C101</f>
        <v>4.8426484563194767E-2</v>
      </c>
      <c r="E114" s="311"/>
      <c r="G114" s="42">
        <f t="shared" ref="G114:Q114" si="46">IF(G4="","",G4/G101)</f>
        <v>4.8601561460320276E-2</v>
      </c>
      <c r="H114" s="42">
        <f t="shared" si="46"/>
        <v>6.8278862344618316E-2</v>
      </c>
      <c r="I114" s="42" t="str">
        <f t="shared" si="46"/>
        <v/>
      </c>
      <c r="J114" s="42" t="str">
        <f t="shared" si="46"/>
        <v/>
      </c>
      <c r="K114" s="42" t="str">
        <f t="shared" si="46"/>
        <v/>
      </c>
      <c r="L114" s="42" t="str">
        <f t="shared" si="46"/>
        <v/>
      </c>
      <c r="M114" s="42" t="str">
        <f t="shared" si="46"/>
        <v/>
      </c>
      <c r="N114" s="42" t="str">
        <f t="shared" si="46"/>
        <v/>
      </c>
      <c r="O114" s="42" t="str">
        <f t="shared" si="46"/>
        <v/>
      </c>
      <c r="P114" s="42" t="str">
        <f t="shared" si="46"/>
        <v/>
      </c>
      <c r="Q114" s="42" t="str">
        <f t="shared" si="46"/>
        <v/>
      </c>
    </row>
    <row r="115" spans="1:17" ht="15.75" customHeight="1" x14ac:dyDescent="0.35">
      <c r="B115" s="7" t="s">
        <v>96</v>
      </c>
      <c r="C115" s="15">
        <f>C101/C105</f>
        <v>1.0831144117242246</v>
      </c>
      <c r="D115" s="11"/>
      <c r="E115" s="315"/>
      <c r="F115" s="11"/>
      <c r="G115" s="15">
        <f t="shared" ref="G115:Q115" si="47">IF(G$4="","",G101/G105)</f>
        <v>1.0843454628538445</v>
      </c>
      <c r="H115" s="15">
        <f t="shared" si="47"/>
        <v>1.0668403788970295</v>
      </c>
      <c r="I115" s="15" t="str">
        <f t="shared" si="47"/>
        <v/>
      </c>
      <c r="J115" s="15" t="str">
        <f t="shared" si="47"/>
        <v/>
      </c>
      <c r="K115" s="15" t="str">
        <f t="shared" si="47"/>
        <v/>
      </c>
      <c r="L115" s="15" t="str">
        <f t="shared" si="47"/>
        <v/>
      </c>
      <c r="M115" s="15" t="str">
        <f t="shared" si="47"/>
        <v/>
      </c>
      <c r="N115" s="15" t="str">
        <f t="shared" si="47"/>
        <v/>
      </c>
      <c r="O115" s="15" t="str">
        <f t="shared" si="47"/>
        <v/>
      </c>
      <c r="P115" s="15" t="str">
        <f t="shared" si="47"/>
        <v/>
      </c>
      <c r="Q115" s="15" t="str">
        <f t="shared" si="47"/>
        <v/>
      </c>
    </row>
    <row r="116" spans="1:17" ht="15.75" customHeight="1" x14ac:dyDescent="0.35">
      <c r="A116" s="10"/>
      <c r="B116" s="71" t="s">
        <v>227</v>
      </c>
      <c r="C116" s="105">
        <f>C8/C105</f>
        <v>1.5509944282629921E-2</v>
      </c>
      <c r="D116" s="106"/>
      <c r="E116" s="314"/>
      <c r="F116" s="106"/>
      <c r="G116" s="105">
        <f t="shared" ref="G116:Q116" si="48">IF(G$4="","",G8/G105)</f>
        <v>1.4051564491690517E-2</v>
      </c>
      <c r="H116" s="105">
        <f t="shared" si="48"/>
        <v>2.6118144753379726E-2</v>
      </c>
      <c r="I116" s="105" t="str">
        <f t="shared" si="48"/>
        <v/>
      </c>
      <c r="J116" s="105" t="str">
        <f t="shared" si="48"/>
        <v/>
      </c>
      <c r="K116" s="105" t="str">
        <f t="shared" si="48"/>
        <v/>
      </c>
      <c r="L116" s="105" t="str">
        <f t="shared" si="48"/>
        <v/>
      </c>
      <c r="M116" s="105" t="str">
        <f t="shared" si="48"/>
        <v/>
      </c>
      <c r="N116" s="105" t="str">
        <f t="shared" si="48"/>
        <v/>
      </c>
      <c r="O116" s="105" t="str">
        <f t="shared" si="48"/>
        <v/>
      </c>
      <c r="P116" s="105" t="str">
        <f t="shared" si="48"/>
        <v/>
      </c>
      <c r="Q116" s="105" t="str">
        <f t="shared" si="48"/>
        <v/>
      </c>
    </row>
    <row r="117" spans="1:17" ht="15.75" customHeight="1" x14ac:dyDescent="0.35">
      <c r="A117" s="10"/>
      <c r="B117" s="27"/>
      <c r="C117" s="63"/>
      <c r="D117" s="27"/>
      <c r="E117" s="68"/>
      <c r="F117" s="27"/>
      <c r="G117" s="12"/>
      <c r="H117" s="12"/>
      <c r="I117" s="12"/>
      <c r="J117" s="12"/>
      <c r="K117" s="12"/>
      <c r="L117" s="12"/>
      <c r="M117" s="12"/>
      <c r="N117" s="12"/>
      <c r="O117" s="12"/>
      <c r="P117" s="12"/>
      <c r="Q117" s="12"/>
    </row>
    <row r="118" spans="1:17" ht="15.75" customHeight="1" x14ac:dyDescent="0.5">
      <c r="A118" s="10"/>
      <c r="B118" s="54" t="s">
        <v>228</v>
      </c>
      <c r="C118" s="54"/>
      <c r="D118" s="56"/>
      <c r="E118" s="67" t="s">
        <v>63</v>
      </c>
      <c r="F118" s="56"/>
      <c r="G118" s="37"/>
      <c r="H118" s="37"/>
      <c r="I118" s="37"/>
      <c r="J118" s="37"/>
      <c r="K118" s="37"/>
      <c r="L118" s="37"/>
      <c r="M118" s="37"/>
      <c r="N118" s="37"/>
      <c r="O118" s="37"/>
      <c r="P118" s="37"/>
      <c r="Q118" s="37"/>
    </row>
    <row r="119" spans="1:17" ht="15.75" customHeight="1" x14ac:dyDescent="0.35">
      <c r="A119" s="10"/>
      <c r="B119" s="183" t="s">
        <v>175</v>
      </c>
      <c r="C119" s="184"/>
      <c r="D119" s="27"/>
      <c r="E119" s="308"/>
      <c r="F119" s="27"/>
      <c r="G119" s="12"/>
      <c r="H119" s="12"/>
      <c r="I119" s="12"/>
      <c r="J119" s="12"/>
      <c r="K119" s="12"/>
      <c r="L119" s="12"/>
      <c r="M119" s="12"/>
      <c r="N119" s="12"/>
      <c r="O119" s="12"/>
      <c r="P119" s="12"/>
      <c r="Q119" s="12"/>
    </row>
    <row r="120" spans="1:17" ht="15.75" customHeight="1" x14ac:dyDescent="0.35">
      <c r="A120" s="10"/>
      <c r="B120" s="27" t="str">
        <f>"FCFE per share ("&amp;Market_currency&amp;")"</f>
        <v>FCFE per share (HKD)</v>
      </c>
      <c r="C120" s="182">
        <f>C16*$C$3/Common_Shares*Exchange_Rate</f>
        <v>0.31089812956997381</v>
      </c>
      <c r="D120" s="27"/>
      <c r="E120" s="308"/>
      <c r="F120" s="27"/>
      <c r="G120" s="182">
        <f t="shared" ref="G120:Q120" si="49">IF(G$4="","",G16*$C$3/Common_Shares*Exchange_Rate)</f>
        <v>0.34361354265677985</v>
      </c>
      <c r="H120" s="182">
        <f t="shared" si="49"/>
        <v>0.55366302745045104</v>
      </c>
      <c r="I120" s="182" t="str">
        <f t="shared" si="49"/>
        <v/>
      </c>
      <c r="J120" s="182" t="str">
        <f t="shared" si="49"/>
        <v/>
      </c>
      <c r="K120" s="182" t="str">
        <f t="shared" si="49"/>
        <v/>
      </c>
      <c r="L120" s="182" t="str">
        <f t="shared" si="49"/>
        <v/>
      </c>
      <c r="M120" s="182" t="str">
        <f t="shared" si="49"/>
        <v/>
      </c>
      <c r="N120" s="182" t="str">
        <f t="shared" si="49"/>
        <v/>
      </c>
      <c r="O120" s="182" t="str">
        <f t="shared" si="49"/>
        <v/>
      </c>
      <c r="P120" s="182" t="str">
        <f t="shared" si="49"/>
        <v/>
      </c>
      <c r="Q120" s="182" t="str">
        <f t="shared" si="49"/>
        <v/>
      </c>
    </row>
    <row r="121" spans="1:17" ht="15.75" customHeight="1" x14ac:dyDescent="0.35">
      <c r="A121" s="10"/>
      <c r="B121" s="27" t="s">
        <v>283</v>
      </c>
      <c r="C121" s="79">
        <f>C19*Exchange_Rate*$C$3/(Market_Price*Common_Shares)</f>
        <v>3.9354193616452378E-2</v>
      </c>
      <c r="D121" s="27"/>
      <c r="E121" s="308"/>
      <c r="F121" s="27"/>
      <c r="G121" s="79">
        <f t="shared" ref="G121" si="50">IF(G$4="","",G120/Market_Price)</f>
        <v>4.3495385146427826E-2</v>
      </c>
      <c r="H121" s="79">
        <f t="shared" ref="H121" si="51">IF(H$4="","",H120/Market_Price)</f>
        <v>7.0083927525373541E-2</v>
      </c>
      <c r="I121" s="79" t="str">
        <f t="shared" ref="I121" si="52">IF(I$4="","",I120/Market_Price)</f>
        <v/>
      </c>
      <c r="J121" s="79" t="str">
        <f t="shared" ref="J121" si="53">IF(J$4="","",J120/Market_Price)</f>
        <v/>
      </c>
      <c r="K121" s="79" t="str">
        <f t="shared" ref="K121" si="54">IF(K$4="","",K120/Market_Price)</f>
        <v/>
      </c>
      <c r="L121" s="79" t="str">
        <f t="shared" ref="L121" si="55">IF(L$4="","",L120/Market_Price)</f>
        <v/>
      </c>
      <c r="M121" s="79" t="str">
        <f t="shared" ref="M121" si="56">IF(M$4="","",M120/Market_Price)</f>
        <v/>
      </c>
      <c r="N121" s="79" t="str">
        <f t="shared" ref="N121" si="57">IF(N$4="","",N120/Market_Price)</f>
        <v/>
      </c>
      <c r="O121" s="79" t="str">
        <f t="shared" ref="O121" si="58">IF(O$4="","",O120/Market_Price)</f>
        <v/>
      </c>
      <c r="P121" s="79" t="str">
        <f t="shared" ref="P121" si="59">IF(P$4="","",P120/Market_Price)</f>
        <v/>
      </c>
      <c r="Q121" s="79" t="str">
        <f t="shared" ref="Q121" si="60">IF(Q$4="","",Q120/Market_Price)</f>
        <v/>
      </c>
    </row>
    <row r="122" spans="1:17" ht="15.75" customHeight="1" x14ac:dyDescent="0.35"/>
    <row r="123" spans="1:17" ht="15.75" customHeight="1" x14ac:dyDescent="0.35"/>
    <row r="124" spans="1:17" ht="15.75" customHeight="1" x14ac:dyDescent="0.35"/>
    <row r="125" spans="1:17" ht="15.75" customHeight="1" x14ac:dyDescent="0.35"/>
    <row r="126" spans="1:17" ht="15.75" customHeight="1" x14ac:dyDescent="0.35"/>
    <row r="127" spans="1:17" ht="15.75" customHeight="1" x14ac:dyDescent="0.35"/>
    <row r="128" spans="1:17"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D6" sqref="D6"/>
    </sheetView>
  </sheetViews>
  <sheetFormatPr defaultColWidth="8.796875" defaultRowHeight="12.75" x14ac:dyDescent="0.35"/>
  <cols>
    <col min="1" max="1" width="6.1328125" customWidth="1"/>
    <col min="2" max="2" width="24.73046875" customWidth="1"/>
    <col min="3" max="6" width="20.6640625" customWidth="1"/>
    <col min="7" max="7" width="5.6640625" customWidth="1"/>
    <col min="8" max="8" width="56.796875" bestFit="1" customWidth="1"/>
  </cols>
  <sheetData>
    <row r="2" spans="2:8" ht="13.9" x14ac:dyDescent="0.45">
      <c r="B2" s="36" t="s">
        <v>59</v>
      </c>
      <c r="C2" s="37"/>
      <c r="D2" s="37"/>
      <c r="E2" s="37"/>
      <c r="F2" s="37"/>
      <c r="H2" s="134" t="s">
        <v>63</v>
      </c>
    </row>
    <row r="3" spans="2:8" ht="13.15" x14ac:dyDescent="0.4">
      <c r="B3" s="112" t="s">
        <v>168</v>
      </c>
      <c r="C3" s="110">
        <f>Normalized_FCF!C3</f>
        <v>1000000</v>
      </c>
      <c r="E3" s="112" t="s">
        <v>129</v>
      </c>
      <c r="H3" s="124"/>
    </row>
    <row r="4" spans="2:8" x14ac:dyDescent="0.35">
      <c r="B4" s="103" t="s">
        <v>133</v>
      </c>
      <c r="C4" s="113">
        <f>Normalized_FCF!C19</f>
        <v>2540.6221871727971</v>
      </c>
      <c r="D4" t="str">
        <f>Reporting_currency</f>
        <v>HKD</v>
      </c>
      <c r="E4" s="103" t="s">
        <v>257</v>
      </c>
      <c r="F4" s="138">
        <f>Thesis!C75</f>
        <v>0</v>
      </c>
      <c r="H4" s="124"/>
    </row>
    <row r="5" spans="2:8" x14ac:dyDescent="0.35">
      <c r="B5" s="234" t="s">
        <v>128</v>
      </c>
      <c r="C5" s="235">
        <f>Thesis!C70</f>
        <v>0.09</v>
      </c>
      <c r="E5" s="152"/>
      <c r="H5" s="124"/>
    </row>
    <row r="6" spans="2:8" ht="13.15" customHeight="1" x14ac:dyDescent="0.4">
      <c r="B6" s="153" t="s">
        <v>233</v>
      </c>
      <c r="C6" s="239">
        <f>(C4*(1+Terminal_Growth))/(Equity_Cost-Terminal_Growth)</f>
        <v>28229.135413031079</v>
      </c>
      <c r="D6" t="str">
        <f>Reporting_currency</f>
        <v>HKD</v>
      </c>
      <c r="E6" s="345" t="s">
        <v>256</v>
      </c>
      <c r="F6" s="345"/>
      <c r="H6" s="124"/>
    </row>
    <row r="7" spans="2:8" x14ac:dyDescent="0.35">
      <c r="B7" s="152" t="s">
        <v>229</v>
      </c>
      <c r="C7" s="233">
        <f>BS!G31</f>
        <v>3093</v>
      </c>
      <c r="D7" t="str">
        <f>Reporting_currency</f>
        <v>HKD</v>
      </c>
      <c r="E7" s="345"/>
      <c r="F7" s="345"/>
      <c r="H7" s="124"/>
    </row>
    <row r="8" spans="2:8" x14ac:dyDescent="0.35">
      <c r="B8" s="152" t="s">
        <v>230</v>
      </c>
      <c r="C8" s="208">
        <f>BS!D66</f>
        <v>41505.820259237436</v>
      </c>
      <c r="D8" t="str">
        <f>Reporting_currency</f>
        <v>HKD</v>
      </c>
      <c r="E8" s="345"/>
      <c r="F8" s="345"/>
      <c r="H8" s="124"/>
    </row>
    <row r="9" spans="2:8" x14ac:dyDescent="0.35">
      <c r="B9" s="234" t="s">
        <v>195</v>
      </c>
      <c r="C9" s="236">
        <f>BS!H42</f>
        <v>7814.4</v>
      </c>
      <c r="D9" t="str">
        <f>Reporting_currency</f>
        <v>HKD</v>
      </c>
      <c r="E9" s="345"/>
      <c r="F9" s="345"/>
      <c r="H9" s="124"/>
    </row>
    <row r="10" spans="2:8" ht="13.15" x14ac:dyDescent="0.4">
      <c r="B10" s="153" t="s">
        <v>232</v>
      </c>
      <c r="C10" s="239">
        <f>C6-C7+C8+C9</f>
        <v>74456.355672268517</v>
      </c>
      <c r="D10" t="str">
        <f>Reporting_currency</f>
        <v>HKD</v>
      </c>
      <c r="H10" s="124"/>
    </row>
    <row r="11" spans="2:8" ht="13.15" thickBot="1" x14ac:dyDescent="0.4">
      <c r="B11" s="237" t="s">
        <v>171</v>
      </c>
      <c r="C11" s="238">
        <f>Exchange_Rate</f>
        <v>1</v>
      </c>
      <c r="D11" t="str">
        <f>Thesis!D17</f>
        <v>HKD</v>
      </c>
      <c r="H11" s="124"/>
    </row>
    <row r="12" spans="2:8" ht="13.5" thickTop="1" x14ac:dyDescent="0.4">
      <c r="B12" s="153" t="s">
        <v>107</v>
      </c>
      <c r="C12" s="115">
        <f>(C10*C3)/Common_Shares*C11</f>
        <v>9.111288498532895</v>
      </c>
      <c r="D12" t="str">
        <f>Market_currency</f>
        <v>HKD</v>
      </c>
      <c r="H12" s="124"/>
    </row>
    <row r="13" spans="2:8" x14ac:dyDescent="0.35">
      <c r="H13" s="124"/>
    </row>
    <row r="14" spans="2:8" ht="13.9" x14ac:dyDescent="0.45">
      <c r="B14" s="36" t="s">
        <v>234</v>
      </c>
      <c r="C14" s="37"/>
      <c r="D14" s="37"/>
      <c r="E14" s="37"/>
      <c r="F14" s="37"/>
      <c r="H14" s="124"/>
    </row>
    <row r="15" spans="2:8" ht="13.15" x14ac:dyDescent="0.35">
      <c r="B15" s="123" t="s">
        <v>140</v>
      </c>
      <c r="H15" s="124"/>
    </row>
    <row r="16" spans="2:8" ht="13.25" customHeight="1" x14ac:dyDescent="0.35">
      <c r="B16" s="156" t="s">
        <v>138</v>
      </c>
      <c r="C16" s="166">
        <f>Scenarios!C65</f>
        <v>-7.3000000000000001E-3</v>
      </c>
      <c r="H16" s="124"/>
    </row>
    <row r="17" spans="2:8" ht="13.25" customHeight="1" x14ac:dyDescent="0.35">
      <c r="B17" s="122" t="s">
        <v>139</v>
      </c>
      <c r="C17" s="167">
        <f>Scenarios!C64</f>
        <v>10</v>
      </c>
      <c r="H17" s="124"/>
    </row>
    <row r="18" spans="2:8" ht="13.25" customHeight="1" x14ac:dyDescent="0.4">
      <c r="B18" s="157" t="s">
        <v>111</v>
      </c>
      <c r="C18" s="144">
        <f>(F52-C7+C8+C9)*Exchange_Rate/Common_Shares*C3</f>
        <v>9.0321281164495559</v>
      </c>
      <c r="D18" t="str">
        <f>Market_currency</f>
        <v>HKD</v>
      </c>
      <c r="H18" s="124"/>
    </row>
    <row r="19" spans="2:8" x14ac:dyDescent="0.35">
      <c r="H19" s="124"/>
    </row>
    <row r="20" spans="2:8" ht="13.15" x14ac:dyDescent="0.4">
      <c r="B20" s="132" t="s">
        <v>112</v>
      </c>
      <c r="C20" s="132" t="s">
        <v>113</v>
      </c>
      <c r="D20" s="132" t="s">
        <v>123</v>
      </c>
      <c r="E20" s="132" t="s">
        <v>114</v>
      </c>
      <c r="F20" s="133" t="s">
        <v>115</v>
      </c>
      <c r="H20" s="124"/>
    </row>
    <row r="21" spans="2:8" x14ac:dyDescent="0.35">
      <c r="B21" s="126">
        <v>1</v>
      </c>
      <c r="C21" s="127">
        <f>C4*(1+D21)</f>
        <v>2522.0756452064356</v>
      </c>
      <c r="D21" s="142">
        <f>IF($C$17&lt;B21,0,Valuation_Model!$C$16)</f>
        <v>-7.3000000000000001E-3</v>
      </c>
      <c r="E21" s="128">
        <f t="shared" ref="E21:E50" si="0">IF($C$17&lt;B21,0,1/(1+Equity_Cost)^B21)</f>
        <v>0.9174311926605504</v>
      </c>
      <c r="F21" s="129">
        <f t="shared" ref="F21:F51" si="1">C21*E21</f>
        <v>2313.8308671618674</v>
      </c>
      <c r="H21" s="124"/>
    </row>
    <row r="22" spans="2:8" x14ac:dyDescent="0.35">
      <c r="B22" s="126">
        <v>2</v>
      </c>
      <c r="C22" s="127">
        <f t="shared" ref="C22:C50" si="2">IF(ROW()-ROW($C$21)&lt;$C$17, $C$21*(1+D22)^(ROW()-ROW($C$21)), 0)</f>
        <v>2503.6644929964286</v>
      </c>
      <c r="D22" s="142">
        <f>IF($C$17&lt;B22,0,Valuation_Model!$C$16)</f>
        <v>-7.3000000000000001E-3</v>
      </c>
      <c r="E22" s="128">
        <f t="shared" si="0"/>
        <v>0.84167999326655996</v>
      </c>
      <c r="F22" s="129">
        <f t="shared" si="1"/>
        <v>2107.2843136069591</v>
      </c>
      <c r="H22" s="124"/>
    </row>
    <row r="23" spans="2:8" x14ac:dyDescent="0.35">
      <c r="B23" s="126">
        <v>3</v>
      </c>
      <c r="C23" s="127">
        <f t="shared" si="2"/>
        <v>2485.3877421975549</v>
      </c>
      <c r="D23" s="142">
        <f>IF($C$17&lt;B23,0,Valuation_Model!$C$16)</f>
        <v>-7.3000000000000001E-3</v>
      </c>
      <c r="E23" s="128">
        <f t="shared" si="0"/>
        <v>0.77218348006106419</v>
      </c>
      <c r="F23" s="129">
        <f t="shared" si="1"/>
        <v>1919.1753560712189</v>
      </c>
      <c r="H23" s="124"/>
    </row>
    <row r="24" spans="2:8" x14ac:dyDescent="0.35">
      <c r="B24" s="126">
        <v>4</v>
      </c>
      <c r="C24" s="127">
        <f t="shared" si="2"/>
        <v>2467.2444116795127</v>
      </c>
      <c r="D24" s="142">
        <f>IF($C$17&lt;B24,0,Valuation_Model!$C$16)</f>
        <v>-7.3000000000000001E-3</v>
      </c>
      <c r="E24" s="128">
        <f t="shared" si="0"/>
        <v>0.7084252110651964</v>
      </c>
      <c r="F24" s="129">
        <f t="shared" si="1"/>
        <v>1747.8581430934851</v>
      </c>
      <c r="H24" s="124"/>
    </row>
    <row r="25" spans="2:8" x14ac:dyDescent="0.35">
      <c r="B25" s="126">
        <v>5</v>
      </c>
      <c r="C25" s="127">
        <f t="shared" si="2"/>
        <v>2449.2335274742522</v>
      </c>
      <c r="D25" s="142">
        <f>IF($C$17&lt;B25,0,Valuation_Model!$C$16)</f>
        <v>-7.3000000000000001E-3</v>
      </c>
      <c r="E25" s="128">
        <f t="shared" si="0"/>
        <v>0.64993138629834524</v>
      </c>
      <c r="F25" s="129">
        <f t="shared" si="1"/>
        <v>1591.8337418797271</v>
      </c>
      <c r="H25" s="124"/>
    </row>
    <row r="26" spans="2:8" x14ac:dyDescent="0.35">
      <c r="B26" s="126">
        <v>6</v>
      </c>
      <c r="C26" s="127">
        <f t="shared" si="2"/>
        <v>2431.3541227236901</v>
      </c>
      <c r="D26" s="142">
        <f>IF($C$17&lt;B26,0,Valuation_Model!$C$16)</f>
        <v>-7.3000000000000001E-3</v>
      </c>
      <c r="E26" s="128">
        <f t="shared" si="0"/>
        <v>0.5962673268792158</v>
      </c>
      <c r="F26" s="129">
        <f t="shared" si="1"/>
        <v>1449.7370234532154</v>
      </c>
      <c r="H26" s="124"/>
    </row>
    <row r="27" spans="2:8" x14ac:dyDescent="0.35">
      <c r="B27" s="126">
        <v>7</v>
      </c>
      <c r="C27" s="127">
        <f t="shared" si="2"/>
        <v>2413.6052376278076</v>
      </c>
      <c r="D27" s="142">
        <f>IF($C$17&lt;B27,0,Valuation_Model!$C$16)</f>
        <v>-7.3000000000000001E-3</v>
      </c>
      <c r="E27" s="128">
        <f t="shared" si="0"/>
        <v>0.54703424484331731</v>
      </c>
      <c r="F27" s="129">
        <f t="shared" si="1"/>
        <v>1320.3247185156031</v>
      </c>
      <c r="H27" s="124"/>
    </row>
    <row r="28" spans="2:8" x14ac:dyDescent="0.35">
      <c r="B28" s="126">
        <v>8</v>
      </c>
      <c r="C28" s="127">
        <f t="shared" si="2"/>
        <v>2395.9859193931243</v>
      </c>
      <c r="D28" s="142">
        <f>IF($C$17&lt;B28,0,Valuation_Model!$C$16)</f>
        <v>-7.3000000000000001E-3</v>
      </c>
      <c r="E28" s="128">
        <f t="shared" si="0"/>
        <v>0.50186627967276809</v>
      </c>
      <c r="F28" s="129">
        <f t="shared" si="1"/>
        <v>1202.464539514164</v>
      </c>
      <c r="H28" s="124"/>
    </row>
    <row r="29" spans="2:8" x14ac:dyDescent="0.35">
      <c r="B29" s="126">
        <v>9</v>
      </c>
      <c r="C29" s="127">
        <f t="shared" si="2"/>
        <v>2378.4952221815547</v>
      </c>
      <c r="D29" s="142">
        <f>IF($C$17&lt;B29,0,Valuation_Model!$C$16)</f>
        <v>-7.3000000000000001E-3</v>
      </c>
      <c r="E29" s="128">
        <f t="shared" si="0"/>
        <v>0.46042777951630098</v>
      </c>
      <c r="F29" s="129">
        <f t="shared" si="1"/>
        <v>1095.1252737391842</v>
      </c>
      <c r="H29" s="124"/>
    </row>
    <row r="30" spans="2:8" x14ac:dyDescent="0.35">
      <c r="B30" s="126">
        <v>10</v>
      </c>
      <c r="C30" s="127">
        <f t="shared" si="2"/>
        <v>2361.1322070596293</v>
      </c>
      <c r="D30" s="142">
        <f>IF($C$17&lt;B30,0,Valuation_Model!$C$16)</f>
        <v>-7.3000000000000001E-3</v>
      </c>
      <c r="E30" s="128">
        <f t="shared" si="0"/>
        <v>0.42241080689568894</v>
      </c>
      <c r="F30" s="129">
        <f t="shared" si="1"/>
        <v>997.36776077145691</v>
      </c>
      <c r="H30" s="124"/>
    </row>
    <row r="31" spans="2:8" x14ac:dyDescent="0.35">
      <c r="B31" s="126">
        <v>11</v>
      </c>
      <c r="C31" s="127">
        <f t="shared" si="2"/>
        <v>0</v>
      </c>
      <c r="D31" s="142">
        <f>IF($C$17&lt;B31,0,Valuation_Model!$C$16)</f>
        <v>0</v>
      </c>
      <c r="E31" s="128">
        <f t="shared" si="0"/>
        <v>0</v>
      </c>
      <c r="F31" s="129">
        <f t="shared" si="1"/>
        <v>0</v>
      </c>
      <c r="H31" s="124"/>
    </row>
    <row r="32" spans="2:8" x14ac:dyDescent="0.35">
      <c r="B32" s="126">
        <v>12</v>
      </c>
      <c r="C32" s="127">
        <f t="shared" si="2"/>
        <v>0</v>
      </c>
      <c r="D32" s="142">
        <f>IF($C$17&lt;B32,0,Valuation_Model!$C$16)</f>
        <v>0</v>
      </c>
      <c r="E32" s="128">
        <f t="shared" si="0"/>
        <v>0</v>
      </c>
      <c r="F32" s="129">
        <f t="shared" si="1"/>
        <v>0</v>
      </c>
      <c r="H32" s="124"/>
    </row>
    <row r="33" spans="2:8" x14ac:dyDescent="0.35">
      <c r="B33" s="126">
        <v>13</v>
      </c>
      <c r="C33" s="127">
        <f t="shared" si="2"/>
        <v>0</v>
      </c>
      <c r="D33" s="142">
        <f>IF($C$17&lt;B33,0,Valuation_Model!$C$16)</f>
        <v>0</v>
      </c>
      <c r="E33" s="128">
        <f t="shared" si="0"/>
        <v>0</v>
      </c>
      <c r="F33" s="129">
        <f t="shared" si="1"/>
        <v>0</v>
      </c>
      <c r="H33" s="124"/>
    </row>
    <row r="34" spans="2:8" x14ac:dyDescent="0.35">
      <c r="B34" s="126">
        <v>14</v>
      </c>
      <c r="C34" s="127">
        <f t="shared" si="2"/>
        <v>0</v>
      </c>
      <c r="D34" s="142">
        <f>IF($C$17&lt;B34,0,Valuation_Model!$C$16)</f>
        <v>0</v>
      </c>
      <c r="E34" s="128">
        <f t="shared" si="0"/>
        <v>0</v>
      </c>
      <c r="F34" s="129">
        <f t="shared" si="1"/>
        <v>0</v>
      </c>
      <c r="H34" s="124"/>
    </row>
    <row r="35" spans="2:8" x14ac:dyDescent="0.35">
      <c r="B35" s="126">
        <v>15</v>
      </c>
      <c r="C35" s="127">
        <f t="shared" si="2"/>
        <v>0</v>
      </c>
      <c r="D35" s="142">
        <f>IF($C$17&lt;B35,0,Valuation_Model!$C$16)</f>
        <v>0</v>
      </c>
      <c r="E35" s="128">
        <f t="shared" si="0"/>
        <v>0</v>
      </c>
      <c r="F35" s="129">
        <f t="shared" si="1"/>
        <v>0</v>
      </c>
      <c r="H35" s="124"/>
    </row>
    <row r="36" spans="2:8" x14ac:dyDescent="0.35">
      <c r="B36" s="126">
        <v>16</v>
      </c>
      <c r="C36" s="127">
        <f t="shared" si="2"/>
        <v>0</v>
      </c>
      <c r="D36" s="142">
        <f>IF($C$17&lt;B36,0,Valuation_Model!$C$16)</f>
        <v>0</v>
      </c>
      <c r="E36" s="128">
        <f t="shared" si="0"/>
        <v>0</v>
      </c>
      <c r="F36" s="129">
        <f t="shared" si="1"/>
        <v>0</v>
      </c>
      <c r="H36" s="124"/>
    </row>
    <row r="37" spans="2:8" x14ac:dyDescent="0.35">
      <c r="B37" s="126">
        <v>17</v>
      </c>
      <c r="C37" s="127">
        <f t="shared" si="2"/>
        <v>0</v>
      </c>
      <c r="D37" s="142">
        <f>IF($C$17&lt;B37,0,Valuation_Model!$C$16)</f>
        <v>0</v>
      </c>
      <c r="E37" s="128">
        <f t="shared" si="0"/>
        <v>0</v>
      </c>
      <c r="F37" s="129">
        <f t="shared" si="1"/>
        <v>0</v>
      </c>
      <c r="H37" s="124"/>
    </row>
    <row r="38" spans="2:8" x14ac:dyDescent="0.35">
      <c r="B38" s="126">
        <v>18</v>
      </c>
      <c r="C38" s="127">
        <f t="shared" si="2"/>
        <v>0</v>
      </c>
      <c r="D38" s="142">
        <f>IF($C$17&lt;B38,0,Valuation_Model!$C$16)</f>
        <v>0</v>
      </c>
      <c r="E38" s="128">
        <f t="shared" si="0"/>
        <v>0</v>
      </c>
      <c r="F38" s="129">
        <f t="shared" si="1"/>
        <v>0</v>
      </c>
      <c r="H38" s="124"/>
    </row>
    <row r="39" spans="2:8" x14ac:dyDescent="0.35">
      <c r="B39" s="126">
        <v>19</v>
      </c>
      <c r="C39" s="127">
        <f t="shared" si="2"/>
        <v>0</v>
      </c>
      <c r="D39" s="142">
        <f>IF($C$17&lt;B39,0,Valuation_Model!$C$16)</f>
        <v>0</v>
      </c>
      <c r="E39" s="128">
        <f t="shared" si="0"/>
        <v>0</v>
      </c>
      <c r="F39" s="129">
        <f t="shared" si="1"/>
        <v>0</v>
      </c>
      <c r="H39" s="124"/>
    </row>
    <row r="40" spans="2:8" x14ac:dyDescent="0.35">
      <c r="B40" s="126">
        <v>20</v>
      </c>
      <c r="C40" s="127">
        <f t="shared" si="2"/>
        <v>0</v>
      </c>
      <c r="D40" s="142">
        <f>IF($C$17&lt;B40,0,Valuation_Model!$C$16)</f>
        <v>0</v>
      </c>
      <c r="E40" s="128">
        <f t="shared" si="0"/>
        <v>0</v>
      </c>
      <c r="F40" s="129">
        <f t="shared" si="1"/>
        <v>0</v>
      </c>
      <c r="H40" s="124"/>
    </row>
    <row r="41" spans="2:8" x14ac:dyDescent="0.35">
      <c r="B41" s="126">
        <v>21</v>
      </c>
      <c r="C41" s="127">
        <f t="shared" si="2"/>
        <v>0</v>
      </c>
      <c r="D41" s="142">
        <f>IF($C$17&lt;B41,0,Valuation_Model!$C$16)</f>
        <v>0</v>
      </c>
      <c r="E41" s="128">
        <f t="shared" si="0"/>
        <v>0</v>
      </c>
      <c r="F41" s="129">
        <f t="shared" si="1"/>
        <v>0</v>
      </c>
      <c r="H41" s="124"/>
    </row>
    <row r="42" spans="2:8" x14ac:dyDescent="0.35">
      <c r="B42" s="126">
        <v>22</v>
      </c>
      <c r="C42" s="127">
        <f t="shared" si="2"/>
        <v>0</v>
      </c>
      <c r="D42" s="142">
        <f>IF($C$17&lt;B42,0,Valuation_Model!$C$16)</f>
        <v>0</v>
      </c>
      <c r="E42" s="128">
        <f t="shared" si="0"/>
        <v>0</v>
      </c>
      <c r="F42" s="129">
        <f t="shared" si="1"/>
        <v>0</v>
      </c>
      <c r="H42" s="124"/>
    </row>
    <row r="43" spans="2:8" x14ac:dyDescent="0.35">
      <c r="B43" s="126">
        <v>23</v>
      </c>
      <c r="C43" s="127">
        <f t="shared" si="2"/>
        <v>0</v>
      </c>
      <c r="D43" s="142">
        <f>IF($C$17&lt;B43,0,Valuation_Model!$C$16)</f>
        <v>0</v>
      </c>
      <c r="E43" s="128">
        <f t="shared" si="0"/>
        <v>0</v>
      </c>
      <c r="F43" s="129">
        <f t="shared" si="1"/>
        <v>0</v>
      </c>
      <c r="H43" s="124"/>
    </row>
    <row r="44" spans="2:8" x14ac:dyDescent="0.35">
      <c r="B44" s="126">
        <v>24</v>
      </c>
      <c r="C44" s="127">
        <f t="shared" si="2"/>
        <v>0</v>
      </c>
      <c r="D44" s="142">
        <f>IF($C$17&lt;B44,0,Valuation_Model!$C$16)</f>
        <v>0</v>
      </c>
      <c r="E44" s="128">
        <f t="shared" si="0"/>
        <v>0</v>
      </c>
      <c r="F44" s="129">
        <f t="shared" si="1"/>
        <v>0</v>
      </c>
      <c r="H44" s="124"/>
    </row>
    <row r="45" spans="2:8" x14ac:dyDescent="0.35">
      <c r="B45" s="126">
        <v>25</v>
      </c>
      <c r="C45" s="127">
        <f t="shared" si="2"/>
        <v>0</v>
      </c>
      <c r="D45" s="142">
        <f>IF($C$17&lt;B45,0,Valuation_Model!$C$16)</f>
        <v>0</v>
      </c>
      <c r="E45" s="128">
        <f t="shared" si="0"/>
        <v>0</v>
      </c>
      <c r="F45" s="129">
        <f t="shared" si="1"/>
        <v>0</v>
      </c>
      <c r="H45" s="124"/>
    </row>
    <row r="46" spans="2:8" x14ac:dyDescent="0.35">
      <c r="B46" s="126">
        <v>26</v>
      </c>
      <c r="C46" s="127">
        <f t="shared" si="2"/>
        <v>0</v>
      </c>
      <c r="D46" s="142">
        <f>IF($C$17&lt;B46,0,Valuation_Model!$C$16)</f>
        <v>0</v>
      </c>
      <c r="E46" s="128">
        <f t="shared" si="0"/>
        <v>0</v>
      </c>
      <c r="F46" s="129">
        <f t="shared" si="1"/>
        <v>0</v>
      </c>
      <c r="H46" s="124"/>
    </row>
    <row r="47" spans="2:8" x14ac:dyDescent="0.35">
      <c r="B47" s="126">
        <v>27</v>
      </c>
      <c r="C47" s="127">
        <f t="shared" si="2"/>
        <v>0</v>
      </c>
      <c r="D47" s="142">
        <f>IF($C$17&lt;B47,0,Valuation_Model!$C$16)</f>
        <v>0</v>
      </c>
      <c r="E47" s="128">
        <f t="shared" si="0"/>
        <v>0</v>
      </c>
      <c r="F47" s="129">
        <f t="shared" si="1"/>
        <v>0</v>
      </c>
      <c r="H47" s="124"/>
    </row>
    <row r="48" spans="2:8" x14ac:dyDescent="0.35">
      <c r="B48" s="126">
        <v>28</v>
      </c>
      <c r="C48" s="127">
        <f t="shared" si="2"/>
        <v>0</v>
      </c>
      <c r="D48" s="142">
        <f>IF($C$17&lt;B48,0,Valuation_Model!$C$16)</f>
        <v>0</v>
      </c>
      <c r="E48" s="128">
        <f t="shared" si="0"/>
        <v>0</v>
      </c>
      <c r="F48" s="129">
        <f t="shared" si="1"/>
        <v>0</v>
      </c>
      <c r="H48" s="124"/>
    </row>
    <row r="49" spans="1:8" x14ac:dyDescent="0.35">
      <c r="B49" s="126">
        <v>29</v>
      </c>
      <c r="C49" s="127">
        <f t="shared" si="2"/>
        <v>0</v>
      </c>
      <c r="D49" s="142">
        <f>IF($C$17&lt;B49,0,Valuation_Model!$C$16)</f>
        <v>0</v>
      </c>
      <c r="E49" s="128">
        <f t="shared" si="0"/>
        <v>0</v>
      </c>
      <c r="F49" s="129">
        <f t="shared" si="1"/>
        <v>0</v>
      </c>
      <c r="H49" s="124"/>
    </row>
    <row r="50" spans="1:8" x14ac:dyDescent="0.35">
      <c r="B50" s="126">
        <v>30</v>
      </c>
      <c r="C50" s="127">
        <f t="shared" si="2"/>
        <v>0</v>
      </c>
      <c r="D50" s="142">
        <f>IF($C$17&lt;B50,0,Valuation_Model!$C$16)</f>
        <v>0</v>
      </c>
      <c r="E50" s="128">
        <f t="shared" si="0"/>
        <v>0</v>
      </c>
      <c r="F50" s="129">
        <f t="shared" si="1"/>
        <v>0</v>
      </c>
      <c r="H50" s="124"/>
    </row>
    <row r="51" spans="1:8" x14ac:dyDescent="0.35">
      <c r="B51" s="130" t="s">
        <v>136</v>
      </c>
      <c r="C51" s="127">
        <f>C$21*(1+Terminal_Growth)^$C$17/Equity_Cost</f>
        <v>28023.062724515952</v>
      </c>
      <c r="D51" s="143">
        <f>Terminal_Growth</f>
        <v>0</v>
      </c>
      <c r="E51" s="128">
        <f>1/(1+Equity_Cost)^C17</f>
        <v>0.42241080689568894</v>
      </c>
      <c r="F51" s="129">
        <f t="shared" si="1"/>
        <v>11837.244537151286</v>
      </c>
      <c r="H51" s="124"/>
    </row>
    <row r="52" spans="1:8" x14ac:dyDescent="0.35">
      <c r="C52" s="118"/>
      <c r="E52" s="131" t="s">
        <v>105</v>
      </c>
      <c r="F52" s="141">
        <f>SUM(F21:F51)</f>
        <v>27582.246274958168</v>
      </c>
      <c r="H52" s="124"/>
    </row>
    <row r="53" spans="1:8" x14ac:dyDescent="0.35">
      <c r="C53" s="118"/>
      <c r="H53" s="124"/>
    </row>
    <row r="54" spans="1:8" ht="13.15" x14ac:dyDescent="0.35">
      <c r="B54" s="123" t="s">
        <v>134</v>
      </c>
      <c r="C54" s="140"/>
      <c r="D54" s="140"/>
      <c r="E54" s="121"/>
      <c r="F54" s="121"/>
      <c r="H54" s="124"/>
    </row>
    <row r="55" spans="1:8" ht="13.15" x14ac:dyDescent="0.4">
      <c r="A55" s="137">
        <f>F52</f>
        <v>27582.246274958168</v>
      </c>
      <c r="B55" s="135">
        <f>C78</f>
        <v>-0.2</v>
      </c>
      <c r="C55" s="135">
        <f>C77</f>
        <v>-0.05</v>
      </c>
      <c r="D55" s="135">
        <f>C76</f>
        <v>0</v>
      </c>
      <c r="E55" s="135">
        <f>C75</f>
        <v>0.02</v>
      </c>
      <c r="F55" s="135">
        <f>C74</f>
        <v>0.05</v>
      </c>
      <c r="H55" s="124"/>
    </row>
    <row r="56" spans="1:8" ht="13.15" x14ac:dyDescent="0.4">
      <c r="A56" s="147">
        <v>5</v>
      </c>
      <c r="B56" s="127">
        <f t="dataTable" ref="B56:F61" dt2D="1" dtr="1" r1="C16" r2="C17"/>
        <v>20193.592912324937</v>
      </c>
      <c r="C56" s="127">
        <v>25999.545497513922</v>
      </c>
      <c r="D56" s="127">
        <v>28229.135413031072</v>
      </c>
      <c r="E56" s="127">
        <v>29169.388943080252</v>
      </c>
      <c r="F56" s="127">
        <v>30635.527109280756</v>
      </c>
      <c r="H56" s="124"/>
    </row>
    <row r="57" spans="1:8" ht="13.15" x14ac:dyDescent="0.4">
      <c r="A57" s="147">
        <v>10</v>
      </c>
      <c r="B57" s="127">
        <v>16230.163670980823</v>
      </c>
      <c r="C57" s="127">
        <v>24207.81034217267</v>
      </c>
      <c r="D57" s="127">
        <v>28229.135413031065</v>
      </c>
      <c r="E57" s="127">
        <v>30120.811948539595</v>
      </c>
      <c r="F57" s="127">
        <v>33324.021051394309</v>
      </c>
      <c r="H57" s="124"/>
    </row>
    <row r="58" spans="1:8" ht="13.15" x14ac:dyDescent="0.4">
      <c r="A58" s="147">
        <v>15</v>
      </c>
      <c r="B58" s="127">
        <v>13140.890829194326</v>
      </c>
      <c r="C58" s="127">
        <v>22409.643349910642</v>
      </c>
      <c r="D58" s="127">
        <v>28229.135413031065</v>
      </c>
      <c r="E58" s="127">
        <v>31246.686937184058</v>
      </c>
      <c r="F58" s="127">
        <v>36765.0666593145</v>
      </c>
      <c r="H58" s="124"/>
    </row>
    <row r="59" spans="1:8" ht="13.15" x14ac:dyDescent="0.4">
      <c r="A59" s="148">
        <v>20</v>
      </c>
      <c r="B59" s="127">
        <v>11023.754834817611</v>
      </c>
      <c r="C59" s="127">
        <v>20922.286661863869</v>
      </c>
      <c r="D59" s="127">
        <v>28229.135413031061</v>
      </c>
      <c r="E59" s="127">
        <v>32342.609628836006</v>
      </c>
      <c r="F59" s="127">
        <v>40406.434113458046</v>
      </c>
      <c r="H59" s="124"/>
    </row>
    <row r="60" spans="1:8" ht="13.15" x14ac:dyDescent="0.4">
      <c r="A60" s="148">
        <v>25</v>
      </c>
      <c r="B60" s="127">
        <v>9624.4797447577112</v>
      </c>
      <c r="C60" s="127">
        <v>19795.345519715876</v>
      </c>
      <c r="D60" s="127">
        <v>28229.135413031061</v>
      </c>
      <c r="E60" s="127">
        <v>33316.212150828149</v>
      </c>
      <c r="F60" s="127">
        <v>43938.451096733559</v>
      </c>
      <c r="H60" s="124"/>
    </row>
    <row r="61" spans="1:8" ht="13.15" x14ac:dyDescent="0.4">
      <c r="A61" s="148">
        <v>30</v>
      </c>
      <c r="B61" s="127">
        <v>8710.0885982663494</v>
      </c>
      <c r="C61" s="127">
        <v>18982.314945066366</v>
      </c>
      <c r="D61" s="127">
        <v>28229.135413031065</v>
      </c>
      <c r="E61" s="127">
        <v>34136.509865863532</v>
      </c>
      <c r="F61" s="127">
        <v>47200.695522272283</v>
      </c>
      <c r="H61" s="124"/>
    </row>
    <row r="62" spans="1:8" x14ac:dyDescent="0.35">
      <c r="C62" s="118"/>
      <c r="D62" s="118"/>
      <c r="E62" s="118"/>
      <c r="F62" s="118"/>
      <c r="H62" s="124"/>
    </row>
    <row r="63" spans="1:8" ht="13.15" x14ac:dyDescent="0.35">
      <c r="B63" s="123" t="s">
        <v>135</v>
      </c>
      <c r="C63" s="118"/>
      <c r="D63" s="118"/>
      <c r="E63" s="118"/>
      <c r="F63" s="118"/>
      <c r="H63" s="124"/>
    </row>
    <row r="64" spans="1:8" ht="13.15" x14ac:dyDescent="0.4">
      <c r="B64" s="136">
        <f>B55</f>
        <v>-0.2</v>
      </c>
      <c r="C64" s="136">
        <f>C55</f>
        <v>-0.05</v>
      </c>
      <c r="D64" s="136">
        <f>D55</f>
        <v>0</v>
      </c>
      <c r="E64" s="136">
        <f>E55</f>
        <v>0.02</v>
      </c>
      <c r="F64" s="136">
        <f>F55</f>
        <v>0.05</v>
      </c>
      <c r="H64" s="124"/>
    </row>
    <row r="65" spans="1:8" ht="13.15" x14ac:dyDescent="0.4">
      <c r="A65" s="147">
        <v>0</v>
      </c>
      <c r="B65" s="128">
        <f>C12</f>
        <v>9.111288498532895</v>
      </c>
      <c r="C65" s="128">
        <f>C12</f>
        <v>9.111288498532895</v>
      </c>
      <c r="D65" s="128">
        <f>C12</f>
        <v>9.111288498532895</v>
      </c>
      <c r="E65" s="145">
        <f>C12</f>
        <v>9.111288498532895</v>
      </c>
      <c r="F65" s="128">
        <f>C12</f>
        <v>9.111288498532895</v>
      </c>
      <c r="H65" s="124"/>
    </row>
    <row r="66" spans="1:8" ht="13.15" x14ac:dyDescent="0.4">
      <c r="A66" s="147">
        <f t="shared" ref="A66:A71" si="3">A56</f>
        <v>5</v>
      </c>
      <c r="B66" s="128">
        <f t="shared" ref="B66:F71" si="4">(B56-$C$7+$C$8+$C$9)/Common_Shares*$C$3*Exchange_Rate</f>
        <v>8.1279722281473283</v>
      </c>
      <c r="C66" s="128">
        <f t="shared" si="4"/>
        <v>8.8384516564624356</v>
      </c>
      <c r="D66" s="128">
        <f t="shared" si="4"/>
        <v>9.1112884985328915</v>
      </c>
      <c r="E66" s="128">
        <f t="shared" si="4"/>
        <v>9.2263481344322198</v>
      </c>
      <c r="F66" s="128">
        <f t="shared" si="4"/>
        <v>9.4057607270893442</v>
      </c>
      <c r="H66" s="124"/>
    </row>
    <row r="67" spans="1:8" ht="13.15" x14ac:dyDescent="0.4">
      <c r="A67" s="147">
        <f t="shared" si="3"/>
        <v>10</v>
      </c>
      <c r="B67" s="128">
        <f t="shared" si="4"/>
        <v>7.6429639714934581</v>
      </c>
      <c r="C67" s="128">
        <f t="shared" si="4"/>
        <v>8.6191954792579697</v>
      </c>
      <c r="D67" s="128">
        <f t="shared" si="4"/>
        <v>9.1112884985328897</v>
      </c>
      <c r="E67" s="128">
        <f t="shared" si="4"/>
        <v>9.3427745886766083</v>
      </c>
      <c r="F67" s="128">
        <f t="shared" si="4"/>
        <v>9.7347540509229198</v>
      </c>
      <c r="H67" s="124"/>
    </row>
    <row r="68" spans="1:8" ht="13.15" x14ac:dyDescent="0.4">
      <c r="A68" s="147">
        <f t="shared" si="3"/>
        <v>15</v>
      </c>
      <c r="B68" s="128">
        <f t="shared" si="4"/>
        <v>7.2649269878396519</v>
      </c>
      <c r="C68" s="128">
        <f t="shared" si="4"/>
        <v>8.3991522326189099</v>
      </c>
      <c r="D68" s="128">
        <f t="shared" si="4"/>
        <v>9.1112884985328897</v>
      </c>
      <c r="E68" s="128">
        <f t="shared" si="4"/>
        <v>9.480548882653272</v>
      </c>
      <c r="F68" s="128">
        <f t="shared" si="4"/>
        <v>10.155837771544068</v>
      </c>
      <c r="H68" s="124"/>
    </row>
    <row r="69" spans="1:8" ht="13.15" x14ac:dyDescent="0.4">
      <c r="A69" s="148">
        <f t="shared" si="3"/>
        <v>20</v>
      </c>
      <c r="B69" s="128">
        <f t="shared" si="4"/>
        <v>7.0058512291454997</v>
      </c>
      <c r="C69" s="128">
        <f t="shared" si="4"/>
        <v>8.2171431111321347</v>
      </c>
      <c r="D69" s="128">
        <f t="shared" si="4"/>
        <v>9.1112884985328897</v>
      </c>
      <c r="E69" s="128">
        <f t="shared" si="4"/>
        <v>9.614657888198499</v>
      </c>
      <c r="F69" s="128">
        <f t="shared" si="4"/>
        <v>10.601435049362856</v>
      </c>
      <c r="H69" s="124"/>
    </row>
    <row r="70" spans="1:8" ht="13.15" x14ac:dyDescent="0.4">
      <c r="A70" s="148">
        <f t="shared" si="3"/>
        <v>25</v>
      </c>
      <c r="B70" s="128">
        <f t="shared" si="4"/>
        <v>6.8346207288177103</v>
      </c>
      <c r="C70" s="128">
        <f t="shared" si="4"/>
        <v>8.0792383510311669</v>
      </c>
      <c r="D70" s="128">
        <f t="shared" si="4"/>
        <v>9.1112884985328897</v>
      </c>
      <c r="E70" s="128">
        <f t="shared" si="4"/>
        <v>9.7337984690216537</v>
      </c>
      <c r="F70" s="128">
        <f t="shared" si="4"/>
        <v>11.03365101569341</v>
      </c>
    </row>
    <row r="71" spans="1:8" ht="13.15" x14ac:dyDescent="0.4">
      <c r="A71" s="148">
        <f t="shared" si="3"/>
        <v>30</v>
      </c>
      <c r="B71" s="128">
        <f t="shared" si="4"/>
        <v>6.7227258951132729</v>
      </c>
      <c r="C71" s="128">
        <f t="shared" si="4"/>
        <v>7.97974709797594</v>
      </c>
      <c r="D71" s="128">
        <f t="shared" si="4"/>
        <v>9.1112884985328897</v>
      </c>
      <c r="E71" s="128">
        <f t="shared" si="4"/>
        <v>9.8341790083173546</v>
      </c>
      <c r="F71" s="128">
        <f t="shared" si="4"/>
        <v>11.43285468132332</v>
      </c>
    </row>
    <row r="73" spans="1:8" ht="13.15" x14ac:dyDescent="0.4">
      <c r="B73" s="176" t="s">
        <v>122</v>
      </c>
      <c r="C73" s="176" t="s">
        <v>137</v>
      </c>
      <c r="D73" s="176" t="s">
        <v>117</v>
      </c>
      <c r="E73" s="177" t="s">
        <v>118</v>
      </c>
      <c r="F73" s="177" t="s">
        <v>124</v>
      </c>
    </row>
    <row r="74" spans="1:8" x14ac:dyDescent="0.35">
      <c r="B74" s="131" t="str">
        <f>Scenarios!B54</f>
        <v>Snowball Scenario</v>
      </c>
      <c r="C74" s="146">
        <f>Scenarios!C56</f>
        <v>0.05</v>
      </c>
      <c r="D74" s="149">
        <f>Scenarios!C55</f>
        <v>15</v>
      </c>
      <c r="E74" s="139">
        <f>INDEX(B$65:F$71, MATCH(D74, A$65:A$71, 0), MATCH(C74, B$64:F$64, 0))</f>
        <v>10.155837771544068</v>
      </c>
      <c r="F74" s="146">
        <f>Scenarios!C58</f>
        <v>0.05</v>
      </c>
    </row>
    <row r="75" spans="1:8" x14ac:dyDescent="0.35">
      <c r="B75" s="131" t="str">
        <f>Scenarios!B36</f>
        <v>Optimistic</v>
      </c>
      <c r="C75" s="146">
        <f>Scenarios!C38</f>
        <v>0.02</v>
      </c>
      <c r="D75" s="149">
        <f>Scenarios!C37</f>
        <v>10</v>
      </c>
      <c r="E75" s="139">
        <f>INDEX(B$65:F$71, MATCH(D75, A$65:A$71, 0), MATCH(C75, B$64:F$64, 0))</f>
        <v>9.3427745886766083</v>
      </c>
      <c r="F75" s="146">
        <f>Scenarios!C40*(1-F$74-F$78)</f>
        <v>0.22499999999999992</v>
      </c>
      <c r="H75" s="124"/>
    </row>
    <row r="76" spans="1:8" x14ac:dyDescent="0.35">
      <c r="B76" s="131" t="str">
        <f>Scenarios!B24</f>
        <v>Base</v>
      </c>
      <c r="C76" s="146">
        <f>Scenarios!C26</f>
        <v>0</v>
      </c>
      <c r="D76" s="149">
        <f>Scenarios!C25</f>
        <v>10</v>
      </c>
      <c r="E76" s="139">
        <f>INDEX(B$65:F$71, MATCH(D76, A$65:A$71, 0), MATCH(C76, B$64:F$64, 0))</f>
        <v>9.1112884985328897</v>
      </c>
      <c r="F76" s="146">
        <f>Scenarios!C28*(1-F$74-F$78)</f>
        <v>0.495</v>
      </c>
      <c r="H76" s="124"/>
    </row>
    <row r="77" spans="1:8" x14ac:dyDescent="0.35">
      <c r="B77" s="131" t="str">
        <f>Scenarios!B30</f>
        <v>Pessimistic</v>
      </c>
      <c r="C77" s="146">
        <f>Scenarios!C32</f>
        <v>-0.05</v>
      </c>
      <c r="D77" s="149">
        <f>Scenarios!C31</f>
        <v>10</v>
      </c>
      <c r="E77" s="139">
        <f>INDEX(B$65:F$71, MATCH(D77, A$65:A$71, 0), MATCH(C77, B$64:F$64, 0))</f>
        <v>8.6191954792579697</v>
      </c>
      <c r="F77" s="146">
        <f>Scenarios!C34*(1-F$74-F$78)</f>
        <v>0.18</v>
      </c>
      <c r="H77" s="124"/>
    </row>
    <row r="78" spans="1:8" x14ac:dyDescent="0.35">
      <c r="B78" s="131" t="str">
        <f>Scenarios!B48</f>
        <v>Devil's advocate</v>
      </c>
      <c r="C78" s="146">
        <f>Scenarios!C50</f>
        <v>-0.2</v>
      </c>
      <c r="D78" s="149">
        <f>Scenarios!C49</f>
        <v>15</v>
      </c>
      <c r="E78" s="139">
        <f>INDEX(B$65:F$71, MATCH(D78, A$65:A$71, 0), MATCH(C78, B$64:F$64, 0))</f>
        <v>7.2649269878396519</v>
      </c>
      <c r="F78" s="146">
        <f>Scenarios!C52</f>
        <v>0.05</v>
      </c>
    </row>
    <row r="79" spans="1:8" x14ac:dyDescent="0.35">
      <c r="B79" s="160"/>
      <c r="C79" s="160"/>
      <c r="D79" s="160"/>
      <c r="E79" s="160"/>
      <c r="F79" s="161"/>
    </row>
    <row r="80" spans="1:8" x14ac:dyDescent="0.35">
      <c r="B80" s="160" t="s">
        <v>342</v>
      </c>
      <c r="C80" s="160" t="s">
        <v>110</v>
      </c>
    </row>
    <row r="81" spans="3:3" x14ac:dyDescent="0.35">
      <c r="C81" s="160" t="s">
        <v>109</v>
      </c>
    </row>
    <row r="82" spans="3:3" x14ac:dyDescent="0.35">
      <c r="C82" s="160" t="s">
        <v>108</v>
      </c>
    </row>
    <row r="92" spans="3:3" x14ac:dyDescent="0.35">
      <c r="C92" s="119"/>
    </row>
    <row r="93" spans="3:3" x14ac:dyDescent="0.35">
      <c r="C93" s="119"/>
    </row>
    <row r="94" spans="3:3" x14ac:dyDescent="0.35">
      <c r="C94" s="119"/>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92"/>
  <sheetViews>
    <sheetView showGridLines="0" tabSelected="1" topLeftCell="A46" zoomScale="75" zoomScaleNormal="100" workbookViewId="0">
      <selection activeCell="E70" sqref="E70"/>
    </sheetView>
  </sheetViews>
  <sheetFormatPr defaultColWidth="8.796875" defaultRowHeight="12.75" x14ac:dyDescent="0.3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x14ac:dyDescent="0.45">
      <c r="B2" s="36" t="s">
        <v>150</v>
      </c>
      <c r="C2" s="37"/>
      <c r="D2" s="37"/>
      <c r="E2" s="37"/>
      <c r="F2" s="37"/>
      <c r="H2" s="285" t="s">
        <v>324</v>
      </c>
      <c r="I2" s="286"/>
    </row>
    <row r="3" spans="2:9" ht="13.15" x14ac:dyDescent="0.4">
      <c r="B3" s="164" t="s">
        <v>153</v>
      </c>
      <c r="H3" s="284">
        <v>0</v>
      </c>
      <c r="I3" s="272">
        <f>-Market_Price</f>
        <v>-7.9</v>
      </c>
    </row>
    <row r="4" spans="2:9" x14ac:dyDescent="0.35">
      <c r="B4" s="156" t="s">
        <v>151</v>
      </c>
      <c r="C4" s="124">
        <v>3</v>
      </c>
      <c r="D4" s="124"/>
      <c r="E4" s="160" t="s">
        <v>155</v>
      </c>
      <c r="F4" s="160"/>
      <c r="H4" s="284">
        <v>1</v>
      </c>
      <c r="I4" s="272">
        <f t="shared" ref="I4:I13" si="0">IF(ROW()-3 &lt; $C$76, $C$77, IF(ROW()-3 = $C$76, $C$77 + $C$60, ""))</f>
        <v>0.57999999999999996</v>
      </c>
    </row>
    <row r="5" spans="2:9" x14ac:dyDescent="0.35">
      <c r="H5" s="284">
        <v>2</v>
      </c>
      <c r="I5" s="272">
        <f t="shared" si="0"/>
        <v>0.57999999999999996</v>
      </c>
    </row>
    <row r="6" spans="2:9" ht="13.15" x14ac:dyDescent="0.4">
      <c r="B6" s="164" t="s">
        <v>100</v>
      </c>
      <c r="C6" s="110">
        <f>Valuation_Model!C3</f>
        <v>1000000</v>
      </c>
      <c r="E6" s="103" t="s">
        <v>298</v>
      </c>
      <c r="F6" s="103"/>
      <c r="H6" s="284">
        <v>3</v>
      </c>
      <c r="I6" s="272">
        <f t="shared" si="0"/>
        <v>9.6147055134616366</v>
      </c>
    </row>
    <row r="7" spans="2:9" ht="12.75" customHeight="1" x14ac:dyDescent="0.35">
      <c r="B7" s="103" t="s">
        <v>292</v>
      </c>
      <c r="C7" s="118">
        <f>Normalized_FCF!G8</f>
        <v>2337</v>
      </c>
      <c r="D7" t="str">
        <f>Reporting_currency</f>
        <v>HKD</v>
      </c>
      <c r="E7" s="347" t="str">
        <f>"Please develop three logical "&amp;C18&amp;"-year scenarios (Base Case, Pessimistic Case, Optimistic Case) and two extreme "&amp;C46&amp;"-year scenarios (Success Scenario, Devil’s Advocate Scenario) for "&amp;Thesis!C5&amp;"("&amp;Thesis!D5&amp;").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SINO LAND(0083.HK). Each scenario should include the Compound Growth Rate, the Probability Assessment, and the Business Narrative.</v>
      </c>
      <c r="F7" s="347"/>
      <c r="H7" s="284">
        <v>4</v>
      </c>
      <c r="I7" s="272" t="str">
        <f t="shared" si="0"/>
        <v/>
      </c>
    </row>
    <row r="8" spans="2:9" x14ac:dyDescent="0.35">
      <c r="B8" s="103" t="s">
        <v>70</v>
      </c>
      <c r="C8" s="118">
        <f>Normalized_FCF!G19</f>
        <v>2807.968614974819</v>
      </c>
      <c r="D8" t="str">
        <f>Reporting_currency</f>
        <v>HKD</v>
      </c>
      <c r="E8" s="347"/>
      <c r="F8" s="347"/>
      <c r="H8" s="284">
        <v>5</v>
      </c>
      <c r="I8" s="272" t="str">
        <f t="shared" si="0"/>
        <v/>
      </c>
    </row>
    <row r="9" spans="2:9" x14ac:dyDescent="0.35">
      <c r="B9" s="103" t="s">
        <v>61</v>
      </c>
      <c r="C9" s="208">
        <f>Normalized_FCF!C19</f>
        <v>2540.6221871727971</v>
      </c>
      <c r="D9" t="str">
        <f>Reporting_currency</f>
        <v>HKD</v>
      </c>
      <c r="E9" s="347"/>
      <c r="F9" s="347"/>
      <c r="H9" s="284">
        <v>6</v>
      </c>
      <c r="I9" s="272" t="str">
        <f t="shared" si="0"/>
        <v/>
      </c>
    </row>
    <row r="10" spans="2:9" x14ac:dyDescent="0.35">
      <c r="E10" s="347"/>
      <c r="F10" s="347"/>
      <c r="H10" s="284">
        <v>7</v>
      </c>
      <c r="I10" s="272" t="str">
        <f t="shared" si="0"/>
        <v/>
      </c>
    </row>
    <row r="11" spans="2:9" ht="13.15" x14ac:dyDescent="0.4">
      <c r="B11" s="164" t="s">
        <v>295</v>
      </c>
      <c r="E11" s="347"/>
      <c r="F11" s="347"/>
      <c r="H11" s="284">
        <v>8</v>
      </c>
      <c r="I11" s="272" t="str">
        <f t="shared" si="0"/>
        <v/>
      </c>
    </row>
    <row r="12" spans="2:9" x14ac:dyDescent="0.35">
      <c r="B12" s="122" t="s">
        <v>149</v>
      </c>
      <c r="C12" s="163" t="e">
        <f ca="1">(Normalized_FCF!G4/OFFSET(Normalized_FCF!G4, 0, $C$4))^(1/$C$4) - 1</f>
        <v>#VALUE!</v>
      </c>
      <c r="D12" s="163"/>
      <c r="E12" s="347"/>
      <c r="F12" s="347"/>
      <c r="H12" s="284">
        <v>9</v>
      </c>
      <c r="I12" s="272" t="str">
        <f t="shared" si="0"/>
        <v/>
      </c>
    </row>
    <row r="13" spans="2:9" x14ac:dyDescent="0.35">
      <c r="B13" s="152" t="s">
        <v>157</v>
      </c>
      <c r="C13" s="163" t="e">
        <f ca="1">(Normalized_FCF!G8/OFFSET(Normalized_FCF!G8, 0, $C$4))^(1/$C$4) - 1</f>
        <v>#VALUE!</v>
      </c>
      <c r="E13" s="347"/>
      <c r="F13" s="347"/>
      <c r="H13" s="284">
        <v>10</v>
      </c>
      <c r="I13" s="272" t="str">
        <f t="shared" si="0"/>
        <v/>
      </c>
    </row>
    <row r="14" spans="2:9" x14ac:dyDescent="0.35">
      <c r="B14" s="103" t="s">
        <v>70</v>
      </c>
      <c r="C14" s="163" t="e">
        <f ca="1">(Normalized_FCF!G19/OFFSET(Normalized_FCF!G19, 0, $C$4))^(1/$C$4) - 1</f>
        <v>#VALUE!</v>
      </c>
      <c r="E14" s="347"/>
      <c r="F14" s="347"/>
    </row>
    <row r="16" spans="2:9" ht="13.9" x14ac:dyDescent="0.45">
      <c r="B16" s="36" t="s">
        <v>167</v>
      </c>
      <c r="C16" s="37"/>
      <c r="D16" s="37"/>
      <c r="E16" s="37"/>
      <c r="F16" s="37"/>
    </row>
    <row r="17" spans="2:6" ht="13.15" x14ac:dyDescent="0.4">
      <c r="B17" s="112" t="s">
        <v>156</v>
      </c>
      <c r="E17" s="164" t="s">
        <v>367</v>
      </c>
    </row>
    <row r="18" spans="2:6" x14ac:dyDescent="0.35">
      <c r="B18" s="156" t="s">
        <v>138</v>
      </c>
      <c r="C18" s="154">
        <v>10</v>
      </c>
      <c r="E18" s="347" t="s">
        <v>368</v>
      </c>
      <c r="F18" s="348"/>
    </row>
    <row r="19" spans="2:6" x14ac:dyDescent="0.35">
      <c r="E19" s="348"/>
      <c r="F19" s="348"/>
    </row>
    <row r="20" spans="2:6" ht="13.15" x14ac:dyDescent="0.4">
      <c r="B20" s="164" t="s">
        <v>332</v>
      </c>
      <c r="E20" s="348"/>
      <c r="F20" s="348"/>
    </row>
    <row r="21" spans="2:6" x14ac:dyDescent="0.35">
      <c r="B21" s="103" t="s">
        <v>296</v>
      </c>
      <c r="C21" s="165">
        <f>Market_Price</f>
        <v>7.9</v>
      </c>
      <c r="D21" t="str">
        <f>Market_currency</f>
        <v>HKD</v>
      </c>
      <c r="E21" s="348"/>
      <c r="F21" s="348"/>
    </row>
    <row r="22" spans="2:6" x14ac:dyDescent="0.35">
      <c r="B22" s="103" t="s">
        <v>297</v>
      </c>
      <c r="C22" s="165">
        <f>Valuation_Model!C12</f>
        <v>9.111288498532895</v>
      </c>
      <c r="D22" t="str">
        <f>Market_currency</f>
        <v>HKD</v>
      </c>
      <c r="E22" s="348"/>
      <c r="F22" s="348"/>
    </row>
    <row r="24" spans="2:6" ht="13.15" x14ac:dyDescent="0.4">
      <c r="B24" s="164" t="s">
        <v>120</v>
      </c>
      <c r="E24" s="164" t="s">
        <v>154</v>
      </c>
      <c r="F24" s="164"/>
    </row>
    <row r="25" spans="2:6" x14ac:dyDescent="0.35">
      <c r="B25" s="156" t="s">
        <v>138</v>
      </c>
      <c r="C25" s="171">
        <f>C18</f>
        <v>10</v>
      </c>
      <c r="D25" s="168"/>
      <c r="E25" s="346"/>
      <c r="F25" s="346"/>
    </row>
    <row r="26" spans="2:6" x14ac:dyDescent="0.35">
      <c r="B26" s="122" t="s">
        <v>139</v>
      </c>
      <c r="C26" s="169">
        <v>0</v>
      </c>
      <c r="D26" s="169"/>
      <c r="E26" s="346"/>
      <c r="F26" s="346"/>
    </row>
    <row r="27" spans="2:6" x14ac:dyDescent="0.35">
      <c r="B27" s="103" t="s">
        <v>118</v>
      </c>
      <c r="C27" s="165">
        <f>Valuation_Model!E76</f>
        <v>9.1112884985328897</v>
      </c>
      <c r="D27" s="165" t="str">
        <f>Market_currency</f>
        <v>HKD</v>
      </c>
      <c r="E27" s="346"/>
      <c r="F27" s="346"/>
    </row>
    <row r="28" spans="2:6" x14ac:dyDescent="0.35">
      <c r="B28" s="103" t="s">
        <v>152</v>
      </c>
      <c r="C28" s="170">
        <v>0.55000000000000004</v>
      </c>
      <c r="D28" s="170"/>
      <c r="E28" s="346"/>
      <c r="F28" s="346"/>
    </row>
    <row r="30" spans="2:6" ht="13.15" x14ac:dyDescent="0.4">
      <c r="B30" s="164" t="s">
        <v>121</v>
      </c>
      <c r="E30" s="164" t="s">
        <v>154</v>
      </c>
      <c r="F30" s="164"/>
    </row>
    <row r="31" spans="2:6" x14ac:dyDescent="0.35">
      <c r="B31" s="156" t="s">
        <v>138</v>
      </c>
      <c r="C31" s="171">
        <f>C18</f>
        <v>10</v>
      </c>
      <c r="D31" s="168"/>
      <c r="E31" s="346"/>
      <c r="F31" s="346"/>
    </row>
    <row r="32" spans="2:6" x14ac:dyDescent="0.35">
      <c r="B32" s="122" t="s">
        <v>139</v>
      </c>
      <c r="C32" s="169">
        <v>-0.05</v>
      </c>
      <c r="D32" s="169"/>
      <c r="E32" s="346"/>
      <c r="F32" s="346"/>
    </row>
    <row r="33" spans="2:6" x14ac:dyDescent="0.35">
      <c r="B33" s="103" t="s">
        <v>118</v>
      </c>
      <c r="C33" s="165">
        <f>Valuation_Model!E77</f>
        <v>8.6191954792579697</v>
      </c>
      <c r="D33" t="str">
        <f>Market_currency</f>
        <v>HKD</v>
      </c>
      <c r="E33" s="346"/>
      <c r="F33" s="346"/>
    </row>
    <row r="34" spans="2:6" x14ac:dyDescent="0.35">
      <c r="B34" s="103" t="s">
        <v>152</v>
      </c>
      <c r="C34" s="170">
        <v>0.2</v>
      </c>
      <c r="D34" s="170"/>
      <c r="E34" s="346"/>
      <c r="F34" s="346"/>
    </row>
    <row r="36" spans="2:6" ht="13.15" x14ac:dyDescent="0.4">
      <c r="B36" s="164" t="s">
        <v>119</v>
      </c>
      <c r="E36" s="164" t="s">
        <v>154</v>
      </c>
      <c r="F36" s="164"/>
    </row>
    <row r="37" spans="2:6" x14ac:dyDescent="0.35">
      <c r="B37" s="156" t="s">
        <v>138</v>
      </c>
      <c r="C37" s="171">
        <f>C18</f>
        <v>10</v>
      </c>
      <c r="D37" s="168"/>
      <c r="E37" s="346"/>
      <c r="F37" s="346"/>
    </row>
    <row r="38" spans="2:6" x14ac:dyDescent="0.35">
      <c r="B38" s="122" t="s">
        <v>139</v>
      </c>
      <c r="C38" s="169">
        <v>0.02</v>
      </c>
      <c r="D38" s="169"/>
      <c r="E38" s="346"/>
      <c r="F38" s="346"/>
    </row>
    <row r="39" spans="2:6" x14ac:dyDescent="0.35">
      <c r="B39" s="103" t="s">
        <v>118</v>
      </c>
      <c r="C39" s="165">
        <f>Valuation_Model!E75</f>
        <v>9.3427745886766083</v>
      </c>
      <c r="D39" t="str">
        <f>Market_currency</f>
        <v>HKD</v>
      </c>
      <c r="E39" s="346"/>
      <c r="F39" s="346"/>
    </row>
    <row r="40" spans="2:6" x14ac:dyDescent="0.35">
      <c r="B40" s="103" t="s">
        <v>152</v>
      </c>
      <c r="C40" s="172">
        <f>1-C28-C34</f>
        <v>0.24999999999999994</v>
      </c>
      <c r="D40" s="170"/>
      <c r="E40" s="346"/>
      <c r="F40" s="346"/>
    </row>
    <row r="42" spans="2:6" ht="13.15" x14ac:dyDescent="0.4">
      <c r="B42" s="103" t="s">
        <v>125</v>
      </c>
      <c r="C42" s="159">
        <f>C27*C28+C33*C34+C39*C40</f>
        <v>9.070741417213835</v>
      </c>
      <c r="D42" t="str">
        <f>Market_currency</f>
        <v>HKD</v>
      </c>
    </row>
    <row r="44" spans="2:6" ht="13.9" x14ac:dyDescent="0.45">
      <c r="B44" s="36" t="s">
        <v>166</v>
      </c>
      <c r="C44" s="37"/>
      <c r="D44" s="37"/>
      <c r="E44" s="37"/>
      <c r="F44" s="37"/>
    </row>
    <row r="45" spans="2:6" ht="13.15" x14ac:dyDescent="0.4">
      <c r="B45" s="112" t="s">
        <v>156</v>
      </c>
    </row>
    <row r="46" spans="2:6" x14ac:dyDescent="0.35">
      <c r="B46" s="156" t="s">
        <v>138</v>
      </c>
      <c r="C46" s="154">
        <v>15</v>
      </c>
      <c r="E46" s="103"/>
      <c r="F46" s="103"/>
    </row>
    <row r="47" spans="2:6" ht="13.15" x14ac:dyDescent="0.4">
      <c r="B47" s="164"/>
      <c r="E47" s="164"/>
      <c r="F47" s="164"/>
    </row>
    <row r="48" spans="2:6" ht="13.15" x14ac:dyDescent="0.4">
      <c r="B48" s="164" t="s">
        <v>170</v>
      </c>
      <c r="E48" s="164" t="s">
        <v>154</v>
      </c>
      <c r="F48" s="164"/>
    </row>
    <row r="49" spans="2:6" ht="12.75" customHeight="1" x14ac:dyDescent="0.35">
      <c r="B49" s="156" t="s">
        <v>138</v>
      </c>
      <c r="C49" s="171">
        <f>C46</f>
        <v>15</v>
      </c>
      <c r="D49" s="168"/>
      <c r="E49" s="346"/>
      <c r="F49" s="346"/>
    </row>
    <row r="50" spans="2:6" x14ac:dyDescent="0.35">
      <c r="B50" s="122" t="s">
        <v>139</v>
      </c>
      <c r="C50" s="169">
        <v>-0.2</v>
      </c>
      <c r="D50" s="169"/>
      <c r="E50" s="346"/>
      <c r="F50" s="346"/>
    </row>
    <row r="51" spans="2:6" x14ac:dyDescent="0.35">
      <c r="B51" s="103" t="s">
        <v>118</v>
      </c>
      <c r="C51" s="165">
        <f>Valuation_Model!E78</f>
        <v>7.2649269878396519</v>
      </c>
      <c r="D51" t="str">
        <f>Market_currency</f>
        <v>HKD</v>
      </c>
      <c r="E51" s="346"/>
      <c r="F51" s="346"/>
    </row>
    <row r="52" spans="2:6" x14ac:dyDescent="0.35">
      <c r="B52" s="103" t="s">
        <v>152</v>
      </c>
      <c r="C52" s="170">
        <v>0.05</v>
      </c>
      <c r="D52" s="170"/>
      <c r="E52" s="346"/>
      <c r="F52" s="346"/>
    </row>
    <row r="54" spans="2:6" ht="13.15" x14ac:dyDescent="0.4">
      <c r="B54" s="164" t="s">
        <v>350</v>
      </c>
      <c r="E54" s="164" t="s">
        <v>154</v>
      </c>
      <c r="F54" s="164"/>
    </row>
    <row r="55" spans="2:6" x14ac:dyDescent="0.35">
      <c r="B55" s="156" t="s">
        <v>138</v>
      </c>
      <c r="C55" s="171">
        <f>C46</f>
        <v>15</v>
      </c>
      <c r="D55" s="168"/>
      <c r="E55" s="346"/>
      <c r="F55" s="346"/>
    </row>
    <row r="56" spans="2:6" x14ac:dyDescent="0.35">
      <c r="B56" s="122" t="s">
        <v>139</v>
      </c>
      <c r="C56" s="169">
        <v>0.05</v>
      </c>
      <c r="D56" s="169"/>
      <c r="E56" s="346"/>
      <c r="F56" s="346"/>
    </row>
    <row r="57" spans="2:6" x14ac:dyDescent="0.35">
      <c r="B57" s="103" t="s">
        <v>118</v>
      </c>
      <c r="C57" s="165">
        <f>Valuation_Model!E74</f>
        <v>10.155837771544068</v>
      </c>
      <c r="D57" t="str">
        <f>Market_currency</f>
        <v>HKD</v>
      </c>
      <c r="E57" s="346"/>
      <c r="F57" s="346"/>
    </row>
    <row r="58" spans="2:6" x14ac:dyDescent="0.35">
      <c r="B58" s="103" t="s">
        <v>152</v>
      </c>
      <c r="C58" s="170">
        <v>0.05</v>
      </c>
      <c r="D58" s="170"/>
      <c r="E58" s="346"/>
      <c r="F58" s="346"/>
    </row>
    <row r="60" spans="2:6" ht="13.15" x14ac:dyDescent="0.4">
      <c r="B60" s="103" t="s">
        <v>125</v>
      </c>
      <c r="C60" s="159">
        <f>C51*C52+C57*C58+C42*(1-C52-C58)</f>
        <v>9.0347055134616365</v>
      </c>
      <c r="D60" t="str">
        <f>Market_currency</f>
        <v>HKD</v>
      </c>
      <c r="E60" s="103" t="s">
        <v>325</v>
      </c>
      <c r="F60" s="321">
        <f>Thesis!E20</f>
        <v>3</v>
      </c>
    </row>
    <row r="62" spans="2:6" ht="13.9" x14ac:dyDescent="0.45">
      <c r="B62" s="36" t="s">
        <v>311</v>
      </c>
      <c r="C62" s="37"/>
      <c r="D62" s="37"/>
      <c r="E62" s="37"/>
      <c r="F62" s="37"/>
    </row>
    <row r="63" spans="2:6" ht="13.15" x14ac:dyDescent="0.4">
      <c r="B63" s="112" t="s">
        <v>333</v>
      </c>
      <c r="E63" s="290" t="s">
        <v>343</v>
      </c>
    </row>
    <row r="64" spans="2:6" x14ac:dyDescent="0.35">
      <c r="B64" s="156" t="s">
        <v>138</v>
      </c>
      <c r="C64" s="171">
        <v>10</v>
      </c>
      <c r="D64" s="154"/>
      <c r="E64" s="289" t="s">
        <v>344</v>
      </c>
    </row>
    <row r="65" spans="2:6" x14ac:dyDescent="0.35">
      <c r="B65" s="122" t="s">
        <v>139</v>
      </c>
      <c r="C65" s="155">
        <v>-7.3000000000000001E-3</v>
      </c>
      <c r="D65" s="155"/>
      <c r="E65" s="289" t="s">
        <v>345</v>
      </c>
    </row>
    <row r="66" spans="2:6" x14ac:dyDescent="0.35">
      <c r="B66" s="103" t="s">
        <v>107</v>
      </c>
      <c r="C66" s="165">
        <f>Valuation_Model!C18</f>
        <v>9.0321281164495559</v>
      </c>
      <c r="D66" s="165" t="str">
        <f>Market_currency</f>
        <v>HKD</v>
      </c>
      <c r="E66" s="289" t="s">
        <v>346</v>
      </c>
    </row>
    <row r="68" spans="2:6" ht="13.15" x14ac:dyDescent="0.4">
      <c r="B68" s="112" t="s">
        <v>320</v>
      </c>
      <c r="E68" s="290" t="s">
        <v>347</v>
      </c>
    </row>
    <row r="69" spans="2:6" x14ac:dyDescent="0.35">
      <c r="B69" s="103" t="s">
        <v>334</v>
      </c>
      <c r="C69" s="281" t="str">
        <f>IF(C60&lt;C22,"Y","N")</f>
        <v>Y</v>
      </c>
      <c r="E69" s="138"/>
    </row>
    <row r="70" spans="2:6" x14ac:dyDescent="0.35">
      <c r="B70" s="103" t="s">
        <v>322</v>
      </c>
      <c r="C70" s="281" t="str">
        <f>IF(C69="Y","N",IF(C65&gt;8%,"N","Y"))</f>
        <v>N</v>
      </c>
      <c r="E70" s="289" t="s">
        <v>323</v>
      </c>
    </row>
    <row r="71" spans="2:6" x14ac:dyDescent="0.35">
      <c r="B71" s="103" t="s">
        <v>321</v>
      </c>
      <c r="C71" s="281" t="str">
        <f>IF(C65&gt;8%,"Y","N")</f>
        <v>N</v>
      </c>
      <c r="E71" s="289"/>
    </row>
    <row r="72" spans="2:6" x14ac:dyDescent="0.35">
      <c r="B72" s="103" t="s">
        <v>312</v>
      </c>
      <c r="C72" s="280" t="str">
        <f>IF(F72&gt;50%,"Y","N")</f>
        <v>Y</v>
      </c>
      <c r="E72" s="138" t="s">
        <v>391</v>
      </c>
      <c r="F72" s="349">
        <f>BS!D89/C60</f>
        <v>0.62612608991135499</v>
      </c>
    </row>
    <row r="74" spans="2:6" ht="13.9" x14ac:dyDescent="0.45">
      <c r="B74" s="36" t="s">
        <v>132</v>
      </c>
      <c r="C74" s="37"/>
      <c r="D74" s="37"/>
      <c r="E74" s="37"/>
      <c r="F74" s="37"/>
    </row>
    <row r="75" spans="2:6" ht="13.15" x14ac:dyDescent="0.4">
      <c r="B75" s="112" t="s">
        <v>130</v>
      </c>
    </row>
    <row r="76" spans="2:6" x14ac:dyDescent="0.35">
      <c r="B76" s="283" t="s">
        <v>326</v>
      </c>
      <c r="C76" s="282">
        <f>F60</f>
        <v>3</v>
      </c>
      <c r="D76" s="138"/>
    </row>
    <row r="77" spans="2:6" x14ac:dyDescent="0.35">
      <c r="B77" s="103" t="s">
        <v>116</v>
      </c>
      <c r="C77" s="178">
        <f>Normalized_FCF!C90</f>
        <v>0.57999999999999996</v>
      </c>
      <c r="D77" t="str">
        <f>Market_currency</f>
        <v>HKD</v>
      </c>
    </row>
    <row r="79" spans="2:6" ht="13.15" x14ac:dyDescent="0.4">
      <c r="B79" s="112" t="s">
        <v>330</v>
      </c>
    </row>
    <row r="80" spans="2:6" x14ac:dyDescent="0.35">
      <c r="B80" s="152" t="s">
        <v>328</v>
      </c>
      <c r="C80" s="172">
        <f>Thesis!C121</f>
        <v>0.2</v>
      </c>
    </row>
    <row r="81" spans="2:8" x14ac:dyDescent="0.35">
      <c r="B81" s="103" t="s">
        <v>126</v>
      </c>
      <c r="C81" s="120">
        <f>PV(C80, C76, -C77, 0)</f>
        <v>1.2217592592592592</v>
      </c>
      <c r="D81" s="120"/>
      <c r="E81" s="103"/>
      <c r="F81" s="103"/>
    </row>
    <row r="82" spans="2:8" x14ac:dyDescent="0.35">
      <c r="B82" s="103" t="s">
        <v>127</v>
      </c>
      <c r="C82" s="120">
        <f>C60/(1+C80)^C76</f>
        <v>5.2284175425125214</v>
      </c>
      <c r="D82" s="120"/>
    </row>
    <row r="83" spans="2:8" ht="13.15" x14ac:dyDescent="0.4">
      <c r="B83" s="114" t="s">
        <v>106</v>
      </c>
      <c r="C83" s="115">
        <f>C81+C82</f>
        <v>6.4501768017717804</v>
      </c>
      <c r="D83" t="str">
        <f>Market_currency</f>
        <v>HKD</v>
      </c>
      <c r="E83" s="150" t="s">
        <v>131</v>
      </c>
      <c r="F83" s="270">
        <f>(C83/C60-1)</f>
        <v>-0.28606673541699057</v>
      </c>
    </row>
    <row r="84" spans="2:8" x14ac:dyDescent="0.35">
      <c r="E84" s="124"/>
    </row>
    <row r="85" spans="2:8" ht="13.15" x14ac:dyDescent="0.4">
      <c r="B85" s="112" t="s">
        <v>331</v>
      </c>
    </row>
    <row r="86" spans="2:8" x14ac:dyDescent="0.35">
      <c r="B86" s="152" t="s">
        <v>329</v>
      </c>
      <c r="C86" s="274">
        <f>Market_Price</f>
        <v>7.9</v>
      </c>
      <c r="D86" t="str">
        <f>Market_currency</f>
        <v>HKD</v>
      </c>
    </row>
    <row r="87" spans="2:8" ht="13.15" x14ac:dyDescent="0.4">
      <c r="B87" s="103" t="s">
        <v>327</v>
      </c>
      <c r="C87" s="273">
        <f ca="1">IRR(OFFSET($I$3, 0, 0, $C$76 + 1, 1))</f>
        <v>0.11614149089878545</v>
      </c>
    </row>
    <row r="88" spans="2:8" x14ac:dyDescent="0.35">
      <c r="B88" s="103"/>
    </row>
    <row r="89" spans="2:8" ht="14.65" x14ac:dyDescent="0.5">
      <c r="E89" s="330" t="s">
        <v>362</v>
      </c>
      <c r="F89" s="327"/>
      <c r="G89" s="2"/>
      <c r="H89" s="326"/>
    </row>
    <row r="90" spans="2:8" ht="13.9" x14ac:dyDescent="0.45">
      <c r="E90" s="323" t="s">
        <v>363</v>
      </c>
      <c r="F90" s="328" t="s">
        <v>364</v>
      </c>
      <c r="G90" s="2"/>
      <c r="H90" s="326"/>
    </row>
    <row r="91" spans="2:8" ht="13.9" x14ac:dyDescent="0.45">
      <c r="E91" s="324" t="s">
        <v>363</v>
      </c>
      <c r="F91" s="328" t="s">
        <v>365</v>
      </c>
      <c r="G91" s="2"/>
      <c r="H91" s="326"/>
    </row>
    <row r="92" spans="2:8" ht="13.9" x14ac:dyDescent="0.45">
      <c r="E92" s="325" t="s">
        <v>363</v>
      </c>
      <c r="F92" s="329" t="s">
        <v>366</v>
      </c>
      <c r="G92" s="2"/>
      <c r="H92" s="326"/>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2025-03-14T14:48:43Z</cp:lastPrinted>
  <dcterms:created xsi:type="dcterms:W3CDTF">2022-08-10T03:52:42Z</dcterms:created>
  <dcterms:modified xsi:type="dcterms:W3CDTF">2025-03-25T03:40:35Z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