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E4945079-1C99-4BFC-8D20-FE055C4E189D}"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29" i="2"/>
  <c r="E83" i="2"/>
  <c r="E84" i="2"/>
  <c r="C25" i="4"/>
  <c r="D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<sst xmlns="http://schemas.openxmlformats.org/spreadsheetml/2006/main" count="768" uniqueCount="558">
  <si>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</si>
  <si>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</si>
  <si>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</si>
  <si>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</si>
  <si>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</si>
  <si>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</si>
  <si>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</si>
  <si>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</si>
  <si>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</si>
  <si>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</si>
  <si>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</si>
  <si>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</si>
  <si>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</si>
  <si>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</si>
  <si>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</si>
  <si>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</si>
  <si>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</si>
  <si>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</si>
  <si>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</si>
  <si>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</si>
  <si>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</si>
  <si>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</si>
  <si>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</si>
  <si>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</si>
  <si>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</si>
  <si>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</si>
  <si>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</si>
  <si>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</si>
  <si>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</si>
  <si>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</si>
  <si>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</si>
  <si>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</si>
  <si>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</si>
  <si>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</si>
  <si>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</si>
  <si>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</si>
  <si>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</si>
  <si>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</si>
  <si>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</si>
  <si>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</si>
  <si>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</si>
  <si>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</si>
  <si>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</si>
  <si>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</si>
  <si>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</si>
  <si>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</si>
  <si>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</si>
  <si>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</si>
  <si>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</si>
  <si>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</si>
  <si>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</si>
  <si>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</si>
  <si>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</si>
  <si>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</si>
  <si>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</si>
  <si>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</si>
  <si>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</si>
  <si>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</si>
  <si>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</si>
  <si>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</si>
  <si>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</si>
  <si>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</si>
  <si>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</si>
  <si>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</si>
  <si>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</si>
  <si>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</si>
  <si>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</si>
  <si>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</si>
  <si>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</si>
  <si>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</si>
  <si>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</si>
  <si>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</si>
  <si>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</si>
  <si>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</si>
  <si>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</si>
  <si>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</si>
  <si>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</si>
  <si>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</si>
  <si>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</si>
  <si>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</si>
  <si>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</si>
  <si>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</si>
  <si>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</si>
  <si>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</si>
  <si>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</si>
  <si>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</si>
  <si>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</si>
  <si>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</si>
  <si>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</si>
  <si>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</si>
  <si>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</si>
  <si>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</si>
  <si>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</si>
  <si>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</si>
  <si>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</si>
  <si>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</si>
  <si>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</si>
  <si>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</si>
  <si>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</si>
  <si>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</si>
  <si>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</si>
  <si>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</si>
  <si>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</si>
  <si>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</si>
  <si>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</si>
  <si>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</si>
  <si>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</si>
  <si>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</si>
  <si>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</si>
  <si>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</si>
  <si>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</si>
  <si>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</si>
  <si>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</si>
  <si>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</si>
  <si>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</si>
  <si>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</si>
  <si>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</si>
  <si>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</si>
  <si>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</si>
  <si>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</si>
  <si>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</si>
  <si>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</si>
  <si>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</si>
  <si>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</si>
  <si>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</si>
  <si>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</si>
  <si>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</si>
  <si>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</si>
  <si>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</si>
  <si>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</si>
  <si>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</si>
  <si>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</si>
  <si>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</si>
  <si>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</si>
  <si>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</si>
  <si>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</si>
  <si>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</si>
  <si>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</si>
  <si>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</si>
  <si>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</si>
  <si>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</si>
  <si>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</si>
  <si>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</si>
  <si>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</si>
  <si>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</si>
  <si>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</si>
  <si>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</si>
  <si>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</si>
  <si>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</si>
  <si>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</si>
  <si>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</si>
  <si>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</si>
  <si>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</si>
  <si>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</si>
  <si>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</si>
  <si>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</si>
  <si>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</si>
  <si>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</si>
  <si>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</si>
  <si>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</si>
  <si>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</si>
  <si>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</si>
  <si>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</si>
  <si>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</si>
  <si>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</si>
  <si>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</si>
  <si>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</si>
  <si>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</si>
  <si>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</si>
  <si>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</si>
  <si>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</si>
  <si>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</si>
  <si>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</si>
  <si>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</si>
  <si>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</si>
  <si>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</si>
  <si>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</si>
  <si>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</si>
  <si>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</si>
  <si>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</si>
  <si>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</si>
  <si>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</si>
  <si>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</si>
  <si>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</si>
  <si>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</si>
  <si>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</si>
  <si>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</si>
  <si>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</si>
  <si>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</si>
  <si>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</si>
  <si>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</si>
  <si>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</si>
  <si>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</si>
  <si>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</si>
  <si>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</si>
  <si>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</si>
  <si>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</si>
  <si>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</si>
  <si>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</si>
  <si>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</si>
  <si>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</si>
  <si>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</si>
  <si>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</si>
  <si>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</si>
  <si>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</si>
  <si>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</si>
  <si>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</si>
  <si>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</si>
  <si>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</si>
  <si>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</si>
  <si>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</si>
  <si>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</si>
  <si>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</si>
  <si>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</si>
  <si>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</si>
  <si>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</si>
  <si>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</si>
  <si>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</si>
  <si>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</si>
  <si>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</si>
  <si>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</si>
  <si>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</si>
  <si>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</si>
  <si>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</si>
  <si>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</si>
  <si>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</si>
  <si>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</si>
  <si>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</si>
  <si>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</si>
  <si>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</si>
  <si>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</si>
  <si>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</si>
  <si>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</si>
  <si>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</si>
  <si>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</si>
  <si>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</si>
  <si>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</si>
  <si>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</si>
  <si>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</si>
  <si>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</si>
  <si>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</si>
  <si>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</si>
  <si>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</si>
  <si>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</si>
  <si>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</si>
  <si>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</si>
  <si>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</si>
  <si>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</si>
  <si>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</si>
  <si>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</si>
  <si>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</si>
  <si>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</si>
  <si>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</si>
  <si>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</si>
  <si>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</si>
  <si>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</si>
  <si>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</si>
  <si>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</si>
  <si>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</si>
  <si>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</si>
  <si>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</si>
  <si>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</si>
  <si>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</si>
  <si>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</si>
  <si>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</si>
  <si>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</si>
  <si>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</si>
  <si>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</si>
  <si>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</si>
  <si>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</si>
  <si>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</si>
  <si>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</si>
  <si>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</si>
  <si>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</si>
  <si>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</si>
  <si>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</si>
  <si>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</si>
  <si>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</si>
  <si>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</si>
  <si>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</si>
  <si>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</si>
  <si>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</si>
  <si>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</si>
  <si>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</si>
  <si>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</si>
  <si>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</si>
  <si>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</si>
  <si>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</si>
  <si>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</si>
  <si>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</si>
  <si>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</si>
  <si>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</si>
  <si>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</si>
  <si>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</si>
  <si>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</si>
  <si>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</si>
  <si>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</si>
  <si>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</si>
  <si>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</si>
  <si>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</si>
  <si>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</si>
  <si>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</si>
  <si>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</si>
  <si>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</si>
  <si>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</si>
  <si>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</si>
  <si>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</si>
  <si>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</si>
  <si>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</si>
  <si>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</si>
  <si>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</si>
  <si>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</si>
  <si>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</si>
  <si>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</si>
  <si>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</si>
  <si>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</si>
  <si>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</si>
  <si>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</si>
  <si>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</si>
  <si>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</si>
  <si>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</si>
  <si>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</si>
  <si>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</si>
  <si>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</si>
  <si>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</si>
  <si>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</si>
  <si>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</si>
  <si>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</si>
  <si>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</si>
  <si>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</si>
  <si>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</si>
  <si>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</si>
  <si>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</si>
  <si>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</si>
  <si>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</si>
  <si>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</si>
  <si>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</si>
  <si>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</si>
  <si>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</si>
  <si>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</si>
  <si>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</si>
  <si>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</si>
  <si>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</si>
  <si>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</si>
  <si>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</si>
  <si>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</si>
  <si>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</si>
  <si>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</si>
  <si>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</si>
  <si>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</si>
  <si>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</si>
  <si>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</si>
  <si>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</si>
  <si>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</si>
  <si>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</si>
  <si>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</si>
  <si>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</si>
  <si>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</si>
  <si>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</si>
  <si>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</si>
  <si>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</si>
  <si>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</si>
  <si>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</si>
  <si>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</si>
  <si>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</si>
  <si>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</si>
  <si>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</si>
  <si>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</si>
  <si>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</si>
  <si>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</si>
  <si>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</si>
  <si>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</si>
  <si>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</si>
  <si>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</si>
  <si>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</si>
  <si>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</si>
  <si>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</si>
  <si>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</si>
  <si>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</si>
  <si>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</si>
  <si>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</si>
  <si>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</si>
  <si>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</si>
  <si>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</si>
  <si>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</si>
  <si>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</si>
  <si>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</si>
  <si>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</si>
  <si>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</si>
  <si>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</si>
  <si>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</si>
  <si>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</si>
  <si>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</si>
  <si>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</si>
  <si>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</si>
  <si>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</si>
  <si>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</si>
  <si>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</si>
  <si>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</si>
  <si>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</si>
  <si>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</si>
  <si>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</si>
  <si>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</si>
  <si>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</si>
  <si>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</si>
  <si>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</si>
  <si>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</si>
  <si>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</si>
  <si>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</si>
  <si>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</si>
  <si>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</si>
  <si>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</si>
  <si>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</si>
  <si>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</si>
  <si>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</si>
  <si>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</si>
  <si>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</si>
  <si>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</si>
  <si>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</si>
  <si>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</si>
  <si>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</si>
  <si>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</si>
  <si>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</si>
  <si>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</si>
  <si>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</si>
  <si>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</si>
  <si>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</si>
  <si>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</si>
  <si>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</si>
  <si>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</si>
  <si>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</si>
  <si>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</si>
  <si>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</si>
  <si>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</si>
  <si>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</si>
  <si>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</si>
  <si>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</si>
  <si>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</si>
  <si>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</si>
  <si>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</si>
  <si>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</si>
  <si>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</si>
  <si>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</si>
  <si>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</si>
  <si>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</si>
  <si>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</si>
  <si>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</si>
  <si>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</si>
  <si>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</si>
  <si>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</si>
  <si>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</si>
  <si>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</si>
  <si>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</si>
  <si>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</si>
  <si>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</si>
  <si>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</si>
  <si>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</si>
  <si>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</si>
  <si>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</si>
  <si>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</si>
  <si>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</si>
  <si>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</si>
  <si>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</si>
  <si>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</si>
  <si>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</si>
  <si>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</si>
  <si>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</si>
  <si>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</si>
  <si>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</si>
  <si>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</si>
  <si>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</si>
  <si>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</si>
  <si>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</si>
  <si>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</si>
  <si>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</si>
  <si>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</si>
  <si>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</si>
  <si>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</si>
  <si>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</si>
  <si>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</si>
  <si>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</si>
  <si>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</si>
  <si>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</si>
  <si>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</si>
  <si>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</si>
  <si>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</si>
  <si>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</si>
  <si>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</si>
  <si>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</si>
  <si>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</si>
  <si>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</si>
  <si>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</si>
  <si>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</si>
  <si>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</si>
  <si>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</si>
  <si>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</si>
  <si>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</si>
  <si>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</si>
  <si>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</si>
  <si>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</si>
  <si>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</si>
  <si>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</si>
  <si>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</si>
  <si>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</si>
  <si>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</si>
  <si>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</si>
  <si>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</si>
  <si>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</si>
  <si>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</si>
  <si>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</si>
  <si>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</si>
  <si>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</si>
  <si>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</si>
  <si>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</si>
  <si>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</si>
  <si>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</si>
  <si>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</si>
  <si>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</si>
  <si>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</si>
  <si>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</si>
  <si>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</si>
  <si>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</si>
  <si>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</si>
  <si>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</si>
  <si>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</si>
  <si>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</si>
  <si>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</si>
  <si>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</si>
  <si>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</si>
  <si>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</si>
  <si>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</si>
  <si>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</si>
  <si>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</si>
  <si>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</si>
  <si>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</si>
  <si>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</si>
  <si>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</si>
  <si>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</si>
  <si>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</si>
  <si>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</si>
  <si>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</si>
  <si>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</si>
  <si>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</si>
  <si>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</si>
  <si>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</si>
  <si>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</si>
  <si>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</si>
  <si>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</si>
  <si>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</si>
  <si>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</si>
  <si>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</si>
  <si>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</si>
  <si>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</si>
  <si>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</si>
  <si>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</si>
  <si>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</si>
  <si>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</si>
  <si>
    <t>Biological/Mineral 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</si>
</sst>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46038</v>
      </c>
    </row>
    <row r="4" spans="1:9" ht="12.4">
      <c r="B4" s="421" t="s">
        <v>532</v>
      </c>
      <c r="C4" s="420" t="s">
        <v>548</v>
      </c>
      <c r="E4" s="430" t="s">
        <v>536</v>
      </c>
      <c r="F4" s="431" t="s">
        <v>323</v>
      </c>
    </row>
    <row r="5" spans="1:9">
      <c r="B5" s="1" t="s">
        <v>348</v>
      </c>
      <c r="C5" s="46" t="s">
        <v>549</v>
      </c>
      <c r="E5" s="433" t="s">
        <v>538</v>
      </c>
      <c r="F5" s="432" t="s">
        <v>496</v>
      </c>
    </row>
    <row r="6" spans="1:9">
      <c r="B6" s="2" t="s">
        <v>52</v>
      </c>
      <c r="C6" s="45" t="s">
        <v>550</v>
      </c>
      <c r="D6" s="45"/>
      <c r="E6" s="45"/>
    </row>
    <row r="7" spans="1:9">
      <c r="B7" s="1" t="s">
        <v>350</v>
      </c>
      <c r="C7" s="45" t="s">
        <v>307</v>
      </c>
      <c r="D7" s="45"/>
      <c r="E7" s="45"/>
    </row>
    <row r="8" spans="1:9">
      <c r="B8" s="4" t="s">
        <v>349</v>
      </c>
      <c r="C8" s="47">
        <v>6.54</v>
      </c>
      <c r="E8" s="32"/>
    </row>
    <row r="9" spans="1:9">
      <c r="B9" s="4" t="s">
        <v>345</v>
      </c>
      <c r="C9" s="48">
        <v>1043529089</v>
      </c>
    </row>
    <row r="10" spans="1:9">
      <c r="B10" s="4" t="s">
        <v>351</v>
      </c>
      <c r="C10" s="33">
        <f>Thesis!C8*Common_Shares/1000000</f>
        <v>6824.6802420600006</v>
      </c>
      <c r="D10" s="1" t="s">
        <v>527</v>
      </c>
      <c r="E10" s="303">
        <f>Scenarios!F34</f>
        <v>-0.31556295732458622</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545</v>
      </c>
      <c r="D15" s="4" t="s">
        <v>352</v>
      </c>
      <c r="E15" s="253" t="str">
        <f>IF(E17=C7,C7,E17&amp;"/"&amp;C7)</f>
        <v>HKD</v>
      </c>
    </row>
    <row r="16" spans="1:9">
      <c r="B16" s="1" t="s">
        <v>319</v>
      </c>
      <c r="C16" s="417" t="s">
        <v>545</v>
      </c>
      <c r="D16" s="4" t="s">
        <v>353</v>
      </c>
      <c r="E16" s="416">
        <v>1</v>
      </c>
    </row>
    <row r="17" spans="1:6">
      <c r="B17" s="1" t="s">
        <v>531</v>
      </c>
      <c r="C17" s="456">
        <v>0.02</v>
      </c>
      <c r="D17" s="4" t="s">
        <v>273</v>
      </c>
      <c r="E17" s="224" t="s">
        <v>307</v>
      </c>
    </row>
    <row r="18" spans="1:6">
      <c r="B18" s="1" t="str">
        <f>"Expected Equity Value ("&amp;C7&amp;") :"</f>
        <v>Expected Equity Value (HKD) :</v>
      </c>
      <c r="C18" s="252">
        <f>C125</f>
        <v>1.791192103683956</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1.0852730729707505</v>
      </c>
      <c r="D22" s="38" t="s">
        <v>405</v>
      </c>
      <c r="E22" s="79">
        <v>0.29465259038036601</v>
      </c>
    </row>
    <row r="23" spans="1:6">
      <c r="B23" s="1" t="s">
        <v>312</v>
      </c>
      <c r="C23" s="256">
        <f>E141</f>
        <v>1.3333921583079964</v>
      </c>
      <c r="D23" s="38" t="s">
        <v>406</v>
      </c>
      <c r="E23" s="443">
        <v>0.20075184365903001</v>
      </c>
    </row>
    <row r="24" spans="1:6">
      <c r="B24" s="1" t="s">
        <v>314</v>
      </c>
      <c r="C24" s="256">
        <f>E144</f>
        <v>1.6264452000848113</v>
      </c>
      <c r="D24" s="38" t="s">
        <v>407</v>
      </c>
      <c r="E24" s="443">
        <v>0.1174</v>
      </c>
    </row>
    <row r="25" spans="1:6">
      <c r="B25" s="1" t="s">
        <v>313</v>
      </c>
      <c r="C25" s="256">
        <f>E145</f>
        <v>1.8229026097315624</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536695.26015023328</v>
      </c>
      <c r="D34" s="1" t="str">
        <f>Reporting_currency</f>
        <v>HKD</v>
      </c>
    </row>
    <row r="35" spans="2:6">
      <c r="B35" s="44"/>
      <c r="C35" s="73"/>
    </row>
    <row r="36" spans="2:6" ht="24.5" customHeight="1">
      <c r="B36" s="463" t="s">
        <v>197</v>
      </c>
      <c r="C36" s="463"/>
      <c r="D36" s="463"/>
      <c r="E36" s="463"/>
      <c r="F36" s="463"/>
    </row>
    <row r="37" spans="2:6">
      <c r="B37" s="44" t="s">
        <v>198</v>
      </c>
      <c r="C37" s="285">
        <f>Normalized_FCF!C15</f>
        <v>0</v>
      </c>
      <c r="D37" s="1" t="str">
        <f>Reporting_currency</f>
        <v>HKD</v>
      </c>
    </row>
    <row r="38" spans="2:6">
      <c r="B38" s="49" t="s">
        <v>199</v>
      </c>
      <c r="C38" s="285">
        <f>Normalized_FCF!C16</f>
        <v>0</v>
      </c>
      <c r="D38" s="1" t="str">
        <f>Reporting_currency</f>
        <v>HKD</v>
      </c>
    </row>
    <row r="40" spans="2:6">
      <c r="B40" s="463" t="s">
        <v>200</v>
      </c>
      <c r="C40" s="463"/>
      <c r="D40" s="463"/>
      <c r="E40" s="463"/>
      <c r="F40" s="463"/>
    </row>
    <row r="41" spans="2:6">
      <c r="B41" s="44" t="s">
        <v>201</v>
      </c>
      <c r="C41" s="285">
        <f>Normalized_FCF!C9</f>
        <v>0</v>
      </c>
      <c r="D41" s="1" t="str">
        <f>Reporting_currency</f>
        <v>HKD</v>
      </c>
    </row>
    <row r="43" spans="2:6">
      <c r="B43" s="463" t="s">
        <v>204</v>
      </c>
      <c r="C43" s="463"/>
      <c r="D43" s="463"/>
      <c r="E43" s="463"/>
      <c r="F43" s="463"/>
    </row>
    <row r="44" spans="2:6">
      <c r="B44" s="44" t="s">
        <v>266</v>
      </c>
      <c r="C44" s="286">
        <f>Normalized_FCF!C46</f>
        <v>2942.5354352438831</v>
      </c>
      <c r="D44" s="1" t="str">
        <f>Reporting_currency</f>
        <v>HKD</v>
      </c>
      <c r="E44" s="244"/>
      <c r="F44" s="244"/>
    </row>
    <row r="45" spans="2:6">
      <c r="B45" s="44" t="s">
        <v>267</v>
      </c>
      <c r="C45" s="286">
        <f>Normalized_FCF!C45</f>
        <v>0</v>
      </c>
      <c r="D45" s="1" t="str">
        <f>Reporting_currency</f>
        <v>HKD</v>
      </c>
      <c r="E45" s="244"/>
      <c r="F45" s="244"/>
    </row>
    <row r="46" spans="2:6">
      <c r="B46" s="44" t="s">
        <v>202</v>
      </c>
      <c r="C46" s="285">
        <f>Normalized_FCF!C10</f>
        <v>2942.5354352438831</v>
      </c>
      <c r="D46" s="1" t="str">
        <f>Reporting_currency</f>
        <v>HKD</v>
      </c>
    </row>
    <row r="48" spans="2:6">
      <c r="B48" s="1" t="s">
        <v>210</v>
      </c>
    </row>
    <row r="49" spans="2:6">
      <c r="B49" s="44" t="s">
        <v>222</v>
      </c>
      <c r="C49" s="285">
        <f>Normalized_FCF!C13</f>
        <v>0</v>
      </c>
      <c r="D49" s="1" t="str">
        <f>Reporting_currency</f>
        <v>HKD</v>
      </c>
    </row>
    <row r="51" spans="2:6">
      <c r="B51" s="463" t="s">
        <v>205</v>
      </c>
      <c r="C51" s="463"/>
      <c r="D51" s="463"/>
      <c r="E51" s="463"/>
      <c r="F51" s="463"/>
    </row>
    <row r="52" spans="2:6">
      <c r="B52" s="44" t="s">
        <v>203</v>
      </c>
      <c r="C52" s="285">
        <f>Normalized_FCF!C12</f>
        <v>-134909.44889636929</v>
      </c>
      <c r="D52" s="1" t="str">
        <f>Reporting_currency</f>
        <v>HKD</v>
      </c>
    </row>
    <row r="54" spans="2:6">
      <c r="B54" s="463" t="s">
        <v>264</v>
      </c>
      <c r="C54" s="464"/>
      <c r="D54" s="464"/>
      <c r="E54" s="464"/>
      <c r="F54" s="464"/>
    </row>
    <row r="55" spans="2:6">
      <c r="B55" s="44" t="s">
        <v>206</v>
      </c>
      <c r="C55" s="285">
        <f>Normalized_FCF!C17</f>
        <v>0</v>
      </c>
      <c r="D55" s="1" t="str">
        <f>Reporting_currency</f>
        <v>HKD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506980</v>
      </c>
      <c r="D60" s="1" t="str">
        <f>Reporting_currency</f>
        <v>HKD</v>
      </c>
    </row>
    <row r="61" spans="2:6">
      <c r="B61" s="44" t="s">
        <v>212</v>
      </c>
      <c r="C61" s="285">
        <f>Normalized_FCF!C19</f>
        <v>404728.34668910783</v>
      </c>
      <c r="D61" s="1" t="str">
        <f>Reporting_currency</f>
        <v>HKD</v>
      </c>
    </row>
    <row r="62" spans="2:6">
      <c r="B62" s="204" t="s">
        <v>301</v>
      </c>
      <c r="C62" s="89">
        <f>Normalized_FCF!C124</f>
        <v>5.9303635091179349E-2</v>
      </c>
      <c r="F62" s="257"/>
    </row>
    <row r="63" spans="2:6">
      <c r="B63" s="204" t="s">
        <v>331</v>
      </c>
      <c r="C63" s="89">
        <f>Normalized_FCF!C92</f>
        <v>2.1712538226299691E-2</v>
      </c>
      <c r="E63" s="44" t="s">
        <v>321</v>
      </c>
      <c r="F63" s="258">
        <f>Normalized_FCF!C90</f>
        <v>0.36612491279694165</v>
      </c>
    </row>
    <row r="65" spans="1:6">
      <c r="B65" s="192" t="s">
        <v>324</v>
      </c>
      <c r="C65" s="264" t="s">
        <v>326</v>
      </c>
      <c r="D65" s="264" t="s">
        <v>327</v>
      </c>
    </row>
    <row r="66" spans="1:6">
      <c r="B66" s="44" t="s">
        <v>325</v>
      </c>
      <c r="C66" s="89">
        <f>Normalized_FCF!E119</f>
        <v>0.3</v>
      </c>
      <c r="D66" s="89">
        <f>Normalized_FCF!G119</f>
        <v>294648</v>
      </c>
    </row>
    <row r="67" spans="1:6">
      <c r="B67" s="229" t="str">
        <f>Normalized_FCF!B116</f>
        <v>Pre-tax Profit/Sales</v>
      </c>
      <c r="C67" s="263">
        <f>Normalized_FCF!E116</f>
        <v>9.5639096306179002E-8</v>
      </c>
      <c r="D67" s="263">
        <f>Normalized_FCF!G116</f>
        <v>9.3932894828076763E-2</v>
      </c>
    </row>
    <row r="68" spans="1:6">
      <c r="B68" s="229" t="str">
        <f>Normalized_FCF!B117</f>
        <v>Sales/Total Assets</v>
      </c>
      <c r="C68" s="265">
        <f>Normalized_FCF!E117</f>
        <v>3136792.5</v>
      </c>
      <c r="D68" s="265">
        <f>Normalized_FCF!G117</f>
        <v>3136792.5</v>
      </c>
    </row>
    <row r="69" spans="1:6">
      <c r="B69" s="229" t="str">
        <f>Normalized_FCF!B118</f>
        <v>Total Assets/Equity</v>
      </c>
      <c r="C69" s="265">
        <f>Normalized_FCF!E118</f>
        <v>1</v>
      </c>
      <c r="D69" s="265">
        <f>Normalized_FCF!G118</f>
        <v>1</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0</v>
      </c>
      <c r="D78" s="1" t="str">
        <f>Reporting_currency</f>
        <v>HKD</v>
      </c>
    </row>
    <row r="79" spans="1:6">
      <c r="A79" s="191"/>
      <c r="B79" s="44" t="s">
        <v>233</v>
      </c>
      <c r="C79" s="201">
        <f>C78*scaling_factor*Exchange_Rate/Common_Shares</f>
        <v>0</v>
      </c>
      <c r="D79" s="1" t="str">
        <f>Market_currency</f>
        <v>HKD</v>
      </c>
    </row>
    <row r="80" spans="1:6">
      <c r="A80" s="191"/>
      <c r="B80" s="229" t="s">
        <v>308</v>
      </c>
      <c r="C80" s="337">
        <f>IF(BS!G31/BS!G27&gt;300%,"nm",BS!G31/BS!G27)</f>
        <v>0</v>
      </c>
    </row>
    <row r="81" spans="1:6">
      <c r="A81" s="191"/>
      <c r="B81" s="229" t="s">
        <v>310</v>
      </c>
      <c r="C81" s="338">
        <f>IF(BS!C50&gt;30,"nm",BS!C50)</f>
        <v>0</v>
      </c>
    </row>
    <row r="82" spans="1:6">
      <c r="A82" s="191"/>
    </row>
    <row r="83" spans="1:6">
      <c r="A83" s="191"/>
      <c r="B83" s="1" t="s">
        <v>465</v>
      </c>
    </row>
    <row r="84" spans="1:6">
      <c r="A84" s="191"/>
      <c r="B84" s="1" t="s">
        <v>223</v>
      </c>
      <c r="C84" s="285">
        <f>DCF!F5</f>
        <v>-490421.57254064718</v>
      </c>
      <c r="D84" s="1" t="str">
        <f>Reporting_currency</f>
        <v>HKD</v>
      </c>
    </row>
    <row r="85" spans="1:6">
      <c r="A85" s="191"/>
      <c r="B85" s="229" t="s">
        <v>221</v>
      </c>
      <c r="C85" s="291">
        <f>BS!C66</f>
        <v>1</v>
      </c>
      <c r="D85" s="339" t="str">
        <f>Reporting_currency</f>
        <v>HKD</v>
      </c>
    </row>
    <row r="86" spans="1:6">
      <c r="A86" s="191"/>
      <c r="B86" s="44" t="s">
        <v>234</v>
      </c>
      <c r="C86" s="201">
        <f>C84*scaling_factor*Exchange_Rate/Common_Shares</f>
        <v>-0.4699644482461065</v>
      </c>
      <c r="D86" s="1" t="str">
        <f>Market_currency</f>
        <v>HKD</v>
      </c>
    </row>
    <row r="87" spans="1:6">
      <c r="A87" s="191"/>
    </row>
    <row r="88" spans="1:6">
      <c r="A88" s="191"/>
      <c r="B88" s="1" t="s">
        <v>215</v>
      </c>
    </row>
    <row r="89" spans="1:6">
      <c r="A89" s="191"/>
      <c r="B89" s="1" t="s">
        <v>216</v>
      </c>
      <c r="C89" s="285">
        <f>DCF!F6</f>
        <v>0</v>
      </c>
      <c r="D89" s="1" t="str">
        <f>Reporting_currency</f>
        <v>HKD</v>
      </c>
    </row>
    <row r="90" spans="1:6">
      <c r="A90" s="191"/>
      <c r="B90" s="44" t="s">
        <v>235</v>
      </c>
      <c r="C90" s="201">
        <f>C89*scaling_factor*Exchange_Rate/Common_Shares</f>
        <v>0</v>
      </c>
      <c r="D90" s="1" t="str">
        <f>Market_currency</f>
        <v>HKD</v>
      </c>
    </row>
    <row r="91" spans="1:6">
      <c r="A91" s="191"/>
    </row>
    <row r="92" spans="1:6">
      <c r="A92" s="191"/>
      <c r="B92" s="44" t="s">
        <v>468</v>
      </c>
      <c r="C92" s="216">
        <f>DCF!F8</f>
        <v>-0.4699644482461065</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9.5828665491087242E-7</v>
      </c>
      <c r="D111" s="1" t="str">
        <f>Market_currency</f>
        <v>HKD</v>
      </c>
    </row>
    <row r="112" spans="2:6">
      <c r="B112" s="44" t="s">
        <v>322</v>
      </c>
      <c r="C112" s="216">
        <f>DCF!C11</f>
        <v>7.0653248653965477</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(15yrs)</v>
      </c>
      <c r="C118" s="206">
        <f>DCF!C90</f>
        <v>0.05</v>
      </c>
      <c r="D118" s="207" t="str">
        <f>ROUND(DCF!E90,2)&amp;" "&amp;Market_currency</f>
        <v>2.03 HKD</v>
      </c>
      <c r="E118" s="208">
        <f>DCF!F90</f>
        <v>0.15</v>
      </c>
      <c r="F118" s="208">
        <f>RATE(Holding_Period,Scenarios!C$58,-DCF!E90,C$18)</f>
        <v>3.2610334240859344E-2</v>
      </c>
    </row>
    <row r="119" spans="2:6">
      <c r="B119" s="205" t="str">
        <f>DCF!B91&amp;" ("&amp;DCF!D91&amp;"yrs)"</f>
        <v>Optimistic (15yrs)</v>
      </c>
      <c r="C119" s="198">
        <f>DCF!C91</f>
        <v>0.03</v>
      </c>
      <c r="D119" s="207" t="str">
        <f>ROUND(DCF!E91,2)&amp;" "&amp;Market_currency</f>
        <v>1.85 HKD</v>
      </c>
      <c r="E119" s="199">
        <f>DCF!F91</f>
        <v>0.15999999999999995</v>
      </c>
      <c r="F119" s="208">
        <f>RATE(Holding_Period,Scenarios!C$58,-DCF!E91,C$18)</f>
        <v>6.7440134175305561E-2</v>
      </c>
    </row>
    <row r="120" spans="2:6">
      <c r="B120" s="205" t="str">
        <f>DCF!B92&amp;" ("&amp;DCF!D92&amp;"yrs)"</f>
        <v>Base (15yrs)</v>
      </c>
      <c r="C120" s="198">
        <f>DCF!C92</f>
        <v>0.02</v>
      </c>
      <c r="D120" s="207" t="str">
        <f>ROUND(DCF!E92,2)&amp;" "&amp;Market_currency</f>
        <v>1.76 HKD</v>
      </c>
      <c r="E120" s="199">
        <f>DCF!F92</f>
        <v>0.44</v>
      </c>
      <c r="F120" s="208">
        <f>RATE(Holding_Period,Scenarios!C$58,-DCF!E92,C$18)</f>
        <v>8.5588275753371107E-2</v>
      </c>
    </row>
    <row r="121" spans="2:6">
      <c r="B121" s="205" t="str">
        <f>DCF!B93&amp;" ("&amp;DCF!D93&amp;"yrs)"</f>
        <v>Pessimistic (15yrs)</v>
      </c>
      <c r="C121" s="198">
        <f>DCF!C93</f>
        <v>0.01</v>
      </c>
      <c r="D121" s="207" t="str">
        <f>ROUND(DCF!E93,2)&amp;" "&amp;Market_currency</f>
        <v>1.68 HKD</v>
      </c>
      <c r="E121" s="199">
        <f>DCF!F93</f>
        <v>0.19999999999999998</v>
      </c>
      <c r="F121" s="208">
        <f>RATE(Holding_Period,Scenarios!C$58,-DCF!E93,C$18)</f>
        <v>0.10425881217679761</v>
      </c>
    </row>
    <row r="122" spans="2:6">
      <c r="B122" s="205" t="str">
        <f>DCF!B94&amp;" ("&amp;DCF!D94&amp;"yrs)"</f>
        <v>Devil's advocate (15yrs)</v>
      </c>
      <c r="C122" s="198">
        <f>DCF!C94</f>
        <v>0</v>
      </c>
      <c r="D122" s="207" t="str">
        <f>ROUND(DCF!E94,2)&amp;" "&amp;Market_currency</f>
        <v>1.6 HKD</v>
      </c>
      <c r="E122" s="199">
        <f>DCF!F94</f>
        <v>0.05</v>
      </c>
      <c r="F122" s="208">
        <f>RATE(Holding_Period,Scenarios!C$58,-DCF!E94,C$18)</f>
        <v>0.12347958201646812</v>
      </c>
    </row>
    <row r="124" spans="2:6">
      <c r="B124" s="463" t="s">
        <v>356</v>
      </c>
      <c r="C124" s="463"/>
      <c r="D124" s="463"/>
      <c r="E124" s="463"/>
      <c r="F124" s="463"/>
    </row>
    <row r="125" spans="2:6">
      <c r="B125" s="193" t="s">
        <v>217</v>
      </c>
      <c r="C125" s="197">
        <f>Scenarios!C36</f>
        <v>1.791192103683956</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0.14199999999999999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0.25983892380763701</v>
      </c>
      <c r="D140" s="333">
        <f>Scenarios!D62</f>
        <v>0.82543414916311353</v>
      </c>
      <c r="E140" s="334">
        <f>Scenarios!E62</f>
        <v>1.0852730729707505</v>
      </c>
      <c r="F140" s="335">
        <f>E22</f>
        <v>0.29465259038036601</v>
      </c>
    </row>
    <row r="141" spans="1:6">
      <c r="B141" s="336" t="s">
        <v>312</v>
      </c>
      <c r="C141" s="333">
        <f>Scenarios!C63</f>
        <v>0.29876856051220924</v>
      </c>
      <c r="D141" s="333">
        <f>Scenarios!D63</f>
        <v>1.0346235977957872</v>
      </c>
      <c r="E141" s="334">
        <f>Scenarios!E63</f>
        <v>1.3333921583079964</v>
      </c>
      <c r="F141" s="335">
        <f>Scenarios!F63</f>
        <v>0.20075184365903001</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0.34258964388328816</v>
      </c>
      <c r="D144" s="333">
        <f>Scenarios!D66</f>
        <v>1.2838555562015233</v>
      </c>
      <c r="E144" s="334">
        <f>Scenarios!E66</f>
        <v>1.6264452000848113</v>
      </c>
      <c r="F144" s="335">
        <f>E24</f>
        <v>0.1174</v>
      </c>
    </row>
    <row r="145" spans="1:6">
      <c r="B145" s="336" t="s">
        <v>313</v>
      </c>
      <c r="C145" s="333">
        <f>Scenarios!C67</f>
        <v>0.37095728225856828</v>
      </c>
      <c r="D145" s="333">
        <f>Scenarios!D67</f>
        <v>1.4519453274729941</v>
      </c>
      <c r="E145" s="334">
        <f>Scenarios!E67</f>
        <v>1.8229026097315624</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6273585</v>
      </c>
      <c r="D4" s="287">
        <v>6217123</v>
      </c>
      <c r="E4" s="287"/>
      <c r="F4" s="287"/>
      <c r="G4" s="287"/>
      <c r="H4" s="287"/>
      <c r="I4" s="287"/>
      <c r="J4" s="287"/>
      <c r="K4" s="287"/>
      <c r="L4" s="287"/>
      <c r="M4" s="287"/>
    </row>
    <row r="5" spans="2:13">
      <c r="B5" s="38" t="s">
        <v>39</v>
      </c>
      <c r="C5" s="287">
        <v>3056039</v>
      </c>
      <c r="D5" s="287">
        <v>3105686</v>
      </c>
      <c r="E5" s="287"/>
      <c r="F5" s="287"/>
      <c r="G5" s="287"/>
      <c r="H5" s="287"/>
      <c r="I5" s="287"/>
      <c r="J5" s="287"/>
      <c r="K5" s="287"/>
      <c r="L5" s="287"/>
      <c r="M5" s="287"/>
    </row>
    <row r="6" spans="2:13">
      <c r="B6" s="38" t="s">
        <v>50</v>
      </c>
      <c r="C6" s="287">
        <v>2595134</v>
      </c>
      <c r="D6" s="287">
        <v>2677338</v>
      </c>
      <c r="E6" s="287"/>
      <c r="F6" s="287"/>
      <c r="G6" s="287"/>
      <c r="H6" s="287"/>
      <c r="I6" s="287"/>
      <c r="J6" s="287"/>
      <c r="K6" s="287"/>
      <c r="L6" s="287"/>
      <c r="M6" s="287"/>
    </row>
    <row r="7" spans="2:13">
      <c r="B7" s="66" t="s">
        <v>57</v>
      </c>
      <c r="C7" s="288">
        <v>1900716</v>
      </c>
      <c r="D7" s="288">
        <v>1976349</v>
      </c>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33116</v>
      </c>
      <c r="D12" s="287">
        <v>30028</v>
      </c>
      <c r="E12" s="287"/>
      <c r="F12" s="287"/>
      <c r="G12" s="287"/>
      <c r="H12" s="287"/>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76422</v>
      </c>
      <c r="D14" s="287">
        <v>13880</v>
      </c>
      <c r="E14" s="287"/>
      <c r="F14" s="287"/>
      <c r="G14" s="287"/>
      <c r="H14" s="287"/>
      <c r="I14" s="287"/>
      <c r="J14" s="287"/>
      <c r="K14" s="287"/>
      <c r="L14" s="287"/>
      <c r="M14" s="287"/>
    </row>
    <row r="15" spans="2:13">
      <c r="B15" s="41" t="s">
        <v>38</v>
      </c>
      <c r="C15" s="289">
        <v>240568</v>
      </c>
      <c r="D15" s="289">
        <v>117788</v>
      </c>
      <c r="E15" s="289"/>
      <c r="F15" s="289"/>
      <c r="G15" s="289"/>
      <c r="H15" s="289"/>
      <c r="I15" s="289"/>
      <c r="J15" s="289"/>
      <c r="K15" s="289"/>
      <c r="L15" s="289"/>
      <c r="M15" s="289"/>
    </row>
    <row r="16" spans="2:13">
      <c r="B16" s="27" t="s">
        <v>40</v>
      </c>
      <c r="C16" s="287">
        <v>5894</v>
      </c>
      <c r="D16" s="287">
        <v>1421</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859017</v>
      </c>
      <c r="D22" s="287">
        <v>790543</v>
      </c>
      <c r="E22" s="287"/>
      <c r="F22" s="287"/>
      <c r="G22" s="287"/>
      <c r="H22" s="287"/>
      <c r="I22" s="287"/>
      <c r="J22" s="287"/>
      <c r="K22" s="287"/>
      <c r="L22" s="287"/>
      <c r="M22" s="287"/>
    </row>
    <row r="23" spans="2:13">
      <c r="B23" s="26" t="s">
        <v>287</v>
      </c>
      <c r="C23" s="287">
        <v>65893</v>
      </c>
      <c r="D23" s="287">
        <v>-294294</v>
      </c>
      <c r="E23" s="287"/>
      <c r="F23" s="287"/>
      <c r="G23" s="287"/>
      <c r="H23" s="287"/>
      <c r="I23" s="287"/>
      <c r="J23" s="287"/>
      <c r="K23" s="287"/>
      <c r="L23" s="287"/>
      <c r="M23" s="287"/>
    </row>
    <row r="24" spans="2:13">
      <c r="B24" s="26" t="s">
        <v>286</v>
      </c>
      <c r="C24" s="287">
        <v>-298236</v>
      </c>
      <c r="D24" s="287">
        <v>-403493</v>
      </c>
      <c r="E24" s="287"/>
      <c r="F24" s="287"/>
      <c r="G24" s="287"/>
      <c r="H24" s="287"/>
      <c r="I24" s="287"/>
      <c r="J24" s="287"/>
      <c r="K24" s="287"/>
      <c r="L24" s="287"/>
      <c r="M24" s="287"/>
    </row>
    <row r="25" spans="2:13">
      <c r="B25" s="23" t="str">
        <f>"Dividend per share ("&amp;Market_currency&amp;")"</f>
        <v>Dividend per share (HKD)</v>
      </c>
      <c r="C25" s="37">
        <f>0.102+0.04</f>
        <v>0.14199999999999999</v>
      </c>
      <c r="D25" s="37">
        <f>0.063+0.014</f>
        <v>7.6999999999999999E-2</v>
      </c>
      <c r="E25" s="37"/>
      <c r="F25" s="37"/>
      <c r="G25" s="37"/>
      <c r="H25" s="37"/>
      <c r="I25" s="37"/>
      <c r="J25" s="37"/>
      <c r="K25" s="37"/>
      <c r="L25" s="37"/>
      <c r="M25" s="37"/>
    </row>
    <row r="27" spans="2:13">
      <c r="B27" s="16" t="s">
        <v>25</v>
      </c>
      <c r="C27" s="94" t="s">
        <v>546</v>
      </c>
    </row>
    <row r="28" spans="2:13">
      <c r="B28" s="25" t="s">
        <v>21</v>
      </c>
      <c r="C28" s="270">
        <f>BS!C4</f>
        <v>0</v>
      </c>
      <c r="D28" s="287">
        <v>715301</v>
      </c>
      <c r="E28" s="287"/>
      <c r="F28" s="287"/>
      <c r="G28" s="287"/>
      <c r="H28" s="287"/>
      <c r="I28" s="287"/>
      <c r="J28" s="287"/>
      <c r="K28" s="287"/>
      <c r="L28" s="287"/>
      <c r="M28" s="287"/>
    </row>
    <row r="29" spans="2:13">
      <c r="B29" s="25" t="s">
        <v>29</v>
      </c>
      <c r="C29" s="270">
        <f>BS!C6</f>
        <v>0</v>
      </c>
      <c r="D29" s="287">
        <v>554546</v>
      </c>
      <c r="E29" s="287"/>
      <c r="F29" s="287"/>
      <c r="G29" s="287"/>
      <c r="H29" s="287"/>
      <c r="I29" s="287"/>
      <c r="J29" s="287"/>
      <c r="K29" s="287"/>
      <c r="L29" s="287"/>
      <c r="M29" s="287"/>
    </row>
    <row r="30" spans="2:13">
      <c r="B30" s="28" t="s">
        <v>37</v>
      </c>
      <c r="C30" s="271">
        <f>BS!C33+BS!C42</f>
        <v>0</v>
      </c>
      <c r="D30" s="289">
        <v>2524058</v>
      </c>
      <c r="E30" s="289"/>
      <c r="F30" s="289"/>
      <c r="G30" s="289"/>
      <c r="H30" s="289"/>
      <c r="I30" s="289"/>
      <c r="J30" s="289"/>
      <c r="K30" s="289"/>
      <c r="L30" s="289"/>
      <c r="M30" s="289"/>
    </row>
    <row r="31" spans="2:13">
      <c r="B31" s="28" t="s">
        <v>27</v>
      </c>
      <c r="C31" s="271">
        <f>BS!G27</f>
        <v>2</v>
      </c>
      <c r="D31" s="289">
        <v>3112637</v>
      </c>
      <c r="E31" s="289"/>
      <c r="F31" s="289"/>
      <c r="G31" s="289"/>
      <c r="H31" s="289"/>
      <c r="I31" s="289"/>
      <c r="J31" s="289"/>
      <c r="K31" s="289"/>
      <c r="L31" s="289"/>
      <c r="M31" s="289"/>
    </row>
    <row r="32" spans="2:13">
      <c r="B32" s="25" t="s">
        <v>142</v>
      </c>
      <c r="C32" s="270">
        <f>BS!G28</f>
        <v>0</v>
      </c>
      <c r="D32" s="287">
        <v>108077</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6273585</v>
      </c>
      <c r="D36" s="270">
        <f t="shared" si="1"/>
        <v>6217123</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-3056039</v>
      </c>
      <c r="D37" s="270">
        <f t="shared" si="2"/>
        <v>-3105686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3217546</v>
      </c>
      <c r="D38" s="267">
        <f t="shared" ref="D38" si="3">IF(D36="","",D36+D37)</f>
        <v>3111437</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-2595134</v>
      </c>
      <c r="D39" s="270">
        <f t="shared" si="13"/>
        <v>-2677338</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-1900716</v>
      </c>
      <c r="D40" s="282">
        <f t="shared" si="14"/>
        <v>-1976349</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-694418</v>
      </c>
      <c r="D41" s="282">
        <f t="shared" ref="D41:M41" si="15">IF(D$4="","",D39-D40)</f>
        <v>-700989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622412</v>
      </c>
      <c r="D43" s="271">
        <f t="shared" ref="D43:M43" si="17">IF(D$4="","",D38+D39+D42)</f>
        <v>434099</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-272306</v>
      </c>
      <c r="D44" s="290">
        <f t="shared" si="18"/>
        <v>-272403</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-33116</v>
      </c>
      <c r="D45" s="285">
        <f t="shared" si="19"/>
        <v>-30028</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-76422</v>
      </c>
      <c r="D46" s="270">
        <f t="shared" ref="D46:M46" si="20">IF(D$4="","",-D14)</f>
        <v>-13880</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240568</v>
      </c>
      <c r="D47" s="271">
        <f t="shared" si="21"/>
        <v>117788</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-5894</v>
      </c>
      <c r="D48" s="270">
        <f t="shared" si="22"/>
        <v>-1421</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-33116</v>
      </c>
      <c r="D51" s="270">
        <f t="shared" si="23"/>
        <v>-30028</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-272306</v>
      </c>
      <c r="D58" s="285">
        <f t="shared" ref="D58:M58" si="28">IF(D$4="","",D44-D55-D56-D57)</f>
        <v>-272403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626674</v>
      </c>
      <c r="D64" s="270">
        <f t="shared" ref="D64:M64" si="32">IF(D$4="","",D22+D23+D24)</f>
        <v>92756</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0.14199999999999999</v>
      </c>
      <c r="D65" s="70">
        <f t="shared" ref="D65:M65" si="33">IF(D$4="","",D25)</f>
        <v>7.6999999999999999E-2</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9.0816926092662786E-3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3.4102892007776386E-2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0.43380196683245065</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-3.5609005774528413E-4</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1.0423812272897068</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v>
      </c>
      <c r="D76" s="285">
        <f t="shared" ref="D76:M76" si="39">IF(D$4="","",D79+D80)</f>
        <v>5636695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0</v>
      </c>
      <c r="D77" s="282">
        <f t="shared" si="40"/>
        <v>715301</v>
      </c>
      <c r="E77" s="282" t="str">
        <f t="shared" si="40"/>
        <v/>
      </c>
      <c r="F77" s="282" t="str">
        <f t="shared" si="40"/>
        <v/>
      </c>
      <c r="G77" s="282" t="str">
        <f t="shared" si="40"/>
        <v/>
      </c>
      <c r="H77" s="282" t="str">
        <f t="shared" si="40"/>
        <v/>
      </c>
      <c r="I77" s="291"/>
      <c r="J77" s="291"/>
      <c r="K77" s="291"/>
      <c r="L77" s="291"/>
      <c r="M77" s="291"/>
    </row>
    <row r="78" spans="2:13">
      <c r="B78" s="90" t="s">
        <v>82</v>
      </c>
      <c r="C78" s="260">
        <f t="shared" si="40"/>
        <v>0</v>
      </c>
      <c r="D78" s="282">
        <f t="shared" si="40"/>
        <v>554546</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0</v>
      </c>
      <c r="D79" s="270">
        <f t="shared" si="41"/>
        <v>2524058</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2</v>
      </c>
      <c r="D80" s="270">
        <f t="shared" si="42"/>
        <v>3112637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0</v>
      </c>
      <c r="D4" s="231">
        <v>0.6</v>
      </c>
      <c r="E4" s="24"/>
      <c r="F4" s="4" t="s">
        <v>73</v>
      </c>
      <c r="G4" s="18">
        <v>1</v>
      </c>
      <c r="H4" s="231">
        <v>0.9</v>
      </c>
    </row>
    <row r="5" spans="2:8" ht="15" customHeight="1">
      <c r="B5" s="1" t="s">
        <v>30</v>
      </c>
      <c r="C5" s="18">
        <v>0</v>
      </c>
      <c r="D5" s="231">
        <v>0.6</v>
      </c>
      <c r="E5" s="24"/>
      <c r="F5" s="1" t="s">
        <v>26</v>
      </c>
      <c r="G5" s="18">
        <v>0</v>
      </c>
      <c r="H5" s="231">
        <v>0.7</v>
      </c>
    </row>
    <row r="6" spans="2:8" ht="15" customHeight="1">
      <c r="B6" s="4" t="s">
        <v>8</v>
      </c>
      <c r="C6" s="18">
        <v>0</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0</v>
      </c>
      <c r="D12" s="19">
        <f>C4*D4+C5*D5+C9*D9+C6*D6+C8*D8+C7*D7+C10*D10+C11*D11</f>
        <v>0</v>
      </c>
      <c r="F12" s="77" t="s">
        <v>66</v>
      </c>
      <c r="G12" s="78">
        <f>SUM(G4:G10)</f>
        <v>1</v>
      </c>
      <c r="H12" s="19">
        <f>G4*H4+G5*H5+G6*H6+G7*H7+G8*H8+G9*H9+G10*H10</f>
        <v>0.9</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v>1</v>
      </c>
      <c r="D19" s="231">
        <v>0.1</v>
      </c>
      <c r="F19" s="4" t="s">
        <v>151</v>
      </c>
      <c r="G19" s="18">
        <v>0</v>
      </c>
      <c r="H19" s="231">
        <v>0.1</v>
      </c>
    </row>
    <row r="20" spans="2:8" ht="15" customHeight="1">
      <c r="B20" s="4" t="s">
        <v>557</v>
      </c>
      <c r="C20" s="18">
        <v>0</v>
      </c>
      <c r="D20" s="231">
        <v>0.05</v>
      </c>
      <c r="F20" s="4" t="s">
        <v>148</v>
      </c>
      <c r="G20" s="18">
        <v>0</v>
      </c>
      <c r="H20" s="231">
        <v>0.2</v>
      </c>
    </row>
    <row r="21" spans="2:8" ht="15" customHeight="1">
      <c r="B21" s="4" t="s">
        <v>16</v>
      </c>
      <c r="C21" s="18">
        <v>0</v>
      </c>
      <c r="D21" s="231">
        <v>0.05</v>
      </c>
      <c r="F21" s="1" t="s">
        <v>149</v>
      </c>
      <c r="G21" s="18">
        <v>0</v>
      </c>
      <c r="H21" s="231">
        <v>0.1</v>
      </c>
    </row>
    <row r="22" spans="2:8" ht="15" customHeight="1">
      <c r="B22" s="4" t="s">
        <v>17</v>
      </c>
      <c r="C22" s="18">
        <v>0</v>
      </c>
      <c r="D22" s="231">
        <v>0.9</v>
      </c>
      <c r="H22" s="232"/>
    </row>
    <row r="23" spans="2:8" ht="15" customHeight="1">
      <c r="B23" s="4" t="s">
        <v>18</v>
      </c>
      <c r="C23" s="18">
        <v>0</v>
      </c>
      <c r="D23" s="231">
        <v>0</v>
      </c>
      <c r="H23" s="232"/>
    </row>
    <row r="24" spans="2:8" ht="15" customHeight="1">
      <c r="B24" s="77" t="s">
        <v>69</v>
      </c>
      <c r="C24" s="78">
        <f>SUM(C15:C23)</f>
        <v>1</v>
      </c>
      <c r="D24" s="19">
        <f>C15*D15+C16*D16+C18*D18+C17*D17+C19*D19+C20*D20+C21*D21+C22*D22+C23*D23</f>
        <v>0.1</v>
      </c>
      <c r="F24" s="77" t="s">
        <v>67</v>
      </c>
      <c r="G24" s="78">
        <f>SUM(G15:G21)</f>
        <v>0</v>
      </c>
      <c r="H24" s="19">
        <f>G15*H15+G16*H16+G17*H17+G18*H18+G19*H19+G20*H20+G21*H21</f>
        <v>0</v>
      </c>
    </row>
    <row r="26" spans="2:8" ht="15" customHeight="1">
      <c r="B26" s="16" t="s">
        <v>168</v>
      </c>
      <c r="C26" s="164" t="s">
        <v>112</v>
      </c>
      <c r="F26" s="166" t="s">
        <v>164</v>
      </c>
      <c r="G26" s="167" t="s">
        <v>112</v>
      </c>
      <c r="H26" s="168" t="s">
        <v>32</v>
      </c>
    </row>
    <row r="27" spans="2:8" ht="15" customHeight="1">
      <c r="B27" s="4" t="s">
        <v>3</v>
      </c>
      <c r="C27" s="18">
        <v>0</v>
      </c>
      <c r="F27" s="169" t="s">
        <v>27</v>
      </c>
      <c r="G27" s="82">
        <f>G32-G30</f>
        <v>2</v>
      </c>
      <c r="H27" s="170">
        <f>H32-G30</f>
        <v>1</v>
      </c>
    </row>
    <row r="28" spans="2:8" ht="15" customHeight="1">
      <c r="B28" s="4" t="s">
        <v>4</v>
      </c>
      <c r="C28" s="18">
        <v>0</v>
      </c>
      <c r="F28" s="171" t="s">
        <v>208</v>
      </c>
      <c r="G28" s="287">
        <v>0</v>
      </c>
      <c r="H28" s="170"/>
    </row>
    <row r="29" spans="2:8" ht="15" customHeight="1">
      <c r="B29" s="4" t="s">
        <v>5</v>
      </c>
      <c r="C29" s="18">
        <v>0</v>
      </c>
      <c r="F29" s="172" t="s">
        <v>71</v>
      </c>
      <c r="G29" s="14">
        <f>G27-G28</f>
        <v>2</v>
      </c>
      <c r="H29" s="170">
        <f>H27-G28</f>
        <v>1</v>
      </c>
    </row>
    <row r="30" spans="2:8" ht="15" customHeight="1">
      <c r="B30" s="2" t="s">
        <v>6</v>
      </c>
      <c r="C30" s="18">
        <v>0</v>
      </c>
      <c r="F30" s="169" t="s">
        <v>20</v>
      </c>
      <c r="G30" s="82">
        <f>C33+C42</f>
        <v>0</v>
      </c>
      <c r="H30" s="170"/>
    </row>
    <row r="31" spans="2:8" ht="15" customHeight="1">
      <c r="B31" s="77" t="s">
        <v>171</v>
      </c>
      <c r="C31" s="78">
        <f>SUM(C27:C30)</f>
        <v>0</v>
      </c>
      <c r="F31" s="172" t="s">
        <v>72</v>
      </c>
      <c r="G31" s="173">
        <f>C31+C40</f>
        <v>0</v>
      </c>
      <c r="H31" s="170"/>
    </row>
    <row r="32" spans="2:8" ht="15" customHeight="1">
      <c r="B32" s="4" t="s">
        <v>7</v>
      </c>
      <c r="C32" s="20">
        <f>C33-C31</f>
        <v>0</v>
      </c>
      <c r="F32" s="174" t="s">
        <v>70</v>
      </c>
      <c r="G32" s="175">
        <f>G35+G40</f>
        <v>2</v>
      </c>
      <c r="H32" s="170">
        <f>H35+H40</f>
        <v>1</v>
      </c>
    </row>
    <row r="33" spans="2:8" ht="15" customHeight="1">
      <c r="B33" s="80" t="s">
        <v>2</v>
      </c>
      <c r="C33" s="81">
        <v>0</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v>
      </c>
      <c r="H35" s="182">
        <f>D12+D24</f>
        <v>0.1</v>
      </c>
    </row>
    <row r="36" spans="2:8" ht="15" customHeight="1">
      <c r="B36" s="4" t="s">
        <v>11</v>
      </c>
      <c r="C36" s="18">
        <v>0</v>
      </c>
      <c r="F36" s="172" t="s">
        <v>165</v>
      </c>
      <c r="G36" s="173">
        <f>C4+C15</f>
        <v>0</v>
      </c>
      <c r="H36" s="177"/>
    </row>
    <row r="37" spans="2:8" ht="15" customHeight="1">
      <c r="B37" s="4" t="s">
        <v>12</v>
      </c>
      <c r="C37" s="18">
        <v>0</v>
      </c>
      <c r="F37" s="172" t="s">
        <v>166</v>
      </c>
      <c r="G37" s="173">
        <f>C6</f>
        <v>0</v>
      </c>
      <c r="H37" s="177"/>
    </row>
    <row r="38" spans="2:8" ht="15" customHeight="1">
      <c r="B38" s="4" t="s">
        <v>13</v>
      </c>
      <c r="C38" s="18">
        <v>0</v>
      </c>
      <c r="F38" s="172" t="s">
        <v>167</v>
      </c>
      <c r="G38" s="173">
        <f>C7+C17</f>
        <v>0</v>
      </c>
      <c r="H38" s="177"/>
    </row>
    <row r="39" spans="2:8" ht="15" customHeight="1">
      <c r="B39" s="2" t="s">
        <v>14</v>
      </c>
      <c r="C39" s="18">
        <v>0</v>
      </c>
      <c r="F39" s="172" t="s">
        <v>75</v>
      </c>
      <c r="G39" s="173">
        <f>C7+C17+C19+C20</f>
        <v>1</v>
      </c>
      <c r="H39" s="170">
        <f>C7*D7+C17*D17+C19*D19+C20*D20</f>
        <v>0.1</v>
      </c>
    </row>
    <row r="40" spans="2:8" ht="15" customHeight="1">
      <c r="B40" s="77" t="s">
        <v>172</v>
      </c>
      <c r="C40" s="78">
        <f>SUM(C36:C39)</f>
        <v>0</v>
      </c>
      <c r="F40" s="181" t="s">
        <v>114</v>
      </c>
      <c r="G40" s="175">
        <f>G12+G24</f>
        <v>1</v>
      </c>
      <c r="H40" s="182">
        <f>H12+H24</f>
        <v>0.9</v>
      </c>
    </row>
    <row r="41" spans="2:8" ht="15" customHeight="1">
      <c r="B41" s="4" t="s">
        <v>15</v>
      </c>
      <c r="C41" s="20">
        <f>C42-C40</f>
        <v>0</v>
      </c>
      <c r="F41" s="172" t="s">
        <v>159</v>
      </c>
      <c r="G41" s="173">
        <f>C70</f>
        <v>1</v>
      </c>
      <c r="H41" s="182">
        <f>H40-H42</f>
        <v>0.9</v>
      </c>
    </row>
    <row r="42" spans="2:8" ht="15" customHeight="1">
      <c r="B42" s="80" t="s">
        <v>19</v>
      </c>
      <c r="C42" s="81">
        <v>0</v>
      </c>
      <c r="F42" s="183" t="s">
        <v>160</v>
      </c>
      <c r="G42" s="184">
        <f>C82</f>
        <v>0</v>
      </c>
      <c r="H42" s="185">
        <f>D82</f>
        <v>0</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v>
      </c>
      <c r="D46" s="73">
        <f>H29</f>
        <v>1</v>
      </c>
      <c r="F46" s="223"/>
    </row>
    <row r="47" spans="2:8" ht="15" customHeight="1">
      <c r="B47" s="1" t="str">
        <f>"Equity per share ("&amp;Market_currency&amp;")"</f>
        <v>Equity per share (HKD)</v>
      </c>
      <c r="C47" s="134">
        <f>C46*H1/Common_Shares*Exchange_Rate</f>
        <v>1.9165733098217448E-6</v>
      </c>
      <c r="D47" s="134">
        <f>D46*H1/Common_Shares*Exchange_Rate</f>
        <v>9.5828665491087242E-7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v>
      </c>
      <c r="D50" s="92">
        <f>G31/Normalized_FCF!G8</f>
        <v>0</v>
      </c>
      <c r="F50" s="223"/>
    </row>
    <row r="51" spans="2:8" ht="15" customHeight="1">
      <c r="B51" s="1" t="s">
        <v>145</v>
      </c>
      <c r="C51" s="163"/>
      <c r="D51" s="89">
        <f>G29/G32</f>
        <v>1</v>
      </c>
      <c r="F51" s="223"/>
    </row>
    <row r="52" spans="2:8" ht="15" customHeight="1">
      <c r="F52" s="223"/>
    </row>
    <row r="53" spans="2:8" ht="15" customHeight="1">
      <c r="B53" s="143" t="s">
        <v>118</v>
      </c>
      <c r="C53" s="210" t="s">
        <v>53</v>
      </c>
      <c r="D53" s="179" t="s">
        <v>90</v>
      </c>
      <c r="F53" s="223"/>
    </row>
    <row r="54" spans="2:8" ht="15" customHeight="1">
      <c r="B54" s="1" t="s">
        <v>115</v>
      </c>
      <c r="C54" s="89">
        <f>Normalized_FCF!C8/G35</f>
        <v>536695.26015023328</v>
      </c>
      <c r="D54" s="89">
        <f>Normalized_FCF!G8/G35</f>
        <v>622412</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0.5</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v>
      </c>
      <c r="D66" s="73">
        <f>C66-D75</f>
        <v>-490421.57254064718</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-483279.51088649995</v>
      </c>
      <c r="D73" s="285">
        <f>(Normalized_FCF!C26+Normalized_FCF!C35-Normalized_FCF!C89)/12</f>
        <v>-490422.57254064718</v>
      </c>
      <c r="F73" s="1" t="s">
        <v>277</v>
      </c>
    </row>
    <row r="74" spans="2:6" ht="15" customHeight="1">
      <c r="B74" s="227" t="s">
        <v>258</v>
      </c>
      <c r="C74" s="228">
        <f>-$C$66/C73</f>
        <v>2.0691959362515863E-6</v>
      </c>
      <c r="D74" s="228">
        <f>-$C$66/D73</f>
        <v>2.0390578574299167E-6</v>
      </c>
      <c r="F74" s="223" t="s">
        <v>256</v>
      </c>
    </row>
    <row r="75" spans="2:6" ht="15" customHeight="1">
      <c r="B75" s="77" t="s">
        <v>257</v>
      </c>
      <c r="C75" s="261"/>
      <c r="D75" s="262">
        <f>MAX(-D73*D76,G5)</f>
        <v>490422.57254064718</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0</v>
      </c>
      <c r="D79" s="73">
        <f>G7*H7+G17*H17</f>
        <v>0</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0</v>
      </c>
      <c r="D82" s="78">
        <f>SUM(D79:D81)</f>
        <v>0</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0</v>
      </c>
      <c r="D86" s="201">
        <f>C86*scaling_factor/Common_Shares</f>
        <v>0</v>
      </c>
      <c r="E86" s="214" t="str">
        <f>Market_currency</f>
        <v>HKD</v>
      </c>
    </row>
    <row r="87" spans="2:8" ht="15" customHeight="1">
      <c r="B87" s="212" t="s">
        <v>239</v>
      </c>
      <c r="C87" s="73">
        <f>DCF!F5*Exchange_Rate</f>
        <v>-490421.57254064718</v>
      </c>
      <c r="D87" s="201">
        <f>C87*scaling_factor/Common_Shares</f>
        <v>-0.4699644482461065</v>
      </c>
      <c r="E87" s="214" t="str">
        <f>Market_currency</f>
        <v>HKD</v>
      </c>
    </row>
    <row r="88" spans="2:8" ht="15" customHeight="1">
      <c r="B88" s="213" t="s">
        <v>158</v>
      </c>
      <c r="C88" s="73">
        <f>DCF!F6*Exchange_Rate</f>
        <v>0</v>
      </c>
      <c r="D88" s="201">
        <f>C88*scaling_factor/Common_Shares</f>
        <v>0</v>
      </c>
      <c r="E88" s="214" t="str">
        <f>Market_currency</f>
        <v>HKD</v>
      </c>
    </row>
    <row r="89" spans="2:8" ht="15" customHeight="1">
      <c r="B89" s="77" t="s">
        <v>243</v>
      </c>
      <c r="C89" s="162">
        <f>SUM(C86:C88)</f>
        <v>-490421.57254064718</v>
      </c>
      <c r="D89" s="216">
        <f>SUM(D86:D88)</f>
        <v>-0.4699644482461065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6273585</v>
      </c>
      <c r="D4" s="54"/>
      <c r="E4" s="235"/>
      <c r="F4" s="54"/>
      <c r="G4" s="270">
        <f>Data!C36</f>
        <v>6273585</v>
      </c>
      <c r="H4" s="270">
        <f>Data!D36</f>
        <v>6217123</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-5042471.7398497667</v>
      </c>
      <c r="E5" s="237"/>
      <c r="G5" s="270">
        <f t="shared" ref="G5:Q5" si="1">G26</f>
        <v>-4956755</v>
      </c>
      <c r="H5" s="270">
        <f t="shared" si="1"/>
        <v>-5082035</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1231113.2601502333</v>
      </c>
      <c r="E6" s="237"/>
      <c r="G6" s="267">
        <f>IF(G4="","",G4+G5)</f>
        <v>1316830</v>
      </c>
      <c r="H6" s="267">
        <f t="shared" ref="H6:Q6" si="2">IF(H4="","",H4+H5)</f>
        <v>1135088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-694418</v>
      </c>
      <c r="E7" s="237"/>
      <c r="G7" s="266">
        <f t="shared" ref="G7:Q7" si="3">G35</f>
        <v>-694418</v>
      </c>
      <c r="H7" s="266">
        <f t="shared" si="3"/>
        <v>-700989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536695.26015023328</v>
      </c>
      <c r="D8" s="56"/>
      <c r="E8" s="241"/>
      <c r="F8" s="56"/>
      <c r="G8" s="267">
        <f>IF(G$4="","",G6+G7)</f>
        <v>622412</v>
      </c>
      <c r="H8" s="267">
        <f t="shared" ref="H8:Q8" si="4">IF(H$4="","",H6+H7)</f>
        <v>434099</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2942.5354352438831</v>
      </c>
      <c r="E10" s="237"/>
      <c r="G10" s="266">
        <f>G48</f>
        <v>-33116</v>
      </c>
      <c r="H10" s="266">
        <f t="shared" ref="H10:Q10" si="6">H48</f>
        <v>-30028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539637.79558547714</v>
      </c>
      <c r="E11" s="237"/>
      <c r="G11" s="267">
        <f t="shared" ref="G11:Q11" si="7">IF(G$4="","",SUM(G8:G10))</f>
        <v>589296</v>
      </c>
      <c r="H11" s="267">
        <f t="shared" si="7"/>
        <v>404071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-134909.44889636929</v>
      </c>
      <c r="E12" s="237"/>
      <c r="G12" s="266">
        <f>Data!C46</f>
        <v>-76422</v>
      </c>
      <c r="H12" s="266">
        <f>Data!D46</f>
        <v>-13880</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0</v>
      </c>
      <c r="D13" s="57"/>
      <c r="E13" s="242"/>
      <c r="F13" s="57"/>
      <c r="G13" s="270">
        <f>Data!C48</f>
        <v>-5894</v>
      </c>
      <c r="H13" s="270">
        <f>Data!D48</f>
        <v>-1421</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404728.34668910783</v>
      </c>
      <c r="D14" s="58"/>
      <c r="E14" s="243"/>
      <c r="F14" s="58"/>
      <c r="G14" s="267">
        <f t="shared" ref="G14:Q14" si="8">IF(G$4="","",SUM(G11:G13))</f>
        <v>506980</v>
      </c>
      <c r="H14" s="267">
        <f t="shared" si="8"/>
        <v>388770</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404728.34668910783</v>
      </c>
      <c r="D19" s="26"/>
      <c r="E19" s="234"/>
      <c r="F19" s="26"/>
      <c r="G19" s="271">
        <f t="shared" ref="G19:Q19" si="9">IF(G$4="","",G14+G17)</f>
        <v>506980</v>
      </c>
      <c r="H19" s="271">
        <f t="shared" si="9"/>
        <v>388770</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-3094964.942796451</v>
      </c>
      <c r="D23" s="55"/>
      <c r="E23" s="236"/>
      <c r="F23" s="55"/>
      <c r="G23" s="270">
        <f>Data!C37</f>
        <v>-3056039</v>
      </c>
      <c r="H23" s="270">
        <f>Data!D37</f>
        <v>-3105686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-1947506.7970533157</v>
      </c>
      <c r="D24" s="26"/>
      <c r="E24" s="234"/>
      <c r="F24" s="26"/>
      <c r="G24" s="270">
        <f>Data!C40</f>
        <v>-1900716</v>
      </c>
      <c r="H24" s="270">
        <f>Data!D40</f>
        <v>-1976349</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-5042471.7398497667</v>
      </c>
      <c r="D26" s="9"/>
      <c r="E26" s="240"/>
      <c r="F26" s="9"/>
      <c r="G26" s="267">
        <f>IF(G$4="","",SUM(G23:G25))</f>
        <v>-4956755</v>
      </c>
      <c r="H26" s="267">
        <f t="shared" ref="H26:Q26" si="10">IF(H$4="","",SUM(H23:H25))</f>
        <v>-5082035</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0.49333275038059593</v>
      </c>
      <c r="D29" s="25"/>
      <c r="E29" s="235"/>
      <c r="F29" s="25"/>
      <c r="G29" s="13">
        <f t="shared" ref="G29:Q29" si="11">IF(G$4="","",ABS(G23/G$4))</f>
        <v>0.48712801372739828</v>
      </c>
      <c r="H29" s="13">
        <f t="shared" si="11"/>
        <v>0.49953748703379358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0.31042965020053376</v>
      </c>
      <c r="D30" s="25"/>
      <c r="E30" s="235"/>
      <c r="F30" s="25"/>
      <c r="G30" s="13">
        <f t="shared" ref="G30:Q30" si="12">IF(G$4="","",ABS(G24/G$4))</f>
        <v>0.30297126762449222</v>
      </c>
      <c r="H30" s="13">
        <f t="shared" si="12"/>
        <v>0.31788803277657529</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0.80376240058112969</v>
      </c>
      <c r="E32" s="237"/>
      <c r="G32" s="29">
        <f t="shared" ref="G32:Q32" si="14">IF(G$4="","",ABS(G26/G$4))</f>
        <v>0.79009928135189056</v>
      </c>
      <c r="H32" s="29">
        <f t="shared" si="14"/>
        <v>0.81742551981036893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-694418</v>
      </c>
      <c r="D35" s="55"/>
      <c r="E35" s="236"/>
      <c r="F35" s="55"/>
      <c r="G35" s="267">
        <f>IF(G4="","",Data!C41)</f>
        <v>-694418</v>
      </c>
      <c r="H35" s="267">
        <f>IF(H4="","",Data!D41)</f>
        <v>-700989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0.11068918329790702</v>
      </c>
      <c r="E38" s="237"/>
      <c r="G38" s="29">
        <f t="shared" ref="G38:Q38" si="15">IF(G$4="","",ABS(G35/G$4))</f>
        <v>0.11068918329790702</v>
      </c>
      <c r="H38" s="29">
        <f t="shared" si="15"/>
        <v>0.11275134817181516</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0.12968355461431946</v>
      </c>
      <c r="H41" s="6">
        <f t="shared" si="16"/>
        <v>3.4350398816049656E-2</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0</v>
      </c>
      <c r="E45" s="237"/>
      <c r="G45" s="266">
        <f>Data!C51</f>
        <v>-33116</v>
      </c>
      <c r="H45" s="266">
        <f>Data!D51</f>
        <v>-30028</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2942.5354352438831</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6.0000000000000001E-3</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2942.5354352438831</v>
      </c>
      <c r="E48" s="237"/>
      <c r="G48" s="267">
        <f>IF(G$4="","",(G45+G46))</f>
        <v>-33116</v>
      </c>
      <c r="H48" s="267">
        <f t="shared" ref="H48:Q48" si="18">IF(H$4="","",(H45+H46))</f>
        <v>-30028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0</v>
      </c>
      <c r="H52" s="151"/>
      <c r="I52" s="151"/>
      <c r="J52" s="151"/>
      <c r="K52" s="151"/>
      <c r="L52" s="151"/>
      <c r="M52" s="151"/>
      <c r="N52" s="151"/>
      <c r="O52" s="151"/>
      <c r="P52" s="151"/>
      <c r="Q52" s="151"/>
    </row>
    <row r="53" spans="1:17" ht="15.75" customHeight="1">
      <c r="A53" s="10"/>
      <c r="B53" s="25" t="s">
        <v>86</v>
      </c>
      <c r="C53" s="40" t="e">
        <f>-C8/C45</f>
        <v>#DIV/0!</v>
      </c>
      <c r="E53" s="237"/>
      <c r="G53" s="40">
        <f t="shared" ref="G53:Q53" si="19">IF(G4="","",-G8/G45)</f>
        <v>18.794902766034546</v>
      </c>
      <c r="H53" s="40">
        <f t="shared" si="19"/>
        <v>14.456473957639536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-272306</v>
      </c>
      <c r="H60" s="266">
        <f>Data!D58</f>
        <v>-272403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-272306</v>
      </c>
      <c r="H61" s="267">
        <f t="shared" si="21"/>
        <v>-272403</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0.80376240058112969</v>
      </c>
      <c r="D71" s="26"/>
      <c r="E71" s="234"/>
      <c r="F71" s="26"/>
      <c r="G71" s="6">
        <f t="shared" ref="G71:Q71" si="23">IF(G$4="","",ABS(G5/G$4))</f>
        <v>0.79009928135189056</v>
      </c>
      <c r="H71" s="6">
        <f t="shared" si="23"/>
        <v>0.81742551981036893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0.19623759941887028</v>
      </c>
      <c r="D72" s="26"/>
      <c r="E72" s="234"/>
      <c r="F72" s="26"/>
      <c r="G72" s="62">
        <f t="shared" ref="G72:Q72" si="24">IF(G$4="","",ABS(G6/G$4))</f>
        <v>0.2099007186481095</v>
      </c>
      <c r="H72" s="62">
        <f t="shared" si="24"/>
        <v>0.18257448018963113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0.11068918329790702</v>
      </c>
      <c r="D73" s="26"/>
      <c r="E73" s="234"/>
      <c r="F73" s="26"/>
      <c r="G73" s="6">
        <f t="shared" ref="G73:Q73" si="25">IF(G$4="","",ABS(G7/G$4))</f>
        <v>0.11068918329790702</v>
      </c>
      <c r="H73" s="6">
        <f t="shared" si="25"/>
        <v>0.11275134817181516</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8.5548416120963255E-2</v>
      </c>
      <c r="D74" s="26"/>
      <c r="E74" s="234"/>
      <c r="F74" s="26"/>
      <c r="G74" s="62">
        <f t="shared" ref="G74:Q74" si="26">IF(G$4="","",ABS(G8/G$4))</f>
        <v>9.9211535350202482E-2</v>
      </c>
      <c r="H74" s="62">
        <f t="shared" si="26"/>
        <v>6.9823132017815953E-2</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4.6903571645939016E-4</v>
      </c>
      <c r="D76" s="26"/>
      <c r="E76" s="234"/>
      <c r="F76" s="26"/>
      <c r="G76" s="6">
        <f t="shared" ref="G76:Q76" si="28">IF(G$4="","",ABS(G10/G$4))</f>
        <v>5.2786405221257066E-3</v>
      </c>
      <c r="H76" s="6">
        <f t="shared" si="28"/>
        <v>4.8298867498680663E-3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8.601745183742264E-2</v>
      </c>
      <c r="D77" s="26"/>
      <c r="E77" s="234"/>
      <c r="F77" s="26"/>
      <c r="G77" s="62">
        <f t="shared" ref="G77:Q77" si="29">IF(G$4="","",G11/G$4)</f>
        <v>9.3932894828076763E-2</v>
      </c>
      <c r="H77" s="62">
        <f t="shared" si="29"/>
        <v>6.4993245267947891E-2</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2.150436295935566E-2</v>
      </c>
      <c r="D78" s="26"/>
      <c r="E78" s="234"/>
      <c r="F78" s="26"/>
      <c r="G78" s="6">
        <f t="shared" ref="G78:Q78" si="30">IF(G$4="","",ABS(G12/G$4))</f>
        <v>1.2181551696518019E-2</v>
      </c>
      <c r="H78" s="6">
        <f t="shared" si="30"/>
        <v>2.2325438953033419E-3</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9.3949472271436505E-4</v>
      </c>
      <c r="H79" s="6">
        <f t="shared" si="31"/>
        <v>2.2856231089524848E-4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6.4513088878066976E-2</v>
      </c>
      <c r="D80" s="26"/>
      <c r="E80" s="234"/>
      <c r="F80" s="26"/>
      <c r="G80" s="62">
        <f t="shared" ref="G80:Q80" si="32">IF(G$4="","",ABS(G14/G$4))</f>
        <v>8.0811848408844381E-2</v>
      </c>
      <c r="H80" s="62">
        <f t="shared" si="32"/>
        <v>6.2532139061749301E-2</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6.4513088878066976E-2</v>
      </c>
      <c r="D85" s="72"/>
      <c r="E85" s="234"/>
      <c r="F85" s="72"/>
      <c r="G85" s="62">
        <f t="shared" ref="G85:Q85" si="35">IF(G$4="","",ABS(G19/G$4))</f>
        <v>8.0811848408844381E-2</v>
      </c>
      <c r="H85" s="62">
        <f t="shared" si="35"/>
        <v>6.2532139061749301E-2</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0.36612491279694165</v>
      </c>
      <c r="E90" s="237"/>
      <c r="G90" s="152">
        <f t="shared" ref="G90:Q90" si="37">IF(G$4="","",G88/(G19*scaling_factor/Common_Shares))</f>
        <v>0.29228200449327385</v>
      </c>
      <c r="H90" s="152">
        <f t="shared" si="37"/>
        <v>0.20668194524526071</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2.1712538226299691E-2</v>
      </c>
      <c r="E92" s="237"/>
      <c r="G92" s="22">
        <f t="shared" ref="G92:Q92" si="38">IF(G$4="","",(G88*(1-dividend_tax_rate))/Market_Price)</f>
        <v>2.1712538226299691E-2</v>
      </c>
      <c r="H92" s="22">
        <f t="shared" si="38"/>
        <v>1.1773700305810398E-2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9.0816926092662786E-3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-8.426699725523823E-2</v>
      </c>
      <c r="D96" s="26"/>
      <c r="E96" s="234"/>
      <c r="F96" s="26"/>
      <c r="G96" s="6">
        <f t="shared" ref="G96:Q96" si="40">IF(H5="","",G11/H11-1)</f>
        <v>0.45839716287484134</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v>
      </c>
      <c r="D100" s="25"/>
      <c r="E100" s="238"/>
      <c r="F100" s="25"/>
      <c r="G100" s="270">
        <f t="shared" ref="G100:Q100" si="41">IF(G$4="","",G104+G103)</f>
        <v>2</v>
      </c>
      <c r="H100" s="270">
        <f t="shared" si="41"/>
        <v>5636695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0</v>
      </c>
      <c r="D101" s="86"/>
      <c r="E101" s="239"/>
      <c r="F101" s="86"/>
      <c r="G101" s="282">
        <f>IF(G$4="","",Data!D77)</f>
        <v>715301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0</v>
      </c>
      <c r="D102" s="86"/>
      <c r="E102" s="239"/>
      <c r="F102" s="86"/>
      <c r="G102" s="282">
        <f>IF(G$4="","",Data!D78)</f>
        <v>554546</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0</v>
      </c>
      <c r="D103" s="25"/>
      <c r="E103" s="238"/>
      <c r="F103" s="25"/>
      <c r="G103" s="270">
        <f>Data!C79</f>
        <v>0</v>
      </c>
      <c r="H103" s="270">
        <f>Data!D79</f>
        <v>2524058</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2</v>
      </c>
      <c r="D104" s="25"/>
      <c r="E104" s="238"/>
      <c r="F104" s="25"/>
      <c r="G104" s="270">
        <f>Data!C80</f>
        <v>2</v>
      </c>
      <c r="H104" s="270">
        <f>Data!D80</f>
        <v>3112637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v>
      </c>
      <c r="D107" s="25"/>
      <c r="E107" s="238"/>
      <c r="F107" s="25"/>
      <c r="G107" s="91">
        <f t="shared" ref="G107:Q107" si="42">IF(G$4="","",G101/G$4)</f>
        <v>0.11401790204484358</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v>
      </c>
      <c r="D108" s="25"/>
      <c r="E108" s="238"/>
      <c r="F108" s="25"/>
      <c r="G108" s="91">
        <f t="shared" ref="G108:Q108" si="43">IF(G$4="","",G102/G$4)</f>
        <v>8.8393797167010568E-2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556</v>
      </c>
      <c r="G112" s="251">
        <f>IF(G$4="","",Data!C$22/Data!C15)</f>
        <v>3.5707866382893818</v>
      </c>
      <c r="H112" s="251">
        <f>IF(H$4="","",Data!D$22/Data!D15)</f>
        <v>6.7115750331103339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1.6943804489328969</v>
      </c>
      <c r="H113" s="251">
        <f>IF(H$4="","",Data!D$22/H19)</f>
        <v>2.0334465107904416</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8.601745183742264E-2</v>
      </c>
      <c r="E116" s="22">
        <f>E119/E117/E118</f>
        <v>9.5639096306179002E-8</v>
      </c>
      <c r="G116" s="22">
        <f t="shared" ref="G116:Q116" si="44">IF(G4="","",G77)</f>
        <v>9.3932894828076763E-2</v>
      </c>
      <c r="H116" s="22">
        <f t="shared" si="44"/>
        <v>6.4993245267947891E-2</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3136792.5</v>
      </c>
      <c r="E117" s="452">
        <f>C117</f>
        <v>3136792.5</v>
      </c>
      <c r="G117" s="40">
        <f t="shared" ref="G117:Q117" si="45">IF(G4="","",G4/G100)</f>
        <v>3136792.5</v>
      </c>
      <c r="H117" s="40">
        <f t="shared" si="45"/>
        <v>1.1029731074681175</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v>
      </c>
      <c r="D118" s="11"/>
      <c r="E118" s="15">
        <f>C100/C104</f>
        <v>1</v>
      </c>
      <c r="F118" s="11"/>
      <c r="G118" s="15">
        <f t="shared" ref="G118:Q118" si="46">IF(G$4="","",G100/G104)</f>
        <v>1</v>
      </c>
      <c r="H118" s="15">
        <f t="shared" si="46"/>
        <v>1.810906636398655</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269818.89779273857</v>
      </c>
      <c r="D119" s="100"/>
      <c r="E119" s="453">
        <v>0.3</v>
      </c>
      <c r="F119" s="100"/>
      <c r="G119" s="99">
        <f t="shared" ref="G119:Q119" si="47">IF(G$4="","",G11/G104)</f>
        <v>294648</v>
      </c>
      <c r="H119" s="99">
        <f t="shared" si="47"/>
        <v>0.12981629402978889</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0.387845773496313</v>
      </c>
      <c r="D123" s="26"/>
      <c r="E123" s="234"/>
      <c r="F123" s="26"/>
      <c r="G123" s="159">
        <f t="shared" ref="G123:Q123" si="48">IF(G$4="","",G14*$C$3/Common_Shares*Exchange_Rate)</f>
        <v>0.48583216830671405</v>
      </c>
      <c r="H123" s="159">
        <f t="shared" si="48"/>
        <v>0.37255310282969983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5.9303635091179349E-2</v>
      </c>
      <c r="D124" s="26"/>
      <c r="E124" s="234"/>
      <c r="F124" s="26"/>
      <c r="G124" s="74">
        <f t="shared" ref="G124" si="49">IF(G$4="","",G123/Market_Price)</f>
        <v>7.4286264267081653E-2</v>
      </c>
      <c r="H124" s="74">
        <f t="shared" ref="H124" si="50">IF(H$4="","",H123/Market_Price)</f>
        <v>5.6965306243073367E-2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3.5249710091528857E-2</v>
      </c>
      <c r="H125" s="22">
        <f>IF(H$4="","",(Data!D47*$C$3)/(Market_Price*Common_Shares))</f>
        <v>1.725912362517459E-2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404728.34668910783</v>
      </c>
      <c r="D4" t="str">
        <f>Reporting_currency</f>
        <v>HKD</v>
      </c>
      <c r="E4" s="135" t="s">
        <v>430</v>
      </c>
      <c r="F4" s="275">
        <f>-BS!G31</f>
        <v>0</v>
      </c>
      <c r="G4" t="str">
        <f>Reporting_currency</f>
        <v>HKD</v>
      </c>
      <c r="H4" s="308" t="s">
        <v>393</v>
      </c>
      <c r="I4" s="305">
        <f>Normalized_FCF!C4</f>
        <v>6273585</v>
      </c>
      <c r="J4" s="305"/>
    </row>
    <row r="5" spans="2:15">
      <c r="B5" s="187" t="s">
        <v>104</v>
      </c>
      <c r="C5" s="188">
        <f>Equity_Cost</f>
        <v>7.2499999999999995E-2</v>
      </c>
      <c r="E5" s="135" t="s">
        <v>431</v>
      </c>
      <c r="F5" s="275">
        <f>BS!D66</f>
        <v>-490421.57254064718</v>
      </c>
      <c r="G5" t="str">
        <f>Reporting_currency</f>
        <v>HKD</v>
      </c>
      <c r="H5" s="308" t="s">
        <v>394</v>
      </c>
      <c r="I5" s="305">
        <f>Normalized_FCF!C7</f>
        <v>-694418</v>
      </c>
      <c r="J5" s="305"/>
    </row>
    <row r="6" spans="2:15" ht="13.25" customHeight="1">
      <c r="B6" s="136" t="s">
        <v>193</v>
      </c>
      <c r="C6" s="283">
        <f>(C4*(1+Terminal_Growth))/(Equity_Cost-Terminal_Growth)</f>
        <v>7863293.5928169545</v>
      </c>
      <c r="D6" t="str">
        <f>Reporting_currency</f>
        <v>HKD</v>
      </c>
      <c r="E6" s="187" t="s">
        <v>432</v>
      </c>
      <c r="F6" s="284">
        <f>BS!H42</f>
        <v>0</v>
      </c>
      <c r="G6" t="str">
        <f>Reporting_currency</f>
        <v>HKD</v>
      </c>
      <c r="H6" s="308" t="s">
        <v>415</v>
      </c>
      <c r="I6" s="305">
        <f>I7+I8</f>
        <v>2942.5354352438831</v>
      </c>
      <c r="J6" s="305"/>
      <c r="N6" s="135"/>
    </row>
    <row r="7" spans="2:15" ht="12.75" customHeight="1">
      <c r="B7" s="318" t="s">
        <v>429</v>
      </c>
      <c r="C7" s="275">
        <f>F7</f>
        <v>-490421.57254064718</v>
      </c>
      <c r="E7" s="140" t="s">
        <v>423</v>
      </c>
      <c r="F7" s="283">
        <f>SUM(F4:F6)</f>
        <v>-490421.57254064718</v>
      </c>
      <c r="G7" t="str">
        <f>Reporting_currency</f>
        <v>HKD</v>
      </c>
      <c r="H7" s="312" t="s">
        <v>416</v>
      </c>
      <c r="I7" s="313">
        <f>Normalized_FCF!C9</f>
        <v>0</v>
      </c>
      <c r="J7" s="313"/>
      <c r="N7" s="304"/>
      <c r="O7" s="304"/>
    </row>
    <row r="8" spans="2:15" ht="13.15">
      <c r="B8" s="136" t="s">
        <v>425</v>
      </c>
      <c r="C8" s="283">
        <f>C6+C7</f>
        <v>7372872.0202763071</v>
      </c>
      <c r="D8" t="str">
        <f>Reporting_currency</f>
        <v>HKD</v>
      </c>
      <c r="E8" s="140" t="s">
        <v>463</v>
      </c>
      <c r="F8" s="108">
        <f>FV_adjustments*scaling_factor/Common_Shares*Exchange_Rate</f>
        <v>-0.4699644482461065</v>
      </c>
      <c r="G8" s="294" t="str">
        <f>Market_currency</f>
        <v>HKD</v>
      </c>
      <c r="H8" s="314" t="str">
        <f>Normalized_FCF!B10</f>
        <v>Net Interest Income</v>
      </c>
      <c r="I8" s="313">
        <f>Normalized_FCF!C10</f>
        <v>2942.5354352438831</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426</v>
      </c>
      <c r="C10" s="283">
        <f>C8*Exchange_Rate</f>
        <v>7372872.0202763071</v>
      </c>
      <c r="D10" t="str">
        <f>Market_currency</f>
        <v>HKD</v>
      </c>
      <c r="H10" s="308" t="s">
        <v>396</v>
      </c>
      <c r="I10" s="306">
        <f>Normalized_FCF!C41</f>
        <v>0.25</v>
      </c>
      <c r="N10" s="304"/>
      <c r="O10" s="304"/>
    </row>
    <row r="11" spans="2:15" ht="13.15">
      <c r="B11" s="136" t="s">
        <v>424</v>
      </c>
      <c r="C11" s="108">
        <f>(C10*scaling_factor)/Common_Shares</f>
        <v>7.0653248653965477</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551</v>
      </c>
      <c r="C17" s="306">
        <f>Normalized_FCF!C77</f>
        <v>8.601745183742264E-2</v>
      </c>
      <c r="E17" s="308" t="s">
        <v>552</v>
      </c>
      <c r="F17" s="311">
        <f>Scenarios!C40</f>
        <v>9.5639096306179002E-8</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1.7946482764866485</v>
      </c>
      <c r="J18" t="str">
        <f>Market_currency</f>
        <v>HKD</v>
      </c>
    </row>
    <row r="19" spans="1:21">
      <c r="L19" s="275"/>
    </row>
    <row r="20" spans="1:21" ht="13.15">
      <c r="A20" s="121" t="s">
        <v>398</v>
      </c>
      <c r="B20" s="121" t="s">
        <v>97</v>
      </c>
      <c r="C20" s="121" t="s">
        <v>393</v>
      </c>
      <c r="D20" s="121" t="s">
        <v>101</v>
      </c>
      <c r="E20" s="121" t="s">
        <v>551</v>
      </c>
      <c r="F20" s="121" t="s">
        <v>553</v>
      </c>
      <c r="G20" s="121" t="str">
        <f>B18</f>
        <v>D&amp;A - maint. Capx</v>
      </c>
      <c r="H20" s="121" t="s">
        <v>555</v>
      </c>
      <c r="I20" s="121" t="s">
        <v>529</v>
      </c>
      <c r="J20" s="121" t="s">
        <v>554</v>
      </c>
      <c r="K20" s="121" t="s">
        <v>530</v>
      </c>
      <c r="L20" s="122" t="s">
        <v>418</v>
      </c>
    </row>
    <row r="21" spans="1:21">
      <c r="A21" s="302" t="str">
        <f t="shared" ref="A21:A50" si="0">IF($C$15&lt;B21,"",IF(B21&gt;=$F$15,"II","I"))</f>
        <v>I</v>
      </c>
      <c r="B21" s="117">
        <v>1</v>
      </c>
      <c r="C21" s="277">
        <f>I4*(1+D21)</f>
        <v>6423247.1239794269</v>
      </c>
      <c r="D21" s="299">
        <f t="shared" ref="D21:D50" si="1">IF(A21="",0,IF(A21="I",$C$16,$F$16))</f>
        <v>2.38559171477595E-2</v>
      </c>
      <c r="E21" s="299">
        <f>$C$17</f>
        <v>8.601745183742264E-2</v>
      </c>
      <c r="F21" s="277">
        <f>C21*E21</f>
        <v>552511.35012676381</v>
      </c>
      <c r="G21" s="299">
        <f t="shared" ref="G21:G50" si="2">IF(A21="",0%,IF(A21="I",$C$18,$F$18))</f>
        <v>0</v>
      </c>
      <c r="H21" s="277">
        <f>(F21*(1-$I$10)+C21*(G21-$I$9))</f>
        <v>414383.51259507285</v>
      </c>
      <c r="I21" s="299">
        <f>H21/C4-1</f>
        <v>2.3855917147759476E-2</v>
      </c>
      <c r="J21" s="299">
        <f>H21/C21</f>
        <v>6.4513088878066976E-2</v>
      </c>
      <c r="K21" s="119">
        <f t="shared" ref="K21:K50" si="3">IF($C$15&lt;B21,0,1/(1+Equity_Cost)^B21)</f>
        <v>0.93240093240093236</v>
      </c>
      <c r="L21" s="277">
        <f t="shared" ref="L21:L51" si="4">H21*K21</f>
        <v>386371.57351521944</v>
      </c>
    </row>
    <row r="22" spans="1:21">
      <c r="A22" s="302" t="str">
        <f t="shared" si="0"/>
        <v>I</v>
      </c>
      <c r="B22" s="117">
        <v>2</v>
      </c>
      <c r="C22" s="277">
        <f t="shared" ref="C22:C50" si="5">IF(A22="",0,C21*(1+D22))</f>
        <v>6576479.5751886647</v>
      </c>
      <c r="D22" s="299">
        <f t="shared" si="1"/>
        <v>2.38559171477595E-2</v>
      </c>
      <c r="E22" s="299">
        <f t="shared" ref="E22:E50" si="6">IF($C$15&lt;B22,0,IF(B22&gt;=$F$15,$F$17,$C$17))</f>
        <v>8.601745183742264E-2</v>
      </c>
      <c r="F22" s="277">
        <f t="shared" ref="F22:F50" si="7">IF(A22="", 0,C22*E22)</f>
        <v>565692.01511858462</v>
      </c>
      <c r="G22" s="299">
        <f t="shared" si="2"/>
        <v>0</v>
      </c>
      <c r="H22" s="277">
        <f t="shared" ref="H22:H50" si="8">IF(A22="", 0,F22*(1-$I$10)+C22*(G22-$I$9))</f>
        <v>424269.01133893849</v>
      </c>
      <c r="I22" s="299">
        <f t="shared" ref="I22:I50" si="9">IF(A22="", 0,H22/H21-1)</f>
        <v>2.3855917147759476E-2</v>
      </c>
      <c r="J22" s="299">
        <f>IF(A22="", 0,H22/C22)</f>
        <v>6.4513088878066976E-2</v>
      </c>
      <c r="K22" s="119">
        <f t="shared" si="3"/>
        <v>0.86937149874212816</v>
      </c>
      <c r="L22" s="277">
        <f t="shared" si="4"/>
        <v>368847.3862575739</v>
      </c>
    </row>
    <row r="23" spans="1:21">
      <c r="A23" s="302" t="str">
        <f t="shared" si="0"/>
        <v>I</v>
      </c>
      <c r="B23" s="117">
        <v>3</v>
      </c>
      <c r="C23" s="277">
        <f t="shared" si="5"/>
        <v>6733367.5270582978</v>
      </c>
      <c r="D23" s="299">
        <f t="shared" si="1"/>
        <v>2.38559171477595E-2</v>
      </c>
      <c r="E23" s="299">
        <f t="shared" si="6"/>
        <v>8.601745183742264E-2</v>
      </c>
      <c r="F23" s="277">
        <f t="shared" si="7"/>
        <v>579187.11696240271</v>
      </c>
      <c r="G23" s="299">
        <f t="shared" si="2"/>
        <v>0</v>
      </c>
      <c r="H23" s="277">
        <f t="shared" si="8"/>
        <v>434390.33772180206</v>
      </c>
      <c r="I23" s="299">
        <f t="shared" si="9"/>
        <v>2.3855917147759476E-2</v>
      </c>
      <c r="J23" s="299">
        <f t="shared" ref="J23:J50" si="10">IF(A23="", 0,H23/C23)</f>
        <v>6.451308887806699E-2</v>
      </c>
      <c r="K23" s="119">
        <f t="shared" si="3"/>
        <v>0.81060279602995633</v>
      </c>
      <c r="L23" s="277">
        <f t="shared" si="4"/>
        <v>352118.02232568979</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8.601745183742264E-2</v>
      </c>
      <c r="F24" s="277">
        <f t="shared" si="7"/>
        <v>593004.15683770739</v>
      </c>
      <c r="G24" s="299">
        <f t="shared" si="2"/>
        <v>0</v>
      </c>
      <c r="H24" s="277">
        <f t="shared" si="8"/>
        <v>444753.11762828054</v>
      </c>
      <c r="I24" s="299">
        <f t="shared" si="9"/>
        <v>2.3855917147759254E-2</v>
      </c>
      <c r="J24" s="299">
        <f t="shared" si="10"/>
        <v>6.4513088878066976E-2</v>
      </c>
      <c r="K24" s="119">
        <f t="shared" si="3"/>
        <v>0.75580680282513402</v>
      </c>
      <c r="L24" s="277">
        <f t="shared" si="4"/>
        <v>336147.43188114144</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8.601745183742264E-2</v>
      </c>
      <c r="F25" s="277">
        <f t="shared" si="7"/>
        <v>607150.81487150479</v>
      </c>
      <c r="G25" s="299">
        <f t="shared" si="2"/>
        <v>0</v>
      </c>
      <c r="H25" s="277">
        <f t="shared" si="8"/>
        <v>455363.11115362856</v>
      </c>
      <c r="I25" s="299">
        <f t="shared" si="9"/>
        <v>2.3855917147759476E-2</v>
      </c>
      <c r="J25" s="299">
        <f t="shared" si="10"/>
        <v>6.4513088878066976E-2</v>
      </c>
      <c r="K25" s="119">
        <f t="shared" si="3"/>
        <v>0.70471496766912267</v>
      </c>
      <c r="L25" s="277">
        <f t="shared" si="4"/>
        <v>320901.20015434048</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8.601745183742264E-2</v>
      </c>
      <c r="F26" s="277">
        <f t="shared" si="7"/>
        <v>621634.95440727402</v>
      </c>
      <c r="G26" s="299">
        <f t="shared" si="2"/>
        <v>0</v>
      </c>
      <c r="H26" s="277">
        <f t="shared" si="8"/>
        <v>466226.21580545552</v>
      </c>
      <c r="I26" s="299">
        <f t="shared" si="9"/>
        <v>2.3855917147759476E-2</v>
      </c>
      <c r="J26" s="299">
        <f t="shared" si="10"/>
        <v>6.4513088878066976E-2</v>
      </c>
      <c r="K26" s="119">
        <f t="shared" si="3"/>
        <v>0.65707689293158289</v>
      </c>
      <c r="L26" s="277">
        <f t="shared" si="4"/>
        <v>306346.47328469838</v>
      </c>
    </row>
    <row r="27" spans="1:21">
      <c r="A27" s="302" t="str">
        <f t="shared" si="0"/>
        <v>I</v>
      </c>
      <c r="B27" s="117">
        <v>7</v>
      </c>
      <c r="C27" s="277">
        <f t="shared" si="5"/>
        <v>7399249.9519599322</v>
      </c>
      <c r="D27" s="299">
        <f t="shared" si="1"/>
        <v>2.38559171477595E-2</v>
      </c>
      <c r="E27" s="299">
        <f t="shared" si="6"/>
        <v>8.601745183742264E-2</v>
      </c>
      <c r="F27" s="277">
        <f t="shared" si="7"/>
        <v>636464.62637576531</v>
      </c>
      <c r="G27" s="299">
        <f t="shared" si="2"/>
        <v>0</v>
      </c>
      <c r="H27" s="277">
        <f t="shared" si="8"/>
        <v>477348.46978182398</v>
      </c>
      <c r="I27" s="299">
        <f t="shared" si="9"/>
        <v>2.3855917147759698E-2</v>
      </c>
      <c r="J27" s="299">
        <f t="shared" si="10"/>
        <v>6.451308887806699E-2</v>
      </c>
      <c r="K27" s="119">
        <f t="shared" si="3"/>
        <v>0.61265910762851561</v>
      </c>
      <c r="L27" s="277">
        <f t="shared" si="4"/>
        <v>292451.88752436975</v>
      </c>
    </row>
    <row r="28" spans="1:21">
      <c r="A28" s="302" t="str">
        <f t="shared" si="0"/>
        <v>II</v>
      </c>
      <c r="B28" s="117">
        <v>8</v>
      </c>
      <c r="C28" s="277">
        <f t="shared" si="5"/>
        <v>7575765.8457694519</v>
      </c>
      <c r="D28" s="299">
        <f t="shared" si="1"/>
        <v>2.38559171477595E-2</v>
      </c>
      <c r="E28" s="299">
        <f t="shared" si="6"/>
        <v>9.5639096306179002E-8</v>
      </c>
      <c r="F28" s="277">
        <f t="shared" si="7"/>
        <v>0.72453939931660627</v>
      </c>
      <c r="G28" s="299">
        <f t="shared" si="2"/>
        <v>0</v>
      </c>
      <c r="H28" s="277">
        <f t="shared" si="8"/>
        <v>0.54340454948745465</v>
      </c>
      <c r="I28" s="299">
        <f t="shared" si="9"/>
        <v>-0.99999886161874629</v>
      </c>
      <c r="J28" s="299">
        <f t="shared" si="10"/>
        <v>7.1729322229634242E-8</v>
      </c>
      <c r="K28" s="119">
        <f t="shared" si="3"/>
        <v>0.5712439231967511</v>
      </c>
      <c r="L28" s="277">
        <f t="shared" si="4"/>
        <v>0.31041654673217667</v>
      </c>
    </row>
    <row r="29" spans="1:21">
      <c r="A29" s="302" t="str">
        <f t="shared" si="0"/>
        <v>II</v>
      </c>
      <c r="B29" s="117">
        <v>9</v>
      </c>
      <c r="C29" s="277">
        <f t="shared" si="5"/>
        <v>7756492.6881169537</v>
      </c>
      <c r="D29" s="299">
        <f t="shared" si="1"/>
        <v>2.38559171477595E-2</v>
      </c>
      <c r="E29" s="299">
        <f t="shared" si="6"/>
        <v>9.5639096306179002E-8</v>
      </c>
      <c r="F29" s="277">
        <f t="shared" si="7"/>
        <v>0.74182395119699063</v>
      </c>
      <c r="G29" s="299">
        <f t="shared" si="2"/>
        <v>0</v>
      </c>
      <c r="H29" s="277">
        <f t="shared" si="8"/>
        <v>0.55636796339774297</v>
      </c>
      <c r="I29" s="299">
        <f t="shared" si="9"/>
        <v>2.3855917147759476E-2</v>
      </c>
      <c r="J29" s="299">
        <f t="shared" si="10"/>
        <v>7.1729322229634255E-8</v>
      </c>
      <c r="K29" s="119">
        <f t="shared" si="3"/>
        <v>0.53262836661701729</v>
      </c>
      <c r="L29" s="277">
        <f t="shared" si="4"/>
        <v>0.29633735958257629</v>
      </c>
    </row>
    <row r="30" spans="1:21">
      <c r="A30" s="302" t="str">
        <f t="shared" si="0"/>
        <v>II</v>
      </c>
      <c r="B30" s="117">
        <v>10</v>
      </c>
      <c r="C30" s="277">
        <f t="shared" si="5"/>
        <v>7941530.9350418737</v>
      </c>
      <c r="D30" s="299">
        <f t="shared" si="1"/>
        <v>2.38559171477595E-2</v>
      </c>
      <c r="E30" s="299">
        <f t="shared" si="6"/>
        <v>9.5639096306179002E-8</v>
      </c>
      <c r="F30" s="277">
        <f t="shared" si="7"/>
        <v>0.75952084191496949</v>
      </c>
      <c r="G30" s="299">
        <f t="shared" si="2"/>
        <v>0</v>
      </c>
      <c r="H30" s="277">
        <f t="shared" si="8"/>
        <v>0.56964063143622712</v>
      </c>
      <c r="I30" s="299">
        <f t="shared" si="9"/>
        <v>2.3855917147759254E-2</v>
      </c>
      <c r="J30" s="299">
        <f t="shared" si="10"/>
        <v>7.1729322229634242E-8</v>
      </c>
      <c r="K30" s="119">
        <f t="shared" si="3"/>
        <v>0.49662318565689262</v>
      </c>
      <c r="L30" s="277">
        <f t="shared" si="4"/>
        <v>0.28289674506346296</v>
      </c>
    </row>
    <row r="31" spans="1:21">
      <c r="A31" s="302" t="str">
        <f t="shared" si="0"/>
        <v>II</v>
      </c>
      <c r="B31" s="117">
        <v>11</v>
      </c>
      <c r="C31" s="277">
        <f t="shared" si="5"/>
        <v>8130983.4390546018</v>
      </c>
      <c r="D31" s="299">
        <f t="shared" si="1"/>
        <v>2.38559171477595E-2</v>
      </c>
      <c r="E31" s="299">
        <f t="shared" si="6"/>
        <v>9.5639096306179002E-8</v>
      </c>
      <c r="F31" s="277">
        <f t="shared" si="7"/>
        <v>0.7776399081916896</v>
      </c>
      <c r="G31" s="299">
        <f t="shared" si="2"/>
        <v>0</v>
      </c>
      <c r="H31" s="277">
        <f t="shared" si="8"/>
        <v>0.5832299311437672</v>
      </c>
      <c r="I31" s="299">
        <f t="shared" si="9"/>
        <v>2.3855917147759476E-2</v>
      </c>
      <c r="J31" s="299">
        <f t="shared" si="10"/>
        <v>7.1729322229634255E-8</v>
      </c>
      <c r="K31" s="119">
        <f t="shared" si="3"/>
        <v>0.46305192135840806</v>
      </c>
      <c r="L31" s="277">
        <f t="shared" si="4"/>
        <v>0.27006574020985341</v>
      </c>
    </row>
    <row r="32" spans="1:21">
      <c r="A32" s="302" t="str">
        <f t="shared" si="0"/>
        <v>II</v>
      </c>
      <c r="B32" s="117">
        <v>12</v>
      </c>
      <c r="C32" s="277">
        <f t="shared" si="5"/>
        <v>8324955.5063064927</v>
      </c>
      <c r="D32" s="299">
        <f t="shared" si="1"/>
        <v>2.38559171477595E-2</v>
      </c>
      <c r="E32" s="299">
        <f t="shared" si="6"/>
        <v>9.5639096306179002E-8</v>
      </c>
      <c r="F32" s="277">
        <f t="shared" si="7"/>
        <v>0.79619122141230181</v>
      </c>
      <c r="G32" s="299">
        <f t="shared" si="2"/>
        <v>0</v>
      </c>
      <c r="H32" s="277">
        <f t="shared" si="8"/>
        <v>0.59714341605922638</v>
      </c>
      <c r="I32" s="299">
        <f t="shared" si="9"/>
        <v>2.3855917147759476E-2</v>
      </c>
      <c r="J32" s="299">
        <f t="shared" si="10"/>
        <v>7.1729322229634255E-8</v>
      </c>
      <c r="K32" s="119">
        <f t="shared" si="3"/>
        <v>0.43175004322462285</v>
      </c>
      <c r="L32" s="277">
        <f t="shared" si="4"/>
        <v>0.25781669569486992</v>
      </c>
    </row>
    <row r="33" spans="1:21">
      <c r="A33" s="302" t="str">
        <f t="shared" si="0"/>
        <v>II</v>
      </c>
      <c r="B33" s="117">
        <v>13</v>
      </c>
      <c r="C33" s="277">
        <f t="shared" si="5"/>
        <v>8523554.9551237244</v>
      </c>
      <c r="D33" s="299">
        <f t="shared" si="1"/>
        <v>2.38559171477595E-2</v>
      </c>
      <c r="E33" s="299">
        <f t="shared" si="6"/>
        <v>9.5639096306179002E-8</v>
      </c>
      <c r="F33" s="277">
        <f t="shared" si="7"/>
        <v>0.81518509322408716</v>
      </c>
      <c r="G33" s="299">
        <f t="shared" si="2"/>
        <v>0</v>
      </c>
      <c r="H33" s="277">
        <f t="shared" si="8"/>
        <v>0.61138881991806537</v>
      </c>
      <c r="I33" s="299">
        <f t="shared" si="9"/>
        <v>2.3855917147759476E-2</v>
      </c>
      <c r="J33" s="299">
        <f t="shared" si="10"/>
        <v>7.1729322229634255E-8</v>
      </c>
      <c r="K33" s="119">
        <f t="shared" si="3"/>
        <v>0.40256414286678116</v>
      </c>
      <c r="L33" s="277">
        <f t="shared" si="4"/>
        <v>0.2461232162486488</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9.5639096306179002E-8</v>
      </c>
      <c r="F34" s="277">
        <f t="shared" si="7"/>
        <v>0.8346320812681296</v>
      </c>
      <c r="G34" s="299">
        <f t="shared" si="2"/>
        <v>0</v>
      </c>
      <c r="H34" s="277">
        <f t="shared" si="8"/>
        <v>0.6259740609510972</v>
      </c>
      <c r="I34" s="299">
        <f t="shared" si="9"/>
        <v>2.3855917147759476E-2</v>
      </c>
      <c r="J34" s="299">
        <f t="shared" si="10"/>
        <v>7.1729322229634255E-8</v>
      </c>
      <c r="K34" s="119">
        <f t="shared" si="3"/>
        <v>0.37535118216016894</v>
      </c>
      <c r="L34" s="277">
        <f t="shared" si="4"/>
        <v>0.23496010377959597</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9.5639096306179002E-8</v>
      </c>
      <c r="F35" s="277">
        <f t="shared" si="7"/>
        <v>0.85454299504772424</v>
      </c>
      <c r="G35" s="299">
        <f t="shared" si="2"/>
        <v>0</v>
      </c>
      <c r="H35" s="277">
        <f t="shared" si="8"/>
        <v>0.64090724628579321</v>
      </c>
      <c r="I35" s="299">
        <f t="shared" si="9"/>
        <v>2.3855917147759698E-2</v>
      </c>
      <c r="J35" s="299">
        <f t="shared" si="10"/>
        <v>7.1729322229634255E-8</v>
      </c>
      <c r="K35" s="119">
        <f t="shared" si="3"/>
        <v>0.34997779222393377</v>
      </c>
      <c r="L35" s="277">
        <f t="shared" si="4"/>
        <v>0.22430330307542287</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9113781.7964970116</v>
      </c>
      <c r="D51" s="301">
        <f>Terminal_Growth</f>
        <v>0.02</v>
      </c>
      <c r="E51" s="301">
        <f>F17</f>
        <v>9.5639096306179002E-8</v>
      </c>
      <c r="F51" s="277">
        <f>C51*E51</f>
        <v>0.87163385494867873</v>
      </c>
      <c r="G51" s="299">
        <f>F18</f>
        <v>0</v>
      </c>
      <c r="H51" s="277">
        <f>(F51*(1-$I$10)+C51*(G51-$I$9))/Equity_Cost</f>
        <v>9.0169019477449535</v>
      </c>
      <c r="I51" s="415">
        <f>(F51*(1-$I$10)+C51*(G51-$I$9))/VLOOKUP(C15,B21:H50,COLUMN(H20)-1,FALSE)-1</f>
        <v>2.0000000000000018E-2</v>
      </c>
      <c r="J51" s="454"/>
      <c r="K51" s="119">
        <f>1/(1+Equity_Cost)^C15</f>
        <v>0.34997779222393377</v>
      </c>
      <c r="L51" s="277">
        <f t="shared" si="4"/>
        <v>3.1557154363714672</v>
      </c>
    </row>
    <row r="52" spans="1:21" ht="13.15">
      <c r="G52" s="111"/>
      <c r="H52" s="111"/>
      <c r="I52" s="111"/>
      <c r="J52" s="468" t="s">
        <v>419</v>
      </c>
      <c r="K52" s="468"/>
      <c r="L52" s="317">
        <f>SUM(L21:L51)</f>
        <v>2363189.2535781795</v>
      </c>
    </row>
    <row r="53" spans="1:21">
      <c r="C53" s="111"/>
    </row>
    <row r="54" spans="1:21" ht="13.15">
      <c r="B54" s="115" t="s">
        <v>107</v>
      </c>
      <c r="C54" s="128"/>
      <c r="D54" s="128"/>
      <c r="E54" s="113"/>
      <c r="F54" s="113"/>
      <c r="G54" s="113"/>
      <c r="H54" s="113"/>
      <c r="I54" s="113"/>
      <c r="J54" s="113"/>
      <c r="K54" s="113"/>
      <c r="L54" s="113"/>
    </row>
    <row r="55" spans="1:21" ht="13.15">
      <c r="A55" s="125">
        <f>L52</f>
        <v>2363189.2535781795</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377374.99088446674</v>
      </c>
      <c r="C56" s="118">
        <v>381148.74079331144</v>
      </c>
      <c r="D56" s="118">
        <v>384922.49070215609</v>
      </c>
      <c r="E56" s="118">
        <v>388696.24061100074</v>
      </c>
      <c r="F56" s="118">
        <v>396243.74042869004</v>
      </c>
      <c r="G56" s="295"/>
      <c r="H56" s="295"/>
      <c r="I56" s="295"/>
      <c r="J56" s="295"/>
      <c r="K56" s="295"/>
      <c r="L56" s="295"/>
    </row>
    <row r="57" spans="1:21" ht="13.15">
      <c r="A57" s="131">
        <v>2</v>
      </c>
      <c r="B57" s="118">
        <v>377374.98306012322</v>
      </c>
      <c r="C57" s="118">
        <v>381148.79243262945</v>
      </c>
      <c r="D57" s="118">
        <v>384922.60298418318</v>
      </c>
      <c r="E57" s="118">
        <v>388696.41471478459</v>
      </c>
      <c r="F57" s="118">
        <v>396244.04171313025</v>
      </c>
      <c r="G57" s="295"/>
      <c r="H57" s="295"/>
      <c r="I57" s="295"/>
      <c r="J57" s="295"/>
      <c r="K57" s="295"/>
      <c r="L57" s="295"/>
    </row>
    <row r="58" spans="1:21" ht="13.15">
      <c r="A58" s="131">
        <v>3</v>
      </c>
      <c r="B58" s="118">
        <v>377374.97576469806</v>
      </c>
      <c r="C58" s="118">
        <v>381148.84106266318</v>
      </c>
      <c r="D58" s="118">
        <v>384922.70976988733</v>
      </c>
      <c r="E58" s="118">
        <v>388696.58191935089</v>
      </c>
      <c r="F58" s="118">
        <v>396244.3366769178</v>
      </c>
      <c r="G58" s="295"/>
      <c r="H58" s="295"/>
      <c r="I58" s="295"/>
      <c r="J58" s="295"/>
      <c r="K58" s="295"/>
      <c r="L58" s="295"/>
    </row>
    <row r="59" spans="1:21" ht="13.15">
      <c r="A59" s="131">
        <v>4</v>
      </c>
      <c r="B59" s="118">
        <v>377374.96896243683</v>
      </c>
      <c r="C59" s="118">
        <v>381148.88685877889</v>
      </c>
      <c r="D59" s="118">
        <v>384922.81132831919</v>
      </c>
      <c r="E59" s="118">
        <v>388696.74249809521</v>
      </c>
      <c r="F59" s="118">
        <v>396244.62545265391</v>
      </c>
      <c r="G59" s="295"/>
      <c r="H59" s="295"/>
      <c r="I59" s="295"/>
      <c r="J59" s="295"/>
      <c r="K59" s="295"/>
      <c r="L59" s="295"/>
    </row>
    <row r="60" spans="1:21" ht="13.15">
      <c r="A60" s="131">
        <v>5</v>
      </c>
      <c r="B60" s="118">
        <v>729233.86074736097</v>
      </c>
      <c r="C60" s="118">
        <v>740080.19196584192</v>
      </c>
      <c r="D60" s="118">
        <v>750996.90552706353</v>
      </c>
      <c r="E60" s="118">
        <v>761984.00173689437</v>
      </c>
      <c r="F60" s="118">
        <v>784169.34335557092</v>
      </c>
      <c r="G60" s="295"/>
      <c r="H60" s="295"/>
      <c r="I60" s="295"/>
      <c r="J60" s="295"/>
      <c r="K60" s="295"/>
      <c r="L60" s="295"/>
    </row>
    <row r="61" spans="1:21" ht="13.15">
      <c r="A61" s="131">
        <v>6</v>
      </c>
      <c r="B61" s="118">
        <v>729233.85483366891</v>
      </c>
      <c r="C61" s="118">
        <v>740080.2325799379</v>
      </c>
      <c r="D61" s="118">
        <v>750996.99738606671</v>
      </c>
      <c r="E61" s="118">
        <v>761984.1498412753</v>
      </c>
      <c r="F61" s="118">
        <v>784169.62014193833</v>
      </c>
      <c r="G61" s="295"/>
      <c r="H61" s="295"/>
      <c r="I61" s="295"/>
      <c r="J61" s="295"/>
      <c r="K61" s="295"/>
      <c r="L61" s="295"/>
    </row>
    <row r="62" spans="1:21" ht="13.15">
      <c r="A62" s="131">
        <v>7</v>
      </c>
      <c r="B62" s="118">
        <v>1057307.4140072512</v>
      </c>
      <c r="C62" s="118">
        <v>1078094.7925983553</v>
      </c>
      <c r="D62" s="118">
        <v>1099151.3761833829</v>
      </c>
      <c r="E62" s="118">
        <v>1120479.1341970114</v>
      </c>
      <c r="F62" s="118">
        <v>1163956.0514429822</v>
      </c>
      <c r="G62" s="295"/>
      <c r="H62" s="295"/>
      <c r="I62" s="295"/>
      <c r="J62" s="295"/>
      <c r="K62" s="295"/>
      <c r="L62" s="295"/>
    </row>
    <row r="63" spans="1:21" ht="13.15">
      <c r="A63" s="131">
        <v>8</v>
      </c>
      <c r="B63" s="118">
        <v>1057307.408866056</v>
      </c>
      <c r="C63" s="118">
        <v>1078094.8286167982</v>
      </c>
      <c r="D63" s="118">
        <v>1099151.4592693099</v>
      </c>
      <c r="E63" s="118">
        <v>1120479.2707960845</v>
      </c>
      <c r="F63" s="118">
        <v>1163956.3167377547</v>
      </c>
      <c r="G63" s="295"/>
      <c r="H63" s="295"/>
      <c r="I63" s="295"/>
      <c r="J63" s="295"/>
      <c r="K63" s="295"/>
      <c r="L63" s="295"/>
    </row>
    <row r="64" spans="1:21" ht="13.15">
      <c r="A64" s="131">
        <v>9</v>
      </c>
      <c r="B64" s="118">
        <v>1363203.5016831364</v>
      </c>
      <c r="C64" s="118">
        <v>1396411.5683533475</v>
      </c>
      <c r="D64" s="118">
        <v>1430263.3119604532</v>
      </c>
      <c r="E64" s="118">
        <v>1464768.154787644</v>
      </c>
      <c r="F64" s="118">
        <v>1535775.1949633621</v>
      </c>
      <c r="G64" s="295"/>
      <c r="H64" s="295"/>
      <c r="I64" s="295"/>
      <c r="J64" s="295"/>
      <c r="K64" s="295"/>
      <c r="L64" s="295"/>
    </row>
    <row r="65" spans="1:21" ht="13.15">
      <c r="A65" s="131">
        <v>10</v>
      </c>
      <c r="B65" s="118">
        <v>1363203.4972135278</v>
      </c>
      <c r="C65" s="118">
        <v>1396411.6002961546</v>
      </c>
      <c r="D65" s="118">
        <v>1430263.3871111847</v>
      </c>
      <c r="E65" s="118">
        <v>1464768.2807751854</v>
      </c>
      <c r="F65" s="118">
        <v>1535775.4492436466</v>
      </c>
      <c r="G65" s="295"/>
      <c r="H65" s="295"/>
      <c r="I65" s="295"/>
      <c r="J65" s="295"/>
      <c r="K65" s="295"/>
      <c r="L65" s="295"/>
    </row>
    <row r="66" spans="1:21" ht="13.15">
      <c r="A66" s="131">
        <v>15</v>
      </c>
      <c r="B66" s="118">
        <v>2162318.8664964573</v>
      </c>
      <c r="C66" s="277">
        <v>2244323.3006540313</v>
      </c>
      <c r="D66" s="118">
        <v>2329484.2289945576</v>
      </c>
      <c r="E66" s="118">
        <v>2417917.3595589707</v>
      </c>
      <c r="F66" s="118">
        <v>2605081.2998619303</v>
      </c>
      <c r="G66" s="295"/>
      <c r="H66" s="295"/>
      <c r="I66" s="295"/>
      <c r="J66" s="295"/>
      <c r="K66" s="295"/>
      <c r="L66" s="295"/>
      <c r="M66" s="275"/>
      <c r="N66" s="275"/>
      <c r="O66" s="275"/>
      <c r="P66" s="275"/>
      <c r="Q66" s="275"/>
      <c r="R66" s="275"/>
      <c r="S66" s="275"/>
      <c r="T66" s="275"/>
      <c r="U66" s="275"/>
    </row>
    <row r="67" spans="1:21" ht="13.15">
      <c r="A67" s="132">
        <v>20</v>
      </c>
      <c r="B67" s="118">
        <v>2609086.7637373619</v>
      </c>
      <c r="C67" s="277">
        <v>2730443.336504072</v>
      </c>
      <c r="D67" s="118">
        <v>2857995.7759960336</v>
      </c>
      <c r="E67" s="118">
        <v>2992062.3499661544</v>
      </c>
      <c r="F67" s="118">
        <v>3281086.7751228125</v>
      </c>
      <c r="G67" s="295"/>
      <c r="H67" s="295"/>
      <c r="I67" s="295"/>
      <c r="J67" s="295"/>
      <c r="K67" s="295"/>
      <c r="L67" s="295"/>
      <c r="M67" s="275"/>
      <c r="N67" s="275"/>
      <c r="O67" s="275"/>
      <c r="P67" s="275"/>
      <c r="Q67" s="275"/>
      <c r="R67" s="275"/>
      <c r="S67" s="275"/>
      <c r="T67" s="275"/>
      <c r="U67" s="275"/>
    </row>
    <row r="68" spans="1:21" ht="13.15">
      <c r="A68" s="132">
        <v>25</v>
      </c>
      <c r="B68" s="118">
        <v>3172235.3291536369</v>
      </c>
      <c r="C68" s="277">
        <v>3358459.721983219</v>
      </c>
      <c r="D68" s="118">
        <v>3557645.5272865901</v>
      </c>
      <c r="E68" s="118">
        <v>3770744.8330406942</v>
      </c>
      <c r="F68" s="118">
        <v>4242836.0894273939</v>
      </c>
      <c r="G68" s="295"/>
      <c r="H68" s="295"/>
      <c r="I68" s="295"/>
      <c r="J68" s="295"/>
      <c r="K68" s="295"/>
      <c r="L68" s="295"/>
      <c r="M68" s="275"/>
      <c r="N68" s="275"/>
      <c r="O68" s="275"/>
      <c r="P68" s="275"/>
      <c r="Q68" s="275"/>
      <c r="R68" s="275"/>
      <c r="S68" s="275"/>
      <c r="T68" s="275"/>
      <c r="U68" s="275"/>
    </row>
    <row r="69" spans="1:21" ht="13.15">
      <c r="A69" s="132">
        <v>30</v>
      </c>
      <c r="B69" s="118">
        <v>3487079.3560829326</v>
      </c>
      <c r="C69" s="277">
        <v>3718510.5905418131</v>
      </c>
      <c r="D69" s="118">
        <v>3968860.3764253152</v>
      </c>
      <c r="E69" s="118">
        <v>4239796.988293523</v>
      </c>
      <c r="F69" s="118">
        <v>4850845.2675941335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7.0653248653965477</v>
      </c>
      <c r="C73" s="119">
        <f>C11</f>
        <v>7.0653248653965477</v>
      </c>
      <c r="D73" s="119">
        <f>C11</f>
        <v>7.0653248653965477</v>
      </c>
      <c r="E73" s="119">
        <f>C11</f>
        <v>7.0653248653965477</v>
      </c>
      <c r="F73" s="119">
        <f>C11</f>
        <v>7.0653248653965477</v>
      </c>
      <c r="G73" s="296"/>
      <c r="H73" s="296"/>
      <c r="I73" s="296"/>
      <c r="J73" s="296"/>
      <c r="K73" s="296"/>
      <c r="L73" s="296"/>
    </row>
    <row r="74" spans="1:21" ht="13.15">
      <c r="A74" s="131">
        <v>1</v>
      </c>
      <c r="B74" s="119">
        <f t="shared" ref="B74:F87" si="11">(B56+FV_adjustments)/Common_Shares*scaling_factor*Exchange_Rate</f>
        <v>-0.10833103058440995</v>
      </c>
      <c r="C74" s="119">
        <f t="shared" si="11"/>
        <v>-0.10471469640779293</v>
      </c>
      <c r="D74" s="119">
        <f t="shared" si="11"/>
        <v>-0.10109836223117599</v>
      </c>
      <c r="E74" s="119">
        <f t="shared" si="11"/>
        <v>-9.7482028054559036E-2</v>
      </c>
      <c r="F74" s="119">
        <f t="shared" si="11"/>
        <v>-9.0249359701325152E-2</v>
      </c>
      <c r="G74" s="296"/>
      <c r="H74" s="296"/>
      <c r="I74" s="296"/>
      <c r="J74" s="296"/>
      <c r="K74" s="296"/>
      <c r="L74" s="296"/>
    </row>
    <row r="75" spans="1:21" ht="13.15">
      <c r="A75" s="131">
        <v>2</v>
      </c>
      <c r="B75" s="119">
        <f t="shared" si="11"/>
        <v>-0.10833103808237392</v>
      </c>
      <c r="C75" s="119">
        <f t="shared" si="11"/>
        <v>-0.10471464692252362</v>
      </c>
      <c r="D75" s="119">
        <f t="shared" si="11"/>
        <v>-0.10109825463280785</v>
      </c>
      <c r="E75" s="119">
        <f t="shared" si="11"/>
        <v>-9.7481861213226398E-2</v>
      </c>
      <c r="F75" s="119">
        <f t="shared" si="11"/>
        <v>-9.0249070984466759E-2</v>
      </c>
      <c r="G75" s="296"/>
      <c r="H75" s="296"/>
      <c r="I75" s="296"/>
      <c r="J75" s="296"/>
      <c r="K75" s="296"/>
      <c r="L75" s="296"/>
    </row>
    <row r="76" spans="1:21" ht="13.15">
      <c r="A76" s="131">
        <v>3</v>
      </c>
      <c r="B76" s="119">
        <f t="shared" si="11"/>
        <v>-0.1083310450734825</v>
      </c>
      <c r="C76" s="119">
        <f t="shared" si="11"/>
        <v>-0.10471460032101128</v>
      </c>
      <c r="D76" s="119">
        <f t="shared" si="11"/>
        <v>-0.10109815230149262</v>
      </c>
      <c r="E76" s="119">
        <f t="shared" si="11"/>
        <v>-9.7481700983321887E-2</v>
      </c>
      <c r="F76" s="119">
        <f t="shared" si="11"/>
        <v>-9.0248788324605478E-2</v>
      </c>
      <c r="G76" s="296"/>
      <c r="H76" s="296"/>
      <c r="I76" s="296"/>
      <c r="J76" s="296"/>
      <c r="K76" s="296"/>
      <c r="L76" s="296"/>
    </row>
    <row r="77" spans="1:21" ht="13.15">
      <c r="A77" s="131">
        <v>4</v>
      </c>
      <c r="B77" s="119">
        <f t="shared" si="11"/>
        <v>-0.10833105159199864</v>
      </c>
      <c r="C77" s="119">
        <f t="shared" si="11"/>
        <v>-0.10471455643520473</v>
      </c>
      <c r="D77" s="119">
        <f t="shared" si="11"/>
        <v>-0.10109805497940268</v>
      </c>
      <c r="E77" s="119">
        <f t="shared" si="11"/>
        <v>-9.748154710285413E-2</v>
      </c>
      <c r="F77" s="119">
        <f t="shared" si="11"/>
        <v>-9.0248511594671288E-2</v>
      </c>
      <c r="G77" s="296"/>
      <c r="H77" s="296"/>
      <c r="I77" s="296"/>
      <c r="J77" s="296"/>
      <c r="K77" s="296"/>
      <c r="L77" s="296"/>
    </row>
    <row r="78" spans="1:21" ht="13.15">
      <c r="A78" s="131">
        <v>5</v>
      </c>
      <c r="B78" s="119">
        <f t="shared" si="11"/>
        <v>0.22885062881722293</v>
      </c>
      <c r="C78" s="119">
        <f t="shared" si="11"/>
        <v>0.23924452327863641</v>
      </c>
      <c r="D78" s="119">
        <f t="shared" si="11"/>
        <v>0.24970586419983964</v>
      </c>
      <c r="E78" s="119">
        <f t="shared" si="11"/>
        <v>0.26023465187394235</v>
      </c>
      <c r="F78" s="119">
        <f t="shared" si="11"/>
        <v>0.28149456868175882</v>
      </c>
      <c r="G78" s="296"/>
      <c r="H78" s="296"/>
      <c r="I78" s="296"/>
      <c r="J78" s="296"/>
      <c r="K78" s="296"/>
      <c r="L78" s="296"/>
    </row>
    <row r="79" spans="1:21" ht="13.15">
      <c r="A79" s="131">
        <v>6</v>
      </c>
      <c r="B79" s="119">
        <f t="shared" si="11"/>
        <v>0.22885062315021074</v>
      </c>
      <c r="C79" s="119">
        <f t="shared" si="11"/>
        <v>0.23924456219858259</v>
      </c>
      <c r="D79" s="119">
        <f t="shared" si="11"/>
        <v>0.24970595222709652</v>
      </c>
      <c r="E79" s="119">
        <f t="shared" si="11"/>
        <v>0.2602347938003941</v>
      </c>
      <c r="F79" s="119">
        <f t="shared" si="11"/>
        <v>0.28149483392244101</v>
      </c>
      <c r="G79" s="296"/>
      <c r="H79" s="296"/>
      <c r="I79" s="296"/>
      <c r="J79" s="296"/>
      <c r="K79" s="296"/>
      <c r="L79" s="296"/>
    </row>
    <row r="80" spans="1:21" ht="13.15">
      <c r="A80" s="131">
        <f t="shared" ref="A80" si="12">A62</f>
        <v>7</v>
      </c>
      <c r="B80" s="119">
        <f t="shared" si="11"/>
        <v>0.54323913673536706</v>
      </c>
      <c r="C80" s="119">
        <f t="shared" si="11"/>
        <v>0.56315940422980226</v>
      </c>
      <c r="D80" s="119">
        <f t="shared" si="11"/>
        <v>0.58333764727734938</v>
      </c>
      <c r="E80" s="119">
        <f t="shared" si="11"/>
        <v>0.60377575316097798</v>
      </c>
      <c r="F80" s="119">
        <f t="shared" si="11"/>
        <v>0.64543910275445615</v>
      </c>
      <c r="G80" s="296"/>
      <c r="H80" s="296"/>
      <c r="I80" s="296"/>
      <c r="J80" s="296"/>
      <c r="K80" s="296"/>
      <c r="L80" s="296"/>
    </row>
    <row r="81" spans="1:12" ht="13.15">
      <c r="A81" s="131">
        <v>8</v>
      </c>
      <c r="B81" s="119">
        <f t="shared" si="11"/>
        <v>0.54323913180862837</v>
      </c>
      <c r="C81" s="119">
        <f t="shared" si="11"/>
        <v>0.56315943874579522</v>
      </c>
      <c r="D81" s="119">
        <f t="shared" si="11"/>
        <v>0.58333772689748442</v>
      </c>
      <c r="E81" s="119">
        <f t="shared" si="11"/>
        <v>0.60377588406204696</v>
      </c>
      <c r="F81" s="119">
        <f t="shared" si="11"/>
        <v>0.64543935698289634</v>
      </c>
      <c r="G81" s="296"/>
      <c r="H81" s="296"/>
      <c r="I81" s="296"/>
      <c r="J81" s="296"/>
      <c r="K81" s="296"/>
      <c r="L81" s="296"/>
    </row>
    <row r="82" spans="1:12" ht="13.15">
      <c r="A82" s="131">
        <f t="shared" ref="A82" si="13">A64</f>
        <v>9</v>
      </c>
      <c r="B82" s="119">
        <f t="shared" si="11"/>
        <v>0.83637527534461409</v>
      </c>
      <c r="C82" s="119">
        <f t="shared" si="11"/>
        <v>0.86819812247006789</v>
      </c>
      <c r="D82" s="119">
        <f t="shared" si="11"/>
        <v>0.90063779661422172</v>
      </c>
      <c r="E82" s="119">
        <f t="shared" si="11"/>
        <v>0.93370332702531578</v>
      </c>
      <c r="F82" s="119">
        <f t="shared" si="11"/>
        <v>1.0017484260304266</v>
      </c>
      <c r="G82" s="296"/>
      <c r="H82" s="296"/>
      <c r="I82" s="296"/>
      <c r="J82" s="296"/>
      <c r="K82" s="296"/>
      <c r="L82" s="296"/>
    </row>
    <row r="83" spans="1:12" ht="13.15">
      <c r="A83" s="131">
        <f t="shared" ref="A83:A87" si="14">A65</f>
        <v>10</v>
      </c>
      <c r="B83" s="119">
        <f t="shared" si="11"/>
        <v>0.83637527106144782</v>
      </c>
      <c r="C83" s="119">
        <f t="shared" si="11"/>
        <v>0.86819815308043369</v>
      </c>
      <c r="D83" s="119">
        <f t="shared" si="11"/>
        <v>0.90063786863016482</v>
      </c>
      <c r="E83" s="119">
        <f t="shared" si="11"/>
        <v>0.93370344775749547</v>
      </c>
      <c r="F83" s="119">
        <f t="shared" si="11"/>
        <v>1.00174866970383</v>
      </c>
      <c r="G83" s="296"/>
      <c r="H83" s="296"/>
      <c r="I83" s="296"/>
      <c r="J83" s="296"/>
      <c r="K83" s="296"/>
      <c r="L83" s="296"/>
    </row>
    <row r="84" spans="1:12" ht="13.15">
      <c r="A84" s="131">
        <f t="shared" si="14"/>
        <v>15</v>
      </c>
      <c r="B84" s="119">
        <f t="shared" si="11"/>
        <v>1.6021568651794529</v>
      </c>
      <c r="C84" s="119">
        <f t="shared" si="11"/>
        <v>1.6807406200761734</v>
      </c>
      <c r="D84" s="119">
        <f t="shared" si="11"/>
        <v>1.7623492012247208</v>
      </c>
      <c r="E84" s="119">
        <f t="shared" si="11"/>
        <v>1.8470934900965885</v>
      </c>
      <c r="F84" s="119">
        <f t="shared" si="11"/>
        <v>2.0264501963694497</v>
      </c>
      <c r="G84" s="296"/>
      <c r="H84" s="296"/>
      <c r="I84" s="296"/>
      <c r="J84" s="296"/>
      <c r="K84" s="296"/>
      <c r="L84" s="296"/>
    </row>
    <row r="85" spans="1:12" ht="13.15">
      <c r="A85" s="132">
        <f t="shared" si="14"/>
        <v>20</v>
      </c>
      <c r="B85" s="119">
        <f t="shared" si="11"/>
        <v>2.0302885789480034</v>
      </c>
      <c r="C85" s="119">
        <f t="shared" si="11"/>
        <v>2.146582963116062</v>
      </c>
      <c r="D85" s="119">
        <f t="shared" si="11"/>
        <v>2.2688147636825353</v>
      </c>
      <c r="E85" s="119">
        <f t="shared" si="11"/>
        <v>2.3972889723877233</v>
      </c>
      <c r="F85" s="119">
        <f t="shared" si="11"/>
        <v>2.6742572219586349</v>
      </c>
      <c r="G85" s="296"/>
      <c r="H85" s="296"/>
      <c r="I85" s="296"/>
      <c r="J85" s="296"/>
      <c r="K85" s="296"/>
      <c r="L85" s="296"/>
    </row>
    <row r="86" spans="1:12" ht="13.15">
      <c r="A86" s="132">
        <f t="shared" si="14"/>
        <v>25</v>
      </c>
      <c r="B86" s="119">
        <f t="shared" si="11"/>
        <v>2.5699463339186219</v>
      </c>
      <c r="C86" s="119">
        <f t="shared" si="11"/>
        <v>2.7484026843860909</v>
      </c>
      <c r="D86" s="119">
        <f t="shared" si="11"/>
        <v>2.9392797834559863</v>
      </c>
      <c r="E86" s="119">
        <f t="shared" si="11"/>
        <v>3.143490004330916</v>
      </c>
      <c r="F86" s="119">
        <f t="shared" si="11"/>
        <v>3.5958887552263974</v>
      </c>
      <c r="G86" s="296"/>
      <c r="H86" s="296"/>
      <c r="I86" s="296"/>
      <c r="J86" s="296"/>
      <c r="K86" s="296"/>
      <c r="L86" s="296"/>
    </row>
    <row r="87" spans="1:12" ht="13.15">
      <c r="A87" s="132">
        <f t="shared" si="14"/>
        <v>30</v>
      </c>
      <c r="B87" s="119">
        <f t="shared" si="11"/>
        <v>2.8716571633033654</v>
      </c>
      <c r="C87" s="119">
        <f t="shared" si="11"/>
        <v>3.0934346268148598</v>
      </c>
      <c r="D87" s="119">
        <f t="shared" si="11"/>
        <v>3.3333414856868142</v>
      </c>
      <c r="E87" s="119">
        <f t="shared" si="11"/>
        <v>3.5929764251668845</v>
      </c>
      <c r="F87" s="119">
        <f t="shared" si="11"/>
        <v>4.178535836726911</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2.0264501963694497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1.8470934900965885</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1.7623492012247208</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1.6807406200761734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1.6021568651794529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622412</v>
      </c>
      <c r="D7" s="469"/>
      <c r="E7" s="469"/>
      <c r="F7" s="469"/>
      <c r="G7" s="469"/>
    </row>
    <row r="8" spans="2:7">
      <c r="B8" s="97" t="s">
        <v>62</v>
      </c>
      <c r="C8" s="447">
        <f>Normalized_FCF!G19</f>
        <v>506980</v>
      </c>
      <c r="D8" s="469"/>
      <c r="E8" s="469"/>
      <c r="F8" s="469"/>
      <c r="G8" s="469"/>
    </row>
    <row r="9" spans="2:7">
      <c r="B9" s="97" t="s">
        <v>53</v>
      </c>
      <c r="C9" s="447">
        <f>Normalized_FCF!C19</f>
        <v>404728.34668910783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1.8470934900965885</v>
      </c>
      <c r="F22" s="328">
        <f>1-F23-F24</f>
        <v>0.19999999999999996</v>
      </c>
      <c r="G22" s="328">
        <f>F22*(1-F$29-F$30)</f>
        <v>0.15999999999999995</v>
      </c>
    </row>
    <row r="23" spans="2:7">
      <c r="B23" s="302" t="s">
        <v>436</v>
      </c>
      <c r="C23" s="324">
        <v>0.02</v>
      </c>
      <c r="D23" s="325">
        <f>C18</f>
        <v>15</v>
      </c>
      <c r="E23" s="326">
        <f>DCF!E92</f>
        <v>1.7623492012247208</v>
      </c>
      <c r="F23" s="327">
        <v>0.55000000000000004</v>
      </c>
      <c r="G23" s="328">
        <f t="shared" ref="G23:G24" si="0">F23*(1-F$29-F$30)</f>
        <v>0.44</v>
      </c>
    </row>
    <row r="24" spans="2:7">
      <c r="B24" s="302" t="s">
        <v>445</v>
      </c>
      <c r="C24" s="324">
        <v>0.01</v>
      </c>
      <c r="D24" s="325">
        <f>C18</f>
        <v>15</v>
      </c>
      <c r="E24" s="326">
        <f>DCF!E93</f>
        <v>1.6807406200761734</v>
      </c>
      <c r="F24" s="327">
        <v>0.25</v>
      </c>
      <c r="G24" s="328">
        <f t="shared" si="0"/>
        <v>0.19999999999999998</v>
      </c>
    </row>
    <row r="25" spans="2:7">
      <c r="B25" s="141" t="s">
        <v>450</v>
      </c>
      <c r="C25" s="441">
        <f>E23*F23+E24*F24+E22*F22</f>
        <v>1.7588959137119575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15</v>
      </c>
      <c r="E29" s="326">
        <f>DCF!E90</f>
        <v>2.0264501963694497</v>
      </c>
      <c r="F29" s="327">
        <v>0.15</v>
      </c>
      <c r="G29" s="328">
        <f>F29</f>
        <v>0.15</v>
      </c>
    </row>
    <row r="30" spans="2:7">
      <c r="B30" s="315" t="s">
        <v>446</v>
      </c>
      <c r="C30" s="324">
        <v>0</v>
      </c>
      <c r="D30" s="325">
        <f>C18</f>
        <v>15</v>
      </c>
      <c r="E30" s="326">
        <f>DCF!E94</f>
        <v>1.6021568651794529</v>
      </c>
      <c r="F30" s="327">
        <v>0.05</v>
      </c>
      <c r="G30" s="328">
        <f>F30</f>
        <v>0.05</v>
      </c>
    </row>
    <row r="31" spans="2:7">
      <c r="E31" s="329"/>
      <c r="F31" s="329"/>
    </row>
    <row r="32" spans="2:7" ht="13.15">
      <c r="B32" s="145" t="s">
        <v>455</v>
      </c>
    </row>
    <row r="33" spans="2:7">
      <c r="B33" s="97" t="s">
        <v>457</v>
      </c>
      <c r="C33" s="155">
        <f>Normalized_FCF!C88*(1-dividend_tax_rate)</f>
        <v>0.14199999999999999</v>
      </c>
      <c r="D33" t="str">
        <f>Market_currency</f>
        <v>HKD</v>
      </c>
      <c r="E33" s="97" t="s">
        <v>454</v>
      </c>
      <c r="F33" s="219">
        <f>Holding_Period</f>
        <v>3</v>
      </c>
    </row>
    <row r="34" spans="2:7">
      <c r="B34" s="97" t="s">
        <v>232</v>
      </c>
      <c r="C34" s="146">
        <f>Market_Price</f>
        <v>6.54</v>
      </c>
      <c r="D34" t="str">
        <f>Market_currency</f>
        <v>HKD</v>
      </c>
      <c r="E34" s="97" t="s">
        <v>453</v>
      </c>
      <c r="F34" s="330">
        <f>RATE(Holding_Period,$C$33,-C34,$C$36)</f>
        <v>-0.31556295732458622</v>
      </c>
    </row>
    <row r="35" spans="2:7">
      <c r="B35" s="97" t="s">
        <v>433</v>
      </c>
      <c r="C35" s="320">
        <f>DCF!C11</f>
        <v>7.0653248653965477</v>
      </c>
      <c r="D35" s="97" t="str">
        <f>Market_currency</f>
        <v>HKD</v>
      </c>
      <c r="E35" s="97" t="s">
        <v>453</v>
      </c>
      <c r="F35" s="330">
        <f>RATE(Holding_Period,$C$33,-C35,$C$36)</f>
        <v>-0.33360406789620206</v>
      </c>
    </row>
    <row r="36" spans="2:7">
      <c r="B36" s="97" t="s">
        <v>434</v>
      </c>
      <c r="C36" s="321">
        <f>E22*G22+E23*G23+E24*G24+E30*G30+E29*G29</f>
        <v>1.791192103683956</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552</v>
      </c>
      <c r="C40" s="126">
        <f>Normalized_FCF!E116</f>
        <v>9.5639096306179002E-8</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1.7946482764866485</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-0.2623752345041761</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0.14199999999999999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0.25983892380763701</v>
      </c>
      <c r="D62" s="119">
        <f>C36/(1+F62)^Holding_Period</f>
        <v>0.82543414916311353</v>
      </c>
      <c r="E62" s="332">
        <f>C62+D62</f>
        <v>1.0852730729707505</v>
      </c>
      <c r="F62" s="301">
        <f>Thesis!E22</f>
        <v>0.29465259038036601</v>
      </c>
      <c r="G62" s="440">
        <f>(1-E62/C36)</f>
        <v>0.39410570717754811</v>
      </c>
    </row>
    <row r="63" spans="2:7" ht="13.15">
      <c r="B63" s="302" t="s">
        <v>312</v>
      </c>
      <c r="C63" s="119">
        <f>PV(F63, Holding_Period, -C58, 0)</f>
        <v>0.29876856051220924</v>
      </c>
      <c r="D63" s="119">
        <f>C36/(1+F63)^Holding_Period</f>
        <v>1.0346235977957872</v>
      </c>
      <c r="E63" s="332">
        <f>C63+D63</f>
        <v>1.3333921583079964</v>
      </c>
      <c r="F63" s="301">
        <f>Thesis!E23</f>
        <v>0.20075184365903001</v>
      </c>
      <c r="G63" s="440">
        <f>(1-E63/C36)</f>
        <v>0.25558394570543252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0.34258964388328816</v>
      </c>
      <c r="D66" s="119">
        <f>C36/(1+F66)^Holding_Period</f>
        <v>1.2838555562015233</v>
      </c>
      <c r="E66" s="332">
        <f>C66+D66</f>
        <v>1.6264452000848113</v>
      </c>
      <c r="F66" s="301">
        <f>Thesis!E24</f>
        <v>0.1174</v>
      </c>
      <c r="G66" s="440">
        <f>(1-E66/C36)</f>
        <v>9.1976122081103839E-2</v>
      </c>
    </row>
    <row r="67" spans="2:7" ht="13.15">
      <c r="B67" s="302" t="s">
        <v>313</v>
      </c>
      <c r="C67" s="119">
        <f>PV(F67, Holding_Period, -C58, 0)</f>
        <v>0.37095728225856828</v>
      </c>
      <c r="D67" s="119">
        <f>C36/(1+F67)^Holding_Period</f>
        <v>1.4519453274729941</v>
      </c>
      <c r="E67" s="332">
        <f>C67+D67</f>
        <v>1.8229026097315624</v>
      </c>
      <c r="F67" s="301">
        <f>Thesis!E25</f>
        <v>7.2499999999999995E-2</v>
      </c>
      <c r="G67" s="440">
        <f>(1-E67/C36)</f>
        <v>-1.7703576284412659E-2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46038</v>
      </c>
    </row>
    <row r="4" spans="1:10">
      <c r="B4" s="422" t="s">
        <v>533</v>
      </c>
      <c r="C4" s="423" t="str">
        <f>Thesis!C4</f>
        <v>维他奶</v>
      </c>
      <c r="D4" s="349"/>
      <c r="E4" s="434" t="s">
        <v>539</v>
      </c>
      <c r="F4" s="437" t="str">
        <f>Thesis!F4</f>
        <v>INT</v>
      </c>
    </row>
    <row r="5" spans="1:10">
      <c r="B5" s="343" t="s">
        <v>363</v>
      </c>
      <c r="C5" s="355" t="str">
        <f>Thesis!C5</f>
        <v>0345.HK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6.54</v>
      </c>
    </row>
    <row r="9" spans="1:10">
      <c r="B9" s="351" t="s">
        <v>360</v>
      </c>
      <c r="C9" s="353">
        <f>Common_Shares</f>
        <v>1043529089</v>
      </c>
    </row>
    <row r="10" spans="1:10">
      <c r="B10" s="351" t="s">
        <v>366</v>
      </c>
      <c r="C10" s="357">
        <f>投资主题!C8*Common_Shares/1000000</f>
        <v>6824.6802420600006</v>
      </c>
      <c r="D10" s="343" t="s">
        <v>528</v>
      </c>
      <c r="E10" s="360">
        <f>Scenarios!F34</f>
        <v>-0.31556295732458622</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534</v>
      </c>
      <c r="C17" s="424">
        <f>Terminal_Growth</f>
        <v>0.02</v>
      </c>
      <c r="D17" s="351" t="s">
        <v>338</v>
      </c>
      <c r="E17" s="344" t="str">
        <f>Reporting_currency</f>
        <v>HKD</v>
      </c>
    </row>
    <row r="18" spans="1:6">
      <c r="B18" s="343" t="str">
        <f>"预期股权价值 ("&amp;C7&amp;") :"</f>
        <v>预期股权价值 (HKD) :</v>
      </c>
      <c r="C18" s="359">
        <f>C125</f>
        <v>1.791192103683956</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1.0852730729707505</v>
      </c>
      <c r="D22" s="365" t="s">
        <v>439</v>
      </c>
      <c r="E22" s="366">
        <f>Thesis!E22</f>
        <v>0.29465259038036601</v>
      </c>
    </row>
    <row r="23" spans="1:6">
      <c r="B23" s="343" t="s">
        <v>340</v>
      </c>
      <c r="C23" s="367">
        <f>E141</f>
        <v>1.3333921583079964</v>
      </c>
      <c r="D23" s="365" t="s">
        <v>440</v>
      </c>
      <c r="E23" s="368">
        <f>Thesis!E23</f>
        <v>0.20075184365903001</v>
      </c>
    </row>
    <row r="24" spans="1:6">
      <c r="B24" s="343" t="s">
        <v>342</v>
      </c>
      <c r="C24" s="367">
        <f>E144</f>
        <v>1.6264452000848113</v>
      </c>
      <c r="D24" s="365" t="s">
        <v>442</v>
      </c>
      <c r="E24" s="368">
        <f>Thesis!E24</f>
        <v>0.1174</v>
      </c>
    </row>
    <row r="25" spans="1:6">
      <c r="B25" s="343" t="s">
        <v>341</v>
      </c>
      <c r="C25" s="367">
        <f>E145</f>
        <v>1.8229026097315624</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536695.26015023328</v>
      </c>
      <c r="D34" s="343" t="str">
        <f>Reporting_currency</f>
        <v>HKD</v>
      </c>
    </row>
    <row r="35" spans="2:6">
      <c r="B35" s="372"/>
      <c r="C35" s="374"/>
    </row>
    <row r="36" spans="2:6" ht="24.5" customHeight="1">
      <c r="B36" s="470" t="s">
        <v>501</v>
      </c>
      <c r="C36" s="470"/>
      <c r="D36" s="470"/>
      <c r="E36" s="470"/>
      <c r="F36" s="470"/>
    </row>
    <row r="37" spans="2:6">
      <c r="B37" s="372" t="s">
        <v>198</v>
      </c>
      <c r="C37" s="373">
        <f>Normalized_FCF!C15</f>
        <v>0</v>
      </c>
      <c r="D37" s="343" t="str">
        <f>Reporting_currency</f>
        <v>HKD</v>
      </c>
    </row>
    <row r="38" spans="2:6">
      <c r="B38" s="375" t="s">
        <v>199</v>
      </c>
      <c r="C38" s="373">
        <f>Normalized_FCF!C16</f>
        <v>0</v>
      </c>
      <c r="D38" s="343" t="str">
        <f>Reporting_currency</f>
        <v>HKD</v>
      </c>
    </row>
    <row r="40" spans="2:6">
      <c r="B40" s="470" t="s">
        <v>502</v>
      </c>
      <c r="C40" s="470"/>
      <c r="D40" s="470"/>
      <c r="E40" s="470"/>
      <c r="F40" s="470"/>
    </row>
    <row r="41" spans="2:6">
      <c r="B41" s="372" t="s">
        <v>201</v>
      </c>
      <c r="C41" s="373">
        <f>Normalized_FCF!C9</f>
        <v>0</v>
      </c>
      <c r="D41" s="343" t="str">
        <f>Reporting_currency</f>
        <v>HKD</v>
      </c>
    </row>
    <row r="43" spans="2:6">
      <c r="B43" s="470" t="s">
        <v>503</v>
      </c>
      <c r="C43" s="470"/>
      <c r="D43" s="470"/>
      <c r="E43" s="470"/>
      <c r="F43" s="470"/>
    </row>
    <row r="44" spans="2:6">
      <c r="B44" s="372" t="s">
        <v>266</v>
      </c>
      <c r="C44" s="376">
        <f>Normalized_FCF!C46</f>
        <v>2942.5354352438831</v>
      </c>
      <c r="D44" s="343" t="str">
        <f>Reporting_currency</f>
        <v>HKD</v>
      </c>
      <c r="E44" s="371"/>
      <c r="F44" s="371"/>
    </row>
    <row r="45" spans="2:6">
      <c r="B45" s="372" t="s">
        <v>267</v>
      </c>
      <c r="C45" s="376">
        <f>Normalized_FCF!C45</f>
        <v>0</v>
      </c>
      <c r="D45" s="343" t="str">
        <f>Reporting_currency</f>
        <v>HKD</v>
      </c>
      <c r="E45" s="371"/>
      <c r="F45" s="371"/>
    </row>
    <row r="46" spans="2:6">
      <c r="B46" s="372" t="s">
        <v>202</v>
      </c>
      <c r="C46" s="373">
        <f>Normalized_FCF!C10</f>
        <v>2942.5354352438831</v>
      </c>
      <c r="D46" s="343" t="str">
        <f>Reporting_currency</f>
        <v>HKD</v>
      </c>
    </row>
    <row r="48" spans="2:6">
      <c r="B48" s="343" t="s">
        <v>504</v>
      </c>
    </row>
    <row r="49" spans="2:6">
      <c r="B49" s="372" t="s">
        <v>222</v>
      </c>
      <c r="C49" s="373">
        <f>Normalized_FCF!C13</f>
        <v>0</v>
      </c>
      <c r="D49" s="343" t="str">
        <f>Reporting_currency</f>
        <v>HKD</v>
      </c>
    </row>
    <row r="51" spans="2:6">
      <c r="B51" s="470" t="s">
        <v>505</v>
      </c>
      <c r="C51" s="470"/>
      <c r="D51" s="470"/>
      <c r="E51" s="470"/>
      <c r="F51" s="470"/>
    </row>
    <row r="52" spans="2:6">
      <c r="B52" s="372" t="s">
        <v>495</v>
      </c>
      <c r="C52" s="373">
        <f>Normalized_FCF!C12</f>
        <v>-134909.44889636929</v>
      </c>
      <c r="D52" s="343" t="str">
        <f>Reporting_currency</f>
        <v>HKD</v>
      </c>
    </row>
    <row r="54" spans="2:6">
      <c r="B54" s="470" t="s">
        <v>506</v>
      </c>
      <c r="C54" s="476"/>
      <c r="D54" s="476"/>
      <c r="E54" s="476"/>
      <c r="F54" s="476"/>
    </row>
    <row r="55" spans="2:6">
      <c r="B55" s="372" t="s">
        <v>206</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371</v>
      </c>
      <c r="C60" s="373">
        <f>Normalized_FCF!G19</f>
        <v>506980</v>
      </c>
      <c r="D60" s="343" t="str">
        <f>Reporting_currency</f>
        <v>HKD</v>
      </c>
    </row>
    <row r="61" spans="2:6">
      <c r="B61" s="372" t="s">
        <v>212</v>
      </c>
      <c r="C61" s="373">
        <f>Normalized_FCF!C19</f>
        <v>404728.34668910783</v>
      </c>
      <c r="D61" s="343" t="str">
        <f>Reporting_currency</f>
        <v>HKD</v>
      </c>
    </row>
    <row r="62" spans="2:6">
      <c r="B62" s="377" t="s">
        <v>301</v>
      </c>
      <c r="C62" s="378">
        <f>Normalized_FCF!C124</f>
        <v>5.9303635091179349E-2</v>
      </c>
      <c r="F62" s="379"/>
    </row>
    <row r="63" spans="2:6">
      <c r="B63" s="377" t="s">
        <v>331</v>
      </c>
      <c r="C63" s="378">
        <f>Normalized_FCF!C92</f>
        <v>2.1712538226299691E-2</v>
      </c>
      <c r="E63" s="372" t="s">
        <v>372</v>
      </c>
      <c r="F63" s="380">
        <f>Normalized_FCF!C90</f>
        <v>0.36612491279694165</v>
      </c>
    </row>
    <row r="65" spans="1:6">
      <c r="B65" s="369" t="s">
        <v>375</v>
      </c>
      <c r="C65" s="381" t="s">
        <v>326</v>
      </c>
      <c r="D65" s="381" t="s">
        <v>373</v>
      </c>
    </row>
    <row r="66" spans="1:6">
      <c r="B66" s="372" t="s">
        <v>325</v>
      </c>
      <c r="C66" s="378">
        <f>Normalized_FCF!E119</f>
        <v>0.3</v>
      </c>
      <c r="D66" s="378">
        <f>Normalized_FCF!G119</f>
        <v>294648</v>
      </c>
    </row>
    <row r="67" spans="1:6">
      <c r="B67" s="382" t="str">
        <f>Normalized_FCF!B116</f>
        <v>Pre-tax Profit/Sales</v>
      </c>
      <c r="C67" s="383">
        <f>Normalized_FCF!E116</f>
        <v>9.5639096306179002E-8</v>
      </c>
      <c r="D67" s="383">
        <f>Normalized_FCF!G116</f>
        <v>9.3932894828076763E-2</v>
      </c>
    </row>
    <row r="68" spans="1:6">
      <c r="B68" s="382" t="str">
        <f>Normalized_FCF!B117</f>
        <v>Sales/Total Assets</v>
      </c>
      <c r="C68" s="384">
        <f>Normalized_FCF!E117</f>
        <v>3136792.5</v>
      </c>
      <c r="D68" s="384">
        <f>Normalized_FCF!G117</f>
        <v>3136792.5</v>
      </c>
    </row>
    <row r="69" spans="1:6">
      <c r="B69" s="382" t="str">
        <f>Normalized_FCF!B118</f>
        <v>Total Assets/Equity</v>
      </c>
      <c r="C69" s="384">
        <f>Normalized_FCF!E118</f>
        <v>1</v>
      </c>
      <c r="D69" s="384">
        <f>Normalized_FCF!G118</f>
        <v>1</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0</v>
      </c>
      <c r="D78" s="343" t="str">
        <f>Reporting_currency</f>
        <v>HKD</v>
      </c>
    </row>
    <row r="79" spans="1:6">
      <c r="B79" s="372" t="s">
        <v>233</v>
      </c>
      <c r="C79" s="387">
        <f>C78*scaling_factor*Exchange_Rate/Common_Shares</f>
        <v>0</v>
      </c>
      <c r="D79" s="343" t="str">
        <f>Market_currency</f>
        <v>HKD</v>
      </c>
    </row>
    <row r="80" spans="1:6">
      <c r="B80" s="382" t="s">
        <v>308</v>
      </c>
      <c r="C80" s="388">
        <f>IF(BS!G31/BS!G27&gt;300%,"nm",BS!G31/BS!G27)</f>
        <v>0</v>
      </c>
    </row>
    <row r="81" spans="1:6">
      <c r="B81" s="382" t="s">
        <v>310</v>
      </c>
      <c r="C81" s="389">
        <f>IF(BS!C50&gt;30,"nm",BS!C50)</f>
        <v>0</v>
      </c>
    </row>
    <row r="83" spans="1:6">
      <c r="B83" s="343" t="s">
        <v>511</v>
      </c>
    </row>
    <row r="84" spans="1:6">
      <c r="B84" s="343" t="s">
        <v>223</v>
      </c>
      <c r="C84" s="373">
        <f>DCF!F5</f>
        <v>-490421.57254064718</v>
      </c>
      <c r="D84" s="343" t="str">
        <f>Reporting_currency</f>
        <v>HKD</v>
      </c>
    </row>
    <row r="85" spans="1:6">
      <c r="B85" s="382" t="s">
        <v>480</v>
      </c>
      <c r="C85" s="390">
        <f>BS!C66</f>
        <v>1</v>
      </c>
      <c r="D85" s="391" t="str">
        <f>Reporting_currency</f>
        <v>HKD</v>
      </c>
    </row>
    <row r="86" spans="1:6">
      <c r="B86" s="372" t="s">
        <v>234</v>
      </c>
      <c r="C86" s="387">
        <f>C84*scaling_factor*Exchange_Rate/Common_Shares</f>
        <v>-0.4699644482461065</v>
      </c>
      <c r="D86" s="343" t="str">
        <f>Market_currency</f>
        <v>HKD</v>
      </c>
    </row>
    <row r="88" spans="1:6">
      <c r="B88" s="343" t="s">
        <v>512</v>
      </c>
    </row>
    <row r="89" spans="1:6">
      <c r="B89" s="343" t="s">
        <v>216</v>
      </c>
      <c r="C89" s="373">
        <f>DCF!F6</f>
        <v>0</v>
      </c>
      <c r="D89" s="343" t="str">
        <f>Reporting_currency</f>
        <v>HKD</v>
      </c>
    </row>
    <row r="90" spans="1:6">
      <c r="B90" s="372" t="s">
        <v>235</v>
      </c>
      <c r="C90" s="387">
        <f>C89*scaling_factor*Exchange_Rate/Common_Shares</f>
        <v>0</v>
      </c>
      <c r="D90" s="343" t="str">
        <f>Market_currency</f>
        <v>HKD</v>
      </c>
    </row>
    <row r="92" spans="1:6">
      <c r="B92" s="372" t="s">
        <v>479</v>
      </c>
      <c r="C92" s="387">
        <f>DCF!F8</f>
        <v>-0.4699644482461065</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9.5828665491087242E-7</v>
      </c>
      <c r="D111" s="343" t="str">
        <f>Market_currency</f>
        <v>HKD</v>
      </c>
    </row>
    <row r="112" spans="1:6">
      <c r="A112" s="385"/>
      <c r="B112" s="372" t="s">
        <v>376</v>
      </c>
      <c r="C112" s="394">
        <f>DCF!C11</f>
        <v>7.0653248653965477</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15</v>
      </c>
      <c r="E118" s="398" t="str">
        <f>ROUND(DCF!E90,2)&amp;" "&amp;Market_currency</f>
        <v>2.03 HKD</v>
      </c>
      <c r="F118" s="399">
        <f>DCF!F90</f>
        <v>0.15</v>
      </c>
    </row>
    <row r="119" spans="1:6">
      <c r="A119" s="385"/>
      <c r="B119" s="400" t="str">
        <f>DCF!B91</f>
        <v>Optimistic</v>
      </c>
      <c r="C119" s="401">
        <f>DCF!C91</f>
        <v>0.03</v>
      </c>
      <c r="D119" s="402">
        <f>DCF!D91</f>
        <v>15</v>
      </c>
      <c r="E119" s="398" t="str">
        <f>ROUND(DCF!E91,2)&amp;" "&amp;Market_currency</f>
        <v>1.85 HKD</v>
      </c>
      <c r="F119" s="403">
        <f>DCF!F91</f>
        <v>0.15999999999999995</v>
      </c>
    </row>
    <row r="120" spans="1:6">
      <c r="B120" s="400" t="str">
        <f>DCF!B92</f>
        <v>Base</v>
      </c>
      <c r="C120" s="401">
        <f>DCF!C92</f>
        <v>0.02</v>
      </c>
      <c r="D120" s="402">
        <f>DCF!D92</f>
        <v>15</v>
      </c>
      <c r="E120" s="398" t="str">
        <f>ROUND(DCF!E92,2)&amp;" "&amp;Market_currency</f>
        <v>1.76 HKD</v>
      </c>
      <c r="F120" s="403">
        <f>DCF!F92</f>
        <v>0.44</v>
      </c>
    </row>
    <row r="121" spans="1:6">
      <c r="B121" s="400" t="str">
        <f>DCF!B93</f>
        <v>Pessimistic</v>
      </c>
      <c r="C121" s="401">
        <f>DCF!C93</f>
        <v>0.01</v>
      </c>
      <c r="D121" s="402">
        <f>DCF!D93</f>
        <v>15</v>
      </c>
      <c r="E121" s="398" t="str">
        <f>ROUND(DCF!E93,2)&amp;" "&amp;Market_currency</f>
        <v>1.68 HKD</v>
      </c>
      <c r="F121" s="403">
        <f>DCF!F93</f>
        <v>0.19999999999999998</v>
      </c>
    </row>
    <row r="122" spans="1:6">
      <c r="B122" s="400" t="str">
        <f>DCF!B94</f>
        <v>Devil's advocate</v>
      </c>
      <c r="C122" s="401">
        <f>DCF!C94</f>
        <v>0</v>
      </c>
      <c r="D122" s="402">
        <f>DCF!D94</f>
        <v>15</v>
      </c>
      <c r="E122" s="398" t="str">
        <f>ROUND(DCF!E94,2)&amp;" "&amp;Market_currency</f>
        <v>1.6 HKD</v>
      </c>
      <c r="F122" s="403">
        <f>DCF!F94</f>
        <v>0.05</v>
      </c>
    </row>
    <row r="124" spans="1:6">
      <c r="B124" s="470" t="s">
        <v>518</v>
      </c>
      <c r="C124" s="470"/>
      <c r="D124" s="470"/>
      <c r="E124" s="470"/>
      <c r="F124" s="470"/>
    </row>
    <row r="125" spans="1:6">
      <c r="B125" s="372" t="s">
        <v>217</v>
      </c>
      <c r="C125" s="404">
        <f>Scenarios!C36</f>
        <v>1.791192103683956</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0.14199999999999999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0.25983892380763701</v>
      </c>
      <c r="D140" s="409">
        <f>Scenarios!D62</f>
        <v>0.82543414916311353</v>
      </c>
      <c r="E140" s="410">
        <f>Scenarios!E62</f>
        <v>1.0852730729707505</v>
      </c>
      <c r="F140" s="411">
        <f>E22</f>
        <v>0.29465259038036601</v>
      </c>
    </row>
    <row r="141" spans="1:6">
      <c r="B141" s="408" t="s">
        <v>312</v>
      </c>
      <c r="C141" s="409">
        <f>Scenarios!C63</f>
        <v>0.29876856051220924</v>
      </c>
      <c r="D141" s="409">
        <f>Scenarios!D63</f>
        <v>1.0346235977957872</v>
      </c>
      <c r="E141" s="410">
        <f>Scenarios!E63</f>
        <v>1.3333921583079964</v>
      </c>
      <c r="F141" s="411">
        <f>Scenarios!F63</f>
        <v>0.20075184365903001</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0.34258964388328816</v>
      </c>
      <c r="D144" s="409">
        <f>Scenarios!D66</f>
        <v>1.2838555562015233</v>
      </c>
      <c r="E144" s="410">
        <f>Scenarios!E66</f>
        <v>1.6264452000848113</v>
      </c>
      <c r="F144" s="411">
        <f>E24</f>
        <v>0.1174</v>
      </c>
    </row>
    <row r="145" spans="1:6">
      <c r="B145" s="408" t="s">
        <v>313</v>
      </c>
      <c r="C145" s="409">
        <f>Scenarios!C67</f>
        <v>0.37095728225856828</v>
      </c>
      <c r="D145" s="409">
        <f>Scenarios!D67</f>
        <v>1.4519453274729941</v>
      </c>
      <c r="E145" s="410">
        <f>Scenarios!E67</f>
        <v>1.8229026097315624</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2026-04-01T09:16:29Z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