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64005932-9CA8-462B-9D44-6D7A00EF241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I92" i="2" l="1"/>
  <c r="J92" i="2"/>
  <c r="K92" i="2"/>
  <c r="L92" i="2"/>
  <c r="M92" i="2"/>
  <c r="N92" i="2"/>
  <c r="O92" i="2"/>
  <c r="P92" i="2"/>
  <c r="Q92" i="2"/>
  <c r="H92" i="2"/>
  <c r="H91" i="2"/>
  <c r="I91" i="2"/>
  <c r="J91" i="2"/>
  <c r="K91" i="2"/>
  <c r="L91" i="2"/>
  <c r="M91" i="2"/>
  <c r="N91" i="2"/>
  <c r="O91" i="2"/>
  <c r="P91" i="2"/>
  <c r="Q91" i="2"/>
  <c r="C99" i="6"/>
  <c r="C87" i="6"/>
  <c r="C28" i="6"/>
  <c r="C136" i="6"/>
  <c r="H1" i="3"/>
  <c r="C3" i="2"/>
  <c r="C3" i="8"/>
  <c r="C90" i="9"/>
  <c r="C130" i="6"/>
  <c r="C90" i="6"/>
  <c r="C89" i="6"/>
  <c r="C88" i="6"/>
  <c r="D104" i="6"/>
  <c r="D139" i="6"/>
  <c r="H48" i="2"/>
  <c r="I48" i="2"/>
  <c r="J48" i="2"/>
  <c r="K48" i="2"/>
  <c r="L48" i="2"/>
  <c r="M48" i="2"/>
  <c r="N48" i="2"/>
  <c r="O48" i="2"/>
  <c r="P48" i="2"/>
  <c r="Q48" i="2"/>
  <c r="G68" i="2"/>
  <c r="C58" i="2"/>
  <c r="C64" i="9"/>
  <c r="M69" i="4"/>
  <c r="M70" i="4"/>
  <c r="M71" i="4"/>
  <c r="M72" i="4"/>
  <c r="C20" i="4"/>
  <c r="C25" i="4"/>
  <c r="C6" i="4"/>
  <c r="C5" i="4"/>
  <c r="C23" i="3"/>
  <c r="C19" i="3"/>
  <c r="C11" i="3"/>
  <c r="C4" i="3"/>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90" i="2" l="1"/>
  <c r="G91" i="2"/>
  <c r="L45" i="4"/>
  <c r="C34" i="2"/>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C69" i="4" s="1"/>
  <c r="E36" i="4"/>
  <c r="F36" i="4"/>
  <c r="G36" i="4"/>
  <c r="H36" i="4"/>
  <c r="I36" i="4"/>
  <c r="J36" i="4"/>
  <c r="K36" i="4"/>
  <c r="L36" i="4"/>
  <c r="M36" i="4"/>
  <c r="C36" i="4"/>
  <c r="B39" i="2"/>
  <c r="B38" i="2"/>
  <c r="B29" i="2"/>
  <c r="C91" i="2" l="1"/>
  <c r="C128" i="6"/>
  <c r="C91" i="9"/>
  <c r="C137" i="6" s="1"/>
  <c r="G72" i="4"/>
  <c r="G69" i="4"/>
  <c r="G71" i="4"/>
  <c r="G70" i="4"/>
  <c r="I71" i="4"/>
  <c r="I70" i="4"/>
  <c r="I72" i="4"/>
  <c r="I69" i="4"/>
  <c r="F72" i="4"/>
  <c r="F69" i="4"/>
  <c r="F71" i="4"/>
  <c r="F70" i="4"/>
  <c r="E69" i="4"/>
  <c r="E70" i="4"/>
  <c r="E71" i="4"/>
  <c r="E72" i="4"/>
  <c r="D69" i="4"/>
  <c r="D72" i="4"/>
  <c r="D70" i="4"/>
  <c r="D71" i="4"/>
  <c r="J70" i="4"/>
  <c r="J72" i="4"/>
  <c r="J71" i="4"/>
  <c r="J69" i="4"/>
  <c r="H71" i="4"/>
  <c r="H70" i="4"/>
  <c r="H72" i="4"/>
  <c r="H69" i="4"/>
  <c r="L69" i="4"/>
  <c r="L70" i="4"/>
  <c r="L72" i="4"/>
  <c r="L71" i="4"/>
  <c r="K70" i="4"/>
  <c r="K72" i="4"/>
  <c r="K71" i="4"/>
  <c r="K69" i="4"/>
  <c r="C72" i="4"/>
  <c r="C71" i="4"/>
  <c r="C70" i="4"/>
  <c r="I4" i="9"/>
  <c r="I5" i="9"/>
  <c r="C81" i="9"/>
  <c r="C131" i="6" s="1"/>
  <c r="C9" i="2"/>
  <c r="C33" i="6" s="1"/>
  <c r="G41" i="3"/>
  <c r="G32" i="3"/>
  <c r="G27" i="3" s="1"/>
  <c r="C31" i="4" s="1"/>
  <c r="C80" i="4"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G101" i="2" s="1"/>
  <c r="C76" i="4"/>
  <c r="K113" i="2"/>
  <c r="M113" i="2"/>
  <c r="L114" i="2"/>
  <c r="L113" i="2"/>
  <c r="N114" i="2"/>
  <c r="N113" i="2"/>
  <c r="P113" i="2"/>
  <c r="C33" i="2"/>
  <c r="O114" i="2"/>
  <c r="O113" i="2"/>
  <c r="Q113" i="2"/>
  <c r="Q114" i="2"/>
  <c r="C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C58" i="4" s="1"/>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G48" i="2" s="1"/>
  <c r="D66" i="3"/>
  <c r="C8" i="8" s="1"/>
  <c r="C94" i="6" s="1"/>
  <c r="C95" i="6" s="1"/>
  <c r="C73" i="2"/>
  <c r="C41" i="3"/>
  <c r="M50" i="2" l="1"/>
  <c r="M12" i="2" s="1"/>
  <c r="P50" i="2"/>
  <c r="P12" i="2" s="1"/>
  <c r="J50" i="2"/>
  <c r="J12" i="2" s="1"/>
  <c r="J80" i="2" s="1"/>
  <c r="N50" i="2"/>
  <c r="N12" i="2" s="1"/>
  <c r="G50" i="2"/>
  <c r="G12" i="2" s="1"/>
  <c r="G43"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D86" i="3" s="1"/>
  <c r="B1" i="2"/>
  <c r="P81" i="2" l="1"/>
  <c r="P117" i="2" s="1"/>
  <c r="P16" i="2"/>
  <c r="O97" i="2"/>
  <c r="C89" i="3"/>
  <c r="D89" i="3"/>
  <c r="C86" i="6"/>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114" i="2" s="1"/>
  <c r="H81" i="2"/>
  <c r="H117" i="2" s="1"/>
  <c r="H124" i="2" l="1"/>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N124" i="2"/>
  <c r="N125" i="2" s="1"/>
  <c r="M84" i="2"/>
  <c r="I87" i="2"/>
  <c r="I84" i="2"/>
  <c r="J124" i="2"/>
  <c r="J125" i="2" s="1"/>
  <c r="L87" i="2"/>
  <c r="K87" i="2"/>
  <c r="L84" i="2"/>
  <c r="N87" i="2"/>
  <c r="C76" i="2"/>
  <c r="C50" i="3"/>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<sst xmlns="http://schemas.openxmlformats.org/spreadsheetml/2006/main" count="606" uniqueCount="428">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</sst>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42</v>
      </c>
      <c r="C1" s="44">
        <v>45754</v>
      </c>
      <c r="D1" s="52"/>
      <c r="E1" s="331" t="s">
        <v>364</v>
      </c>
      <c r="F1" s="284" t="s">
        <v>289</v>
      </c>
    </row>
    <row r="2" spans="1:10" ht="13.9">
      <c r="A2" s="247" t="s">
        <v>269</v>
      </c>
      <c r="B2" s="36"/>
      <c r="C2" s="36"/>
      <c r="D2" s="36"/>
      <c r="E2" s="36"/>
      <c r="F2" s="36"/>
      <c r="G2" s="22"/>
      <c r="H2" s="22"/>
      <c r="I2" s="22"/>
      <c r="J2" s="22"/>
    </row>
    <row r="4" spans="1:10">
      <c r="B4" s="45" t="str">
        <f>D5&amp;" Stock Information"</f>
        <v>0168.HK Stock Information</v>
      </c>
      <c r="C4" s="46"/>
      <c r="D4" s="5"/>
      <c r="E4" s="2"/>
      <c r="F4" s="2"/>
    </row>
    <row r="5" spans="1:10" ht="12.4">
      <c r="B5" s="4" t="s">
        <v>325</v>
      </c>
      <c r="C5" s="333" t="s">
        <v>409</v>
      </c>
      <c r="D5" s="49" t="s">
        <v>408</v>
      </c>
    </row>
    <row r="6" spans="1:10">
      <c r="B6" s="4" t="s">
        <v>96</v>
      </c>
      <c r="C6" s="50">
        <v>54.75</v>
      </c>
      <c r="D6" s="48" t="s">
        <v>41</v>
      </c>
      <c r="E6" s="48"/>
    </row>
    <row r="7" spans="1:10">
      <c r="B7" s="4" t="s">
        <v>0</v>
      </c>
      <c r="C7" s="51">
        <v>1364196788</v>
      </c>
      <c r="D7" s="34"/>
      <c r="E7" s="34"/>
    </row>
    <row r="8" spans="1:10">
      <c r="B8" s="2" t="s">
        <v>316</v>
      </c>
      <c r="C8" s="279">
        <v>6</v>
      </c>
      <c r="D8" s="5"/>
      <c r="E8" s="48"/>
    </row>
    <row r="9" spans="1:10">
      <c r="B9" s="1" t="s">
        <v>270</v>
      </c>
      <c r="C9" s="33">
        <f>EOMONTH(EDATE(BS!C1,C8+2),0)</f>
        <v>45716</v>
      </c>
      <c r="D9" s="5"/>
      <c r="E9" s="5"/>
    </row>
    <row r="10" spans="1:10">
      <c r="B10" s="4" t="str">
        <f>"Capitalization ("&amp;Market_currency&amp;"):"</f>
        <v>Capitalization (HKD):</v>
      </c>
      <c r="C10" s="35">
        <f>Thesis!C6*Thesis!C7/1000000</f>
        <v>74689.774143000002</v>
      </c>
      <c r="D10" s="32"/>
      <c r="E10" s="5"/>
    </row>
    <row r="11" spans="1:10">
      <c r="D11" s="5"/>
      <c r="E11" s="5"/>
    </row>
    <row r="12" spans="1:10" ht="24.4" customHeight="1">
      <c r="B12" s="342" t="s">
        <v>372</v>
      </c>
      <c r="C12" s="342"/>
      <c r="D12" s="342"/>
      <c r="E12" s="342"/>
      <c r="F12" s="342"/>
    </row>
    <row r="14" spans="1:10">
      <c r="B14" s="45" t="s">
        <v>315</v>
      </c>
      <c r="C14" s="46"/>
      <c r="D14" s="5"/>
    </row>
    <row r="15" spans="1:10">
      <c r="B15" s="2" t="s">
        <v>359</v>
      </c>
      <c r="C15" s="32" t="str">
        <f>IF(Scenarios!C69="Y",Scenarios!B69,"")&amp;IF(Scenarios!C70="Y",Scenarios!B70,"")&amp;IF(Scenarios!C71="Y",Scenarios!B71,"")&amp;" "&amp;IF(Scenarios!C72="Y",Scenarios!B72,"")</f>
        <v xml:space="preserve">Low Growth </v>
      </c>
      <c r="E15" s="5"/>
    </row>
    <row r="16" spans="1:10">
      <c r="B16" s="4" t="s">
        <v>358</v>
      </c>
      <c r="C16" s="48" t="s">
        <v>404</v>
      </c>
      <c r="D16" s="32"/>
      <c r="E16" s="5"/>
    </row>
    <row r="17" spans="1:6">
      <c r="B17" s="4" t="s">
        <v>1</v>
      </c>
      <c r="C17" s="50">
        <v>1.07</v>
      </c>
      <c r="D17" s="32" t="str">
        <f>IF(C16=D6,D6,C16&amp;"/"&amp;D6)</f>
        <v>CNY/HKD</v>
      </c>
      <c r="E17" s="5"/>
    </row>
    <row r="18" spans="1:6">
      <c r="B18" s="2" t="s">
        <v>57</v>
      </c>
      <c r="C18" s="48" t="s">
        <v>365</v>
      </c>
      <c r="E18" s="5"/>
    </row>
    <row r="19" spans="1:6">
      <c r="B19" s="2" t="s">
        <v>278</v>
      </c>
      <c r="C19" s="249">
        <v>0.25</v>
      </c>
      <c r="D19" s="1" t="s">
        <v>412</v>
      </c>
      <c r="E19" s="336">
        <v>3.4500000000000003E-2</v>
      </c>
    </row>
    <row r="20" spans="1:6">
      <c r="B20" s="2" t="str">
        <f>"Target Buy Price ("&amp;Market_currency&amp;"):"</f>
        <v>Target Buy Price (HKD):</v>
      </c>
      <c r="C20" s="252">
        <f>C133</f>
        <v>29.602894893931072</v>
      </c>
      <c r="D20" s="1" t="s">
        <v>317</v>
      </c>
      <c r="E20" s="330">
        <v>3</v>
      </c>
    </row>
    <row r="21" spans="1:6">
      <c r="B21" s="1" t="s">
        <v>416</v>
      </c>
      <c r="C21" s="280">
        <f ca="1">Scenarios!C87</f>
        <v>8.761949902906796E-3</v>
      </c>
      <c r="D21" s="5"/>
      <c r="E21" s="5"/>
    </row>
    <row r="22" spans="1:6">
      <c r="D22" s="5"/>
      <c r="E22" s="5"/>
    </row>
    <row r="23" spans="1:6" ht="13.9">
      <c r="A23" s="247" t="s">
        <v>367</v>
      </c>
      <c r="B23" s="36"/>
      <c r="C23" s="36"/>
      <c r="D23" s="36"/>
      <c r="E23" s="36"/>
      <c r="F23" s="36"/>
    </row>
    <row r="25" spans="1:6" ht="24.4" customHeight="1">
      <c r="B25" s="342" t="s">
        <v>373</v>
      </c>
      <c r="C25" s="342"/>
      <c r="D25" s="342"/>
      <c r="E25" s="342"/>
      <c r="F25" s="342"/>
    </row>
    <row r="26" spans="1:6" ht="24.4" customHeight="1">
      <c r="B26" s="345" t="s">
        <v>350</v>
      </c>
      <c r="C26" s="345"/>
      <c r="D26" s="345"/>
      <c r="E26" s="345"/>
      <c r="F26" s="345"/>
    </row>
    <row r="28" spans="1:6">
      <c r="B28" s="234" t="s">
        <v>232</v>
      </c>
      <c r="C28" s="108">
        <f>scaling_factor</f>
        <v>1</v>
      </c>
    </row>
    <row r="29" spans="1:6" ht="24.4" customHeight="1">
      <c r="B29" s="343" t="s">
        <v>233</v>
      </c>
      <c r="C29" s="343"/>
      <c r="D29" s="343"/>
      <c r="E29" s="343"/>
      <c r="F29" s="343"/>
    </row>
    <row r="30" spans="1:6">
      <c r="B30" s="47" t="s">
        <v>234</v>
      </c>
      <c r="C30" s="188">
        <f>Normalized_FCF!C8</f>
        <v>4487792577</v>
      </c>
      <c r="D30" s="1" t="str">
        <f>Reporting_currency</f>
        <v>CNY</v>
      </c>
    </row>
    <row r="31" spans="1:6">
      <c r="B31" s="47"/>
      <c r="C31" s="76"/>
    </row>
    <row r="32" spans="1:6" ht="24.4" customHeight="1">
      <c r="B32" s="343" t="s">
        <v>235</v>
      </c>
      <c r="C32" s="343"/>
      <c r="D32" s="343"/>
      <c r="E32" s="343"/>
      <c r="F32" s="343"/>
    </row>
    <row r="33" spans="2:6">
      <c r="B33" s="47" t="s">
        <v>236</v>
      </c>
      <c r="C33" s="188">
        <f>Normalized_FCF!C9</f>
        <v>1191305772</v>
      </c>
      <c r="D33" s="1" t="str">
        <f>Reporting_currency</f>
        <v>CNY</v>
      </c>
    </row>
    <row r="34" spans="2:6">
      <c r="B34" s="52" t="s">
        <v>237</v>
      </c>
      <c r="C34" s="188">
        <f>Normalized_FCF!C10</f>
        <v>-1191305772</v>
      </c>
      <c r="D34" s="1" t="str">
        <f>Reporting_currency</f>
        <v>CNY</v>
      </c>
    </row>
    <row r="36" spans="2:6">
      <c r="B36" s="343" t="s">
        <v>238</v>
      </c>
      <c r="C36" s="343"/>
      <c r="D36" s="343"/>
      <c r="E36" s="343"/>
      <c r="F36" s="343"/>
    </row>
    <row r="37" spans="2:6">
      <c r="B37" s="47" t="s">
        <v>239</v>
      </c>
      <c r="C37" s="188">
        <f>Normalized_FCF!C11</f>
        <v>0</v>
      </c>
      <c r="D37" s="1" t="str">
        <f>Reporting_currency</f>
        <v>CNY</v>
      </c>
    </row>
    <row r="39" spans="2:6">
      <c r="B39" s="343" t="s">
        <v>242</v>
      </c>
      <c r="C39" s="343"/>
      <c r="D39" s="343"/>
      <c r="E39" s="343"/>
      <c r="F39" s="343"/>
    </row>
    <row r="40" spans="2:6">
      <c r="B40" s="47" t="s">
        <v>351</v>
      </c>
      <c r="C40" s="322">
        <f>Normalized_FCF!C48</f>
        <v>174128704.21260402</v>
      </c>
      <c r="D40" s="1" t="str">
        <f>Reporting_currency</f>
        <v>CNY</v>
      </c>
      <c r="E40" s="321"/>
      <c r="F40" s="321"/>
    </row>
    <row r="41" spans="2:6">
      <c r="B41" s="47" t="s">
        <v>352</v>
      </c>
      <c r="C41" s="322">
        <f>Normalized_FCF!C47</f>
        <v>-21837054</v>
      </c>
      <c r="D41" s="1" t="str">
        <f>Reporting_currency</f>
        <v>CNY</v>
      </c>
      <c r="E41" s="321"/>
      <c r="F41" s="321"/>
    </row>
    <row r="42" spans="2:6">
      <c r="B42" s="47" t="s">
        <v>240</v>
      </c>
      <c r="C42" s="188">
        <f>Normalized_FCF!C12</f>
        <v>152291650.21260402</v>
      </c>
      <c r="D42" s="1" t="str">
        <f>Reporting_currency</f>
        <v>CNY</v>
      </c>
    </row>
    <row r="44" spans="2:6">
      <c r="B44" s="1" t="s">
        <v>248</v>
      </c>
    </row>
    <row r="45" spans="2:6">
      <c r="B45" s="47" t="s">
        <v>267</v>
      </c>
      <c r="C45" s="188">
        <f>Normalized_FCF!C15</f>
        <v>-146792828</v>
      </c>
      <c r="D45" s="1" t="str">
        <f>Reporting_currency</f>
        <v>CNY</v>
      </c>
    </row>
    <row r="47" spans="2:6">
      <c r="B47" s="343" t="s">
        <v>243</v>
      </c>
      <c r="C47" s="343"/>
      <c r="D47" s="343"/>
      <c r="E47" s="343"/>
      <c r="F47" s="343"/>
    </row>
    <row r="48" spans="2:6">
      <c r="B48" s="47" t="s">
        <v>241</v>
      </c>
      <c r="C48" s="188">
        <f>Normalized_FCF!C14</f>
        <v>-1160021056.8031509</v>
      </c>
      <c r="D48" s="1" t="str">
        <f>Reporting_currency</f>
        <v>CNY</v>
      </c>
    </row>
    <row r="50" spans="1:6">
      <c r="B50" s="343" t="s">
        <v>349</v>
      </c>
      <c r="C50" s="344"/>
      <c r="D50" s="344"/>
      <c r="E50" s="344"/>
      <c r="F50" s="344"/>
    </row>
    <row r="51" spans="1:6">
      <c r="B51" s="47" t="s">
        <v>244</v>
      </c>
      <c r="C51" s="1">
        <f>Normalized_FCF!C17</f>
        <v>0</v>
      </c>
      <c r="D51" s="1" t="str">
        <f>Reporting_currency</f>
        <v>CNY</v>
      </c>
    </row>
    <row r="53" spans="1:6" ht="24.4" customHeight="1">
      <c r="B53" s="342" t="s">
        <v>354</v>
      </c>
      <c r="C53" s="342"/>
      <c r="D53" s="342"/>
      <c r="E53" s="342"/>
      <c r="F53" s="342"/>
    </row>
    <row r="54" spans="1:6" ht="24.4" customHeight="1">
      <c r="B54" s="342" t="s">
        <v>374</v>
      </c>
      <c r="C54" s="342"/>
      <c r="D54" s="342"/>
      <c r="E54" s="342"/>
      <c r="F54" s="342"/>
    </row>
    <row r="56" spans="1:6">
      <c r="B56" s="47" t="s">
        <v>272</v>
      </c>
      <c r="C56" s="188">
        <f>Normalized_FCF!G19</f>
        <v>3103575085.2126045</v>
      </c>
      <c r="D56" s="1" t="str">
        <f>Reporting_currency</f>
        <v>CNY</v>
      </c>
    </row>
    <row r="57" spans="1:6">
      <c r="B57" s="47" t="s">
        <v>250</v>
      </c>
      <c r="C57" s="188">
        <f>Normalized_FCF!C19</f>
        <v>3333270342.4094524</v>
      </c>
      <c r="D57" s="1" t="str">
        <f>Reporting_currency</f>
        <v>CNY</v>
      </c>
    </row>
    <row r="58" spans="1:6">
      <c r="B58" s="254" t="s">
        <v>403</v>
      </c>
      <c r="C58" s="92">
        <f>Normalized_FCF!C125</f>
        <v>4.7752176349463223E-2</v>
      </c>
    </row>
    <row r="59" spans="1:6">
      <c r="B59" s="254" t="s">
        <v>318</v>
      </c>
      <c r="C59" s="92">
        <f>Normalized_FCF!C93</f>
        <v>3.755387701105279E-2</v>
      </c>
    </row>
    <row r="61" spans="1:6" ht="13.9">
      <c r="A61" s="247" t="s">
        <v>368</v>
      </c>
      <c r="B61" s="36"/>
      <c r="C61" s="36"/>
      <c r="D61" s="36"/>
      <c r="E61" s="36"/>
      <c r="F61" s="36"/>
    </row>
    <row r="62" spans="1:6">
      <c r="A62" s="233"/>
    </row>
    <row r="63" spans="1:6" ht="24.4" customHeight="1">
      <c r="A63" s="17"/>
      <c r="B63" s="342" t="s">
        <v>375</v>
      </c>
      <c r="C63" s="342"/>
      <c r="D63" s="342"/>
      <c r="E63" s="342"/>
      <c r="F63" s="342"/>
    </row>
    <row r="64" spans="1:6">
      <c r="B64" s="345" t="s">
        <v>254</v>
      </c>
      <c r="C64" s="345"/>
      <c r="D64" s="345"/>
      <c r="E64" s="345"/>
      <c r="F64" s="345"/>
    </row>
    <row r="66" spans="1:6">
      <c r="B66" s="234" t="s">
        <v>232</v>
      </c>
    </row>
    <row r="67" spans="1:6">
      <c r="B67" s="1" t="s">
        <v>290</v>
      </c>
      <c r="C67" s="311">
        <v>0.08</v>
      </c>
    </row>
    <row r="68" spans="1:6">
      <c r="B68" s="1" t="s">
        <v>292</v>
      </c>
      <c r="C68" s="263">
        <f>IF(D68="Y",1%,0)</f>
        <v>0</v>
      </c>
      <c r="D68" s="286" t="s">
        <v>331</v>
      </c>
    </row>
    <row r="69" spans="1:6">
      <c r="B69" s="1" t="s">
        <v>291</v>
      </c>
      <c r="C69" s="263">
        <f>IF(D69="Y",1%,0)</f>
        <v>0</v>
      </c>
      <c r="D69" s="286" t="s">
        <v>331</v>
      </c>
    </row>
    <row r="70" spans="1:6">
      <c r="B70" s="80" t="s">
        <v>249</v>
      </c>
      <c r="C70" s="263">
        <f>SUM(C67:C69)</f>
        <v>0.08</v>
      </c>
    </row>
    <row r="71" spans="1:6">
      <c r="C71" s="122"/>
    </row>
    <row r="72" spans="1:6">
      <c r="B72" s="332" t="s">
        <v>369</v>
      </c>
      <c r="C72" s="122"/>
    </row>
    <row r="73" spans="1:6" ht="24.4" customHeight="1">
      <c r="B73" s="342" t="s">
        <v>376</v>
      </c>
      <c r="C73" s="342"/>
      <c r="D73" s="342"/>
      <c r="E73" s="342"/>
      <c r="F73" s="342"/>
    </row>
    <row r="74" spans="1:6" ht="24.4" customHeight="1">
      <c r="B74" s="342" t="s">
        <v>377</v>
      </c>
      <c r="C74" s="342"/>
      <c r="D74" s="342"/>
      <c r="E74" s="342"/>
      <c r="F74" s="342"/>
    </row>
    <row r="76" spans="1:6">
      <c r="B76" s="47" t="s">
        <v>253</v>
      </c>
      <c r="C76" s="263">
        <v>0</v>
      </c>
    </row>
    <row r="77" spans="1:6">
      <c r="B77" s="47" t="s">
        <v>285</v>
      </c>
      <c r="C77" s="248">
        <f>Valuation_Model!C6*scaling_factor*Exchange_Rate/Common_Shares</f>
        <v>32.680395689163895</v>
      </c>
      <c r="D77" s="1" t="str">
        <f>Market_currency</f>
        <v>HKD</v>
      </c>
    </row>
    <row r="79" spans="1:6" ht="13.9">
      <c r="A79" s="247" t="s">
        <v>370</v>
      </c>
      <c r="B79" s="36"/>
      <c r="C79" s="36"/>
      <c r="D79" s="36"/>
      <c r="E79" s="36"/>
      <c r="F79" s="36"/>
    </row>
    <row r="80" spans="1:6">
      <c r="A80" s="233"/>
    </row>
    <row r="81" spans="2:6">
      <c r="B81" s="342" t="s">
        <v>378</v>
      </c>
      <c r="C81" s="342"/>
      <c r="D81" s="342"/>
      <c r="E81" s="342"/>
      <c r="F81" s="342"/>
    </row>
    <row r="82" spans="2:6">
      <c r="B82" s="1" t="s">
        <v>255</v>
      </c>
    </row>
    <row r="84" spans="2:6">
      <c r="B84" s="234" t="s">
        <v>232</v>
      </c>
    </row>
    <row r="85" spans="2:6" ht="24.4" customHeight="1">
      <c r="B85" s="342" t="s">
        <v>355</v>
      </c>
      <c r="C85" s="342"/>
      <c r="D85" s="342"/>
      <c r="E85" s="342"/>
      <c r="F85" s="342"/>
    </row>
    <row r="86" spans="2:6">
      <c r="B86" s="47" t="s">
        <v>257</v>
      </c>
      <c r="C86" s="188">
        <f>Valuation_Model!C7</f>
        <v>285396383</v>
      </c>
      <c r="D86" s="1" t="str">
        <f>Reporting_currency</f>
        <v>CNY</v>
      </c>
    </row>
    <row r="87" spans="2:6">
      <c r="B87" s="47" t="s">
        <v>286</v>
      </c>
      <c r="C87" s="248">
        <f>C86*scaling_factor*Exchange_Rate/Common_Shares</f>
        <v>0.22384903152989977</v>
      </c>
      <c r="D87" s="1" t="str">
        <f>Market_currency</f>
        <v>HKD</v>
      </c>
    </row>
    <row r="88" spans="2:6">
      <c r="B88" s="337" t="s">
        <v>422</v>
      </c>
      <c r="C88" s="338">
        <f>BS!G30/BS!G27</f>
        <v>0.72207550313588764</v>
      </c>
    </row>
    <row r="89" spans="2:6">
      <c r="B89" s="337" t="s">
        <v>423</v>
      </c>
      <c r="C89" s="338">
        <f>BS!G31/BS!G27</f>
        <v>9.5579625064196368E-3</v>
      </c>
    </row>
    <row r="90" spans="2:6">
      <c r="B90" s="337" t="s">
        <v>425</v>
      </c>
      <c r="C90" s="339">
        <f>BS!C50</f>
        <v>6.3593933566061064E-2</v>
      </c>
    </row>
    <row r="92" spans="2:6">
      <c r="B92" s="1" t="s">
        <v>256</v>
      </c>
    </row>
    <row r="93" spans="2:6">
      <c r="B93" s="47" t="s">
        <v>266</v>
      </c>
      <c r="C93" s="188">
        <f>BS!C66</f>
        <v>17978772896</v>
      </c>
      <c r="D93" s="1" t="str">
        <f>Reporting_currency</f>
        <v>CNY</v>
      </c>
    </row>
    <row r="94" spans="2:6">
      <c r="B94" s="47" t="s">
        <v>268</v>
      </c>
      <c r="C94" s="188">
        <f>Valuation_Model!C8</f>
        <v>12902951541.641745</v>
      </c>
      <c r="D94" s="1" t="str">
        <f>Reporting_currency</f>
        <v>CNY</v>
      </c>
    </row>
    <row r="95" spans="2:6">
      <c r="B95" s="47" t="s">
        <v>287</v>
      </c>
      <c r="C95" s="248">
        <f>C94*scaling_factor*Exchange_Rate/Common_Shares</f>
        <v>10.120356733721225</v>
      </c>
      <c r="D95" s="1" t="str">
        <f>Market_currency</f>
        <v>HKD</v>
      </c>
    </row>
    <row r="97" spans="1:6">
      <c r="B97" s="1" t="s">
        <v>258</v>
      </c>
    </row>
    <row r="98" spans="1:6">
      <c r="B98" s="47" t="s">
        <v>259</v>
      </c>
      <c r="C98" s="188">
        <f>Valuation_Model!C9</f>
        <v>2755411575.5</v>
      </c>
      <c r="D98" s="1" t="str">
        <f>Reporting_currency</f>
        <v>CNY</v>
      </c>
    </row>
    <row r="99" spans="1:6">
      <c r="B99" s="47" t="s">
        <v>288</v>
      </c>
      <c r="C99" s="248">
        <f>C98*scaling_factor*Exchange_Rate/Common_Shares</f>
        <v>2.161191414405383</v>
      </c>
      <c r="D99" s="1" t="str">
        <f>Market_currency</f>
        <v>HKD</v>
      </c>
    </row>
    <row r="101" spans="1:6" ht="24.4" customHeight="1">
      <c r="B101" s="342" t="s">
        <v>379</v>
      </c>
      <c r="C101" s="342"/>
      <c r="D101" s="342"/>
      <c r="E101" s="342"/>
      <c r="F101" s="342"/>
    </row>
    <row r="103" spans="1:6">
      <c r="B103" s="47" t="s">
        <v>284</v>
      </c>
      <c r="C103" s="248">
        <f>Valuation_Model!C12</f>
        <v>44.738094805760603</v>
      </c>
      <c r="D103" s="1" t="str">
        <f>Market_currency</f>
        <v>HKD</v>
      </c>
    </row>
    <row r="104" spans="1:6">
      <c r="B104" s="337" t="s">
        <v>424</v>
      </c>
      <c r="C104" s="248">
        <f>BS!D47</f>
        <v>1.3299038497545537</v>
      </c>
      <c r="D104" s="1" t="str">
        <f>Market_currency</f>
        <v>HKD</v>
      </c>
    </row>
    <row r="106" spans="1:6" ht="13.9">
      <c r="A106" s="247" t="s">
        <v>371</v>
      </c>
      <c r="B106" s="36"/>
      <c r="C106" s="36"/>
      <c r="D106" s="36"/>
      <c r="E106" s="36"/>
      <c r="F106" s="36"/>
    </row>
    <row r="108" spans="1:6" ht="24.4" customHeight="1">
      <c r="B108" s="343" t="s">
        <v>380</v>
      </c>
      <c r="C108" s="343"/>
      <c r="D108" s="343"/>
      <c r="E108" s="343"/>
      <c r="F108" s="343"/>
    </row>
    <row r="110" spans="1:6" ht="12.4">
      <c r="B110" s="260" t="s">
        <v>119</v>
      </c>
      <c r="C110" s="260" t="s">
        <v>134</v>
      </c>
      <c r="D110" s="260" t="s">
        <v>114</v>
      </c>
      <c r="E110" s="260" t="s">
        <v>261</v>
      </c>
      <c r="F110" s="260" t="s">
        <v>149</v>
      </c>
    </row>
    <row r="111" spans="1:6">
      <c r="B111" s="255" t="str">
        <f>Valuation_Model!B74</f>
        <v>Snowball Scenario</v>
      </c>
      <c r="C111" s="256">
        <f>Valuation_Model!C74</f>
        <v>0.1</v>
      </c>
      <c r="D111" s="257">
        <f>Valuation_Model!D74</f>
        <v>15</v>
      </c>
      <c r="E111" s="258" t="str">
        <f>ROUND(Valuation_Model!E74,2)&amp;" "&amp;Market_currency</f>
        <v>68.95 HKD</v>
      </c>
      <c r="F111" s="259">
        <f>Valuation_Model!F74</f>
        <v>0.05</v>
      </c>
    </row>
    <row r="112" spans="1:6">
      <c r="B112" s="242" t="str">
        <f>Valuation_Model!B75</f>
        <v>Optimistic</v>
      </c>
      <c r="C112" s="243">
        <f>Valuation_Model!C75</f>
        <v>0.06</v>
      </c>
      <c r="D112" s="244">
        <f>Valuation_Model!D75</f>
        <v>10</v>
      </c>
      <c r="E112" s="245" t="str">
        <f>ROUND(Valuation_Model!E75,2)&amp;" "&amp;Market_currency</f>
        <v>51.73 HKD</v>
      </c>
      <c r="F112" s="246">
        <f>Valuation_Model!F75</f>
        <v>0.18</v>
      </c>
    </row>
    <row r="113" spans="1:6">
      <c r="B113" s="242" t="str">
        <f>Valuation_Model!B76</f>
        <v>Base</v>
      </c>
      <c r="C113" s="243">
        <f>Valuation_Model!C76</f>
        <v>0.04</v>
      </c>
      <c r="D113" s="244">
        <f>Valuation_Model!D76</f>
        <v>10</v>
      </c>
      <c r="E113" s="245" t="str">
        <f>ROUND(Valuation_Model!E76,2)&amp;" "&amp;Market_currency</f>
        <v>49.17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46.85 HKD</v>
      </c>
      <c r="F114" s="246">
        <f>Valuation_Model!F77</f>
        <v>0.18</v>
      </c>
    </row>
    <row r="115" spans="1:6">
      <c r="B115" s="242" t="str">
        <f>Valuation_Model!B78</f>
        <v>Devil's advocate</v>
      </c>
      <c r="C115" s="243">
        <f>Valuation_Model!C78</f>
        <v>0</v>
      </c>
      <c r="D115" s="244">
        <f>Valuation_Model!D78</f>
        <v>15</v>
      </c>
      <c r="E115" s="245" t="str">
        <f>ROUND(Valuation_Model!E78,2)&amp;" "&amp;Market_currency</f>
        <v>44.74 HKD</v>
      </c>
      <c r="F115" s="246">
        <f>Valuation_Model!F78</f>
        <v>0.05</v>
      </c>
    </row>
    <row r="117" spans="1:6">
      <c r="B117" s="235" t="s">
        <v>260</v>
      </c>
      <c r="C117" s="241">
        <f>Scenarios!C60</f>
        <v>49.979369042980153</v>
      </c>
      <c r="D117" s="236" t="str">
        <f>Market_currency</f>
        <v>HKD</v>
      </c>
    </row>
    <row r="119" spans="1:6" ht="24.4" customHeight="1">
      <c r="B119" s="346" t="s">
        <v>383</v>
      </c>
      <c r="C119" s="346"/>
      <c r="D119" s="346"/>
      <c r="E119" s="346"/>
      <c r="F119" s="346"/>
    </row>
    <row r="121" spans="1:6" ht="13.9">
      <c r="A121" s="247" t="s">
        <v>420</v>
      </c>
      <c r="B121" s="36"/>
      <c r="C121" s="36"/>
      <c r="D121" s="36"/>
      <c r="E121" s="36"/>
      <c r="F121" s="36"/>
    </row>
    <row r="123" spans="1:6">
      <c r="B123" s="347" t="s">
        <v>381</v>
      </c>
      <c r="C123" s="347"/>
      <c r="D123" s="347"/>
      <c r="E123" s="347"/>
      <c r="F123" s="347"/>
    </row>
    <row r="124" spans="1:6" ht="24.4" customHeight="1">
      <c r="B124" s="342" t="s">
        <v>382</v>
      </c>
      <c r="C124" s="342"/>
      <c r="D124" s="342"/>
      <c r="E124" s="342"/>
      <c r="F124" s="342"/>
    </row>
    <row r="125" spans="1:6">
      <c r="B125" s="234" t="s">
        <v>232</v>
      </c>
    </row>
    <row r="126" spans="1:6">
      <c r="B126" s="1" t="s">
        <v>265</v>
      </c>
      <c r="C126" s="251">
        <f>E20</f>
        <v>3</v>
      </c>
    </row>
    <row r="127" spans="1:6">
      <c r="B127" s="1" t="s">
        <v>279</v>
      </c>
      <c r="C127" s="250">
        <f>C19</f>
        <v>0.25</v>
      </c>
    </row>
    <row r="128" spans="1:6">
      <c r="B128" s="236" t="s">
        <v>263</v>
      </c>
      <c r="C128" s="237">
        <f>Scenarios!C77</f>
        <v>2.0560747663551404</v>
      </c>
      <c r="D128" s="236" t="str">
        <f>Market_currency</f>
        <v>HKD</v>
      </c>
    </row>
    <row r="130" spans="1:6">
      <c r="B130" s="234" t="s">
        <v>417</v>
      </c>
      <c r="C130" s="338">
        <f>C19</f>
        <v>0.25</v>
      </c>
      <c r="D130" s="1" t="s">
        <v>427</v>
      </c>
    </row>
    <row r="131" spans="1:6">
      <c r="B131" s="236" t="str">
        <f>"PV("&amp;C126&amp;" yrs of Dividends)"</f>
        <v>PV(3 yrs of Dividends)</v>
      </c>
      <c r="C131" s="240">
        <f>Scenarios!C81</f>
        <v>4.0134579439252347</v>
      </c>
    </row>
    <row r="132" spans="1:6">
      <c r="B132" s="236" t="str">
        <f>"+ PV(Equity Value realized at year "&amp;C126&amp;")"</f>
        <v>+ PV(Equity Value realized at year 3)</v>
      </c>
      <c r="C132" s="240">
        <f>Scenarios!C82</f>
        <v>25.589436950005837</v>
      </c>
    </row>
    <row r="133" spans="1:6">
      <c r="B133" s="80" t="s">
        <v>262</v>
      </c>
      <c r="C133" s="239">
        <f>Scenarios!C83</f>
        <v>29.602894893931072</v>
      </c>
      <c r="D133" s="47" t="str">
        <f>Reporting_currency</f>
        <v>CNY</v>
      </c>
    </row>
    <row r="134" spans="1:6">
      <c r="B134" s="238" t="s">
        <v>264</v>
      </c>
      <c r="C134" s="92">
        <f>Scenarios!F83</f>
        <v>0.40769770685832729</v>
      </c>
    </row>
    <row r="136" spans="1:6">
      <c r="B136" s="234" t="s">
        <v>418</v>
      </c>
      <c r="C136" s="92">
        <f>Scenarios!C90</f>
        <v>0.06</v>
      </c>
      <c r="D136" s="1" t="s">
        <v>426</v>
      </c>
    </row>
    <row r="137" spans="1:6">
      <c r="B137" s="236" t="str">
        <f>"PV("&amp;C126&amp;" yrs of Dividends)"</f>
        <v>PV(3 yrs of Dividends)</v>
      </c>
      <c r="C137" s="240">
        <f>Scenarios!C91</f>
        <v>5.4959124194538393</v>
      </c>
    </row>
    <row r="138" spans="1:6">
      <c r="B138" s="236" t="str">
        <f>"+ PV(Equity Value realized at year "&amp;C126&amp;")"</f>
        <v>+ PV(Equity Value realized at year 3)</v>
      </c>
      <c r="C138" s="240">
        <f>Scenarios!C92</f>
        <v>41.963642002273808</v>
      </c>
    </row>
    <row r="139" spans="1:6">
      <c r="B139" s="80" t="s">
        <v>419</v>
      </c>
      <c r="C139" s="239">
        <f>Scenarios!C93</f>
        <v>47.459554421727645</v>
      </c>
      <c r="D139" s="101" t="str">
        <f>Reporting_currency</f>
        <v>CNY</v>
      </c>
    </row>
    <row r="140" spans="1:6">
      <c r="B140" s="238" t="s">
        <v>264</v>
      </c>
      <c r="C140" s="92">
        <f>Scenarios!F93</f>
        <v>5.0417095483649921E-2</v>
      </c>
    </row>
    <row r="142" spans="1:6" ht="13.9">
      <c r="A142" s="247" t="s">
        <v>387</v>
      </c>
      <c r="B142" s="36"/>
      <c r="C142" s="36"/>
      <c r="D142" s="36"/>
      <c r="E142" s="36"/>
      <c r="F142" s="36"/>
    </row>
    <row r="144" spans="1:6">
      <c r="B144" s="341" t="s">
        <v>389</v>
      </c>
      <c r="C144" s="342"/>
      <c r="D144" s="342"/>
      <c r="E144" s="342"/>
      <c r="F144" s="342"/>
    </row>
    <row r="146" spans="2:6">
      <c r="B146" s="234" t="s">
        <v>388</v>
      </c>
    </row>
    <row r="147" spans="2:6">
      <c r="B147" s="344" t="s">
        <v>393</v>
      </c>
      <c r="C147" s="344"/>
      <c r="D147" s="344"/>
      <c r="E147" s="344"/>
      <c r="F147" s="344"/>
    </row>
    <row r="148" spans="2:6">
      <c r="B148" s="238" t="s">
        <v>390</v>
      </c>
    </row>
    <row r="149" spans="2:6">
      <c r="B149" s="238" t="s">
        <v>391</v>
      </c>
    </row>
    <row r="150" spans="2:6">
      <c r="B150" s="238" t="s">
        <v>392</v>
      </c>
    </row>
    <row r="152" spans="2:6">
      <c r="B152" s="1" t="s">
        <v>397</v>
      </c>
    </row>
    <row r="153" spans="2:6" ht="46.5" customHeight="1">
      <c r="B153" s="343" t="s">
        <v>394</v>
      </c>
      <c r="C153" s="343"/>
      <c r="D153" s="343"/>
      <c r="E153" s="343"/>
      <c r="F153" s="343"/>
    </row>
    <row r="155" spans="2:6">
      <c r="B155" s="1" t="s">
        <v>398</v>
      </c>
    </row>
    <row r="156" spans="2:6" ht="24.4" customHeight="1">
      <c r="B156" s="340" t="s">
        <v>395</v>
      </c>
      <c r="C156" s="340"/>
      <c r="D156" s="340"/>
      <c r="E156" s="340"/>
      <c r="F156" s="340"/>
    </row>
    <row r="157" spans="2:6" ht="24.4" customHeight="1">
      <c r="B157" s="340" t="s">
        <v>396</v>
      </c>
      <c r="C157" s="340"/>
      <c r="D157" s="340"/>
      <c r="E157" s="340"/>
      <c r="F157" s="340"/>
    </row>
    <row r="159" spans="2:6">
      <c r="B159" s="1" t="s">
        <v>402</v>
      </c>
    </row>
    <row r="160" spans="2:6">
      <c r="B160" s="238" t="s">
        <v>399</v>
      </c>
    </row>
    <row r="161" spans="2:2">
      <c r="B161" s="238" t="s">
        <v>400</v>
      </c>
    </row>
    <row r="162" spans="2:2">
      <c r="B162" s="238" t="s">
        <v>401</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99</v>
      </c>
      <c r="C2" s="37"/>
      <c r="D2" s="37"/>
      <c r="E2" s="37"/>
      <c r="F2" s="37"/>
      <c r="G2" s="37"/>
      <c r="H2" s="37"/>
      <c r="I2" s="37"/>
      <c r="J2" s="37"/>
      <c r="K2" s="37"/>
      <c r="L2" s="37"/>
      <c r="M2" s="37"/>
    </row>
    <row r="3" spans="2:13">
      <c r="B3" s="16" t="s">
        <v>27</v>
      </c>
      <c r="C3" s="106">
        <v>1</v>
      </c>
    </row>
    <row r="4" spans="2:13">
      <c r="B4" s="32" t="s">
        <v>2</v>
      </c>
      <c r="C4" s="181">
        <v>32137830111</v>
      </c>
      <c r="D4" s="181"/>
      <c r="E4" s="181"/>
      <c r="F4" s="181"/>
      <c r="G4" s="181"/>
      <c r="H4" s="181"/>
      <c r="I4" s="181"/>
      <c r="J4" s="181"/>
      <c r="K4" s="181"/>
      <c r="L4" s="181"/>
      <c r="M4" s="181"/>
    </row>
    <row r="5" spans="2:13">
      <c r="B5" s="40" t="s">
        <v>44</v>
      </c>
      <c r="C5" s="181">
        <f>19209915823+2328256391</f>
        <v>21538172214</v>
      </c>
      <c r="D5" s="181"/>
      <c r="E5" s="181"/>
      <c r="F5" s="181"/>
      <c r="G5" s="181"/>
      <c r="H5" s="181"/>
      <c r="I5" s="181"/>
      <c r="J5" s="181"/>
      <c r="K5" s="181"/>
      <c r="L5" s="181"/>
      <c r="M5" s="181"/>
    </row>
    <row r="6" spans="2:13">
      <c r="B6" s="40" t="s">
        <v>55</v>
      </c>
      <c r="C6" s="181">
        <f>1406578781+C7</f>
        <v>6009098645</v>
      </c>
      <c r="D6" s="181"/>
      <c r="E6" s="181"/>
      <c r="F6" s="181"/>
      <c r="G6" s="181"/>
      <c r="H6" s="181"/>
      <c r="I6" s="181"/>
      <c r="J6" s="181"/>
      <c r="K6" s="181"/>
      <c r="L6" s="181"/>
      <c r="M6" s="181"/>
    </row>
    <row r="7" spans="2:13">
      <c r="B7" s="69" t="s">
        <v>62</v>
      </c>
      <c r="C7" s="189">
        <v>4602519864</v>
      </c>
      <c r="D7" s="189"/>
      <c r="E7" s="189"/>
      <c r="F7" s="189"/>
      <c r="G7" s="189"/>
      <c r="H7" s="189"/>
      <c r="I7" s="189"/>
      <c r="J7" s="189"/>
      <c r="K7" s="189"/>
      <c r="L7" s="189"/>
      <c r="M7" s="189"/>
    </row>
    <row r="8" spans="2:13">
      <c r="B8" s="40" t="s">
        <v>50</v>
      </c>
      <c r="C8" s="181">
        <v>102766675</v>
      </c>
      <c r="D8" s="181"/>
      <c r="E8" s="181"/>
      <c r="F8" s="181"/>
      <c r="G8" s="181"/>
      <c r="H8" s="181"/>
      <c r="I8" s="181"/>
      <c r="J8" s="181"/>
      <c r="K8" s="181"/>
      <c r="L8" s="181"/>
      <c r="M8" s="181"/>
    </row>
    <row r="9" spans="2:13">
      <c r="B9" s="40" t="s">
        <v>161</v>
      </c>
      <c r="C9" s="181"/>
      <c r="D9" s="181"/>
      <c r="E9" s="181"/>
      <c r="F9" s="181"/>
      <c r="G9" s="181"/>
      <c r="H9" s="181"/>
      <c r="I9" s="181"/>
      <c r="J9" s="181"/>
      <c r="K9" s="181"/>
      <c r="L9" s="181"/>
      <c r="M9" s="181"/>
    </row>
    <row r="10" spans="2:13">
      <c r="B10" s="40" t="s">
        <v>169</v>
      </c>
      <c r="C10" s="181"/>
      <c r="D10" s="181"/>
      <c r="E10" s="181"/>
      <c r="F10" s="181"/>
      <c r="G10" s="181"/>
      <c r="H10" s="181"/>
      <c r="I10" s="181"/>
      <c r="J10" s="181"/>
      <c r="K10" s="181"/>
      <c r="L10" s="181"/>
      <c r="M10" s="181"/>
    </row>
    <row r="11" spans="2:13">
      <c r="B11" s="40" t="s">
        <v>160</v>
      </c>
      <c r="C11" s="181"/>
      <c r="D11" s="181"/>
      <c r="E11" s="181"/>
      <c r="F11" s="181"/>
      <c r="G11" s="181"/>
      <c r="H11" s="181"/>
      <c r="I11" s="181"/>
      <c r="J11" s="181"/>
      <c r="K11" s="181"/>
      <c r="L11" s="181"/>
      <c r="M11" s="181"/>
    </row>
    <row r="12" spans="2:13">
      <c r="B12" s="40" t="s">
        <v>39</v>
      </c>
      <c r="C12" s="181">
        <v>21837054</v>
      </c>
      <c r="D12" s="181"/>
      <c r="E12" s="181"/>
      <c r="F12" s="181"/>
      <c r="G12" s="181"/>
      <c r="H12" s="181"/>
      <c r="I12" s="181"/>
      <c r="J12" s="181"/>
      <c r="K12" s="181"/>
      <c r="L12" s="181"/>
      <c r="M12" s="181"/>
    </row>
    <row r="13" spans="2:13">
      <c r="B13" s="40" t="s">
        <v>68</v>
      </c>
      <c r="C13" s="181">
        <v>616771200</v>
      </c>
      <c r="D13" s="181"/>
      <c r="E13" s="181"/>
      <c r="F13" s="181"/>
      <c r="G13" s="181"/>
      <c r="H13" s="181"/>
      <c r="I13" s="181"/>
      <c r="J13" s="181"/>
      <c r="K13" s="181"/>
      <c r="L13" s="181"/>
      <c r="M13" s="181"/>
    </row>
    <row r="14" spans="2:13">
      <c r="B14" s="40" t="s">
        <v>51</v>
      </c>
      <c r="C14" s="181">
        <v>1389716314</v>
      </c>
      <c r="D14" s="181"/>
      <c r="E14" s="181"/>
      <c r="F14" s="181"/>
      <c r="G14" s="181"/>
      <c r="H14" s="181"/>
      <c r="I14" s="181"/>
      <c r="J14" s="181"/>
      <c r="K14" s="181"/>
      <c r="L14" s="181"/>
      <c r="M14" s="181"/>
    </row>
    <row r="15" spans="2:13">
      <c r="B15" s="43" t="s">
        <v>43</v>
      </c>
      <c r="C15" s="182">
        <v>4491776686</v>
      </c>
      <c r="D15" s="182"/>
      <c r="E15" s="182"/>
      <c r="F15" s="182"/>
      <c r="G15" s="182"/>
      <c r="H15" s="182"/>
      <c r="I15" s="182"/>
      <c r="J15" s="182"/>
      <c r="K15" s="182"/>
      <c r="L15" s="182"/>
      <c r="M15" s="182"/>
    </row>
    <row r="16" spans="2:13">
      <c r="B16" s="28" t="s">
        <v>45</v>
      </c>
      <c r="C16" s="181">
        <v>146792828</v>
      </c>
      <c r="D16" s="181"/>
      <c r="E16" s="181"/>
      <c r="F16" s="181"/>
      <c r="G16" s="181"/>
      <c r="H16" s="181"/>
      <c r="I16" s="181"/>
      <c r="J16" s="181"/>
      <c r="K16" s="181"/>
      <c r="L16" s="181"/>
      <c r="M16" s="181"/>
    </row>
    <row r="18" spans="2:13">
      <c r="B18" s="16" t="s">
        <v>52</v>
      </c>
      <c r="C18" s="9"/>
    </row>
    <row r="19" spans="2:13">
      <c r="B19" s="27" t="s">
        <v>48</v>
      </c>
      <c r="C19" s="181">
        <v>1191305772</v>
      </c>
      <c r="D19" s="181"/>
      <c r="E19" s="181"/>
      <c r="F19" s="181"/>
      <c r="G19" s="181"/>
      <c r="H19" s="181"/>
      <c r="I19" s="181"/>
      <c r="J19" s="181"/>
      <c r="K19" s="181"/>
      <c r="L19" s="181"/>
      <c r="M19" s="181"/>
    </row>
    <row r="20" spans="2:13">
      <c r="B20" s="27" t="s">
        <v>54</v>
      </c>
      <c r="C20" s="181">
        <f>C19</f>
        <v>1191305772</v>
      </c>
      <c r="D20" s="181"/>
      <c r="E20" s="181"/>
      <c r="F20" s="181"/>
      <c r="G20" s="181"/>
      <c r="H20" s="181"/>
      <c r="I20" s="181"/>
      <c r="J20" s="181"/>
      <c r="K20" s="181"/>
      <c r="L20" s="181"/>
      <c r="M20" s="181"/>
    </row>
    <row r="21" spans="2:13">
      <c r="B21" s="27" t="s">
        <v>53</v>
      </c>
      <c r="C21" s="181">
        <v>583532518</v>
      </c>
      <c r="D21" s="181"/>
      <c r="E21" s="181"/>
      <c r="F21" s="181"/>
      <c r="G21" s="181"/>
      <c r="H21" s="181"/>
      <c r="I21" s="181"/>
      <c r="J21" s="181"/>
      <c r="K21" s="181"/>
      <c r="L21" s="181"/>
      <c r="M21" s="181"/>
    </row>
    <row r="22" spans="2:13">
      <c r="B22" s="27" t="s">
        <v>384</v>
      </c>
      <c r="C22" s="181">
        <v>5154661132</v>
      </c>
      <c r="D22" s="181"/>
      <c r="E22" s="181"/>
      <c r="F22" s="181"/>
      <c r="G22" s="181"/>
      <c r="H22" s="181"/>
      <c r="I22" s="181"/>
      <c r="J22" s="181"/>
      <c r="K22" s="181"/>
      <c r="L22" s="181"/>
      <c r="M22" s="181"/>
    </row>
    <row r="23" spans="2:13">
      <c r="B23" s="27" t="s">
        <v>386</v>
      </c>
      <c r="C23" s="181">
        <v>-7421783375</v>
      </c>
      <c r="D23" s="181"/>
      <c r="E23" s="181"/>
      <c r="F23" s="181"/>
      <c r="G23" s="181"/>
      <c r="H23" s="181"/>
      <c r="I23" s="181"/>
      <c r="J23" s="181"/>
      <c r="K23" s="181"/>
      <c r="L23" s="181"/>
      <c r="M23" s="181"/>
    </row>
    <row r="24" spans="2:13">
      <c r="B24" s="27" t="s">
        <v>385</v>
      </c>
      <c r="C24" s="181">
        <v>-2983143705</v>
      </c>
      <c r="D24" s="181"/>
      <c r="E24" s="181"/>
      <c r="F24" s="181"/>
      <c r="G24" s="181"/>
      <c r="H24" s="181"/>
      <c r="I24" s="181"/>
      <c r="J24" s="181"/>
      <c r="K24" s="181"/>
      <c r="L24" s="181"/>
      <c r="M24" s="181"/>
    </row>
    <row r="25" spans="2:13">
      <c r="B25" s="24" t="str">
        <f>"Dividend per share ("&amp;Market_currency&amp;")"</f>
        <v>Dividend per share (HKD)</v>
      </c>
      <c r="C25" s="39">
        <f>2.2/Exchange_Rate</f>
        <v>2.0560747663551404</v>
      </c>
      <c r="D25" s="39"/>
      <c r="E25" s="39"/>
      <c r="F25" s="39"/>
      <c r="G25" s="39"/>
      <c r="H25" s="39"/>
      <c r="I25" s="39"/>
      <c r="J25" s="39"/>
      <c r="K25" s="39"/>
      <c r="L25" s="39"/>
      <c r="M25" s="39"/>
    </row>
    <row r="27" spans="2:13">
      <c r="B27" s="16" t="s">
        <v>28</v>
      </c>
      <c r="C27" s="97" t="s">
        <v>221</v>
      </c>
    </row>
    <row r="28" spans="2:13">
      <c r="B28" s="26" t="s">
        <v>24</v>
      </c>
      <c r="C28" s="183">
        <f>BS!C4</f>
        <v>185704725</v>
      </c>
      <c r="D28" s="181"/>
      <c r="E28" s="181"/>
      <c r="F28" s="181"/>
      <c r="G28" s="181"/>
      <c r="H28" s="181"/>
      <c r="I28" s="181"/>
      <c r="J28" s="181"/>
      <c r="K28" s="181"/>
      <c r="L28" s="181"/>
      <c r="M28" s="181"/>
    </row>
    <row r="29" spans="2:13">
      <c r="B29" s="26" t="s">
        <v>32</v>
      </c>
      <c r="C29" s="183">
        <f>BS!C6</f>
        <v>3576387537</v>
      </c>
      <c r="D29" s="181"/>
      <c r="E29" s="181"/>
      <c r="F29" s="181"/>
      <c r="G29" s="181"/>
      <c r="H29" s="181"/>
      <c r="I29" s="181"/>
      <c r="J29" s="181"/>
      <c r="K29" s="181"/>
      <c r="L29" s="181"/>
      <c r="M29" s="181"/>
    </row>
    <row r="30" spans="2:13">
      <c r="B30" s="29" t="s">
        <v>40</v>
      </c>
      <c r="C30" s="186">
        <f>BS!C33+BS!C42</f>
        <v>21560843821</v>
      </c>
      <c r="D30" s="182"/>
      <c r="E30" s="182"/>
      <c r="F30" s="182"/>
      <c r="G30" s="182"/>
      <c r="H30" s="182"/>
      <c r="I30" s="182"/>
      <c r="J30" s="182"/>
      <c r="K30" s="182"/>
      <c r="L30" s="182"/>
      <c r="M30" s="182"/>
    </row>
    <row r="31" spans="2:13">
      <c r="B31" s="29" t="s">
        <v>30</v>
      </c>
      <c r="C31" s="186">
        <f>BS!G27</f>
        <v>29859542011</v>
      </c>
      <c r="D31" s="182"/>
      <c r="E31" s="182"/>
      <c r="F31" s="182"/>
      <c r="G31" s="182"/>
      <c r="H31" s="182"/>
      <c r="I31" s="182"/>
      <c r="J31" s="182"/>
      <c r="K31" s="182"/>
      <c r="L31" s="182"/>
      <c r="M31" s="182"/>
    </row>
    <row r="32" spans="2:13">
      <c r="B32" s="26" t="s">
        <v>174</v>
      </c>
      <c r="C32" s="183">
        <f>BS!G28</f>
        <v>799157484</v>
      </c>
      <c r="D32" s="181"/>
      <c r="E32" s="181"/>
      <c r="F32" s="181"/>
      <c r="G32" s="182"/>
      <c r="H32" s="182"/>
      <c r="I32" s="182"/>
      <c r="J32" s="182"/>
      <c r="K32" s="182"/>
      <c r="L32" s="182"/>
      <c r="M32" s="182"/>
    </row>
    <row r="34" spans="2:13" ht="13.9">
      <c r="B34" s="36" t="s">
        <v>83</v>
      </c>
      <c r="C34" s="37"/>
      <c r="D34" s="37"/>
      <c r="E34" s="37"/>
      <c r="F34" s="37"/>
      <c r="G34" s="37"/>
      <c r="H34" s="37"/>
      <c r="I34" s="37"/>
      <c r="J34" s="37"/>
      <c r="K34" s="37"/>
      <c r="L34" s="37"/>
      <c r="M34" s="37"/>
    </row>
    <row r="35" spans="2:13">
      <c r="B35" s="16" t="s">
        <v>27</v>
      </c>
    </row>
    <row r="36" spans="2:13">
      <c r="B36" s="32" t="s">
        <v>2</v>
      </c>
      <c r="C36" s="183">
        <f t="shared" ref="C36:M36" si="1">IF(C$4="","",C4)</f>
        <v>32137830111</v>
      </c>
      <c r="D36" s="183" t="str">
        <f t="shared" si="1"/>
        <v/>
      </c>
      <c r="E36" s="183" t="str">
        <f t="shared" si="1"/>
        <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44</v>
      </c>
      <c r="C37" s="183">
        <f t="shared" ref="C37:M37" si="2">IF(C$4="","",-C5)</f>
        <v>-21538172214</v>
      </c>
      <c r="D37" s="183" t="str">
        <f t="shared" si="2"/>
        <v/>
      </c>
      <c r="E37" s="183" t="str">
        <f t="shared" si="2"/>
        <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59</v>
      </c>
      <c r="C38" s="184">
        <f>IF(C36="","",C36+C37)</f>
        <v>10599657897</v>
      </c>
      <c r="D38" s="184" t="str">
        <f t="shared" ref="D38" si="3">IF(D36="","",D36+D37)</f>
        <v/>
      </c>
      <c r="E38" s="184" t="str">
        <f t="shared" ref="E38" si="4">IF(E36="","",E36+E37)</f>
        <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55</v>
      </c>
      <c r="C39" s="183">
        <f t="shared" ref="C39:M39" si="13">IF(C$4="","",-C6)</f>
        <v>-6009098645</v>
      </c>
      <c r="D39" s="183" t="str">
        <f t="shared" si="13"/>
        <v/>
      </c>
      <c r="E39" s="183" t="str">
        <f t="shared" si="13"/>
        <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62</v>
      </c>
      <c r="C40" s="185">
        <f t="shared" ref="C40:M40" si="14">IF(C$4="","",-C7)</f>
        <v>-4602519864</v>
      </c>
      <c r="D40" s="185" t="str">
        <f t="shared" si="14"/>
        <v/>
      </c>
      <c r="E40" s="185" t="str">
        <f t="shared" si="14"/>
        <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65</v>
      </c>
      <c r="C41" s="185">
        <f>IF(C$4="","",C39-C40)</f>
        <v>-1406578781</v>
      </c>
      <c r="D41" s="185" t="str">
        <f t="shared" ref="D41:M41" si="15">IF(D$4="","",D39-D40)</f>
        <v/>
      </c>
      <c r="E41" s="185" t="str">
        <f t="shared" si="15"/>
        <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50</v>
      </c>
      <c r="C42" s="183">
        <f t="shared" ref="C42:M42" si="16">IF(C$4="","",-C8)</f>
        <v>-102766675</v>
      </c>
      <c r="D42" s="183" t="str">
        <f t="shared" si="16"/>
        <v/>
      </c>
      <c r="E42" s="183" t="str">
        <f t="shared" si="16"/>
        <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154</v>
      </c>
      <c r="C43" s="186">
        <f>IF(C$4="","",C38+C39+C42)</f>
        <v>4487792577</v>
      </c>
      <c r="D43" s="186" t="str">
        <f t="shared" ref="D43:M43" si="17">IF(D$4="","",D38+D39+D42)</f>
        <v/>
      </c>
      <c r="E43" s="186" t="str">
        <f t="shared" si="17"/>
        <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170</v>
      </c>
      <c r="C44" s="187">
        <f t="shared" ref="C44:M44" si="18">IF(C$4="","",C47-C46-C45-C43)</f>
        <v>798766277</v>
      </c>
      <c r="D44" s="187" t="str">
        <f t="shared" si="18"/>
        <v/>
      </c>
      <c r="E44" s="187" t="str">
        <f t="shared" si="18"/>
        <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69</v>
      </c>
      <c r="C45" s="188">
        <f t="shared" ref="C45:M45" si="19">IF(C$4="","",C51+C52)</f>
        <v>594934146</v>
      </c>
      <c r="D45" s="188" t="str">
        <f t="shared" si="19"/>
        <v/>
      </c>
      <c r="E45" s="188" t="str">
        <f t="shared" si="19"/>
        <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51</v>
      </c>
      <c r="C46" s="183">
        <f t="shared" ref="C46:M46" si="20">IF(C$4="","",-C14)</f>
        <v>-1389716314</v>
      </c>
      <c r="D46" s="183" t="str">
        <f t="shared" si="20"/>
        <v/>
      </c>
      <c r="E46" s="183" t="str">
        <f t="shared" si="20"/>
        <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43</v>
      </c>
      <c r="C47" s="186">
        <f t="shared" ref="C47:M47" si="21">IF(C$4="","",C15)</f>
        <v>4491776686</v>
      </c>
      <c r="D47" s="186" t="str">
        <f t="shared" si="21"/>
        <v/>
      </c>
      <c r="E47" s="186" t="str">
        <f t="shared" si="21"/>
        <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45</v>
      </c>
      <c r="C48" s="183">
        <f t="shared" ref="C48:M48" si="22">IF(C$4="","",MIN(-C16,0))</f>
        <v>-146792828</v>
      </c>
      <c r="D48" s="183" t="str">
        <f t="shared" si="22"/>
        <v/>
      </c>
      <c r="E48" s="183" t="str">
        <f t="shared" si="22"/>
        <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69</v>
      </c>
    </row>
    <row r="51" spans="2:13">
      <c r="B51" s="40" t="s">
        <v>39</v>
      </c>
      <c r="C51" s="183">
        <f t="shared" ref="C51:M51" si="23">IF(C$4="","",-C12)</f>
        <v>-21837054</v>
      </c>
      <c r="D51" s="183" t="str">
        <f t="shared" si="23"/>
        <v/>
      </c>
      <c r="E51" s="183" t="str">
        <f t="shared" si="23"/>
        <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68</v>
      </c>
      <c r="C52" s="183">
        <f t="shared" ref="C52:M52" si="24">IF(C$4="","",C13)</f>
        <v>616771200</v>
      </c>
      <c r="D52" s="183" t="str">
        <f t="shared" si="24"/>
        <v/>
      </c>
      <c r="E52" s="183" t="str">
        <f t="shared" si="24"/>
        <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170</v>
      </c>
    </row>
    <row r="55" spans="2:13">
      <c r="B55" s="40" t="s">
        <v>161</v>
      </c>
      <c r="C55" s="188">
        <f t="shared" ref="C55:M55" si="25">IF(C$4="","",C9)</f>
        <v>0</v>
      </c>
      <c r="D55" s="188" t="str">
        <f t="shared" si="25"/>
        <v/>
      </c>
      <c r="E55" s="188" t="str">
        <f t="shared" si="25"/>
        <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169</v>
      </c>
      <c r="C56" s="188">
        <f t="shared" ref="C56:M56" si="26">IF(C$4="","",C10)</f>
        <v>0</v>
      </c>
      <c r="D56" s="188" t="str">
        <f t="shared" si="26"/>
        <v/>
      </c>
      <c r="E56" s="188" t="str">
        <f t="shared" si="26"/>
        <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160</v>
      </c>
      <c r="C57" s="188">
        <f t="shared" ref="C57:M57" si="27">IF(C$4="","",C11)</f>
        <v>0</v>
      </c>
      <c r="D57" s="188" t="str">
        <f t="shared" si="27"/>
        <v/>
      </c>
      <c r="E57" s="188" t="str">
        <f t="shared" si="27"/>
        <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162</v>
      </c>
      <c r="C58" s="188">
        <f>IF(C$4="","",C44-C55-C56-C57)</f>
        <v>798766277</v>
      </c>
      <c r="D58" s="188" t="str">
        <f t="shared" ref="D58:M58" si="28">IF(D$4="","",D44-D55-D56-D57)</f>
        <v/>
      </c>
      <c r="E58" s="188" t="str">
        <f t="shared" si="28"/>
        <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52</v>
      </c>
      <c r="C60" s="9"/>
    </row>
    <row r="61" spans="2:13">
      <c r="B61" s="27" t="s">
        <v>48</v>
      </c>
      <c r="C61" s="183">
        <f>IF(C$4="","",-C19)</f>
        <v>-1191305772</v>
      </c>
      <c r="D61" s="183" t="str">
        <f t="shared" ref="D61:M61" si="29">IF(D$4="","",-D19)</f>
        <v/>
      </c>
      <c r="E61" s="183" t="str">
        <f t="shared" si="29"/>
        <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54</v>
      </c>
      <c r="C62" s="183">
        <f>IF(C$4="","",-C20)</f>
        <v>-1191305772</v>
      </c>
      <c r="D62" s="183" t="str">
        <f t="shared" ref="D62:M62" si="30">IF(D$4="","",-D20)</f>
        <v/>
      </c>
      <c r="E62" s="183" t="str">
        <f t="shared" si="30"/>
        <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53</v>
      </c>
      <c r="C63" s="183">
        <f>IF(C$4="","",-C21)</f>
        <v>-583532518</v>
      </c>
      <c r="D63" s="183" t="str">
        <f t="shared" ref="D63:M63" si="31">IF(D$4="","",-D21)</f>
        <v/>
      </c>
      <c r="E63" s="183" t="str">
        <f t="shared" si="31"/>
        <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407</v>
      </c>
      <c r="C64" s="183">
        <f>IF(C$4="","",C22+C23+C24)</f>
        <v>-5250265948</v>
      </c>
      <c r="D64" s="183" t="str">
        <f t="shared" ref="D64:M64" si="32">IF(D$4="","",D22+D23+D24)</f>
        <v/>
      </c>
      <c r="E64" s="183" t="str">
        <f t="shared" si="32"/>
        <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2.0560747663551404</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86</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59</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170</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84</v>
      </c>
      <c r="C74" s="37"/>
      <c r="D74" s="37"/>
      <c r="E74" s="37"/>
      <c r="F74" s="37"/>
      <c r="G74" s="37"/>
      <c r="H74" s="37"/>
      <c r="I74" s="37"/>
      <c r="J74" s="37"/>
      <c r="K74" s="37"/>
      <c r="L74" s="37"/>
      <c r="M74" s="37"/>
    </row>
    <row r="75" spans="2:13">
      <c r="B75" s="16" t="s">
        <v>28</v>
      </c>
      <c r="C75" s="9"/>
    </row>
    <row r="76" spans="2:13">
      <c r="B76" s="26" t="s">
        <v>3</v>
      </c>
      <c r="C76" s="188">
        <f>IF(C$4="","",C79+C80)</f>
        <v>51420385832</v>
      </c>
      <c r="D76" s="188" t="str">
        <f t="shared" ref="D76:M76" si="39">IF(D$4="","",D79+D80)</f>
        <v/>
      </c>
      <c r="E76" s="188" t="str">
        <f t="shared" si="39"/>
        <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87</v>
      </c>
      <c r="C77" s="185">
        <f t="shared" ref="C77:H78" si="40">IF(C$4="","",C28)</f>
        <v>185704725</v>
      </c>
      <c r="D77" s="185" t="str">
        <f t="shared" si="40"/>
        <v/>
      </c>
      <c r="E77" s="185" t="str">
        <f t="shared" si="40"/>
        <v/>
      </c>
      <c r="F77" s="185" t="str">
        <f t="shared" si="40"/>
        <v/>
      </c>
      <c r="G77" s="185" t="str">
        <f t="shared" si="40"/>
        <v/>
      </c>
      <c r="H77" s="185" t="str">
        <f t="shared" si="40"/>
        <v/>
      </c>
      <c r="I77" s="335"/>
      <c r="J77" s="335"/>
      <c r="K77" s="335"/>
      <c r="L77" s="335"/>
      <c r="M77" s="335"/>
    </row>
    <row r="78" spans="2:13">
      <c r="B78" s="93" t="s">
        <v>88</v>
      </c>
      <c r="C78" s="185">
        <f t="shared" si="40"/>
        <v>3576387537</v>
      </c>
      <c r="D78" s="185" t="str">
        <f t="shared" si="40"/>
        <v/>
      </c>
      <c r="E78" s="185" t="str">
        <f t="shared" si="40"/>
        <v/>
      </c>
      <c r="F78" s="185" t="str">
        <f t="shared" si="40"/>
        <v/>
      </c>
      <c r="G78" s="185" t="str">
        <f t="shared" si="40"/>
        <v/>
      </c>
      <c r="H78" s="185" t="str">
        <f t="shared" si="40"/>
        <v/>
      </c>
      <c r="I78" s="335"/>
      <c r="J78" s="335"/>
      <c r="K78" s="335"/>
      <c r="L78" s="335"/>
      <c r="M78" s="335"/>
    </row>
    <row r="79" spans="2:13">
      <c r="B79" s="26" t="s">
        <v>40</v>
      </c>
      <c r="C79" s="183">
        <f t="shared" ref="C79:M79" si="41">IF(C$4="","",C30)</f>
        <v>21560843821</v>
      </c>
      <c r="D79" s="183" t="str">
        <f t="shared" si="41"/>
        <v/>
      </c>
      <c r="E79" s="183" t="str">
        <f t="shared" si="41"/>
        <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t="str">
        <f t="shared" si="42"/>
        <v/>
      </c>
      <c r="E80" s="183" t="str">
        <f t="shared" si="42"/>
        <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158</v>
      </c>
      <c r="C2" s="37"/>
      <c r="D2" s="37"/>
      <c r="E2" s="37"/>
      <c r="F2" s="37"/>
      <c r="G2" s="37"/>
      <c r="H2" s="37"/>
    </row>
    <row r="3" spans="2:8" ht="15" customHeight="1">
      <c r="B3" s="16" t="s">
        <v>186</v>
      </c>
      <c r="C3" s="203" t="s">
        <v>138</v>
      </c>
      <c r="D3" s="204" t="s">
        <v>35</v>
      </c>
      <c r="F3" s="16" t="s">
        <v>187</v>
      </c>
      <c r="G3" s="203" t="s">
        <v>138</v>
      </c>
      <c r="H3" s="204" t="s">
        <v>35</v>
      </c>
    </row>
    <row r="4" spans="2:8" ht="15" customHeight="1">
      <c r="B4" s="4" t="s">
        <v>24</v>
      </c>
      <c r="C4" s="19">
        <f>102420347+83284378</f>
        <v>185704725</v>
      </c>
      <c r="D4" s="294">
        <v>0.6</v>
      </c>
      <c r="E4" s="25"/>
      <c r="F4" s="4" t="s">
        <v>79</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179</v>
      </c>
      <c r="G6" s="19">
        <v>0</v>
      </c>
      <c r="H6" s="294">
        <v>0.6</v>
      </c>
    </row>
    <row r="7" spans="2:8" ht="15" customHeight="1">
      <c r="B7" s="1" t="s">
        <v>70</v>
      </c>
      <c r="C7" s="19">
        <v>0</v>
      </c>
      <c r="D7" s="294">
        <v>0.6</v>
      </c>
      <c r="E7" s="25"/>
      <c r="F7" s="4" t="s">
        <v>180</v>
      </c>
      <c r="G7" s="19">
        <v>2021804089</v>
      </c>
      <c r="H7" s="294">
        <v>0.6</v>
      </c>
    </row>
    <row r="8" spans="2:8" ht="15" customHeight="1">
      <c r="B8" s="1" t="s">
        <v>175</v>
      </c>
      <c r="C8" s="19">
        <v>0</v>
      </c>
      <c r="D8" s="294">
        <v>0.6</v>
      </c>
      <c r="E8" s="25"/>
      <c r="F8" s="1" t="s">
        <v>181</v>
      </c>
      <c r="G8" s="19">
        <v>0</v>
      </c>
      <c r="H8" s="294">
        <v>0.6</v>
      </c>
    </row>
    <row r="9" spans="2:8" ht="15" customHeight="1">
      <c r="B9" s="4" t="s">
        <v>25</v>
      </c>
      <c r="C9" s="19">
        <v>241896760</v>
      </c>
      <c r="D9" s="294">
        <v>0.1</v>
      </c>
      <c r="E9" s="25"/>
      <c r="F9" s="4" t="s">
        <v>182</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c r="F13" s="80"/>
      <c r="G13" s="81"/>
      <c r="H13" s="20"/>
    </row>
    <row r="14" spans="2:8" ht="15" customHeight="1">
      <c r="B14" s="16" t="s">
        <v>185</v>
      </c>
      <c r="C14" s="203" t="s">
        <v>138</v>
      </c>
      <c r="D14" s="204" t="s">
        <v>35</v>
      </c>
      <c r="F14" s="16" t="s">
        <v>188</v>
      </c>
      <c r="G14" s="203" t="s">
        <v>138</v>
      </c>
      <c r="H14" s="204" t="s">
        <v>35</v>
      </c>
    </row>
    <row r="15" spans="2:8" ht="15" customHeight="1">
      <c r="B15" s="4" t="s">
        <v>74</v>
      </c>
      <c r="C15" s="19">
        <v>0</v>
      </c>
      <c r="D15" s="294">
        <v>0.4</v>
      </c>
      <c r="F15" s="4" t="s">
        <v>80</v>
      </c>
      <c r="G15" s="19">
        <v>0</v>
      </c>
      <c r="H15" s="294">
        <v>0.8</v>
      </c>
    </row>
    <row r="16" spans="2:8" ht="15" customHeight="1">
      <c r="B16" s="1" t="s">
        <v>34</v>
      </c>
      <c r="C16" s="19">
        <v>0</v>
      </c>
      <c r="D16" s="294">
        <v>0.5</v>
      </c>
      <c r="F16" s="4" t="s">
        <v>179</v>
      </c>
      <c r="G16" s="19">
        <v>0</v>
      </c>
      <c r="H16" s="294">
        <v>0.6</v>
      </c>
    </row>
    <row r="17" spans="2:8" ht="15" customHeight="1">
      <c r="B17" s="1" t="s">
        <v>70</v>
      </c>
      <c r="C17" s="19">
        <v>0</v>
      </c>
      <c r="D17" s="294">
        <v>0.6</v>
      </c>
      <c r="F17" s="4" t="s">
        <v>180</v>
      </c>
      <c r="G17" s="19">
        <v>2498379750</v>
      </c>
      <c r="H17" s="294">
        <v>0.6</v>
      </c>
    </row>
    <row r="18" spans="2:8" ht="15" customHeight="1">
      <c r="B18" s="4" t="s">
        <v>175</v>
      </c>
      <c r="C18" s="19">
        <v>0</v>
      </c>
      <c r="D18" s="294">
        <v>0.6</v>
      </c>
      <c r="F18" s="4" t="s">
        <v>183</v>
      </c>
      <c r="G18" s="19">
        <v>0</v>
      </c>
      <c r="H18" s="294">
        <v>0.1</v>
      </c>
    </row>
    <row r="19" spans="2:8" ht="15" customHeight="1">
      <c r="B19" s="4" t="s">
        <v>26</v>
      </c>
      <c r="C19" s="19">
        <f>11817650634+630874619+115672625+85702449</f>
        <v>12649900327</v>
      </c>
      <c r="D19" s="294">
        <v>0.1</v>
      </c>
      <c r="F19" s="4" t="s">
        <v>184</v>
      </c>
      <c r="G19" s="19">
        <v>391873803</v>
      </c>
      <c r="H19" s="294">
        <v>0.1</v>
      </c>
    </row>
    <row r="20" spans="2:8" ht="15" customHeight="1">
      <c r="B20" s="4" t="s">
        <v>18</v>
      </c>
      <c r="C20" s="19">
        <v>0</v>
      </c>
      <c r="D20" s="294">
        <v>0.05</v>
      </c>
      <c r="F20" s="4" t="s">
        <v>181</v>
      </c>
      <c r="G20" s="19">
        <v>0</v>
      </c>
      <c r="H20" s="294">
        <v>0.2</v>
      </c>
    </row>
    <row r="21" spans="2:8" ht="15" customHeight="1">
      <c r="B21" s="4" t="s">
        <v>19</v>
      </c>
      <c r="C21" s="19">
        <v>2684120584</v>
      </c>
      <c r="D21" s="294">
        <v>0.05</v>
      </c>
      <c r="F21" s="1" t="s">
        <v>182</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c r="B26" s="16" t="s">
        <v>202</v>
      </c>
      <c r="C26" s="203" t="s">
        <v>138</v>
      </c>
      <c r="F26" s="205" t="s">
        <v>198</v>
      </c>
      <c r="G26" s="206" t="s">
        <v>138</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246</v>
      </c>
      <c r="G28" s="181">
        <v>799157484</v>
      </c>
      <c r="H28" s="209"/>
    </row>
    <row r="29" spans="2:8" ht="15" customHeight="1">
      <c r="B29" s="4" t="s">
        <v>7</v>
      </c>
      <c r="C29" s="19">
        <v>0</v>
      </c>
      <c r="F29" s="211" t="s">
        <v>77</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205</v>
      </c>
      <c r="C31" s="81">
        <f>SUM(C27:C30)</f>
        <v>217159673</v>
      </c>
      <c r="F31" s="211" t="s">
        <v>78</v>
      </c>
      <c r="G31" s="212">
        <f>C31+C40</f>
        <v>285396383</v>
      </c>
      <c r="H31" s="209"/>
    </row>
    <row r="32" spans="2:8" ht="15" customHeight="1">
      <c r="B32" s="4" t="s">
        <v>9</v>
      </c>
      <c r="C32" s="21">
        <f>C33-C31</f>
        <v>17305171626</v>
      </c>
      <c r="F32" s="213" t="s">
        <v>76</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204</v>
      </c>
      <c r="G34" s="218" t="s">
        <v>138</v>
      </c>
      <c r="H34" s="219" t="s">
        <v>35</v>
      </c>
    </row>
    <row r="35" spans="2:8" ht="15" customHeight="1">
      <c r="B35" s="16" t="s">
        <v>203</v>
      </c>
      <c r="C35" s="203" t="s">
        <v>138</v>
      </c>
      <c r="F35" s="220" t="s">
        <v>31</v>
      </c>
      <c r="G35" s="214">
        <f>C12+C24</f>
        <v>28488416376</v>
      </c>
      <c r="H35" s="221">
        <f>D12+D24</f>
        <v>5119255394.3000002</v>
      </c>
    </row>
    <row r="36" spans="2:8" ht="15" customHeight="1">
      <c r="B36" s="4" t="s">
        <v>13</v>
      </c>
      <c r="C36" s="19">
        <v>0</v>
      </c>
      <c r="F36" s="211" t="s">
        <v>199</v>
      </c>
      <c r="G36" s="212">
        <f>C4+C15</f>
        <v>185704725</v>
      </c>
      <c r="H36" s="216"/>
    </row>
    <row r="37" spans="2:8" ht="15" customHeight="1">
      <c r="B37" s="4" t="s">
        <v>14</v>
      </c>
      <c r="C37" s="19">
        <v>68236710</v>
      </c>
      <c r="F37" s="211" t="s">
        <v>200</v>
      </c>
      <c r="G37" s="212">
        <f>C6</f>
        <v>3576387537</v>
      </c>
      <c r="H37" s="216"/>
    </row>
    <row r="38" spans="2:8" ht="15" customHeight="1">
      <c r="B38" s="4" t="s">
        <v>15</v>
      </c>
      <c r="C38" s="19">
        <v>0</v>
      </c>
      <c r="F38" s="211" t="s">
        <v>201</v>
      </c>
      <c r="G38" s="212">
        <f>C7+C17</f>
        <v>0</v>
      </c>
      <c r="H38" s="216"/>
    </row>
    <row r="39" spans="2:8" ht="15" customHeight="1">
      <c r="B39" s="2" t="s">
        <v>16</v>
      </c>
      <c r="C39" s="19">
        <v>0</v>
      </c>
      <c r="F39" s="211" t="s">
        <v>81</v>
      </c>
      <c r="G39" s="212">
        <f>C7+C17+C19+C20</f>
        <v>12649900327</v>
      </c>
      <c r="H39" s="209">
        <f>C7*D7+C17*D17+C19*D19+C20*D20</f>
        <v>1264990032.7</v>
      </c>
    </row>
    <row r="40" spans="2:8" ht="15" customHeight="1">
      <c r="B40" s="80" t="s">
        <v>206</v>
      </c>
      <c r="C40" s="81">
        <f>SUM(C36:C39)</f>
        <v>68236710</v>
      </c>
      <c r="F40" s="220" t="s">
        <v>140</v>
      </c>
      <c r="G40" s="214">
        <f>G12+G24</f>
        <v>22931969456</v>
      </c>
      <c r="H40" s="221">
        <f>H12+H24</f>
        <v>18936307181.899998</v>
      </c>
    </row>
    <row r="41" spans="2:8" ht="15" customHeight="1">
      <c r="B41" s="4" t="s">
        <v>17</v>
      </c>
      <c r="C41" s="21">
        <f>C42-C40</f>
        <v>3970275812</v>
      </c>
      <c r="F41" s="211" t="s">
        <v>193</v>
      </c>
      <c r="G41" s="212">
        <f>C70</f>
        <v>17978772896</v>
      </c>
      <c r="H41" s="221">
        <f>H40-H42</f>
        <v>16180895606.399998</v>
      </c>
    </row>
    <row r="42" spans="2:8" ht="15" customHeight="1">
      <c r="B42" s="83" t="s">
        <v>22</v>
      </c>
      <c r="C42" s="84">
        <v>4038512522</v>
      </c>
      <c r="F42" s="222" t="s">
        <v>194</v>
      </c>
      <c r="G42" s="223">
        <f>C82</f>
        <v>4953196560</v>
      </c>
      <c r="H42" s="224">
        <f>D82</f>
        <v>2755411575.5</v>
      </c>
    </row>
    <row r="44" spans="2:8" ht="15" customHeight="1">
      <c r="B44" s="79" t="s">
        <v>98</v>
      </c>
      <c r="C44" s="37"/>
      <c r="D44" s="37"/>
      <c r="E44" s="37"/>
      <c r="F44" s="37"/>
      <c r="G44" s="37"/>
      <c r="H44" s="37"/>
    </row>
    <row r="45" spans="2:8" ht="15" customHeight="1">
      <c r="B45" s="16" t="s">
        <v>273</v>
      </c>
      <c r="C45" s="261" t="s">
        <v>138</v>
      </c>
      <c r="D45" s="203" t="s">
        <v>424</v>
      </c>
      <c r="F45" s="287" t="s">
        <v>60</v>
      </c>
    </row>
    <row r="46" spans="2:8" ht="15" customHeight="1">
      <c r="B46" s="1" t="s">
        <v>275</v>
      </c>
      <c r="C46" s="188">
        <f>G29</f>
        <v>29060384527</v>
      </c>
      <c r="D46" s="188">
        <f>H29</f>
        <v>1695561271.1999969</v>
      </c>
      <c r="F46" s="283"/>
    </row>
    <row r="47" spans="2:8" ht="15" customHeight="1">
      <c r="B47" s="1" t="str">
        <f>"Equity per share ("&amp;Market_currency&amp;")"</f>
        <v>Equity per share (HKD)</v>
      </c>
      <c r="C47" s="148">
        <f>C46*H1/Common_Shares*Exchange_Rate</f>
        <v>22.793347497523943</v>
      </c>
      <c r="D47" s="148">
        <f>D46*H1/Common_Shares*Exchange_Rate</f>
        <v>1.3299038497545537</v>
      </c>
      <c r="F47" s="283"/>
    </row>
    <row r="48" spans="2:8" ht="15" customHeight="1">
      <c r="F48" s="283"/>
    </row>
    <row r="49" spans="2:8" ht="15" customHeight="1">
      <c r="B49" s="158" t="s">
        <v>145</v>
      </c>
      <c r="C49" s="262" t="s">
        <v>58</v>
      </c>
      <c r="D49" s="218" t="s">
        <v>97</v>
      </c>
      <c r="E49" s="2"/>
      <c r="F49" s="283"/>
    </row>
    <row r="50" spans="2:8" ht="15" customHeight="1">
      <c r="B50" s="8" t="s">
        <v>95</v>
      </c>
      <c r="C50" s="95">
        <f>G31/Normalized_FCF!C8</f>
        <v>6.3593933566061064E-2</v>
      </c>
      <c r="D50" s="95">
        <f>G31/Normalized_FCF!G8</f>
        <v>6.3593933566061064E-2</v>
      </c>
      <c r="F50" s="283"/>
    </row>
    <row r="51" spans="2:8" ht="15" customHeight="1">
      <c r="B51" s="1" t="s">
        <v>178</v>
      </c>
      <c r="C51" s="202"/>
      <c r="D51" s="92">
        <f>G29/G32</f>
        <v>0.56515298469260233</v>
      </c>
      <c r="F51" s="283"/>
    </row>
    <row r="52" spans="2:8" ht="15" customHeight="1">
      <c r="F52" s="283"/>
    </row>
    <row r="53" spans="2:8" ht="15" customHeight="1">
      <c r="B53" s="158" t="s">
        <v>144</v>
      </c>
      <c r="C53" s="262" t="s">
        <v>58</v>
      </c>
      <c r="D53" s="218" t="s">
        <v>97</v>
      </c>
      <c r="F53" s="283"/>
    </row>
    <row r="54" spans="2:8" ht="15" customHeight="1">
      <c r="B54" s="1" t="s">
        <v>141</v>
      </c>
      <c r="C54" s="92">
        <f>Normalized_FCF!C8/G35</f>
        <v>0.15753043334415495</v>
      </c>
      <c r="D54" s="92">
        <f>Normalized_FCF!G8/G35</f>
        <v>0.15753043334415495</v>
      </c>
      <c r="F54" s="283"/>
    </row>
    <row r="55" spans="2:8" ht="15" customHeight="1">
      <c r="B55" s="1" t="s">
        <v>143</v>
      </c>
      <c r="C55" s="92">
        <f>Normalized_FCF!C11/G40</f>
        <v>0</v>
      </c>
      <c r="D55" s="92">
        <f>Normalized_FCF!G11/G40</f>
        <v>0</v>
      </c>
      <c r="F55" s="283"/>
    </row>
    <row r="56" spans="2:8" ht="15" customHeight="1">
      <c r="F56" s="283"/>
    </row>
    <row r="57" spans="2:8" ht="15" customHeight="1">
      <c r="B57" s="158" t="s">
        <v>177</v>
      </c>
      <c r="C57" s="262" t="s">
        <v>58</v>
      </c>
      <c r="D57" s="218" t="s">
        <v>97</v>
      </c>
      <c r="F57" s="283"/>
    </row>
    <row r="58" spans="2:8" ht="15" customHeight="1">
      <c r="B58" s="2" t="s">
        <v>91</v>
      </c>
      <c r="C58" s="98"/>
      <c r="D58" s="23">
        <f>Normalized_FCF!G9/BS!$G$39</f>
        <v>9.4175111360938715E-2</v>
      </c>
      <c r="F58" s="5"/>
    </row>
    <row r="59" spans="2:8" ht="15" customHeight="1">
      <c r="B59" s="1" t="s">
        <v>94</v>
      </c>
      <c r="C59" s="98"/>
      <c r="D59" s="92">
        <f>G39/G32</f>
        <v>0.24600944007556819</v>
      </c>
      <c r="F59" s="283"/>
    </row>
    <row r="60" spans="2:8" ht="15" customHeight="1">
      <c r="F60" s="283"/>
    </row>
    <row r="61" spans="2:8" ht="15" customHeight="1">
      <c r="B61" s="158" t="s">
        <v>276</v>
      </c>
      <c r="C61" s="262" t="s">
        <v>139</v>
      </c>
      <c r="D61" s="218" t="s">
        <v>97</v>
      </c>
      <c r="F61" s="283"/>
    </row>
    <row r="62" spans="2:8" ht="15" customHeight="1">
      <c r="B62" s="1" t="s">
        <v>247</v>
      </c>
      <c r="C62" s="92">
        <f>IF(G28&lt;=0,0,G28/G29)</f>
        <v>2.749989365273205E-2</v>
      </c>
      <c r="D62" s="92">
        <f>G28/G29</f>
        <v>2.749989365273205E-2</v>
      </c>
      <c r="F62" s="283" t="s">
        <v>274</v>
      </c>
    </row>
    <row r="64" spans="2:8" ht="15" customHeight="1">
      <c r="B64" s="79" t="s">
        <v>195</v>
      </c>
      <c r="C64" s="37"/>
      <c r="D64" s="37"/>
      <c r="E64" s="37"/>
      <c r="F64" s="37"/>
      <c r="G64" s="37"/>
      <c r="H64" s="37"/>
    </row>
    <row r="65" spans="2:6" ht="15" customHeight="1">
      <c r="B65" s="16" t="s">
        <v>190</v>
      </c>
      <c r="C65" s="261" t="s">
        <v>138</v>
      </c>
      <c r="D65" s="204" t="s">
        <v>294</v>
      </c>
      <c r="F65" s="287" t="s">
        <v>60</v>
      </c>
    </row>
    <row r="66" spans="2:6" ht="15" customHeight="1">
      <c r="B66" s="105" t="s">
        <v>189</v>
      </c>
      <c r="C66" s="20">
        <f>G4+G5+G15</f>
        <v>17978772896</v>
      </c>
      <c r="D66" s="188">
        <f>C66-D75</f>
        <v>12902951541.641745</v>
      </c>
      <c r="F66" s="5" t="s">
        <v>228</v>
      </c>
    </row>
    <row r="67" spans="2:6" ht="15" customHeight="1">
      <c r="B67" s="105" t="s">
        <v>179</v>
      </c>
      <c r="C67" s="20">
        <f>G6+G16</f>
        <v>0</v>
      </c>
      <c r="F67" s="283"/>
    </row>
    <row r="68" spans="2:6" ht="15" customHeight="1">
      <c r="B68" s="105" t="s">
        <v>183</v>
      </c>
      <c r="C68" s="20">
        <f>G18</f>
        <v>0</v>
      </c>
      <c r="F68" s="283"/>
    </row>
    <row r="69" spans="2:6" ht="15" customHeight="1">
      <c r="B69" s="105" t="s">
        <v>181</v>
      </c>
      <c r="C69" s="20">
        <f>G8+G20</f>
        <v>0</v>
      </c>
      <c r="F69" s="283"/>
    </row>
    <row r="70" spans="2:6" ht="15" customHeight="1">
      <c r="B70" s="80" t="s">
        <v>190</v>
      </c>
      <c r="C70" s="81">
        <f>SUM(C66:C69)</f>
        <v>17978772896</v>
      </c>
      <c r="F70" s="283"/>
    </row>
    <row r="71" spans="2:6" ht="15" customHeight="1">
      <c r="F71" s="283"/>
    </row>
    <row r="72" spans="2:6" ht="15" customHeight="1">
      <c r="B72" s="285" t="s">
        <v>328</v>
      </c>
      <c r="C72" s="261" t="s">
        <v>97</v>
      </c>
      <c r="D72" s="203" t="s">
        <v>58</v>
      </c>
      <c r="F72" s="283"/>
    </row>
    <row r="73" spans="2:6" ht="15" customHeight="1">
      <c r="B73" s="105" t="s">
        <v>327</v>
      </c>
      <c r="C73" s="188">
        <f>(Normalized_FCF!G25+Normalized_FCF!G35-Normalized_FCF!G91)/12</f>
        <v>-2537910677.1791277</v>
      </c>
      <c r="D73" s="188">
        <f>(Normalized_FCF!C25+Normalized_FCF!C35-Normalized_FCF!C91)/12</f>
        <v>-2537910677.1791277</v>
      </c>
      <c r="F73" s="1" t="s">
        <v>362</v>
      </c>
    </row>
    <row r="74" spans="2:6" ht="15" customHeight="1">
      <c r="B74" s="288" t="s">
        <v>332</v>
      </c>
      <c r="C74" s="289">
        <f>-$C$66/C73</f>
        <v>7.0840841869120847</v>
      </c>
      <c r="D74" s="289">
        <f>-$C$66/D73</f>
        <v>7.0840841869120847</v>
      </c>
      <c r="F74" s="283" t="s">
        <v>329</v>
      </c>
    </row>
    <row r="75" spans="2:6" ht="15" customHeight="1">
      <c r="B75" s="80" t="s">
        <v>330</v>
      </c>
      <c r="C75" s="293"/>
      <c r="D75" s="292">
        <f>MAX(-D73*D76,G5)</f>
        <v>5075821354.3582554</v>
      </c>
      <c r="F75" s="283" t="s">
        <v>363</v>
      </c>
    </row>
    <row r="76" spans="2:6" ht="15" customHeight="1">
      <c r="B76" s="290" t="s">
        <v>333</v>
      </c>
      <c r="C76" s="291"/>
      <c r="D76" s="327">
        <f>IF(D74&lt;=3,1,IF(D74&gt;18,6,2))</f>
        <v>2</v>
      </c>
      <c r="F76" s="283" t="s">
        <v>334</v>
      </c>
    </row>
    <row r="77" spans="2:6" ht="15" customHeight="1">
      <c r="F77" s="283"/>
    </row>
    <row r="78" spans="2:6" ht="15" customHeight="1">
      <c r="B78" s="16" t="s">
        <v>191</v>
      </c>
      <c r="C78" s="261" t="s">
        <v>138</v>
      </c>
      <c r="D78" s="204" t="s">
        <v>35</v>
      </c>
      <c r="F78" s="283"/>
    </row>
    <row r="79" spans="2:6" ht="15" customHeight="1">
      <c r="B79" s="105" t="s">
        <v>180</v>
      </c>
      <c r="C79" s="20">
        <f>G7+G17</f>
        <v>4520183839</v>
      </c>
      <c r="D79" s="188">
        <f>G7*H7+G17*H17</f>
        <v>2712110303.3999996</v>
      </c>
      <c r="F79" s="283"/>
    </row>
    <row r="80" spans="2:6" ht="15" customHeight="1">
      <c r="B80" s="105" t="s">
        <v>184</v>
      </c>
      <c r="C80" s="20">
        <f>G19</f>
        <v>391873803</v>
      </c>
      <c r="D80" s="188">
        <f>G19*H19</f>
        <v>39187380.300000004</v>
      </c>
      <c r="F80" s="283"/>
    </row>
    <row r="81" spans="2:8" ht="15" customHeight="1">
      <c r="B81" s="105" t="s">
        <v>182</v>
      </c>
      <c r="C81" s="20">
        <f>G9+G21</f>
        <v>41138918</v>
      </c>
      <c r="D81" s="188">
        <f>G9*H9+G21*H21</f>
        <v>4113891.8000000003</v>
      </c>
      <c r="F81" s="283"/>
    </row>
    <row r="82" spans="2:8" ht="15" customHeight="1">
      <c r="B82" s="80" t="s">
        <v>191</v>
      </c>
      <c r="C82" s="81">
        <f>SUM(C79:C81)</f>
        <v>4953196560</v>
      </c>
      <c r="D82" s="81">
        <f>SUM(D79:D81)</f>
        <v>2755411575.5</v>
      </c>
      <c r="F82" s="283"/>
    </row>
    <row r="84" spans="2:8" ht="15" customHeight="1">
      <c r="B84" s="79" t="s">
        <v>297</v>
      </c>
      <c r="C84" s="37"/>
      <c r="D84" s="37"/>
      <c r="E84" s="37"/>
      <c r="F84" s="37"/>
      <c r="G84" s="37"/>
      <c r="H84" s="37"/>
    </row>
    <row r="85" spans="2:8" ht="15" customHeight="1">
      <c r="B85" s="16" t="s">
        <v>298</v>
      </c>
      <c r="D85" s="270" t="s">
        <v>299</v>
      </c>
    </row>
    <row r="86" spans="2:8" ht="15" customHeight="1">
      <c r="B86" s="267" t="s">
        <v>295</v>
      </c>
      <c r="C86" s="188">
        <f>-Valuation_Model!C7*Exchange_Rate</f>
        <v>-305374129.81</v>
      </c>
      <c r="D86" s="248">
        <f>C86*scaling_factor/Common_Shares</f>
        <v>-0.22384903152989977</v>
      </c>
      <c r="E86" s="269" t="str">
        <f>Market_currency</f>
        <v>HKD</v>
      </c>
    </row>
    <row r="87" spans="2:8" ht="15" customHeight="1">
      <c r="B87" s="267" t="s">
        <v>296</v>
      </c>
      <c r="C87" s="188">
        <f>Valuation_Model!C8*Exchange_Rate</f>
        <v>13806158149.556667</v>
      </c>
      <c r="D87" s="248">
        <f>C87*scaling_factor/Common_Shares</f>
        <v>10.120356733721225</v>
      </c>
      <c r="E87" s="269" t="str">
        <f>Market_currency</f>
        <v>HKD</v>
      </c>
    </row>
    <row r="88" spans="2:8" ht="15" customHeight="1">
      <c r="B88" s="268" t="s">
        <v>191</v>
      </c>
      <c r="C88" s="188">
        <f>Valuation_Model!C9*Exchange_Rate</f>
        <v>2948290385.7850003</v>
      </c>
      <c r="D88" s="248">
        <f>C88*scaling_factor/Common_Shares</f>
        <v>2.161191414405383</v>
      </c>
      <c r="E88" s="269" t="str">
        <f>Market_currency</f>
        <v>HKD</v>
      </c>
    </row>
    <row r="89" spans="2:8" ht="15" customHeight="1">
      <c r="B89" s="80" t="s">
        <v>300</v>
      </c>
      <c r="C89" s="187">
        <f>SUM(C86:C88)</f>
        <v>16449074405.531668</v>
      </c>
      <c r="D89" s="271">
        <f>SUM(D86:D88)</f>
        <v>12.057699116596709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101</v>
      </c>
      <c r="C2" s="54"/>
      <c r="D2" s="56"/>
      <c r="E2" s="66" t="s">
        <v>60</v>
      </c>
      <c r="F2" s="56"/>
      <c r="G2" s="37"/>
      <c r="H2" s="37"/>
      <c r="I2" s="37"/>
      <c r="J2" s="37"/>
      <c r="K2" s="37"/>
      <c r="L2" s="37"/>
      <c r="M2" s="37"/>
      <c r="N2" s="37"/>
      <c r="O2" s="37"/>
      <c r="P2" s="37"/>
      <c r="Q2" s="37"/>
    </row>
    <row r="3" spans="1:17" ht="15.75" customHeight="1">
      <c r="A3" s="10"/>
      <c r="B3" s="16" t="s">
        <v>67</v>
      </c>
      <c r="C3" s="107">
        <f>scaling_factor</f>
        <v>1</v>
      </c>
      <c r="D3" s="9"/>
      <c r="E3" s="302"/>
      <c r="F3" s="9"/>
      <c r="G3" s="9"/>
    </row>
    <row r="4" spans="1:17" ht="15.75" customHeight="1">
      <c r="A4" s="10"/>
      <c r="B4" s="26" t="s">
        <v>2</v>
      </c>
      <c r="C4" s="190">
        <f>AVERAGE(G4:J4)</f>
        <v>32137830111</v>
      </c>
      <c r="D4" s="57"/>
      <c r="E4" s="300"/>
      <c r="F4" s="57"/>
      <c r="G4" s="183">
        <f>Data!C36</f>
        <v>32137830111</v>
      </c>
      <c r="H4" s="183" t="str">
        <f>Data!D36</f>
        <v/>
      </c>
      <c r="I4" s="183" t="str">
        <f>Data!E36</f>
        <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47</v>
      </c>
      <c r="C5" s="191">
        <f>C25</f>
        <v>-26140692078</v>
      </c>
      <c r="E5" s="302"/>
      <c r="G5" s="183">
        <f t="shared" ref="G5:Q5" si="1">G25</f>
        <v>-26140692078</v>
      </c>
      <c r="H5" s="183" t="str">
        <f t="shared" si="1"/>
        <v/>
      </c>
      <c r="I5" s="183" t="str">
        <f t="shared" si="1"/>
        <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49</v>
      </c>
      <c r="C6" s="184">
        <f>C4+C5</f>
        <v>5997138033</v>
      </c>
      <c r="E6" s="302"/>
      <c r="G6" s="184">
        <f>IF(G4="","",G4+G5)</f>
        <v>5997138033</v>
      </c>
      <c r="H6" s="184" t="str">
        <f t="shared" ref="H6:Q6" si="2">IF(H4="","",H4+H5)</f>
        <v/>
      </c>
      <c r="I6" s="184" t="str">
        <f t="shared" si="2"/>
        <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46</v>
      </c>
      <c r="C7" s="191">
        <f>C35</f>
        <v>-1509345456</v>
      </c>
      <c r="E7" s="302"/>
      <c r="G7" s="191">
        <f t="shared" ref="G7:Q7" si="3">G35</f>
        <v>-1509345456</v>
      </c>
      <c r="H7" s="191" t="str">
        <f t="shared" si="3"/>
        <v/>
      </c>
      <c r="I7" s="191" t="str">
        <f t="shared" si="3"/>
        <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154</v>
      </c>
      <c r="C8" s="192">
        <f>C6+C7</f>
        <v>4487792577</v>
      </c>
      <c r="D8" s="59"/>
      <c r="E8" s="308"/>
      <c r="F8" s="59"/>
      <c r="G8" s="184">
        <f>IF(G$4="","",G6+G7)</f>
        <v>4487792577</v>
      </c>
      <c r="H8" s="184" t="str">
        <f t="shared" ref="H8:Q8" si="4">IF(H$4="","",H6+H7)</f>
        <v/>
      </c>
      <c r="I8" s="184" t="str">
        <f t="shared" si="4"/>
        <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66</v>
      </c>
      <c r="C9" s="191">
        <f>BS!$G$39*BS!D58</f>
        <v>1191305772</v>
      </c>
      <c r="E9" s="302"/>
      <c r="G9" s="191">
        <f>IF(Data!C61="","",-Data!C61)</f>
        <v>1191305772</v>
      </c>
      <c r="H9" s="191" t="str">
        <f>IF(Data!D61="","",-Data!D61)</f>
        <v/>
      </c>
      <c r="I9" s="191" t="str">
        <f>IF(Data!E61="","",-Data!E61)</f>
        <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82</v>
      </c>
      <c r="C10" s="191">
        <f>-C4*C78</f>
        <v>-1191305772</v>
      </c>
      <c r="E10" s="302"/>
      <c r="G10" s="191">
        <f>Data!C62</f>
        <v>-1191305772</v>
      </c>
      <c r="H10" s="191" t="str">
        <f>Data!D62</f>
        <v/>
      </c>
      <c r="I10" s="191" t="str">
        <f>Data!E62</f>
        <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196</v>
      </c>
      <c r="C11" s="193">
        <f>C63</f>
        <v>0</v>
      </c>
      <c r="D11" s="169"/>
      <c r="E11" s="301"/>
      <c r="F11" s="169"/>
      <c r="G11" s="186">
        <f>G61</f>
        <v>0</v>
      </c>
      <c r="H11" s="186" t="str">
        <f t="shared" ref="H11:Q11" si="5">H61</f>
        <v/>
      </c>
      <c r="I11" s="186" t="str">
        <f t="shared" si="5"/>
        <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69</v>
      </c>
      <c r="C12" s="191">
        <f>C50</f>
        <v>152291650.21260402</v>
      </c>
      <c r="E12" s="302"/>
      <c r="G12" s="191">
        <f>G50</f>
        <v>152291650.21260405</v>
      </c>
      <c r="H12" s="191" t="str">
        <f t="shared" ref="H12:Q12" si="6">H50</f>
        <v/>
      </c>
      <c r="I12" s="191" t="str">
        <f t="shared" si="6"/>
        <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166</v>
      </c>
      <c r="C13" s="184">
        <f>SUM(C8:C12)</f>
        <v>4640084227.2126036</v>
      </c>
      <c r="E13" s="302"/>
      <c r="G13" s="184">
        <f>IF(G$4="","",SUM(G8:G12))</f>
        <v>4640084227.2126045</v>
      </c>
      <c r="H13" s="184" t="str">
        <f t="shared" ref="H13:Q13" si="7">IF(H$4="","",SUM(H8:H12))</f>
        <v/>
      </c>
      <c r="I13" s="184" t="str">
        <f t="shared" si="7"/>
        <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64</v>
      </c>
      <c r="C14" s="191">
        <f>-SUM(C8+C11,C12)*C43</f>
        <v>-1160021056.8031509</v>
      </c>
      <c r="E14" s="302"/>
      <c r="G14" s="191">
        <f>Data!C46</f>
        <v>-1389716314</v>
      </c>
      <c r="H14" s="191" t="str">
        <f>Data!D46</f>
        <v/>
      </c>
      <c r="I14" s="191" t="str">
        <f>Data!E46</f>
        <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245</v>
      </c>
      <c r="C15" s="191">
        <f>-C4*C83</f>
        <v>-146792828</v>
      </c>
      <c r="D15" s="60"/>
      <c r="E15" s="309"/>
      <c r="F15" s="60"/>
      <c r="G15" s="183">
        <f>Data!C48</f>
        <v>-146792828</v>
      </c>
      <c r="H15" s="183" t="str">
        <f>Data!D48</f>
        <v/>
      </c>
      <c r="I15" s="183" t="str">
        <f>Data!E48</f>
        <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156</v>
      </c>
      <c r="C16" s="194">
        <f>SUM(C13:C15)</f>
        <v>3333270342.4094524</v>
      </c>
      <c r="D16" s="61"/>
      <c r="E16" s="310"/>
      <c r="F16" s="61"/>
      <c r="G16" s="184">
        <f>IF(G$4="","",SUM(G13:G15))</f>
        <v>3103575085.2126045</v>
      </c>
      <c r="H16" s="184" t="str">
        <f t="shared" ref="H16:Q16" si="8">IF(H$4="","",SUM(H13:H15))</f>
        <v/>
      </c>
      <c r="I16" s="184" t="str">
        <f t="shared" si="8"/>
        <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53</v>
      </c>
      <c r="C17" s="191">
        <f>-C4*C85</f>
        <v>0</v>
      </c>
      <c r="D17" s="58"/>
      <c r="E17" s="301" t="s">
        <v>342</v>
      </c>
      <c r="F17" s="58"/>
      <c r="G17" s="195"/>
      <c r="H17" s="195"/>
      <c r="I17" s="195"/>
      <c r="J17" s="195"/>
      <c r="K17" s="195"/>
      <c r="L17" s="195"/>
      <c r="M17" s="195"/>
      <c r="N17" s="195"/>
      <c r="O17" s="195"/>
      <c r="P17" s="195"/>
      <c r="Q17" s="195"/>
    </row>
    <row r="18" spans="1:17" ht="15.75" customHeight="1">
      <c r="A18" s="10"/>
      <c r="B18" s="27" t="s">
        <v>100</v>
      </c>
      <c r="C18" s="191">
        <v>0</v>
      </c>
      <c r="D18" s="58"/>
      <c r="E18" s="301" t="s">
        <v>343</v>
      </c>
      <c r="F18" s="58"/>
      <c r="G18" s="196"/>
      <c r="H18" s="196"/>
      <c r="I18" s="196"/>
      <c r="J18" s="196"/>
      <c r="K18" s="196"/>
      <c r="L18" s="196"/>
      <c r="M18" s="196"/>
      <c r="N18" s="196"/>
      <c r="O18" s="196"/>
      <c r="P18" s="196"/>
      <c r="Q18" s="196"/>
    </row>
    <row r="19" spans="1:17" ht="15.75" customHeight="1">
      <c r="A19" s="10"/>
      <c r="B19" s="31" t="s">
        <v>67</v>
      </c>
      <c r="C19" s="184">
        <f>C16+C17</f>
        <v>3333270342.4094524</v>
      </c>
      <c r="D19" s="27"/>
      <c r="E19" s="299"/>
      <c r="F19" s="27"/>
      <c r="G19" s="186">
        <f>IF(G$4="","",G16+G17)</f>
        <v>3103575085.2126045</v>
      </c>
      <c r="H19" s="186" t="str">
        <f t="shared" ref="H19:Q19" si="9">IF(H$4="","",H16+H17)</f>
        <v/>
      </c>
      <c r="I19" s="186" t="str">
        <f t="shared" si="9"/>
        <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207</v>
      </c>
      <c r="C21" s="54"/>
      <c r="D21" s="56"/>
      <c r="E21" s="66" t="s">
        <v>60</v>
      </c>
      <c r="F21" s="56"/>
      <c r="G21" s="37"/>
      <c r="H21" s="37"/>
      <c r="I21" s="37"/>
      <c r="J21" s="37"/>
      <c r="K21" s="37"/>
      <c r="L21" s="37"/>
      <c r="M21" s="37"/>
      <c r="N21" s="37"/>
      <c r="O21" s="37"/>
      <c r="P21" s="37"/>
      <c r="Q21" s="37"/>
    </row>
    <row r="22" spans="1:17" ht="15.75" customHeight="1">
      <c r="A22" s="10"/>
      <c r="B22" s="64" t="s">
        <v>47</v>
      </c>
      <c r="C22" s="62"/>
      <c r="D22" s="27"/>
      <c r="E22" s="299"/>
      <c r="F22" s="27"/>
      <c r="G22" s="12"/>
      <c r="H22" s="12"/>
      <c r="I22" s="12"/>
      <c r="J22" s="12"/>
      <c r="K22" s="12"/>
      <c r="L22" s="12"/>
      <c r="M22" s="12"/>
      <c r="N22" s="12"/>
      <c r="O22" s="12"/>
      <c r="P22" s="12"/>
      <c r="Q22" s="12"/>
    </row>
    <row r="23" spans="1:17" ht="15.75" customHeight="1">
      <c r="A23" s="10"/>
      <c r="B23" s="27" t="s">
        <v>44</v>
      </c>
      <c r="C23" s="197">
        <f>-C4*C28</f>
        <v>-21538172214</v>
      </c>
      <c r="D23" s="58"/>
      <c r="E23" s="301"/>
      <c r="F23" s="58"/>
      <c r="G23" s="183">
        <f>Data!C37</f>
        <v>-21538172214</v>
      </c>
      <c r="H23" s="183" t="str">
        <f>Data!D37</f>
        <v/>
      </c>
      <c r="I23" s="183" t="str">
        <f>Data!E37</f>
        <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63</v>
      </c>
      <c r="C24" s="191">
        <f>-C4*C29</f>
        <v>-4602519864</v>
      </c>
      <c r="D24" s="27"/>
      <c r="E24" s="299"/>
      <c r="F24" s="27"/>
      <c r="G24" s="183">
        <f>Data!C40</f>
        <v>-4602519864</v>
      </c>
      <c r="H24" s="183" t="str">
        <f>Data!D40</f>
        <v/>
      </c>
      <c r="I24" s="183" t="str">
        <f>Data!E40</f>
        <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47</v>
      </c>
      <c r="C25" s="184">
        <f>C23+C24</f>
        <v>-26140692078</v>
      </c>
      <c r="D25" s="9"/>
      <c r="E25" s="307"/>
      <c r="F25" s="9"/>
      <c r="G25" s="184">
        <f t="shared" ref="G25:Q25" si="10">IF(G$4="","",G23+G24)</f>
        <v>-26140692078</v>
      </c>
      <c r="H25" s="184" t="str">
        <f t="shared" si="10"/>
        <v/>
      </c>
      <c r="I25" s="184" t="str">
        <f t="shared" si="10"/>
        <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208</v>
      </c>
      <c r="E27" s="302"/>
    </row>
    <row r="28" spans="1:17" ht="15.75" customHeight="1">
      <c r="A28" s="10"/>
      <c r="B28" s="26" t="s">
        <v>44</v>
      </c>
      <c r="C28" s="63">
        <f>AVERAGE(G28:J28)</f>
        <v>0.67018128291828905</v>
      </c>
      <c r="D28" s="26"/>
      <c r="E28" s="300" t="s">
        <v>344</v>
      </c>
      <c r="F28" s="26"/>
      <c r="G28" s="13">
        <f t="shared" ref="G28:Q28" si="11">IF(G$4="","",ABS(G23/G$4))</f>
        <v>0.67018128291828905</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0.14321190472734091</v>
      </c>
      <c r="D29" s="26"/>
      <c r="E29" s="300" t="s">
        <v>344</v>
      </c>
      <c r="F29" s="26"/>
      <c r="G29" s="13">
        <f t="shared" ref="G29:Q29" si="12">IF(G$4="","",ABS(G24/G$4))</f>
        <v>0.14321190472734091</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47</v>
      </c>
      <c r="C30" s="71">
        <f>ABS(C25/$C$4)</f>
        <v>0.81339318764562996</v>
      </c>
      <c r="E30" s="302"/>
      <c r="G30" s="30">
        <f t="shared" ref="G30:Q30" si="13">IF(G$4="","",ABS(G25/G$4))</f>
        <v>0.81339318764562996</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46</v>
      </c>
      <c r="E32" s="302"/>
    </row>
    <row r="33" spans="1:17" ht="15.75" customHeight="1">
      <c r="A33" s="10"/>
      <c r="B33" s="8" t="s">
        <v>176</v>
      </c>
      <c r="C33" s="198">
        <f>AVERAGE(G33:J33)</f>
        <v>-1406578781</v>
      </c>
      <c r="E33" s="300" t="s">
        <v>344</v>
      </c>
      <c r="G33" s="191">
        <f>Data!C41</f>
        <v>-1406578781</v>
      </c>
      <c r="H33" s="191" t="str">
        <f>Data!D41</f>
        <v/>
      </c>
      <c r="I33" s="191" t="str">
        <f>Data!E41</f>
        <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50</v>
      </c>
      <c r="C34" s="198">
        <f>AVERAGE(G34:J34)</f>
        <v>-102766675</v>
      </c>
      <c r="D34" s="58"/>
      <c r="E34" s="300" t="s">
        <v>344</v>
      </c>
      <c r="F34" s="58"/>
      <c r="G34" s="183">
        <f>Data!C42</f>
        <v>-102766675</v>
      </c>
      <c r="H34" s="183" t="str">
        <f>Data!D42</f>
        <v/>
      </c>
      <c r="I34" s="183" t="str">
        <f>Data!E42</f>
        <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46</v>
      </c>
      <c r="C35" s="184">
        <f>C33+C34</f>
        <v>-1509345456</v>
      </c>
      <c r="D35" s="58"/>
      <c r="E35" s="301"/>
      <c r="F35" s="58"/>
      <c r="G35" s="184">
        <f t="shared" ref="G35:Q35" si="14">IF(G4="","",G33+G34)</f>
        <v>-1509345456</v>
      </c>
      <c r="H35" s="184" t="str">
        <f t="shared" si="14"/>
        <v/>
      </c>
      <c r="I35" s="184" t="str">
        <f t="shared" si="14"/>
        <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209</v>
      </c>
      <c r="E37" s="302"/>
    </row>
    <row r="38" spans="1:17" ht="15.75" customHeight="1">
      <c r="A38" s="10"/>
      <c r="B38" s="2" t="str">
        <f>B33</f>
        <v>G&amp;A and other Opex</v>
      </c>
      <c r="C38" s="23">
        <f>ABS(C33/$C$4)</f>
        <v>4.3767073761416211E-2</v>
      </c>
      <c r="D38" s="27"/>
      <c r="E38" s="299"/>
      <c r="F38" s="27"/>
      <c r="G38" s="13">
        <f t="shared" ref="G38:Q38" si="15">IF(G$4="","",ABS(G33/G$4))</f>
        <v>4.3767073761416211E-2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3.1976855514220127E-3</v>
      </c>
      <c r="D39" s="27"/>
      <c r="E39" s="299"/>
      <c r="F39" s="27"/>
      <c r="G39" s="13">
        <f t="shared" ref="G39:Q39" si="16">IF(G$4="","",ABS(G34/G$4))</f>
        <v>3.1976855514220127E-3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46</v>
      </c>
      <c r="C40" s="71">
        <f>ABS(C35/$C$4)</f>
        <v>4.6964759312838222E-2</v>
      </c>
      <c r="E40" s="302"/>
      <c r="G40" s="30">
        <f t="shared" ref="G40:Q40" si="17">IF(G$4="","",ABS(G35/G$4))</f>
        <v>4.6964759312838222E-2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210</v>
      </c>
      <c r="E42" s="302"/>
    </row>
    <row r="43" spans="1:17" ht="15.75" customHeight="1">
      <c r="A43" s="10"/>
      <c r="B43" s="27" t="s">
        <v>173</v>
      </c>
      <c r="C43" s="296">
        <v>0.25</v>
      </c>
      <c r="D43" s="27"/>
      <c r="E43" s="299" t="s">
        <v>345</v>
      </c>
      <c r="F43" s="27"/>
      <c r="G43" s="6">
        <f t="shared" ref="G43:Q43" si="18">IF(G$4="","",-G14/SUM(G8+G11,G12))</f>
        <v>0.2995023896009818</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211</v>
      </c>
      <c r="C45" s="54"/>
      <c r="D45" s="56"/>
      <c r="E45" s="66" t="s">
        <v>60</v>
      </c>
      <c r="F45" s="56"/>
      <c r="G45" s="37"/>
      <c r="H45" s="37"/>
      <c r="I45" s="37"/>
      <c r="J45" s="37"/>
      <c r="K45" s="37"/>
      <c r="L45" s="37"/>
      <c r="M45" s="37"/>
      <c r="N45" s="37"/>
      <c r="O45" s="37"/>
      <c r="P45" s="37"/>
      <c r="Q45" s="37"/>
    </row>
    <row r="46" spans="1:17" ht="15.75" customHeight="1">
      <c r="A46" s="10"/>
      <c r="B46" s="64" t="s">
        <v>61</v>
      </c>
      <c r="E46" s="302"/>
    </row>
    <row r="47" spans="1:17" ht="15.75" customHeight="1">
      <c r="A47" s="10"/>
      <c r="B47" s="2" t="s">
        <v>39</v>
      </c>
      <c r="C47" s="191">
        <f>-BS!G31*Normalized_FCF!C54</f>
        <v>-21837054</v>
      </c>
      <c r="E47" s="302"/>
      <c r="G47" s="191">
        <f>Data!C51</f>
        <v>-21837054</v>
      </c>
      <c r="H47" s="191" t="str">
        <f>Data!D51</f>
        <v/>
      </c>
      <c r="I47" s="191" t="str">
        <f>Data!E51</f>
        <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356</v>
      </c>
      <c r="C48" s="191">
        <f>BS!D75*C53</f>
        <v>174128704.21260402</v>
      </c>
      <c r="E48" s="302"/>
      <c r="G48" s="328">
        <f>IFERROR(IF(G$4="","",($C$48/$C$49)*G49),0)</f>
        <v>174128704.21260405</v>
      </c>
      <c r="H48" s="328" t="str">
        <f t="shared" ref="H48:Q48" si="19">IFERROR(IF(H$4="","",($C$48/$C$49)*H49),0)</f>
        <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353</v>
      </c>
      <c r="C49" s="324">
        <f>BS!$C$66*C53</f>
        <v>616771200</v>
      </c>
      <c r="D49" s="325"/>
      <c r="E49" s="326"/>
      <c r="F49" s="325"/>
      <c r="G49" s="324">
        <f>Data!C52</f>
        <v>616771200</v>
      </c>
      <c r="H49" s="324" t="str">
        <f>Data!D52</f>
        <v/>
      </c>
      <c r="I49" s="324" t="str">
        <f>Data!E52</f>
        <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69</v>
      </c>
      <c r="C50" s="184">
        <f>C47+C48</f>
        <v>152291650.21260402</v>
      </c>
      <c r="E50" s="302"/>
      <c r="G50" s="184">
        <f>IF(G$4="","",(G47+G48))</f>
        <v>152291650.21260405</v>
      </c>
      <c r="H50" s="184" t="str">
        <f t="shared" ref="H50:Q50" si="20">IF(H$4="","",(H47+H48))</f>
        <v/>
      </c>
      <c r="I50" s="184" t="str">
        <f t="shared" si="20"/>
        <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157</v>
      </c>
      <c r="E52" s="302"/>
      <c r="G52" s="97" t="s">
        <v>221</v>
      </c>
    </row>
    <row r="53" spans="1:17" ht="15.75" customHeight="1">
      <c r="A53" s="10"/>
      <c r="B53" s="8" t="s">
        <v>90</v>
      </c>
      <c r="C53" s="87">
        <f>G53</f>
        <v>3.430552260533988E-2</v>
      </c>
      <c r="E53" s="299" t="s">
        <v>346</v>
      </c>
      <c r="G53" s="6">
        <f>IF(Normalized_FCF!G4="","",Normalized_FCF!G49/BS!$C$66)</f>
        <v>3.430552260533988E-2</v>
      </c>
      <c r="H53" s="170"/>
      <c r="I53" s="170"/>
      <c r="J53" s="170"/>
      <c r="K53" s="170"/>
      <c r="L53" s="170"/>
      <c r="M53" s="170"/>
      <c r="N53" s="170"/>
      <c r="O53" s="170"/>
      <c r="P53" s="170"/>
      <c r="Q53" s="170"/>
    </row>
    <row r="54" spans="1:17" ht="15.75" customHeight="1">
      <c r="A54" s="10"/>
      <c r="B54" s="8" t="s">
        <v>89</v>
      </c>
      <c r="C54" s="82">
        <f>G54</f>
        <v>7.6514823945754068E-2</v>
      </c>
      <c r="E54" s="299" t="s">
        <v>347</v>
      </c>
      <c r="G54" s="23">
        <f>IFERROR(ABS(Normalized_FCF!G47/BS!$G$31),0)</f>
        <v>7.6514823945754068E-2</v>
      </c>
      <c r="H54" s="170"/>
      <c r="I54" s="170"/>
      <c r="J54" s="170"/>
      <c r="K54" s="170"/>
      <c r="L54" s="170"/>
      <c r="M54" s="170"/>
      <c r="N54" s="170"/>
      <c r="O54" s="170"/>
      <c r="P54" s="170"/>
      <c r="Q54" s="170"/>
    </row>
    <row r="55" spans="1:17" ht="15.75" customHeight="1">
      <c r="A55" s="10"/>
      <c r="B55" s="26" t="s">
        <v>92</v>
      </c>
      <c r="C55" s="42">
        <f>-C8/C47</f>
        <v>205.51272973909391</v>
      </c>
      <c r="E55" s="302"/>
      <c r="G55" s="42">
        <f t="shared" ref="G55:Q55" si="21">IF(G4="","",-G8/G47)</f>
        <v>205.51272973909391</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170</v>
      </c>
      <c r="E57" s="302"/>
      <c r="G57" s="97" t="s">
        <v>221</v>
      </c>
    </row>
    <row r="58" spans="1:17" ht="15.75" customHeight="1">
      <c r="A58" s="10"/>
      <c r="B58" s="40" t="s">
        <v>169</v>
      </c>
      <c r="C58" s="191">
        <f>BS!$C67*C66</f>
        <v>0</v>
      </c>
      <c r="E58" s="302"/>
      <c r="G58" s="191">
        <f>Data!C56</f>
        <v>0</v>
      </c>
      <c r="H58" s="191" t="str">
        <f>Data!D56</f>
        <v/>
      </c>
      <c r="I58" s="191" t="str">
        <f>Data!E56</f>
        <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161</v>
      </c>
      <c r="C59" s="191">
        <f>BS!$C68*C67</f>
        <v>0</v>
      </c>
      <c r="E59" s="302"/>
      <c r="G59" s="191">
        <f>Data!C55</f>
        <v>0</v>
      </c>
      <c r="H59" s="191" t="str">
        <f>Data!D55</f>
        <v/>
      </c>
      <c r="I59" s="191" t="str">
        <f>Data!E55</f>
        <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160</v>
      </c>
      <c r="C60" s="191">
        <f>BS!$C69*C68</f>
        <v>0</v>
      </c>
      <c r="E60" s="302"/>
      <c r="G60" s="191">
        <f>Data!C57</f>
        <v>0</v>
      </c>
      <c r="H60" s="191" t="str">
        <f>Data!D57</f>
        <v/>
      </c>
      <c r="I60" s="191" t="str">
        <f>Data!E57</f>
        <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196</v>
      </c>
      <c r="C61" s="184">
        <f>SUM(C58:C60)</f>
        <v>0</v>
      </c>
      <c r="E61" s="302"/>
      <c r="G61" s="184">
        <f t="shared" ref="G61:Q61" si="22">IF(G4="","",SUM(G58:G60))</f>
        <v>0</v>
      </c>
      <c r="H61" s="184" t="str">
        <f t="shared" si="22"/>
        <v/>
      </c>
      <c r="I61" s="184" t="str">
        <f t="shared" si="22"/>
        <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162</v>
      </c>
      <c r="C62" s="297">
        <v>0</v>
      </c>
      <c r="E62" s="300" t="s">
        <v>348</v>
      </c>
      <c r="G62" s="191">
        <f>Data!C58</f>
        <v>798766277</v>
      </c>
      <c r="H62" s="191" t="str">
        <f>Data!D58</f>
        <v/>
      </c>
      <c r="I62" s="191" t="str">
        <f>Data!E58</f>
        <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197</v>
      </c>
      <c r="C63" s="184">
        <f>C61+C62</f>
        <v>0</v>
      </c>
      <c r="E63" s="302"/>
      <c r="G63" s="184">
        <f t="shared" ref="G63:Q63" si="23">IF(G4="","",G61+G62)</f>
        <v>798766277</v>
      </c>
      <c r="H63" s="184" t="str">
        <f t="shared" si="23"/>
        <v/>
      </c>
      <c r="I63" s="184" t="str">
        <f t="shared" si="23"/>
        <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171</v>
      </c>
      <c r="E65" s="302"/>
      <c r="G65" s="97" t="s">
        <v>221</v>
      </c>
    </row>
    <row r="66" spans="1:17" ht="15.75" customHeight="1">
      <c r="A66" s="10"/>
      <c r="B66" s="40" t="s">
        <v>169</v>
      </c>
      <c r="C66" s="177">
        <f>G66</f>
        <v>0</v>
      </c>
      <c r="E66" s="302"/>
      <c r="G66" s="23">
        <f>IFERROR(G58/BS!$C$67,0)</f>
        <v>0</v>
      </c>
      <c r="H66" s="176"/>
      <c r="I66" s="176"/>
      <c r="J66" s="176"/>
      <c r="K66" s="176"/>
      <c r="L66" s="176"/>
      <c r="M66" s="176"/>
      <c r="N66" s="176"/>
      <c r="O66" s="176"/>
      <c r="P66" s="176"/>
      <c r="Q66" s="176"/>
    </row>
    <row r="67" spans="1:17" ht="15.75" customHeight="1">
      <c r="A67" s="10"/>
      <c r="B67" s="105" t="s">
        <v>159</v>
      </c>
      <c r="C67" s="177">
        <f>G67</f>
        <v>0</v>
      </c>
      <c r="E67" s="302"/>
      <c r="G67" s="23">
        <f>IFERROR(G59/BS!$C$68,0)</f>
        <v>0</v>
      </c>
      <c r="H67" s="176"/>
      <c r="I67" s="176"/>
      <c r="J67" s="176"/>
      <c r="K67" s="176"/>
      <c r="L67" s="176"/>
      <c r="M67" s="176"/>
      <c r="N67" s="176"/>
      <c r="O67" s="176"/>
      <c r="P67" s="176"/>
      <c r="Q67" s="176"/>
    </row>
    <row r="68" spans="1:17" ht="15.75" customHeight="1">
      <c r="A68" s="10"/>
      <c r="B68" s="105" t="s">
        <v>160</v>
      </c>
      <c r="C68" s="177">
        <f>G68</f>
        <v>0</v>
      </c>
      <c r="E68" s="302"/>
      <c r="G68" s="23">
        <f>IFERROR(G60/BS!$C$69,0)</f>
        <v>0</v>
      </c>
      <c r="H68" s="176"/>
      <c r="I68" s="176"/>
      <c r="J68" s="176"/>
      <c r="K68" s="176"/>
      <c r="L68" s="176"/>
      <c r="M68" s="176"/>
      <c r="N68" s="176"/>
      <c r="O68" s="176"/>
      <c r="P68" s="176"/>
      <c r="Q68" s="176"/>
    </row>
    <row r="69" spans="1:17" ht="15.75" customHeight="1">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214</v>
      </c>
      <c r="C71" s="54"/>
      <c r="D71" s="56"/>
      <c r="E71" s="66" t="s">
        <v>60</v>
      </c>
      <c r="F71" s="56"/>
      <c r="G71" s="37"/>
      <c r="H71" s="37"/>
      <c r="I71" s="37"/>
      <c r="J71" s="37"/>
      <c r="K71" s="37"/>
      <c r="L71" s="37"/>
      <c r="M71" s="37"/>
      <c r="N71" s="37"/>
      <c r="O71" s="37"/>
      <c r="P71" s="37"/>
      <c r="Q71" s="37"/>
    </row>
    <row r="72" spans="1:17" ht="15.75" customHeight="1">
      <c r="A72" s="10"/>
      <c r="B72" s="72" t="s">
        <v>218</v>
      </c>
      <c r="C72" s="62"/>
      <c r="D72" s="27"/>
      <c r="E72" s="299"/>
      <c r="F72" s="27"/>
      <c r="G72" s="97"/>
      <c r="H72" s="12"/>
      <c r="I72" s="12"/>
      <c r="J72" s="12"/>
      <c r="K72" s="12"/>
      <c r="L72" s="12"/>
      <c r="M72" s="12"/>
      <c r="N72" s="12"/>
      <c r="O72" s="12"/>
      <c r="P72" s="12"/>
      <c r="Q72" s="12"/>
    </row>
    <row r="73" spans="1:17" ht="15.75" customHeight="1">
      <c r="A73" s="10"/>
      <c r="B73" s="2" t="s">
        <v>47</v>
      </c>
      <c r="C73" s="77">
        <f>ABS(C5/C$4)</f>
        <v>0.81339318764562996</v>
      </c>
      <c r="D73" s="27"/>
      <c r="E73" s="299"/>
      <c r="F73" s="27"/>
      <c r="G73" s="6">
        <f t="shared" ref="G73:Q73" si="24">IF(G$4="","",ABS(G5/G$4))</f>
        <v>0.81339318764562996</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49</v>
      </c>
      <c r="C74" s="78">
        <f>ABS(C6/C$4)</f>
        <v>0.18660681235437004</v>
      </c>
      <c r="D74" s="27"/>
      <c r="E74" s="299"/>
      <c r="F74" s="27"/>
      <c r="G74" s="65">
        <f t="shared" ref="G74:Q74" si="25">IF(G$4="","",ABS(G6/G$4))</f>
        <v>0.18660681235437004</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46</v>
      </c>
      <c r="C75" s="77">
        <f>ABS(C7/C$4)</f>
        <v>4.6964759312838222E-2</v>
      </c>
      <c r="D75" s="27"/>
      <c r="E75" s="299"/>
      <c r="F75" s="27"/>
      <c r="G75" s="6">
        <f t="shared" ref="G75:Q75" si="26">IF(G$4="","",ABS(G7/G$4))</f>
        <v>4.6964759312838222E-2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154</v>
      </c>
      <c r="C76" s="78">
        <f>ABS(C8/C$4)</f>
        <v>0.13964205304153179</v>
      </c>
      <c r="D76" s="27"/>
      <c r="E76" s="299"/>
      <c r="F76" s="27"/>
      <c r="G76" s="65">
        <f t="shared" ref="G76:Q76" si="27">IF(G$4="","",ABS(G8/G$4))</f>
        <v>0.13964205304153179</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66</v>
      </c>
      <c r="C77" s="77">
        <f>ABS(C9/C$4)</f>
        <v>3.7068643647856142E-2</v>
      </c>
      <c r="D77" s="27"/>
      <c r="E77" s="299"/>
      <c r="F77" s="27"/>
      <c r="G77" s="6">
        <f t="shared" ref="G77:Q77" si="28">IF(G$4="","",G9/G$4)</f>
        <v>3.7068643647856142E-2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82</v>
      </c>
      <c r="C78" s="88">
        <f>MAX(AVERAGE(G78:J78),C77)</f>
        <v>3.7068643647856142E-2</v>
      </c>
      <c r="D78" s="27"/>
      <c r="E78" s="300" t="s">
        <v>366</v>
      </c>
      <c r="F78" s="27"/>
      <c r="G78" s="6">
        <f t="shared" ref="G78:Q78" si="29">IF(G$4="","",-G10/G$4)</f>
        <v>3.7068643647856142E-2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155</v>
      </c>
      <c r="C79" s="78">
        <f>ABS(C11/C$4)</f>
        <v>0</v>
      </c>
      <c r="D79" s="27"/>
      <c r="E79" s="299"/>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69</v>
      </c>
      <c r="C80" s="77">
        <f>ABS(C12/C$4)</f>
        <v>4.7387035679324931E-3</v>
      </c>
      <c r="D80" s="27"/>
      <c r="E80" s="299"/>
      <c r="F80" s="27"/>
      <c r="G80" s="6">
        <f t="shared" ref="G80:Q80" si="31">IF(G$4="","",ABS(G12/G$4))</f>
        <v>4.7387035679324939E-3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166</v>
      </c>
      <c r="C81" s="78">
        <f>C13/C4</f>
        <v>0.14438075660946428</v>
      </c>
      <c r="D81" s="27"/>
      <c r="E81" s="299"/>
      <c r="F81" s="27"/>
      <c r="G81" s="65">
        <f t="shared" ref="G81:Q81" si="32">IF(G$4="","",G13/G$4)</f>
        <v>0.14438075660946431</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64</v>
      </c>
      <c r="C82" s="77">
        <f>ABS(C14/C$4)</f>
        <v>3.6095189152366071E-2</v>
      </c>
      <c r="D82" s="27"/>
      <c r="E82" s="299"/>
      <c r="F82" s="27"/>
      <c r="G82" s="6">
        <f t="shared" ref="G82:Q82" si="33">IF(G$4="","",ABS(G14/G$4))</f>
        <v>4.3242381616932307E-2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156</v>
      </c>
      <c r="C84" s="78">
        <f>ABS(C16/C$4)</f>
        <v>0.10371796511764354</v>
      </c>
      <c r="D84" s="27"/>
      <c r="E84" s="299"/>
      <c r="F84" s="27"/>
      <c r="G84" s="65">
        <f t="shared" ref="G84:Q84" si="35">IF(G$4="","",ABS(G16/G$4))</f>
        <v>9.6570772653077341E-2</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100</v>
      </c>
      <c r="C86" s="77">
        <v>0</v>
      </c>
      <c r="E86" s="301" t="str">
        <f>E18</f>
        <v>Net borrowing is excluded</v>
      </c>
      <c r="G86" s="170"/>
      <c r="H86" s="170"/>
      <c r="I86" s="170"/>
      <c r="J86" s="170"/>
      <c r="K86" s="170"/>
      <c r="L86" s="170"/>
      <c r="M86" s="170"/>
      <c r="N86" s="170"/>
      <c r="O86" s="170"/>
      <c r="P86" s="170"/>
      <c r="Q86" s="170"/>
    </row>
    <row r="87" spans="1:17" ht="15.75" customHeight="1">
      <c r="A87" s="10"/>
      <c r="B87" s="31" t="s">
        <v>142</v>
      </c>
      <c r="C87" s="78">
        <f>ABS(C19/C$4)</f>
        <v>0.10371796511764354</v>
      </c>
      <c r="D87" s="75"/>
      <c r="E87" s="299"/>
      <c r="F87" s="75"/>
      <c r="G87" s="65">
        <f t="shared" ref="G87:Q87" si="36">IF(G$4="","",ABS(G19/G$4))</f>
        <v>9.6570772653077341E-2</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216</v>
      </c>
      <c r="E89" s="302"/>
    </row>
    <row r="90" spans="1:17" ht="15.75" customHeight="1">
      <c r="A90" s="10"/>
      <c r="B90" s="2" t="str">
        <f>"Dividend per share ("&amp;Market_currency&amp;")"</f>
        <v>Dividend per share (HKD)</v>
      </c>
      <c r="C90" s="114">
        <f>G90</f>
        <v>2.0560747663551404</v>
      </c>
      <c r="E90" s="302"/>
      <c r="G90" s="113">
        <f>Data!C65</f>
        <v>2.0560747663551404</v>
      </c>
      <c r="H90" s="113" t="str">
        <f>Data!D65</f>
        <v/>
      </c>
      <c r="I90" s="113" t="str">
        <f>Data!E65</f>
        <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2804890592.1495328</v>
      </c>
      <c r="E91" s="302"/>
      <c r="G91" s="74">
        <f>IF(G$4="","",G90*Common_Shares/scaling_factor)</f>
        <v>2804890592.1495328</v>
      </c>
      <c r="H91" s="74" t="str">
        <f>IF(H$4="","",H90*Common_Shares/scaling_factor)</f>
        <v/>
      </c>
      <c r="I91" s="74" t="str">
        <f>IF(I$4="","",I90*Common_Shares/scaling_factor)</f>
        <v/>
      </c>
      <c r="J91" s="74" t="str">
        <f>IF(J$4="","",J90*Common_Shares/scaling_factor)</f>
        <v/>
      </c>
      <c r="K91" s="74" t="str">
        <f>IF(K$4="","",K90*Common_Shares/scaling_factor)</f>
        <v/>
      </c>
      <c r="L91" s="74" t="str">
        <f>IF(L$4="","",L90*Common_Shares/scaling_factor)</f>
        <v/>
      </c>
      <c r="M91" s="74" t="str">
        <f>IF(M$4="","",M90*Common_Shares/scaling_factor)</f>
        <v/>
      </c>
      <c r="N91" s="74" t="str">
        <f>IF(N$4="","",N90*Common_Shares/scaling_factor)</f>
        <v/>
      </c>
      <c r="O91" s="74" t="str">
        <f>IF(O$4="","",O90*Common_Shares/scaling_factor)</f>
        <v/>
      </c>
      <c r="P91" s="74" t="str">
        <f>IF(P$4="","",P90*Common_Shares/scaling_factor)</f>
        <v/>
      </c>
      <c r="Q91" s="74" t="str">
        <f>IF(Q$4="","",Q90*Common_Shares/scaling_factor)</f>
        <v/>
      </c>
    </row>
    <row r="92" spans="1:17" ht="15.75" customHeight="1">
      <c r="A92" s="10"/>
      <c r="B92" s="2" t="s">
        <v>215</v>
      </c>
      <c r="C92" s="23">
        <f>C90/(C19*scaling_factor/Common_Shares)</f>
        <v>0.84148307938384004</v>
      </c>
      <c r="E92" s="302"/>
      <c r="G92" s="171">
        <f>IF(G$4="","",G90/(G19*scaling_factor/Common_Shares))</f>
        <v>0.9037611512973559</v>
      </c>
      <c r="H92" s="171" t="str">
        <f>IF(H$4="","",H90/(H19*scaling_factor/Common_Shares))</f>
        <v/>
      </c>
      <c r="I92" s="171" t="str">
        <f>IF(I$4="","",I90/(I19*scaling_factor/Common_Shares))</f>
        <v/>
      </c>
      <c r="J92" s="171" t="str">
        <f>IF(J$4="","",J90/(J19*scaling_factor/Common_Shares))</f>
        <v/>
      </c>
      <c r="K92" s="171" t="str">
        <f>IF(K$4="","",K90/(K19*scaling_factor/Common_Shares))</f>
        <v/>
      </c>
      <c r="L92" s="171" t="str">
        <f>IF(L$4="","",L90/(L19*scaling_factor/Common_Shares))</f>
        <v/>
      </c>
      <c r="M92" s="171" t="str">
        <f>IF(M$4="","",M90/(M19*scaling_factor/Common_Shares))</f>
        <v/>
      </c>
      <c r="N92" s="171" t="str">
        <f>IF(N$4="","",N90/(N19*scaling_factor/Common_Shares))</f>
        <v/>
      </c>
      <c r="O92" s="171" t="str">
        <f>IF(O$4="","",O90/(O19*scaling_factor/Common_Shares))</f>
        <v/>
      </c>
      <c r="P92" s="171" t="str">
        <f>IF(P$4="","",P90/(P19*scaling_factor/Common_Shares))</f>
        <v/>
      </c>
      <c r="Q92" s="171" t="str">
        <f>IF(Q$4="","",Q90/(Q19*scaling_factor/Common_Shares))</f>
        <v/>
      </c>
    </row>
    <row r="93" spans="1:17" ht="15.75" customHeight="1">
      <c r="A93" s="10"/>
      <c r="B93" s="2" t="s">
        <v>319</v>
      </c>
      <c r="C93" s="23">
        <f>C90/Market_Price</f>
        <v>3.755387701105279E-2</v>
      </c>
      <c r="E93" s="302"/>
      <c r="G93" s="23">
        <f t="shared" ref="G93:Q93" si="37">IF(G$4="","",G90/Market_Price)</f>
        <v>3.755387701105279E-2</v>
      </c>
      <c r="H93" s="23" t="str">
        <f t="shared" si="37"/>
        <v/>
      </c>
      <c r="I93" s="23" t="str">
        <f t="shared" si="37"/>
        <v/>
      </c>
      <c r="J93" s="23" t="str">
        <f t="shared" si="37"/>
        <v/>
      </c>
      <c r="K93" s="23" t="str">
        <f t="shared" si="37"/>
        <v/>
      </c>
      <c r="L93" s="23" t="str">
        <f t="shared" si="37"/>
        <v/>
      </c>
      <c r="M93" s="23" t="str">
        <f t="shared" si="37"/>
        <v/>
      </c>
      <c r="N93" s="23" t="str">
        <f t="shared" si="37"/>
        <v/>
      </c>
      <c r="O93" s="23" t="str">
        <f t="shared" si="37"/>
        <v/>
      </c>
      <c r="P93" s="23" t="str">
        <f t="shared" si="37"/>
        <v/>
      </c>
      <c r="Q93" s="23" t="str">
        <f t="shared" si="37"/>
        <v/>
      </c>
    </row>
    <row r="94" spans="1:17" ht="15.75" customHeight="1">
      <c r="A94" s="10"/>
      <c r="E94" s="302"/>
    </row>
    <row r="95" spans="1:17" ht="15.75" customHeight="1">
      <c r="A95" s="10"/>
      <c r="B95" s="158" t="s">
        <v>86</v>
      </c>
      <c r="C95" s="62"/>
      <c r="D95" s="27"/>
      <c r="E95" s="299"/>
      <c r="F95" s="27"/>
      <c r="G95" s="12"/>
      <c r="H95" s="12"/>
      <c r="I95" s="12"/>
      <c r="J95" s="12"/>
      <c r="K95" s="12"/>
      <c r="L95" s="12"/>
      <c r="M95" s="12"/>
      <c r="N95" s="12"/>
      <c r="O95" s="12"/>
      <c r="P95" s="12"/>
      <c r="Q95" s="12"/>
    </row>
    <row r="96" spans="1:17" ht="15.75" customHeight="1">
      <c r="A96" s="10"/>
      <c r="B96" s="27" t="s">
        <v>146</v>
      </c>
      <c r="C96" s="77">
        <f>C4/G4-1</f>
        <v>0</v>
      </c>
      <c r="D96" s="27"/>
      <c r="E96" s="299"/>
      <c r="F96" s="27"/>
      <c r="G96" s="6" t="str">
        <f t="shared" ref="G96:Q96" si="38">IF(H4="","",G4/H4-1)</f>
        <v/>
      </c>
      <c r="H96" s="6" t="str">
        <f t="shared" si="38"/>
        <v/>
      </c>
      <c r="I96" s="6" t="str">
        <f t="shared" si="38"/>
        <v/>
      </c>
      <c r="J96" s="6" t="str">
        <f t="shared" si="38"/>
        <v/>
      </c>
      <c r="K96" s="6" t="str">
        <f t="shared" si="38"/>
        <v/>
      </c>
      <c r="L96" s="6" t="str">
        <f t="shared" si="38"/>
        <v/>
      </c>
      <c r="M96" s="6" t="str">
        <f t="shared" si="38"/>
        <v/>
      </c>
      <c r="N96" s="6" t="str">
        <f t="shared" si="38"/>
        <v/>
      </c>
      <c r="O96" s="6" t="str">
        <f t="shared" si="38"/>
        <v/>
      </c>
      <c r="P96" s="6" t="str">
        <f t="shared" si="38"/>
        <v/>
      </c>
      <c r="Q96" s="6" t="str">
        <f t="shared" si="38"/>
        <v/>
      </c>
    </row>
    <row r="97" spans="1:17" ht="15.75" customHeight="1">
      <c r="A97" s="10"/>
      <c r="B97" s="70" t="s">
        <v>166</v>
      </c>
      <c r="C97" s="77">
        <f>C13/G13-1</f>
        <v>0</v>
      </c>
      <c r="D97" s="27"/>
      <c r="E97" s="299"/>
      <c r="F97" s="27"/>
      <c r="G97" s="6" t="str">
        <f t="shared" ref="G97:Q97" si="39">IF(H5="","",G13/H13-1)</f>
        <v/>
      </c>
      <c r="H97" s="6" t="str">
        <f t="shared" si="39"/>
        <v/>
      </c>
      <c r="I97" s="6" t="str">
        <f t="shared" si="39"/>
        <v/>
      </c>
      <c r="J97" s="6" t="str">
        <f t="shared" si="39"/>
        <v/>
      </c>
      <c r="K97" s="6" t="str">
        <f t="shared" si="39"/>
        <v/>
      </c>
      <c r="L97" s="6" t="str">
        <f t="shared" si="39"/>
        <v/>
      </c>
      <c r="M97" s="6" t="str">
        <f t="shared" si="39"/>
        <v/>
      </c>
      <c r="N97" s="6" t="str">
        <f t="shared" si="39"/>
        <v/>
      </c>
      <c r="O97" s="6" t="str">
        <f t="shared" si="39"/>
        <v/>
      </c>
      <c r="P97" s="6" t="str">
        <f t="shared" si="39"/>
        <v/>
      </c>
      <c r="Q97" s="6" t="str">
        <f t="shared" si="39"/>
        <v/>
      </c>
    </row>
    <row r="98" spans="1:17" ht="15.75" customHeight="1">
      <c r="A98" s="10"/>
    </row>
    <row r="99" spans="1:17" ht="15.75" customHeight="1">
      <c r="A99" s="3"/>
      <c r="B99" s="54" t="s">
        <v>217</v>
      </c>
      <c r="C99" s="54"/>
      <c r="D99" s="56"/>
      <c r="E99" s="66" t="s">
        <v>60</v>
      </c>
      <c r="F99" s="56"/>
      <c r="G99" s="37"/>
      <c r="H99" s="37"/>
      <c r="I99" s="37"/>
      <c r="J99" s="37"/>
      <c r="K99" s="37"/>
      <c r="L99" s="37"/>
      <c r="M99" s="37"/>
      <c r="N99" s="37"/>
      <c r="O99" s="37"/>
      <c r="P99" s="37"/>
      <c r="Q99" s="37"/>
    </row>
    <row r="100" spans="1:17" ht="15.75" customHeight="1">
      <c r="A100" s="10"/>
      <c r="B100" s="64" t="s">
        <v>28</v>
      </c>
      <c r="E100" s="302"/>
      <c r="G100" s="97" t="s">
        <v>221</v>
      </c>
    </row>
    <row r="101" spans="1:17" ht="15.75" customHeight="1">
      <c r="A101" s="10"/>
      <c r="B101" s="26" t="s">
        <v>3</v>
      </c>
      <c r="C101" s="199">
        <f>BS!G32</f>
        <v>51420385832</v>
      </c>
      <c r="D101" s="26"/>
      <c r="E101" s="303"/>
      <c r="F101" s="26"/>
      <c r="G101" s="183">
        <f t="shared" ref="G101:Q101" si="40">IF(G$4="","",G105+G104)</f>
        <v>51420385832</v>
      </c>
      <c r="H101" s="183" t="str">
        <f t="shared" si="40"/>
        <v/>
      </c>
      <c r="I101" s="183" t="str">
        <f t="shared" si="40"/>
        <v/>
      </c>
      <c r="J101" s="183" t="str">
        <f t="shared" si="40"/>
        <v/>
      </c>
      <c r="K101" s="183" t="str">
        <f t="shared" si="40"/>
        <v/>
      </c>
      <c r="L101" s="183" t="str">
        <f t="shared" si="40"/>
        <v/>
      </c>
      <c r="M101" s="183" t="str">
        <f t="shared" si="40"/>
        <v/>
      </c>
      <c r="N101" s="183" t="str">
        <f t="shared" si="40"/>
        <v/>
      </c>
      <c r="O101" s="183" t="str">
        <f t="shared" si="40"/>
        <v/>
      </c>
      <c r="P101" s="183" t="str">
        <f t="shared" si="40"/>
        <v/>
      </c>
      <c r="Q101" s="183" t="str">
        <f t="shared" si="40"/>
        <v/>
      </c>
    </row>
    <row r="102" spans="1:17" ht="15.75" customHeight="1">
      <c r="A102" s="10"/>
      <c r="B102" s="93" t="s">
        <v>212</v>
      </c>
      <c r="C102" s="200">
        <f>BS!C4</f>
        <v>185704725</v>
      </c>
      <c r="D102" s="89"/>
      <c r="E102" s="304"/>
      <c r="F102" s="89"/>
      <c r="G102" s="185" t="str">
        <f>IF(G$4="","",Data!D77)</f>
        <v/>
      </c>
      <c r="H102" s="185" t="str">
        <f>IF(H$4="","",Data!E77)</f>
        <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213</v>
      </c>
      <c r="C103" s="200">
        <f>BS!C6+BS!C7</f>
        <v>3576387537</v>
      </c>
      <c r="D103" s="89"/>
      <c r="E103" s="304"/>
      <c r="F103" s="89"/>
      <c r="G103" s="185" t="str">
        <f>IF(G$4="","",Data!D78)</f>
        <v/>
      </c>
      <c r="H103" s="185" t="str">
        <f>IF(H$4="","",Data!E78)</f>
        <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t="str">
        <f>Data!D79</f>
        <v/>
      </c>
      <c r="I104" s="183" t="str">
        <f>Data!E79</f>
        <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t="str">
        <f>Data!D80</f>
        <v/>
      </c>
      <c r="I105" s="183" t="str">
        <f>Data!E80</f>
        <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222</v>
      </c>
      <c r="C107" s="26"/>
      <c r="D107" s="26"/>
      <c r="E107" s="303"/>
      <c r="F107" s="26"/>
      <c r="G107" s="97" t="s">
        <v>221</v>
      </c>
      <c r="H107" s="12"/>
      <c r="I107" s="12"/>
      <c r="J107" s="12"/>
      <c r="K107" s="12"/>
      <c r="L107" s="12"/>
      <c r="M107" s="12"/>
      <c r="N107" s="12"/>
      <c r="O107" s="12"/>
      <c r="P107" s="12"/>
      <c r="Q107" s="12"/>
    </row>
    <row r="108" spans="1:17" ht="15.75" customHeight="1">
      <c r="A108" s="10"/>
      <c r="B108" s="26" t="s">
        <v>219</v>
      </c>
      <c r="C108" s="94">
        <f>C102/C$4</f>
        <v>5.7783840526444809E-3</v>
      </c>
      <c r="D108" s="26"/>
      <c r="E108" s="303"/>
      <c r="F108" s="26"/>
      <c r="G108" s="94" t="e">
        <f t="shared" ref="G108:Q108" si="41">IF(G$4="","",G102/G$4)</f>
        <v>#VALUE!</v>
      </c>
      <c r="H108" s="94" t="str">
        <f t="shared" si="41"/>
        <v/>
      </c>
      <c r="I108" s="94" t="str">
        <f t="shared" si="41"/>
        <v/>
      </c>
      <c r="J108" s="94" t="str">
        <f t="shared" si="41"/>
        <v/>
      </c>
      <c r="K108" s="94" t="str">
        <f t="shared" si="41"/>
        <v/>
      </c>
      <c r="L108" s="94" t="str">
        <f t="shared" si="41"/>
        <v/>
      </c>
      <c r="M108" s="94" t="str">
        <f t="shared" si="41"/>
        <v/>
      </c>
      <c r="N108" s="94" t="str">
        <f t="shared" si="41"/>
        <v/>
      </c>
      <c r="O108" s="94" t="str">
        <f t="shared" si="41"/>
        <v/>
      </c>
      <c r="P108" s="94" t="str">
        <f t="shared" si="41"/>
        <v/>
      </c>
      <c r="Q108" s="94" t="str">
        <f t="shared" si="41"/>
        <v/>
      </c>
    </row>
    <row r="109" spans="1:17" ht="15.75" customHeight="1">
      <c r="A109" s="10"/>
      <c r="B109" s="26" t="s">
        <v>220</v>
      </c>
      <c r="C109" s="94">
        <f>C103/C$4</f>
        <v>0.11128279428472955</v>
      </c>
      <c r="D109" s="26"/>
      <c r="E109" s="303"/>
      <c r="F109" s="26"/>
      <c r="G109" s="94" t="e">
        <f t="shared" ref="G109:Q109" si="42">IF(G$4="","",G103/G$4)</f>
        <v>#VALUE!</v>
      </c>
      <c r="H109" s="94" t="str">
        <f t="shared" si="42"/>
        <v/>
      </c>
      <c r="I109" s="94" t="str">
        <f t="shared" si="42"/>
        <v/>
      </c>
      <c r="J109" s="94" t="str">
        <f t="shared" si="42"/>
        <v/>
      </c>
      <c r="K109" s="94" t="str">
        <f t="shared" si="42"/>
        <v/>
      </c>
      <c r="L109" s="94" t="str">
        <f t="shared" si="42"/>
        <v/>
      </c>
      <c r="M109" s="94" t="str">
        <f t="shared" si="42"/>
        <v/>
      </c>
      <c r="N109" s="94" t="str">
        <f t="shared" si="42"/>
        <v/>
      </c>
      <c r="O109" s="94" t="str">
        <f t="shared" si="42"/>
        <v/>
      </c>
      <c r="P109" s="94" t="str">
        <f t="shared" si="42"/>
        <v/>
      </c>
      <c r="Q109" s="94" t="str">
        <f t="shared" si="42"/>
        <v/>
      </c>
    </row>
    <row r="110" spans="1:17" ht="15.75" customHeight="1">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52</v>
      </c>
      <c r="E112" s="302"/>
    </row>
    <row r="113" spans="1:17" ht="15.75" customHeight="1">
      <c r="A113" s="10"/>
      <c r="B113" s="2" t="s">
        <v>405</v>
      </c>
      <c r="C113" s="170"/>
      <c r="E113" s="302"/>
      <c r="G113" s="334">
        <f>IF(G$4="","",Data!C$22/Data!C15)</f>
        <v>1.1475773379531717</v>
      </c>
      <c r="H113" s="334" t="str">
        <f>IF(H$4="","",Data!D$22/Data!D15)</f>
        <v/>
      </c>
      <c r="I113" s="334" t="str">
        <f>IF(I$4="","",Data!E$22/Data!E15)</f>
        <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406</v>
      </c>
      <c r="C114" s="170"/>
      <c r="E114" s="302"/>
      <c r="G114" s="334">
        <f>IF(G$4="","",Data!C$22/G19)</f>
        <v>1.6608784999467443</v>
      </c>
      <c r="H114" s="334" t="str">
        <f>IF(H$4="","",Data!D$22/H19)</f>
        <v/>
      </c>
      <c r="I114" s="334" t="str">
        <f>IF(I$4="","",Data!E$22/I19)</f>
        <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223</v>
      </c>
      <c r="C117" s="23">
        <f>C81</f>
        <v>0.14438075660946428</v>
      </c>
      <c r="E117" s="302"/>
      <c r="G117" s="23">
        <f t="shared" ref="G117:Q117" si="43">G81</f>
        <v>0.14438075660946431</v>
      </c>
      <c r="H117" s="23" t="str">
        <f t="shared" si="43"/>
        <v/>
      </c>
      <c r="I117" s="23" t="str">
        <f t="shared" si="43"/>
        <v/>
      </c>
      <c r="J117" s="23" t="str">
        <f t="shared" si="43"/>
        <v/>
      </c>
      <c r="K117" s="23" t="str">
        <f t="shared" si="43"/>
        <v/>
      </c>
      <c r="L117" s="23" t="str">
        <f t="shared" si="43"/>
        <v/>
      </c>
      <c r="M117" s="23" t="str">
        <f t="shared" si="43"/>
        <v/>
      </c>
      <c r="N117" s="23" t="str">
        <f t="shared" si="43"/>
        <v/>
      </c>
      <c r="O117" s="23" t="str">
        <f t="shared" si="43"/>
        <v/>
      </c>
      <c r="P117" s="23" t="str">
        <f t="shared" si="43"/>
        <v/>
      </c>
      <c r="Q117" s="23" t="str">
        <f t="shared" si="43"/>
        <v/>
      </c>
    </row>
    <row r="118" spans="1:17" ht="15.75" customHeight="1">
      <c r="B118" s="7" t="s">
        <v>85</v>
      </c>
      <c r="C118" s="42">
        <f>C4/C101</f>
        <v>0.62500173016982585</v>
      </c>
      <c r="E118" s="302"/>
      <c r="G118" s="42">
        <f t="shared" ref="G118:Q118" si="44">IF(G4="","",G4/G101)</f>
        <v>0.62500173016982585</v>
      </c>
      <c r="H118" s="42" t="str">
        <f t="shared" si="44"/>
        <v/>
      </c>
      <c r="I118" s="42" t="str">
        <f t="shared" si="44"/>
        <v/>
      </c>
      <c r="J118" s="42" t="str">
        <f t="shared" si="44"/>
        <v/>
      </c>
      <c r="K118" s="42" t="str">
        <f t="shared" si="44"/>
        <v/>
      </c>
      <c r="L118" s="42" t="str">
        <f t="shared" si="44"/>
        <v/>
      </c>
      <c r="M118" s="42" t="str">
        <f t="shared" si="44"/>
        <v/>
      </c>
      <c r="N118" s="42" t="str">
        <f t="shared" si="44"/>
        <v/>
      </c>
      <c r="O118" s="42" t="str">
        <f t="shared" si="44"/>
        <v/>
      </c>
      <c r="P118" s="42" t="str">
        <f t="shared" si="44"/>
        <v/>
      </c>
      <c r="Q118" s="42" t="str">
        <f t="shared" si="44"/>
        <v/>
      </c>
    </row>
    <row r="119" spans="1:17" ht="15.75" customHeight="1">
      <c r="B119" s="7" t="s">
        <v>93</v>
      </c>
      <c r="C119" s="15">
        <f>C101/C105</f>
        <v>1.7220755031358876</v>
      </c>
      <c r="D119" s="11"/>
      <c r="E119" s="306"/>
      <c r="F119" s="11"/>
      <c r="G119" s="15">
        <f t="shared" ref="G119:Q119" si="45">IF(G$4="","",G101/G105)</f>
        <v>1.7220755031358876</v>
      </c>
      <c r="H119" s="15" t="str">
        <f t="shared" si="45"/>
        <v/>
      </c>
      <c r="I119" s="15" t="str">
        <f t="shared" si="45"/>
        <v/>
      </c>
      <c r="J119" s="15" t="str">
        <f t="shared" si="45"/>
        <v/>
      </c>
      <c r="K119" s="15" t="str">
        <f t="shared" si="45"/>
        <v/>
      </c>
      <c r="L119" s="15" t="str">
        <f t="shared" si="45"/>
        <v/>
      </c>
      <c r="M119" s="15" t="str">
        <f t="shared" si="45"/>
        <v/>
      </c>
      <c r="N119" s="15" t="str">
        <f t="shared" si="45"/>
        <v/>
      </c>
      <c r="O119" s="15" t="str">
        <f t="shared" si="45"/>
        <v/>
      </c>
      <c r="P119" s="15" t="str">
        <f t="shared" si="45"/>
        <v/>
      </c>
      <c r="Q119" s="15" t="str">
        <f t="shared" si="45"/>
        <v/>
      </c>
    </row>
    <row r="120" spans="1:17" ht="15.75" customHeight="1">
      <c r="A120" s="10"/>
      <c r="B120" s="70" t="s">
        <v>224</v>
      </c>
      <c r="C120" s="102">
        <f>C8/C105</f>
        <v>0.15029676528014849</v>
      </c>
      <c r="D120" s="103"/>
      <c r="E120" s="305"/>
      <c r="F120" s="103"/>
      <c r="G120" s="102">
        <f t="shared" ref="G120:Q120" si="46">IF(G$4="","",G8/G105)</f>
        <v>0.15029676528014849</v>
      </c>
      <c r="H120" s="102" t="str">
        <f t="shared" si="46"/>
        <v/>
      </c>
      <c r="I120" s="102" t="str">
        <f t="shared" si="46"/>
        <v/>
      </c>
      <c r="J120" s="102" t="str">
        <f t="shared" si="46"/>
        <v/>
      </c>
      <c r="K120" s="102" t="str">
        <f t="shared" si="46"/>
        <v/>
      </c>
      <c r="L120" s="102" t="str">
        <f t="shared" si="46"/>
        <v/>
      </c>
      <c r="M120" s="102" t="str">
        <f t="shared" si="46"/>
        <v/>
      </c>
      <c r="N120" s="102" t="str">
        <f t="shared" si="46"/>
        <v/>
      </c>
      <c r="O120" s="102" t="str">
        <f t="shared" si="46"/>
        <v/>
      </c>
      <c r="P120" s="102" t="str">
        <f t="shared" si="46"/>
        <v/>
      </c>
      <c r="Q120" s="102" t="str">
        <f t="shared" si="46"/>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225</v>
      </c>
      <c r="C122" s="54"/>
      <c r="D122" s="56"/>
      <c r="E122" s="66" t="s">
        <v>60</v>
      </c>
      <c r="F122" s="56"/>
      <c r="G122" s="37"/>
      <c r="H122" s="37"/>
      <c r="I122" s="37"/>
      <c r="J122" s="37"/>
      <c r="K122" s="37"/>
      <c r="L122" s="37"/>
      <c r="M122" s="37"/>
      <c r="N122" s="37"/>
      <c r="O122" s="37"/>
      <c r="P122" s="37"/>
      <c r="Q122" s="37"/>
    </row>
    <row r="123" spans="1:17" ht="15.75" customHeight="1">
      <c r="A123" s="10"/>
      <c r="B123" s="179" t="s">
        <v>172</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2.6144316551331115</v>
      </c>
      <c r="D124" s="27"/>
      <c r="E124" s="299"/>
      <c r="F124" s="27"/>
      <c r="G124" s="178">
        <f t="shared" ref="G124:Q124" si="47">IF(G$4="","",G16*$C$3/Common_Shares*Exchange_Rate)</f>
        <v>2.4342714851616312</v>
      </c>
      <c r="H124" s="178" t="str">
        <f t="shared" si="47"/>
        <v/>
      </c>
      <c r="I124" s="178" t="str">
        <f t="shared" si="47"/>
        <v/>
      </c>
      <c r="J124" s="178" t="str">
        <f t="shared" si="47"/>
        <v/>
      </c>
      <c r="K124" s="178" t="str">
        <f t="shared" si="47"/>
        <v/>
      </c>
      <c r="L124" s="178" t="str">
        <f t="shared" si="47"/>
        <v/>
      </c>
      <c r="M124" s="178" t="str">
        <f t="shared" si="47"/>
        <v/>
      </c>
      <c r="N124" s="178" t="str">
        <f t="shared" si="47"/>
        <v/>
      </c>
      <c r="O124" s="178" t="str">
        <f t="shared" si="47"/>
        <v/>
      </c>
      <c r="P124" s="178" t="str">
        <f t="shared" si="47"/>
        <v/>
      </c>
      <c r="Q124" s="178" t="str">
        <f t="shared" si="47"/>
        <v/>
      </c>
    </row>
    <row r="125" spans="1:17" ht="15.75" customHeight="1">
      <c r="A125" s="10"/>
      <c r="B125" s="27" t="s">
        <v>271</v>
      </c>
      <c r="C125" s="77">
        <f>C19*Exchange_Rate*$C$3/(Market_Price*Common_Shares)</f>
        <v>4.7752176349463223E-2</v>
      </c>
      <c r="D125" s="27"/>
      <c r="E125" s="299"/>
      <c r="F125" s="27"/>
      <c r="G125" s="77">
        <f t="shared" ref="G125" si="48">IF(G$4="","",G124/Market_Price)</f>
        <v>4.4461579637655367E-2</v>
      </c>
      <c r="H125" s="77" t="str">
        <f t="shared" ref="H125" si="49">IF(H$4="","",H124/Market_Price)</f>
        <v/>
      </c>
      <c r="I125" s="77" t="str">
        <f t="shared" ref="I125" si="50">IF(I$4="","",I124/Market_Price)</f>
        <v/>
      </c>
      <c r="J125" s="77" t="str">
        <f t="shared" ref="J125" si="51">IF(J$4="","",J124/Market_Price)</f>
        <v/>
      </c>
      <c r="K125" s="77" t="str">
        <f t="shared" ref="K125" si="52">IF(K$4="","",K124/Market_Price)</f>
        <v/>
      </c>
      <c r="L125" s="77" t="str">
        <f t="shared" ref="L125" si="53">IF(L$4="","",L124/Market_Price)</f>
        <v/>
      </c>
      <c r="M125" s="77" t="str">
        <f t="shared" ref="M125" si="54">IF(M$4="","",M124/Market_Price)</f>
        <v/>
      </c>
      <c r="N125" s="77" t="str">
        <f t="shared" ref="N125" si="55">IF(N$4="","",N124/Market_Price)</f>
        <v/>
      </c>
      <c r="O125" s="77" t="str">
        <f t="shared" ref="O125" si="56">IF(O$4="","",O124/Market_Price)</f>
        <v/>
      </c>
      <c r="P125" s="77" t="str">
        <f t="shared" ref="P125" si="57">IF(P$4="","",P124/Market_Price)</f>
        <v/>
      </c>
      <c r="Q125" s="77" t="str">
        <f t="shared" ref="Q125" si="58">IF(Q$4="","",Q124/Market_Price)</f>
        <v/>
      </c>
    </row>
    <row r="126" spans="1:17" ht="15.75" customHeight="1">
      <c r="B126" s="2" t="s">
        <v>410</v>
      </c>
      <c r="C126" s="170"/>
      <c r="G126" s="23">
        <f>IF(G$4="","",(Data!C47*$C$3)/(Market_Price*Common_Shares))</f>
        <v>6.0139111913768903E-2</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56</v>
      </c>
      <c r="C2" s="37"/>
      <c r="D2" s="37"/>
      <c r="E2" s="37"/>
      <c r="F2" s="37"/>
      <c r="H2" s="131" t="s">
        <v>60</v>
      </c>
    </row>
    <row r="3" spans="2:8" ht="13.15">
      <c r="B3" s="109" t="s">
        <v>165</v>
      </c>
      <c r="C3" s="107">
        <f>scaling_factor</f>
        <v>1</v>
      </c>
      <c r="E3" s="109" t="s">
        <v>126</v>
      </c>
      <c r="H3" s="121"/>
    </row>
    <row r="4" spans="2:8">
      <c r="B4" s="100" t="s">
        <v>130</v>
      </c>
      <c r="C4" s="110">
        <f>Normalized_FCF!C19</f>
        <v>3333270342.4094524</v>
      </c>
      <c r="D4" t="str">
        <f>Reporting_currency</f>
        <v>CNY</v>
      </c>
      <c r="E4" s="100" t="s">
        <v>252</v>
      </c>
      <c r="F4" s="135">
        <f>Thesis!C76</f>
        <v>0</v>
      </c>
      <c r="H4" s="121"/>
    </row>
    <row r="5" spans="2:8">
      <c r="B5" s="227" t="s">
        <v>125</v>
      </c>
      <c r="C5" s="228">
        <f>Thesis!C70</f>
        <v>0.08</v>
      </c>
      <c r="E5" s="149"/>
      <c r="H5" s="121"/>
    </row>
    <row r="6" spans="2:8" ht="13.15" customHeight="1">
      <c r="B6" s="150" t="s">
        <v>230</v>
      </c>
      <c r="C6" s="232">
        <f>(C4*(1+Terminal_Growth))/(Equity_Cost-Terminal_Growth)</f>
        <v>41665879280.118156</v>
      </c>
      <c r="D6" t="str">
        <f>Reporting_currency</f>
        <v>CNY</v>
      </c>
      <c r="E6" s="348" t="s">
        <v>251</v>
      </c>
      <c r="F6" s="348"/>
      <c r="H6" s="121"/>
    </row>
    <row r="7" spans="2:8">
      <c r="B7" s="149" t="s">
        <v>226</v>
      </c>
      <c r="C7" s="226">
        <f>BS!G31</f>
        <v>285396383</v>
      </c>
      <c r="D7" t="str">
        <f>Reporting_currency</f>
        <v>CNY</v>
      </c>
      <c r="E7" s="348"/>
      <c r="F7" s="348"/>
      <c r="H7" s="121"/>
    </row>
    <row r="8" spans="2:8">
      <c r="B8" s="149" t="s">
        <v>227</v>
      </c>
      <c r="C8" s="201">
        <f>BS!D66</f>
        <v>12902951541.641745</v>
      </c>
      <c r="D8" t="str">
        <f>Reporting_currency</f>
        <v>CNY</v>
      </c>
      <c r="E8" s="348"/>
      <c r="F8" s="348"/>
      <c r="H8" s="121"/>
    </row>
    <row r="9" spans="2:8">
      <c r="B9" s="227" t="s">
        <v>192</v>
      </c>
      <c r="C9" s="229">
        <f>BS!H42</f>
        <v>2755411575.5</v>
      </c>
      <c r="D9" t="str">
        <f>Reporting_currency</f>
        <v>CNY</v>
      </c>
      <c r="E9" s="348"/>
      <c r="F9" s="348"/>
      <c r="H9" s="121"/>
    </row>
    <row r="10" spans="2:8" ht="13.15">
      <c r="B10" s="150" t="s">
        <v>229</v>
      </c>
      <c r="C10" s="232">
        <f>C6-C7+C8+C9</f>
        <v>57038846014.259903</v>
      </c>
      <c r="D10" t="str">
        <f>Reporting_currency</f>
        <v>CNY</v>
      </c>
      <c r="H10" s="121"/>
    </row>
    <row r="11" spans="2:8" ht="13.15" thickBot="1">
      <c r="B11" s="230" t="s">
        <v>168</v>
      </c>
      <c r="C11" s="231">
        <f>Exchange_Rate</f>
        <v>1.07</v>
      </c>
      <c r="D11" t="str">
        <f>Thesis!D17</f>
        <v>CNY/HKD</v>
      </c>
      <c r="H11" s="121"/>
    </row>
    <row r="12" spans="2:8" ht="13.5" thickTop="1">
      <c r="B12" s="150" t="s">
        <v>104</v>
      </c>
      <c r="C12" s="112">
        <f>(C10*scaling_factor)/Common_Shares*Exchange_Rate</f>
        <v>44.738094805760603</v>
      </c>
      <c r="D12" t="str">
        <f>Market_currency</f>
        <v>HKD</v>
      </c>
      <c r="H12" s="121"/>
    </row>
    <row r="13" spans="2:8">
      <c r="H13" s="121"/>
    </row>
    <row r="14" spans="2:8" ht="13.9">
      <c r="B14" s="36" t="s">
        <v>231</v>
      </c>
      <c r="C14" s="37"/>
      <c r="D14" s="37"/>
      <c r="E14" s="37"/>
      <c r="F14" s="37"/>
      <c r="H14" s="121"/>
    </row>
    <row r="15" spans="2:8" ht="13.15">
      <c r="B15" s="120" t="s">
        <v>137</v>
      </c>
      <c r="H15" s="121"/>
    </row>
    <row r="16" spans="2:8" ht="13.25" customHeight="1">
      <c r="B16" s="153" t="s">
        <v>135</v>
      </c>
      <c r="C16" s="162">
        <f>Scenarios!C65</f>
        <v>4.6574870890079501E-2</v>
      </c>
      <c r="H16" s="121"/>
    </row>
    <row r="17" spans="2:8" ht="13.25" customHeight="1">
      <c r="B17" s="119" t="s">
        <v>136</v>
      </c>
      <c r="C17" s="163">
        <f>Scenarios!C64</f>
        <v>10</v>
      </c>
      <c r="H17" s="121"/>
    </row>
    <row r="18" spans="2:8" ht="13.25" customHeight="1">
      <c r="B18" s="154" t="s">
        <v>108</v>
      </c>
      <c r="C18" s="141">
        <f>(F52-C7+C8+C9)*Exchange_Rate/Common_Shares*scaling_factor</f>
        <v>49.982779638926473</v>
      </c>
      <c r="D18" t="str">
        <f>Market_currency</f>
        <v>HKD</v>
      </c>
      <c r="H18" s="121"/>
    </row>
    <row r="19" spans="2:8">
      <c r="H19" s="121"/>
    </row>
    <row r="20" spans="2:8" ht="13.15">
      <c r="B20" s="129" t="s">
        <v>109</v>
      </c>
      <c r="C20" s="129" t="s">
        <v>110</v>
      </c>
      <c r="D20" s="129" t="s">
        <v>120</v>
      </c>
      <c r="E20" s="129" t="s">
        <v>111</v>
      </c>
      <c r="F20" s="130" t="s">
        <v>112</v>
      </c>
      <c r="H20" s="121"/>
    </row>
    <row r="21" spans="2:8">
      <c r="B21" s="123">
        <v>1</v>
      </c>
      <c r="C21" s="124">
        <f>C4*(1+D21)</f>
        <v>3488516978.2489038</v>
      </c>
      <c r="D21" s="139">
        <f>IF($C$17&lt;B21,0,Valuation_Model!$C$16)</f>
        <v>4.6574870890079501E-2</v>
      </c>
      <c r="E21" s="125">
        <f t="shared" ref="E21:E50" si="0">IF($C$17&lt;B21,0,1/(1+Equity_Cost)^B21)</f>
        <v>0.92592592592592582</v>
      </c>
      <c r="F21" s="126">
        <f t="shared" ref="F21:F51" si="1">C21*E21</f>
        <v>3230108313.193429</v>
      </c>
      <c r="H21" s="121"/>
    </row>
    <row r="22" spans="2:8">
      <c r="B22" s="123">
        <v>2</v>
      </c>
      <c r="C22" s="124">
        <f t="shared" ref="C22:C50" si="2">IF(ROW()-ROW($C$21)&lt;$C$17, $C$21*(1+D22)^(ROW()-ROW($C$21)), 0)</f>
        <v>3650994206.1086969</v>
      </c>
      <c r="D22" s="139">
        <f>IF($C$17&lt;B22,0,Valuation_Model!$C$16)</f>
        <v>4.6574870890079501E-2</v>
      </c>
      <c r="E22" s="125">
        <f t="shared" si="0"/>
        <v>0.85733882030178321</v>
      </c>
      <c r="F22" s="126">
        <f t="shared" si="1"/>
        <v>3130139065.5938759</v>
      </c>
      <c r="H22" s="121"/>
    </row>
    <row r="23" spans="2:8">
      <c r="B23" s="123">
        <v>3</v>
      </c>
      <c r="C23" s="124">
        <f t="shared" si="2"/>
        <v>3821038789.8786378</v>
      </c>
      <c r="D23" s="139">
        <f>IF($C$17&lt;B23,0,Valuation_Model!$C$16)</f>
        <v>4.6574870890079501E-2</v>
      </c>
      <c r="E23" s="125">
        <f t="shared" si="0"/>
        <v>0.79383224102016958</v>
      </c>
      <c r="F23" s="126">
        <f t="shared" si="1"/>
        <v>3033263785.5943561</v>
      </c>
      <c r="H23" s="121"/>
    </row>
    <row r="24" spans="2:8">
      <c r="B24" s="123">
        <v>4</v>
      </c>
      <c r="C24" s="124">
        <f t="shared" si="2"/>
        <v>3999003178.1832213</v>
      </c>
      <c r="D24" s="139">
        <f>IF($C$17&lt;B24,0,Valuation_Model!$C$16)</f>
        <v>4.6574870890079501E-2</v>
      </c>
      <c r="E24" s="125">
        <f t="shared" si="0"/>
        <v>0.73502985279645328</v>
      </c>
      <c r="F24" s="126">
        <f t="shared" si="1"/>
        <v>2939386717.3925619</v>
      </c>
      <c r="H24" s="121"/>
    </row>
    <row r="25" spans="2:8">
      <c r="B25" s="123">
        <v>5</v>
      </c>
      <c r="C25" s="124">
        <f t="shared" si="2"/>
        <v>4185256234.8961229</v>
      </c>
      <c r="D25" s="139">
        <f>IF($C$17&lt;B25,0,Valuation_Model!$C$16)</f>
        <v>4.6574870890079501E-2</v>
      </c>
      <c r="E25" s="125">
        <f t="shared" si="0"/>
        <v>0.68058319703375303</v>
      </c>
      <c r="F25" s="126">
        <f t="shared" si="1"/>
        <v>2848415068.7510514</v>
      </c>
      <c r="H25" s="121"/>
    </row>
    <row r="26" spans="2:8">
      <c r="B26" s="123">
        <v>6</v>
      </c>
      <c r="C26" s="124">
        <f t="shared" si="2"/>
        <v>4380184003.6783094</v>
      </c>
      <c r="D26" s="139">
        <f>IF($C$17&lt;B26,0,Valuation_Model!$C$16)</f>
        <v>4.6574870890079501E-2</v>
      </c>
      <c r="E26" s="125">
        <f t="shared" si="0"/>
        <v>0.63016962688310452</v>
      </c>
      <c r="F26" s="126">
        <f t="shared" si="1"/>
        <v>2760258919.2773032</v>
      </c>
      <c r="H26" s="121"/>
    </row>
    <row r="27" spans="2:8">
      <c r="B27" s="123">
        <v>7</v>
      </c>
      <c r="C27" s="124">
        <f t="shared" si="2"/>
        <v>4584190508.1244192</v>
      </c>
      <c r="D27" s="139">
        <f>IF($C$17&lt;B27,0,Valuation_Model!$C$16)</f>
        <v>4.6574870890079501E-2</v>
      </c>
      <c r="E27" s="125">
        <f t="shared" si="0"/>
        <v>0.58349039526213387</v>
      </c>
      <c r="F27" s="126">
        <f t="shared" si="1"/>
        <v>2674831131.5424395</v>
      </c>
      <c r="H27" s="121"/>
    </row>
    <row r="28" spans="2:8">
      <c r="B28" s="123">
        <v>8</v>
      </c>
      <c r="C28" s="124">
        <f t="shared" si="2"/>
        <v>4797698589.1758423</v>
      </c>
      <c r="D28" s="139">
        <f>IF($C$17&lt;B28,0,Valuation_Model!$C$16)</f>
        <v>4.6574870890079501E-2</v>
      </c>
      <c r="E28" s="125">
        <f t="shared" si="0"/>
        <v>0.54026888450197574</v>
      </c>
      <c r="F28" s="126">
        <f t="shared" si="1"/>
        <v>2592047264.9507351</v>
      </c>
      <c r="H28" s="121"/>
    </row>
    <row r="29" spans="2:8">
      <c r="B29" s="123">
        <v>9</v>
      </c>
      <c r="C29" s="124">
        <f t="shared" si="2"/>
        <v>5021150781.5362244</v>
      </c>
      <c r="D29" s="139">
        <f>IF($C$17&lt;B29,0,Valuation_Model!$C$16)</f>
        <v>4.6574870890079501E-2</v>
      </c>
      <c r="E29" s="125">
        <f t="shared" si="0"/>
        <v>0.50024896713145905</v>
      </c>
      <c r="F29" s="126">
        <f t="shared" si="1"/>
        <v>2511825492.2748146</v>
      </c>
      <c r="H29" s="121"/>
    </row>
    <row r="30" spans="2:8">
      <c r="B30" s="123">
        <v>10</v>
      </c>
      <c r="C30" s="124">
        <f t="shared" si="2"/>
        <v>5255010230.9058952</v>
      </c>
      <c r="D30" s="139">
        <f>IF($C$17&lt;B30,0,Valuation_Model!$C$16)</f>
        <v>4.6574870890079501E-2</v>
      </c>
      <c r="E30" s="125">
        <f t="shared" si="0"/>
        <v>0.46319348808468425</v>
      </c>
      <c r="F30" s="126">
        <f t="shared" si="1"/>
        <v>2434086518.7740035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133</v>
      </c>
      <c r="C51" s="124">
        <f>C$21*(1+Terminal_Growth)^$C$17/Equity_Cost</f>
        <v>43606462228.111298</v>
      </c>
      <c r="D51" s="140">
        <f>Terminal_Growth</f>
        <v>0</v>
      </c>
      <c r="E51" s="125">
        <f>1/(1+Equity_Cost)^C17</f>
        <v>0.46319348808468425</v>
      </c>
      <c r="F51" s="126">
        <f t="shared" si="1"/>
        <v>20198229342.471905</v>
      </c>
      <c r="H51" s="121"/>
    </row>
    <row r="52" spans="1:8">
      <c r="C52" s="115"/>
      <c r="E52" s="128" t="s">
        <v>102</v>
      </c>
      <c r="F52" s="138">
        <f>SUM(F21:F51)</f>
        <v>48352591619.816475</v>
      </c>
      <c r="H52" s="121"/>
    </row>
    <row r="53" spans="1:8">
      <c r="C53" s="115"/>
      <c r="H53" s="121"/>
    </row>
    <row r="54" spans="1:8" ht="13.15">
      <c r="B54" s="120" t="s">
        <v>131</v>
      </c>
      <c r="C54" s="137"/>
      <c r="D54" s="137"/>
      <c r="E54" s="118"/>
      <c r="F54" s="118"/>
      <c r="H54" s="121"/>
    </row>
    <row r="55" spans="1:8" ht="13.15">
      <c r="A55" s="134">
        <f>F52</f>
        <v>48352591619.816475</v>
      </c>
      <c r="B55" s="132">
        <f>C78</f>
        <v>0</v>
      </c>
      <c r="C55" s="132">
        <f>C77</f>
        <v>0.02</v>
      </c>
      <c r="D55" s="132">
        <f>C76</f>
        <v>0.04</v>
      </c>
      <c r="E55" s="132">
        <f>C75</f>
        <v>0.06</v>
      </c>
      <c r="F55" s="132">
        <f>C74</f>
        <v>0.1</v>
      </c>
      <c r="H55" s="121"/>
    </row>
    <row r="56" spans="1:8" ht="13.15">
      <c r="A56" s="144">
        <v>5</v>
      </c>
      <c r="B56" s="124">
        <f t="dataTable" ref="B56:F61" dt2D="1" dtr="1" r1="C16" r2="C17"/>
        <v>41665879280.118149</v>
      </c>
      <c r="C56" s="124">
        <v>43010238655.398666</v>
      </c>
      <c r="D56" s="124">
        <v>44394861007.313965</v>
      </c>
      <c r="E56" s="124">
        <v>45821513205.347153</v>
      </c>
      <c r="F56" s="124">
        <v>48808249023.659348</v>
      </c>
      <c r="H56" s="121"/>
    </row>
    <row r="57" spans="1:8" ht="13.15">
      <c r="A57" s="144">
        <v>10</v>
      </c>
      <c r="B57" s="124">
        <v>41665879280.118141</v>
      </c>
      <c r="C57" s="124">
        <v>44355835973.221573</v>
      </c>
      <c r="D57" s="124">
        <v>47315399160.335838</v>
      </c>
      <c r="E57" s="124">
        <v>50576834830.960419</v>
      </c>
      <c r="F57" s="124">
        <v>58152782423.162964</v>
      </c>
      <c r="H57" s="121"/>
    </row>
    <row r="58" spans="1:8" ht="13.15">
      <c r="A58" s="144">
        <v>15</v>
      </c>
      <c r="B58" s="124">
        <v>41665879280.118126</v>
      </c>
      <c r="C58" s="124">
        <v>46021385753.201904</v>
      </c>
      <c r="D58" s="124">
        <v>51122691011.255768</v>
      </c>
      <c r="E58" s="124">
        <v>57117963192.733917</v>
      </c>
      <c r="F58" s="124">
        <v>72535060485.134079</v>
      </c>
      <c r="H58" s="121"/>
    </row>
    <row r="59" spans="1:8" ht="13.15">
      <c r="A59" s="145">
        <v>20</v>
      </c>
      <c r="B59" s="124">
        <v>41665879280.118126</v>
      </c>
      <c r="C59" s="124">
        <v>47718313878.875023</v>
      </c>
      <c r="D59" s="124">
        <v>55220578429.135239</v>
      </c>
      <c r="E59" s="124">
        <v>64579612682.919762</v>
      </c>
      <c r="F59" s="124">
        <v>91116797594.528259</v>
      </c>
      <c r="H59" s="121"/>
    </row>
    <row r="60" spans="1:8" ht="13.15">
      <c r="A60" s="145">
        <v>25</v>
      </c>
      <c r="B60" s="124">
        <v>41665879280.118126</v>
      </c>
      <c r="C60" s="124">
        <v>49296551198.309021</v>
      </c>
      <c r="D60" s="124">
        <v>59257136942.932152</v>
      </c>
      <c r="E60" s="124">
        <v>72399194477.943802</v>
      </c>
      <c r="F60" s="124">
        <v>113401539024.55928</v>
      </c>
      <c r="H60" s="121"/>
    </row>
    <row r="61" spans="1:8" ht="13.15">
      <c r="A61" s="145">
        <v>30</v>
      </c>
      <c r="B61" s="124">
        <v>41665879280.118111</v>
      </c>
      <c r="C61" s="124">
        <v>50688776059.77002</v>
      </c>
      <c r="D61" s="124">
        <v>63037409763.991463</v>
      </c>
      <c r="E61" s="124">
        <v>80217782557.182892</v>
      </c>
      <c r="F61" s="124">
        <v>139132591344.6088</v>
      </c>
      <c r="H61" s="121"/>
    </row>
    <row r="62" spans="1:8">
      <c r="C62" s="115"/>
      <c r="D62" s="115"/>
      <c r="E62" s="115"/>
      <c r="F62" s="115"/>
      <c r="H62" s="121"/>
    </row>
    <row r="63" spans="1:8" ht="13.15">
      <c r="B63" s="120" t="s">
        <v>132</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44.738094805760603</v>
      </c>
      <c r="C65" s="125">
        <f>C12</f>
        <v>44.738094805760603</v>
      </c>
      <c r="D65" s="125">
        <f>C12</f>
        <v>44.738094805760603</v>
      </c>
      <c r="E65" s="142">
        <f>C12</f>
        <v>44.738094805760603</v>
      </c>
      <c r="F65" s="125">
        <f>C12</f>
        <v>44.738094805760603</v>
      </c>
      <c r="H65" s="121"/>
    </row>
    <row r="66" spans="1:8" ht="13.15">
      <c r="A66" s="144">
        <f t="shared" ref="A66:A71" si="3">A56</f>
        <v>5</v>
      </c>
      <c r="B66" s="125">
        <f t="shared" ref="B66:F71" si="4">(B56-$C$7+$C$8+$C$9)/Common_Shares*$C$3*Exchange_Rate</f>
        <v>44.738094805760596</v>
      </c>
      <c r="C66" s="125">
        <f t="shared" si="4"/>
        <v>45.792535443800098</v>
      </c>
      <c r="D66" s="125">
        <f t="shared" si="4"/>
        <v>46.878556118809463</v>
      </c>
      <c r="E66" s="125">
        <f t="shared" si="4"/>
        <v>47.997542664829325</v>
      </c>
      <c r="F66" s="125">
        <f t="shared" si="4"/>
        <v>50.340171934818528</v>
      </c>
      <c r="H66" s="121"/>
    </row>
    <row r="67" spans="1:8" ht="13.15">
      <c r="A67" s="144">
        <f t="shared" si="3"/>
        <v>10</v>
      </c>
      <c r="B67" s="125">
        <f t="shared" si="4"/>
        <v>44.738094805760589</v>
      </c>
      <c r="C67" s="125">
        <f t="shared" si="4"/>
        <v>46.847947055039363</v>
      </c>
      <c r="D67" s="125">
        <f t="shared" si="4"/>
        <v>49.169263626129442</v>
      </c>
      <c r="E67" s="125">
        <f t="shared" si="4"/>
        <v>51.727352164575919</v>
      </c>
      <c r="F67" s="125">
        <f t="shared" si="4"/>
        <v>57.669503615863988</v>
      </c>
      <c r="H67" s="121"/>
    </row>
    <row r="68" spans="1:8" ht="13.15">
      <c r="A68" s="144">
        <f t="shared" si="3"/>
        <v>15</v>
      </c>
      <c r="B68" s="125">
        <f t="shared" si="4"/>
        <v>44.738094805760582</v>
      </c>
      <c r="C68" s="125">
        <f t="shared" si="4"/>
        <v>48.154311562165702</v>
      </c>
      <c r="D68" s="125">
        <f t="shared" si="4"/>
        <v>52.155491358315189</v>
      </c>
      <c r="E68" s="125">
        <f t="shared" si="4"/>
        <v>56.857849031790096</v>
      </c>
      <c r="F68" s="125">
        <f t="shared" si="4"/>
        <v>68.950161701029543</v>
      </c>
      <c r="H68" s="121"/>
    </row>
    <row r="69" spans="1:8" ht="13.15">
      <c r="A69" s="145">
        <f t="shared" si="3"/>
        <v>20</v>
      </c>
      <c r="B69" s="125">
        <f t="shared" si="4"/>
        <v>44.738094805760582</v>
      </c>
      <c r="C69" s="125">
        <f t="shared" si="4"/>
        <v>49.485287496460479</v>
      </c>
      <c r="D69" s="125">
        <f t="shared" si="4"/>
        <v>55.369646072430406</v>
      </c>
      <c r="E69" s="125">
        <f t="shared" si="4"/>
        <v>62.710351416144675</v>
      </c>
      <c r="F69" s="125">
        <f t="shared" si="4"/>
        <v>83.524641630864849</v>
      </c>
      <c r="H69" s="121"/>
    </row>
    <row r="70" spans="1:8" ht="13.15">
      <c r="A70" s="145">
        <f t="shared" si="3"/>
        <v>25</v>
      </c>
      <c r="B70" s="125">
        <f t="shared" si="4"/>
        <v>44.738094805760582</v>
      </c>
      <c r="C70" s="125">
        <f t="shared" si="4"/>
        <v>50.723168971222009</v>
      </c>
      <c r="D70" s="125">
        <f t="shared" si="4"/>
        <v>58.535697809067905</v>
      </c>
      <c r="E70" s="125">
        <f t="shared" si="4"/>
        <v>68.843595970210956</v>
      </c>
      <c r="F70" s="125">
        <f t="shared" si="4"/>
        <v>101.00355196101671</v>
      </c>
    </row>
    <row r="71" spans="1:8" ht="13.15">
      <c r="A71" s="145">
        <f t="shared" si="3"/>
        <v>30</v>
      </c>
      <c r="B71" s="125">
        <f t="shared" si="4"/>
        <v>44.738094805760568</v>
      </c>
      <c r="C71" s="125">
        <f t="shared" si="4"/>
        <v>51.815152631399975</v>
      </c>
      <c r="D71" s="125">
        <f t="shared" si="4"/>
        <v>61.500733318690777</v>
      </c>
      <c r="E71" s="125">
        <f t="shared" si="4"/>
        <v>74.976061108947107</v>
      </c>
      <c r="F71" s="125">
        <f t="shared" si="4"/>
        <v>121.18555665758032</v>
      </c>
    </row>
    <row r="73" spans="1:8" ht="13.15">
      <c r="B73" s="172" t="s">
        <v>119</v>
      </c>
      <c r="C73" s="172" t="s">
        <v>134</v>
      </c>
      <c r="D73" s="172" t="s">
        <v>114</v>
      </c>
      <c r="E73" s="173" t="s">
        <v>115</v>
      </c>
      <c r="F73" s="173" t="s">
        <v>121</v>
      </c>
    </row>
    <row r="74" spans="1:8">
      <c r="B74" s="128" t="str">
        <f>Scenarios!B54</f>
        <v>Snowball Scenario</v>
      </c>
      <c r="C74" s="143">
        <f>Scenarios!C56</f>
        <v>0.1</v>
      </c>
      <c r="D74" s="146">
        <f>Scenarios!C55</f>
        <v>15</v>
      </c>
      <c r="E74" s="136">
        <f>INDEX(B$65:F$71, MATCH(D74, A$65:A$71, 0), MATCH(C74, B$64:F$64, 0))</f>
        <v>68.950161701029543</v>
      </c>
      <c r="F74" s="143">
        <f>Scenarios!C58</f>
        <v>0.05</v>
      </c>
    </row>
    <row r="75" spans="1:8">
      <c r="B75" s="128" t="str">
        <f>Scenarios!B36</f>
        <v>Optimistic</v>
      </c>
      <c r="C75" s="143">
        <f>Scenarios!C38</f>
        <v>0.06</v>
      </c>
      <c r="D75" s="146">
        <f>Scenarios!C37</f>
        <v>10</v>
      </c>
      <c r="E75" s="136">
        <f>INDEX(B$65:F$71, MATCH(D75, A$65:A$71, 0), MATCH(C75, B$64:F$64, 0))</f>
        <v>51.727352164575919</v>
      </c>
      <c r="F75" s="143">
        <f>Scenarios!C40*(1-F$74-F$78)</f>
        <v>0.18</v>
      </c>
      <c r="H75" s="121"/>
    </row>
    <row r="76" spans="1:8">
      <c r="B76" s="128" t="str">
        <f>Scenarios!B24</f>
        <v>Base</v>
      </c>
      <c r="C76" s="143">
        <f>Scenarios!C26</f>
        <v>0.04</v>
      </c>
      <c r="D76" s="146">
        <f>Scenarios!C25</f>
        <v>10</v>
      </c>
      <c r="E76" s="136">
        <f>INDEX(B$65:F$71, MATCH(D76, A$65:A$71, 0), MATCH(C76, B$64:F$64, 0))</f>
        <v>49.169263626129442</v>
      </c>
      <c r="F76" s="143">
        <f>Scenarios!C28*(1-F$74-F$78)</f>
        <v>0.53999999999999992</v>
      </c>
      <c r="H76" s="121"/>
    </row>
    <row r="77" spans="1:8">
      <c r="B77" s="128" t="str">
        <f>Scenarios!B30</f>
        <v>Pessimistic</v>
      </c>
      <c r="C77" s="143">
        <f>Scenarios!C32</f>
        <v>0.02</v>
      </c>
      <c r="D77" s="146">
        <f>Scenarios!C31</f>
        <v>10</v>
      </c>
      <c r="E77" s="136">
        <f>INDEX(B$65:F$71, MATCH(D77, A$65:A$71, 0), MATCH(C77, B$64:F$64, 0))</f>
        <v>46.847947055039363</v>
      </c>
      <c r="F77" s="143">
        <f>Scenarios!C34*(1-F$74-F$78)</f>
        <v>0.18</v>
      </c>
      <c r="H77" s="121"/>
    </row>
    <row r="78" spans="1:8">
      <c r="B78" s="128" t="str">
        <f>Scenarios!B48</f>
        <v>Devil's advocate</v>
      </c>
      <c r="C78" s="143">
        <f>Scenarios!C50</f>
        <v>0</v>
      </c>
      <c r="D78" s="146">
        <f>Scenarios!C49</f>
        <v>15</v>
      </c>
      <c r="E78" s="136">
        <f>INDEX(B$65:F$71, MATCH(D78, A$65:A$71, 0), MATCH(C78, B$64:F$64, 0))</f>
        <v>44.738094805760582</v>
      </c>
      <c r="F78" s="143">
        <f>Scenarios!C52</f>
        <v>0.05</v>
      </c>
    </row>
    <row r="79" spans="1:8">
      <c r="B79" s="156"/>
      <c r="C79" s="156"/>
      <c r="D79" s="156"/>
      <c r="E79" s="156"/>
      <c r="F79" s="157"/>
    </row>
    <row r="80" spans="1:8">
      <c r="B80" s="156" t="s">
        <v>320</v>
      </c>
      <c r="C80" s="156" t="s">
        <v>107</v>
      </c>
    </row>
    <row r="81" spans="3:3">
      <c r="C81" s="156" t="s">
        <v>106</v>
      </c>
    </row>
    <row r="82" spans="3:3">
      <c r="C82" s="156" t="s">
        <v>105</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147</v>
      </c>
      <c r="C2" s="37"/>
      <c r="D2" s="37"/>
      <c r="E2" s="37"/>
      <c r="F2" s="37"/>
      <c r="H2" s="277" t="s">
        <v>304</v>
      </c>
      <c r="I2" s="278"/>
    </row>
    <row r="3" spans="2:9" ht="13.15">
      <c r="B3" s="160" t="s">
        <v>150</v>
      </c>
      <c r="H3" s="276">
        <v>0</v>
      </c>
      <c r="I3" s="264">
        <f>-Market_Price</f>
        <v>-54.75</v>
      </c>
    </row>
    <row r="4" spans="2:9">
      <c r="B4" s="153" t="s">
        <v>148</v>
      </c>
      <c r="C4" s="121">
        <v>3</v>
      </c>
      <c r="D4" s="121"/>
      <c r="E4" s="156" t="s">
        <v>152</v>
      </c>
      <c r="F4" s="156"/>
      <c r="H4" s="276">
        <v>1</v>
      </c>
      <c r="I4" s="264">
        <f t="shared" ref="I4:I13" si="0">IF(ROW()-3 &lt; $C$76, $C$77, IF(ROW()-3 = $C$76, $C$77 + $C$60, ""))</f>
        <v>2.0560747663551404</v>
      </c>
    </row>
    <row r="5" spans="2:9">
      <c r="H5" s="276">
        <v>2</v>
      </c>
      <c r="I5" s="264">
        <f t="shared" si="0"/>
        <v>2.0560747663551404</v>
      </c>
    </row>
    <row r="6" spans="2:9" ht="13.15">
      <c r="B6" s="160" t="s">
        <v>97</v>
      </c>
      <c r="C6" s="107">
        <f>Valuation_Model!C3</f>
        <v>1</v>
      </c>
      <c r="E6" s="100" t="s">
        <v>283</v>
      </c>
      <c r="F6" s="100"/>
      <c r="H6" s="276">
        <v>3</v>
      </c>
      <c r="I6" s="264">
        <f t="shared" si="0"/>
        <v>52.035443809335291</v>
      </c>
    </row>
    <row r="7" spans="2:9" ht="12.75" customHeight="1">
      <c r="B7" s="100" t="s">
        <v>277</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67</v>
      </c>
      <c r="C8" s="115">
        <f>Normalized_FCF!G19</f>
        <v>3103575085.2126045</v>
      </c>
      <c r="D8" t="str">
        <f>Reporting_currency</f>
        <v>CNY</v>
      </c>
      <c r="E8" s="350"/>
      <c r="F8" s="350"/>
      <c r="H8" s="276">
        <v>5</v>
      </c>
      <c r="I8" s="264" t="str">
        <f t="shared" si="0"/>
        <v/>
      </c>
    </row>
    <row r="9" spans="2:9">
      <c r="B9" s="100" t="s">
        <v>58</v>
      </c>
      <c r="C9" s="201">
        <f>Normalized_FCF!C19</f>
        <v>3333270342.4094524</v>
      </c>
      <c r="D9" t="str">
        <f>Reporting_currency</f>
        <v>CNY</v>
      </c>
      <c r="E9" s="350"/>
      <c r="F9" s="350"/>
      <c r="H9" s="276">
        <v>6</v>
      </c>
      <c r="I9" s="264" t="str">
        <f t="shared" si="0"/>
        <v/>
      </c>
    </row>
    <row r="10" spans="2:9">
      <c r="E10" s="350"/>
      <c r="F10" s="350"/>
      <c r="H10" s="276">
        <v>7</v>
      </c>
      <c r="I10" s="264" t="str">
        <f t="shared" si="0"/>
        <v/>
      </c>
    </row>
    <row r="11" spans="2:9" ht="13.15">
      <c r="B11" s="160" t="s">
        <v>280</v>
      </c>
      <c r="E11" s="350"/>
      <c r="F11" s="350"/>
      <c r="H11" s="276">
        <v>8</v>
      </c>
      <c r="I11" s="264" t="str">
        <f t="shared" si="0"/>
        <v/>
      </c>
    </row>
    <row r="12" spans="2:9">
      <c r="B12" s="119" t="s">
        <v>146</v>
      </c>
      <c r="C12" s="159" t="e">
        <f ca="1">(Normalized_FCF!G4/OFFSET(Normalized_FCF!G4, 0, $C$4))^(1/$C$4) - 1</f>
        <v>#VALUE!</v>
      </c>
      <c r="D12" s="159"/>
      <c r="E12" s="350"/>
      <c r="F12" s="350"/>
      <c r="H12" s="276">
        <v>9</v>
      </c>
      <c r="I12" s="264" t="str">
        <f t="shared" si="0"/>
        <v/>
      </c>
    </row>
    <row r="13" spans="2:9">
      <c r="B13" s="149" t="s">
        <v>154</v>
      </c>
      <c r="C13" s="159" t="e">
        <f ca="1">(Normalized_FCF!G8/OFFSET(Normalized_FCF!G8, 0, $C$4))^(1/$C$4) - 1</f>
        <v>#VALUE!</v>
      </c>
      <c r="E13" s="350"/>
      <c r="F13" s="350"/>
      <c r="H13" s="276">
        <v>10</v>
      </c>
      <c r="I13" s="264" t="str">
        <f t="shared" si="0"/>
        <v/>
      </c>
    </row>
    <row r="14" spans="2:9">
      <c r="B14" s="100" t="s">
        <v>67</v>
      </c>
      <c r="C14" s="159" t="e">
        <f ca="1">(Normalized_FCF!G19/OFFSET(Normalized_FCF!G19, 0, $C$4))^(1/$C$4) - 1</f>
        <v>#VALUE!</v>
      </c>
      <c r="E14" s="350"/>
      <c r="F14" s="350"/>
    </row>
    <row r="16" spans="2:9" ht="13.9">
      <c r="B16" s="36" t="s">
        <v>164</v>
      </c>
      <c r="C16" s="37"/>
      <c r="D16" s="37"/>
      <c r="E16" s="37"/>
      <c r="F16" s="37"/>
    </row>
    <row r="17" spans="2:6" ht="13.15">
      <c r="B17" s="109" t="s">
        <v>153</v>
      </c>
      <c r="E17" s="160" t="s">
        <v>340</v>
      </c>
    </row>
    <row r="18" spans="2:6">
      <c r="B18" s="153" t="s">
        <v>135</v>
      </c>
      <c r="C18" s="151">
        <v>10</v>
      </c>
      <c r="E18" s="350" t="s">
        <v>341</v>
      </c>
      <c r="F18" s="351"/>
    </row>
    <row r="19" spans="2:6">
      <c r="E19" s="351"/>
      <c r="F19" s="351"/>
    </row>
    <row r="20" spans="2:6" ht="13.15">
      <c r="B20" s="160" t="s">
        <v>312</v>
      </c>
      <c r="E20" s="351"/>
      <c r="F20" s="351"/>
    </row>
    <row r="21" spans="2:6">
      <c r="B21" s="100" t="s">
        <v>281</v>
      </c>
      <c r="C21" s="161">
        <f>Market_Price</f>
        <v>54.75</v>
      </c>
      <c r="D21" t="str">
        <f>Market_currency</f>
        <v>HKD</v>
      </c>
      <c r="E21" s="351"/>
      <c r="F21" s="351"/>
    </row>
    <row r="22" spans="2:6">
      <c r="B22" s="100" t="s">
        <v>282</v>
      </c>
      <c r="C22" s="161">
        <f>Valuation_Model!C12</f>
        <v>44.738094805760603</v>
      </c>
      <c r="D22" t="str">
        <f>Market_currency</f>
        <v>HKD</v>
      </c>
      <c r="E22" s="351"/>
      <c r="F22" s="351"/>
    </row>
    <row r="24" spans="2:6" ht="13.15">
      <c r="B24" s="160" t="s">
        <v>117</v>
      </c>
      <c r="E24" s="160" t="s">
        <v>151</v>
      </c>
      <c r="F24" s="160"/>
    </row>
    <row r="25" spans="2:6">
      <c r="B25" s="153" t="s">
        <v>135</v>
      </c>
      <c r="C25" s="167">
        <f>C18</f>
        <v>10</v>
      </c>
      <c r="D25" s="164"/>
      <c r="E25" s="349"/>
      <c r="F25" s="349"/>
    </row>
    <row r="26" spans="2:6">
      <c r="B26" s="119" t="s">
        <v>136</v>
      </c>
      <c r="C26" s="165">
        <v>0.04</v>
      </c>
      <c r="D26" s="165"/>
      <c r="E26" s="349"/>
      <c r="F26" s="349"/>
    </row>
    <row r="27" spans="2:6">
      <c r="B27" s="100" t="s">
        <v>115</v>
      </c>
      <c r="C27" s="161">
        <f>Valuation_Model!E76</f>
        <v>49.169263626129442</v>
      </c>
      <c r="D27" s="161" t="str">
        <f>Market_currency</f>
        <v>HKD</v>
      </c>
      <c r="E27" s="349"/>
      <c r="F27" s="349"/>
    </row>
    <row r="28" spans="2:6">
      <c r="B28" s="100" t="s">
        <v>149</v>
      </c>
      <c r="C28" s="166">
        <v>0.6</v>
      </c>
      <c r="D28" s="166"/>
      <c r="E28" s="349"/>
      <c r="F28" s="349"/>
    </row>
    <row r="30" spans="2:6" ht="13.15">
      <c r="B30" s="160" t="s">
        <v>118</v>
      </c>
      <c r="E30" s="160" t="s">
        <v>151</v>
      </c>
      <c r="F30" s="160"/>
    </row>
    <row r="31" spans="2:6">
      <c r="B31" s="153" t="s">
        <v>135</v>
      </c>
      <c r="C31" s="167">
        <f>C18</f>
        <v>10</v>
      </c>
      <c r="D31" s="164"/>
      <c r="E31" s="349"/>
      <c r="F31" s="349"/>
    </row>
    <row r="32" spans="2:6">
      <c r="B32" s="119" t="s">
        <v>136</v>
      </c>
      <c r="C32" s="165">
        <v>0.02</v>
      </c>
      <c r="D32" s="165"/>
      <c r="E32" s="349"/>
      <c r="F32" s="349"/>
    </row>
    <row r="33" spans="2:6">
      <c r="B33" s="100" t="s">
        <v>115</v>
      </c>
      <c r="C33" s="161">
        <f>Valuation_Model!E77</f>
        <v>46.847947055039363</v>
      </c>
      <c r="D33" t="str">
        <f>Market_currency</f>
        <v>HKD</v>
      </c>
      <c r="E33" s="349"/>
      <c r="F33" s="349"/>
    </row>
    <row r="34" spans="2:6">
      <c r="B34" s="100" t="s">
        <v>149</v>
      </c>
      <c r="C34" s="166">
        <v>0.2</v>
      </c>
      <c r="D34" s="166"/>
      <c r="E34" s="349"/>
      <c r="F34" s="349"/>
    </row>
    <row r="36" spans="2:6" ht="13.15">
      <c r="B36" s="160" t="s">
        <v>116</v>
      </c>
      <c r="E36" s="160" t="s">
        <v>151</v>
      </c>
      <c r="F36" s="160"/>
    </row>
    <row r="37" spans="2:6">
      <c r="B37" s="153" t="s">
        <v>135</v>
      </c>
      <c r="C37" s="167">
        <f>C18</f>
        <v>10</v>
      </c>
      <c r="D37" s="164"/>
      <c r="E37" s="349"/>
      <c r="F37" s="349"/>
    </row>
    <row r="38" spans="2:6">
      <c r="B38" s="119" t="s">
        <v>136</v>
      </c>
      <c r="C38" s="165">
        <v>0.06</v>
      </c>
      <c r="D38" s="165"/>
      <c r="E38" s="349"/>
      <c r="F38" s="349"/>
    </row>
    <row r="39" spans="2:6">
      <c r="B39" s="100" t="s">
        <v>115</v>
      </c>
      <c r="C39" s="161">
        <f>Valuation_Model!E75</f>
        <v>51.727352164575919</v>
      </c>
      <c r="D39" t="str">
        <f>Market_currency</f>
        <v>HKD</v>
      </c>
      <c r="E39" s="349"/>
      <c r="F39" s="349"/>
    </row>
    <row r="40" spans="2:6">
      <c r="B40" s="100" t="s">
        <v>149</v>
      </c>
      <c r="C40" s="168">
        <f>1-C28-C34</f>
        <v>0.2</v>
      </c>
      <c r="D40" s="166"/>
      <c r="E40" s="349"/>
      <c r="F40" s="349"/>
    </row>
    <row r="42" spans="2:6" ht="13.15">
      <c r="B42" s="100" t="s">
        <v>122</v>
      </c>
      <c r="C42" s="155">
        <f>C27*C28+C33*C34+C39*C40</f>
        <v>49.216618019600723</v>
      </c>
      <c r="D42" t="str">
        <f>Market_currency</f>
        <v>HKD</v>
      </c>
    </row>
    <row r="44" spans="2:6" ht="13.9">
      <c r="B44" s="36" t="s">
        <v>163</v>
      </c>
      <c r="C44" s="37"/>
      <c r="D44" s="37"/>
      <c r="E44" s="37"/>
      <c r="F44" s="37"/>
    </row>
    <row r="45" spans="2:6" ht="13.15">
      <c r="B45" s="109" t="s">
        <v>153</v>
      </c>
    </row>
    <row r="46" spans="2:6">
      <c r="B46" s="153" t="s">
        <v>135</v>
      </c>
      <c r="C46" s="151">
        <v>15</v>
      </c>
      <c r="E46" s="100"/>
      <c r="F46" s="100"/>
    </row>
    <row r="47" spans="2:6" ht="13.15">
      <c r="B47" s="160"/>
      <c r="E47" s="160"/>
      <c r="F47" s="160"/>
    </row>
    <row r="48" spans="2:6" ht="13.15">
      <c r="B48" s="160" t="s">
        <v>167</v>
      </c>
      <c r="E48" s="160" t="s">
        <v>151</v>
      </c>
      <c r="F48" s="160"/>
    </row>
    <row r="49" spans="2:6" ht="12.75" customHeight="1">
      <c r="B49" s="153" t="s">
        <v>135</v>
      </c>
      <c r="C49" s="167">
        <f>C46</f>
        <v>15</v>
      </c>
      <c r="D49" s="164"/>
      <c r="E49" s="349"/>
      <c r="F49" s="349"/>
    </row>
    <row r="50" spans="2:6">
      <c r="B50" s="119" t="s">
        <v>136</v>
      </c>
      <c r="C50" s="165">
        <v>0</v>
      </c>
      <c r="D50" s="165"/>
      <c r="E50" s="349"/>
      <c r="F50" s="349"/>
    </row>
    <row r="51" spans="2:6">
      <c r="B51" s="100" t="s">
        <v>115</v>
      </c>
      <c r="C51" s="161">
        <f>Valuation_Model!E78</f>
        <v>44.738094805760582</v>
      </c>
      <c r="D51" t="str">
        <f>Market_currency</f>
        <v>HKD</v>
      </c>
      <c r="E51" s="349"/>
      <c r="F51" s="349"/>
    </row>
    <row r="52" spans="2:6">
      <c r="B52" s="100" t="s">
        <v>149</v>
      </c>
      <c r="C52" s="166">
        <v>0.05</v>
      </c>
      <c r="D52" s="166"/>
      <c r="E52" s="349"/>
      <c r="F52" s="349"/>
    </row>
    <row r="54" spans="2:6" ht="13.15">
      <c r="B54" s="160" t="s">
        <v>326</v>
      </c>
      <c r="E54" s="160" t="s">
        <v>151</v>
      </c>
      <c r="F54" s="160"/>
    </row>
    <row r="55" spans="2:6">
      <c r="B55" s="153" t="s">
        <v>135</v>
      </c>
      <c r="C55" s="167">
        <f>C46</f>
        <v>15</v>
      </c>
      <c r="D55" s="164"/>
      <c r="E55" s="349"/>
      <c r="F55" s="349"/>
    </row>
    <row r="56" spans="2:6">
      <c r="B56" s="119" t="s">
        <v>136</v>
      </c>
      <c r="C56" s="165">
        <v>0.1</v>
      </c>
      <c r="D56" s="165"/>
      <c r="E56" s="349"/>
      <c r="F56" s="349"/>
    </row>
    <row r="57" spans="2:6">
      <c r="B57" s="100" t="s">
        <v>115</v>
      </c>
      <c r="C57" s="161">
        <f>Valuation_Model!E74</f>
        <v>68.950161701029543</v>
      </c>
      <c r="D57" t="str">
        <f>Market_currency</f>
        <v>HKD</v>
      </c>
      <c r="E57" s="349"/>
      <c r="F57" s="349"/>
    </row>
    <row r="58" spans="2:6">
      <c r="B58" s="100" t="s">
        <v>149</v>
      </c>
      <c r="C58" s="166">
        <v>0.05</v>
      </c>
      <c r="D58" s="166"/>
      <c r="E58" s="349"/>
      <c r="F58" s="349"/>
    </row>
    <row r="60" spans="2:6" ht="13.15">
      <c r="B60" s="100" t="s">
        <v>122</v>
      </c>
      <c r="C60" s="155">
        <f>C51*C52+C57*C58+C42*(1-C52-C58)</f>
        <v>49.979369042980153</v>
      </c>
      <c r="D60" t="str">
        <f>Market_currency</f>
        <v>HKD</v>
      </c>
      <c r="E60" s="100" t="s">
        <v>305</v>
      </c>
      <c r="F60" s="312">
        <f>Thesis!E20</f>
        <v>3</v>
      </c>
    </row>
    <row r="62" spans="2:6" ht="13.9">
      <c r="B62" s="36" t="s">
        <v>360</v>
      </c>
      <c r="C62" s="37"/>
      <c r="D62" s="37"/>
      <c r="E62" s="37"/>
      <c r="F62" s="37"/>
    </row>
    <row r="63" spans="2:6" ht="13.15">
      <c r="B63" s="109" t="s">
        <v>313</v>
      </c>
      <c r="E63" s="282" t="s">
        <v>321</v>
      </c>
    </row>
    <row r="64" spans="2:6">
      <c r="B64" s="153" t="s">
        <v>135</v>
      </c>
      <c r="C64" s="167">
        <f>C18</f>
        <v>10</v>
      </c>
      <c r="D64" s="151"/>
      <c r="E64" s="281" t="s">
        <v>411</v>
      </c>
    </row>
    <row r="65" spans="2:6">
      <c r="B65" s="119" t="s">
        <v>136</v>
      </c>
      <c r="C65" s="152">
        <v>4.6574870890079501E-2</v>
      </c>
      <c r="D65" s="152"/>
      <c r="E65" s="281" t="s">
        <v>322</v>
      </c>
    </row>
    <row r="66" spans="2:6">
      <c r="B66" s="100" t="s">
        <v>104</v>
      </c>
      <c r="C66" s="161">
        <f>Valuation_Model!C18</f>
        <v>49.982779638926473</v>
      </c>
      <c r="D66" s="161" t="str">
        <f>Market_currency</f>
        <v>HKD</v>
      </c>
      <c r="E66" s="281" t="s">
        <v>323</v>
      </c>
    </row>
    <row r="68" spans="2:6" ht="13.15">
      <c r="B68" s="109" t="s">
        <v>361</v>
      </c>
      <c r="E68" s="282" t="s">
        <v>324</v>
      </c>
    </row>
    <row r="69" spans="2:6">
      <c r="B69" s="100" t="s">
        <v>314</v>
      </c>
      <c r="C69" s="273" t="str">
        <f>IF(C60&lt;C22,"Y","N")</f>
        <v>N</v>
      </c>
      <c r="E69" s="135"/>
    </row>
    <row r="70" spans="2:6">
      <c r="B70" s="100" t="s">
        <v>302</v>
      </c>
      <c r="C70" s="273" t="str">
        <f>IF(C69="Y","N",IF(C65&gt;8%,"N","Y"))</f>
        <v>Y</v>
      </c>
      <c r="E70" s="281" t="s">
        <v>303</v>
      </c>
    </row>
    <row r="71" spans="2:6">
      <c r="B71" s="100" t="s">
        <v>301</v>
      </c>
      <c r="C71" s="273" t="str">
        <f>IF(C65&gt;8%,"Y","N")</f>
        <v>N</v>
      </c>
      <c r="E71" s="281"/>
    </row>
    <row r="72" spans="2:6">
      <c r="B72" s="100" t="s">
        <v>293</v>
      </c>
      <c r="C72" s="272" t="str">
        <f>IF(F72&gt;50%,"Y","N")</f>
        <v>N</v>
      </c>
      <c r="E72" s="135" t="s">
        <v>357</v>
      </c>
      <c r="F72" s="329">
        <f>BS!D89/C60</f>
        <v>0.24125352815533935</v>
      </c>
    </row>
    <row r="74" spans="2:6" ht="13.9">
      <c r="B74" s="36" t="s">
        <v>129</v>
      </c>
      <c r="C74" s="37"/>
      <c r="D74" s="37"/>
      <c r="E74" s="37"/>
      <c r="F74" s="37"/>
    </row>
    <row r="75" spans="2:6" ht="13.15">
      <c r="B75" s="109" t="s">
        <v>127</v>
      </c>
    </row>
    <row r="76" spans="2:6">
      <c r="B76" s="275" t="s">
        <v>306</v>
      </c>
      <c r="C76" s="274">
        <f>F60</f>
        <v>3</v>
      </c>
      <c r="D76" s="135"/>
    </row>
    <row r="77" spans="2:6">
      <c r="B77" s="100" t="s">
        <v>113</v>
      </c>
      <c r="C77" s="174">
        <f>Normalized_FCF!C90</f>
        <v>2.0560747663551404</v>
      </c>
      <c r="D77" t="str">
        <f>Market_currency</f>
        <v>HKD</v>
      </c>
    </row>
    <row r="79" spans="2:6" ht="13.15">
      <c r="B79" s="109" t="s">
        <v>310</v>
      </c>
    </row>
    <row r="80" spans="2:6">
      <c r="B80" s="149" t="s">
        <v>308</v>
      </c>
      <c r="C80" s="168">
        <f>Thesis!C127</f>
        <v>0.25</v>
      </c>
    </row>
    <row r="81" spans="2:8">
      <c r="B81" s="100" t="s">
        <v>123</v>
      </c>
      <c r="C81" s="117">
        <f>PV(C80, C76, -C77, 0)</f>
        <v>4.0134579439252347</v>
      </c>
      <c r="D81" s="117"/>
      <c r="E81" s="100"/>
      <c r="F81" s="100"/>
    </row>
    <row r="82" spans="2:8">
      <c r="B82" s="100" t="s">
        <v>124</v>
      </c>
      <c r="C82" s="117">
        <f>C60/(1+C80)^C76</f>
        <v>25.589436950005837</v>
      </c>
      <c r="D82" s="117"/>
    </row>
    <row r="83" spans="2:8" ht="13.15">
      <c r="B83" s="111" t="s">
        <v>103</v>
      </c>
      <c r="C83" s="112">
        <f>C81+C82</f>
        <v>29.602894893931072</v>
      </c>
      <c r="D83" t="str">
        <f>Market_currency</f>
        <v>HKD</v>
      </c>
      <c r="E83" s="147" t="s">
        <v>128</v>
      </c>
      <c r="F83" s="329">
        <f>(1-C83/C60)</f>
        <v>0.40769770685832729</v>
      </c>
    </row>
    <row r="84" spans="2:8">
      <c r="E84" s="121"/>
    </row>
    <row r="85" spans="2:8" ht="13.15">
      <c r="B85" s="109" t="s">
        <v>311</v>
      </c>
    </row>
    <row r="86" spans="2:8">
      <c r="B86" s="149" t="s">
        <v>309</v>
      </c>
      <c r="C86" s="266">
        <f>Market_Price</f>
        <v>54.75</v>
      </c>
      <c r="D86" t="str">
        <f>Market_currency</f>
        <v>HKD</v>
      </c>
    </row>
    <row r="87" spans="2:8" ht="13.15">
      <c r="B87" s="100" t="s">
        <v>307</v>
      </c>
      <c r="C87" s="265">
        <f ca="1">IRR(OFFSET($I$3, 0, 0, $C$76 + 1, 1))</f>
        <v>8.761949902906796E-3</v>
      </c>
    </row>
    <row r="88" spans="2:8">
      <c r="B88" s="100"/>
    </row>
    <row r="89" spans="2:8" ht="13.15">
      <c r="B89" s="109" t="s">
        <v>414</v>
      </c>
    </row>
    <row r="90" spans="2:8">
      <c r="B90" s="149" t="s">
        <v>421</v>
      </c>
      <c r="C90" s="135">
        <f>MAX(6%,(Thesis!E19+Thesis!C67)/2)</f>
        <v>0.06</v>
      </c>
    </row>
    <row r="91" spans="2:8">
      <c r="B91" s="100" t="s">
        <v>123</v>
      </c>
      <c r="C91" s="117">
        <f>PV(C90, C76, -C77, 0)</f>
        <v>5.4959124194538393</v>
      </c>
      <c r="D91" s="117"/>
    </row>
    <row r="92" spans="2:8">
      <c r="B92" s="100" t="s">
        <v>124</v>
      </c>
      <c r="C92" s="117">
        <f>C60/(1+C90)^C76</f>
        <v>41.963642002273808</v>
      </c>
      <c r="D92" s="117"/>
    </row>
    <row r="93" spans="2:8" ht="13.15">
      <c r="B93" s="111" t="s">
        <v>415</v>
      </c>
      <c r="C93" s="112">
        <f>C91+C92</f>
        <v>47.459554421727645</v>
      </c>
      <c r="D93" t="s">
        <v>413</v>
      </c>
      <c r="E93" s="147" t="s">
        <v>128</v>
      </c>
      <c r="F93" s="329">
        <f>(1-C93/C60)</f>
        <v>5.0417095483649921E-2</v>
      </c>
    </row>
    <row r="94" spans="2:8">
      <c r="B94" s="100"/>
    </row>
    <row r="95" spans="2:8" ht="14.65">
      <c r="E95" s="320" t="s">
        <v>335</v>
      </c>
      <c r="F95" s="317"/>
      <c r="G95" s="2"/>
      <c r="H95" s="316"/>
    </row>
    <row r="96" spans="2:8" ht="13.9">
      <c r="E96" s="313" t="s">
        <v>336</v>
      </c>
      <c r="F96" s="318" t="s">
        <v>337</v>
      </c>
      <c r="G96" s="2"/>
      <c r="H96" s="316"/>
    </row>
    <row r="97" spans="5:8" ht="13.9">
      <c r="E97" s="314" t="s">
        <v>336</v>
      </c>
      <c r="F97" s="318" t="s">
        <v>338</v>
      </c>
      <c r="G97" s="2"/>
      <c r="H97" s="316"/>
    </row>
    <row r="98" spans="5:8" ht="13.9">
      <c r="E98" s="315" t="s">
        <v>336</v>
      </c>
      <c r="F98" s="319" t="s">
        <v>339</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2025-05-01T12:45:01Z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