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10A57551-4B16-4920-8E85-0D4C016CF38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<sst xmlns="http://schemas.openxmlformats.org/spreadsheetml/2006/main" count="684" uniqueCount="463">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</sst>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355</v>
      </c>
      <c r="F1" s="254" t="s">
        <v>284</v>
      </c>
    </row>
    <row r="2" spans="1:10" ht="13.9">
      <c r="A2" s="222" t="s">
        <v>267</v>
      </c>
      <c r="B2" s="36"/>
      <c r="C2" s="36"/>
      <c r="D2" s="36"/>
      <c r="E2" s="36"/>
      <c r="F2" s="36"/>
      <c r="G2" s="22"/>
      <c r="H2" s="22"/>
      <c r="I2" s="22"/>
      <c r="J2" s="22"/>
    </row>
    <row r="4" spans="1:10">
      <c r="B4" s="45" t="s">
        <v>418</v>
      </c>
      <c r="C4" s="46"/>
      <c r="D4" s="5"/>
      <c r="E4" s="2"/>
      <c r="F4" s="2"/>
    </row>
    <row r="5" spans="1:10" ht="12.4">
      <c r="B5" s="4" t="s">
        <v>316</v>
      </c>
      <c r="C5" s="294" t="s">
        <v>443</v>
      </c>
    </row>
    <row r="6" spans="1:10">
      <c r="B6" s="4" t="s">
        <v>0</v>
      </c>
      <c r="C6" s="51">
        <v>20774311267</v>
      </c>
      <c r="E6" s="48"/>
    </row>
    <row r="7" spans="1:10">
      <c r="B7" s="2" t="s">
        <v>308</v>
      </c>
      <c r="C7" s="250">
        <v>6</v>
      </c>
      <c r="D7" s="48"/>
      <c r="E7" s="48"/>
    </row>
    <row r="8" spans="1:10">
      <c r="B8" s="1" t="s">
        <v>268</v>
      </c>
      <c r="C8" s="33">
        <f>EOMONTH(EDATE(BS!C1,C7+2),0)</f>
        <v>45900</v>
      </c>
      <c r="E8" s="48"/>
    </row>
    <row r="9" spans="1:10">
      <c r="E9" s="34"/>
    </row>
    <row r="10" spans="1:10">
      <c r="B10" s="45" t="s">
        <v>421</v>
      </c>
      <c r="C10" s="46"/>
      <c r="E10" s="34"/>
    </row>
    <row r="11" spans="1:10">
      <c r="B11" s="1" t="s">
        <v>420</v>
      </c>
      <c r="C11" s="49" t="s">
        <v>444</v>
      </c>
      <c r="D11" s="49"/>
      <c r="E11" s="34"/>
    </row>
    <row r="12" spans="1:10">
      <c r="B12" s="4" t="s">
        <v>94</v>
      </c>
      <c r="C12" s="50">
        <v>22.7</v>
      </c>
      <c r="D12" s="50"/>
      <c r="E12" s="48"/>
    </row>
    <row r="13" spans="1:10">
      <c r="B13" s="1" t="s">
        <v>419</v>
      </c>
      <c r="C13" s="48" t="s">
        <v>417</v>
      </c>
      <c r="D13" s="48"/>
      <c r="E13" s="5"/>
    </row>
    <row r="14" spans="1:10">
      <c r="B14" s="4" t="s">
        <v>423</v>
      </c>
      <c r="C14" s="35">
        <f>Thesis!C12*Common_Shares/1000000</f>
        <v>471576.86576089996</v>
      </c>
      <c r="D14" s="35" t="str">
        <f>IF(D11="","",Thesis!D12*Common_Shares/1000000)</f>
        <v/>
      </c>
      <c r="E14" s="5"/>
    </row>
    <row r="15" spans="1:10">
      <c r="B15" s="4" t="s">
        <v>422</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1" t="s">
        <v>362</v>
      </c>
      <c r="C18" s="351"/>
      <c r="D18" s="351"/>
      <c r="E18" s="351"/>
      <c r="F18" s="351"/>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442</v>
      </c>
      <c r="E21" s="308" t="s">
        <v>446</v>
      </c>
    </row>
    <row r="22" spans="2:6">
      <c r="B22" s="2" t="s">
        <v>56</v>
      </c>
      <c r="C22" s="48" t="s">
        <v>445</v>
      </c>
      <c r="D22" s="1" t="str">
        <f>IF(valuation_method="DDM","DDM Terminal Value","")</f>
        <v>DDM Terminal Value</v>
      </c>
      <c r="E22" s="313">
        <v>0.02</v>
      </c>
    </row>
    <row r="23" spans="2:6">
      <c r="B23" s="1" t="s">
        <v>437</v>
      </c>
      <c r="C23" s="262" t="s">
        <v>322</v>
      </c>
    </row>
    <row r="24" spans="2:6">
      <c r="B24" s="1" t="s">
        <v>438</v>
      </c>
      <c r="C24" s="262" t="s">
        <v>322</v>
      </c>
    </row>
    <row r="25" spans="2:6">
      <c r="B25" s="4" t="s">
        <v>349</v>
      </c>
      <c r="C25" s="48" t="s">
        <v>417</v>
      </c>
      <c r="D25" s="32" t="str">
        <f>IF(D11="","",Market_currency&amp;"/"&amp;D13&amp;":")</f>
        <v/>
      </c>
      <c r="E25" s="299" t="str">
        <f>IF(D11="","",1/Exchange_Rate*D16)</f>
        <v/>
      </c>
    </row>
    <row r="26" spans="2:6">
      <c r="B26" s="1" t="str">
        <f>"Expected Equity Value ("&amp;C13&amp;") :"</f>
        <v>Expected Equity Value (CNY) :</v>
      </c>
      <c r="C26" s="304">
        <f>C132</f>
        <v>15.250653679329751</v>
      </c>
      <c r="D26" s="1" t="s">
        <v>402</v>
      </c>
      <c r="E26" s="301">
        <f ca="1">Scenarios!C87</f>
        <v>-7.0817960172770755E-2</v>
      </c>
    </row>
    <row r="27" spans="2:6">
      <c r="D27" s="5"/>
      <c r="E27" s="5"/>
    </row>
    <row r="28" spans="2:6">
      <c r="B28" s="45" t="s">
        <v>436</v>
      </c>
      <c r="C28" s="309" t="str">
        <f>C145&amp;" ("&amp;Market_currency&amp;")"</f>
        <v>601166.SS (CNY)</v>
      </c>
      <c r="D28" s="309" t="str">
        <f>IF(D11="","",D145&amp;" ("&amp;D13&amp;")")</f>
        <v/>
      </c>
      <c r="E28" s="305" t="s">
        <v>432</v>
      </c>
      <c r="F28" s="303">
        <v>3</v>
      </c>
    </row>
    <row r="29" spans="2:6">
      <c r="B29" s="1" t="s">
        <v>428</v>
      </c>
      <c r="C29" s="310">
        <f>C149</f>
        <v>7.2420749560239628</v>
      </c>
      <c r="D29" s="310" t="str">
        <f>D149</f>
        <v/>
      </c>
      <c r="E29" s="306" t="s">
        <v>427</v>
      </c>
      <c r="F29" s="302">
        <v>0.4</v>
      </c>
    </row>
    <row r="30" spans="2:6">
      <c r="B30" s="1" t="s">
        <v>429</v>
      </c>
      <c r="C30" s="311">
        <f>C157</f>
        <v>10.56341592431181</v>
      </c>
      <c r="D30" s="311" t="str">
        <f>D157</f>
        <v/>
      </c>
      <c r="E30" s="307" t="s">
        <v>440</v>
      </c>
      <c r="F30" s="312">
        <v>0.22</v>
      </c>
    </row>
    <row r="31" spans="2:6">
      <c r="B31" s="1" t="s">
        <v>430</v>
      </c>
      <c r="C31" s="311">
        <f>C165</f>
        <v>14.838183393767583</v>
      </c>
      <c r="D31" s="311" t="str">
        <f>D165</f>
        <v/>
      </c>
      <c r="E31" s="307" t="s">
        <v>439</v>
      </c>
      <c r="F31" s="312">
        <v>0.08</v>
      </c>
    </row>
    <row r="32" spans="2:6">
      <c r="B32" s="1" t="s">
        <v>431</v>
      </c>
      <c r="C32" s="311">
        <f>C173</f>
        <v>13.401055199504707</v>
      </c>
      <c r="D32" s="311" t="str">
        <f>D173</f>
        <v/>
      </c>
      <c r="E32" s="307" t="s">
        <v>441</v>
      </c>
      <c r="F32" s="312">
        <v>0.12</v>
      </c>
    </row>
    <row r="33" spans="1:6">
      <c r="D33" s="5"/>
      <c r="E33" s="5"/>
    </row>
    <row r="34" spans="1:6" ht="13.9">
      <c r="A34" s="222" t="s">
        <v>357</v>
      </c>
      <c r="B34" s="36"/>
      <c r="C34" s="36"/>
      <c r="D34" s="36"/>
      <c r="E34" s="36"/>
      <c r="F34" s="36"/>
    </row>
    <row r="36" spans="1:6" ht="24.6" customHeight="1">
      <c r="B36" s="351" t="s">
        <v>363</v>
      </c>
      <c r="C36" s="351"/>
      <c r="D36" s="351"/>
      <c r="E36" s="351"/>
      <c r="F36" s="351"/>
    </row>
    <row r="37" spans="1:6" ht="24.6" customHeight="1">
      <c r="B37" s="353" t="s">
        <v>341</v>
      </c>
      <c r="C37" s="353"/>
      <c r="D37" s="353"/>
      <c r="E37" s="353"/>
      <c r="F37" s="353"/>
    </row>
    <row r="39" spans="1:6">
      <c r="B39" s="210" t="s">
        <v>230</v>
      </c>
      <c r="C39" s="108">
        <f>scaling_factor</f>
        <v>1000000</v>
      </c>
    </row>
    <row r="40" spans="1:6" ht="24.6" customHeight="1">
      <c r="B40" s="352" t="s">
        <v>231</v>
      </c>
      <c r="C40" s="352"/>
      <c r="D40" s="352"/>
      <c r="E40" s="352"/>
      <c r="F40" s="352"/>
    </row>
    <row r="41" spans="1:6">
      <c r="B41" s="47" t="s">
        <v>232</v>
      </c>
      <c r="C41" s="349">
        <f>Normalized_FCF!C8</f>
        <v>-721</v>
      </c>
      <c r="D41" s="1" t="str">
        <f>Reporting_currency</f>
        <v>CNY</v>
      </c>
    </row>
    <row r="42" spans="1:6">
      <c r="B42" s="47"/>
      <c r="C42" s="76"/>
    </row>
    <row r="43" spans="1:6" ht="24.6" customHeight="1">
      <c r="B43" s="352" t="s">
        <v>233</v>
      </c>
      <c r="C43" s="352"/>
      <c r="D43" s="352"/>
      <c r="E43" s="352"/>
      <c r="F43" s="352"/>
    </row>
    <row r="44" spans="1:6">
      <c r="B44" s="47" t="s">
        <v>234</v>
      </c>
      <c r="C44" s="349">
        <f>Normalized_FCF!C9</f>
        <v>0</v>
      </c>
      <c r="D44" s="1" t="str">
        <f>Reporting_currency</f>
        <v>CNY</v>
      </c>
    </row>
    <row r="45" spans="1:6">
      <c r="B45" s="52" t="s">
        <v>235</v>
      </c>
      <c r="C45" s="349">
        <f>Normalized_FCF!C10</f>
        <v>0</v>
      </c>
      <c r="D45" s="1" t="str">
        <f>Reporting_currency</f>
        <v>CNY</v>
      </c>
    </row>
    <row r="47" spans="1:6">
      <c r="B47" s="352" t="s">
        <v>236</v>
      </c>
      <c r="C47" s="352"/>
      <c r="D47" s="352"/>
      <c r="E47" s="352"/>
      <c r="F47" s="352"/>
    </row>
    <row r="48" spans="1:6">
      <c r="B48" s="47" t="s">
        <v>237</v>
      </c>
      <c r="C48" s="349">
        <f>Normalized_FCF!C11</f>
        <v>0</v>
      </c>
      <c r="D48" s="1" t="str">
        <f>Reporting_currency</f>
        <v>CNY</v>
      </c>
    </row>
    <row r="50" spans="2:6">
      <c r="B50" s="352" t="s">
        <v>240</v>
      </c>
      <c r="C50" s="352"/>
      <c r="D50" s="352"/>
      <c r="E50" s="352"/>
      <c r="F50" s="352"/>
    </row>
    <row r="51" spans="2:6">
      <c r="B51" s="47" t="s">
        <v>342</v>
      </c>
      <c r="C51" s="350">
        <f>Normalized_FCF!C48</f>
        <v>0</v>
      </c>
      <c r="D51" s="1" t="str">
        <f>Reporting_currency</f>
        <v>CNY</v>
      </c>
      <c r="E51" s="286"/>
      <c r="F51" s="286"/>
    </row>
    <row r="52" spans="2:6">
      <c r="B52" s="47" t="s">
        <v>343</v>
      </c>
      <c r="C52" s="350">
        <f>Normalized_FCF!C47</f>
        <v>0</v>
      </c>
      <c r="D52" s="1" t="str">
        <f>Reporting_currency</f>
        <v>CNY</v>
      </c>
      <c r="E52" s="286"/>
      <c r="F52" s="286"/>
    </row>
    <row r="53" spans="2:6">
      <c r="B53" s="47" t="s">
        <v>238</v>
      </c>
      <c r="C53" s="349">
        <f>Normalized_FCF!C12</f>
        <v>0</v>
      </c>
      <c r="D53" s="1" t="str">
        <f>Reporting_currency</f>
        <v>CNY</v>
      </c>
    </row>
    <row r="55" spans="2:6">
      <c r="B55" s="1" t="s">
        <v>246</v>
      </c>
    </row>
    <row r="56" spans="2:6">
      <c r="B56" s="47" t="s">
        <v>265</v>
      </c>
      <c r="C56" s="349">
        <f>Normalized_FCF!C15</f>
        <v>0</v>
      </c>
      <c r="D56" s="1" t="str">
        <f>Reporting_currency</f>
        <v>CNY</v>
      </c>
    </row>
    <row r="58" spans="2:6">
      <c r="B58" s="352" t="s">
        <v>241</v>
      </c>
      <c r="C58" s="352"/>
      <c r="D58" s="352"/>
      <c r="E58" s="352"/>
      <c r="F58" s="352"/>
    </row>
    <row r="59" spans="2:6">
      <c r="B59" s="47" t="s">
        <v>239</v>
      </c>
      <c r="C59" s="349">
        <f>Normalized_FCF!C14</f>
        <v>180.25</v>
      </c>
      <c r="D59" s="1" t="str">
        <f>Reporting_currency</f>
        <v>CNY</v>
      </c>
    </row>
    <row r="61" spans="2:6">
      <c r="B61" s="352" t="s">
        <v>340</v>
      </c>
      <c r="C61" s="355"/>
      <c r="D61" s="355"/>
      <c r="E61" s="355"/>
      <c r="F61" s="355"/>
    </row>
    <row r="62" spans="2:6">
      <c r="B62" s="47" t="s">
        <v>242</v>
      </c>
      <c r="C62" s="349">
        <f>Normalized_FCF!C17</f>
        <v>0</v>
      </c>
      <c r="D62" s="1" t="str">
        <f>Reporting_currency</f>
        <v>CNY</v>
      </c>
    </row>
    <row r="64" spans="2:6" ht="24.6" customHeight="1">
      <c r="B64" s="351" t="s">
        <v>345</v>
      </c>
      <c r="C64" s="351"/>
      <c r="D64" s="351"/>
      <c r="E64" s="351"/>
      <c r="F64" s="351"/>
    </row>
    <row r="65" spans="1:6" ht="24.6" customHeight="1">
      <c r="B65" s="351" t="s">
        <v>364</v>
      </c>
      <c r="C65" s="351"/>
      <c r="D65" s="351"/>
      <c r="E65" s="351"/>
      <c r="F65" s="351"/>
    </row>
    <row r="67" spans="1:6">
      <c r="B67" s="47" t="s">
        <v>270</v>
      </c>
      <c r="C67" s="349">
        <f>Normalized_FCF!G19</f>
        <v>-206364</v>
      </c>
      <c r="D67" s="1" t="str">
        <f>Reporting_currency</f>
        <v>CNY</v>
      </c>
    </row>
    <row r="68" spans="1:6">
      <c r="B68" s="47" t="s">
        <v>248</v>
      </c>
      <c r="C68" s="349">
        <f>Normalized_FCF!C19</f>
        <v>-540.75</v>
      </c>
      <c r="D68" s="1" t="str">
        <f>Reporting_currency</f>
        <v>CNY</v>
      </c>
    </row>
    <row r="69" spans="1:6">
      <c r="B69" s="227" t="s">
        <v>393</v>
      </c>
      <c r="C69" s="92">
        <f>Normalized_FCF!C125</f>
        <v>-1.1466847491076299E-3</v>
      </c>
      <c r="F69" s="314"/>
    </row>
    <row r="70" spans="1:6">
      <c r="B70" s="227" t="s">
        <v>309</v>
      </c>
      <c r="C70" s="92">
        <f>Normalized_FCF!C93</f>
        <v>4.6696035242290754E-2</v>
      </c>
      <c r="E70" s="47" t="s">
        <v>455</v>
      </c>
      <c r="F70" s="315">
        <f>Normalized_FCF!C92</f>
        <v>-40.722644369893672</v>
      </c>
    </row>
    <row r="72" spans="1:6">
      <c r="B72" s="210" t="s">
        <v>458</v>
      </c>
      <c r="C72" s="323" t="s">
        <v>460</v>
      </c>
      <c r="D72" s="323" t="s">
        <v>461</v>
      </c>
    </row>
    <row r="73" spans="1:6">
      <c r="B73" s="47" t="s">
        <v>459</v>
      </c>
      <c r="C73" s="92">
        <f>Normalized_FCF!C120</f>
        <v>-240.33333333333334</v>
      </c>
      <c r="D73" s="92">
        <f>Normalized_FCF!G120</f>
        <v>-65483</v>
      </c>
    </row>
    <row r="74" spans="1:6">
      <c r="B74" s="259" t="str">
        <f>Normalized_FCF!B117</f>
        <v>Pre-tax Profit/Sales</v>
      </c>
      <c r="C74" s="322">
        <f>Normalized_FCF!C117</f>
        <v>-1.1649701082565843E-2</v>
      </c>
      <c r="D74" s="322">
        <f>Normalized_FCF!G117</f>
        <v>1.4678118322150659</v>
      </c>
    </row>
    <row r="75" spans="1:6">
      <c r="B75" s="259" t="str">
        <f>Normalized_FCF!B118</f>
        <v>Sales/Total Assets</v>
      </c>
      <c r="C75" s="324">
        <f>Normalized_FCF!C118</f>
        <v>15472.5</v>
      </c>
      <c r="D75" s="324">
        <f>Normalized_FCF!G118</f>
        <v>-33459.5</v>
      </c>
    </row>
    <row r="76" spans="1:6">
      <c r="B76" s="259" t="str">
        <f>Normalized_FCF!B119</f>
        <v>Total Assets/Equity</v>
      </c>
      <c r="C76" s="324">
        <f>Normalized_FCF!C119</f>
        <v>1.3333333333333333</v>
      </c>
      <c r="D76" s="324">
        <f>Normalized_FCF!G119</f>
        <v>1.3333333333333333</v>
      </c>
    </row>
    <row r="78" spans="1:6" ht="13.9">
      <c r="A78" s="222" t="s">
        <v>358</v>
      </c>
      <c r="B78" s="36"/>
      <c r="C78" s="36"/>
      <c r="D78" s="36"/>
      <c r="E78" s="36"/>
      <c r="F78" s="36"/>
    </row>
    <row r="79" spans="1:6">
      <c r="A79" s="209"/>
    </row>
    <row r="80" spans="1:6" ht="24.6" customHeight="1">
      <c r="A80" s="17"/>
      <c r="B80" s="351" t="s">
        <v>365</v>
      </c>
      <c r="C80" s="351"/>
      <c r="D80" s="351"/>
      <c r="E80" s="351"/>
      <c r="F80" s="351"/>
    </row>
    <row r="81" spans="1:6">
      <c r="B81" s="353" t="s">
        <v>252</v>
      </c>
      <c r="C81" s="353"/>
      <c r="D81" s="353"/>
      <c r="E81" s="353"/>
      <c r="F81" s="353"/>
    </row>
    <row r="83" spans="1:6">
      <c r="B83" s="210" t="s">
        <v>230</v>
      </c>
    </row>
    <row r="84" spans="1:6">
      <c r="B84" s="1" t="s">
        <v>434</v>
      </c>
      <c r="C84" s="92">
        <f>F31</f>
        <v>0.08</v>
      </c>
    </row>
    <row r="85" spans="1:6">
      <c r="B85" s="1" t="s">
        <v>433</v>
      </c>
      <c r="C85" s="92">
        <f>IF(C23="Y",1%,0)+IF(C24="Y",1%,0)</f>
        <v>0</v>
      </c>
    </row>
    <row r="86" spans="1:6">
      <c r="B86" s="80" t="s">
        <v>247</v>
      </c>
      <c r="C86" s="236">
        <f>F31+C85</f>
        <v>0.08</v>
      </c>
    </row>
    <row r="87" spans="1:6">
      <c r="C87" s="121"/>
    </row>
    <row r="88" spans="1:6">
      <c r="B88" s="293" t="s">
        <v>359</v>
      </c>
      <c r="C88" s="121"/>
    </row>
    <row r="89" spans="1:6" ht="24.6" customHeight="1">
      <c r="B89" s="351" t="s">
        <v>366</v>
      </c>
      <c r="C89" s="351"/>
      <c r="D89" s="351"/>
      <c r="E89" s="351"/>
      <c r="F89" s="351"/>
    </row>
    <row r="90" spans="1:6" ht="24.6" customHeight="1">
      <c r="B90" s="351" t="s">
        <v>367</v>
      </c>
      <c r="C90" s="351"/>
      <c r="D90" s="351"/>
      <c r="E90" s="351"/>
      <c r="F90" s="351"/>
    </row>
    <row r="92" spans="1:6">
      <c r="B92" s="47" t="s">
        <v>251</v>
      </c>
      <c r="C92" s="236">
        <v>0</v>
      </c>
    </row>
    <row r="93" spans="1:6">
      <c r="B93" s="47" t="s">
        <v>280</v>
      </c>
      <c r="C93" s="223">
        <f>DCF!C6*scaling_factor*Exchange_Rate/Common_Shares</f>
        <v>-0.32537179755928991</v>
      </c>
      <c r="D93" s="1" t="str">
        <f>Market_currency</f>
        <v>CNY</v>
      </c>
    </row>
    <row r="95" spans="1:6" ht="13.9">
      <c r="A95" s="222" t="s">
        <v>360</v>
      </c>
      <c r="B95" s="36"/>
      <c r="C95" s="36"/>
      <c r="D95" s="36"/>
      <c r="E95" s="36"/>
      <c r="F95" s="36"/>
    </row>
    <row r="96" spans="1:6">
      <c r="A96" s="209"/>
    </row>
    <row r="97" spans="2:6">
      <c r="B97" s="351" t="s">
        <v>368</v>
      </c>
      <c r="C97" s="351"/>
      <c r="D97" s="351"/>
      <c r="E97" s="351"/>
      <c r="F97" s="351"/>
    </row>
    <row r="98" spans="2:6">
      <c r="B98" s="1" t="s">
        <v>253</v>
      </c>
    </row>
    <row r="100" spans="2:6">
      <c r="B100" s="210" t="s">
        <v>230</v>
      </c>
    </row>
    <row r="101" spans="2:6" ht="24.6" customHeight="1">
      <c r="B101" s="351" t="s">
        <v>346</v>
      </c>
      <c r="C101" s="351"/>
      <c r="D101" s="351"/>
      <c r="E101" s="351"/>
      <c r="F101" s="351"/>
    </row>
    <row r="102" spans="2:6">
      <c r="B102" s="47" t="s">
        <v>255</v>
      </c>
      <c r="C102" s="349">
        <f>DCF!C7</f>
        <v>0</v>
      </c>
      <c r="D102" s="1" t="str">
        <f>Reporting_currency</f>
        <v>CNY</v>
      </c>
    </row>
    <row r="103" spans="2:6">
      <c r="B103" s="47" t="s">
        <v>281</v>
      </c>
      <c r="C103" s="223">
        <f>C102*scaling_factor*Exchange_Rate/Common_Shares</f>
        <v>0</v>
      </c>
      <c r="D103" s="1" t="str">
        <f>Market_currency</f>
        <v>CNY</v>
      </c>
    </row>
    <row r="104" spans="2:6">
      <c r="B104" s="296" t="s">
        <v>407</v>
      </c>
      <c r="C104" s="325">
        <f>IF(BS!G31/BS!G27&gt;300%,"nm",BS!G31/BS!G27)</f>
        <v>0</v>
      </c>
    </row>
    <row r="105" spans="2:6">
      <c r="B105" s="296" t="s">
        <v>409</v>
      </c>
      <c r="C105" s="326">
        <f>IF(BS!C50&gt;30,"nm",BS!C50)</f>
        <v>0</v>
      </c>
    </row>
    <row r="107" spans="2:6">
      <c r="B107" s="1" t="s">
        <v>254</v>
      </c>
    </row>
    <row r="108" spans="2:6">
      <c r="B108" s="47" t="s">
        <v>264</v>
      </c>
      <c r="C108" s="349">
        <f>BS!C66</f>
        <v>2</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6" customHeight="1">
      <c r="B116" s="351" t="s">
        <v>369</v>
      </c>
      <c r="C116" s="351"/>
      <c r="D116" s="351"/>
      <c r="E116" s="351"/>
      <c r="F116" s="351"/>
    </row>
    <row r="118" spans="1:6">
      <c r="B118" s="47" t="s">
        <v>456</v>
      </c>
      <c r="C118" s="223">
        <f>IF(valuation_method="DCF",DCF!C12,DDM!C7)</f>
        <v>13.25</v>
      </c>
      <c r="D118" s="1" t="str">
        <f>Market_currency</f>
        <v>CNY</v>
      </c>
    </row>
    <row r="119" spans="1:6">
      <c r="B119" s="296" t="s">
        <v>408</v>
      </c>
      <c r="C119" s="223">
        <f>BS!D47</f>
        <v>4.3322735874745961E-5</v>
      </c>
      <c r="D119" s="1" t="str">
        <f>Market_currency</f>
        <v>CNY</v>
      </c>
    </row>
    <row r="121" spans="1:6" ht="13.9">
      <c r="A121" s="222" t="s">
        <v>361</v>
      </c>
      <c r="B121" s="36"/>
      <c r="C121" s="36"/>
      <c r="D121" s="36"/>
      <c r="E121" s="36"/>
      <c r="F121" s="36"/>
    </row>
    <row r="123" spans="1:6" ht="24.6" customHeight="1">
      <c r="B123" s="352" t="s">
        <v>370</v>
      </c>
      <c r="C123" s="352"/>
      <c r="D123" s="352"/>
      <c r="E123" s="352"/>
      <c r="F123" s="352"/>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18.68 CNY</v>
      </c>
      <c r="F126" s="232">
        <f>DCF!F74</f>
        <v>0.05</v>
      </c>
    </row>
    <row r="127" spans="1:6">
      <c r="B127" s="218" t="str">
        <f>DCF!B75</f>
        <v>Optimistic</v>
      </c>
      <c r="C127" s="219">
        <f>DCF!C75</f>
        <v>0.06</v>
      </c>
      <c r="D127" s="220">
        <f>DCF!D75</f>
        <v>5</v>
      </c>
      <c r="E127" s="231" t="str">
        <f>ROUND(IF(valuation_method="DCF",DCF!E75,DDM!E70),2)&amp;" "&amp;Market_currency</f>
        <v>15.57 CNY</v>
      </c>
      <c r="F127" s="221">
        <f>DCF!F75</f>
        <v>0.18</v>
      </c>
    </row>
    <row r="128" spans="1:6">
      <c r="B128" s="218" t="str">
        <f>DCF!B76</f>
        <v>Base</v>
      </c>
      <c r="C128" s="219">
        <f>DCF!C76</f>
        <v>0.04</v>
      </c>
      <c r="D128" s="220">
        <f>DCF!D76</f>
        <v>5</v>
      </c>
      <c r="E128" s="231" t="str">
        <f>ROUND(IF(valuation_method="DCF",DCF!E76,DDM!E71),2)&amp;" "&amp;Market_currency</f>
        <v>15.09 CNY</v>
      </c>
      <c r="F128" s="221">
        <f>DCF!F76</f>
        <v>0.53999999999999992</v>
      </c>
    </row>
    <row r="129" spans="1:6">
      <c r="B129" s="218" t="str">
        <f>DCF!B77</f>
        <v>Pessimistic</v>
      </c>
      <c r="C129" s="219">
        <f>DCF!C77</f>
        <v>0.02</v>
      </c>
      <c r="D129" s="220">
        <f>DCF!D77</f>
        <v>5</v>
      </c>
      <c r="E129" s="231" t="str">
        <f>ROUND(IF(valuation_method="DCF",DCF!E77,DDM!E72),2)&amp;" "&amp;Market_currency</f>
        <v>14.63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258</v>
      </c>
      <c r="C132" s="217">
        <f>Scenarios!C60</f>
        <v>15.250653679329751</v>
      </c>
      <c r="D132" s="212" t="str">
        <f>Market_currency</f>
        <v>CNY</v>
      </c>
    </row>
    <row r="134" spans="1:6" ht="24.6" customHeight="1">
      <c r="B134" s="356" t="s">
        <v>373</v>
      </c>
      <c r="C134" s="356"/>
      <c r="D134" s="356"/>
      <c r="E134" s="356"/>
      <c r="F134" s="356"/>
    </row>
    <row r="136" spans="1:6" ht="13.9">
      <c r="A136" s="222" t="s">
        <v>405</v>
      </c>
      <c r="B136" s="36"/>
      <c r="C136" s="36"/>
      <c r="D136" s="36"/>
      <c r="E136" s="36"/>
      <c r="F136" s="36"/>
    </row>
    <row r="138" spans="1:6">
      <c r="B138" s="354" t="s">
        <v>371</v>
      </c>
      <c r="C138" s="354"/>
      <c r="D138" s="354"/>
      <c r="E138" s="354"/>
      <c r="F138" s="354"/>
    </row>
    <row r="139" spans="1:6" ht="24.6" customHeight="1">
      <c r="B139" s="351" t="s">
        <v>372</v>
      </c>
      <c r="C139" s="351"/>
      <c r="D139" s="351"/>
      <c r="E139" s="351"/>
      <c r="F139" s="351"/>
    </row>
    <row r="140" spans="1:6">
      <c r="B140" s="210" t="s">
        <v>230</v>
      </c>
    </row>
    <row r="141" spans="1:6">
      <c r="B141" s="1" t="s">
        <v>263</v>
      </c>
      <c r="C141" s="225">
        <f>F28</f>
        <v>3</v>
      </c>
    </row>
    <row r="142" spans="1:6">
      <c r="B142" s="1" t="s">
        <v>276</v>
      </c>
      <c r="C142" s="224">
        <f>F29</f>
        <v>0.4</v>
      </c>
    </row>
    <row r="143" spans="1:6">
      <c r="B143" s="212" t="s">
        <v>261</v>
      </c>
      <c r="C143" s="213">
        <f>Scenarios!C77</f>
        <v>1.06</v>
      </c>
      <c r="D143" s="212" t="str">
        <f>Market_currency</f>
        <v>CNY</v>
      </c>
    </row>
    <row r="145" spans="2:4">
      <c r="B145" s="210" t="s">
        <v>411</v>
      </c>
      <c r="C145" s="241" t="str">
        <f>C11</f>
        <v>601166.SS</v>
      </c>
      <c r="D145" s="241" t="str">
        <f>IF(D11="","",D11)</f>
        <v/>
      </c>
    </row>
    <row r="146" spans="2:4">
      <c r="B146" s="1" t="s">
        <v>410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5.5578183962571996</v>
      </c>
    </row>
    <row r="149" spans="2:4">
      <c r="B149" s="80" t="s">
        <v>260</v>
      </c>
      <c r="C149" s="215">
        <f>Scenarios!C83</f>
        <v>7.2420749560239628</v>
      </c>
      <c r="D149" s="300" t="str">
        <f>IF($D$11="","",C149*$E$25)</f>
        <v/>
      </c>
    </row>
    <row r="150" spans="2:4">
      <c r="B150" s="259" t="s">
        <v>419</v>
      </c>
      <c r="C150" s="298" t="str">
        <f>Market_currency</f>
        <v>CNY</v>
      </c>
      <c r="D150" s="298" t="str">
        <f>IF($D$11="","",D$13)</f>
        <v/>
      </c>
    </row>
    <row r="151" spans="2:4">
      <c r="B151" s="214" t="s">
        <v>262</v>
      </c>
      <c r="C151" s="92">
        <f>Scenarios!F83</f>
        <v>0.52513019387230342</v>
      </c>
    </row>
    <row r="153" spans="2:4">
      <c r="B153" s="210" t="s">
        <v>414</v>
      </c>
    </row>
    <row r="154" spans="2:4">
      <c r="B154" s="1" t="s">
        <v>413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8.3986400179584155</v>
      </c>
    </row>
    <row r="157" spans="2:4">
      <c r="B157" s="80" t="s">
        <v>260</v>
      </c>
      <c r="C157" s="215">
        <f>Scenarios!C93</f>
        <v>10.56341592431181</v>
      </c>
      <c r="D157" s="300" t="str">
        <f>IF($D$11="","",C157*$E$25)</f>
        <v/>
      </c>
    </row>
    <row r="158" spans="2:4">
      <c r="B158" s="259" t="s">
        <v>419</v>
      </c>
      <c r="C158" s="298" t="str">
        <f>Market_currency</f>
        <v>CNY</v>
      </c>
      <c r="D158" s="298" t="str">
        <f>IF($D$11="","",D$13)</f>
        <v/>
      </c>
    </row>
    <row r="159" spans="2:4">
      <c r="B159" s="214" t="s">
        <v>262</v>
      </c>
      <c r="C159" s="92">
        <f>Scenarios!F93</f>
        <v>0.3073466786129222</v>
      </c>
    </row>
    <row r="161" spans="2:4">
      <c r="B161" s="210" t="s">
        <v>403</v>
      </c>
    </row>
    <row r="162" spans="2:4">
      <c r="B162" s="1" t="s">
        <v>412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12.106460587284831</v>
      </c>
    </row>
    <row r="165" spans="2:4">
      <c r="B165" s="80" t="s">
        <v>404</v>
      </c>
      <c r="C165" s="215">
        <f>Scenarios!C99</f>
        <v>14.838183393767583</v>
      </c>
      <c r="D165" s="300" t="str">
        <f>IF($D$11="","",C165*$E$25)</f>
        <v/>
      </c>
    </row>
    <row r="166" spans="2:4">
      <c r="B166" s="259" t="s">
        <v>419</v>
      </c>
      <c r="C166" s="298" t="str">
        <f>Market_currency</f>
        <v>CNY</v>
      </c>
      <c r="D166" s="298" t="str">
        <f>IF($D$11="","",D$13)</f>
        <v/>
      </c>
    </row>
    <row r="167" spans="2:4">
      <c r="B167" s="214" t="s">
        <v>262</v>
      </c>
      <c r="C167" s="92">
        <f>Scenarios!F99</f>
        <v>2.7046072531383802E-2</v>
      </c>
    </row>
    <row r="169" spans="2:4">
      <c r="B169" s="210" t="s">
        <v>435</v>
      </c>
    </row>
    <row r="170" spans="2:4">
      <c r="B170" s="1" t="s">
        <v>426</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10.855114055189837</v>
      </c>
    </row>
    <row r="173" spans="2:4">
      <c r="B173" s="80" t="s">
        <v>404</v>
      </c>
      <c r="C173" s="215">
        <f>Scenarios!C105</f>
        <v>13.401055199504707</v>
      </c>
      <c r="D173" s="300" t="str">
        <f>IF($D$11="","",C173*$E$25)</f>
        <v/>
      </c>
    </row>
    <row r="174" spans="2:4">
      <c r="B174" s="259" t="s">
        <v>419</v>
      </c>
      <c r="C174" s="298" t="str">
        <f>Market_currency</f>
        <v>CNY</v>
      </c>
      <c r="D174" s="298" t="str">
        <f>IF($D$11="","",D$13)</f>
        <v/>
      </c>
    </row>
    <row r="175" spans="2:4">
      <c r="B175" s="214" t="s">
        <v>262</v>
      </c>
      <c r="C175" s="92">
        <f>Scenarios!F105</f>
        <v>0.1155880269430436</v>
      </c>
    </row>
    <row r="177" spans="1:6" ht="13.9">
      <c r="A177" s="222" t="s">
        <v>377</v>
      </c>
      <c r="B177" s="36"/>
      <c r="C177" s="36"/>
      <c r="D177" s="36"/>
      <c r="E177" s="36"/>
      <c r="F177" s="36"/>
    </row>
    <row r="179" spans="1:6">
      <c r="B179" s="358" t="s">
        <v>379</v>
      </c>
      <c r="C179" s="351"/>
      <c r="D179" s="351"/>
      <c r="E179" s="351"/>
      <c r="F179" s="351"/>
    </row>
    <row r="181" spans="1:6">
      <c r="B181" s="210" t="s">
        <v>378</v>
      </c>
    </row>
    <row r="182" spans="1:6">
      <c r="B182" s="355" t="s">
        <v>383</v>
      </c>
      <c r="C182" s="355"/>
      <c r="D182" s="355"/>
      <c r="E182" s="355"/>
      <c r="F182" s="355"/>
    </row>
    <row r="183" spans="1:6">
      <c r="B183" s="214" t="s">
        <v>380</v>
      </c>
    </row>
    <row r="184" spans="1:6">
      <c r="B184" s="214" t="s">
        <v>381</v>
      </c>
    </row>
    <row r="185" spans="1:6">
      <c r="B185" s="214" t="s">
        <v>382</v>
      </c>
    </row>
    <row r="187" spans="1:6">
      <c r="B187" s="1" t="s">
        <v>387</v>
      </c>
    </row>
    <row r="188" spans="1:6" ht="46.5" customHeight="1">
      <c r="B188" s="352" t="s">
        <v>384</v>
      </c>
      <c r="C188" s="352"/>
      <c r="D188" s="352"/>
      <c r="E188" s="352"/>
      <c r="F188" s="352"/>
    </row>
    <row r="190" spans="1:6">
      <c r="B190" s="1" t="s">
        <v>388</v>
      </c>
    </row>
    <row r="191" spans="1:6" ht="24.6" customHeight="1">
      <c r="B191" s="357" t="s">
        <v>385</v>
      </c>
      <c r="C191" s="357"/>
      <c r="D191" s="357"/>
      <c r="E191" s="357"/>
      <c r="F191" s="357"/>
    </row>
    <row r="192" spans="1:6" ht="24.6" customHeight="1">
      <c r="B192" s="357" t="s">
        <v>386</v>
      </c>
      <c r="C192" s="357"/>
      <c r="D192" s="357"/>
      <c r="E192" s="357"/>
      <c r="F192" s="357"/>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63">
        <v>61890</v>
      </c>
      <c r="D4" s="363"/>
      <c r="E4" s="363"/>
      <c r="F4" s="363"/>
      <c r="G4" s="363"/>
      <c r="H4" s="363"/>
      <c r="I4" s="363"/>
      <c r="J4" s="363"/>
      <c r="K4" s="363"/>
      <c r="L4" s="363"/>
      <c r="M4" s="363"/>
    </row>
    <row r="5" spans="2:13">
      <c r="B5" s="40" t="s">
        <v>43</v>
      </c>
      <c r="C5" s="363">
        <v>0</v>
      </c>
      <c r="D5" s="363"/>
      <c r="E5" s="363"/>
      <c r="F5" s="363"/>
      <c r="G5" s="363"/>
      <c r="H5" s="363"/>
      <c r="I5" s="363"/>
      <c r="J5" s="363"/>
      <c r="K5" s="363"/>
      <c r="L5" s="363"/>
      <c r="M5" s="363"/>
    </row>
    <row r="6" spans="2:13">
      <c r="B6" s="40" t="s">
        <v>54</v>
      </c>
      <c r="C6" s="363">
        <v>62611</v>
      </c>
      <c r="D6" s="363"/>
      <c r="E6" s="363"/>
      <c r="F6" s="363"/>
      <c r="G6" s="363"/>
      <c r="H6" s="363"/>
      <c r="I6" s="363"/>
      <c r="J6" s="363"/>
      <c r="K6" s="363"/>
      <c r="L6" s="363"/>
      <c r="M6" s="363"/>
    </row>
    <row r="7" spans="2:13">
      <c r="B7" s="69" t="s">
        <v>61</v>
      </c>
      <c r="C7" s="364">
        <v>0</v>
      </c>
      <c r="D7" s="364"/>
      <c r="E7" s="364"/>
      <c r="F7" s="364"/>
      <c r="G7" s="364"/>
      <c r="H7" s="364"/>
      <c r="I7" s="364"/>
      <c r="J7" s="364"/>
      <c r="K7" s="364"/>
      <c r="L7" s="364"/>
      <c r="M7" s="364"/>
    </row>
    <row r="8" spans="2:13">
      <c r="B8" s="40" t="s">
        <v>49</v>
      </c>
      <c r="C8" s="363">
        <v>0</v>
      </c>
      <c r="D8" s="363"/>
      <c r="E8" s="363"/>
      <c r="F8" s="363"/>
      <c r="G8" s="363"/>
      <c r="H8" s="363"/>
      <c r="I8" s="363"/>
      <c r="J8" s="363"/>
      <c r="K8" s="363"/>
      <c r="L8" s="363"/>
      <c r="M8" s="363"/>
    </row>
    <row r="9" spans="2:13">
      <c r="B9" s="40" t="s">
        <v>159</v>
      </c>
      <c r="C9" s="363"/>
      <c r="D9" s="363"/>
      <c r="E9" s="363"/>
      <c r="F9" s="363"/>
      <c r="G9" s="363"/>
      <c r="H9" s="363"/>
      <c r="I9" s="363"/>
      <c r="J9" s="363"/>
      <c r="K9" s="363"/>
      <c r="L9" s="363"/>
      <c r="M9" s="363"/>
    </row>
    <row r="10" spans="2:13">
      <c r="B10" s="40" t="s">
        <v>167</v>
      </c>
      <c r="C10" s="363"/>
      <c r="D10" s="363"/>
      <c r="E10" s="363"/>
      <c r="F10" s="363"/>
      <c r="G10" s="363"/>
      <c r="H10" s="363"/>
      <c r="I10" s="363"/>
      <c r="J10" s="363"/>
      <c r="K10" s="363"/>
      <c r="L10" s="363"/>
      <c r="M10" s="363"/>
    </row>
    <row r="11" spans="2:13">
      <c r="B11" s="40" t="s">
        <v>158</v>
      </c>
      <c r="C11" s="363"/>
      <c r="D11" s="363"/>
      <c r="E11" s="363"/>
      <c r="F11" s="363"/>
      <c r="G11" s="363"/>
      <c r="H11" s="363"/>
      <c r="I11" s="363"/>
      <c r="J11" s="363"/>
      <c r="K11" s="363"/>
      <c r="L11" s="363"/>
      <c r="M11" s="363"/>
    </row>
    <row r="12" spans="2:13">
      <c r="B12" s="40" t="s">
        <v>39</v>
      </c>
      <c r="C12" s="363">
        <v>195728</v>
      </c>
      <c r="D12" s="363"/>
      <c r="E12" s="363"/>
      <c r="F12" s="363"/>
      <c r="G12" s="363"/>
      <c r="H12" s="363"/>
      <c r="I12" s="363"/>
      <c r="J12" s="363"/>
      <c r="K12" s="363"/>
      <c r="L12" s="363"/>
      <c r="M12" s="363"/>
    </row>
    <row r="13" spans="2:13">
      <c r="B13" s="40" t="s">
        <v>67</v>
      </c>
      <c r="C13" s="363">
        <v>343835</v>
      </c>
      <c r="D13" s="363"/>
      <c r="E13" s="363"/>
      <c r="F13" s="363"/>
      <c r="G13" s="363"/>
      <c r="H13" s="363"/>
      <c r="I13" s="363"/>
      <c r="J13" s="363"/>
      <c r="K13" s="363"/>
      <c r="L13" s="363"/>
      <c r="M13" s="363"/>
    </row>
    <row r="14" spans="2:13">
      <c r="B14" s="40" t="s">
        <v>50</v>
      </c>
      <c r="C14" s="363">
        <v>9629</v>
      </c>
      <c r="D14" s="363"/>
      <c r="E14" s="363"/>
      <c r="F14" s="363"/>
      <c r="G14" s="363"/>
      <c r="H14" s="363"/>
      <c r="I14" s="363"/>
      <c r="J14" s="363"/>
      <c r="K14" s="363"/>
      <c r="L14" s="363"/>
      <c r="M14" s="363"/>
    </row>
    <row r="15" spans="2:13">
      <c r="B15" s="43" t="s">
        <v>42</v>
      </c>
      <c r="C15" s="365">
        <v>77491</v>
      </c>
      <c r="D15" s="365"/>
      <c r="E15" s="365"/>
      <c r="F15" s="365"/>
      <c r="G15" s="365"/>
      <c r="H15" s="365"/>
      <c r="I15" s="365"/>
      <c r="J15" s="365"/>
      <c r="K15" s="365"/>
      <c r="L15" s="365"/>
      <c r="M15" s="365"/>
    </row>
    <row r="16" spans="2:13">
      <c r="B16" s="28" t="s">
        <v>44</v>
      </c>
      <c r="C16" s="363">
        <v>286</v>
      </c>
      <c r="D16" s="363"/>
      <c r="E16" s="363"/>
      <c r="F16" s="363"/>
      <c r="G16" s="363"/>
      <c r="H16" s="363"/>
      <c r="I16" s="363"/>
      <c r="J16" s="363"/>
      <c r="K16" s="363"/>
      <c r="L16" s="363"/>
      <c r="M16" s="363"/>
    </row>
    <row r="18" spans="2:13">
      <c r="B18" s="16" t="s">
        <v>51</v>
      </c>
      <c r="C18" s="9"/>
    </row>
    <row r="19" spans="2:13">
      <c r="B19" s="27" t="s">
        <v>47</v>
      </c>
      <c r="C19" s="363"/>
      <c r="D19" s="363"/>
      <c r="E19" s="363"/>
      <c r="F19" s="363"/>
      <c r="G19" s="363"/>
      <c r="H19" s="363"/>
      <c r="I19" s="363"/>
      <c r="J19" s="363"/>
      <c r="K19" s="363"/>
      <c r="L19" s="363"/>
      <c r="M19" s="363"/>
    </row>
    <row r="20" spans="2:13">
      <c r="B20" s="27" t="s">
        <v>53</v>
      </c>
      <c r="C20" s="363"/>
      <c r="D20" s="363"/>
      <c r="E20" s="363"/>
      <c r="F20" s="363"/>
      <c r="G20" s="363"/>
      <c r="H20" s="363"/>
      <c r="I20" s="363"/>
      <c r="J20" s="363"/>
      <c r="K20" s="363"/>
      <c r="L20" s="363"/>
      <c r="M20" s="363"/>
    </row>
    <row r="21" spans="2:13">
      <c r="B21" s="27" t="s">
        <v>52</v>
      </c>
      <c r="C21" s="363"/>
      <c r="D21" s="363"/>
      <c r="E21" s="363"/>
      <c r="F21" s="363"/>
      <c r="G21" s="363"/>
      <c r="H21" s="363"/>
      <c r="I21" s="363"/>
      <c r="J21" s="363"/>
      <c r="K21" s="363"/>
      <c r="L21" s="363"/>
      <c r="M21" s="363"/>
    </row>
    <row r="22" spans="2:13">
      <c r="B22" s="27" t="s">
        <v>374</v>
      </c>
      <c r="C22" s="363">
        <v>-237258</v>
      </c>
      <c r="D22" s="363"/>
      <c r="E22" s="363"/>
      <c r="F22" s="363"/>
      <c r="G22" s="363"/>
      <c r="H22" s="363"/>
      <c r="I22" s="363"/>
      <c r="J22" s="363"/>
      <c r="K22" s="363"/>
      <c r="L22" s="363"/>
      <c r="M22" s="363"/>
    </row>
    <row r="23" spans="2:13">
      <c r="B23" s="27" t="s">
        <v>376</v>
      </c>
      <c r="C23" s="363">
        <v>23438</v>
      </c>
      <c r="D23" s="363"/>
      <c r="E23" s="363"/>
      <c r="F23" s="363"/>
      <c r="G23" s="363"/>
      <c r="H23" s="363"/>
      <c r="I23" s="363"/>
      <c r="J23" s="363"/>
      <c r="K23" s="363"/>
      <c r="L23" s="363"/>
      <c r="M23" s="363"/>
    </row>
    <row r="24" spans="2:13">
      <c r="B24" s="27" t="s">
        <v>375</v>
      </c>
      <c r="C24" s="363">
        <v>194894</v>
      </c>
      <c r="D24" s="363"/>
      <c r="E24" s="363"/>
      <c r="F24" s="363"/>
      <c r="G24" s="363"/>
      <c r="H24" s="363"/>
      <c r="I24" s="363"/>
      <c r="J24" s="363"/>
      <c r="K24" s="363"/>
      <c r="L24" s="363"/>
      <c r="M24" s="363"/>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219</v>
      </c>
    </row>
    <row r="28" spans="2:13">
      <c r="B28" s="26" t="s">
        <v>24</v>
      </c>
      <c r="C28" s="333">
        <f>BS!C4</f>
        <v>0</v>
      </c>
      <c r="D28" s="363"/>
      <c r="E28" s="363"/>
      <c r="F28" s="363"/>
      <c r="G28" s="363"/>
      <c r="H28" s="363"/>
      <c r="I28" s="363"/>
      <c r="J28" s="363"/>
      <c r="K28" s="363"/>
      <c r="L28" s="363"/>
      <c r="M28" s="363"/>
    </row>
    <row r="29" spans="2:13">
      <c r="B29" s="26" t="s">
        <v>32</v>
      </c>
      <c r="C29" s="333">
        <f>BS!C6</f>
        <v>0</v>
      </c>
      <c r="D29" s="363"/>
      <c r="E29" s="363"/>
      <c r="F29" s="363"/>
      <c r="G29" s="363"/>
      <c r="H29" s="363"/>
      <c r="I29" s="363"/>
      <c r="J29" s="363"/>
      <c r="K29" s="363"/>
      <c r="L29" s="363"/>
      <c r="M29" s="363"/>
    </row>
    <row r="30" spans="2:13">
      <c r="B30" s="29" t="s">
        <v>40</v>
      </c>
      <c r="C30" s="334">
        <f>BS!C33+BS!C42</f>
        <v>1</v>
      </c>
      <c r="D30" s="365"/>
      <c r="E30" s="365"/>
      <c r="F30" s="365"/>
      <c r="G30" s="365"/>
      <c r="H30" s="365"/>
      <c r="I30" s="365"/>
      <c r="J30" s="365"/>
      <c r="K30" s="365"/>
      <c r="L30" s="365"/>
      <c r="M30" s="365"/>
    </row>
    <row r="31" spans="2:13">
      <c r="B31" s="29" t="s">
        <v>30</v>
      </c>
      <c r="C31" s="334">
        <f>BS!G27</f>
        <v>3</v>
      </c>
      <c r="D31" s="365"/>
      <c r="E31" s="365"/>
      <c r="F31" s="365"/>
      <c r="G31" s="365"/>
      <c r="H31" s="365"/>
      <c r="I31" s="365"/>
      <c r="J31" s="365"/>
      <c r="K31" s="365"/>
      <c r="L31" s="365"/>
      <c r="M31" s="365"/>
    </row>
    <row r="32" spans="2:13">
      <c r="B32" s="26" t="s">
        <v>172</v>
      </c>
      <c r="C32" s="333">
        <f>BS!G28</f>
        <v>0</v>
      </c>
      <c r="D32" s="363"/>
      <c r="E32" s="363"/>
      <c r="F32" s="363"/>
      <c r="G32" s="363"/>
      <c r="H32" s="363"/>
      <c r="I32" s="363"/>
      <c r="J32" s="363"/>
      <c r="K32" s="363"/>
      <c r="L32" s="363"/>
      <c r="M32" s="363"/>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66">
        <f t="shared" ref="C44:M44" si="18">IF(C$4="","",C47-C46-C45-C43)</f>
        <v>-60266</v>
      </c>
      <c r="D44" s="366" t="str">
        <f t="shared" si="18"/>
        <v/>
      </c>
      <c r="E44" s="366" t="str">
        <f t="shared" si="18"/>
        <v/>
      </c>
      <c r="F44" s="366" t="str">
        <f t="shared" si="18"/>
        <v/>
      </c>
      <c r="G44" s="366" t="str">
        <f t="shared" si="18"/>
        <v/>
      </c>
      <c r="H44" s="366" t="str">
        <f t="shared" si="18"/>
        <v/>
      </c>
      <c r="I44" s="366" t="str">
        <f t="shared" si="18"/>
        <v/>
      </c>
      <c r="J44" s="366" t="str">
        <f t="shared" si="18"/>
        <v/>
      </c>
      <c r="K44" s="366" t="str">
        <f t="shared" si="18"/>
        <v/>
      </c>
      <c r="L44" s="366" t="str">
        <f t="shared" si="18"/>
        <v/>
      </c>
      <c r="M44" s="366"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396</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67"/>
      <c r="J77" s="367"/>
      <c r="K77" s="367"/>
      <c r="L77" s="367"/>
      <c r="M77" s="367"/>
    </row>
    <row r="78" spans="2:13">
      <c r="B78" s="93" t="s">
        <v>86</v>
      </c>
      <c r="C78" s="318">
        <f t="shared" si="40"/>
        <v>0</v>
      </c>
      <c r="D78" s="346" t="str">
        <f t="shared" si="40"/>
        <v/>
      </c>
      <c r="E78" s="346" t="str">
        <f t="shared" si="40"/>
        <v/>
      </c>
      <c r="F78" s="346" t="str">
        <f t="shared" si="40"/>
        <v/>
      </c>
      <c r="G78" s="346" t="str">
        <f t="shared" si="40"/>
        <v/>
      </c>
      <c r="H78" s="346" t="str">
        <f t="shared" si="40"/>
        <v/>
      </c>
      <c r="I78" s="367"/>
      <c r="J78" s="367"/>
      <c r="K78" s="367"/>
      <c r="L78" s="367"/>
      <c r="M78" s="367"/>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462</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200</v>
      </c>
      <c r="C26" s="182" t="s">
        <v>136</v>
      </c>
      <c r="F26" s="184" t="s">
        <v>196</v>
      </c>
      <c r="G26" s="185" t="s">
        <v>136</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244</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203</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v>
      </c>
      <c r="H35" s="200">
        <f>D12+D24</f>
        <v>0.2</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v>
      </c>
      <c r="H39" s="188">
        <f>C7*D7+C17*D17+C19*D19+C20*D20</f>
        <v>0.1</v>
      </c>
    </row>
    <row r="40" spans="2:8" ht="15" customHeight="1">
      <c r="B40" s="80" t="s">
        <v>204</v>
      </c>
      <c r="C40" s="81">
        <f>SUM(C36:C39)</f>
        <v>0</v>
      </c>
      <c r="F40" s="199" t="s">
        <v>138</v>
      </c>
      <c r="G40" s="193">
        <f>G12+G24</f>
        <v>2</v>
      </c>
      <c r="H40" s="200">
        <f>H12+H24</f>
        <v>1.7000000000000002</v>
      </c>
    </row>
    <row r="41" spans="2:8" ht="15" customHeight="1">
      <c r="B41" s="4" t="s">
        <v>17</v>
      </c>
      <c r="C41" s="21">
        <f>C42-C40</f>
        <v>0</v>
      </c>
      <c r="F41" s="190" t="s">
        <v>191</v>
      </c>
      <c r="G41" s="191">
        <f>C70</f>
        <v>2</v>
      </c>
      <c r="H41" s="200">
        <f>H40-H42</f>
        <v>1.7000000000000002</v>
      </c>
    </row>
    <row r="42" spans="2:8" ht="15" customHeight="1">
      <c r="B42" s="83" t="s">
        <v>22</v>
      </c>
      <c r="C42" s="84">
        <v>0</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v>
      </c>
      <c r="D50" s="95">
        <f>G31/Normalized_FCF!G8</f>
        <v>0</v>
      </c>
      <c r="F50" s="253"/>
    </row>
    <row r="51" spans="2:8" ht="15" customHeight="1">
      <c r="B51" s="1" t="s">
        <v>176</v>
      </c>
      <c r="C51" s="181"/>
      <c r="D51" s="92">
        <f>G29/G32</f>
        <v>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-360.5</v>
      </c>
      <c r="D54" s="92">
        <f>Normalized_FCF!G8/G35</f>
        <v>-360.5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2</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-7052.6474952516664</v>
      </c>
      <c r="D73" s="349">
        <f>(Normalized_FCF!C25+Normalized_FCF!C35-Normalized_FCF!C91)/12</f>
        <v>-7052.6474952516664</v>
      </c>
      <c r="F73" s="1" t="s">
        <v>353</v>
      </c>
    </row>
    <row r="74" spans="2:6" ht="15" customHeight="1">
      <c r="B74" s="257" t="s">
        <v>323</v>
      </c>
      <c r="C74" s="258">
        <f>-$C$66/C73</f>
        <v>2.8358144956862504E-4</v>
      </c>
      <c r="D74" s="258">
        <f>-$C$66/D73</f>
        <v>2.8358144956862504E-4</v>
      </c>
      <c r="F74" s="253" t="s">
        <v>320</v>
      </c>
    </row>
    <row r="75" spans="2:6" ht="15" customHeight="1">
      <c r="B75" s="80" t="s">
        <v>321</v>
      </c>
      <c r="C75" s="320"/>
      <c r="D75" s="321">
        <f>MAX(-D73*D76,G5)</f>
        <v>2</v>
      </c>
      <c r="F75" s="253" t="s">
        <v>354</v>
      </c>
    </row>
    <row r="76" spans="2:6" ht="15" customHeight="1">
      <c r="B76" s="259" t="s">
        <v>324</v>
      </c>
      <c r="C76" s="260"/>
      <c r="D76" s="290">
        <f>IF(valuation_method="DCF",IF(D74&lt;=3,1,IF(D74&gt;18,6,2)),-C66/D73)</f>
        <v>2.8358144956862504E-4</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0</v>
      </c>
      <c r="D86" s="223">
        <f>C86*scaling_factor/Common_Shares</f>
        <v>0</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292</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335</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335</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-62611</v>
      </c>
      <c r="E33" s="266" t="s">
        <v>335</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338</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v>
      </c>
      <c r="D101" s="26"/>
      <c r="E101" s="269"/>
      <c r="F101" s="26"/>
      <c r="G101" s="333">
        <f t="shared" ref="G101:Q101" si="42">IF(G$4="","",G105+G104)</f>
        <v>4</v>
      </c>
      <c r="H101" s="333" t="str">
        <f t="shared" si="42"/>
        <v/>
      </c>
      <c r="I101" s="333" t="str">
        <f t="shared" si="42"/>
        <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0</v>
      </c>
      <c r="D102" s="89"/>
      <c r="E102" s="270"/>
      <c r="F102" s="89"/>
      <c r="G102" s="346" t="str">
        <f>IF(G$4="","",Data!D77)</f>
        <v/>
      </c>
      <c r="H102" s="346" t="str">
        <f>IF(H$4="","",Data!E77)</f>
        <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t="str">
        <f>IF(G$4="","",Data!D78)</f>
        <v/>
      </c>
      <c r="H103" s="346" t="str">
        <f>IF(H$4="","",Data!E78)</f>
        <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v>
      </c>
      <c r="D104" s="26"/>
      <c r="E104" s="269"/>
      <c r="F104" s="26"/>
      <c r="G104" s="333">
        <f>Data!C79</f>
        <v>1</v>
      </c>
      <c r="H104" s="333" t="str">
        <f>Data!D79</f>
        <v/>
      </c>
      <c r="I104" s="333" t="str">
        <f>Data!E79</f>
        <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v>
      </c>
      <c r="D105" s="26"/>
      <c r="E105" s="269"/>
      <c r="F105" s="26"/>
      <c r="G105" s="333">
        <f>Data!C80</f>
        <v>3</v>
      </c>
      <c r="H105" s="333" t="str">
        <f>Data!D80</f>
        <v/>
      </c>
      <c r="I105" s="333" t="str">
        <f>Data!E80</f>
        <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-1.1649701082565843E-2</v>
      </c>
      <c r="E117" s="268"/>
      <c r="G117" s="23">
        <f t="shared" ref="G117:Q117" si="45">IF(G4="","",IF(valuation_method="DDM",G13/(G4+G12),G81))</f>
        <v>1.4678118322150659</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15472.5</v>
      </c>
      <c r="E118" s="268"/>
      <c r="G118" s="42">
        <f t="shared" ref="G118:Q118" si="46">IF(G4="","",IF(valuation_method="DDM",(G4+G12)/G101,G4/G101))</f>
        <v>-33459.5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-540.75</v>
      </c>
      <c r="D4" t="str">
        <f>Reporting_currency</f>
        <v>CNY</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-6759.375</v>
      </c>
      <c r="D6" t="str">
        <f>Reporting_currency</f>
        <v>CNY</v>
      </c>
      <c r="E6" s="359" t="s">
        <v>249</v>
      </c>
      <c r="F6" s="359"/>
      <c r="H6" s="120"/>
    </row>
    <row r="7" spans="2:8">
      <c r="B7" s="148" t="s">
        <v>224</v>
      </c>
      <c r="C7" s="338">
        <f>BS!G31</f>
        <v>0</v>
      </c>
      <c r="D7" t="str">
        <f>Reporting_currency</f>
        <v>CNY</v>
      </c>
      <c r="E7" s="359"/>
      <c r="F7" s="359"/>
      <c r="H7" s="120"/>
    </row>
    <row r="8" spans="2:8">
      <c r="B8" s="148" t="s">
        <v>225</v>
      </c>
      <c r="C8" s="338">
        <f>BS!D66</f>
        <v>0</v>
      </c>
      <c r="D8" t="str">
        <f>Reporting_currency</f>
        <v>CNY</v>
      </c>
      <c r="E8" s="359"/>
      <c r="F8" s="359"/>
      <c r="H8" s="120"/>
    </row>
    <row r="9" spans="2:8">
      <c r="B9" s="205" t="s">
        <v>190</v>
      </c>
      <c r="C9" s="348">
        <f>BS!H42</f>
        <v>0</v>
      </c>
      <c r="D9" t="str">
        <f>Reporting_currency</f>
        <v>CNY</v>
      </c>
      <c r="E9" s="359"/>
      <c r="F9" s="359"/>
      <c r="H9" s="120"/>
    </row>
    <row r="10" spans="2:8" ht="13.15">
      <c r="B10" s="149" t="s">
        <v>227</v>
      </c>
      <c r="C10" s="347">
        <f>C6-C7+C8+C9</f>
        <v>-6759.375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4.2510316586672814E-2</v>
      </c>
      <c r="H16" s="120"/>
    </row>
    <row r="17" spans="2:17" ht="13.35" customHeight="1">
      <c r="B17" s="118" t="s">
        <v>134</v>
      </c>
      <c r="C17" s="162">
        <f>Scenarios!C64</f>
        <v>5</v>
      </c>
      <c r="H17" s="120"/>
    </row>
    <row r="18" spans="2:17" ht="13.35" customHeight="1">
      <c r="B18" s="153" t="s">
        <v>106</v>
      </c>
      <c r="C18" s="140">
        <f>(F52-C7+C8+C9)*Exchange_Rate/Common_Shares*scaling_factor</f>
        <v>-0.34806265770495248</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17">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17">
      <c r="B23" s="122">
        <v>3</v>
      </c>
      <c r="C23" s="123">
        <f t="shared" si="2"/>
        <v>-612.68551413352827</v>
      </c>
      <c r="D23" s="138">
        <f>IF($C$17&lt;B23,0,DCF!$C$16)</f>
        <v>4.2510316586672814E-2</v>
      </c>
      <c r="E23" s="124">
        <f t="shared" si="0"/>
        <v>0.79383224102016958</v>
      </c>
      <c r="F23" s="125">
        <f t="shared" si="1"/>
        <v>-486.36951472521355</v>
      </c>
      <c r="G23" s="338"/>
      <c r="H23" s="339"/>
      <c r="I23" s="338"/>
      <c r="J23" s="338"/>
      <c r="K23" s="338"/>
      <c r="L23" s="338"/>
      <c r="M23" s="338"/>
      <c r="N23" s="338"/>
      <c r="O23" s="338"/>
      <c r="P23" s="338"/>
      <c r="Q23" s="338"/>
    </row>
    <row r="24" spans="2:17">
      <c r="B24" s="122">
        <v>4</v>
      </c>
      <c r="C24" s="123">
        <f t="shared" si="2"/>
        <v>-638.73096930741303</v>
      </c>
      <c r="D24" s="138">
        <f>IF($C$17&lt;B24,0,DCF!$C$16)</f>
        <v>4.2510316586672814E-2</v>
      </c>
      <c r="E24" s="124">
        <f t="shared" si="0"/>
        <v>0.73502985279645328</v>
      </c>
      <c r="F24" s="125">
        <f t="shared" si="1"/>
        <v>-469.4863303465637</v>
      </c>
      <c r="G24" s="338"/>
      <c r="H24" s="339"/>
      <c r="I24" s="338"/>
      <c r="J24" s="338"/>
      <c r="K24" s="338"/>
      <c r="L24" s="338"/>
      <c r="M24" s="338"/>
      <c r="N24" s="338"/>
      <c r="O24" s="338"/>
      <c r="P24" s="338"/>
      <c r="Q24" s="338"/>
    </row>
    <row r="25" spans="2:17">
      <c r="B25" s="122">
        <v>5</v>
      </c>
      <c r="C25" s="123">
        <f t="shared" si="2"/>
        <v>-665.88362502638358</v>
      </c>
      <c r="D25" s="138">
        <f>IF($C$17&lt;B25,0,DCF!$C$16)</f>
        <v>4.2510316586672814E-2</v>
      </c>
      <c r="E25" s="124">
        <f t="shared" si="0"/>
        <v>0.68058319703375303</v>
      </c>
      <c r="F25" s="125">
        <f t="shared" si="1"/>
        <v>-453.18920637288096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-7046.7181711780422</v>
      </c>
      <c r="D51" s="139">
        <f>Terminal_Growth</f>
        <v>0</v>
      </c>
      <c r="E51" s="124">
        <f>1/(1+Equity_Cost)^C17</f>
        <v>0.68058319703375303</v>
      </c>
      <c r="F51" s="125">
        <f t="shared" si="1"/>
        <v>-4795.8779815361931</v>
      </c>
      <c r="H51" s="120"/>
    </row>
    <row r="52" spans="1:17">
      <c r="C52" s="114"/>
      <c r="E52" s="127" t="s">
        <v>100</v>
      </c>
      <c r="F52" s="137">
        <f>SUM(F21:F51)</f>
        <v>-7230.7619915819596</v>
      </c>
      <c r="H52" s="120"/>
    </row>
    <row r="53" spans="1:17">
      <c r="C53" s="114"/>
      <c r="H53" s="120"/>
    </row>
    <row r="54" spans="1:17" ht="13.15">
      <c r="B54" s="119" t="s">
        <v>129</v>
      </c>
      <c r="C54" s="136"/>
      <c r="D54" s="136"/>
      <c r="E54" s="117"/>
      <c r="F54" s="117"/>
      <c r="H54" s="120"/>
    </row>
    <row r="55" spans="1:17" ht="13.15">
      <c r="A55" s="133">
        <f>F52</f>
        <v>-7230.7619915819596</v>
      </c>
      <c r="B55" s="131">
        <f>C78</f>
        <v>0</v>
      </c>
      <c r="C55" s="131">
        <f>C77</f>
        <v>0.02</v>
      </c>
      <c r="D55" s="131">
        <f>C76</f>
        <v>0.04</v>
      </c>
      <c r="E55" s="131">
        <f>C75</f>
        <v>0.06</v>
      </c>
      <c r="F55" s="131">
        <f>C74</f>
        <v>0.08</v>
      </c>
      <c r="H55" s="120"/>
    </row>
    <row r="56" spans="1:17" ht="13.15">
      <c r="A56" s="143">
        <v>5</v>
      </c>
      <c r="B56" s="123">
        <f t="dataTable" ref="B56:F61" dt2D="1" dtr="1" r1="C16" r2="C17"/>
        <v>-6759.3749999999991</v>
      </c>
      <c r="C56" s="123">
        <v>-6977.4678210153688</v>
      </c>
      <c r="D56" s="123">
        <v>-7202.0924268482604</v>
      </c>
      <c r="E56" s="123">
        <v>-7433.5354533172158</v>
      </c>
      <c r="F56" s="123">
        <v>-7672.0924112460261</v>
      </c>
      <c r="H56" s="120"/>
    </row>
    <row r="57" spans="1:17" ht="13.15">
      <c r="A57" s="143">
        <v>10</v>
      </c>
      <c r="B57" s="123">
        <v>-6759.3749999999982</v>
      </c>
      <c r="C57" s="123">
        <v>-7195.7614710547969</v>
      </c>
      <c r="D57" s="123">
        <v>-7675.8856821246973</v>
      </c>
      <c r="E57" s="123">
        <v>-8204.9820822730926</v>
      </c>
      <c r="F57" s="123">
        <v>-8788.8703622042049</v>
      </c>
      <c r="H57" s="120"/>
    </row>
    <row r="58" spans="1:17" ht="13.15">
      <c r="A58" s="143">
        <v>15</v>
      </c>
      <c r="B58" s="123">
        <v>-6759.3749999999964</v>
      </c>
      <c r="C58" s="341">
        <v>-7465.9603901359706</v>
      </c>
      <c r="D58" s="123">
        <v>-8293.5352745357213</v>
      </c>
      <c r="E58" s="123">
        <v>-9266.136683694418</v>
      </c>
      <c r="F58" s="123">
        <v>-10412.553851464118</v>
      </c>
      <c r="G58" s="338"/>
      <c r="H58" s="339"/>
      <c r="I58" s="338"/>
      <c r="J58" s="338"/>
      <c r="K58" s="338"/>
      <c r="L58" s="338"/>
      <c r="M58" s="338"/>
      <c r="N58" s="338"/>
      <c r="O58" s="338"/>
      <c r="P58" s="338"/>
      <c r="Q58" s="338"/>
    </row>
    <row r="59" spans="1:17" ht="13.15">
      <c r="A59" s="144">
        <v>20</v>
      </c>
      <c r="B59" s="123">
        <v>-6759.3749999999955</v>
      </c>
      <c r="C59" s="341">
        <v>-7741.2497575427678</v>
      </c>
      <c r="D59" s="123">
        <v>-8958.3276236664969</v>
      </c>
      <c r="E59" s="123">
        <v>-10476.625647185263</v>
      </c>
      <c r="F59" s="123">
        <v>-12381.228732575539</v>
      </c>
      <c r="G59" s="338"/>
      <c r="H59" s="339"/>
      <c r="I59" s="338"/>
      <c r="J59" s="338"/>
      <c r="K59" s="338"/>
      <c r="L59" s="338"/>
      <c r="M59" s="338"/>
      <c r="N59" s="338"/>
      <c r="O59" s="338"/>
      <c r="P59" s="338"/>
      <c r="Q59" s="338"/>
    </row>
    <row r="60" spans="1:17" ht="13.15">
      <c r="A60" s="144">
        <v>25</v>
      </c>
      <c r="B60" s="123">
        <v>-6759.3749999999964</v>
      </c>
      <c r="C60" s="341">
        <v>-7997.2841450407304</v>
      </c>
      <c r="D60" s="123">
        <v>-9613.1707033183757</v>
      </c>
      <c r="E60" s="123">
        <v>-11745.181276130355</v>
      </c>
      <c r="F60" s="123">
        <v>-14584.698958102383</v>
      </c>
      <c r="G60" s="338"/>
      <c r="H60" s="339"/>
      <c r="I60" s="338"/>
      <c r="J60" s="338"/>
      <c r="K60" s="338"/>
      <c r="L60" s="338"/>
      <c r="M60" s="338"/>
      <c r="N60" s="338"/>
      <c r="O60" s="338"/>
      <c r="P60" s="338"/>
      <c r="Q60" s="338"/>
    </row>
    <row r="61" spans="1:17" ht="13.15">
      <c r="A61" s="144">
        <v>30</v>
      </c>
      <c r="B61" s="123">
        <v>-6759.3749999999964</v>
      </c>
      <c r="C61" s="341">
        <v>-8223.1420912914509</v>
      </c>
      <c r="D61" s="123">
        <v>-10226.437050778864</v>
      </c>
      <c r="E61" s="123">
        <v>-13013.575696485836</v>
      </c>
      <c r="F61" s="123">
        <v>-16947.966949780119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ht="13.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ht="13.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ht="13.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ht="13.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ht="13.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-0.42306434371017287</v>
      </c>
      <c r="F74" s="142">
        <f>Scenarios!C58</f>
        <v>0.05</v>
      </c>
    </row>
    <row r="75" spans="1:8">
      <c r="B75" s="127" t="str">
        <f>Scenarios!B36</f>
        <v>Optimistic</v>
      </c>
      <c r="C75" s="142">
        <f>Scenarios!C38</f>
        <v>0.06</v>
      </c>
      <c r="D75" s="145">
        <f>Scenarios!C37</f>
        <v>5</v>
      </c>
      <c r="E75" s="135">
        <f>INDEX(B$65:F$71, MATCH(D75, A$65:A$71, 0), MATCH(C75, B$64:F$64, 0))</f>
        <v>-0.35782343673291295</v>
      </c>
      <c r="F75" s="142">
        <f>Scenarios!C40*(1-F$74-F$78)</f>
        <v>0.18</v>
      </c>
      <c r="H75" s="120"/>
    </row>
    <row r="76" spans="1:8">
      <c r="B76" s="127" t="str">
        <f>Scenarios!B24</f>
        <v>Base</v>
      </c>
      <c r="C76" s="142">
        <f>Scenarios!C26</f>
        <v>0.04</v>
      </c>
      <c r="D76" s="145">
        <f>Scenarios!C25</f>
        <v>5</v>
      </c>
      <c r="E76" s="135">
        <f>INDEX(B$65:F$71, MATCH(D76, A$65:A$71, 0), MATCH(C76, B$64:F$64, 0))</f>
        <v>-0.34668260883761698</v>
      </c>
      <c r="F76" s="142">
        <f>Scenarios!C28*(1-F$74-F$78)</f>
        <v>0.53999999999999992</v>
      </c>
      <c r="H76" s="120"/>
    </row>
    <row r="77" spans="1:8">
      <c r="B77" s="127" t="str">
        <f>Scenarios!B30</f>
        <v>Pessimistic</v>
      </c>
      <c r="C77" s="142">
        <f>Scenarios!C32</f>
        <v>0.02</v>
      </c>
      <c r="D77" s="145">
        <f>Scenarios!C31</f>
        <v>5</v>
      </c>
      <c r="E77" s="135">
        <f>INDEX(B$65:F$71, MATCH(D77, A$65:A$71, 0), MATCH(C77, B$64:F$64, 0))</f>
        <v>-0.33586999498265335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450</v>
      </c>
      <c r="C2" s="37"/>
      <c r="D2" s="37"/>
      <c r="E2" s="37"/>
      <c r="F2" s="37"/>
      <c r="H2" s="130" t="s">
        <v>59</v>
      </c>
    </row>
    <row r="3" spans="2:8" ht="13.15">
      <c r="B3" s="109" t="s">
        <v>449</v>
      </c>
      <c r="C3" s="107">
        <f>scaling_factor</f>
        <v>1000000</v>
      </c>
      <c r="E3" s="109" t="s">
        <v>124</v>
      </c>
      <c r="H3" s="120"/>
    </row>
    <row r="4" spans="2:8">
      <c r="B4" s="100" t="s">
        <v>447</v>
      </c>
      <c r="C4" s="114">
        <f>Normalized_FCF!C91</f>
        <v>22020.769943020001</v>
      </c>
      <c r="D4" t="str">
        <f>Market_currency</f>
        <v>CNY</v>
      </c>
      <c r="E4" s="100" t="s">
        <v>250</v>
      </c>
      <c r="F4" s="134">
        <f>Thesis!E22</f>
        <v>0.02</v>
      </c>
      <c r="H4" s="120"/>
    </row>
    <row r="5" spans="2:8">
      <c r="B5" s="205" t="s">
        <v>123</v>
      </c>
      <c r="C5" s="206">
        <f>Equity_Cost</f>
        <v>0.08</v>
      </c>
      <c r="E5" s="148"/>
      <c r="H5" s="120"/>
    </row>
    <row r="6" spans="2:8" ht="13.35" customHeight="1">
      <c r="B6" s="149" t="s">
        <v>448</v>
      </c>
      <c r="C6" s="319">
        <f>(C4*(1+Terminal_Growth))/(Equity_Cost-Terminal_Growth)</f>
        <v>275259.62428774999</v>
      </c>
      <c r="D6" t="str">
        <f>Reporting_currency</f>
        <v>CNY</v>
      </c>
      <c r="E6" s="359"/>
      <c r="F6" s="359"/>
      <c r="H6" s="120"/>
    </row>
    <row r="7" spans="2:8" ht="13.15">
      <c r="B7" s="149" t="s">
        <v>451</v>
      </c>
      <c r="C7" s="111">
        <f>(C6*scaling_factor)/Common_Shares*Exchange_Rate</f>
        <v>13.25</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4.2510316586672814E-2</v>
      </c>
      <c r="H11" s="120"/>
    </row>
    <row r="12" spans="2:8" ht="13.35" customHeight="1">
      <c r="B12" s="118" t="s">
        <v>134</v>
      </c>
      <c r="C12" s="162">
        <f>Scenarios!C64</f>
        <v>5</v>
      </c>
      <c r="H12" s="120"/>
    </row>
    <row r="13" spans="2:8" ht="13.35" customHeight="1">
      <c r="B13" s="153" t="s">
        <v>106</v>
      </c>
      <c r="C13" s="140">
        <f>F47/Common_Shares*scaling_factor</f>
        <v>15.152503140797796</v>
      </c>
      <c r="D13" t="str">
        <f>Market_currency</f>
        <v>CNY</v>
      </c>
      <c r="H13" s="120"/>
    </row>
    <row r="14" spans="2:8">
      <c r="H14" s="120"/>
    </row>
    <row r="15" spans="2:8" ht="13.15">
      <c r="B15" s="128" t="s">
        <v>107</v>
      </c>
      <c r="C15" s="128" t="s">
        <v>453</v>
      </c>
      <c r="D15" s="128" t="s">
        <v>118</v>
      </c>
      <c r="E15" s="128" t="s">
        <v>109</v>
      </c>
      <c r="F15" s="129" t="s">
        <v>452</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316828.12922488339</v>
      </c>
      <c r="D46" s="139">
        <f>Terminal_Growth</f>
        <v>0</v>
      </c>
      <c r="E46" s="124">
        <f>1/(1+Equity_Cost)^C12</f>
        <v>0.68058319703375303</v>
      </c>
      <c r="F46" s="125">
        <f t="shared" si="1"/>
        <v>215627.90109809418</v>
      </c>
      <c r="H46" s="120"/>
    </row>
    <row r="47" spans="2:8">
      <c r="C47" s="114"/>
      <c r="E47" s="127" t="s">
        <v>100</v>
      </c>
      <c r="F47" s="137">
        <f>SUM(F16:F46)</f>
        <v>314782.81672112853</v>
      </c>
      <c r="H47" s="120"/>
    </row>
    <row r="48" spans="2:8">
      <c r="C48" s="114"/>
      <c r="H48" s="120"/>
    </row>
    <row r="49" spans="1:8" ht="13.15">
      <c r="B49" s="119" t="s">
        <v>129</v>
      </c>
      <c r="C49" s="136"/>
      <c r="D49" s="136"/>
      <c r="E49" s="117"/>
      <c r="F49" s="117"/>
      <c r="H49" s="120"/>
    </row>
    <row r="50" spans="1:8" ht="13.15">
      <c r="A50" s="133">
        <f>F47</f>
        <v>314782.81672112853</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18.679859268923408</v>
      </c>
      <c r="F69" s="142">
        <f>Scenarios!C58</f>
        <v>0.05</v>
      </c>
    </row>
    <row r="70" spans="1:8">
      <c r="B70" s="127" t="str">
        <f>Scenarios!B36</f>
        <v>Optimistic</v>
      </c>
      <c r="C70" s="142">
        <f>Scenarios!C38</f>
        <v>0.06</v>
      </c>
      <c r="D70" s="145">
        <f>Scenarios!C37</f>
        <v>5</v>
      </c>
      <c r="E70" s="135">
        <f>INDEX(B$60:F$66, MATCH(D70, A$60:A$66, 0), MATCH(C70, B$59:F$59, 0))</f>
        <v>15.566403206431939</v>
      </c>
      <c r="F70" s="142">
        <f>Scenarios!C40*(1-F$69-F$73)</f>
        <v>0.18</v>
      </c>
      <c r="H70" s="120"/>
    </row>
    <row r="71" spans="1:8">
      <c r="B71" s="127" t="str">
        <f>Scenarios!B24</f>
        <v>Base</v>
      </c>
      <c r="C71" s="142">
        <f>Scenarios!C26</f>
        <v>0.04</v>
      </c>
      <c r="D71" s="145">
        <f>Scenarios!C25</f>
        <v>5</v>
      </c>
      <c r="E71" s="135">
        <f>INDEX(B$60:F$66, MATCH(D71, A$60:A$66, 0), MATCH(C71, B$59:F$59, 0))</f>
        <v>15.093947787930817</v>
      </c>
      <c r="F71" s="142">
        <f>Scenarios!C28*(1-F$69-F$73)</f>
        <v>0.53999999999999992</v>
      </c>
      <c r="H71" s="120"/>
    </row>
    <row r="72" spans="1:8">
      <c r="B72" s="127" t="str">
        <f>Scenarios!B30</f>
        <v>Pessimistic</v>
      </c>
      <c r="C72" s="142">
        <f>Scenarios!C32</f>
        <v>0.02</v>
      </c>
      <c r="D72" s="145">
        <f>Scenarios!C31</f>
        <v>5</v>
      </c>
      <c r="E72" s="135">
        <f>INDEX(B$60:F$66, MATCH(D72, A$60:A$66, 0), MATCH(C72, B$59:F$59, 0))</f>
        <v>14.634858113071347</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-22.7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16.31065367932975</v>
      </c>
    </row>
    <row r="7" spans="2:9" ht="12.75" customHeight="1">
      <c r="B7" s="100" t="s">
        <v>275</v>
      </c>
      <c r="C7" s="338">
        <f>Normalized_FCF!G8</f>
        <v>-721</v>
      </c>
      <c r="D7" t="str">
        <f>Reporting_currency</f>
        <v>CNY</v>
      </c>
      <c r="E7" s="36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1"/>
      <c r="H7" s="247">
        <v>4</v>
      </c>
      <c r="I7" s="124" t="str">
        <f t="shared" si="0"/>
        <v/>
      </c>
    </row>
    <row r="8" spans="2:9">
      <c r="B8" s="100" t="s">
        <v>66</v>
      </c>
      <c r="C8" s="338">
        <f>Normalized_FCF!G19</f>
        <v>-206364</v>
      </c>
      <c r="D8" t="str">
        <f>Reporting_currency</f>
        <v>CNY</v>
      </c>
      <c r="E8" s="361"/>
      <c r="F8" s="361"/>
      <c r="H8" s="247">
        <v>5</v>
      </c>
      <c r="I8" s="124" t="str">
        <f t="shared" si="0"/>
        <v/>
      </c>
    </row>
    <row r="9" spans="2:9">
      <c r="B9" s="100" t="s">
        <v>57</v>
      </c>
      <c r="C9" s="338">
        <f>Normalized_FCF!C19</f>
        <v>-540.75</v>
      </c>
      <c r="D9" t="str">
        <f>Reporting_currency</f>
        <v>CNY</v>
      </c>
      <c r="E9" s="361"/>
      <c r="F9" s="361"/>
      <c r="H9" s="247">
        <v>6</v>
      </c>
      <c r="I9" s="124" t="str">
        <f t="shared" si="0"/>
        <v/>
      </c>
    </row>
    <row r="10" spans="2:9">
      <c r="E10" s="361"/>
      <c r="F10" s="361"/>
      <c r="H10" s="247">
        <v>7</v>
      </c>
      <c r="I10" s="124" t="str">
        <f t="shared" si="0"/>
        <v/>
      </c>
    </row>
    <row r="11" spans="2:9" ht="13.15">
      <c r="B11" s="159" t="s">
        <v>454</v>
      </c>
      <c r="E11" s="361"/>
      <c r="F11" s="361"/>
      <c r="H11" s="247">
        <v>8</v>
      </c>
      <c r="I11" s="124" t="str">
        <f t="shared" si="0"/>
        <v/>
      </c>
    </row>
    <row r="12" spans="2:9">
      <c r="B12" s="118" t="s">
        <v>144</v>
      </c>
      <c r="C12" s="158" t="e">
        <f ca="1">(Normalized_FCF!G4/OFFSET(Normalized_FCF!G4, 0, $C$4))^(1/$C$4) - 1</f>
        <v>#VALUE!</v>
      </c>
      <c r="D12" s="158"/>
      <c r="E12" s="361"/>
      <c r="F12" s="361"/>
      <c r="H12" s="247">
        <v>9</v>
      </c>
      <c r="I12" s="124" t="str">
        <f t="shared" si="0"/>
        <v/>
      </c>
    </row>
    <row r="13" spans="2:9">
      <c r="B13" s="148" t="s">
        <v>152</v>
      </c>
      <c r="C13" s="158" t="e">
        <f ca="1">(Normalized_FCF!G8/OFFSET(Normalized_FCF!G8, 0, $C$4))^(1/$C$4) - 1</f>
        <v>#VALUE!</v>
      </c>
      <c r="E13" s="361"/>
      <c r="F13" s="361"/>
      <c r="H13" s="247">
        <v>10</v>
      </c>
      <c r="I13" s="124" t="str">
        <f t="shared" si="0"/>
        <v/>
      </c>
    </row>
    <row r="14" spans="2:9">
      <c r="B14" s="100" t="s">
        <v>66</v>
      </c>
      <c r="C14" s="158" t="e">
        <f ca="1">(Normalized_FCF!G19/OFFSET(Normalized_FCF!G19, 0, $C$4))^(1/$C$4) - 1</f>
        <v>#VALUE!</v>
      </c>
      <c r="E14" s="361"/>
      <c r="F14" s="361"/>
    </row>
    <row r="16" spans="2:9" ht="13.9">
      <c r="B16" s="36" t="s">
        <v>162</v>
      </c>
      <c r="C16" s="37"/>
      <c r="D16" s="37"/>
      <c r="E16" s="37"/>
      <c r="F16" s="37"/>
    </row>
    <row r="17" spans="2:6" ht="13.15">
      <c r="B17" s="109" t="s">
        <v>151</v>
      </c>
      <c r="E17" s="159" t="s">
        <v>331</v>
      </c>
    </row>
    <row r="18" spans="2:6">
      <c r="B18" s="152" t="s">
        <v>133</v>
      </c>
      <c r="C18" s="150">
        <v>5</v>
      </c>
      <c r="E18" s="361" t="s">
        <v>332</v>
      </c>
      <c r="F18" s="362"/>
    </row>
    <row r="19" spans="2:6">
      <c r="E19" s="362"/>
      <c r="F19" s="362"/>
    </row>
    <row r="20" spans="2:6" ht="13.15">
      <c r="B20" s="159" t="s">
        <v>304</v>
      </c>
      <c r="E20" s="362"/>
      <c r="F20" s="362"/>
    </row>
    <row r="21" spans="2:6">
      <c r="B21" s="100" t="s">
        <v>277</v>
      </c>
      <c r="C21" s="160">
        <f>Market_Price</f>
        <v>22.7</v>
      </c>
      <c r="D21" t="str">
        <f>Market_currency</f>
        <v>CNY</v>
      </c>
      <c r="E21" s="362"/>
      <c r="F21" s="362"/>
    </row>
    <row r="22" spans="2:6">
      <c r="B22" s="100" t="s">
        <v>278</v>
      </c>
      <c r="C22" s="160">
        <f>IF(valuation_method="DCF",DCF!C12,DDM!C7)</f>
        <v>13.25</v>
      </c>
      <c r="D22" t="str">
        <f>Market_currency</f>
        <v>CNY</v>
      </c>
      <c r="E22" s="362"/>
      <c r="F22" s="362"/>
    </row>
    <row r="24" spans="2:6" ht="13.15">
      <c r="B24" s="159" t="s">
        <v>115</v>
      </c>
      <c r="E24" s="159" t="s">
        <v>149</v>
      </c>
      <c r="F24" s="159"/>
    </row>
    <row r="25" spans="2:6">
      <c r="B25" s="152" t="s">
        <v>133</v>
      </c>
      <c r="C25" s="166">
        <f>C18</f>
        <v>5</v>
      </c>
      <c r="D25" s="163"/>
      <c r="E25" s="360"/>
      <c r="F25" s="360"/>
    </row>
    <row r="26" spans="2:6">
      <c r="B26" s="118" t="s">
        <v>134</v>
      </c>
      <c r="C26" s="164">
        <v>0.04</v>
      </c>
      <c r="D26" s="164"/>
      <c r="E26" s="360"/>
      <c r="F26" s="360"/>
    </row>
    <row r="27" spans="2:6">
      <c r="B27" s="100" t="s">
        <v>113</v>
      </c>
      <c r="C27" s="160">
        <f>IF(valuation_method="DCF",DCF!E76,DDM!E71)</f>
        <v>15.093947787930817</v>
      </c>
      <c r="D27" s="160" t="str">
        <f>Market_currency</f>
        <v>CNY</v>
      </c>
      <c r="E27" s="360"/>
      <c r="F27" s="360"/>
    </row>
    <row r="28" spans="2:6">
      <c r="B28" s="100" t="s">
        <v>147</v>
      </c>
      <c r="C28" s="165">
        <v>0.6</v>
      </c>
      <c r="D28" s="165"/>
      <c r="E28" s="360"/>
      <c r="F28" s="360"/>
    </row>
    <row r="30" spans="2:6" ht="13.15">
      <c r="B30" s="159" t="s">
        <v>116</v>
      </c>
      <c r="E30" s="159" t="s">
        <v>149</v>
      </c>
      <c r="F30" s="159"/>
    </row>
    <row r="31" spans="2:6">
      <c r="B31" s="152" t="s">
        <v>133</v>
      </c>
      <c r="C31" s="166">
        <f>C18</f>
        <v>5</v>
      </c>
      <c r="D31" s="163"/>
      <c r="E31" s="360"/>
      <c r="F31" s="360"/>
    </row>
    <row r="32" spans="2:6">
      <c r="B32" s="118" t="s">
        <v>134</v>
      </c>
      <c r="C32" s="164">
        <v>0.02</v>
      </c>
      <c r="D32" s="164"/>
      <c r="E32" s="360"/>
      <c r="F32" s="360"/>
    </row>
    <row r="33" spans="2:6">
      <c r="B33" s="100" t="s">
        <v>113</v>
      </c>
      <c r="C33" s="160">
        <f>IF(valuation_method="DCF",DCF!E77,DDM!E72)</f>
        <v>14.634858113071347</v>
      </c>
      <c r="D33" t="str">
        <f>Market_currency</f>
        <v>CNY</v>
      </c>
      <c r="E33" s="360"/>
      <c r="F33" s="360"/>
    </row>
    <row r="34" spans="2:6">
      <c r="B34" s="100" t="s">
        <v>147</v>
      </c>
      <c r="C34" s="165">
        <v>0.2</v>
      </c>
      <c r="D34" s="165"/>
      <c r="E34" s="360"/>
      <c r="F34" s="360"/>
    </row>
    <row r="36" spans="2:6" ht="13.15">
      <c r="B36" s="159" t="s">
        <v>114</v>
      </c>
      <c r="E36" s="159" t="s">
        <v>149</v>
      </c>
      <c r="F36" s="159"/>
    </row>
    <row r="37" spans="2:6">
      <c r="B37" s="152" t="s">
        <v>133</v>
      </c>
      <c r="C37" s="166">
        <f>C18</f>
        <v>5</v>
      </c>
      <c r="D37" s="163"/>
      <c r="E37" s="360"/>
      <c r="F37" s="360"/>
    </row>
    <row r="38" spans="2:6">
      <c r="B38" s="118" t="s">
        <v>134</v>
      </c>
      <c r="C38" s="164">
        <v>0.06</v>
      </c>
      <c r="D38" s="164"/>
      <c r="E38" s="360"/>
      <c r="F38" s="360"/>
    </row>
    <row r="39" spans="2:6">
      <c r="B39" s="100" t="s">
        <v>113</v>
      </c>
      <c r="C39" s="160">
        <f>IF(valuation_method="DCF",DCF!E75,DDM!E70)</f>
        <v>15.566403206431939</v>
      </c>
      <c r="D39" t="str">
        <f>Market_currency</f>
        <v>CNY</v>
      </c>
      <c r="E39" s="360"/>
      <c r="F39" s="360"/>
    </row>
    <row r="40" spans="2:6">
      <c r="B40" s="100" t="s">
        <v>147</v>
      </c>
      <c r="C40" s="167">
        <f>1-C28-C34</f>
        <v>0.2</v>
      </c>
      <c r="D40" s="165"/>
      <c r="E40" s="360"/>
      <c r="F40" s="360"/>
    </row>
    <row r="42" spans="2:6" ht="13.15">
      <c r="B42" s="100" t="s">
        <v>120</v>
      </c>
      <c r="C42" s="154">
        <f>C27*C28+C33*C34+C39*C40</f>
        <v>15.096620936659146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0"/>
      <c r="F49" s="360"/>
    </row>
    <row r="50" spans="2:6">
      <c r="B50" s="118" t="s">
        <v>134</v>
      </c>
      <c r="C50" s="164">
        <v>0</v>
      </c>
      <c r="D50" s="164"/>
      <c r="E50" s="360"/>
      <c r="F50" s="360"/>
    </row>
    <row r="51" spans="2:6">
      <c r="B51" s="100" t="s">
        <v>113</v>
      </c>
      <c r="C51" s="160">
        <f>IF(valuation_method="DCF",DCF!E78,DDM!E73)</f>
        <v>14.594037457807008</v>
      </c>
      <c r="D51" t="str">
        <f>Market_currency</f>
        <v>CNY</v>
      </c>
      <c r="E51" s="360"/>
      <c r="F51" s="360"/>
    </row>
    <row r="52" spans="2:6">
      <c r="B52" s="100" t="s">
        <v>147</v>
      </c>
      <c r="C52" s="165">
        <v>0.05</v>
      </c>
      <c r="D52" s="165"/>
      <c r="E52" s="360"/>
      <c r="F52" s="360"/>
    </row>
    <row r="54" spans="2:6" ht="13.15">
      <c r="B54" s="159" t="s">
        <v>317</v>
      </c>
      <c r="E54" s="159" t="s">
        <v>149</v>
      </c>
      <c r="F54" s="159"/>
    </row>
    <row r="55" spans="2:6">
      <c r="B55" s="152" t="s">
        <v>133</v>
      </c>
      <c r="C55" s="166">
        <f>C46</f>
        <v>10</v>
      </c>
      <c r="D55" s="163"/>
      <c r="E55" s="360"/>
      <c r="F55" s="360"/>
    </row>
    <row r="56" spans="2:6">
      <c r="B56" s="118" t="s">
        <v>134</v>
      </c>
      <c r="C56" s="164">
        <v>0.08</v>
      </c>
      <c r="D56" s="164"/>
      <c r="E56" s="360"/>
      <c r="F56" s="360"/>
    </row>
    <row r="57" spans="2:6">
      <c r="B57" s="100" t="s">
        <v>113</v>
      </c>
      <c r="C57" s="160">
        <f>IF(valuation_method="DCF",DCF!E74,DDM!E69)</f>
        <v>18.679859268923408</v>
      </c>
      <c r="D57" t="str">
        <f>Market_currency</f>
        <v>CNY</v>
      </c>
      <c r="E57" s="360"/>
      <c r="F57" s="360"/>
    </row>
    <row r="58" spans="2:6">
      <c r="B58" s="100" t="s">
        <v>147</v>
      </c>
      <c r="C58" s="165">
        <v>0.05</v>
      </c>
      <c r="D58" s="165"/>
      <c r="E58" s="360"/>
      <c r="F58" s="360"/>
    </row>
    <row r="60" spans="2:6" ht="13.15">
      <c r="B60" s="100" t="s">
        <v>120</v>
      </c>
      <c r="C60" s="154">
        <f>C51*C52+C57*C58+C42*(1-C52-C58)</f>
        <v>15.250653679329751</v>
      </c>
      <c r="D60" t="str">
        <f>Market_currency</f>
        <v>CNY</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4.2510316586672814E-2</v>
      </c>
      <c r="D65" s="151"/>
      <c r="E65" s="251" t="s">
        <v>313</v>
      </c>
    </row>
    <row r="66" spans="2:6">
      <c r="B66" s="100" t="s">
        <v>102</v>
      </c>
      <c r="C66" s="160">
        <f>IF(valuation_method="DCF",DCF!C18,DDM!C13)</f>
        <v>15.152503140797796</v>
      </c>
      <c r="D66" s="160" t="str">
        <f>Market_currency</f>
        <v>CNY</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1.06</v>
      </c>
      <c r="D77" t="str">
        <f>Market_currency</f>
        <v>CNY</v>
      </c>
    </row>
    <row r="79" spans="2:6" ht="13.15">
      <c r="B79" s="109" t="s">
        <v>302</v>
      </c>
    </row>
    <row r="80" spans="2:6">
      <c r="B80" s="148" t="s">
        <v>300</v>
      </c>
      <c r="C80" s="167">
        <f>Thesis!F29</f>
        <v>0.4</v>
      </c>
    </row>
    <row r="81" spans="2:8">
      <c r="B81" s="100" t="s">
        <v>121</v>
      </c>
      <c r="C81" s="116">
        <f>PV(C80, C76, -C77, 0)</f>
        <v>1.6842565597667636</v>
      </c>
      <c r="D81" s="116"/>
      <c r="E81" s="100"/>
      <c r="F81" s="100"/>
    </row>
    <row r="82" spans="2:8">
      <c r="B82" s="100" t="s">
        <v>122</v>
      </c>
      <c r="C82" s="116">
        <f>C60/(1+C80)^C76</f>
        <v>5.5578183962571996</v>
      </c>
      <c r="D82" s="116"/>
    </row>
    <row r="83" spans="2:8" ht="13.15">
      <c r="B83" s="110" t="s">
        <v>101</v>
      </c>
      <c r="C83" s="111">
        <f>C81+C82</f>
        <v>7.2420749560239628</v>
      </c>
      <c r="D83" t="str">
        <f>Market_currency</f>
        <v>CNY</v>
      </c>
      <c r="E83" s="146" t="s">
        <v>126</v>
      </c>
      <c r="F83" s="291">
        <f>(1-C83/C60)</f>
        <v>0.52513019387230342</v>
      </c>
    </row>
    <row r="84" spans="2:8">
      <c r="E84" s="120"/>
    </row>
    <row r="85" spans="2:8" ht="13.15">
      <c r="B85" s="109" t="s">
        <v>303</v>
      </c>
    </row>
    <row r="86" spans="2:8">
      <c r="B86" s="148" t="s">
        <v>301</v>
      </c>
      <c r="C86" s="116">
        <f>Market_Price</f>
        <v>22.7</v>
      </c>
      <c r="D86" t="str">
        <f>Market_currency</f>
        <v>CNY</v>
      </c>
    </row>
    <row r="87" spans="2:8" ht="13.15">
      <c r="B87" s="100" t="s">
        <v>299</v>
      </c>
      <c r="C87" s="237">
        <f ca="1">IRR(OFFSET($I$3, 0, 0, $C$76 + 1, 1))</f>
        <v>-7.0817960172770755E-2</v>
      </c>
    </row>
    <row r="88" spans="2:8">
      <c r="B88" s="100"/>
    </row>
    <row r="89" spans="2:8" ht="13.15">
      <c r="B89" s="109" t="s">
        <v>415</v>
      </c>
    </row>
    <row r="90" spans="2:8">
      <c r="B90" s="148" t="s">
        <v>416</v>
      </c>
      <c r="C90" s="167">
        <f>Thesis!F30</f>
        <v>0.22</v>
      </c>
    </row>
    <row r="91" spans="2:8">
      <c r="B91" s="100" t="s">
        <v>121</v>
      </c>
      <c r="C91" s="116">
        <f>PV(C90, C76, -C77, 0)</f>
        <v>2.1647759063533951</v>
      </c>
      <c r="D91" s="116"/>
      <c r="E91" s="100"/>
      <c r="F91" s="100"/>
    </row>
    <row r="92" spans="2:8">
      <c r="B92" s="100" t="s">
        <v>122</v>
      </c>
      <c r="C92" s="116">
        <f>C60/(1+C90)^C76</f>
        <v>8.3986400179584155</v>
      </c>
      <c r="D92" s="116"/>
    </row>
    <row r="93" spans="2:8" ht="13.15">
      <c r="B93" s="110" t="s">
        <v>101</v>
      </c>
      <c r="C93" s="111">
        <f>C91+C92</f>
        <v>10.56341592431181</v>
      </c>
      <c r="D93" t="str">
        <f>Market_currency</f>
        <v>CNY</v>
      </c>
      <c r="E93" s="146" t="s">
        <v>126</v>
      </c>
      <c r="F93" s="291">
        <f>(1-C93/C60)</f>
        <v>0.3073466786129222</v>
      </c>
    </row>
    <row r="95" spans="2:8" ht="13.15">
      <c r="B95" s="109" t="s">
        <v>400</v>
      </c>
      <c r="G95" s="2"/>
      <c r="H95" s="281"/>
    </row>
    <row r="96" spans="2:8">
      <c r="B96" s="148" t="s">
        <v>406</v>
      </c>
      <c r="C96" s="134">
        <f>Thesis!F31</f>
        <v>0.08</v>
      </c>
      <c r="G96" s="2"/>
      <c r="H96" s="281"/>
    </row>
    <row r="97" spans="2:8">
      <c r="B97" s="100" t="s">
        <v>121</v>
      </c>
      <c r="C97" s="116">
        <f>PV(C96, C76, -C77, 0)</f>
        <v>2.731722806482753</v>
      </c>
      <c r="D97" s="116"/>
      <c r="G97" s="2"/>
      <c r="H97" s="281"/>
    </row>
    <row r="98" spans="2:8">
      <c r="B98" s="100" t="s">
        <v>122</v>
      </c>
      <c r="C98" s="116">
        <f>C60/(1+C96)^C76</f>
        <v>12.106460587284831</v>
      </c>
      <c r="D98" s="116"/>
      <c r="G98" s="2"/>
      <c r="H98" s="281"/>
    </row>
    <row r="99" spans="2:8" ht="13.15">
      <c r="B99" s="110" t="s">
        <v>401</v>
      </c>
      <c r="C99" s="111">
        <f>C97+C98</f>
        <v>14.838183393767583</v>
      </c>
      <c r="D99" t="s">
        <v>399</v>
      </c>
      <c r="E99" s="146" t="s">
        <v>126</v>
      </c>
      <c r="F99" s="291">
        <f>(1-C99/C60)</f>
        <v>2.7046072531383802E-2</v>
      </c>
    </row>
    <row r="100" spans="2:8">
      <c r="B100" s="100"/>
    </row>
    <row r="101" spans="2:8" ht="13.15">
      <c r="B101" s="109" t="s">
        <v>425</v>
      </c>
    </row>
    <row r="102" spans="2:8">
      <c r="B102" s="148" t="s">
        <v>424</v>
      </c>
      <c r="C102" s="134">
        <f>Thesis!F32</f>
        <v>0.12</v>
      </c>
    </row>
    <row r="103" spans="2:8">
      <c r="B103" s="100" t="s">
        <v>121</v>
      </c>
      <c r="C103" s="116">
        <f>PV(C102, C76, -C77, 0)</f>
        <v>2.5459411443148712</v>
      </c>
      <c r="D103" s="116"/>
    </row>
    <row r="104" spans="2:8">
      <c r="B104" s="100" t="s">
        <v>122</v>
      </c>
      <c r="C104" s="116">
        <f>C60/(1+C102)^C76</f>
        <v>10.855114055189837</v>
      </c>
      <c r="D104" s="116"/>
    </row>
    <row r="105" spans="2:8" ht="13.15">
      <c r="B105" s="110" t="s">
        <v>401</v>
      </c>
      <c r="C105" s="111">
        <f>C103+C104</f>
        <v>13.401055199504707</v>
      </c>
      <c r="D105" t="s">
        <v>399</v>
      </c>
      <c r="E105" s="146" t="s">
        <v>126</v>
      </c>
      <c r="F105" s="291">
        <f>(1-C105/C66)</f>
        <v>0.1155880269430436</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