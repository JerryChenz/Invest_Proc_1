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12A05A-40BB-45CC-89BC-38F072AFD592}"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E83" i="2"/>
  <c r="E84" i="2"/>
  <c r="C88" i="2"/>
  <c r="C79" i="2"/>
  <c r="C64" i="2"/>
  <c r="C65" i="2"/>
  <c r="C66" i="2"/>
  <c r="C35" i="2"/>
  <c r="C29" i="2"/>
  <c r="C30" i="2"/>
  <c r="G17" i="3"/>
  <c r="C19" i="3"/>
  <c r="C23" i="3"/>
  <c r="G4" i="3"/>
  <c r="C4" i="3"/>
  <c r="C28" i="4" s="1"/>
  <c r="C25" i="4"/>
  <c r="D25" i="4"/>
  <c r="E25"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<sst xmlns="http://schemas.openxmlformats.org/spreadsheetml/2006/main" count="766" uniqueCount="556">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</sst>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2.79</v>
      </c>
      <c r="E8" s="32"/>
    </row>
    <row r="9" spans="1:9">
      <c r="B9" s="4" t="s">
        <v>346</v>
      </c>
      <c r="C9" s="48">
        <v>5091065770</v>
      </c>
    </row>
    <row r="10" spans="1:9">
      <c r="B10" s="4" t="s">
        <v>352</v>
      </c>
      <c r="C10" s="33">
        <f>Thesis!C8*Common_Shares/1000000</f>
        <v>14204.073498299998</v>
      </c>
      <c r="D10" s="1" t="s">
        <v>531</v>
      </c>
      <c r="E10" s="307">
        <f>Scenarios!F34</f>
        <v>0.22702475317126444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1900909.5266851489</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7" t="s">
        <v>206</v>
      </c>
      <c r="C51" s="457"/>
      <c r="D51" s="457"/>
      <c r="E51" s="457"/>
      <c r="F51" s="457"/>
    </row>
    <row r="52" spans="2:6">
      <c r="B52" s="44" t="s">
        <v>204</v>
      </c>
      <c r="C52" s="289">
        <f>Normalized_FCF!C12</f>
        <v>-477705.50932452339</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7.7241231622692627E-2</v>
      </c>
      <c r="F62" s="260"/>
    </row>
    <row r="63" spans="2:6">
      <c r="B63" s="204" t="s">
        <v>332</v>
      </c>
      <c r="C63" s="89">
        <f>Normalized_FCF!C92</f>
        <v>9.6774193548387108E-2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7" t="s">
        <v>357</v>
      </c>
      <c r="C124" s="457"/>
      <c r="D124" s="457"/>
      <c r="E124" s="457"/>
      <c r="F124" s="457"/>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9.6774193548387108E-2</v>
      </c>
      <c r="E92" s="238"/>
      <c r="G92" s="22">
        <f t="shared" ref="G92:Q92" si="38">IF(G$4="","",(G88*(1-dividend_tax_rate))/Market_Price)</f>
        <v>9.6774193548387108E-2</v>
      </c>
      <c r="H92" s="22">
        <f t="shared" si="38"/>
        <v>9.0322580645161313E-2</v>
      </c>
      <c r="I92" s="22">
        <f t="shared" si="38"/>
        <v>0.13870967741935486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7.7241231622692627E-2</v>
      </c>
      <c r="D124" s="26"/>
      <c r="E124" s="235"/>
      <c r="F124" s="26"/>
      <c r="G124" s="74">
        <f t="shared" ref="G124" si="49">IF(G$4="","",G123/Market_Price)</f>
        <v>8.9714051785393448E-2</v>
      </c>
      <c r="H124" s="74">
        <f t="shared" ref="H124" si="50">IF(H$4="","",H123/Market_Price)</f>
        <v>0.12344521749500126</v>
      </c>
      <c r="I124" s="74">
        <f t="shared" ref="I124" si="51">IF(I$4="","",I123/Market_Price)</f>
        <v>0.20018862771040419</v>
      </c>
      <c r="J124" s="74">
        <f t="shared" ref="J124" si="52">IF(J$4="","",J123/Market_Price)</f>
        <v>0.16448483796686986</v>
      </c>
      <c r="K124" s="74">
        <f t="shared" ref="K124" si="53">IF(K$4="","",K123/Market_Price)</f>
        <v>5.9006594136556047E-2</v>
      </c>
      <c r="L124" s="74">
        <f t="shared" ref="L124" si="54">IF(L$4="","",L123/Market_Price)</f>
        <v>7.4908018472823565E-2</v>
      </c>
      <c r="M124" s="74">
        <f t="shared" ref="M124" si="55">IF(M$4="","",M123/Market_Price)</f>
        <v>6.669558560883132E-2</v>
      </c>
      <c r="N124" s="74">
        <f t="shared" ref="N124" si="56">IF(N$4="","",N123/Market_Price)</f>
        <v>6.3345419897164509E-2</v>
      </c>
      <c r="O124" s="74">
        <f t="shared" ref="O124" si="57">IF(O$4="","",O123/Market_Price)</f>
        <v>1.1213402973383852E-2</v>
      </c>
      <c r="P124" s="74">
        <f t="shared" ref="P124" si="58">IF(P$4="","",P123/Market_Price)</f>
        <v>4.8576205979402988E-3</v>
      </c>
      <c r="Q124" s="74" t="str">
        <f t="shared" ref="Q124" si="59">IF(Q$4="","",Q123/Market_Price)</f>
        <v/>
      </c>
    </row>
    <row r="125" spans="1:17" ht="15.75" customHeight="1">
      <c r="B125" s="2" t="s">
        <v>306</v>
      </c>
      <c r="C125" s="151"/>
      <c r="G125" s="22">
        <f>IF(G$4="","",(Data!C47*$C$3)/(Market_Price*Common_Shares))</f>
        <v>0.12777848553214144</v>
      </c>
      <c r="H125" s="22">
        <f>IF(H$4="","",(Data!D47*$C$3)/(Market_Price*Common_Shares))</f>
        <v>0.16199141748142781</v>
      </c>
      <c r="I125" s="22">
        <f>IF(I$4="","",(Data!E47*$C$3)/(Market_Price*Common_Shares))</f>
        <v>0.23290185033159208</v>
      </c>
      <c r="J125" s="22">
        <f>IF(J$4="","",(Data!F47*$C$3)/(Market_Price*Common_Shares))</f>
        <v>0.21548966219911017</v>
      </c>
      <c r="K125" s="22">
        <f>IF(K$4="","",(Data!G47*$C$3)/(Market_Price*Common_Shares))</f>
        <v>8.3587500454858868E-2</v>
      </c>
      <c r="L125" s="22">
        <f>IF(L$4="","",(Data!H47*$C$3)/(Market_Price*Common_Shares))</f>
        <v>8.2803077591844715E-2</v>
      </c>
      <c r="M125" s="22">
        <f>IF(M$4="","",(Data!I47*$C$3)/(Market_Price*Common_Shares))</f>
        <v>8.1098425753560577E-2</v>
      </c>
      <c r="N125" s="22">
        <f>IF(N$4="","",(Data!J47*$C$3)/(Market_Price*Common_Shares))</f>
        <v>8.3256679863106628E-2</v>
      </c>
      <c r="O125" s="22">
        <f>IF(O$4="","",(Data!K47*$C$3)/(Market_Price*Common_Shares))</f>
        <v>4.7631406587763251E-3</v>
      </c>
      <c r="P125" s="22">
        <f>IF(P$4="","",(Data!L47*$C$3)/(Market_Price*Common_Shares))</f>
        <v>-5.0089504259827451E-2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(B56+FV_adjustments)/Common_Shares*scaling_factor*Exchange_Rate</f>
        <v>4.7109180024187989</v>
      </c>
      <c r="C74" s="119">
        <f>(C56+FV_adjustments)/Common_Shares*scaling_factor*Exchange_Rate</f>
        <v>4.1499783661490515</v>
      </c>
      <c r="D74" s="119">
        <f>(D56+FV_adjustments)/Common_Shares*scaling_factor*Exchange_Rate</f>
        <v>4.5928254474146408</v>
      </c>
      <c r="E74" s="119">
        <f>(E56+FV_adjustments)/Common_Shares*scaling_factor*Exchange_Rate</f>
        <v>4.6518717249167194</v>
      </c>
      <c r="F74" s="119">
        <f>(F56+FV_adjustments)/Common_Shares*scaling_factor*Exchange_Rate</f>
        <v>3.7071312848834617</v>
      </c>
      <c r="G74" s="300"/>
      <c r="H74" s="300"/>
      <c r="I74" s="300"/>
      <c r="J74" s="300"/>
      <c r="K74" s="300"/>
      <c r="L74" s="300"/>
    </row>
    <row r="75" spans="1:21" ht="13.15">
      <c r="A75" s="131">
        <v>2</v>
      </c>
      <c r="B75" s="119">
        <f>(B57+FV_adjustments)/Common_Shares*scaling_factor*Exchange_Rate</f>
        <v>4.8254319951501019</v>
      </c>
      <c r="C75" s="119">
        <f>(C57+FV_adjustments)/Common_Shares*scaling_factor*Exchange_Rate</f>
        <v>3.7990039893884435</v>
      </c>
      <c r="D75" s="119">
        <f>(D57+FV_adjustments)/Common_Shares*scaling_factor*Exchange_Rate</f>
        <v>4.5928254474146408</v>
      </c>
      <c r="E75" s="119">
        <f>(E57+FV_adjustments)/Common_Shares*scaling_factor*Exchange_Rate</f>
        <v>4.708027625198417</v>
      </c>
      <c r="F75" s="119">
        <f>(F57+FV_adjustments)/Common_Shares*scaling_factor*Exchange_Rate</f>
        <v>3.1290558408071671</v>
      </c>
      <c r="G75" s="300"/>
      <c r="H75" s="300"/>
      <c r="I75" s="300"/>
      <c r="J75" s="300"/>
      <c r="K75" s="300"/>
      <c r="L75" s="300"/>
    </row>
    <row r="76" spans="1:21" ht="13.15">
      <c r="A76" s="131">
        <v>3</v>
      </c>
      <c r="B76" s="119">
        <f>(B58+FV_adjustments)/Common_Shares*scaling_factor*Exchange_Rate</f>
        <v>4.9364758668895492</v>
      </c>
      <c r="C76" s="119">
        <f>(C58+FV_adjustments)/Common_Shares*scaling_factor*Exchange_Rate</f>
        <v>3.5208424786690813</v>
      </c>
      <c r="D76" s="119">
        <f>(D58+FV_adjustments)/Common_Shares*scaling_factor*Exchange_Rate</f>
        <v>4.5928254474146408</v>
      </c>
      <c r="E76" s="119">
        <f>(E58+FV_adjustments)/Common_Shares*scaling_factor*Exchange_Rate</f>
        <v>4.7614346352565358</v>
      </c>
      <c r="F76" s="119">
        <f>(F58+FV_adjustments)/Common_Shares*scaling_factor*Exchange_Rate</f>
        <v>2.7517571826687934</v>
      </c>
      <c r="G76" s="300"/>
      <c r="H76" s="300"/>
      <c r="I76" s="300"/>
      <c r="J76" s="300"/>
      <c r="K76" s="300"/>
      <c r="L76" s="300"/>
    </row>
    <row r="77" spans="1:21" ht="13.15">
      <c r="A77" s="131">
        <v>4</v>
      </c>
      <c r="B77" s="119">
        <f>(B59+FV_adjustments)/Common_Shares*scaling_factor*Exchange_Rate</f>
        <v>5.0441547728187075</v>
      </c>
      <c r="C77" s="119">
        <f>(C59+FV_adjustments)/Common_Shares*scaling_factor*Exchange_Rate</f>
        <v>3.3003881345092139</v>
      </c>
      <c r="D77" s="119">
        <f>(D59+FV_adjustments)/Common_Shares*scaling_factor*Exchange_Rate</f>
        <v>4.5928254474146408</v>
      </c>
      <c r="E77" s="119">
        <f>(E59+FV_adjustments)/Common_Shares*scaling_factor*Exchange_Rate</f>
        <v>4.8122273161509668</v>
      </c>
      <c r="F77" s="119">
        <f>(F59+FV_adjustments)/Common_Shares*scaling_factor*Exchange_Rate</f>
        <v>2.5055016482195049</v>
      </c>
      <c r="G77" s="300"/>
      <c r="H77" s="300"/>
      <c r="I77" s="300"/>
      <c r="J77" s="300"/>
      <c r="K77" s="300"/>
      <c r="L77" s="300"/>
    </row>
    <row r="78" spans="1:21" ht="13.15">
      <c r="A78" s="131">
        <v>5</v>
      </c>
      <c r="B78" s="119">
        <f>(B60+FV_adjustments)/Common_Shares*scaling_factor*Exchange_Rate</f>
        <v>5.1485706815985006</v>
      </c>
      <c r="C78" s="119">
        <f>(C60+FV_adjustments)/Common_Shares*scaling_factor*Exchange_Rate</f>
        <v>3.1256690738696919</v>
      </c>
      <c r="D78" s="119">
        <f>(D60+FV_adjustments)/Common_Shares*scaling_factor*Exchange_Rate</f>
        <v>4.5928254474146408</v>
      </c>
      <c r="E78" s="119">
        <f>(E60+FV_adjustments)/Common_Shares*scaling_factor*Exchange_Rate</f>
        <v>4.8605336420365841</v>
      </c>
      <c r="F78" s="119">
        <f>(F60+FV_adjustments)/Common_Shares*scaling_factor*Exchange_Rate</f>
        <v>2.3447754252689208</v>
      </c>
      <c r="G78" s="300"/>
      <c r="H78" s="300"/>
      <c r="I78" s="300"/>
      <c r="J78" s="300"/>
      <c r="K78" s="300"/>
      <c r="L78" s="300"/>
    </row>
    <row r="79" spans="1:21" ht="13.15">
      <c r="A79" s="131">
        <v>6</v>
      </c>
      <c r="B79" s="119">
        <f>(B61+FV_adjustments)/Common_Shares*scaling_factor*Exchange_Rate</f>
        <v>5.2498224719304192</v>
      </c>
      <c r="C79" s="119">
        <f>(C61+FV_adjustments)/Common_Shares*scaling_factor*Exchange_Rate</f>
        <v>2.9871970910784622</v>
      </c>
      <c r="D79" s="119">
        <f>(D61+FV_adjustments)/Common_Shares*scaling_factor*Exchange_Rate</f>
        <v>4.5928254474146408</v>
      </c>
      <c r="E79" s="119">
        <f>(E61+FV_adjustments)/Common_Shares*scaling_factor*Exchange_Rate</f>
        <v>4.9064753225991264</v>
      </c>
      <c r="F79" s="119">
        <f>(F61+FV_adjustments)/Common_Shares*scaling_factor*Exchange_Rate</f>
        <v>2.2398725291706372</v>
      </c>
      <c r="G79" s="300"/>
      <c r="H79" s="300"/>
      <c r="I79" s="300"/>
      <c r="J79" s="300"/>
      <c r="K79" s="300"/>
      <c r="L79" s="300"/>
    </row>
    <row r="80" spans="1:21" ht="13.15">
      <c r="A80" s="131">
        <f t="shared" ref="A80" si="11">A62</f>
        <v>7</v>
      </c>
      <c r="B80" s="119">
        <f>(B62+FV_adjustments)/Common_Shares*scaling_factor*Exchange_Rate</f>
        <v>5.3480060261916753</v>
      </c>
      <c r="C80" s="119">
        <f>(C62+FV_adjustments)/Common_Shares*scaling_factor*Exchange_Rate</f>
        <v>2.8774523960924059</v>
      </c>
      <c r="D80" s="119">
        <f>(D62+FV_adjustments)/Common_Shares*scaling_factor*Exchange_Rate</f>
        <v>4.5928254474146408</v>
      </c>
      <c r="E80" s="119">
        <f>(E62+FV_adjustments)/Common_Shares*scaling_factor*Exchange_Rate</f>
        <v>4.9501681097075583</v>
      </c>
      <c r="F80" s="119">
        <f>(F62+FV_adjustments)/Common_Shares*scaling_factor*Exchange_Rate</f>
        <v>2.1714044384771189</v>
      </c>
      <c r="G80" s="300"/>
      <c r="H80" s="300"/>
      <c r="I80" s="300"/>
      <c r="J80" s="300"/>
      <c r="K80" s="300"/>
      <c r="L80" s="300"/>
    </row>
    <row r="81" spans="1:12" ht="13.15">
      <c r="A81" s="131">
        <v>8</v>
      </c>
      <c r="B81" s="119">
        <f>(B63+FV_adjustments)/Common_Shares*scaling_factor*Exchange_Rate</f>
        <v>5.4432143212328929</v>
      </c>
      <c r="C81" s="119">
        <f>(C63+FV_adjustments)/Common_Shares*scaling_factor*Exchange_Rate</f>
        <v>2.7904752485510094</v>
      </c>
      <c r="D81" s="119">
        <f>(D63+FV_adjustments)/Common_Shares*scaling_factor*Exchange_Rate</f>
        <v>4.5928254474146408</v>
      </c>
      <c r="E81" s="119">
        <f>(E63+FV_adjustments)/Common_Shares*scaling_factor*Exchange_Rate</f>
        <v>4.9917220890554388</v>
      </c>
      <c r="F81" s="119">
        <f>(F63+FV_adjustments)/Common_Shares*scaling_factor*Exchange_Rate</f>
        <v>2.1267166403554745</v>
      </c>
      <c r="G81" s="300"/>
      <c r="H81" s="300"/>
      <c r="I81" s="300"/>
      <c r="J81" s="300"/>
      <c r="K81" s="300"/>
      <c r="L81" s="300"/>
    </row>
    <row r="82" spans="1:12" ht="13.15">
      <c r="A82" s="131">
        <f t="shared" ref="A82" si="12">A64</f>
        <v>9</v>
      </c>
      <c r="B82" s="119">
        <f>(B64+FV_adjustments)/Common_Shares*scaling_factor*Exchange_Rate</f>
        <v>5.535537516424375</v>
      </c>
      <c r="C82" s="119">
        <f>(C64+FV_adjustments)/Common_Shares*scaling_factor*Exchange_Rate</f>
        <v>2.7215423111056136</v>
      </c>
      <c r="D82" s="119">
        <f>(D64+FV_adjustments)/Common_Shares*scaling_factor*Exchange_Rate</f>
        <v>4.5928254474146408</v>
      </c>
      <c r="E82" s="119">
        <f>(E64+FV_adjustments)/Common_Shares*scaling_factor*Exchange_Rate</f>
        <v>5.0312419575261496</v>
      </c>
      <c r="F82" s="119">
        <f>(F64+FV_adjustments)/Common_Shares*scaling_factor*Exchange_Rate</f>
        <v>2.097549779110579</v>
      </c>
      <c r="G82" s="300"/>
      <c r="H82" s="300"/>
      <c r="I82" s="300"/>
      <c r="J82" s="300"/>
      <c r="K82" s="300"/>
      <c r="L82" s="300"/>
    </row>
    <row r="83" spans="1:12" ht="13.15">
      <c r="A83" s="131">
        <f t="shared" ref="A83:A87" si="13">A65</f>
        <v>10</v>
      </c>
      <c r="B83" s="119">
        <f>(B65+FV_adjustments)/Common_Shares*scaling_factor*Exchange_Rate</f>
        <v>5.6250630390342984</v>
      </c>
      <c r="C83" s="119">
        <f>(C65+FV_adjustments)/Common_Shares*scaling_factor*Exchange_Rate</f>
        <v>2.6669101462304745</v>
      </c>
      <c r="D83" s="119">
        <f>(D65+FV_adjustments)/Common_Shares*scaling_factor*Exchange_Rate</f>
        <v>4.5928254474146408</v>
      </c>
      <c r="E83" s="119">
        <f>(E65+FV_adjustments)/Common_Shares*scaling_factor*Exchange_Rate</f>
        <v>5.0688272869808122</v>
      </c>
      <c r="F83" s="119">
        <f>(F65+FV_adjustments)/Common_Shares*scaling_factor*Exchange_Rate</f>
        <v>2.0785131330766147</v>
      </c>
      <c r="G83" s="300"/>
      <c r="H83" s="300"/>
      <c r="I83" s="300"/>
      <c r="J83" s="300"/>
      <c r="K83" s="300"/>
      <c r="L83" s="300"/>
    </row>
    <row r="84" spans="1:12" ht="13.15">
      <c r="A84" s="131">
        <f t="shared" si="13"/>
        <v>15</v>
      </c>
      <c r="B84" s="119">
        <f>(B66+FV_adjustments)/Common_Shares*scaling_factor*Exchange_Rate</f>
        <v>6.0336044942357097</v>
      </c>
      <c r="C84" s="119">
        <f>(C66+FV_adjustments)/Common_Shares*scaling_factor*Exchange_Rate</f>
        <v>2.5234627554249736</v>
      </c>
      <c r="D84" s="119">
        <f>(D66+FV_adjustments)/Common_Shares*scaling_factor*Exchange_Rate</f>
        <v>4.5928254474146408</v>
      </c>
      <c r="E84" s="119">
        <f>(E66+FV_adjustments)/Common_Shares*scaling_factor*Exchange_Rate</f>
        <v>5.2308927126784557</v>
      </c>
      <c r="F84" s="119">
        <f>(F66+FV_adjustments)/Common_Shares*scaling_factor*Exchange_Rate</f>
        <v>2.0469766425425506</v>
      </c>
      <c r="G84" s="300"/>
      <c r="H84" s="300"/>
      <c r="I84" s="300"/>
      <c r="J84" s="300"/>
      <c r="K84" s="300"/>
      <c r="L84" s="300"/>
    </row>
    <row r="85" spans="1:12" ht="13.15">
      <c r="A85" s="132">
        <f t="shared" si="13"/>
        <v>20</v>
      </c>
      <c r="B85" s="119">
        <f>(B67+FV_adjustments)/Common_Shares*scaling_factor*Exchange_Rate</f>
        <v>6.3838852868097566</v>
      </c>
      <c r="C85" s="119">
        <f>(C67+FV_adjustments)/Common_Shares*scaling_factor*Exchange_Rate</f>
        <v>2.4786087968659616</v>
      </c>
      <c r="D85" s="119">
        <f>(D67+FV_adjustments)/Common_Shares*scaling_factor*Exchange_Rate</f>
        <v>4.5928254474146408</v>
      </c>
      <c r="E85" s="119">
        <f>(E67+FV_adjustments)/Common_Shares*scaling_factor*Exchange_Rate</f>
        <v>5.3569897052851703</v>
      </c>
      <c r="F85" s="119">
        <f>(F67+FV_adjustments)/Common_Shares*scaling_factor*Exchange_Rate</f>
        <v>2.0432414150455731</v>
      </c>
      <c r="G85" s="300"/>
      <c r="H85" s="300"/>
      <c r="I85" s="300"/>
      <c r="J85" s="300"/>
      <c r="K85" s="300"/>
      <c r="L85" s="300"/>
    </row>
    <row r="86" spans="1:12" ht="13.15">
      <c r="A86" s="132">
        <f t="shared" si="13"/>
        <v>25</v>
      </c>
      <c r="B86" s="119">
        <f>(B68+FV_adjustments)/Common_Shares*scaling_factor*Exchange_Rate</f>
        <v>6.6842137653133955</v>
      </c>
      <c r="C86" s="119">
        <f>(C68+FV_adjustments)/Common_Shares*scaling_factor*Exchange_Rate</f>
        <v>2.4645836020742244</v>
      </c>
      <c r="D86" s="119">
        <f>(D68+FV_adjustments)/Common_Shares*scaling_factor*Exchange_Rate</f>
        <v>4.5928254474146399</v>
      </c>
      <c r="E86" s="119">
        <f>(E68+FV_adjustments)/Common_Shares*scaling_factor*Exchange_Rate</f>
        <v>5.4551010172816143</v>
      </c>
      <c r="F86" s="119">
        <f>(F68+FV_adjustments)/Common_Shares*scaling_factor*Exchange_Rate</f>
        <v>2.0427990093048609</v>
      </c>
      <c r="G86" s="300"/>
      <c r="H86" s="300"/>
      <c r="I86" s="300"/>
      <c r="J86" s="300"/>
      <c r="K86" s="300"/>
      <c r="L86" s="300"/>
    </row>
    <row r="87" spans="1:12" ht="13.15">
      <c r="A87" s="132">
        <f t="shared" si="13"/>
        <v>30</v>
      </c>
      <c r="B87" s="119">
        <f>(B69+FV_adjustments)/Common_Shares*scaling_factor*Exchange_Rate</f>
        <v>6.9417134538846552</v>
      </c>
      <c r="C87" s="119">
        <f>(C69+FV_adjustments)/Common_Shares*scaling_factor*Exchange_Rate</f>
        <v>2.4601981231719026</v>
      </c>
      <c r="D87" s="119">
        <f>(D69+FV_adjustments)/Common_Shares*scaling_factor*Exchange_Rate</f>
        <v>4.5928254474146399</v>
      </c>
      <c r="E87" s="119">
        <f>(E69+FV_adjustments)/Common_Shares*scaling_factor*Exchange_Rate</f>
        <v>5.5314377271640263</v>
      </c>
      <c r="F87" s="119">
        <f>(F69+FV_adjustments)/Common_Shares*scaling_factor*Exchange_Rate</f>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C21:L50">
    <cfRule type="cellIs" dxfId="1" priority="3" operator="equal">
      <formula>0</formula>
    </cfRule>
  </conditionalFormatting>
  <conditionalFormatting sqref="B74:L87">
    <cfRule type="expression" dxfId="0" priority="21">
      <formula>ISNUMBER(MATCH(B74, $E$90:$E$94, 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2.79</v>
      </c>
      <c r="D34" t="str">
        <f>Market_currency</f>
        <v>HKD</v>
      </c>
      <c r="E34" s="97" t="s">
        <v>457</v>
      </c>
      <c r="F34" s="334">
        <f>RATE(Holding_Period,$C$33,-C34,$C$36)</f>
        <v>0.22702475317126444</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2.79</v>
      </c>
    </row>
    <row r="9" spans="1:10">
      <c r="B9" s="355" t="s">
        <v>361</v>
      </c>
      <c r="C9" s="357">
        <f>Common_Shares</f>
        <v>5091065770</v>
      </c>
    </row>
    <row r="10" spans="1:10">
      <c r="B10" s="355" t="s">
        <v>367</v>
      </c>
      <c r="C10" s="361">
        <f>投资主题!C8*Common_Shares/1000000</f>
        <v>14204.073498299998</v>
      </c>
      <c r="D10" s="347" t="s">
        <v>532</v>
      </c>
      <c r="E10" s="364">
        <f>Scenarios!F34</f>
        <v>0.22702475317126444</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7.7241231622692627E-2</v>
      </c>
      <c r="F62" s="383"/>
    </row>
    <row r="63" spans="2:6">
      <c r="B63" s="381" t="s">
        <v>332</v>
      </c>
      <c r="C63" s="382">
        <f>Normalized_FCF!C92</f>
        <v>9.6774193548387108E-2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2025-10-16T01:39:18Z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