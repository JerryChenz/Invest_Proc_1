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14BA3473-5326-41EA-B815-2A0E725564F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90" i="9" l="1"/>
  <c r="I92" i="2"/>
  <c r="J92" i="2"/>
  <c r="K92" i="2"/>
  <c r="L92" i="2"/>
  <c r="M92" i="2"/>
  <c r="N92" i="2"/>
  <c r="O92" i="2"/>
  <c r="P92" i="2"/>
  <c r="Q92" i="2"/>
  <c r="H92" i="2"/>
  <c r="H91" i="2"/>
  <c r="I91" i="2"/>
  <c r="J91" i="2"/>
  <c r="K91" i="2"/>
  <c r="L91" i="2"/>
  <c r="M91" i="2"/>
  <c r="N91" i="2"/>
  <c r="O91" i="2"/>
  <c r="P91" i="2"/>
  <c r="Q91" i="2"/>
  <c r="C99" i="6"/>
  <c r="C87" i="6"/>
  <c r="C28" i="6"/>
  <c r="C136" i="6"/>
  <c r="H1" i="3"/>
  <c r="C3" i="2"/>
  <c r="C3" i="8"/>
  <c r="C130" i="6"/>
  <c r="C90" i="6"/>
  <c r="C89" i="6"/>
  <c r="C88" i="6"/>
  <c r="D104" i="6"/>
  <c r="D139"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D86" i="3" s="1"/>
  <c r="B1" i="2"/>
  <c r="P81" i="2" l="1"/>
  <c r="P117" i="2" s="1"/>
  <c r="P16" i="2"/>
  <c r="O97" i="2"/>
  <c r="C89" i="3"/>
  <c r="D89" i="3"/>
  <c r="C86" i="6"/>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<sst xmlns="http://schemas.openxmlformats.org/spreadsheetml/2006/main" count="606" uniqueCount="428">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</sst>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45716</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0" t="s">
        <v>372</v>
      </c>
      <c r="C12" s="340"/>
      <c r="D12" s="340"/>
      <c r="E12" s="340"/>
      <c r="F12" s="340"/>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0.25</v>
      </c>
      <c r="D19" s="1" t="s">
        <v>412</v>
      </c>
      <c r="E19" s="336">
        <v>3.4500000000000003E-2</v>
      </c>
    </row>
    <row r="20" spans="1:6">
      <c r="B20" s="2" t="str">
        <f>"Target Buy Price ("&amp;Market_currency&amp;"):"</f>
        <v>Target Buy Price (HKD):</v>
      </c>
      <c r="C20" s="252">
        <f>C133</f>
        <v>29.602894893931072</v>
      </c>
      <c r="D20" s="1" t="s">
        <v>317</v>
      </c>
      <c r="E20" s="330">
        <v>3</v>
      </c>
    </row>
    <row r="21" spans="1:6">
      <c r="B21" s="1" t="s">
        <v>416</v>
      </c>
      <c r="C21" s="280">
        <f ca="1">Scenarios!C87</f>
        <v>8.761949902906796E-3</v>
      </c>
      <c r="D21" s="5"/>
      <c r="E21" s="5"/>
    </row>
    <row r="22" spans="1:6">
      <c r="D22" s="5"/>
      <c r="E22" s="5"/>
    </row>
    <row r="23" spans="1:6" ht="13.9">
      <c r="A23" s="247" t="s">
        <v>367</v>
      </c>
      <c r="B23" s="36"/>
      <c r="C23" s="36"/>
      <c r="D23" s="36"/>
      <c r="E23" s="36"/>
      <c r="F23" s="36"/>
    </row>
    <row r="25" spans="1:6" ht="24.4" customHeight="1">
      <c r="B25" s="340" t="s">
        <v>373</v>
      </c>
      <c r="C25" s="340"/>
      <c r="D25" s="340"/>
      <c r="E25" s="340"/>
      <c r="F25" s="340"/>
    </row>
    <row r="26" spans="1:6" ht="24.4" customHeight="1">
      <c r="B26" s="342" t="s">
        <v>350</v>
      </c>
      <c r="C26" s="342"/>
      <c r="D26" s="342"/>
      <c r="E26" s="342"/>
      <c r="F26" s="342"/>
    </row>
    <row r="28" spans="1:6">
      <c r="B28" s="234" t="s">
        <v>232</v>
      </c>
      <c r="C28" s="108">
        <f>scaling_factor</f>
        <v>1</v>
      </c>
    </row>
    <row r="29" spans="1:6" ht="24.4" customHeight="1">
      <c r="B29" s="341" t="s">
        <v>233</v>
      </c>
      <c r="C29" s="341"/>
      <c r="D29" s="341"/>
      <c r="E29" s="341"/>
      <c r="F29" s="341"/>
    </row>
    <row r="30" spans="1:6">
      <c r="B30" s="47" t="s">
        <v>234</v>
      </c>
      <c r="C30" s="188">
        <f>Normalized_FCF!C8</f>
        <v>4487792577</v>
      </c>
      <c r="D30" s="1" t="str">
        <f>Reporting_currency</f>
        <v>CNY</v>
      </c>
    </row>
    <row r="31" spans="1:6">
      <c r="B31" s="47"/>
      <c r="C31" s="76"/>
    </row>
    <row r="32" spans="1:6" ht="24.4" customHeight="1">
      <c r="B32" s="341" t="s">
        <v>235</v>
      </c>
      <c r="C32" s="341"/>
      <c r="D32" s="341"/>
      <c r="E32" s="341"/>
      <c r="F32" s="341"/>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1" t="s">
        <v>238</v>
      </c>
      <c r="C36" s="341"/>
      <c r="D36" s="341"/>
      <c r="E36" s="341"/>
      <c r="F36" s="341"/>
    </row>
    <row r="37" spans="2:6">
      <c r="B37" s="47" t="s">
        <v>239</v>
      </c>
      <c r="C37" s="188">
        <f>Normalized_FCF!C11</f>
        <v>0</v>
      </c>
      <c r="D37" s="1" t="str">
        <f>Reporting_currency</f>
        <v>CNY</v>
      </c>
    </row>
    <row r="39" spans="2:6">
      <c r="B39" s="341" t="s">
        <v>242</v>
      </c>
      <c r="C39" s="341"/>
      <c r="D39" s="341"/>
      <c r="E39" s="341"/>
      <c r="F39" s="341"/>
    </row>
    <row r="40" spans="2:6">
      <c r="B40" s="47" t="s">
        <v>351</v>
      </c>
      <c r="C40" s="322">
        <f>Normalized_FCF!C48</f>
        <v>174128704.21260402</v>
      </c>
      <c r="D40" s="1" t="str">
        <f>Reporting_currency</f>
        <v>CNY</v>
      </c>
      <c r="E40" s="321"/>
      <c r="F40" s="321"/>
    </row>
    <row r="41" spans="2:6">
      <c r="B41" s="47" t="s">
        <v>352</v>
      </c>
      <c r="C41" s="322">
        <f>Normalized_FCF!C47</f>
        <v>-21837054</v>
      </c>
      <c r="D41" s="1" t="str">
        <f>Reporting_currency</f>
        <v>CNY</v>
      </c>
      <c r="E41" s="321"/>
      <c r="F41" s="321"/>
    </row>
    <row r="42" spans="2:6">
      <c r="B42" s="47" t="s">
        <v>240</v>
      </c>
      <c r="C42" s="188">
        <f>Normalized_FCF!C12</f>
        <v>152291650.21260402</v>
      </c>
      <c r="D42" s="1" t="str">
        <f>Reporting_currency</f>
        <v>CNY</v>
      </c>
    </row>
    <row r="44" spans="2:6">
      <c r="B44" s="1" t="s">
        <v>248</v>
      </c>
    </row>
    <row r="45" spans="2:6">
      <c r="B45" s="47" t="s">
        <v>267</v>
      </c>
      <c r="C45" s="188">
        <f>Normalized_FCF!C15</f>
        <v>-146792828</v>
      </c>
      <c r="D45" s="1" t="str">
        <f>Reporting_currency</f>
        <v>CNY</v>
      </c>
    </row>
    <row r="47" spans="2:6">
      <c r="B47" s="341" t="s">
        <v>243</v>
      </c>
      <c r="C47" s="341"/>
      <c r="D47" s="341"/>
      <c r="E47" s="341"/>
      <c r="F47" s="341"/>
    </row>
    <row r="48" spans="2:6">
      <c r="B48" s="47" t="s">
        <v>241</v>
      </c>
      <c r="C48" s="188">
        <f>Normalized_FCF!C14</f>
        <v>-1160021056.8031509</v>
      </c>
      <c r="D48" s="1" t="str">
        <f>Reporting_currency</f>
        <v>CNY</v>
      </c>
    </row>
    <row r="50" spans="1:6">
      <c r="B50" s="341" t="s">
        <v>349</v>
      </c>
      <c r="C50" s="344"/>
      <c r="D50" s="344"/>
      <c r="E50" s="344"/>
      <c r="F50" s="344"/>
    </row>
    <row r="51" spans="1:6">
      <c r="B51" s="47" t="s">
        <v>244</v>
      </c>
      <c r="C51" s="1">
        <f>Normalized_FCF!C17</f>
        <v>0</v>
      </c>
      <c r="D51" s="1" t="str">
        <f>Reporting_currency</f>
        <v>CNY</v>
      </c>
    </row>
    <row r="53" spans="1:6" ht="24.4" customHeight="1">
      <c r="B53" s="340" t="s">
        <v>354</v>
      </c>
      <c r="C53" s="340"/>
      <c r="D53" s="340"/>
      <c r="E53" s="340"/>
      <c r="F53" s="340"/>
    </row>
    <row r="54" spans="1:6" ht="24.4" customHeight="1">
      <c r="B54" s="340" t="s">
        <v>374</v>
      </c>
      <c r="C54" s="340"/>
      <c r="D54" s="340"/>
      <c r="E54" s="340"/>
      <c r="F54" s="340"/>
    </row>
    <row r="56" spans="1:6">
      <c r="B56" s="47" t="s">
        <v>272</v>
      </c>
      <c r="C56" s="188">
        <f>Normalized_FCF!G19</f>
        <v>3103575085.2126045</v>
      </c>
      <c r="D56" s="1" t="str">
        <f>Reporting_currency</f>
        <v>CNY</v>
      </c>
    </row>
    <row r="57" spans="1:6">
      <c r="B57" s="47" t="s">
        <v>250</v>
      </c>
      <c r="C57" s="188">
        <f>Normalized_FCF!C19</f>
        <v>3333270342.4094524</v>
      </c>
      <c r="D57" s="1" t="str">
        <f>Reporting_currency</f>
        <v>CNY</v>
      </c>
    </row>
    <row r="58" spans="1:6">
      <c r="B58" s="254" t="s">
        <v>403</v>
      </c>
      <c r="C58" s="92">
        <f>Normalized_FCF!C125</f>
        <v>4.7752176349463223E-2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0" t="s">
        <v>375</v>
      </c>
      <c r="C63" s="340"/>
      <c r="D63" s="340"/>
      <c r="E63" s="340"/>
      <c r="F63" s="340"/>
    </row>
    <row r="64" spans="1:6">
      <c r="B64" s="342" t="s">
        <v>254</v>
      </c>
      <c r="C64" s="342"/>
      <c r="D64" s="342"/>
      <c r="E64" s="342"/>
      <c r="F64" s="342"/>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0" t="s">
        <v>376</v>
      </c>
      <c r="C73" s="340"/>
      <c r="D73" s="340"/>
      <c r="E73" s="340"/>
      <c r="F73" s="340"/>
    </row>
    <row r="74" spans="1:6" ht="24.4" customHeight="1">
      <c r="B74" s="340" t="s">
        <v>377</v>
      </c>
      <c r="C74" s="340"/>
      <c r="D74" s="340"/>
      <c r="E74" s="340"/>
      <c r="F74" s="340"/>
    </row>
    <row r="76" spans="1:6">
      <c r="B76" s="47" t="s">
        <v>253</v>
      </c>
      <c r="C76" s="263">
        <v>0</v>
      </c>
    </row>
    <row r="77" spans="1:6">
      <c r="B77" s="47" t="s">
        <v>285</v>
      </c>
      <c r="C77" s="248">
        <f>Valuation_Model!C6*scaling_factor*Exchange_Rate/Common_Shares</f>
        <v>32.680395689163895</v>
      </c>
      <c r="D77" s="1" t="str">
        <f>Market_currency</f>
        <v>HKD</v>
      </c>
    </row>
    <row r="79" spans="1:6" ht="13.9">
      <c r="A79" s="247" t="s">
        <v>370</v>
      </c>
      <c r="B79" s="36"/>
      <c r="C79" s="36"/>
      <c r="D79" s="36"/>
      <c r="E79" s="36"/>
      <c r="F79" s="36"/>
    </row>
    <row r="80" spans="1:6">
      <c r="A80" s="233"/>
    </row>
    <row r="81" spans="2:6">
      <c r="B81" s="340" t="s">
        <v>378</v>
      </c>
      <c r="C81" s="340"/>
      <c r="D81" s="340"/>
      <c r="E81" s="340"/>
      <c r="F81" s="340"/>
    </row>
    <row r="82" spans="2:6">
      <c r="B82" s="1" t="s">
        <v>255</v>
      </c>
    </row>
    <row r="84" spans="2:6">
      <c r="B84" s="234" t="s">
        <v>232</v>
      </c>
    </row>
    <row r="85" spans="2:6" ht="24.4" customHeight="1">
      <c r="B85" s="340" t="s">
        <v>355</v>
      </c>
      <c r="C85" s="340"/>
      <c r="D85" s="340"/>
      <c r="E85" s="340"/>
      <c r="F85" s="340"/>
    </row>
    <row r="86" spans="2:6">
      <c r="B86" s="47" t="s">
        <v>257</v>
      </c>
      <c r="C86" s="188">
        <f>Valuation_Model!C7</f>
        <v>285396383</v>
      </c>
      <c r="D86" s="1" t="str">
        <f>Reporting_currency</f>
        <v>CNY</v>
      </c>
    </row>
    <row r="87" spans="2:6">
      <c r="B87" s="47" t="s">
        <v>286</v>
      </c>
      <c r="C87" s="248">
        <f>C86*scaling_factor*Exchange_Rate/Common_Shares</f>
        <v>0.22384903152989977</v>
      </c>
      <c r="D87" s="1" t="str">
        <f>Market_currency</f>
        <v>HKD</v>
      </c>
    </row>
    <row r="88" spans="2:6">
      <c r="B88" s="337" t="s">
        <v>422</v>
      </c>
      <c r="C88" s="338">
        <f>BS!G30/BS!G27</f>
        <v>0.72207550313588764</v>
      </c>
    </row>
    <row r="89" spans="2:6">
      <c r="B89" s="337" t="s">
        <v>423</v>
      </c>
      <c r="C89" s="338">
        <f>BS!G31/BS!G27</f>
        <v>9.5579625064196368E-3</v>
      </c>
    </row>
    <row r="90" spans="2:6">
      <c r="B90" s="337" t="s">
        <v>425</v>
      </c>
      <c r="C90" s="339">
        <f>BS!C50</f>
        <v>6.3593933566061064E-2</v>
      </c>
    </row>
    <row r="92" spans="2:6">
      <c r="B92" s="1" t="s">
        <v>256</v>
      </c>
    </row>
    <row r="93" spans="2:6">
      <c r="B93" s="47" t="s">
        <v>266</v>
      </c>
      <c r="C93" s="188">
        <f>BS!C66</f>
        <v>17978772896</v>
      </c>
      <c r="D93" s="1" t="str">
        <f>Reporting_currency</f>
        <v>CNY</v>
      </c>
    </row>
    <row r="94" spans="2:6">
      <c r="B94" s="47" t="s">
        <v>268</v>
      </c>
      <c r="C94" s="188">
        <f>Valuation_Model!C8</f>
        <v>12902951541.641745</v>
      </c>
      <c r="D94" s="1" t="str">
        <f>Reporting_currency</f>
        <v>CNY</v>
      </c>
    </row>
    <row r="95" spans="2:6">
      <c r="B95" s="47" t="s">
        <v>287</v>
      </c>
      <c r="C95" s="248">
        <f>C94*scaling_factor*Exchange_Rate/Common_Shares</f>
        <v>10.120356733721225</v>
      </c>
      <c r="D95" s="1" t="str">
        <f>Market_currency</f>
        <v>HKD</v>
      </c>
    </row>
    <row r="97" spans="1:6">
      <c r="B97" s="1" t="s">
        <v>258</v>
      </c>
    </row>
    <row r="98" spans="1:6">
      <c r="B98" s="47" t="s">
        <v>259</v>
      </c>
      <c r="C98" s="188">
        <f>Valuation_Model!C9</f>
        <v>2755411575.5</v>
      </c>
      <c r="D98" s="1" t="str">
        <f>Reporting_currency</f>
        <v>CNY</v>
      </c>
    </row>
    <row r="99" spans="1:6">
      <c r="B99" s="47" t="s">
        <v>288</v>
      </c>
      <c r="C99" s="248">
        <f>C98*scaling_factor*Exchange_Rate/Common_Shares</f>
        <v>2.161191414405383</v>
      </c>
      <c r="D99" s="1" t="str">
        <f>Market_currency</f>
        <v>HKD</v>
      </c>
    </row>
    <row r="101" spans="1:6" ht="24.4" customHeight="1">
      <c r="B101" s="340" t="s">
        <v>379</v>
      </c>
      <c r="C101" s="340"/>
      <c r="D101" s="340"/>
      <c r="E101" s="340"/>
      <c r="F101" s="340"/>
    </row>
    <row r="103" spans="1:6">
      <c r="B103" s="47" t="s">
        <v>284</v>
      </c>
      <c r="C103" s="248">
        <f>Valuation_Model!C12</f>
        <v>44.738094805760603</v>
      </c>
      <c r="D103" s="1" t="str">
        <f>Market_currency</f>
        <v>HKD</v>
      </c>
    </row>
    <row r="104" spans="1:6">
      <c r="B104" s="337" t="s">
        <v>424</v>
      </c>
      <c r="C104" s="248">
        <f>BS!D47</f>
        <v>1.3299038497545537</v>
      </c>
      <c r="D104" s="1" t="str">
        <f>Market_currency</f>
        <v>HKD</v>
      </c>
    </row>
    <row r="106" spans="1:6" ht="13.9">
      <c r="A106" s="247" t="s">
        <v>371</v>
      </c>
      <c r="B106" s="36"/>
      <c r="C106" s="36"/>
      <c r="D106" s="36"/>
      <c r="E106" s="36"/>
      <c r="F106" s="36"/>
    </row>
    <row r="108" spans="1:6" ht="24.4" customHeight="1">
      <c r="B108" s="341" t="s">
        <v>380</v>
      </c>
      <c r="C108" s="341"/>
      <c r="D108" s="341"/>
      <c r="E108" s="341"/>
      <c r="F108" s="341"/>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68.95 HKD</v>
      </c>
      <c r="F111" s="259">
        <f>Valuation_Model!F74</f>
        <v>0.05</v>
      </c>
    </row>
    <row r="112" spans="1:6">
      <c r="B112" s="242" t="str">
        <f>Valuation_Model!B75</f>
        <v>Optimistic</v>
      </c>
      <c r="C112" s="243">
        <f>Valuation_Model!C75</f>
        <v>0.06</v>
      </c>
      <c r="D112" s="244">
        <f>Valuation_Model!D75</f>
        <v>10</v>
      </c>
      <c r="E112" s="245" t="str">
        <f>ROUND(Valuation_Model!E75,2)&amp;" "&amp;Market_currency</f>
        <v>51.73 HKD</v>
      </c>
      <c r="F112" s="246">
        <f>Valuation_Model!F75</f>
        <v>0.18</v>
      </c>
    </row>
    <row r="113" spans="1:6">
      <c r="B113" s="242" t="str">
        <f>Valuation_Model!B76</f>
        <v>Base</v>
      </c>
      <c r="C113" s="243">
        <f>Valuation_Model!C76</f>
        <v>0.04</v>
      </c>
      <c r="D113" s="244">
        <f>Valuation_Model!D76</f>
        <v>10</v>
      </c>
      <c r="E113" s="245" t="str">
        <f>ROUND(Valuation_Model!E76,2)&amp;" "&amp;Market_currency</f>
        <v>49.17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46.85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44.74 HKD</v>
      </c>
      <c r="F115" s="246">
        <f>Valuation_Model!F78</f>
        <v>0.05</v>
      </c>
    </row>
    <row r="117" spans="1:6">
      <c r="B117" s="235" t="s">
        <v>260</v>
      </c>
      <c r="C117" s="241">
        <f>Scenarios!C60</f>
        <v>49.979369042980153</v>
      </c>
      <c r="D117" s="236" t="str">
        <f>Market_currency</f>
        <v>HKD</v>
      </c>
    </row>
    <row r="119" spans="1:6" ht="24.4" customHeight="1">
      <c r="B119" s="345" t="s">
        <v>383</v>
      </c>
      <c r="C119" s="345"/>
      <c r="D119" s="345"/>
      <c r="E119" s="345"/>
      <c r="F119" s="345"/>
    </row>
    <row r="121" spans="1:6" ht="13.9">
      <c r="A121" s="247" t="s">
        <v>420</v>
      </c>
      <c r="B121" s="36"/>
      <c r="C121" s="36"/>
      <c r="D121" s="36"/>
      <c r="E121" s="36"/>
      <c r="F121" s="36"/>
    </row>
    <row r="123" spans="1:6">
      <c r="B123" s="343" t="s">
        <v>381</v>
      </c>
      <c r="C123" s="343"/>
      <c r="D123" s="343"/>
      <c r="E123" s="343"/>
      <c r="F123" s="343"/>
    </row>
    <row r="124" spans="1:6" ht="24.4" customHeight="1">
      <c r="B124" s="340" t="s">
        <v>382</v>
      </c>
      <c r="C124" s="340"/>
      <c r="D124" s="340"/>
      <c r="E124" s="340"/>
      <c r="F124" s="340"/>
    </row>
    <row r="125" spans="1:6">
      <c r="B125" s="234" t="s">
        <v>232</v>
      </c>
    </row>
    <row r="126" spans="1:6">
      <c r="B126" s="1" t="s">
        <v>265</v>
      </c>
      <c r="C126" s="251">
        <f>E20</f>
        <v>3</v>
      </c>
    </row>
    <row r="127" spans="1:6">
      <c r="B127" s="1" t="s">
        <v>279</v>
      </c>
      <c r="C127" s="250">
        <f>C19</f>
        <v>0.25</v>
      </c>
    </row>
    <row r="128" spans="1:6">
      <c r="B128" s="236" t="s">
        <v>263</v>
      </c>
      <c r="C128" s="237">
        <f>Scenarios!C77</f>
        <v>2.0560747663551404</v>
      </c>
      <c r="D128" s="236" t="str">
        <f>Market_currency</f>
        <v>HKD</v>
      </c>
    </row>
    <row r="130" spans="1:6">
      <c r="B130" s="234" t="s">
        <v>417</v>
      </c>
      <c r="C130" s="338">
        <f>C19</f>
        <v>0.25</v>
      </c>
      <c r="D130" s="1" t="s">
        <v>427</v>
      </c>
    </row>
    <row r="131" spans="1:6">
      <c r="B131" s="236" t="str">
        <f>"PV("&amp;C126&amp;" yrs of Dividends)"</f>
        <v>PV(3 yrs of Dividends)</v>
      </c>
      <c r="C131" s="240">
        <f>Scenarios!C81</f>
        <v>4.0134579439252347</v>
      </c>
    </row>
    <row r="132" spans="1:6">
      <c r="B132" s="236" t="str">
        <f>"+ PV(Equity Value realized at year "&amp;C126&amp;")"</f>
        <v>+ PV(Equity Value realized at year 3)</v>
      </c>
      <c r="C132" s="240">
        <f>Scenarios!C82</f>
        <v>25.589436950005837</v>
      </c>
    </row>
    <row r="133" spans="1:6">
      <c r="B133" s="80" t="s">
        <v>262</v>
      </c>
      <c r="C133" s="239">
        <f>Scenarios!C83</f>
        <v>29.602894893931072</v>
      </c>
      <c r="D133" s="47" t="str">
        <f>Reporting_currency</f>
        <v>CNY</v>
      </c>
    </row>
    <row r="134" spans="1:6">
      <c r="B134" s="238" t="s">
        <v>264</v>
      </c>
      <c r="C134" s="92">
        <f>Scenarios!F83</f>
        <v>0.40769770685832729</v>
      </c>
    </row>
    <row r="136" spans="1:6">
      <c r="B136" s="234" t="s">
        <v>418</v>
      </c>
      <c r="C136" s="92">
        <f>Scenarios!C90</f>
        <v>0.08</v>
      </c>
      <c r="D136" s="1" t="s">
        <v>426</v>
      </c>
    </row>
    <row r="137" spans="1:6">
      <c r="B137" s="236" t="str">
        <f>"PV("&amp;C126&amp;" yrs of Dividends)"</f>
        <v>PV(3 yrs of Dividends)</v>
      </c>
      <c r="C137" s="240">
        <f>Scenarios!C91</f>
        <v>5.2987040859302219</v>
      </c>
    </row>
    <row r="138" spans="1:6">
      <c r="B138" s="236" t="str">
        <f>"+ PV(Equity Value realized at year "&amp;C126&amp;")"</f>
        <v>+ PV(Equity Value realized at year 3)</v>
      </c>
      <c r="C138" s="240">
        <f>Scenarios!C92</f>
        <v>39.675234532163024</v>
      </c>
    </row>
    <row r="139" spans="1:6">
      <c r="B139" s="80" t="s">
        <v>419</v>
      </c>
      <c r="C139" s="239">
        <f>Scenarios!C93</f>
        <v>44.973938618093243</v>
      </c>
      <c r="D139" s="101" t="str">
        <f>Reporting_currency</f>
        <v>CNY</v>
      </c>
    </row>
    <row r="140" spans="1:6">
      <c r="B140" s="238" t="s">
        <v>264</v>
      </c>
      <c r="C140" s="92">
        <f>Scenarios!F93</f>
        <v>0.10014993227670499</v>
      </c>
    </row>
    <row r="142" spans="1:6" ht="13.9">
      <c r="A142" s="247" t="s">
        <v>387</v>
      </c>
      <c r="B142" s="36"/>
      <c r="C142" s="36"/>
      <c r="D142" s="36"/>
      <c r="E142" s="36"/>
      <c r="F142" s="36"/>
    </row>
    <row r="144" spans="1:6">
      <c r="B144" s="347" t="s">
        <v>389</v>
      </c>
      <c r="C144" s="340"/>
      <c r="D144" s="340"/>
      <c r="E144" s="340"/>
      <c r="F144" s="340"/>
    </row>
    <row r="146" spans="2:6">
      <c r="B146" s="234" t="s">
        <v>388</v>
      </c>
    </row>
    <row r="147" spans="2:6">
      <c r="B147" s="344" t="s">
        <v>393</v>
      </c>
      <c r="C147" s="344"/>
      <c r="D147" s="344"/>
      <c r="E147" s="344"/>
      <c r="F147" s="344"/>
    </row>
    <row r="148" spans="2:6">
      <c r="B148" s="238" t="s">
        <v>390</v>
      </c>
    </row>
    <row r="149" spans="2:6">
      <c r="B149" s="238" t="s">
        <v>391</v>
      </c>
    </row>
    <row r="150" spans="2:6">
      <c r="B150" s="238" t="s">
        <v>392</v>
      </c>
    </row>
    <row r="152" spans="2:6">
      <c r="B152" s="1" t="s">
        <v>397</v>
      </c>
    </row>
    <row r="153" spans="2:6" ht="46.5" customHeight="1">
      <c r="B153" s="341" t="s">
        <v>394</v>
      </c>
      <c r="C153" s="341"/>
      <c r="D153" s="341"/>
      <c r="E153" s="341"/>
      <c r="F153" s="341"/>
    </row>
    <row r="155" spans="2:6">
      <c r="B155" s="1" t="s">
        <v>398</v>
      </c>
    </row>
    <row r="156" spans="2:6" ht="24.4" customHeight="1">
      <c r="B156" s="346" t="s">
        <v>395</v>
      </c>
      <c r="C156" s="346"/>
      <c r="D156" s="346"/>
      <c r="E156" s="346"/>
      <c r="F156" s="346"/>
    </row>
    <row r="157" spans="2:6" ht="24.4" customHeight="1">
      <c r="B157" s="346" t="s">
        <v>396</v>
      </c>
      <c r="C157" s="346"/>
      <c r="D157" s="346"/>
      <c r="E157" s="346"/>
      <c r="F157" s="346"/>
    </row>
    <row r="159" spans="2:6">
      <c r="B159" s="1" t="s">
        <v>402</v>
      </c>
    </row>
    <row r="160" spans="2:6">
      <c r="B160" s="238" t="s">
        <v>399</v>
      </c>
    </row>
    <row r="161" spans="2:2">
      <c r="B161" s="238" t="s">
        <v>400</v>
      </c>
    </row>
    <row r="162" spans="2:2">
      <c r="B162" s="238" t="s">
        <v>401</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185704725</v>
      </c>
      <c r="D28" s="181"/>
      <c r="E28" s="181"/>
      <c r="F28" s="181"/>
      <c r="G28" s="181"/>
      <c r="H28" s="181"/>
      <c r="I28" s="181"/>
      <c r="J28" s="181"/>
      <c r="K28" s="181"/>
      <c r="L28" s="181"/>
      <c r="M28" s="181"/>
    </row>
    <row r="29" spans="2:13">
      <c r="B29" s="26" t="s">
        <v>32</v>
      </c>
      <c r="C29" s="183">
        <f>BS!C6</f>
        <v>3576387537</v>
      </c>
      <c r="D29" s="181"/>
      <c r="E29" s="181"/>
      <c r="F29" s="181"/>
      <c r="G29" s="181"/>
      <c r="H29" s="181"/>
      <c r="I29" s="181"/>
      <c r="J29" s="181"/>
      <c r="K29" s="181"/>
      <c r="L29" s="181"/>
      <c r="M29" s="181"/>
    </row>
    <row r="30" spans="2:13">
      <c r="B30" s="29" t="s">
        <v>40</v>
      </c>
      <c r="C30" s="186">
        <f>BS!C33+BS!C42</f>
        <v>21560843821</v>
      </c>
      <c r="D30" s="182"/>
      <c r="E30" s="182"/>
      <c r="F30" s="182"/>
      <c r="G30" s="182"/>
      <c r="H30" s="182"/>
      <c r="I30" s="182"/>
      <c r="J30" s="182"/>
      <c r="K30" s="182"/>
      <c r="L30" s="182"/>
      <c r="M30" s="182"/>
    </row>
    <row r="31" spans="2:13">
      <c r="B31" s="29" t="s">
        <v>30</v>
      </c>
      <c r="C31" s="186">
        <f>BS!G27</f>
        <v>29859542011</v>
      </c>
      <c r="D31" s="182"/>
      <c r="E31" s="182"/>
      <c r="F31" s="182"/>
      <c r="G31" s="182"/>
      <c r="H31" s="182"/>
      <c r="I31" s="182"/>
      <c r="J31" s="182"/>
      <c r="K31" s="182"/>
      <c r="L31" s="182"/>
      <c r="M31" s="182"/>
    </row>
    <row r="32" spans="2:13">
      <c r="B32" s="26" t="s">
        <v>174</v>
      </c>
      <c r="C32" s="183">
        <f>BS!G28</f>
        <v>799157484</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f>102420347+83284378</f>
        <v>185704725</v>
      </c>
      <c r="D4" s="294">
        <v>0.6</v>
      </c>
      <c r="E4" s="25"/>
      <c r="F4" s="4" t="s">
        <v>79</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179</v>
      </c>
      <c r="G6" s="19">
        <v>0</v>
      </c>
      <c r="H6" s="294">
        <v>0.6</v>
      </c>
    </row>
    <row r="7" spans="2:8" ht="15" customHeight="1">
      <c r="B7" s="1" t="s">
        <v>70</v>
      </c>
      <c r="C7" s="19">
        <v>0</v>
      </c>
      <c r="D7" s="294">
        <v>0.6</v>
      </c>
      <c r="E7" s="25"/>
      <c r="F7" s="4" t="s">
        <v>180</v>
      </c>
      <c r="G7" s="19">
        <v>2021804089</v>
      </c>
      <c r="H7" s="294">
        <v>0.6</v>
      </c>
    </row>
    <row r="8" spans="2:8" ht="15" customHeight="1">
      <c r="B8" s="1" t="s">
        <v>175</v>
      </c>
      <c r="C8" s="19">
        <v>0</v>
      </c>
      <c r="D8" s="294">
        <v>0.6</v>
      </c>
      <c r="E8" s="25"/>
      <c r="F8" s="1" t="s">
        <v>181</v>
      </c>
      <c r="G8" s="19">
        <v>0</v>
      </c>
      <c r="H8" s="294">
        <v>0.6</v>
      </c>
    </row>
    <row r="9" spans="2:8" ht="15" customHeight="1">
      <c r="B9" s="4" t="s">
        <v>25</v>
      </c>
      <c r="C9" s="19">
        <v>241896760</v>
      </c>
      <c r="D9" s="294">
        <v>0.1</v>
      </c>
      <c r="E9" s="25"/>
      <c r="F9" s="4" t="s">
        <v>182</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2498379750</v>
      </c>
      <c r="H17" s="294">
        <v>0.6</v>
      </c>
    </row>
    <row r="18" spans="2:8" ht="15" customHeight="1">
      <c r="B18" s="4" t="s">
        <v>175</v>
      </c>
      <c r="C18" s="19">
        <v>0</v>
      </c>
      <c r="D18" s="294">
        <v>0.6</v>
      </c>
      <c r="F18" s="4" t="s">
        <v>183</v>
      </c>
      <c r="G18" s="19">
        <v>0</v>
      </c>
      <c r="H18" s="294">
        <v>0.1</v>
      </c>
    </row>
    <row r="19" spans="2:8" ht="15" customHeight="1">
      <c r="B19" s="4" t="s">
        <v>26</v>
      </c>
      <c r="C19" s="19">
        <f>11817650634+630874619+115672625+85702449</f>
        <v>12649900327</v>
      </c>
      <c r="D19" s="294">
        <v>0.1</v>
      </c>
      <c r="F19" s="4" t="s">
        <v>184</v>
      </c>
      <c r="G19" s="19">
        <v>391873803</v>
      </c>
      <c r="H19" s="294">
        <v>0.1</v>
      </c>
    </row>
    <row r="20" spans="2:8" ht="15" customHeight="1">
      <c r="B20" s="4" t="s">
        <v>18</v>
      </c>
      <c r="C20" s="19">
        <v>0</v>
      </c>
      <c r="D20" s="294">
        <v>0.05</v>
      </c>
      <c r="F20" s="4" t="s">
        <v>181</v>
      </c>
      <c r="G20" s="19">
        <v>0</v>
      </c>
      <c r="H20" s="294">
        <v>0.2</v>
      </c>
    </row>
    <row r="21" spans="2:8" ht="15" customHeight="1">
      <c r="B21" s="4" t="s">
        <v>19</v>
      </c>
      <c r="C21" s="19">
        <v>2684120584</v>
      </c>
      <c r="D21" s="294">
        <v>0.05</v>
      </c>
      <c r="F21" s="1" t="s">
        <v>182</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c r="B26" s="16" t="s">
        <v>202</v>
      </c>
      <c r="C26" s="203" t="s">
        <v>138</v>
      </c>
      <c r="F26" s="205" t="s">
        <v>198</v>
      </c>
      <c r="G26" s="206" t="s">
        <v>138</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246</v>
      </c>
      <c r="G28" s="181">
        <v>799157484</v>
      </c>
      <c r="H28" s="209"/>
    </row>
    <row r="29" spans="2:8" ht="15" customHeight="1">
      <c r="B29" s="4" t="s">
        <v>7</v>
      </c>
      <c r="C29" s="19">
        <v>0</v>
      </c>
      <c r="F29" s="211" t="s">
        <v>77</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205</v>
      </c>
      <c r="C31" s="81">
        <f>SUM(C27:C30)</f>
        <v>217159673</v>
      </c>
      <c r="F31" s="211" t="s">
        <v>78</v>
      </c>
      <c r="G31" s="212">
        <f>C31+C40</f>
        <v>285396383</v>
      </c>
      <c r="H31" s="209"/>
    </row>
    <row r="32" spans="2:8" ht="15" customHeight="1">
      <c r="B32" s="4" t="s">
        <v>9</v>
      </c>
      <c r="C32" s="21">
        <f>C33-C31</f>
        <v>17305171626</v>
      </c>
      <c r="F32" s="213" t="s">
        <v>76</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28488416376</v>
      </c>
      <c r="H35" s="221">
        <f>D12+D24</f>
        <v>5119255394.3000002</v>
      </c>
    </row>
    <row r="36" spans="2:8" ht="15" customHeight="1">
      <c r="B36" s="4" t="s">
        <v>13</v>
      </c>
      <c r="C36" s="19">
        <v>0</v>
      </c>
      <c r="F36" s="211" t="s">
        <v>199</v>
      </c>
      <c r="G36" s="212">
        <f>C4+C15</f>
        <v>185704725</v>
      </c>
      <c r="H36" s="216"/>
    </row>
    <row r="37" spans="2:8" ht="15" customHeight="1">
      <c r="B37" s="4" t="s">
        <v>14</v>
      </c>
      <c r="C37" s="19">
        <v>68236710</v>
      </c>
      <c r="F37" s="211" t="s">
        <v>200</v>
      </c>
      <c r="G37" s="212">
        <f>C6</f>
        <v>3576387537</v>
      </c>
      <c r="H37" s="216"/>
    </row>
    <row r="38" spans="2:8" ht="15" customHeight="1">
      <c r="B38" s="4" t="s">
        <v>15</v>
      </c>
      <c r="C38" s="19">
        <v>0</v>
      </c>
      <c r="F38" s="211" t="s">
        <v>201</v>
      </c>
      <c r="G38" s="212">
        <f>C7+C17</f>
        <v>0</v>
      </c>
      <c r="H38" s="216"/>
    </row>
    <row r="39" spans="2:8" ht="15" customHeight="1">
      <c r="B39" s="2" t="s">
        <v>16</v>
      </c>
      <c r="C39" s="19">
        <v>0</v>
      </c>
      <c r="F39" s="211" t="s">
        <v>81</v>
      </c>
      <c r="G39" s="212">
        <f>C7+C17+C19+C20</f>
        <v>12649900327</v>
      </c>
      <c r="H39" s="209">
        <f>C7*D7+C17*D17+C19*D19+C20*D20</f>
        <v>1264990032.7</v>
      </c>
    </row>
    <row r="40" spans="2:8" ht="15" customHeight="1">
      <c r="B40" s="80" t="s">
        <v>206</v>
      </c>
      <c r="C40" s="81">
        <f>SUM(C36:C39)</f>
        <v>68236710</v>
      </c>
      <c r="F40" s="220" t="s">
        <v>140</v>
      </c>
      <c r="G40" s="214">
        <f>G12+G24</f>
        <v>22931969456</v>
      </c>
      <c r="H40" s="221">
        <f>H12+H24</f>
        <v>18936307181.899998</v>
      </c>
    </row>
    <row r="41" spans="2:8" ht="15" customHeight="1">
      <c r="B41" s="4" t="s">
        <v>17</v>
      </c>
      <c r="C41" s="21">
        <f>C42-C40</f>
        <v>3970275812</v>
      </c>
      <c r="F41" s="211" t="s">
        <v>193</v>
      </c>
      <c r="G41" s="212">
        <f>C70</f>
        <v>17978772896</v>
      </c>
      <c r="H41" s="221">
        <f>H40-H42</f>
        <v>16180895606.399998</v>
      </c>
    </row>
    <row r="42" spans="2:8" ht="15" customHeight="1">
      <c r="B42" s="83" t="s">
        <v>22</v>
      </c>
      <c r="C42" s="84">
        <v>4038512522</v>
      </c>
      <c r="F42" s="222" t="s">
        <v>194</v>
      </c>
      <c r="G42" s="223">
        <f>C82</f>
        <v>4953196560</v>
      </c>
      <c r="H42" s="224">
        <f>D82</f>
        <v>2755411575.5</v>
      </c>
    </row>
    <row r="44" spans="2:8" ht="15" customHeight="1">
      <c r="B44" s="79" t="s">
        <v>98</v>
      </c>
      <c r="C44" s="37"/>
      <c r="D44" s="37"/>
      <c r="E44" s="37"/>
      <c r="F44" s="37"/>
      <c r="G44" s="37"/>
      <c r="H44" s="37"/>
    </row>
    <row r="45" spans="2:8" ht="15" customHeight="1">
      <c r="B45" s="16" t="s">
        <v>273</v>
      </c>
      <c r="C45" s="261" t="s">
        <v>138</v>
      </c>
      <c r="D45" s="203" t="s">
        <v>424</v>
      </c>
      <c r="F45" s="287" t="s">
        <v>60</v>
      </c>
    </row>
    <row r="46" spans="2:8" ht="15" customHeight="1">
      <c r="B46" s="1" t="s">
        <v>275</v>
      </c>
      <c r="C46" s="188">
        <f>G29</f>
        <v>29060384527</v>
      </c>
      <c r="D46" s="188">
        <f>H29</f>
        <v>1695561271.1999969</v>
      </c>
      <c r="F46" s="283"/>
    </row>
    <row r="47" spans="2:8" ht="15" customHeight="1">
      <c r="B47" s="1" t="str">
        <f>"Equity per share ("&amp;Market_currency&amp;")"</f>
        <v>Equity per share (HKD)</v>
      </c>
      <c r="C47" s="148">
        <f>C46*H1/Common_Shares*Exchange_Rate</f>
        <v>22.793347497523943</v>
      </c>
      <c r="D47" s="148">
        <f>D46*H1/Common_Shares*Exchange_Rate</f>
        <v>1.3299038497545537</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6.3593933566061064E-2</v>
      </c>
      <c r="D50" s="95">
        <f>G31/Normalized_FCF!G8</f>
        <v>6.3593933566061064E-2</v>
      </c>
      <c r="F50" s="283"/>
    </row>
    <row r="51" spans="2:8" ht="15" customHeight="1">
      <c r="B51" s="1" t="s">
        <v>178</v>
      </c>
      <c r="C51" s="202"/>
      <c r="D51" s="92">
        <f>G29/G32</f>
        <v>0.56515298469260233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0.15753043334415495</v>
      </c>
      <c r="D54" s="92">
        <f>Normalized_FCF!G8/G35</f>
        <v>0.15753043334415495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9.4175111360938715E-2</v>
      </c>
      <c r="F58" s="5"/>
    </row>
    <row r="59" spans="2:8" ht="15" customHeight="1">
      <c r="B59" s="1" t="s">
        <v>94</v>
      </c>
      <c r="C59" s="98"/>
      <c r="D59" s="92">
        <f>G39/G32</f>
        <v>0.24600944007556819</v>
      </c>
      <c r="F59" s="283"/>
    </row>
    <row r="60" spans="2:8" ht="15" customHeight="1">
      <c r="F60" s="283"/>
    </row>
    <row r="61" spans="2:8" ht="15" customHeight="1">
      <c r="B61" s="158" t="s">
        <v>276</v>
      </c>
      <c r="C61" s="262" t="s">
        <v>139</v>
      </c>
      <c r="D61" s="218" t="s">
        <v>97</v>
      </c>
      <c r="F61" s="283"/>
    </row>
    <row r="62" spans="2:8" ht="15" customHeight="1">
      <c r="B62" s="1" t="s">
        <v>247</v>
      </c>
      <c r="C62" s="92">
        <f>IF(G28&lt;=0,0,G28/G29)</f>
        <v>2.749989365273205E-2</v>
      </c>
      <c r="D62" s="92">
        <f>G28/G29</f>
        <v>2.749989365273205E-2</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17978772896</v>
      </c>
      <c r="D66" s="188">
        <f>C66-D75</f>
        <v>12902951541.641745</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17978772896</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7.0840841869120847</v>
      </c>
      <c r="D74" s="289">
        <f>-$C$66/D73</f>
        <v>7.0840841869120847</v>
      </c>
      <c r="F74" s="283" t="s">
        <v>329</v>
      </c>
    </row>
    <row r="75" spans="2:6" ht="15" customHeight="1">
      <c r="B75" s="80" t="s">
        <v>330</v>
      </c>
      <c r="C75" s="293"/>
      <c r="D75" s="292">
        <f>MAX(-D73*D76,G5)</f>
        <v>5075821354.3582554</v>
      </c>
      <c r="F75" s="283" t="s">
        <v>363</v>
      </c>
    </row>
    <row r="76" spans="2:6" ht="15" customHeight="1">
      <c r="B76" s="290" t="s">
        <v>333</v>
      </c>
      <c r="C76" s="291"/>
      <c r="D76" s="327">
        <f>IF(D74&lt;=3,1,IF(D74&gt;18,6,2))</f>
        <v>2</v>
      </c>
      <c r="F76" s="283" t="s">
        <v>334</v>
      </c>
    </row>
    <row r="77" spans="2:6" ht="15" customHeight="1">
      <c r="F77" s="283"/>
    </row>
    <row r="78" spans="2:6" ht="15" customHeight="1">
      <c r="B78" s="16" t="s">
        <v>191</v>
      </c>
      <c r="C78" s="261" t="s">
        <v>138</v>
      </c>
      <c r="D78" s="204" t="s">
        <v>35</v>
      </c>
      <c r="F78" s="283"/>
    </row>
    <row r="79" spans="2:6" ht="15" customHeight="1">
      <c r="B79" s="105" t="s">
        <v>180</v>
      </c>
      <c r="C79" s="20">
        <f>G7+G17</f>
        <v>4520183839</v>
      </c>
      <c r="D79" s="188">
        <f>G7*H7+G17*H17</f>
        <v>2712110303.3999996</v>
      </c>
      <c r="F79" s="283"/>
    </row>
    <row r="80" spans="2:6" ht="15" customHeight="1">
      <c r="B80" s="105" t="s">
        <v>184</v>
      </c>
      <c r="C80" s="20">
        <f>G19</f>
        <v>391873803</v>
      </c>
      <c r="D80" s="188">
        <f>G19*H19</f>
        <v>39187380.300000004</v>
      </c>
      <c r="F80" s="283"/>
    </row>
    <row r="81" spans="2:8" ht="15" customHeight="1">
      <c r="B81" s="105" t="s">
        <v>182</v>
      </c>
      <c r="C81" s="20">
        <f>G9+G21</f>
        <v>41138918</v>
      </c>
      <c r="D81" s="188">
        <f>G9*H9+G21*H21</f>
        <v>4113891.8000000003</v>
      </c>
      <c r="F81" s="283"/>
    </row>
    <row r="82" spans="2:8" ht="15" customHeight="1">
      <c r="B82" s="80" t="s">
        <v>191</v>
      </c>
      <c r="C82" s="81">
        <f>SUM(C79:C81)</f>
        <v>4953196560</v>
      </c>
      <c r="D82" s="81">
        <f>SUM(D79:D81)</f>
        <v>2755411575.5</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-305374129.81</v>
      </c>
      <c r="D86" s="248">
        <f>C86*scaling_factor/Common_Shares</f>
        <v>-0.22384903152989977</v>
      </c>
      <c r="E86" s="269" t="str">
        <f>Market_currency</f>
        <v>HKD</v>
      </c>
    </row>
    <row r="87" spans="2:8" ht="15" customHeight="1">
      <c r="B87" s="267" t="s">
        <v>296</v>
      </c>
      <c r="C87" s="188">
        <f>Valuation_Model!C8*Exchange_Rate</f>
        <v>13806158149.556667</v>
      </c>
      <c r="D87" s="248">
        <f>C87*scaling_factor/Common_Shares</f>
        <v>10.120356733721225</v>
      </c>
      <c r="E87" s="269" t="str">
        <f>Market_currency</f>
        <v>HKD</v>
      </c>
    </row>
    <row r="88" spans="2:8" ht="15" customHeight="1">
      <c r="B88" s="268" t="s">
        <v>191</v>
      </c>
      <c r="C88" s="188">
        <f>Valuation_Model!C9*Exchange_Rate</f>
        <v>2948290385.7850003</v>
      </c>
      <c r="D88" s="248">
        <f>C88*scaling_factor/Common_Shares</f>
        <v>2.161191414405383</v>
      </c>
      <c r="E88" s="269" t="str">
        <f>Market_currency</f>
        <v>HKD</v>
      </c>
    </row>
    <row r="89" spans="2:8" ht="15" customHeight="1">
      <c r="B89" s="80" t="s">
        <v>300</v>
      </c>
      <c r="C89" s="187">
        <f>SUM(C86:C88)</f>
        <v>16449074405.531668</v>
      </c>
      <c r="D89" s="271">
        <f>SUM(D86:D88)</f>
        <v>12.057699116596709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152291650.21260402</v>
      </c>
      <c r="E12" s="302"/>
      <c r="G12" s="191">
        <f>G50</f>
        <v>152291650.21260405</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4640084227.2126036</v>
      </c>
      <c r="E13" s="302"/>
      <c r="G13" s="184">
        <f>IF(G$4="","",SUM(G8:G12))</f>
        <v>4640084227.2126045</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-1160021056.8031509</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3333270342.4094524</v>
      </c>
      <c r="D16" s="61"/>
      <c r="E16" s="310"/>
      <c r="F16" s="61"/>
      <c r="G16" s="184">
        <f>IF(G$4="","",SUM(G13:G15))</f>
        <v>3103575085.2126045</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3333270342.4094524</v>
      </c>
      <c r="D19" s="27"/>
      <c r="E19" s="299"/>
      <c r="F19" s="27"/>
      <c r="G19" s="186">
        <f>IF(G$4="","",G16+G17)</f>
        <v>3103575085.2126045</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0.2995023896009818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174128704.21260402</v>
      </c>
      <c r="E48" s="302"/>
      <c r="G48" s="328">
        <f>IFERROR(IF(G$4="","",($C$48/$C$49)*G49),0)</f>
        <v>174128704.21260405</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152291650.21260402</v>
      </c>
      <c r="E50" s="302"/>
      <c r="G50" s="184">
        <f>IF(G$4="","",(G47+G48))</f>
        <v>152291650.21260405</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4.7387035679324931E-3</v>
      </c>
      <c r="D80" s="27"/>
      <c r="E80" s="299"/>
      <c r="F80" s="27"/>
      <c r="G80" s="6">
        <f t="shared" ref="G80:Q80" si="31">IF(G$4="","",ABS(G12/G$4))</f>
        <v>4.7387035679324939E-3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0.14438075660946428</v>
      </c>
      <c r="D81" s="27"/>
      <c r="E81" s="299"/>
      <c r="F81" s="27"/>
      <c r="G81" s="65">
        <f t="shared" ref="G81:Q81" si="32">IF(G$4="","",G13/G$4)</f>
        <v>0.14438075660946431</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3.6095189152366071E-2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0.10371796511764354</v>
      </c>
      <c r="D84" s="27"/>
      <c r="E84" s="299"/>
      <c r="F84" s="27"/>
      <c r="G84" s="65">
        <f t="shared" ref="G84:Q84" si="35">IF(G$4="","",ABS(G16/G$4))</f>
        <v>9.6570772653077341E-2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0.10371796511764354</v>
      </c>
      <c r="D87" s="75"/>
      <c r="E87" s="299"/>
      <c r="F87" s="75"/>
      <c r="G87" s="65">
        <f t="shared" ref="G87:Q87" si="36">IF(G$4="","",ABS(G19/G$4))</f>
        <v>9.6570772653077341E-2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0.84148307938384004</v>
      </c>
      <c r="E92" s="302"/>
      <c r="G92" s="171">
        <f t="shared" ref="G92:Q92" si="38">IF(G$4="","",G90/(G19*scaling_factor/Common_Shares))</f>
        <v>0.9037611512973559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1.6608784999467443</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0.14438075660946428</v>
      </c>
      <c r="E117" s="302"/>
      <c r="G117" s="23">
        <f t="shared" ref="G117:Q117" si="45">G81</f>
        <v>0.14438075660946431</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2.6144316551331115</v>
      </c>
      <c r="D124" s="27"/>
      <c r="E124" s="299"/>
      <c r="F124" s="27"/>
      <c r="G124" s="178">
        <f t="shared" ref="G124:Q124" si="49">IF(G$4="","",G16*$C$3/Common_Shares*Exchange_Rate)</f>
        <v>2.4342714851616312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4.7752176349463223E-2</v>
      </c>
      <c r="D125" s="27"/>
      <c r="E125" s="299"/>
      <c r="F125" s="27"/>
      <c r="G125" s="77">
        <f t="shared" ref="G125" si="50">IF(G$4="","",G124/Market_Price)</f>
        <v>4.4461579637655367E-2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3333270342.4094524</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41665879280.118156</v>
      </c>
      <c r="D6" t="str">
        <f>Reporting_currency</f>
        <v>CNY</v>
      </c>
      <c r="E6" s="348" t="s">
        <v>251</v>
      </c>
      <c r="F6" s="348"/>
      <c r="H6" s="121"/>
    </row>
    <row r="7" spans="2:8">
      <c r="B7" s="149" t="s">
        <v>226</v>
      </c>
      <c r="C7" s="226">
        <f>BS!G31</f>
        <v>285396383</v>
      </c>
      <c r="D7" t="str">
        <f>Reporting_currency</f>
        <v>CNY</v>
      </c>
      <c r="E7" s="348"/>
      <c r="F7" s="348"/>
      <c r="H7" s="121"/>
    </row>
    <row r="8" spans="2:8">
      <c r="B8" s="149" t="s">
        <v>227</v>
      </c>
      <c r="C8" s="201">
        <f>BS!D66</f>
        <v>12902951541.641745</v>
      </c>
      <c r="D8" t="str">
        <f>Reporting_currency</f>
        <v>CNY</v>
      </c>
      <c r="E8" s="348"/>
      <c r="F8" s="348"/>
      <c r="H8" s="121"/>
    </row>
    <row r="9" spans="2:8">
      <c r="B9" s="227" t="s">
        <v>192</v>
      </c>
      <c r="C9" s="229">
        <f>BS!H42</f>
        <v>2755411575.5</v>
      </c>
      <c r="D9" t="str">
        <f>Reporting_currency</f>
        <v>CNY</v>
      </c>
      <c r="E9" s="348"/>
      <c r="F9" s="348"/>
      <c r="H9" s="121"/>
    </row>
    <row r="10" spans="2:8" ht="13.15">
      <c r="B10" s="150" t="s">
        <v>229</v>
      </c>
      <c r="C10" s="232">
        <f>C6-C7+C8+C9</f>
        <v>57038846014.259903</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44.738094805760603</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49.982779638926473</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3488516978.2489038</v>
      </c>
      <c r="D21" s="139">
        <f>IF($C$17&lt;B21,0,Valuation_Model!$C$16)</f>
        <v>4.6574870890079501E-2</v>
      </c>
      <c r="E21" s="125">
        <f t="shared" ref="E21:E50" si="0">IF($C$17&lt;B21,0,1/(1+Equity_Cost)^B21)</f>
        <v>0.92592592592592582</v>
      </c>
      <c r="F21" s="126">
        <f t="shared" ref="F21:F51" si="1">C21*E21</f>
        <v>3230108313.193429</v>
      </c>
      <c r="H21" s="121"/>
    </row>
    <row r="22" spans="2:8">
      <c r="B22" s="123">
        <v>2</v>
      </c>
      <c r="C22" s="124">
        <f t="shared" ref="C22:C50" si="2">IF(ROW()-ROW($C$21)&lt;$C$17, $C$21*(1+D22)^(ROW()-ROW($C$21)), 0)</f>
        <v>3650994206.1086969</v>
      </c>
      <c r="D22" s="139">
        <f>IF($C$17&lt;B22,0,Valuation_Model!$C$16)</f>
        <v>4.6574870890079501E-2</v>
      </c>
      <c r="E22" s="125">
        <f t="shared" si="0"/>
        <v>0.85733882030178321</v>
      </c>
      <c r="F22" s="126">
        <f t="shared" si="1"/>
        <v>3130139065.5938759</v>
      </c>
      <c r="H22" s="121"/>
    </row>
    <row r="23" spans="2:8">
      <c r="B23" s="123">
        <v>3</v>
      </c>
      <c r="C23" s="124">
        <f t="shared" si="2"/>
        <v>3821038789.8786378</v>
      </c>
      <c r="D23" s="139">
        <f>IF($C$17&lt;B23,0,Valuation_Model!$C$16)</f>
        <v>4.6574870890079501E-2</v>
      </c>
      <c r="E23" s="125">
        <f t="shared" si="0"/>
        <v>0.79383224102016958</v>
      </c>
      <c r="F23" s="126">
        <f t="shared" si="1"/>
        <v>3033263785.5943561</v>
      </c>
      <c r="H23" s="121"/>
    </row>
    <row r="24" spans="2:8">
      <c r="B24" s="123">
        <v>4</v>
      </c>
      <c r="C24" s="124">
        <f t="shared" si="2"/>
        <v>3999003178.1832213</v>
      </c>
      <c r="D24" s="139">
        <f>IF($C$17&lt;B24,0,Valuation_Model!$C$16)</f>
        <v>4.6574870890079501E-2</v>
      </c>
      <c r="E24" s="125">
        <f t="shared" si="0"/>
        <v>0.73502985279645328</v>
      </c>
      <c r="F24" s="126">
        <f t="shared" si="1"/>
        <v>2939386717.3925619</v>
      </c>
      <c r="H24" s="121"/>
    </row>
    <row r="25" spans="2:8">
      <c r="B25" s="123">
        <v>5</v>
      </c>
      <c r="C25" s="124">
        <f t="shared" si="2"/>
        <v>4185256234.8961229</v>
      </c>
      <c r="D25" s="139">
        <f>IF($C$17&lt;B25,0,Valuation_Model!$C$16)</f>
        <v>4.6574870890079501E-2</v>
      </c>
      <c r="E25" s="125">
        <f t="shared" si="0"/>
        <v>0.68058319703375303</v>
      </c>
      <c r="F25" s="126">
        <f t="shared" si="1"/>
        <v>2848415068.7510514</v>
      </c>
      <c r="H25" s="121"/>
    </row>
    <row r="26" spans="2:8">
      <c r="B26" s="123">
        <v>6</v>
      </c>
      <c r="C26" s="124">
        <f t="shared" si="2"/>
        <v>4380184003.6783094</v>
      </c>
      <c r="D26" s="139">
        <f>IF($C$17&lt;B26,0,Valuation_Model!$C$16)</f>
        <v>4.6574870890079501E-2</v>
      </c>
      <c r="E26" s="125">
        <f t="shared" si="0"/>
        <v>0.63016962688310452</v>
      </c>
      <c r="F26" s="126">
        <f t="shared" si="1"/>
        <v>2760258919.2773032</v>
      </c>
      <c r="H26" s="121"/>
    </row>
    <row r="27" spans="2:8">
      <c r="B27" s="123">
        <v>7</v>
      </c>
      <c r="C27" s="124">
        <f t="shared" si="2"/>
        <v>4584190508.1244192</v>
      </c>
      <c r="D27" s="139">
        <f>IF($C$17&lt;B27,0,Valuation_Model!$C$16)</f>
        <v>4.6574870890079501E-2</v>
      </c>
      <c r="E27" s="125">
        <f t="shared" si="0"/>
        <v>0.58349039526213387</v>
      </c>
      <c r="F27" s="126">
        <f t="shared" si="1"/>
        <v>2674831131.5424395</v>
      </c>
      <c r="H27" s="121"/>
    </row>
    <row r="28" spans="2:8">
      <c r="B28" s="123">
        <v>8</v>
      </c>
      <c r="C28" s="124">
        <f t="shared" si="2"/>
        <v>4797698589.1758423</v>
      </c>
      <c r="D28" s="139">
        <f>IF($C$17&lt;B28,0,Valuation_Model!$C$16)</f>
        <v>4.6574870890079501E-2</v>
      </c>
      <c r="E28" s="125">
        <f t="shared" si="0"/>
        <v>0.54026888450197574</v>
      </c>
      <c r="F28" s="126">
        <f t="shared" si="1"/>
        <v>2592047264.9507351</v>
      </c>
      <c r="H28" s="121"/>
    </row>
    <row r="29" spans="2:8">
      <c r="B29" s="123">
        <v>9</v>
      </c>
      <c r="C29" s="124">
        <f t="shared" si="2"/>
        <v>5021150781.5362244</v>
      </c>
      <c r="D29" s="139">
        <f>IF($C$17&lt;B29,0,Valuation_Model!$C$16)</f>
        <v>4.6574870890079501E-2</v>
      </c>
      <c r="E29" s="125">
        <f t="shared" si="0"/>
        <v>0.50024896713145905</v>
      </c>
      <c r="F29" s="126">
        <f t="shared" si="1"/>
        <v>2511825492.2748146</v>
      </c>
      <c r="H29" s="121"/>
    </row>
    <row r="30" spans="2:8">
      <c r="B30" s="123">
        <v>10</v>
      </c>
      <c r="C30" s="124">
        <f t="shared" si="2"/>
        <v>5255010230.9058952</v>
      </c>
      <c r="D30" s="139">
        <f>IF($C$17&lt;B30,0,Valuation_Model!$C$16)</f>
        <v>4.6574870890079501E-2</v>
      </c>
      <c r="E30" s="125">
        <f t="shared" si="0"/>
        <v>0.46319348808468425</v>
      </c>
      <c r="F30" s="126">
        <f t="shared" si="1"/>
        <v>2434086518.7740035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43606462228.111298</v>
      </c>
      <c r="D51" s="140">
        <f>Terminal_Growth</f>
        <v>0</v>
      </c>
      <c r="E51" s="125">
        <f>1/(1+Equity_Cost)^C17</f>
        <v>0.46319348808468425</v>
      </c>
      <c r="F51" s="126">
        <f t="shared" si="1"/>
        <v>20198229342.471905</v>
      </c>
      <c r="H51" s="121"/>
    </row>
    <row r="52" spans="1:8">
      <c r="C52" s="115"/>
      <c r="E52" s="128" t="s">
        <v>102</v>
      </c>
      <c r="F52" s="138">
        <f>SUM(F21:F51)</f>
        <v>48352591619.816475</v>
      </c>
      <c r="H52" s="121"/>
    </row>
    <row r="53" spans="1:8">
      <c r="C53" s="115"/>
      <c r="H53" s="121"/>
    </row>
    <row r="54" spans="1:8" ht="13.15">
      <c r="B54" s="120" t="s">
        <v>131</v>
      </c>
      <c r="C54" s="137"/>
      <c r="D54" s="137"/>
      <c r="E54" s="118"/>
      <c r="F54" s="118"/>
      <c r="H54" s="121"/>
    </row>
    <row r="55" spans="1:8" ht="13.15">
      <c r="A55" s="134">
        <f>F52</f>
        <v>48352591619.816475</v>
      </c>
      <c r="B55" s="132">
        <f>C78</f>
        <v>0</v>
      </c>
      <c r="C55" s="132">
        <f>C77</f>
        <v>0.02</v>
      </c>
      <c r="D55" s="132">
        <f>C76</f>
        <v>0.04</v>
      </c>
      <c r="E55" s="132">
        <f>C75</f>
        <v>0.06</v>
      </c>
      <c r="F55" s="132">
        <f>C74</f>
        <v>0.1</v>
      </c>
      <c r="H55" s="121"/>
    </row>
    <row r="56" spans="1:8" ht="13.15">
      <c r="A56" s="144">
        <v>5</v>
      </c>
      <c r="B56" s="124">
        <f t="dataTable" ref="B56:F61" dt2D="1" dtr="1" r1="C16" r2="C17"/>
        <v>41665879280.118149</v>
      </c>
      <c r="C56" s="124">
        <v>43010238655.398666</v>
      </c>
      <c r="D56" s="124">
        <v>44394861007.313965</v>
      </c>
      <c r="E56" s="124">
        <v>45821513205.347153</v>
      </c>
      <c r="F56" s="124">
        <v>48808249023.659348</v>
      </c>
      <c r="H56" s="121"/>
    </row>
    <row r="57" spans="1:8" ht="13.15">
      <c r="A57" s="144">
        <v>10</v>
      </c>
      <c r="B57" s="124">
        <v>41665879280.118141</v>
      </c>
      <c r="C57" s="124">
        <v>44355835973.221573</v>
      </c>
      <c r="D57" s="124">
        <v>47315399160.335838</v>
      </c>
      <c r="E57" s="124">
        <v>50576834830.960419</v>
      </c>
      <c r="F57" s="124">
        <v>58152782423.162964</v>
      </c>
      <c r="H57" s="121"/>
    </row>
    <row r="58" spans="1:8" ht="13.15">
      <c r="A58" s="144">
        <v>15</v>
      </c>
      <c r="B58" s="124">
        <v>41665879280.118126</v>
      </c>
      <c r="C58" s="124">
        <v>46021385753.201904</v>
      </c>
      <c r="D58" s="124">
        <v>51122691011.255768</v>
      </c>
      <c r="E58" s="124">
        <v>57117963192.733917</v>
      </c>
      <c r="F58" s="124">
        <v>72535060485.134079</v>
      </c>
      <c r="H58" s="121"/>
    </row>
    <row r="59" spans="1:8" ht="13.15">
      <c r="A59" s="145">
        <v>20</v>
      </c>
      <c r="B59" s="124">
        <v>41665879280.118126</v>
      </c>
      <c r="C59" s="124">
        <v>47718313878.875023</v>
      </c>
      <c r="D59" s="124">
        <v>55220578429.135239</v>
      </c>
      <c r="E59" s="124">
        <v>64579612682.919762</v>
      </c>
      <c r="F59" s="124">
        <v>91116797594.528259</v>
      </c>
      <c r="H59" s="121"/>
    </row>
    <row r="60" spans="1:8" ht="13.15">
      <c r="A60" s="145">
        <v>25</v>
      </c>
      <c r="B60" s="124">
        <v>41665879280.118126</v>
      </c>
      <c r="C60" s="124">
        <v>49296551198.309021</v>
      </c>
      <c r="D60" s="124">
        <v>59257136942.932152</v>
      </c>
      <c r="E60" s="124">
        <v>72399194477.943802</v>
      </c>
      <c r="F60" s="124">
        <v>113401539024.55928</v>
      </c>
      <c r="H60" s="121"/>
    </row>
    <row r="61" spans="1:8" ht="13.15">
      <c r="A61" s="145">
        <v>30</v>
      </c>
      <c r="B61" s="124">
        <v>41665879280.118111</v>
      </c>
      <c r="C61" s="124">
        <v>50688776059.77002</v>
      </c>
      <c r="D61" s="124">
        <v>63037409763.991463</v>
      </c>
      <c r="E61" s="124">
        <v>80217782557.182892</v>
      </c>
      <c r="F61" s="124">
        <v>139132591344.6088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44.738094805760603</v>
      </c>
      <c r="C65" s="125">
        <f>C12</f>
        <v>44.738094805760603</v>
      </c>
      <c r="D65" s="125">
        <f>C12</f>
        <v>44.738094805760603</v>
      </c>
      <c r="E65" s="142">
        <f>C12</f>
        <v>44.738094805760603</v>
      </c>
      <c r="F65" s="125">
        <f>C12</f>
        <v>44.738094805760603</v>
      </c>
      <c r="H65" s="121"/>
    </row>
    <row r="66" spans="1:8" ht="13.15">
      <c r="A66" s="144">
        <f t="shared" ref="A66:A71" si="3">A56</f>
        <v>5</v>
      </c>
      <c r="B66" s="125">
        <f t="shared" ref="B66:F71" si="4">(B56-$C$7+$C$8+$C$9)/Common_Shares*$C$3*Exchange_Rate</f>
        <v>44.738094805760596</v>
      </c>
      <c r="C66" s="125">
        <f t="shared" si="4"/>
        <v>45.792535443800098</v>
      </c>
      <c r="D66" s="125">
        <f t="shared" si="4"/>
        <v>46.878556118809463</v>
      </c>
      <c r="E66" s="125">
        <f t="shared" si="4"/>
        <v>47.997542664829325</v>
      </c>
      <c r="F66" s="125">
        <f t="shared" si="4"/>
        <v>50.340171934818528</v>
      </c>
      <c r="H66" s="121"/>
    </row>
    <row r="67" spans="1:8" ht="13.15">
      <c r="A67" s="144">
        <f t="shared" si="3"/>
        <v>10</v>
      </c>
      <c r="B67" s="125">
        <f t="shared" si="4"/>
        <v>44.738094805760589</v>
      </c>
      <c r="C67" s="125">
        <f t="shared" si="4"/>
        <v>46.847947055039363</v>
      </c>
      <c r="D67" s="125">
        <f t="shared" si="4"/>
        <v>49.169263626129442</v>
      </c>
      <c r="E67" s="125">
        <f t="shared" si="4"/>
        <v>51.727352164575919</v>
      </c>
      <c r="F67" s="125">
        <f t="shared" si="4"/>
        <v>57.669503615863988</v>
      </c>
      <c r="H67" s="121"/>
    </row>
    <row r="68" spans="1:8" ht="13.15">
      <c r="A68" s="144">
        <f t="shared" si="3"/>
        <v>15</v>
      </c>
      <c r="B68" s="125">
        <f t="shared" si="4"/>
        <v>44.738094805760582</v>
      </c>
      <c r="C68" s="125">
        <f t="shared" si="4"/>
        <v>48.154311562165702</v>
      </c>
      <c r="D68" s="125">
        <f t="shared" si="4"/>
        <v>52.155491358315189</v>
      </c>
      <c r="E68" s="125">
        <f t="shared" si="4"/>
        <v>56.857849031790096</v>
      </c>
      <c r="F68" s="125">
        <f t="shared" si="4"/>
        <v>68.950161701029543</v>
      </c>
      <c r="H68" s="121"/>
    </row>
    <row r="69" spans="1:8" ht="13.15">
      <c r="A69" s="145">
        <f t="shared" si="3"/>
        <v>20</v>
      </c>
      <c r="B69" s="125">
        <f t="shared" si="4"/>
        <v>44.738094805760582</v>
      </c>
      <c r="C69" s="125">
        <f t="shared" si="4"/>
        <v>49.485287496460479</v>
      </c>
      <c r="D69" s="125">
        <f t="shared" si="4"/>
        <v>55.369646072430406</v>
      </c>
      <c r="E69" s="125">
        <f t="shared" si="4"/>
        <v>62.710351416144675</v>
      </c>
      <c r="F69" s="125">
        <f t="shared" si="4"/>
        <v>83.524641630864849</v>
      </c>
      <c r="H69" s="121"/>
    </row>
    <row r="70" spans="1:8" ht="13.15">
      <c r="A70" s="145">
        <f t="shared" si="3"/>
        <v>25</v>
      </c>
      <c r="B70" s="125">
        <f t="shared" si="4"/>
        <v>44.738094805760582</v>
      </c>
      <c r="C70" s="125">
        <f t="shared" si="4"/>
        <v>50.723168971222009</v>
      </c>
      <c r="D70" s="125">
        <f t="shared" si="4"/>
        <v>58.535697809067905</v>
      </c>
      <c r="E70" s="125">
        <f t="shared" si="4"/>
        <v>68.843595970210956</v>
      </c>
      <c r="F70" s="125">
        <f t="shared" si="4"/>
        <v>101.00355196101671</v>
      </c>
    </row>
    <row r="71" spans="1:8" ht="13.15">
      <c r="A71" s="145">
        <f t="shared" si="3"/>
        <v>30</v>
      </c>
      <c r="B71" s="125">
        <f t="shared" si="4"/>
        <v>44.738094805760568</v>
      </c>
      <c r="C71" s="125">
        <f t="shared" si="4"/>
        <v>51.815152631399975</v>
      </c>
      <c r="D71" s="125">
        <f t="shared" si="4"/>
        <v>61.500733318690777</v>
      </c>
      <c r="E71" s="125">
        <f t="shared" si="4"/>
        <v>74.976061108947107</v>
      </c>
      <c r="F71" s="125">
        <f t="shared" si="4"/>
        <v>121.18555665758032</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68.950161701029543</v>
      </c>
      <c r="F74" s="143">
        <f>Scenarios!C58</f>
        <v>0.05</v>
      </c>
    </row>
    <row r="75" spans="1:8">
      <c r="B75" s="128" t="str">
        <f>Scenarios!B36</f>
        <v>Optimistic</v>
      </c>
      <c r="C75" s="143">
        <f>Scenarios!C38</f>
        <v>0.06</v>
      </c>
      <c r="D75" s="146">
        <f>Scenarios!C37</f>
        <v>10</v>
      </c>
      <c r="E75" s="136">
        <f>INDEX(B$65:F$71, MATCH(D75, A$65:A$71, 0), MATCH(C75, B$64:F$64, 0))</f>
        <v>51.727352164575919</v>
      </c>
      <c r="F75" s="143">
        <f>Scenarios!C40*(1-F$74-F$78)</f>
        <v>0.18</v>
      </c>
      <c r="H75" s="121"/>
    </row>
    <row r="76" spans="1:8">
      <c r="B76" s="128" t="str">
        <f>Scenarios!B24</f>
        <v>Base</v>
      </c>
      <c r="C76" s="143">
        <f>Scenarios!C26</f>
        <v>0.04</v>
      </c>
      <c r="D76" s="146">
        <f>Scenarios!C25</f>
        <v>10</v>
      </c>
      <c r="E76" s="136">
        <f>INDEX(B$65:F$71, MATCH(D76, A$65:A$71, 0), MATCH(C76, B$64:F$64, 0))</f>
        <v>49.169263626129442</v>
      </c>
      <c r="F76" s="143">
        <f>Scenarios!C28*(1-F$74-F$78)</f>
        <v>0.53999999999999992</v>
      </c>
      <c r="H76" s="121"/>
    </row>
    <row r="77" spans="1:8">
      <c r="B77" s="128" t="str">
        <f>Scenarios!B30</f>
        <v>Pessimistic</v>
      </c>
      <c r="C77" s="143">
        <f>Scenarios!C32</f>
        <v>0.02</v>
      </c>
      <c r="D77" s="146">
        <f>Scenarios!C31</f>
        <v>10</v>
      </c>
      <c r="E77" s="136">
        <f>INDEX(B$65:F$71, MATCH(D77, A$65:A$71, 0), MATCH(C77, B$64:F$64, 0))</f>
        <v>46.847947055039363</v>
      </c>
      <c r="F77" s="143">
        <f>Scenarios!C34*(1-F$74-F$78)</f>
        <v>0.18</v>
      </c>
      <c r="H77" s="121"/>
    </row>
    <row r="78" spans="1:8">
      <c r="B78" s="128" t="str">
        <f>Scenarios!B48</f>
        <v>Devil's advocate</v>
      </c>
      <c r="C78" s="143">
        <f>Scenarios!C50</f>
        <v>0</v>
      </c>
      <c r="D78" s="146">
        <f>Scenarios!C49</f>
        <v>15</v>
      </c>
      <c r="E78" s="136">
        <f>INDEX(B$65:F$71, MATCH(D78, A$65:A$71, 0), MATCH(C78, B$64:F$64, 0))</f>
        <v>44.738094805760582</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52.035443809335291</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3103575085.2126045</v>
      </c>
      <c r="D8" t="str">
        <f>Reporting_currency</f>
        <v>CNY</v>
      </c>
      <c r="E8" s="350"/>
      <c r="F8" s="350"/>
      <c r="H8" s="276">
        <v>5</v>
      </c>
      <c r="I8" s="264" t="str">
        <f t="shared" si="0"/>
        <v/>
      </c>
    </row>
    <row r="9" spans="2:9">
      <c r="B9" s="100" t="s">
        <v>58</v>
      </c>
      <c r="C9" s="201">
        <f>Normalized_FCF!C19</f>
        <v>3333270342.4094524</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44.738094805760603</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49.169263626129442</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46.847947055039363</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51.727352164575919</v>
      </c>
      <c r="D39" t="str">
        <f>Market_currency</f>
        <v>HKD</v>
      </c>
      <c r="E39" s="349"/>
      <c r="F39" s="349"/>
    </row>
    <row r="40" spans="2:6">
      <c r="B40" s="100" t="s">
        <v>149</v>
      </c>
      <c r="C40" s="168">
        <f>1-C28-C34</f>
        <v>0.2</v>
      </c>
      <c r="D40" s="166"/>
      <c r="E40" s="349"/>
      <c r="F40" s="349"/>
    </row>
    <row r="42" spans="2:6" ht="13.15">
      <c r="B42" s="100" t="s">
        <v>122</v>
      </c>
      <c r="C42" s="155">
        <f>C27*C28+C33*C34+C39*C40</f>
        <v>49.216618019600723</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44.738094805760582</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68.950161701029543</v>
      </c>
      <c r="D57" t="str">
        <f>Market_currency</f>
        <v>HKD</v>
      </c>
      <c r="E57" s="349"/>
      <c r="F57" s="349"/>
    </row>
    <row r="58" spans="2:6">
      <c r="B58" s="100" t="s">
        <v>149</v>
      </c>
      <c r="C58" s="166">
        <v>0.05</v>
      </c>
      <c r="D58" s="166"/>
      <c r="E58" s="349"/>
      <c r="F58" s="349"/>
    </row>
    <row r="60" spans="2:6" ht="13.15">
      <c r="B60" s="100" t="s">
        <v>122</v>
      </c>
      <c r="C60" s="155">
        <f>C51*C52+C57*C58+C42*(1-C52-C58)</f>
        <v>49.979369042980153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49.982779638926473</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0.24125352815533935</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0.25</v>
      </c>
    </row>
    <row r="81" spans="2:8">
      <c r="B81" s="100" t="s">
        <v>123</v>
      </c>
      <c r="C81" s="117">
        <f>PV(C80, C76, -C77, 0)</f>
        <v>4.0134579439252347</v>
      </c>
      <c r="D81" s="117"/>
      <c r="E81" s="100"/>
      <c r="F81" s="100"/>
    </row>
    <row r="82" spans="2:8">
      <c r="B82" s="100" t="s">
        <v>124</v>
      </c>
      <c r="C82" s="117">
        <f>C60/(1+C80)^C76</f>
        <v>25.589436950005837</v>
      </c>
      <c r="D82" s="117"/>
    </row>
    <row r="83" spans="2:8" ht="13.15">
      <c r="B83" s="111" t="s">
        <v>103</v>
      </c>
      <c r="C83" s="112">
        <f>C81+C82</f>
        <v>29.602894893931072</v>
      </c>
      <c r="D83" t="str">
        <f>Market_currency</f>
        <v>HKD</v>
      </c>
      <c r="E83" s="147" t="s">
        <v>128</v>
      </c>
      <c r="F83" s="329">
        <f>(1-C83/C60)</f>
        <v>0.40769770685832729</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8.761949902906796E-3</v>
      </c>
    </row>
    <row r="88" spans="2:8">
      <c r="B88" s="100"/>
    </row>
    <row r="89" spans="2:8" ht="13.15">
      <c r="B89" s="109" t="s">
        <v>414</v>
      </c>
    </row>
    <row r="90" spans="2:8">
      <c r="B90" s="149" t="s">
        <v>421</v>
      </c>
      <c r="C90" s="135">
        <f>MAX(Thesis!C67,(Thesis!E19+Thesis!C67)/2)</f>
        <v>0.08</v>
      </c>
    </row>
    <row r="91" spans="2:8">
      <c r="B91" s="100" t="s">
        <v>123</v>
      </c>
      <c r="C91" s="117">
        <f>PV(C90, C76, -C77, 0)</f>
        <v>5.2987040859302219</v>
      </c>
      <c r="D91" s="117"/>
    </row>
    <row r="92" spans="2:8">
      <c r="B92" s="100" t="s">
        <v>124</v>
      </c>
      <c r="C92" s="117">
        <f>C60/(1+C90)^C76</f>
        <v>39.675234532163024</v>
      </c>
      <c r="D92" s="117"/>
    </row>
    <row r="93" spans="2:8" ht="13.15">
      <c r="B93" s="111" t="s">
        <v>415</v>
      </c>
      <c r="C93" s="112">
        <f>C91+C92</f>
        <v>44.973938618093243</v>
      </c>
      <c r="D93" t="s">
        <v>413</v>
      </c>
      <c r="E93" s="147" t="s">
        <v>128</v>
      </c>
      <c r="F93" s="329">
        <f>(1-C93/C60)</f>
        <v>0.10014993227670499</v>
      </c>
    </row>
    <row r="94" spans="2:8">
      <c r="B94" s="100"/>
    </row>
    <row r="95" spans="2:8" ht="14.65">
      <c r="E95" s="320" t="s">
        <v>335</v>
      </c>
      <c r="F95" s="317"/>
      <c r="G95" s="2"/>
      <c r="H95" s="316"/>
    </row>
    <row r="96" spans="2:8" ht="13.9">
      <c r="E96" s="313" t="s">
        <v>336</v>
      </c>
      <c r="F96" s="318" t="s">
        <v>337</v>
      </c>
      <c r="G96" s="2"/>
      <c r="H96" s="316"/>
    </row>
    <row r="97" spans="5:8" ht="13.9">
      <c r="E97" s="314" t="s">
        <v>336</v>
      </c>
      <c r="F97" s="318" t="s">
        <v>338</v>
      </c>
      <c r="G97" s="2"/>
      <c r="H97" s="316"/>
    </row>
    <row r="98" spans="5:8" ht="13.9">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