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templates\"/>
    </mc:Choice>
  </mc:AlternateContent>
  <xr:revisionPtr revIDLastSave="0" documentId="13_ncr:1_{57A7FA8B-80F5-423F-A2A5-DFBDAA0C1F06}" xr6:coauthVersionLast="47" xr6:coauthVersionMax="47" xr10:uidLastSave="{00000000-0000-0000-0000-000000000000}"/>
  <bookViews>
    <workbookView xWindow="-98" yWindow="-98" windowWidth="17115" windowHeight="10755" activeTab="5" xr2:uid="{00000000-000D-0000-FFFF-FFFF00000000}"/>
  </bookViews>
  <sheets>
    <sheet name="Thesis" sheetId="6" r:id="rId1"/>
    <sheet name="Data" sheetId="4" r:id="rId2"/>
    <sheet name="Normalized_FCF" sheetId="2" r:id="rId3"/>
    <sheet name="BS" sheetId="3" r:id="rId4"/>
    <sheet name="Valuation_Model" sheetId="8" r:id="rId5"/>
    <sheet name="Scenarios" sheetId="9" r:id="rId6"/>
  </sheets>
  <definedNames>
    <definedName name="_xlnm._FilterDatabase" localSheetId="4" hidden="1">Valuation_Model!$B$70:$F$70</definedName>
    <definedName name="Common_Shares">Thesis!$C$11</definedName>
    <definedName name="Equity_Cost">Valuation_Model!$C$5</definedName>
    <definedName name="Exchange_Rate">Thesis!$C$13</definedName>
    <definedName name="Market_Price">Thesis!$C$10</definedName>
    <definedName name="Reporting_currency">Thesis!$C$12</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59" i="9" l="1"/>
  <c r="C73" i="8"/>
  <c r="D52" i="8" s="1"/>
  <c r="C44" i="9"/>
  <c r="D73" i="8" s="1"/>
  <c r="C56" i="9"/>
  <c r="D74" i="8" s="1"/>
  <c r="D46" i="9"/>
  <c r="C6" i="9"/>
  <c r="C38" i="9"/>
  <c r="D72" i="8" s="1"/>
  <c r="C29" i="9"/>
  <c r="C72" i="8"/>
  <c r="E52" i="8" s="1"/>
  <c r="D71" i="9"/>
  <c r="D21" i="9"/>
  <c r="D58" i="9"/>
  <c r="D52" i="9"/>
  <c r="C65" i="9"/>
  <c r="D66" i="9"/>
  <c r="F65" i="9"/>
  <c r="D61" i="9"/>
  <c r="C5" i="8"/>
  <c r="C74" i="8"/>
  <c r="C52" i="8" s="1"/>
  <c r="C61" i="8" s="1"/>
  <c r="D71" i="8"/>
  <c r="C71" i="8"/>
  <c r="F52" i="8" s="1"/>
  <c r="C14" i="8"/>
  <c r="C13" i="8"/>
  <c r="Q42" i="2"/>
  <c r="C43" i="4"/>
  <c r="D43" i="4"/>
  <c r="E43" i="4"/>
  <c r="F43" i="4"/>
  <c r="G43" i="4"/>
  <c r="H43" i="4"/>
  <c r="I43" i="4"/>
  <c r="J43" i="4"/>
  <c r="K43" i="4"/>
  <c r="L43" i="4"/>
  <c r="M43" i="4"/>
  <c r="H17" i="3"/>
  <c r="H10" i="3"/>
  <c r="H20" i="3" s="1"/>
  <c r="D11" i="3"/>
  <c r="H19" i="3" s="1"/>
  <c r="H23" i="3" s="1"/>
  <c r="D20" i="3"/>
  <c r="D48" i="8"/>
  <c r="D90" i="6"/>
  <c r="A74" i="6"/>
  <c r="C43" i="6"/>
  <c r="B68" i="8"/>
  <c r="B67" i="8"/>
  <c r="E48" i="8" l="1"/>
  <c r="E19" i="8"/>
  <c r="E25" i="8"/>
  <c r="E24" i="8"/>
  <c r="D45" i="8"/>
  <c r="E36" i="8"/>
  <c r="D44" i="8"/>
  <c r="E35" i="8"/>
  <c r="E18" i="8"/>
  <c r="E40" i="8"/>
  <c r="E26" i="8"/>
  <c r="E44" i="8"/>
  <c r="E34" i="8"/>
  <c r="D43" i="8"/>
  <c r="D42" i="8"/>
  <c r="E43" i="8"/>
  <c r="E32" i="8"/>
  <c r="D41" i="8"/>
  <c r="E42" i="8"/>
  <c r="E28" i="8"/>
  <c r="E33" i="8"/>
  <c r="E41" i="8"/>
  <c r="E27" i="8"/>
  <c r="D40" i="8"/>
  <c r="E47" i="8"/>
  <c r="E39" i="8"/>
  <c r="E31" i="8"/>
  <c r="E23" i="8"/>
  <c r="D47" i="8"/>
  <c r="D39" i="8"/>
  <c r="E46" i="8"/>
  <c r="E38" i="8"/>
  <c r="E30" i="8"/>
  <c r="E22" i="8"/>
  <c r="D46" i="8"/>
  <c r="D38" i="8"/>
  <c r="E45" i="8"/>
  <c r="E37" i="8"/>
  <c r="E29" i="8"/>
  <c r="E21" i="8"/>
  <c r="E20" i="8"/>
  <c r="D19" i="8"/>
  <c r="D20" i="8"/>
  <c r="D21" i="8"/>
  <c r="D22" i="8"/>
  <c r="D23" i="8"/>
  <c r="D24" i="8"/>
  <c r="D25" i="8"/>
  <c r="D26" i="8"/>
  <c r="D27" i="8"/>
  <c r="D28" i="8"/>
  <c r="D29" i="8"/>
  <c r="D30" i="8"/>
  <c r="D31" i="8"/>
  <c r="D32" i="8"/>
  <c r="D33" i="8"/>
  <c r="D34" i="8"/>
  <c r="D35" i="8"/>
  <c r="D36" i="8"/>
  <c r="D37" i="8"/>
  <c r="D18" i="8"/>
  <c r="E61" i="8" l="1"/>
  <c r="F61" i="8"/>
  <c r="B64" i="8"/>
  <c r="B65" i="8"/>
  <c r="B66" i="8"/>
  <c r="B63" i="8"/>
  <c r="D4" i="8"/>
  <c r="I52" i="4" l="1"/>
  <c r="M91" i="2" s="1"/>
  <c r="J52" i="4"/>
  <c r="N91" i="2" s="1"/>
  <c r="K52" i="4"/>
  <c r="L52" i="4"/>
  <c r="M52" i="4"/>
  <c r="Q91" i="2" s="1"/>
  <c r="H91" i="2"/>
  <c r="I91" i="2"/>
  <c r="J91" i="2"/>
  <c r="K91" i="2"/>
  <c r="L91" i="2"/>
  <c r="O91" i="2"/>
  <c r="P91" i="2"/>
  <c r="G91" i="2"/>
  <c r="C91" i="2" s="1"/>
  <c r="C66" i="9" s="1"/>
  <c r="C69" i="9" s="1"/>
  <c r="C28" i="4"/>
  <c r="D28" i="4"/>
  <c r="E28" i="4"/>
  <c r="F28" i="4"/>
  <c r="D23" i="6" l="1"/>
  <c r="C22" i="6"/>
  <c r="C70" i="2"/>
  <c r="C71" i="2"/>
  <c r="C73" i="2"/>
  <c r="I63" i="4"/>
  <c r="J63" i="4"/>
  <c r="K63" i="4"/>
  <c r="L63" i="4"/>
  <c r="M63" i="4"/>
  <c r="E66" i="4"/>
  <c r="F66" i="4"/>
  <c r="G66" i="4"/>
  <c r="H66" i="4"/>
  <c r="I66" i="4"/>
  <c r="J66" i="4"/>
  <c r="K66" i="4"/>
  <c r="L66" i="4"/>
  <c r="P72" i="2" s="1"/>
  <c r="M66" i="4"/>
  <c r="Q72" i="2" s="1"/>
  <c r="E67" i="4"/>
  <c r="F67" i="4"/>
  <c r="G67" i="4"/>
  <c r="H67" i="4"/>
  <c r="I67" i="4"/>
  <c r="M73" i="2" s="1"/>
  <c r="M81" i="2" s="1"/>
  <c r="J67" i="4"/>
  <c r="N73" i="2" s="1"/>
  <c r="N81" i="2" s="1"/>
  <c r="K67" i="4"/>
  <c r="O73" i="2" s="1"/>
  <c r="O81" i="2" s="1"/>
  <c r="L67" i="4"/>
  <c r="P73" i="2" s="1"/>
  <c r="P81" i="2" s="1"/>
  <c r="M67" i="4"/>
  <c r="Q73" i="2" s="1"/>
  <c r="Q81" i="2" s="1"/>
  <c r="C66" i="4"/>
  <c r="D66" i="4"/>
  <c r="M72" i="2"/>
  <c r="N72" i="2"/>
  <c r="O72" i="2"/>
  <c r="C64" i="4"/>
  <c r="C65" i="4"/>
  <c r="M59" i="4"/>
  <c r="B59" i="4"/>
  <c r="M55" i="4"/>
  <c r="M56" i="4"/>
  <c r="M57" i="4"/>
  <c r="M58" i="4"/>
  <c r="B58" i="4"/>
  <c r="B57" i="4"/>
  <c r="B56" i="4"/>
  <c r="B55" i="4"/>
  <c r="D13" i="6"/>
  <c r="D1" i="4"/>
  <c r="H63" i="4" l="1"/>
  <c r="F63" i="4"/>
  <c r="E63" i="4"/>
  <c r="G63" i="4"/>
  <c r="C34" i="2" l="1"/>
  <c r="G25" i="3"/>
  <c r="M19" i="2"/>
  <c r="N19" i="2"/>
  <c r="O19" i="2"/>
  <c r="P19" i="2"/>
  <c r="Q19" i="2"/>
  <c r="C44" i="4"/>
  <c r="G10" i="2" s="1"/>
  <c r="C45" i="4"/>
  <c r="C46" i="4"/>
  <c r="G14" i="2" s="1"/>
  <c r="G24" i="3"/>
  <c r="C64" i="2" s="1"/>
  <c r="C20" i="3"/>
  <c r="G17" i="3"/>
  <c r="G10" i="3"/>
  <c r="G20" i="3" s="1"/>
  <c r="C11" i="3"/>
  <c r="G19" i="3" s="1"/>
  <c r="I40" i="4"/>
  <c r="J40" i="4"/>
  <c r="K40" i="4"/>
  <c r="L40" i="4"/>
  <c r="M40" i="4"/>
  <c r="D44" i="4"/>
  <c r="H10" i="2" s="1"/>
  <c r="E44" i="4"/>
  <c r="I10" i="2" s="1"/>
  <c r="F44" i="4"/>
  <c r="J10" i="2" s="1"/>
  <c r="G44" i="4"/>
  <c r="K10" i="2" s="1"/>
  <c r="H44" i="4"/>
  <c r="L10" i="2" s="1"/>
  <c r="I44" i="4"/>
  <c r="M10" i="2" s="1"/>
  <c r="J44" i="4"/>
  <c r="N10" i="2" s="1"/>
  <c r="K44" i="4"/>
  <c r="O10" i="2" s="1"/>
  <c r="L44" i="4"/>
  <c r="P10" i="2" s="1"/>
  <c r="M44" i="4"/>
  <c r="Q10" i="2" s="1"/>
  <c r="D41" i="4"/>
  <c r="H63" i="2" s="1"/>
  <c r="E41" i="4"/>
  <c r="I63" i="2" s="1"/>
  <c r="F41" i="4"/>
  <c r="J63" i="2" s="1"/>
  <c r="G41" i="4"/>
  <c r="K63" i="2" s="1"/>
  <c r="H41" i="4"/>
  <c r="L63" i="2" s="1"/>
  <c r="I41" i="4"/>
  <c r="M63" i="2" s="1"/>
  <c r="J41" i="4"/>
  <c r="N63" i="2" s="1"/>
  <c r="K41" i="4"/>
  <c r="O63" i="2" s="1"/>
  <c r="L41" i="4"/>
  <c r="P63" i="2" s="1"/>
  <c r="M41" i="4"/>
  <c r="Q63" i="2" s="1"/>
  <c r="D42" i="4"/>
  <c r="H64" i="2" s="1"/>
  <c r="E42" i="4"/>
  <c r="I64" i="2" s="1"/>
  <c r="F42" i="4"/>
  <c r="J64" i="2" s="1"/>
  <c r="G42" i="4"/>
  <c r="K64" i="2" s="1"/>
  <c r="H42" i="4"/>
  <c r="L64" i="2" s="1"/>
  <c r="I42" i="4"/>
  <c r="M64" i="2" s="1"/>
  <c r="J42" i="4"/>
  <c r="N64" i="2" s="1"/>
  <c r="K42" i="4"/>
  <c r="O64" i="2" s="1"/>
  <c r="L42" i="4"/>
  <c r="P64" i="2" s="1"/>
  <c r="M42" i="4"/>
  <c r="Q64" i="2" s="1"/>
  <c r="C41" i="4"/>
  <c r="G63" i="2" s="1"/>
  <c r="C42" i="4"/>
  <c r="G64" i="2" s="1"/>
  <c r="D50" i="4"/>
  <c r="H13" i="2" s="1"/>
  <c r="E50" i="4"/>
  <c r="I13" i="2" s="1"/>
  <c r="F50" i="4"/>
  <c r="J13" i="2" s="1"/>
  <c r="G50" i="4"/>
  <c r="K13" i="2" s="1"/>
  <c r="H50" i="4"/>
  <c r="L13" i="2" s="1"/>
  <c r="I50" i="4"/>
  <c r="M13" i="2" s="1"/>
  <c r="J50" i="4"/>
  <c r="N13" i="2" s="1"/>
  <c r="K50" i="4"/>
  <c r="O13" i="2" s="1"/>
  <c r="L50" i="4"/>
  <c r="P13" i="2" s="1"/>
  <c r="M50" i="4"/>
  <c r="Q13" i="2" s="1"/>
  <c r="D51" i="4"/>
  <c r="E51" i="4"/>
  <c r="F51" i="4"/>
  <c r="G51" i="4"/>
  <c r="H51" i="4"/>
  <c r="I51" i="4"/>
  <c r="J51" i="4"/>
  <c r="K51" i="4"/>
  <c r="L51" i="4"/>
  <c r="M51" i="4"/>
  <c r="C51" i="4"/>
  <c r="C50" i="4"/>
  <c r="G13" i="2" s="1"/>
  <c r="D49" i="4"/>
  <c r="H12" i="2" s="1"/>
  <c r="E49" i="4"/>
  <c r="I12" i="2" s="1"/>
  <c r="F49" i="4"/>
  <c r="J12" i="2" s="1"/>
  <c r="G49" i="4"/>
  <c r="K12" i="2" s="1"/>
  <c r="H49" i="4"/>
  <c r="L12" i="2" s="1"/>
  <c r="I49" i="4"/>
  <c r="M12" i="2" s="1"/>
  <c r="J49" i="4"/>
  <c r="N12" i="2" s="1"/>
  <c r="K49" i="4"/>
  <c r="O12" i="2" s="1"/>
  <c r="L49" i="4"/>
  <c r="P12" i="2" s="1"/>
  <c r="M49" i="4"/>
  <c r="Q12" i="2" s="1"/>
  <c r="C49" i="4"/>
  <c r="G12" i="2" s="1"/>
  <c r="D45" i="4"/>
  <c r="E45" i="4"/>
  <c r="F45" i="4"/>
  <c r="G45" i="4"/>
  <c r="H45" i="4"/>
  <c r="I45" i="4"/>
  <c r="J45" i="4"/>
  <c r="K45" i="4"/>
  <c r="L45" i="4"/>
  <c r="M45" i="4"/>
  <c r="D46" i="4"/>
  <c r="H14" i="2" s="1"/>
  <c r="E46" i="4"/>
  <c r="I14" i="2" s="1"/>
  <c r="F46" i="4"/>
  <c r="J14" i="2" s="1"/>
  <c r="G46" i="4"/>
  <c r="K14" i="2" s="1"/>
  <c r="H46" i="4"/>
  <c r="L14" i="2" s="1"/>
  <c r="I46" i="4"/>
  <c r="M14" i="2" s="1"/>
  <c r="J46" i="4"/>
  <c r="N14" i="2" s="1"/>
  <c r="K46" i="4"/>
  <c r="O14" i="2" s="1"/>
  <c r="L46" i="4"/>
  <c r="P14" i="2" s="1"/>
  <c r="M46" i="4"/>
  <c r="Q14" i="2" s="1"/>
  <c r="D38" i="4"/>
  <c r="H51" i="2" s="1"/>
  <c r="E38" i="4"/>
  <c r="I51" i="2" s="1"/>
  <c r="F38" i="4"/>
  <c r="J51" i="2" s="1"/>
  <c r="G38" i="4"/>
  <c r="K51" i="2" s="1"/>
  <c r="H38" i="4"/>
  <c r="L51" i="2" s="1"/>
  <c r="I38" i="4"/>
  <c r="M51" i="2" s="1"/>
  <c r="J38" i="4"/>
  <c r="N51" i="2" s="1"/>
  <c r="K38" i="4"/>
  <c r="O51" i="2" s="1"/>
  <c r="L38" i="4"/>
  <c r="P51" i="2" s="1"/>
  <c r="M38" i="4"/>
  <c r="Q51" i="2" s="1"/>
  <c r="C38" i="4"/>
  <c r="G51" i="2" s="1"/>
  <c r="D36" i="4"/>
  <c r="H48" i="2" s="1"/>
  <c r="E36" i="4"/>
  <c r="I48" i="2" s="1"/>
  <c r="F36" i="4"/>
  <c r="J48" i="2" s="1"/>
  <c r="G36" i="4"/>
  <c r="K48" i="2" s="1"/>
  <c r="H36" i="4"/>
  <c r="L48" i="2" s="1"/>
  <c r="I36" i="4"/>
  <c r="M48" i="2" s="1"/>
  <c r="J36" i="4"/>
  <c r="N48" i="2" s="1"/>
  <c r="K36" i="4"/>
  <c r="O48" i="2" s="1"/>
  <c r="L36" i="4"/>
  <c r="P48" i="2" s="1"/>
  <c r="M36" i="4"/>
  <c r="Q48" i="2" s="1"/>
  <c r="C36" i="4"/>
  <c r="G48" i="2" s="1"/>
  <c r="D35" i="4"/>
  <c r="E35" i="4"/>
  <c r="F35" i="4"/>
  <c r="G35" i="4"/>
  <c r="H35" i="4"/>
  <c r="I35" i="4"/>
  <c r="J35" i="4"/>
  <c r="K35" i="4"/>
  <c r="L35" i="4"/>
  <c r="M35" i="4"/>
  <c r="C35" i="4"/>
  <c r="D33" i="4"/>
  <c r="H47" i="2" s="1"/>
  <c r="E33" i="4"/>
  <c r="I47" i="2" s="1"/>
  <c r="F33" i="4"/>
  <c r="J47" i="2" s="1"/>
  <c r="G33" i="4"/>
  <c r="K47" i="2" s="1"/>
  <c r="H33" i="4"/>
  <c r="L47" i="2" s="1"/>
  <c r="I33" i="4"/>
  <c r="M47" i="2" s="1"/>
  <c r="J33" i="4"/>
  <c r="N47" i="2" s="1"/>
  <c r="K33" i="4"/>
  <c r="O47" i="2" s="1"/>
  <c r="L33" i="4"/>
  <c r="P47" i="2" s="1"/>
  <c r="M33" i="4"/>
  <c r="Q47" i="2" s="1"/>
  <c r="C33" i="4"/>
  <c r="G47" i="2" s="1"/>
  <c r="I39" i="4"/>
  <c r="J39" i="4"/>
  <c r="K39" i="4"/>
  <c r="L39" i="4"/>
  <c r="M39" i="4"/>
  <c r="D52" i="4"/>
  <c r="E52" i="4"/>
  <c r="F52" i="4"/>
  <c r="G52" i="4"/>
  <c r="H52" i="4"/>
  <c r="C52" i="4"/>
  <c r="G72" i="2"/>
  <c r="C67" i="4"/>
  <c r="E64" i="4"/>
  <c r="F64" i="4"/>
  <c r="G64" i="4"/>
  <c r="H64" i="4"/>
  <c r="E65" i="4"/>
  <c r="F65" i="4"/>
  <c r="G65" i="4"/>
  <c r="H65" i="4"/>
  <c r="I72" i="2"/>
  <c r="J72" i="2"/>
  <c r="K72" i="2"/>
  <c r="L72" i="2"/>
  <c r="I73" i="2"/>
  <c r="J73" i="2"/>
  <c r="K73" i="2"/>
  <c r="L73" i="2"/>
  <c r="D65" i="4"/>
  <c r="H72" i="2"/>
  <c r="D67" i="4"/>
  <c r="D64" i="4"/>
  <c r="G23" i="3" l="1"/>
  <c r="D42" i="3"/>
  <c r="C42" i="3" s="1"/>
  <c r="C12" i="2" s="1"/>
  <c r="G73" i="2"/>
  <c r="C63" i="4"/>
  <c r="H73" i="2"/>
  <c r="D63" i="4"/>
  <c r="C40" i="4"/>
  <c r="F40" i="4"/>
  <c r="D40" i="4"/>
  <c r="C69" i="2"/>
  <c r="G40" i="4"/>
  <c r="E40" i="4"/>
  <c r="H40" i="4"/>
  <c r="I37" i="4"/>
  <c r="M50" i="2" s="1"/>
  <c r="J37" i="4"/>
  <c r="N50" i="2" s="1"/>
  <c r="K37" i="4"/>
  <c r="O50" i="2" s="1"/>
  <c r="L37" i="4"/>
  <c r="P50" i="2" s="1"/>
  <c r="M37" i="4"/>
  <c r="Q50" i="2" s="1"/>
  <c r="D37" i="4"/>
  <c r="H50" i="2" s="1"/>
  <c r="D32" i="4"/>
  <c r="C59" i="4" s="1"/>
  <c r="E32" i="4"/>
  <c r="D59" i="4" s="1"/>
  <c r="F32" i="4"/>
  <c r="E59" i="4" s="1"/>
  <c r="G32" i="4"/>
  <c r="F59" i="4" s="1"/>
  <c r="H32" i="4"/>
  <c r="G59" i="4" s="1"/>
  <c r="I32" i="4"/>
  <c r="H59" i="4" s="1"/>
  <c r="J32" i="4"/>
  <c r="I59" i="4" s="1"/>
  <c r="K32" i="4"/>
  <c r="J59" i="4" s="1"/>
  <c r="L32" i="4"/>
  <c r="K59" i="4" s="1"/>
  <c r="M32" i="4"/>
  <c r="L59" i="4" s="1"/>
  <c r="C32" i="4"/>
  <c r="B59" i="2"/>
  <c r="C51" i="2"/>
  <c r="B58" i="2"/>
  <c r="B56" i="2"/>
  <c r="D43" i="3" l="1"/>
  <c r="C86" i="2"/>
  <c r="C81" i="2"/>
  <c r="L57" i="4"/>
  <c r="L55" i="4"/>
  <c r="L56" i="4"/>
  <c r="L58" i="4"/>
  <c r="D55" i="4"/>
  <c r="D56" i="4"/>
  <c r="D58" i="4"/>
  <c r="K57" i="4"/>
  <c r="K56" i="4"/>
  <c r="K58" i="4"/>
  <c r="K55" i="4"/>
  <c r="C55" i="4"/>
  <c r="C56" i="4"/>
  <c r="C58" i="4"/>
  <c r="J56" i="4"/>
  <c r="J58" i="4"/>
  <c r="J57" i="4"/>
  <c r="J55" i="4"/>
  <c r="I58" i="4"/>
  <c r="I55" i="4"/>
  <c r="I57" i="4"/>
  <c r="I56" i="4"/>
  <c r="E56" i="4"/>
  <c r="E55" i="4"/>
  <c r="E58" i="4"/>
  <c r="H57" i="4"/>
  <c r="H55" i="4"/>
  <c r="H58" i="4"/>
  <c r="H56" i="4"/>
  <c r="G55" i="4"/>
  <c r="G56" i="4"/>
  <c r="G58" i="4"/>
  <c r="F56" i="4"/>
  <c r="F58" i="4"/>
  <c r="F55" i="4"/>
  <c r="J4" i="2"/>
  <c r="I42" i="2" s="1"/>
  <c r="Q4" i="2"/>
  <c r="P42" i="2" s="1"/>
  <c r="P4" i="2"/>
  <c r="O42" i="2" s="1"/>
  <c r="I4" i="2"/>
  <c r="G4" i="2"/>
  <c r="H4" i="2"/>
  <c r="G42" i="2" s="1"/>
  <c r="L4" i="2"/>
  <c r="K4" i="2"/>
  <c r="K34" i="4"/>
  <c r="O4" i="2"/>
  <c r="N42" i="2" s="1"/>
  <c r="J34" i="4"/>
  <c r="N4" i="2"/>
  <c r="M42" i="2" s="1"/>
  <c r="I34" i="4"/>
  <c r="M4" i="2"/>
  <c r="L42" i="2" s="1"/>
  <c r="H37" i="4"/>
  <c r="L50" i="2" s="1"/>
  <c r="G34" i="4"/>
  <c r="G39" i="4" s="1"/>
  <c r="K19" i="2" s="1"/>
  <c r="E37" i="4"/>
  <c r="I50" i="2" s="1"/>
  <c r="G37" i="4"/>
  <c r="K50" i="2" s="1"/>
  <c r="H34" i="4"/>
  <c r="H39" i="4" s="1"/>
  <c r="L19" i="2" s="1"/>
  <c r="C37" i="4"/>
  <c r="G50" i="2" s="1"/>
  <c r="F37" i="4"/>
  <c r="J50" i="2" s="1"/>
  <c r="C34" i="4"/>
  <c r="C39" i="4" s="1"/>
  <c r="G19" i="2" s="1"/>
  <c r="D34" i="4"/>
  <c r="D39" i="4" s="1"/>
  <c r="H19" i="2" s="1"/>
  <c r="F34" i="4"/>
  <c r="F39" i="4" s="1"/>
  <c r="J19" i="2" s="1"/>
  <c r="L34" i="4"/>
  <c r="E34" i="4"/>
  <c r="E39" i="4" s="1"/>
  <c r="I19" i="2" s="1"/>
  <c r="M34" i="4"/>
  <c r="A53" i="6"/>
  <c r="A45" i="6"/>
  <c r="A36" i="6"/>
  <c r="A18" i="6"/>
  <c r="C14" i="6"/>
  <c r="B9" i="6"/>
  <c r="C11" i="9" l="1"/>
  <c r="K42" i="2"/>
  <c r="H42" i="2"/>
  <c r="J42" i="2"/>
  <c r="O20" i="2"/>
  <c r="O18" i="2"/>
  <c r="D48" i="3"/>
  <c r="M20" i="2"/>
  <c r="M18" i="2"/>
  <c r="Q20" i="2"/>
  <c r="Q18" i="2"/>
  <c r="N20" i="2"/>
  <c r="N18" i="2"/>
  <c r="P20" i="2"/>
  <c r="P18" i="2"/>
  <c r="O93" i="2"/>
  <c r="O92" i="2"/>
  <c r="Q93" i="2"/>
  <c r="Q92" i="2"/>
  <c r="M93" i="2"/>
  <c r="M92" i="2"/>
  <c r="N93" i="2"/>
  <c r="N92" i="2"/>
  <c r="P93" i="2"/>
  <c r="P92" i="2"/>
  <c r="O15" i="2"/>
  <c r="O39" i="2"/>
  <c r="P39" i="2"/>
  <c r="P15" i="2"/>
  <c r="Q39" i="2"/>
  <c r="Q15" i="2"/>
  <c r="M39" i="2"/>
  <c r="M15" i="2"/>
  <c r="N39" i="2"/>
  <c r="N15" i="2"/>
  <c r="G80" i="2"/>
  <c r="N80" i="2"/>
  <c r="N87" i="2"/>
  <c r="N86" i="2"/>
  <c r="P80" i="2"/>
  <c r="P86" i="2"/>
  <c r="P87" i="2"/>
  <c r="J80" i="2"/>
  <c r="K80" i="2"/>
  <c r="Q80" i="2"/>
  <c r="Q86" i="2"/>
  <c r="Q87" i="2"/>
  <c r="L80" i="2"/>
  <c r="I80" i="2"/>
  <c r="O80" i="2"/>
  <c r="O87" i="2"/>
  <c r="O86" i="2"/>
  <c r="M80" i="2"/>
  <c r="M87" i="2"/>
  <c r="M86" i="2"/>
  <c r="H80" i="2"/>
  <c r="D41" i="3"/>
  <c r="N77" i="2"/>
  <c r="N76" i="2"/>
  <c r="O77" i="2"/>
  <c r="O76" i="2"/>
  <c r="Q76" i="2"/>
  <c r="Q77" i="2"/>
  <c r="P76" i="2"/>
  <c r="P77" i="2"/>
  <c r="M76" i="2"/>
  <c r="M77" i="2"/>
  <c r="K28" i="2"/>
  <c r="K71" i="2"/>
  <c r="K77" i="2" s="1"/>
  <c r="K70" i="2"/>
  <c r="K76" i="2" s="1"/>
  <c r="K69" i="2"/>
  <c r="K81" i="2" s="1"/>
  <c r="M71" i="2"/>
  <c r="M70" i="2"/>
  <c r="M69" i="2"/>
  <c r="I33" i="2"/>
  <c r="I70" i="2"/>
  <c r="I76" i="2" s="1"/>
  <c r="I69" i="2"/>
  <c r="I81" i="2" s="1"/>
  <c r="I71" i="2"/>
  <c r="I77" i="2" s="1"/>
  <c r="O69" i="2"/>
  <c r="O71" i="2"/>
  <c r="O70" i="2"/>
  <c r="Q30" i="2"/>
  <c r="Q70" i="2"/>
  <c r="Q69" i="2"/>
  <c r="Q71" i="2"/>
  <c r="H33" i="2"/>
  <c r="H69" i="2"/>
  <c r="H81" i="2" s="1"/>
  <c r="H71" i="2"/>
  <c r="H77" i="2" s="1"/>
  <c r="H70" i="2"/>
  <c r="H76" i="2" s="1"/>
  <c r="J56" i="2"/>
  <c r="J70" i="2"/>
  <c r="J76" i="2" s="1"/>
  <c r="J71" i="2"/>
  <c r="J77" i="2" s="1"/>
  <c r="J69" i="2"/>
  <c r="J81" i="2" s="1"/>
  <c r="P34" i="2"/>
  <c r="P69" i="2"/>
  <c r="P70" i="2"/>
  <c r="P71" i="2"/>
  <c r="G32" i="2"/>
  <c r="G70" i="2"/>
  <c r="G76" i="2" s="1"/>
  <c r="G71" i="2"/>
  <c r="G77" i="2" s="1"/>
  <c r="G69" i="2"/>
  <c r="G81" i="2" s="1"/>
  <c r="N69" i="2"/>
  <c r="N71" i="2"/>
  <c r="N70" i="2"/>
  <c r="L34" i="2"/>
  <c r="L71" i="2"/>
  <c r="L77" i="2" s="1"/>
  <c r="L70" i="2"/>
  <c r="L76" i="2" s="1"/>
  <c r="L69" i="2"/>
  <c r="L81" i="2" s="1"/>
  <c r="J31" i="2"/>
  <c r="P31" i="2"/>
  <c r="I49" i="2"/>
  <c r="I57" i="2" s="1"/>
  <c r="E57" i="4"/>
  <c r="Q11" i="2"/>
  <c r="Q52" i="2"/>
  <c r="Q7" i="2" s="1"/>
  <c r="Q31" i="2"/>
  <c r="H56" i="2"/>
  <c r="Q6" i="2"/>
  <c r="Q65" i="2"/>
  <c r="Q9" i="2" s="1"/>
  <c r="Q34" i="2"/>
  <c r="Q58" i="2"/>
  <c r="Q25" i="2"/>
  <c r="Q38" i="2"/>
  <c r="K30" i="2"/>
  <c r="Q35" i="2"/>
  <c r="Q8" i="2"/>
  <c r="K49" i="2"/>
  <c r="K57" i="2" s="1"/>
  <c r="I28" i="2"/>
  <c r="K65" i="2"/>
  <c r="K9" i="2" s="1"/>
  <c r="K27" i="2" s="1"/>
  <c r="Q29" i="2"/>
  <c r="Q27" i="2"/>
  <c r="Q28" i="2"/>
  <c r="Q23" i="2"/>
  <c r="Q49" i="2"/>
  <c r="Q5" i="2" s="1"/>
  <c r="Q33" i="2"/>
  <c r="Q56" i="2"/>
  <c r="K58" i="2"/>
  <c r="Q26" i="2"/>
  <c r="Q84" i="2" s="1"/>
  <c r="Q60" i="2"/>
  <c r="Q59" i="2"/>
  <c r="Q57" i="2"/>
  <c r="Q55" i="2"/>
  <c r="Q24" i="2"/>
  <c r="Q32" i="2"/>
  <c r="F57" i="4"/>
  <c r="J52" i="2"/>
  <c r="J60" i="2" s="1"/>
  <c r="H65" i="2"/>
  <c r="H9" i="2" s="1"/>
  <c r="H27" i="2" s="1"/>
  <c r="I56" i="2"/>
  <c r="H59" i="2"/>
  <c r="H28" i="2"/>
  <c r="C57" i="4"/>
  <c r="I59" i="2"/>
  <c r="H34" i="2"/>
  <c r="D57" i="4"/>
  <c r="H31" i="2"/>
  <c r="I30" i="2"/>
  <c r="I65" i="2"/>
  <c r="I9" i="2" s="1"/>
  <c r="I27" i="2" s="1"/>
  <c r="H32" i="2"/>
  <c r="I58" i="2"/>
  <c r="I32" i="2"/>
  <c r="H55" i="2"/>
  <c r="H52" i="2"/>
  <c r="H60" i="2" s="1"/>
  <c r="I31" i="2"/>
  <c r="I55" i="2"/>
  <c r="H58" i="2"/>
  <c r="G57" i="4"/>
  <c r="H49" i="2"/>
  <c r="H57" i="2" s="1"/>
  <c r="I34" i="2"/>
  <c r="H30" i="2"/>
  <c r="L65" i="2"/>
  <c r="L9" i="2" s="1"/>
  <c r="L27" i="2" s="1"/>
  <c r="J65" i="2"/>
  <c r="J9" i="2" s="1"/>
  <c r="J27" i="2" s="1"/>
  <c r="J59" i="2"/>
  <c r="L32" i="2"/>
  <c r="L30" i="2"/>
  <c r="J34" i="2"/>
  <c r="J32" i="2"/>
  <c r="J49" i="2"/>
  <c r="J57" i="2" s="1"/>
  <c r="J55" i="2"/>
  <c r="L55" i="2"/>
  <c r="J30" i="2"/>
  <c r="L49" i="2"/>
  <c r="L57" i="2" s="1"/>
  <c r="J33" i="2"/>
  <c r="L33" i="2"/>
  <c r="L52" i="2"/>
  <c r="L60" i="2" s="1"/>
  <c r="J28" i="2"/>
  <c r="L28" i="2"/>
  <c r="L31" i="2"/>
  <c r="L56" i="2"/>
  <c r="C4" i="2"/>
  <c r="C42" i="2" s="1"/>
  <c r="G52" i="2"/>
  <c r="G60" i="2" s="1"/>
  <c r="L59" i="2"/>
  <c r="P38" i="2"/>
  <c r="G34" i="2"/>
  <c r="G31" i="2"/>
  <c r="G59" i="2"/>
  <c r="G28" i="2"/>
  <c r="P8" i="2"/>
  <c r="P60" i="2"/>
  <c r="P58" i="2"/>
  <c r="P29" i="2"/>
  <c r="K55" i="2"/>
  <c r="K56" i="2"/>
  <c r="P65" i="2"/>
  <c r="P9" i="2" s="1"/>
  <c r="K31" i="2"/>
  <c r="P26" i="2"/>
  <c r="P84" i="2" s="1"/>
  <c r="P57" i="2"/>
  <c r="P27" i="2"/>
  <c r="P24" i="2"/>
  <c r="P35" i="2"/>
  <c r="G56" i="2"/>
  <c r="P25" i="2"/>
  <c r="P59" i="2"/>
  <c r="P11" i="2"/>
  <c r="P49" i="2"/>
  <c r="P5" i="2" s="1"/>
  <c r="P28" i="2"/>
  <c r="G33" i="2"/>
  <c r="P56" i="2"/>
  <c r="P52" i="2"/>
  <c r="P7" i="2" s="1"/>
  <c r="P23" i="2"/>
  <c r="G49" i="2"/>
  <c r="G57" i="2" s="1"/>
  <c r="P6" i="2"/>
  <c r="G65" i="2"/>
  <c r="G9" i="2" s="1"/>
  <c r="G27" i="2" s="1"/>
  <c r="G55" i="2"/>
  <c r="P55" i="2"/>
  <c r="K59" i="2"/>
  <c r="K34" i="2"/>
  <c r="P33" i="2"/>
  <c r="K33" i="2"/>
  <c r="P32" i="2"/>
  <c r="K32" i="2"/>
  <c r="P30" i="2"/>
  <c r="B1" i="4"/>
  <c r="C19" i="2"/>
  <c r="C48" i="3" s="1"/>
  <c r="G30" i="2"/>
  <c r="G58" i="2"/>
  <c r="L58" i="2"/>
  <c r="J58" i="2"/>
  <c r="O38" i="2"/>
  <c r="O30" i="2"/>
  <c r="O32" i="2"/>
  <c r="O33" i="2"/>
  <c r="O31" i="2"/>
  <c r="O34" i="2"/>
  <c r="M38" i="2"/>
  <c r="M32" i="2"/>
  <c r="M33" i="2"/>
  <c r="M34" i="2"/>
  <c r="M30" i="2"/>
  <c r="M31" i="2"/>
  <c r="N38" i="2"/>
  <c r="N30" i="2"/>
  <c r="N32" i="2"/>
  <c r="N33" i="2"/>
  <c r="N34" i="2"/>
  <c r="N31" i="2"/>
  <c r="O27" i="2"/>
  <c r="N27" i="2"/>
  <c r="M27" i="2"/>
  <c r="O65" i="2"/>
  <c r="O9" i="2" s="1"/>
  <c r="M65" i="2"/>
  <c r="M9" i="2" s="1"/>
  <c r="N65" i="2"/>
  <c r="N9" i="2" s="1"/>
  <c r="K52" i="2"/>
  <c r="I52" i="2"/>
  <c r="I60" i="2" s="1"/>
  <c r="M25" i="2"/>
  <c r="M28" i="2"/>
  <c r="M59" i="2"/>
  <c r="M60" i="2"/>
  <c r="M52" i="2"/>
  <c r="M7" i="2" s="1"/>
  <c r="M6" i="2"/>
  <c r="M26" i="2"/>
  <c r="M84" i="2" s="1"/>
  <c r="M29" i="2"/>
  <c r="M57" i="2"/>
  <c r="M11" i="2"/>
  <c r="M8" i="2"/>
  <c r="M24" i="2"/>
  <c r="M55" i="2"/>
  <c r="M56" i="2"/>
  <c r="M49" i="2"/>
  <c r="M5" i="2" s="1"/>
  <c r="M58" i="2"/>
  <c r="M35" i="2"/>
  <c r="M23" i="2"/>
  <c r="N55" i="2"/>
  <c r="N25" i="2"/>
  <c r="N8" i="2"/>
  <c r="N26" i="2"/>
  <c r="N84" i="2" s="1"/>
  <c r="N11" i="2"/>
  <c r="N35" i="2"/>
  <c r="N28" i="2"/>
  <c r="N57" i="2"/>
  <c r="N23" i="2"/>
  <c r="N52" i="2"/>
  <c r="N7" i="2" s="1"/>
  <c r="N6" i="2"/>
  <c r="N24" i="2"/>
  <c r="N60" i="2"/>
  <c r="N58" i="2"/>
  <c r="N59" i="2"/>
  <c r="N29" i="2"/>
  <c r="N49" i="2"/>
  <c r="N5" i="2" s="1"/>
  <c r="N56" i="2"/>
  <c r="C50" i="2"/>
  <c r="O11" i="2"/>
  <c r="O35" i="2"/>
  <c r="O29" i="2"/>
  <c r="O58" i="2"/>
  <c r="O8" i="2"/>
  <c r="O59" i="2"/>
  <c r="O57" i="2"/>
  <c r="O56" i="2"/>
  <c r="O49" i="2"/>
  <c r="O5" i="2" s="1"/>
  <c r="O52" i="2"/>
  <c r="O7" i="2" s="1"/>
  <c r="O6" i="2"/>
  <c r="O28" i="2"/>
  <c r="O26" i="2"/>
  <c r="O84" i="2" s="1"/>
  <c r="O23" i="2"/>
  <c r="O24" i="2"/>
  <c r="O60" i="2"/>
  <c r="O55" i="2"/>
  <c r="O25" i="2"/>
  <c r="C24" i="6" l="1"/>
  <c r="L86" i="2"/>
  <c r="J86" i="2"/>
  <c r="G86" i="2"/>
  <c r="H86" i="2"/>
  <c r="K86" i="2"/>
  <c r="I86" i="2"/>
  <c r="C85" i="2"/>
  <c r="H5" i="2"/>
  <c r="H23" i="2" s="1"/>
  <c r="I5" i="2"/>
  <c r="I23" i="2" s="1"/>
  <c r="C14" i="2"/>
  <c r="C76" i="2"/>
  <c r="C77" i="2"/>
  <c r="K5" i="2"/>
  <c r="K23" i="2" s="1"/>
  <c r="C56" i="2"/>
  <c r="C48" i="2" s="1"/>
  <c r="J7" i="2"/>
  <c r="J25" i="2" s="1"/>
  <c r="C31" i="2"/>
  <c r="C32" i="2" s="1"/>
  <c r="C13" i="2" s="1"/>
  <c r="L5" i="2"/>
  <c r="L23" i="2" s="1"/>
  <c r="G7" i="2"/>
  <c r="G25" i="2" s="1"/>
  <c r="J5" i="2"/>
  <c r="J23" i="2" s="1"/>
  <c r="C30" i="2"/>
  <c r="C58" i="2"/>
  <c r="C59" i="2"/>
  <c r="C33" i="2"/>
  <c r="C16" i="2" s="1"/>
  <c r="L7" i="2"/>
  <c r="L25" i="2" s="1"/>
  <c r="H7" i="2"/>
  <c r="H25" i="2" s="1"/>
  <c r="G5" i="2"/>
  <c r="G23" i="2" s="1"/>
  <c r="K7" i="2"/>
  <c r="K25" i="2" s="1"/>
  <c r="K60" i="2"/>
  <c r="I7" i="2"/>
  <c r="I25" i="2" s="1"/>
  <c r="C52" i="2"/>
  <c r="H6" i="2" l="1"/>
  <c r="H24" i="2" s="1"/>
  <c r="K6" i="2"/>
  <c r="K24" i="2" s="1"/>
  <c r="G6" i="2"/>
  <c r="G24" i="2" s="1"/>
  <c r="I6" i="2"/>
  <c r="I24" i="2" s="1"/>
  <c r="L6" i="2"/>
  <c r="L24" i="2" s="1"/>
  <c r="J6" i="2"/>
  <c r="J24" i="2" s="1"/>
  <c r="C7" i="2"/>
  <c r="C25" i="2" s="1"/>
  <c r="C60" i="2"/>
  <c r="H8" i="2"/>
  <c r="H87" i="2" s="1"/>
  <c r="K8" i="2" l="1"/>
  <c r="K87" i="2" s="1"/>
  <c r="I8" i="2"/>
  <c r="G8" i="2"/>
  <c r="D76" i="9" s="1"/>
  <c r="L8" i="2"/>
  <c r="C76" i="9" s="1"/>
  <c r="J8" i="2"/>
  <c r="H38" i="2"/>
  <c r="H26" i="2"/>
  <c r="H84" i="2" s="1"/>
  <c r="K26" i="2"/>
  <c r="K84" i="2" s="1"/>
  <c r="H11" i="2"/>
  <c r="H15" i="2" s="1"/>
  <c r="H18" i="2" s="1"/>
  <c r="H20" i="2" s="1"/>
  <c r="G26" i="3"/>
  <c r="C72" i="2" s="1"/>
  <c r="C77" i="9" l="1"/>
  <c r="K38" i="2"/>
  <c r="H29" i="2"/>
  <c r="K11" i="2"/>
  <c r="K15" i="2" s="1"/>
  <c r="K18" i="2" s="1"/>
  <c r="K20" i="2" s="1"/>
  <c r="J38" i="2"/>
  <c r="J87" i="2"/>
  <c r="I26" i="2"/>
  <c r="I84" i="2" s="1"/>
  <c r="I87" i="2"/>
  <c r="L87" i="2"/>
  <c r="G87" i="2"/>
  <c r="G11" i="2"/>
  <c r="G15" i="2" s="1"/>
  <c r="G18" i="2" s="1"/>
  <c r="J11" i="2"/>
  <c r="J15" i="2" s="1"/>
  <c r="J18" i="2" s="1"/>
  <c r="J20" i="2" s="1"/>
  <c r="J26" i="2"/>
  <c r="J84" i="2" s="1"/>
  <c r="G26" i="2"/>
  <c r="G84" i="2" s="1"/>
  <c r="G38" i="2"/>
  <c r="I11" i="2"/>
  <c r="I15" i="2" s="1"/>
  <c r="I18" i="2" s="1"/>
  <c r="I20" i="2" s="1"/>
  <c r="I38" i="2"/>
  <c r="L11" i="2"/>
  <c r="L15" i="2" s="1"/>
  <c r="L18" i="2" s="1"/>
  <c r="L20" i="2" s="1"/>
  <c r="L26" i="2"/>
  <c r="L84" i="2" s="1"/>
  <c r="L38" i="2"/>
  <c r="G30" i="3"/>
  <c r="D47" i="3" l="1"/>
  <c r="G20" i="2"/>
  <c r="C7" i="9" s="1"/>
  <c r="G29" i="2"/>
  <c r="K29" i="2"/>
  <c r="L29" i="2"/>
  <c r="J29" i="2"/>
  <c r="I29" i="2"/>
  <c r="C38" i="2"/>
  <c r="C36" i="3" l="1"/>
  <c r="C7" i="6"/>
  <c r="C3" i="2" l="1"/>
  <c r="G1" i="2"/>
  <c r="C3" i="8" l="1"/>
  <c r="C92" i="2"/>
  <c r="J92" i="2"/>
  <c r="I92" i="2"/>
  <c r="K92" i="2"/>
  <c r="L92" i="2"/>
  <c r="H92" i="2"/>
  <c r="G92" i="2"/>
  <c r="H93" i="2"/>
  <c r="K93" i="2"/>
  <c r="I93" i="2"/>
  <c r="G93" i="2"/>
  <c r="L93" i="2"/>
  <c r="J93" i="2"/>
  <c r="H39" i="2"/>
  <c r="J39" i="2"/>
  <c r="G39" i="2"/>
  <c r="K39" i="2"/>
  <c r="L39" i="2"/>
  <c r="I39" i="2"/>
  <c r="F1" i="3"/>
  <c r="H1" i="2"/>
  <c r="P85" i="2"/>
  <c r="M85" i="2"/>
  <c r="L85" i="2"/>
  <c r="J85" i="2"/>
  <c r="K85" i="2"/>
  <c r="N85" i="2"/>
  <c r="I85" i="2"/>
  <c r="O85" i="2"/>
  <c r="H85" i="2"/>
  <c r="Q85" i="2"/>
  <c r="E1" i="4"/>
  <c r="F1" i="4" s="1"/>
  <c r="G1" i="4" s="1"/>
  <c r="H1" i="4" s="1"/>
  <c r="I1" i="4" s="1"/>
  <c r="J1" i="4" s="1"/>
  <c r="K1" i="4" s="1"/>
  <c r="L1" i="4" s="1"/>
  <c r="M1" i="4" s="1"/>
  <c r="C55" i="2" l="1"/>
  <c r="C47" i="2" l="1"/>
  <c r="C49" i="2" s="1"/>
  <c r="K83" i="2"/>
  <c r="Q83" i="2"/>
  <c r="O83" i="2"/>
  <c r="P83" i="2"/>
  <c r="H83" i="2"/>
  <c r="N83" i="2"/>
  <c r="J83" i="2"/>
  <c r="M83" i="2"/>
  <c r="C57" i="2" l="1"/>
  <c r="C5" i="2"/>
  <c r="C23" i="2" s="1"/>
  <c r="L83" i="2"/>
  <c r="I83" i="2"/>
  <c r="C34" i="3"/>
  <c r="C35" i="3" s="1"/>
  <c r="C6" i="2" l="1"/>
  <c r="C24" i="2" s="1"/>
  <c r="C27" i="3"/>
  <c r="C8" i="2" l="1"/>
  <c r="C28" i="3"/>
  <c r="G27" i="3"/>
  <c r="B1" i="2"/>
  <c r="D40" i="3" l="1"/>
  <c r="C40" i="3" s="1"/>
  <c r="C63" i="2" s="1"/>
  <c r="C7" i="8"/>
  <c r="D44" i="3"/>
  <c r="C26" i="2"/>
  <c r="C84" i="2" s="1"/>
  <c r="C87" i="2"/>
  <c r="F68" i="8" l="1"/>
  <c r="F63" i="8"/>
  <c r="D64" i="8"/>
  <c r="F66" i="8"/>
  <c r="C66" i="8"/>
  <c r="F64" i="8"/>
  <c r="D66" i="8"/>
  <c r="F65" i="8"/>
  <c r="C63" i="8"/>
  <c r="C68" i="8"/>
  <c r="D68" i="8"/>
  <c r="E63" i="8"/>
  <c r="E68" i="8"/>
  <c r="C67" i="8"/>
  <c r="E67" i="8"/>
  <c r="E65" i="8"/>
  <c r="D65" i="8"/>
  <c r="E64" i="8"/>
  <c r="D63" i="8"/>
  <c r="F67" i="8"/>
  <c r="E66" i="8"/>
  <c r="C64" i="8"/>
  <c r="C65" i="8"/>
  <c r="D67" i="8"/>
  <c r="C65" i="2"/>
  <c r="C9" i="2" s="1"/>
  <c r="C27" i="2" s="1"/>
  <c r="C80" i="2"/>
  <c r="E74" i="8" l="1"/>
  <c r="C58" i="9" s="1"/>
  <c r="C10" i="2"/>
  <c r="C28" i="2" s="1"/>
  <c r="I1" i="2"/>
  <c r="C11" i="2" l="1"/>
  <c r="J1" i="2"/>
  <c r="K1" i="2" s="1"/>
  <c r="L1" i="2" s="1"/>
  <c r="M1" i="2" s="1"/>
  <c r="N1" i="2" s="1"/>
  <c r="O1" i="2" s="1"/>
  <c r="P1" i="2" s="1"/>
  <c r="Q1" i="2" s="1"/>
  <c r="C15" i="2" l="1"/>
  <c r="C18" i="2" s="1"/>
  <c r="C23" i="6"/>
  <c r="C25" i="6" s="1"/>
  <c r="C29" i="2"/>
  <c r="C47" i="3" l="1"/>
  <c r="C20" i="2"/>
  <c r="C93" i="2"/>
  <c r="G85" i="2"/>
  <c r="C27" i="6" l="1"/>
  <c r="C28" i="6" s="1"/>
  <c r="C29" i="6" s="1"/>
  <c r="C8" i="9"/>
  <c r="C4" i="8"/>
  <c r="C6" i="8" s="1"/>
  <c r="C8" i="8" s="1"/>
  <c r="C40" i="8"/>
  <c r="F40" i="8" s="1"/>
  <c r="C41" i="8"/>
  <c r="F41" i="8" s="1"/>
  <c r="C42" i="8"/>
  <c r="F42" i="8" s="1"/>
  <c r="C38" i="8"/>
  <c r="F38" i="8" s="1"/>
  <c r="C39" i="8"/>
  <c r="F39" i="8" s="1"/>
  <c r="C43" i="8"/>
  <c r="F43" i="8" s="1"/>
  <c r="C46" i="8"/>
  <c r="F46" i="8" s="1"/>
  <c r="C47" i="8"/>
  <c r="F47" i="8" s="1"/>
  <c r="C44" i="8"/>
  <c r="F44" i="8" s="1"/>
  <c r="C45" i="8"/>
  <c r="F45" i="8" s="1"/>
  <c r="C36" i="8"/>
  <c r="C37" i="8"/>
  <c r="C33" i="8"/>
  <c r="C35" i="8"/>
  <c r="C34" i="8"/>
  <c r="G83" i="2"/>
  <c r="C18" i="8" l="1"/>
  <c r="F35" i="8"/>
  <c r="F34" i="8"/>
  <c r="F36" i="8"/>
  <c r="F37" i="8"/>
  <c r="F33" i="8"/>
  <c r="C9" i="8"/>
  <c r="C39" i="2"/>
  <c r="C35" i="2"/>
  <c r="K35" i="2"/>
  <c r="L35" i="2"/>
  <c r="I35" i="2"/>
  <c r="G35" i="2"/>
  <c r="H35" i="2"/>
  <c r="E62" i="8" l="1"/>
  <c r="C21" i="8"/>
  <c r="C31" i="8"/>
  <c r="F31" i="8" s="1"/>
  <c r="C28" i="8"/>
  <c r="F28" i="8" s="1"/>
  <c r="C29" i="8"/>
  <c r="F29" i="8" s="1"/>
  <c r="C32" i="8"/>
  <c r="F32" i="8" s="1"/>
  <c r="C30" i="8"/>
  <c r="F30" i="8" s="1"/>
  <c r="C25" i="8"/>
  <c r="C19" i="8"/>
  <c r="C26" i="8"/>
  <c r="C24" i="8"/>
  <c r="C27" i="8"/>
  <c r="C22" i="8"/>
  <c r="C20" i="8"/>
  <c r="C48" i="8"/>
  <c r="C23" i="8"/>
  <c r="J35" i="2"/>
  <c r="F62" i="8" l="1"/>
  <c r="D62" i="8"/>
  <c r="C62" i="8" s="1"/>
  <c r="D61" i="8"/>
  <c r="E71" i="8" l="1"/>
  <c r="E73" i="8"/>
  <c r="E72" i="8"/>
  <c r="C40" i="9" s="1"/>
  <c r="F48" i="8"/>
  <c r="F23" i="8"/>
  <c r="F24" i="8"/>
  <c r="F25" i="8"/>
  <c r="F26" i="8"/>
  <c r="F27" i="8"/>
  <c r="F20" i="8"/>
  <c r="F19" i="8"/>
  <c r="F21" i="8"/>
  <c r="F22" i="8"/>
  <c r="F18" i="8"/>
  <c r="C46" i="9" l="1"/>
  <c r="C21" i="9"/>
  <c r="C52" i="9"/>
  <c r="B75" i="8"/>
  <c r="F49" i="8"/>
  <c r="C61" i="9" l="1"/>
  <c r="C70" i="9" s="1"/>
  <c r="C71" i="9" s="1"/>
  <c r="C15" i="8"/>
  <c r="B52" i="8"/>
  <c r="F71" i="9" l="1"/>
  <c r="C69" i="6" s="1"/>
  <c r="C90" i="6"/>
  <c r="D15" i="8"/>
  <c r="C26" i="9"/>
</calcChain>
</file>

<file path=xl/sharedStrings.xml><?xml version="1.0" encoding="utf-8"?>
<sst xmlns="http://schemas.openxmlformats.org/spreadsheetml/2006/main" count="437" uniqueCount="319">
  <si>
    <t>HKD</t>
  </si>
  <si>
    <t>Number of Shares:</t>
  </si>
  <si>
    <t>Reporting Currency:</t>
  </si>
  <si>
    <t>Exchange Rate:</t>
  </si>
  <si>
    <t>Sales</t>
  </si>
  <si>
    <t>Total Assets</t>
  </si>
  <si>
    <t>Current Liabilities</t>
  </si>
  <si>
    <t>Book Figure</t>
  </si>
  <si>
    <t>ST Borrowing</t>
  </si>
  <si>
    <t>ST Lease liabilities</t>
  </si>
  <si>
    <t>ST SH Loan</t>
  </si>
  <si>
    <t>ST FV Investments</t>
  </si>
  <si>
    <t>ST Financial Liabilities</t>
  </si>
  <si>
    <t>ST non-FV Investments</t>
  </si>
  <si>
    <t>Other ST liabilities</t>
  </si>
  <si>
    <t>Inventory</t>
  </si>
  <si>
    <t>Properties under development</t>
  </si>
  <si>
    <t>ST DTA</t>
  </si>
  <si>
    <t>Other ST Assets</t>
  </si>
  <si>
    <t>ST Debt</t>
  </si>
  <si>
    <t>LT Borrowing</t>
  </si>
  <si>
    <t>LT FV Securities</t>
  </si>
  <si>
    <t>LT Lease liabilities</t>
  </si>
  <si>
    <t>LT non-FV Securities</t>
  </si>
  <si>
    <t>LT SH Loan</t>
  </si>
  <si>
    <t>LT Financial Liabilities</t>
  </si>
  <si>
    <t>Other LT liabilities</t>
  </si>
  <si>
    <t>Investments in JV or associate</t>
  </si>
  <si>
    <t>Investment property</t>
  </si>
  <si>
    <t>Biological assets</t>
  </si>
  <si>
    <t>Intangible assets</t>
  </si>
  <si>
    <t>LT DTA</t>
  </si>
  <si>
    <t>Other assets &amp; Goodwill</t>
  </si>
  <si>
    <t>LT Debt</t>
  </si>
  <si>
    <t>Noncurrent Liabilities</t>
  </si>
  <si>
    <t>Total Liabilities</t>
  </si>
  <si>
    <t>Capitalization:</t>
    <phoneticPr fontId="2" type="noConversion"/>
  </si>
  <si>
    <t>- R&amp;D</t>
    <phoneticPr fontId="2" type="noConversion"/>
  </si>
  <si>
    <t>Valuation</t>
    <phoneticPr fontId="2" type="noConversion"/>
  </si>
  <si>
    <t>ST AR</t>
    <phoneticPr fontId="2" type="noConversion"/>
  </si>
  <si>
    <t>Prepayments and Contract Assets</t>
    <phoneticPr fontId="2" type="noConversion"/>
  </si>
  <si>
    <t>PP&amp;E &amp; Right of Use Assets</t>
    <phoneticPr fontId="2" type="noConversion"/>
  </si>
  <si>
    <t>Properties under development</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</si>
  <si>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</si>
  <si>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</si>
  <si>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</si>
  <si>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</si>
  <si>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</si>
  <si>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</si>
  <si>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</si>
  <si>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</si>
  <si>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HK</t>
  </si>
  <si>
    <t>Valued @</t>
    <phoneticPr fontId="2" type="noConversion"/>
  </si>
  <si>
    <t>CAGR Calculator</t>
    <phoneticPr fontId="2" type="noConversion"/>
  </si>
  <si>
    <t>Inputs =</t>
    <phoneticPr fontId="2" type="noConversion"/>
  </si>
  <si>
    <t>CAGR =</t>
    <phoneticPr fontId="2" type="noConversion"/>
  </si>
  <si>
    <t>Initial Value (PV)</t>
    <phoneticPr fontId="2" type="noConversion"/>
  </si>
  <si>
    <t>Final Value (FV)</t>
    <phoneticPr fontId="2" type="noConversion"/>
  </si>
  <si>
    <t># of Years</t>
    <phoneticPr fontId="2" type="noConversion"/>
  </si>
  <si>
    <t>Base Case</t>
    <phoneticPr fontId="2" type="noConversion"/>
  </si>
  <si>
    <t>Pessimistic Case</t>
    <phoneticPr fontId="2" type="noConversion"/>
  </si>
  <si>
    <t>Dividend per share</t>
    <phoneticPr fontId="2" type="noConversion"/>
  </si>
  <si>
    <t>Most Recent Quarter</t>
    <phoneticPr fontId="2" type="noConversion"/>
  </si>
  <si>
    <t>EBIT</t>
    <phoneticPr fontId="2" type="noConversion"/>
  </si>
  <si>
    <t>ROE</t>
    <phoneticPr fontId="2" type="noConversion"/>
  </si>
  <si>
    <t>EBIT 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</si>
  <si>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</si>
  <si>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</si>
  <si>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</si>
  <si>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</si>
  <si>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</si>
  <si>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Liabilities</t>
    <phoneticPr fontId="2" type="noConversion"/>
  </si>
  <si>
    <t>C0003</t>
  </si>
  <si>
    <t>0590.HK</t>
  </si>
  <si>
    <t>Reported Net Income</t>
    <phoneticPr fontId="2" type="noConversion"/>
  </si>
  <si>
    <t>六福珠宝</t>
  </si>
  <si>
    <t>% Sales</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</si>
  <si>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</si>
  <si>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</si>
  <si>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</si>
  <si>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</si>
  <si>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</si>
  <si>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</si>
  <si>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Review Interval:</t>
    <phoneticPr fontId="2" type="noConversion"/>
  </si>
  <si>
    <t>Review Date:</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</si>
  <si>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</si>
  <si>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</si>
  <si>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</si>
  <si>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</si>
  <si>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</si>
  <si>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</si>
  <si>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</si>
  <si>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Key Metrics:</t>
    <phoneticPr fontId="2" type="noConversion"/>
  </si>
  <si>
    <t>Adjusted FCFE = Net Income + D&amp;A – Maintenance Capex ± WCInv (if material).</t>
    <phoneticPr fontId="2" type="noConversion"/>
  </si>
  <si>
    <t>Notes:</t>
    <phoneticPr fontId="2" type="noConversion"/>
  </si>
  <si>
    <t>1. the model explicitly avoids aggressive growth assumptions and prioritizes downside protection.</t>
    <phoneticPr fontId="2" type="noConversion"/>
  </si>
  <si>
    <t>2. Net borrowing is excluded (fixed at 0), and WCInv is only included if it materially distorts FCFE (&gt;5% volatility).</t>
    <phoneticPr fontId="2" type="noConversion"/>
  </si>
  <si>
    <t xml:space="preserve">3. Normalization: 5-year averages will smooth cyclicality for 590.HK.
</t>
    <phoneticPr fontId="2" type="noConversion"/>
  </si>
  <si>
    <t>Adjusted Earnings Yield = Adjusted FCFE / Market Cap.</t>
    <phoneticPr fontId="2" type="noConversion"/>
  </si>
  <si>
    <t>Intrinsic Value (No Growth) = Adjusted FCFE / Equity Cost of Capital.</t>
    <phoneticPr fontId="2" type="noConversion"/>
  </si>
  <si>
    <t>Decision Rule:</t>
    <phoneticPr fontId="2" type="noConversion"/>
  </si>
  <si>
    <t>Buy if Adjusted Earnings Yield &gt; 7%</t>
    <phoneticPr fontId="2" type="noConversion"/>
  </si>
  <si>
    <t>g = (r × P - Adjusted FCFE) / (P + Adjusted FCFE)</t>
    <phoneticPr fontId="2" type="noConversion"/>
  </si>
  <si>
    <t>Investment Thesis for</t>
    <phoneticPr fontId="2" type="noConversion"/>
  </si>
  <si>
    <t>Adjusted FCFE Calculation</t>
    <phoneticPr fontId="2" type="noConversion"/>
  </si>
  <si>
    <t>Equity Cost of Capital (Buffett Method)</t>
    <phoneticPr fontId="2" type="noConversion"/>
  </si>
  <si>
    <t>No-Growth DCF Valuation</t>
    <phoneticPr fontId="2" type="noConversion"/>
  </si>
  <si>
    <t>Phase Breakdown:</t>
    <phoneticPr fontId="2" type="noConversion"/>
  </si>
  <si>
    <t>High Growth: 5 years at 5%, then transitions to 3% perpetual growth.</t>
    <phoneticPr fontId="2" type="noConversion"/>
  </si>
  <si>
    <t>Opertimistic Case</t>
    <phoneticPr fontId="2" type="noConversion"/>
  </si>
  <si>
    <t>Scenario Analysis:</t>
    <phoneticPr fontId="2" type="noConversion"/>
  </si>
  <si>
    <t>Output:</t>
    <phoneticPr fontId="2" type="noConversion"/>
  </si>
  <si>
    <t>Buy price range incorporating a 15–20% margin of safety (e.g., HKD 10–14/share).</t>
    <phoneticPr fontId="2" type="noConversion"/>
  </si>
  <si>
    <t>Equity Value Calculation</t>
    <phoneticPr fontId="2" type="noConversion"/>
  </si>
  <si>
    <t>Formula:</t>
    <phoneticPr fontId="2" type="noConversion"/>
  </si>
  <si>
    <t>Key Adjustments:</t>
    <phoneticPr fontId="2" type="noConversion"/>
  </si>
  <si>
    <t>Equity Value = Intrinsic Value (with user-selected implied g) + Non-operating Assets - Interest-bearing Debt</t>
    <phoneticPr fontId="2" type="noConversion"/>
  </si>
  <si>
    <t>Non-operating Assets: Include cash, marketable securities, real estate, etc., at market value.</t>
    <phoneticPr fontId="2" type="noConversion"/>
  </si>
  <si>
    <t>Debt: Subtract total interest-bearing debt (market value if distressed).</t>
    <phoneticPr fontId="2" type="noConversion"/>
  </si>
  <si>
    <t>KEY EXCLUSIONS &amp; LIMITATIONS</t>
    <phoneticPr fontId="2" type="noConversion"/>
  </si>
  <si>
    <t>Conservative Bias:</t>
    <phoneticPr fontId="2" type="noConversion"/>
  </si>
  <si>
    <t>Excludes net borrowing, potentially undervaluing firms with debt efficiency.</t>
    <phoneticPr fontId="2" type="noConversion"/>
  </si>
  <si>
    <t>Growth Constraints:</t>
    <phoneticPr fontId="2" type="noConversion"/>
  </si>
  <si>
    <t>Perpetual growth capped at 3%, penalizing high-growth companies.</t>
    <phoneticPr fontId="2" type="noConversion"/>
  </si>
  <si>
    <t>Subjective Adjustments:</t>
    <phoneticPr fontId="2" type="noConversion"/>
  </si>
  <si>
    <t>Non-operating assets and debt require manual review.</t>
    <phoneticPr fontId="2" type="noConversion"/>
  </si>
  <si>
    <t>Margin of Safety:</t>
    <phoneticPr fontId="2" type="noConversion"/>
  </si>
  <si>
    <t>Conclusion</t>
    <phoneticPr fontId="2" type="noConversion"/>
  </si>
  <si>
    <t>Price Target:</t>
    <phoneticPr fontId="2" type="noConversion"/>
  </si>
  <si>
    <t>Comapny Information</t>
    <phoneticPr fontId="2" type="noConversion"/>
  </si>
  <si>
    <t>Comp_Sector:</t>
    <phoneticPr fontId="2" type="noConversion"/>
  </si>
  <si>
    <t>Introduction</t>
    <phoneticPr fontId="2" type="noConversion"/>
  </si>
  <si>
    <t>Stock Analysis</t>
    <phoneticPr fontId="2" type="noConversion"/>
  </si>
  <si>
    <t>Growth Scenario Analysis</t>
    <phoneticPr fontId="2" type="noConversion"/>
  </si>
  <si>
    <t xml:space="preserve">Net Income = </t>
    <phoneticPr fontId="2" type="noConversion"/>
  </si>
  <si>
    <t>Variables</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</si>
  <si>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</si>
  <si>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</si>
  <si>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</si>
  <si>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</si>
  <si>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</si>
  <si>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</si>
  <si>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Operating Costs</t>
    <phoneticPr fontId="2" type="noConversion"/>
  </si>
  <si>
    <t>Income Tax</t>
    <phoneticPr fontId="2" type="noConversion"/>
  </si>
  <si>
    <t>Incl. Other Opex</t>
    <phoneticPr fontId="2" type="noConversion"/>
  </si>
  <si>
    <t>Other Opex (Fixed Overhead)</t>
    <phoneticPr fontId="2" type="noConversion"/>
  </si>
  <si>
    <t>% Sales of Operating Costs</t>
    <phoneticPr fontId="2" type="noConversion"/>
  </si>
  <si>
    <t>Add Back D&amp;A</t>
    <phoneticPr fontId="2" type="noConversion"/>
  </si>
  <si>
    <t>FCFE</t>
    <phoneticPr fontId="2" type="noConversion"/>
  </si>
  <si>
    <t>Detailed Analysis</t>
    <phoneticPr fontId="2" type="noConversion"/>
  </si>
  <si>
    <t>Interest Income</t>
    <phoneticPr fontId="2" type="noConversion"/>
  </si>
  <si>
    <t>Net Interest Income</t>
    <phoneticPr fontId="2" type="noConversion"/>
  </si>
  <si>
    <t>Incl. Interest Expense</t>
    <phoneticPr fontId="2" type="noConversion"/>
  </si>
  <si>
    <t>Incl. Interest Income</t>
    <phoneticPr fontId="2" type="noConversion"/>
  </si>
  <si>
    <t>Properties held for sale</t>
    <phoneticPr fontId="2" type="noConversion"/>
  </si>
  <si>
    <t>Non-Operating Assets</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</si>
  <si>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</si>
  <si>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</si>
  <si>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</si>
  <si>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</si>
  <si>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Properties held for sale</t>
    <phoneticPr fontId="2" type="noConversion"/>
  </si>
  <si>
    <t>Operating Properties under development</t>
    <phoneticPr fontId="2" type="noConversion"/>
  </si>
  <si>
    <t>Operating LT Assets</t>
    <phoneticPr fontId="2" type="noConversion"/>
  </si>
  <si>
    <t>Total Assets</t>
    <phoneticPr fontId="2" type="noConversion"/>
  </si>
  <si>
    <t xml:space="preserve">Incl. Non-common Interest </t>
    <phoneticPr fontId="2" type="noConversion"/>
  </si>
  <si>
    <t>Incl. Common Equity</t>
    <phoneticPr fontId="2" type="noConversion"/>
  </si>
  <si>
    <t>incl. Interest-bearing Debt</t>
    <phoneticPr fontId="2" type="noConversion"/>
  </si>
  <si>
    <t>Use the highest past tax rate</t>
    <phoneticPr fontId="2" type="noConversion"/>
  </si>
  <si>
    <t/>
  </si>
  <si>
    <t>% EBT of Income Tax</t>
    <phoneticPr fontId="2" type="noConversion"/>
  </si>
  <si>
    <t>incl. Cash</t>
    <phoneticPr fontId="2" type="noConversion"/>
  </si>
  <si>
    <t>Cash and cash equivalents</t>
    <phoneticPr fontId="2" type="noConversion"/>
  </si>
  <si>
    <t>LT Depositis</t>
    <phoneticPr fontId="2" type="noConversion"/>
  </si>
  <si>
    <t>Use Last year's rate</t>
    <phoneticPr fontId="2" type="noConversion"/>
  </si>
  <si>
    <t>Reference the market rate</t>
    <phoneticPr fontId="2" type="noConversion"/>
  </si>
  <si>
    <t>Non-Operating Income</t>
    <phoneticPr fontId="2" type="noConversion"/>
  </si>
  <si>
    <t>Non-Operating Income (Est.)</t>
    <phoneticPr fontId="2" type="noConversion"/>
  </si>
  <si>
    <t>Operating Income</t>
    <phoneticPr fontId="2" type="noConversion"/>
  </si>
  <si>
    <t>Stable Non-Operating Income</t>
    <phoneticPr fontId="2" type="noConversion"/>
  </si>
  <si>
    <t>% Indicators</t>
    <phoneticPr fontId="2" type="noConversion"/>
  </si>
  <si>
    <t>incl. Fixed Assets</t>
    <phoneticPr fontId="2" type="noConversion"/>
  </si>
  <si>
    <t>Same as Last year's D&amp;A</t>
    <phoneticPr fontId="2" type="noConversion"/>
  </si>
  <si>
    <t>WCInv effect is reduced</t>
    <phoneticPr fontId="2" type="noConversion"/>
  </si>
  <si>
    <t>Historical Average or D&amp;A</t>
    <phoneticPr fontId="2" type="noConversion"/>
  </si>
  <si>
    <t>Historical Average</t>
    <phoneticPr fontId="2" type="noConversion"/>
  </si>
  <si>
    <t>Maintenance Capex</t>
    <phoneticPr fontId="2" type="noConversion"/>
  </si>
  <si>
    <t>IS &amp; CF Statements (Clean)</t>
    <phoneticPr fontId="2" type="noConversion"/>
  </si>
  <si>
    <t>Balance Sheet (Clean)</t>
    <phoneticPr fontId="2" type="noConversion"/>
  </si>
  <si>
    <t>Status: Held</t>
  </si>
  <si>
    <t>Sales/Total Assets</t>
    <phoneticPr fontId="2" type="noConversion"/>
  </si>
  <si>
    <t>YoY %</t>
    <phoneticPr fontId="2" type="noConversion"/>
  </si>
  <si>
    <t>Incl. ST AR</t>
    <phoneticPr fontId="2" type="noConversion"/>
  </si>
  <si>
    <t>Incl. ST Inventory</t>
    <phoneticPr fontId="2" type="noConversion"/>
  </si>
  <si>
    <t>ST_AR</t>
    <phoneticPr fontId="2" type="noConversion"/>
  </si>
  <si>
    <t>ST_Inventory</t>
    <phoneticPr fontId="2" type="noConversion"/>
  </si>
  <si>
    <t>Interest Rate/Debt</t>
    <phoneticPr fontId="2" type="noConversion"/>
  </si>
  <si>
    <t>Interest Yield/Cash</t>
    <phoneticPr fontId="2" type="noConversion"/>
  </si>
  <si>
    <t>D&amp;A/Fixed Assets</t>
    <phoneticPr fontId="2" type="noConversion"/>
  </si>
  <si>
    <t>Equity / Total Assets</t>
    <phoneticPr fontId="2" type="noConversion"/>
  </si>
  <si>
    <t>Pre-tax Profit/Interest Expense</t>
    <phoneticPr fontId="2" type="noConversion"/>
  </si>
  <si>
    <t>Leverage</t>
    <phoneticPr fontId="2" type="noConversion"/>
  </si>
  <si>
    <t>EBIT/Sales</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</si>
  <si>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</si>
  <si>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</si>
  <si>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</si>
  <si>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</si>
  <si>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</si>
  <si>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Last Balance Sheet</t>
    <phoneticPr fontId="2" type="noConversion"/>
  </si>
  <si>
    <t>Balance Sheet Analysis</t>
    <phoneticPr fontId="2" type="noConversion"/>
  </si>
  <si>
    <t>FCFE/Market Price</t>
    <phoneticPr fontId="2" type="noConversion"/>
  </si>
  <si>
    <t>Implied Growth Sensitivity Test</t>
    <phoneticPr fontId="2" type="noConversion"/>
  </si>
  <si>
    <t>Data (Dirty)</t>
    <phoneticPr fontId="2" type="noConversion"/>
  </si>
  <si>
    <t xml:space="preserve">Operating after-tax Profit = </t>
    <phoneticPr fontId="2" type="noConversion"/>
  </si>
  <si>
    <t xml:space="preserve">Non-Operating after-tax Profit = </t>
    <phoneticPr fontId="2" type="noConversion"/>
  </si>
  <si>
    <t xml:space="preserve">Adjusted FCFE = </t>
    <phoneticPr fontId="2" type="noConversion"/>
  </si>
  <si>
    <t xml:space="preserve">Adjusted FCFE per share = </t>
    <phoneticPr fontId="2" type="noConversion"/>
  </si>
  <si>
    <t xml:space="preserve">FCFE/Market Price = </t>
    <phoneticPr fontId="2" type="noConversion"/>
  </si>
  <si>
    <t>Net borrowing is excluded</t>
    <phoneticPr fontId="2" type="noConversion"/>
  </si>
  <si>
    <t>Net Borrowing</t>
    <phoneticPr fontId="2" type="noConversion"/>
  </si>
  <si>
    <t>Dividend</t>
    <phoneticPr fontId="2" type="noConversion"/>
  </si>
  <si>
    <t>FCFE Analysis</t>
    <phoneticPr fontId="2" type="noConversion"/>
  </si>
  <si>
    <t>Dividend Analysis</t>
    <phoneticPr fontId="2" type="noConversion"/>
  </si>
  <si>
    <t>Dividend/FCFE before WCInv</t>
    <phoneticPr fontId="2" type="noConversion"/>
  </si>
  <si>
    <t>Qualitative Adjustments</t>
    <phoneticPr fontId="2" type="noConversion"/>
  </si>
  <si>
    <t>Nonexistent moats</t>
    <phoneticPr fontId="2" type="noConversion"/>
  </si>
  <si>
    <t>Weak balance sheets</t>
    <phoneticPr fontId="2" type="noConversion"/>
  </si>
  <si>
    <t>Poor management</t>
    <phoneticPr fontId="2" type="noConversion"/>
  </si>
  <si>
    <t>Stable Business</t>
    <phoneticPr fontId="2" type="noConversion"/>
  </si>
  <si>
    <t>Total PV</t>
    <phoneticPr fontId="2" type="noConversion"/>
  </si>
  <si>
    <t>Buy Below</t>
    <phoneticPr fontId="2" type="noConversion"/>
  </si>
  <si>
    <t>Equity Value per share</t>
    <phoneticPr fontId="2" type="noConversion"/>
  </si>
  <si>
    <t>No-Growth DCF Valuation Analysis</t>
    <phoneticPr fontId="2" type="noConversion"/>
  </si>
  <si>
    <t>Equity Cost of Capital (r) =</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</si>
  <si>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</si>
  <si>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</si>
  <si>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</si>
  <si>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</si>
  <si>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9" type="noConversion"/>
  </si>
  <si>
    <t>FCFE</t>
    <phoneticPr fontId="29" type="noConversion"/>
  </si>
  <si>
    <t>Discount Factor</t>
    <phoneticPr fontId="29" type="noConversion"/>
  </si>
  <si>
    <t>PV of FCFE</t>
    <phoneticPr fontId="29" type="noConversion"/>
  </si>
  <si>
    <t>Annual Dividend per share</t>
    <phoneticPr fontId="2" type="noConversion"/>
  </si>
  <si>
    <t>HGP</t>
    <phoneticPr fontId="2" type="noConversion"/>
  </si>
  <si>
    <t>Value per share</t>
    <phoneticPr fontId="2" type="noConversion"/>
  </si>
  <si>
    <t>No Growth</t>
    <phoneticPr fontId="2" type="noConversion"/>
  </si>
  <si>
    <t>Optimistic</t>
    <phoneticPr fontId="2" type="noConversion"/>
  </si>
  <si>
    <t>Base</t>
    <phoneticPr fontId="2" type="noConversion"/>
  </si>
  <si>
    <t>Pessimistic</t>
    <phoneticPr fontId="2" type="noConversion"/>
  </si>
  <si>
    <t>Scenarios</t>
    <phoneticPr fontId="29" type="noConversion"/>
  </si>
  <si>
    <t>Market Price</t>
    <phoneticPr fontId="29" type="noConversion"/>
  </si>
  <si>
    <t>Growth Rates</t>
    <phoneticPr fontId="29" type="noConversion"/>
  </si>
  <si>
    <t>Probabilities</t>
    <phoneticPr fontId="29" type="noConversion"/>
  </si>
  <si>
    <t>Expected Value =</t>
    <phoneticPr fontId="29" type="noConversion"/>
  </si>
  <si>
    <t>PV(Dividends)</t>
    <phoneticPr fontId="2" type="noConversion"/>
  </si>
  <si>
    <t>Buy at &lt; PV(dividends, 3yrs, r) + PV(Equity value, 3yrs, r)</t>
    <phoneticPr fontId="29" type="noConversion"/>
  </si>
  <si>
    <t>PV(Equity Value)</t>
    <phoneticPr fontId="2" type="noConversion"/>
  </si>
  <si>
    <t>= Enterprise Value</t>
    <phoneticPr fontId="29" type="noConversion"/>
  </si>
  <si>
    <t>/Equity Cost of Capital</t>
    <phoneticPr fontId="2" type="noConversion"/>
  </si>
  <si>
    <t>- Interest Bearing Debt</t>
    <phoneticPr fontId="2" type="noConversion"/>
  </si>
  <si>
    <t>= Equity Value</t>
    <phoneticPr fontId="29" type="noConversion"/>
  </si>
  <si>
    <t>Special Assumption</t>
    <phoneticPr fontId="29" type="noConversion"/>
  </si>
  <si>
    <t>- Expects no significant growth at terminal years</t>
    <phoneticPr fontId="29" type="noConversion"/>
  </si>
  <si>
    <t>over a holding period of</t>
    <phoneticPr fontId="29" type="noConversion"/>
  </si>
  <si>
    <t>Inputs</t>
    <phoneticPr fontId="29" type="noConversion"/>
  </si>
  <si>
    <t>the Equity Value will be conservatively realized</t>
    <phoneticPr fontId="29" type="noConversion"/>
  </si>
  <si>
    <t>Terminal Growth Rate:</t>
    <phoneticPr fontId="29" type="noConversion"/>
  </si>
  <si>
    <t>- Avoids overvaluation.</t>
    <phoneticPr fontId="29" type="noConversion"/>
  </si>
  <si>
    <t>at a MOS of</t>
    <phoneticPr fontId="29"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</si>
  <si>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</si>
  <si>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</si>
  <si>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</si>
  <si>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</si>
  <si>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</si>
  <si>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</si>
  <si>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</si>
  <si>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</si>
  <si>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</si>
  <si>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52 week Low</t>
    <phoneticPr fontId="29" type="noConversion"/>
  </si>
  <si>
    <t>Reference Price Points</t>
    <phoneticPr fontId="29" type="noConversion"/>
  </si>
  <si>
    <t>Output</t>
    <phoneticPr fontId="2" type="noConversion"/>
  </si>
  <si>
    <t>52 week High</t>
    <phoneticPr fontId="29" type="noConversion"/>
  </si>
  <si>
    <t>Target Return</t>
    <phoneticPr fontId="29" type="noConversion"/>
  </si>
  <si>
    <t>Realizable Value Analysis</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</si>
  <si>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</si>
  <si>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</si>
  <si>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</si>
  <si>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</si>
  <si>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</si>
  <si>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</si>
  <si>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</si>
  <si>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</si>
  <si>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YoY Growth Rates</t>
    <phoneticPr fontId="2" type="noConversion"/>
  </si>
  <si>
    <t>Sales</t>
    <phoneticPr fontId="2" type="noConversion"/>
  </si>
  <si>
    <t>Current Situation</t>
    <phoneticPr fontId="2" type="noConversion"/>
  </si>
  <si>
    <t>Op. FCFE Before WCInv</t>
    <phoneticPr fontId="2" type="noConversion"/>
  </si>
  <si>
    <t>Sales Growth Rates</t>
    <phoneticPr fontId="2" type="noConversion"/>
  </si>
  <si>
    <t>Past Years Selected</t>
    <phoneticPr fontId="2" type="noConversion"/>
  </si>
  <si>
    <t>Growth Rate</t>
    <phoneticPr fontId="2" type="noConversion"/>
  </si>
  <si>
    <t>Margin</t>
    <phoneticPr fontId="2" type="noConversion"/>
  </si>
  <si>
    <t>Op. FCFE</t>
    <phoneticPr fontId="2" type="noConversion"/>
  </si>
  <si>
    <t>Optimistic Case</t>
    <phoneticPr fontId="2" type="noConversion"/>
  </si>
  <si>
    <t>Market Scenario</t>
    <phoneticPr fontId="2" type="noConversion"/>
  </si>
  <si>
    <t>No Growth Scenario</t>
    <phoneticPr fontId="2" type="noConversion"/>
  </si>
  <si>
    <t>Objective Scenarios</t>
    <phoneticPr fontId="2" type="noConversion"/>
  </si>
  <si>
    <t>Subjective Scenarios</t>
    <phoneticPr fontId="2" type="noConversion"/>
  </si>
  <si>
    <t>Probabilities</t>
    <phoneticPr fontId="2" type="noConversion"/>
  </si>
  <si>
    <t>Target Return</t>
    <phoneticPr fontId="2" type="noConversion"/>
  </si>
  <si>
    <t>Selection</t>
    <phoneticPr fontId="2" type="noConversion"/>
  </si>
  <si>
    <t>Business Story</t>
    <phoneticPr fontId="2" type="noConversion"/>
  </si>
  <si>
    <t>Tie the business story into the three levers of value: FCFE, growth and risk.</t>
    <phoneticPr fontId="2" type="noConversion"/>
  </si>
  <si>
    <t>Unbiased Scenario where the company FCFE has no growth and no risk.</t>
    <phoneticPr fontId="2" type="noConversion"/>
  </si>
  <si>
    <t>Assumption</t>
    <phoneticPr fontId="2" type="noConversion"/>
  </si>
  <si>
    <t>For both Base and Pessimistic case, I would use 10 yrs to do forecast</t>
    <phoneticPr fontId="2" type="noConversion"/>
  </si>
  <si>
    <t>Lastest</t>
    <phoneticPr fontId="2" type="noConversion"/>
  </si>
  <si>
    <t>WCInv is excluded</t>
    <phoneticPr fontId="2" type="noConversion"/>
  </si>
  <si>
    <r>
      <t xml:space="preserve">Given </t>
    </r>
    <r>
      <rPr>
        <sz val="10"/>
        <color rgb="FF000000"/>
        <rFont val="Microsoft YaHei"/>
        <family val="2"/>
        <charset val="134"/>
      </rPr>
      <t>六福珠宝</t>
    </r>
    <r>
      <rPr>
        <sz val="10"/>
        <color rgb="FF000000"/>
        <rFont val="Arial"/>
        <family val="2"/>
        <scheme val="minor"/>
      </rPr>
      <t>’s (0590.HK) normalized FCFE of HKD 1,270,672,000, please analyze its valuation assumptions under three scenarios (Base, Pessimistic, Optimistic) using a two-stage model, a growth stage and a terminal stage. Define the growth period, growth rates and probabilities for each scenario. Explain the rationale behind the probabilities. Summarize the business drivers and scenario narratives to align with the model’s inputs. For context only, the terminal value assumes 0% growth to prevent overvaluation. The finalized scenarios will be incorporated directly into the valuation framework.”</t>
    </r>
    <phoneticPr fontId="2" type="noConversion"/>
  </si>
  <si>
    <t>Prompt for Scenario Analysis</t>
    <phoneticPr fontId="2" type="noConversion"/>
  </si>
  <si>
    <t>Devil's advocate Case</t>
    <phoneticPr fontId="2" type="noConversion"/>
  </si>
  <si>
    <t>There is always a chance the some devil's advocate is right and I'm wrong, so the probabilities should reflect this depending on how illogical this implied drivers are.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</si>
</sst>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yyyy\-mm\-dd"/>
    <numFmt numFmtId="177" formatCode="#,##0&quot;mm&quot;"/>
    <numFmt numFmtId="178" formatCode="#,##0.00&quot;x&quot;"/>
    <numFmt numFmtId="179" formatCode="0.00\x"/>
    <numFmt numFmtId="180" formatCode="yyyy\-mm\-dd;@"/>
    <numFmt numFmtId="181" formatCode="&quot;in&quot;\ 0\ &quot;Months&quot;"/>
    <numFmt numFmtId="182" formatCode="#,##0.0000"/>
    <numFmt numFmtId="183" formatCode="#,##0_ "/>
    <numFmt numFmtId="184" formatCode="#,##0_);\(#,##0\)"/>
    <numFmt numFmtId="185" formatCode="#,##0.0000_);\(#,##0.0000\)"/>
    <numFmt numFmtId="186" formatCode="#,##0.00_);\(#,##0.00\)"/>
    <numFmt numFmtId="187" formatCode="#,##0.0000_ "/>
    <numFmt numFmtId="188" formatCode="&quot;in &quot;#,##0&quot;s&quot;"/>
    <numFmt numFmtId="189" formatCode="#,##0_);[Red]\(#,##0\)"/>
    <numFmt numFmtId="190" formatCode="#,##0.00_ "/>
    <numFmt numFmtId="191" formatCode="0&quot; yrs&quot;"/>
    <numFmt numFmtId="192" formatCode="#,##0.00_);[Red]\(#,##0.00\)"/>
  </numFmts>
  <fonts count="38"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u/>
      <sz val="9"/>
      <color theme="1"/>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sz val="10"/>
      <color rgb="FF000000"/>
      <name val="Microsoft YaHei"/>
      <family val="2"/>
      <charset val="134"/>
    </font>
  </fonts>
  <fills count="9">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s>
  <borders count="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7">
    <xf numFmtId="0" fontId="0" fillId="0" borderId="0" xfId="0"/>
    <xf numFmtId="0" fontId="3" fillId="0" borderId="0" xfId="0" applyFont="1"/>
    <xf numFmtId="0" fontId="3" fillId="0" borderId="1" xfId="0" applyFont="1" applyBorder="1"/>
    <xf numFmtId="0" fontId="5" fillId="0" borderId="1" xfId="0" applyFont="1" applyBorder="1"/>
    <xf numFmtId="0" fontId="3" fillId="0" borderId="2" xfId="0" applyFont="1" applyBorder="1"/>
    <xf numFmtId="0" fontId="6" fillId="0" borderId="1" xfId="0" applyFont="1" applyBorder="1"/>
    <xf numFmtId="0" fontId="8" fillId="0" borderId="1" xfId="0" applyFont="1" applyBorder="1"/>
    <xf numFmtId="0" fontId="12" fillId="0" borderId="1" xfId="0" applyFont="1" applyBorder="1" applyAlignment="1">
      <alignment horizontal="center"/>
    </xf>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7" fillId="0" borderId="1"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4"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7"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2" fontId="7" fillId="0" borderId="1" xfId="0" applyNumberFormat="1" applyFont="1" applyBorder="1" applyAlignment="1">
      <alignment horizontal="right"/>
    </xf>
    <xf numFmtId="0" fontId="3" fillId="0" borderId="1" xfId="0"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181"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13" fillId="0" borderId="0" xfId="0" applyFont="1"/>
    <xf numFmtId="10" fontId="14" fillId="0" borderId="1" xfId="0" applyNumberFormat="1" applyFont="1" applyBorder="1" applyAlignment="1">
      <alignment horizontal="left"/>
    </xf>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7" fillId="3" borderId="1" xfId="0" applyFont="1" applyFill="1" applyBorder="1"/>
    <xf numFmtId="0" fontId="11" fillId="0" borderId="1" xfId="0" applyFont="1" applyBorder="1" applyAlignment="1">
      <alignment horizontal="left"/>
    </xf>
    <xf numFmtId="0" fontId="17" fillId="0" borderId="1" xfId="0" applyFont="1" applyBorder="1"/>
    <xf numFmtId="184" fontId="8" fillId="0" borderId="1" xfId="0" applyNumberFormat="1" applyFont="1" applyBorder="1" applyAlignment="1">
      <alignment horizontal="left" wrapText="1"/>
    </xf>
    <xf numFmtId="184" fontId="8" fillId="0" borderId="1" xfId="0" applyNumberFormat="1" applyFont="1" applyBorder="1" applyAlignment="1">
      <alignment horizontal="right"/>
    </xf>
    <xf numFmtId="184" fontId="8" fillId="0" borderId="1" xfId="0" quotePrefix="1" applyNumberFormat="1" applyFont="1" applyBorder="1" applyAlignment="1">
      <alignment horizontal="left" wrapText="1"/>
    </xf>
    <xf numFmtId="184" fontId="11" fillId="0" borderId="1" xfId="0" applyNumberFormat="1" applyFont="1" applyBorder="1" applyAlignment="1">
      <alignment horizontal="left" wrapText="1" indent="1"/>
    </xf>
    <xf numFmtId="184" fontId="11" fillId="0" borderId="1" xfId="0" applyNumberFormat="1" applyFont="1" applyBorder="1" applyAlignment="1">
      <alignment horizontal="right"/>
    </xf>
    <xf numFmtId="184" fontId="8" fillId="0" borderId="1" xfId="0" quotePrefix="1" applyNumberFormat="1" applyFont="1" applyBorder="1" applyAlignment="1">
      <alignment horizontal="left"/>
    </xf>
    <xf numFmtId="184" fontId="11" fillId="0" borderId="1" xfId="0" applyNumberFormat="1" applyFont="1" applyBorder="1" applyAlignment="1">
      <alignment horizontal="left" indent="1"/>
    </xf>
    <xf numFmtId="184" fontId="11" fillId="0" borderId="1" xfId="0" applyNumberFormat="1" applyFont="1" applyBorder="1" applyAlignment="1">
      <alignment wrapText="1"/>
    </xf>
    <xf numFmtId="184" fontId="14" fillId="0" borderId="1" xfId="0" applyNumberFormat="1" applyFont="1" applyBorder="1" applyAlignment="1">
      <alignment wrapText="1"/>
    </xf>
    <xf numFmtId="184" fontId="11" fillId="0" borderId="1" xfId="0" applyNumberFormat="1" applyFont="1" applyBorder="1"/>
    <xf numFmtId="0" fontId="8" fillId="0" borderId="1" xfId="0" quotePrefix="1" applyFont="1" applyBorder="1" applyAlignment="1">
      <alignment wrapText="1"/>
    </xf>
    <xf numFmtId="10" fontId="14" fillId="0" borderId="1" xfId="0" applyNumberFormat="1" applyFont="1" applyBorder="1" applyAlignment="1">
      <alignment wrapText="1"/>
    </xf>
    <xf numFmtId="184" fontId="7" fillId="0" borderId="1" xfId="0" applyNumberFormat="1" applyFont="1" applyBorder="1" applyAlignment="1">
      <alignment horizontal="right"/>
    </xf>
    <xf numFmtId="184" fontId="3" fillId="0" borderId="1" xfId="0" applyNumberFormat="1" applyFont="1" applyBorder="1"/>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184" fontId="10" fillId="0" borderId="1" xfId="0" applyNumberFormat="1" applyFont="1" applyBorder="1"/>
    <xf numFmtId="0" fontId="21" fillId="0" borderId="1" xfId="0" applyFont="1" applyBorder="1"/>
    <xf numFmtId="0" fontId="16" fillId="0" borderId="1" xfId="0" applyFont="1" applyBorder="1"/>
    <xf numFmtId="184" fontId="7" fillId="0" borderId="1" xfId="0" applyNumberFormat="1" applyFont="1" applyBorder="1" applyAlignment="1">
      <alignment horizontal="left" wrapText="1"/>
    </xf>
    <xf numFmtId="184" fontId="7" fillId="0" borderId="1" xfId="0" quotePrefix="1" applyNumberFormat="1" applyFont="1" applyBorder="1" applyAlignment="1">
      <alignment horizontal="left"/>
    </xf>
    <xf numFmtId="184" fontId="7" fillId="0" borderId="1" xfId="0" quotePrefix="1" applyNumberFormat="1" applyFont="1" applyBorder="1" applyAlignment="1">
      <alignment horizontal="left" wrapText="1"/>
    </xf>
    <xf numFmtId="0" fontId="7" fillId="0" borderId="1" xfId="0" quotePrefix="1" applyFont="1" applyBorder="1" applyAlignment="1">
      <alignment horizontal="left" wrapText="1"/>
    </xf>
    <xf numFmtId="0" fontId="20" fillId="0" borderId="1" xfId="0" quotePrefix="1" applyFont="1" applyBorder="1" applyAlignment="1">
      <alignment wrapText="1"/>
    </xf>
    <xf numFmtId="184" fontId="16" fillId="0" borderId="1" xfId="0" applyNumberFormat="1" applyFont="1" applyBorder="1" applyAlignment="1">
      <alignment horizontal="right"/>
    </xf>
    <xf numFmtId="0" fontId="15" fillId="0" borderId="1" xfId="0" quotePrefix="1" applyFont="1" applyBorder="1" applyAlignment="1">
      <alignment horizontal="left" indent="1"/>
    </xf>
    <xf numFmtId="184" fontId="18" fillId="0" borderId="1" xfId="0" applyNumberFormat="1" applyFont="1" applyBorder="1" applyAlignment="1">
      <alignment horizontal="right"/>
    </xf>
    <xf numFmtId="0" fontId="10" fillId="0" borderId="1" xfId="0" applyFont="1" applyBorder="1" applyAlignment="1">
      <alignment horizontal="left" indent="1"/>
    </xf>
    <xf numFmtId="10" fontId="10" fillId="0" borderId="1" xfId="0" applyNumberFormat="1" applyFont="1" applyBorder="1"/>
    <xf numFmtId="0" fontId="19" fillId="0" borderId="1" xfId="0" quotePrefix="1" applyFont="1" applyBorder="1"/>
    <xf numFmtId="184" fontId="15" fillId="0" borderId="1" xfId="0" applyNumberFormat="1" applyFont="1" applyBorder="1" applyAlignment="1">
      <alignment horizontal="right"/>
    </xf>
    <xf numFmtId="185" fontId="8" fillId="0" borderId="1" xfId="0" applyNumberFormat="1" applyFont="1" applyBorder="1" applyAlignment="1">
      <alignment horizontal="right"/>
    </xf>
    <xf numFmtId="183" fontId="3" fillId="0" borderId="1" xfId="0" applyNumberFormat="1" applyFont="1" applyBorder="1"/>
    <xf numFmtId="184" fontId="14" fillId="0" borderId="1" xfId="0" applyNumberFormat="1" applyFont="1" applyBorder="1"/>
    <xf numFmtId="184" fontId="8" fillId="0" borderId="1" xfId="0" applyNumberFormat="1" applyFont="1" applyBorder="1" applyAlignment="1">
      <alignment wrapText="1"/>
    </xf>
    <xf numFmtId="0" fontId="11" fillId="0" borderId="1" xfId="0" quotePrefix="1" applyFont="1" applyBorder="1" applyAlignment="1">
      <alignment horizontal="left" wrapText="1"/>
    </xf>
    <xf numFmtId="184"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4" fontId="7" fillId="0" borderId="1" xfId="0" applyNumberFormat="1" applyFont="1" applyBorder="1" applyAlignment="1">
      <alignment horizontal="left" wrapText="1" indent="1"/>
    </xf>
    <xf numFmtId="184" fontId="7" fillId="0" borderId="1" xfId="0" applyNumberFormat="1" applyFont="1" applyBorder="1" applyAlignment="1">
      <alignment horizontal="left" indent="1"/>
    </xf>
    <xf numFmtId="180" fontId="9" fillId="4" borderId="1" xfId="0" applyNumberFormat="1" applyFont="1" applyFill="1" applyBorder="1" applyAlignment="1">
      <alignment horizontal="left"/>
    </xf>
    <xf numFmtId="0" fontId="3" fillId="0" borderId="0" xfId="0" applyFont="1" applyAlignment="1">
      <alignment horizontal="left" indent="1"/>
    </xf>
    <xf numFmtId="0" fontId="10" fillId="0" borderId="0" xfId="0" applyFont="1" applyAlignment="1">
      <alignment horizontal="left" indent="1"/>
    </xf>
    <xf numFmtId="3" fontId="10" fillId="0" borderId="0" xfId="0" applyNumberFormat="1" applyFont="1"/>
    <xf numFmtId="10" fontId="14" fillId="0" borderId="1" xfId="0" applyNumberFormat="1" applyFont="1" applyBorder="1" applyAlignment="1">
      <alignment horizontal="right"/>
    </xf>
    <xf numFmtId="0" fontId="5" fillId="0" borderId="1" xfId="0" applyFont="1" applyBorder="1" applyAlignment="1">
      <alignment horizontal="left" indent="1"/>
    </xf>
    <xf numFmtId="0" fontId="6" fillId="0" borderId="1" xfId="0" applyFont="1" applyBorder="1" applyAlignment="1">
      <alignment horizontal="left" indent="1"/>
    </xf>
    <xf numFmtId="3" fontId="16" fillId="0" borderId="1" xfId="0" applyNumberFormat="1" applyFont="1" applyBorder="1"/>
    <xf numFmtId="3" fontId="11" fillId="0" borderId="1" xfId="0" applyNumberFormat="1" applyFont="1" applyBorder="1"/>
    <xf numFmtId="0" fontId="12" fillId="0" borderId="1" xfId="0" applyFont="1" applyBorder="1" applyAlignment="1">
      <alignment horizontal="right"/>
    </xf>
    <xf numFmtId="0" fontId="8" fillId="0" borderId="2" xfId="0" applyFont="1" applyBorder="1" applyAlignment="1">
      <alignment horizontal="left"/>
    </xf>
    <xf numFmtId="10" fontId="14" fillId="0" borderId="1" xfId="0" quotePrefix="1" applyNumberFormat="1" applyFont="1" applyBorder="1" applyAlignment="1">
      <alignment horizontal="right" wrapText="1"/>
    </xf>
    <xf numFmtId="10" fontId="14" fillId="0" borderId="1" xfId="0" quotePrefix="1" applyNumberFormat="1" applyFont="1" applyBorder="1" applyAlignment="1">
      <alignment wrapText="1"/>
    </xf>
    <xf numFmtId="0" fontId="15" fillId="0" borderId="1" xfId="0" applyFont="1" applyBorder="1" applyAlignment="1">
      <alignment horizontal="left" wrapText="1"/>
    </xf>
    <xf numFmtId="0" fontId="3" fillId="0" borderId="2" xfId="0" applyFont="1" applyBorder="1" applyAlignment="1">
      <alignment horizontal="right"/>
    </xf>
    <xf numFmtId="0" fontId="13" fillId="0" borderId="2" xfId="0" applyFont="1" applyBorder="1" applyAlignment="1">
      <alignment horizontal="left"/>
    </xf>
    <xf numFmtId="0" fontId="19" fillId="0" borderId="1" xfId="0" applyFont="1" applyBorder="1"/>
    <xf numFmtId="0" fontId="7" fillId="0" borderId="0" xfId="0" applyFont="1" applyAlignment="1">
      <alignment horizontal="right"/>
    </xf>
    <xf numFmtId="10" fontId="3" fillId="0" borderId="0" xfId="0" applyNumberFormat="1" applyFont="1"/>
    <xf numFmtId="0" fontId="11" fillId="0" borderId="2" xfId="0" applyFont="1" applyBorder="1" applyAlignment="1">
      <alignment horizontal="left"/>
    </xf>
    <xf numFmtId="0" fontId="8" fillId="0" borderId="2" xfId="0" applyFont="1" applyBorder="1" applyAlignment="1">
      <alignment horizontal="right"/>
    </xf>
    <xf numFmtId="0" fontId="15" fillId="0" borderId="1" xfId="0" applyFont="1" applyBorder="1" applyAlignment="1">
      <alignment horizontal="left" wrapText="1" indent="1"/>
    </xf>
    <xf numFmtId="184" fontId="13" fillId="0" borderId="0" xfId="0" applyNumberFormat="1" applyFont="1"/>
    <xf numFmtId="184" fontId="8" fillId="0" borderId="1" xfId="0" applyNumberFormat="1" applyFont="1" applyBorder="1" applyAlignment="1">
      <alignment horizontal="right" wrapText="1"/>
    </xf>
    <xf numFmtId="184" fontId="15" fillId="0" borderId="1" xfId="0" applyNumberFormat="1" applyFont="1" applyBorder="1" applyAlignment="1">
      <alignment horizontal="right" wrapText="1"/>
    </xf>
    <xf numFmtId="3" fontId="15" fillId="0" borderId="1" xfId="0" applyNumberFormat="1" applyFont="1" applyBorder="1" applyAlignment="1">
      <alignment horizontal="right"/>
    </xf>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2" fillId="0" borderId="1" xfId="0" quotePrefix="1" applyFont="1" applyBorder="1" applyAlignment="1">
      <alignment horizontal="left" wrapText="1"/>
    </xf>
    <xf numFmtId="0" fontId="23"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23" fillId="0" borderId="1" xfId="0" applyFont="1" applyBorder="1"/>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6" fillId="0" borderId="1" xfId="0" applyNumberFormat="1" applyFont="1" applyBorder="1" applyAlignment="1">
      <alignment horizontal="center"/>
    </xf>
    <xf numFmtId="186" fontId="3" fillId="0" borderId="0" xfId="0" applyNumberFormat="1" applyFont="1"/>
    <xf numFmtId="0" fontId="3" fillId="0" borderId="0" xfId="0" applyFont="1" applyAlignment="1">
      <alignment horizontal="left"/>
    </xf>
    <xf numFmtId="188" fontId="18" fillId="0" borderId="2" xfId="0" applyNumberFormat="1" applyFont="1" applyBorder="1" applyAlignment="1">
      <alignment horizontal="right"/>
    </xf>
    <xf numFmtId="188" fontId="15" fillId="0" borderId="2" xfId="0" applyNumberFormat="1" applyFont="1" applyBorder="1" applyAlignment="1">
      <alignment horizontal="right"/>
    </xf>
    <xf numFmtId="188" fontId="24" fillId="0" borderId="1" xfId="0" applyNumberFormat="1" applyFont="1" applyBorder="1" applyAlignment="1">
      <alignment horizontal="right"/>
    </xf>
    <xf numFmtId="184" fontId="3" fillId="5" borderId="1" xfId="0" applyNumberFormat="1" applyFont="1" applyFill="1" applyBorder="1"/>
    <xf numFmtId="0" fontId="14" fillId="0" borderId="1" xfId="0" applyFont="1" applyBorder="1"/>
    <xf numFmtId="10" fontId="3" fillId="0" borderId="0" xfId="0" applyNumberFormat="1" applyFont="1" applyAlignment="1">
      <alignment horizontal="right"/>
    </xf>
    <xf numFmtId="0" fontId="25" fillId="0" borderId="2" xfId="0" applyFont="1" applyBorder="1"/>
    <xf numFmtId="183" fontId="0" fillId="0" borderId="0" xfId="0" applyNumberFormat="1"/>
    <xf numFmtId="0" fontId="25" fillId="0" borderId="0" xfId="0" applyFont="1" applyAlignment="1">
      <alignment horizontal="left" indent="1"/>
    </xf>
    <xf numFmtId="186" fontId="25" fillId="0" borderId="0" xfId="0" applyNumberFormat="1" applyFont="1"/>
    <xf numFmtId="3" fontId="0" fillId="0" borderId="0" xfId="0" applyNumberFormat="1"/>
    <xf numFmtId="187" fontId="3" fillId="0" borderId="1" xfId="0" applyNumberFormat="1" applyFont="1" applyBorder="1"/>
    <xf numFmtId="187" fontId="14" fillId="0" borderId="1" xfId="0" applyNumberFormat="1" applyFont="1" applyBorder="1"/>
    <xf numFmtId="184" fontId="0" fillId="0" borderId="0" xfId="0" applyNumberFormat="1"/>
    <xf numFmtId="189" fontId="0" fillId="0" borderId="0" xfId="0" applyNumberFormat="1"/>
    <xf numFmtId="186" fontId="0" fillId="0" borderId="0" xfId="0" applyNumberFormat="1"/>
    <xf numFmtId="9" fontId="0" fillId="0" borderId="0" xfId="0" applyNumberFormat="1"/>
    <xf numFmtId="0" fontId="1" fillId="0" borderId="0" xfId="0" applyFont="1" applyAlignment="1">
      <alignment vertical="center" wrapText="1"/>
    </xf>
    <xf numFmtId="0" fontId="25" fillId="0" borderId="2" xfId="0" applyFont="1" applyBorder="1" applyAlignment="1">
      <alignment vertical="center"/>
    </xf>
    <xf numFmtId="0" fontId="27" fillId="0" borderId="0" xfId="0" applyFont="1"/>
    <xf numFmtId="10" fontId="7" fillId="0" borderId="0" xfId="0" applyNumberFormat="1" applyFont="1"/>
    <xf numFmtId="0" fontId="0" fillId="0" borderId="3" xfId="0" applyBorder="1"/>
    <xf numFmtId="184" fontId="0" fillId="0" borderId="3" xfId="0" applyNumberFormat="1" applyBorder="1"/>
    <xf numFmtId="186" fontId="0" fillId="0" borderId="3" xfId="0" applyNumberFormat="1" applyBorder="1"/>
    <xf numFmtId="183" fontId="0" fillId="0" borderId="3" xfId="0" applyNumberFormat="1" applyBorder="1"/>
    <xf numFmtId="0" fontId="1" fillId="0" borderId="3" xfId="0" applyFont="1" applyBorder="1" applyAlignment="1">
      <alignment horizontal="right"/>
    </xf>
    <xf numFmtId="0" fontId="1" fillId="0" borderId="3" xfId="0" applyFont="1" applyBorder="1"/>
    <xf numFmtId="0" fontId="28" fillId="6" borderId="3" xfId="0" applyFont="1" applyFill="1" applyBorder="1" applyAlignment="1">
      <alignment horizontal="center"/>
    </xf>
    <xf numFmtId="0" fontId="28" fillId="6" borderId="0" xfId="0" applyFont="1" applyFill="1" applyAlignment="1">
      <alignment horizontal="center"/>
    </xf>
    <xf numFmtId="0" fontId="25" fillId="0" borderId="0" xfId="0" applyFont="1"/>
    <xf numFmtId="9" fontId="31" fillId="0" borderId="0" xfId="0" applyNumberFormat="1" applyFont="1"/>
    <xf numFmtId="9" fontId="25" fillId="0" borderId="0" xfId="0" applyNumberFormat="1" applyFont="1"/>
    <xf numFmtId="183" fontId="32" fillId="0" borderId="0" xfId="0" applyNumberFormat="1" applyFont="1"/>
    <xf numFmtId="10" fontId="26" fillId="0" borderId="0" xfId="0" applyNumberFormat="1" applyFont="1"/>
    <xf numFmtId="183" fontId="1" fillId="0" borderId="0" xfId="0" applyNumberFormat="1" applyFont="1"/>
    <xf numFmtId="186" fontId="0" fillId="0" borderId="3" xfId="0" applyNumberFormat="1" applyBorder="1" applyAlignment="1">
      <alignment horizontal="center"/>
    </xf>
    <xf numFmtId="9" fontId="1" fillId="0" borderId="0" xfId="0" applyNumberFormat="1" applyFont="1"/>
    <xf numFmtId="183" fontId="0" fillId="0" borderId="3" xfId="0" applyNumberFormat="1" applyBorder="1" applyAlignment="1">
      <alignment horizontal="right"/>
    </xf>
    <xf numFmtId="9" fontId="0" fillId="0" borderId="3" xfId="0" applyNumberFormat="1" applyBorder="1"/>
    <xf numFmtId="9" fontId="26" fillId="0" borderId="3" xfId="0" applyNumberFormat="1" applyFont="1" applyBorder="1"/>
    <xf numFmtId="190" fontId="25" fillId="0" borderId="1" xfId="0" applyNumberFormat="1" applyFont="1" applyBorder="1" applyAlignment="1">
      <alignment horizontal="right"/>
    </xf>
    <xf numFmtId="186" fontId="0" fillId="7" borderId="3" xfId="0" applyNumberFormat="1" applyFill="1" applyBorder="1"/>
    <xf numFmtId="10" fontId="26" fillId="0" borderId="3" xfId="0" applyNumberFormat="1" applyFont="1" applyBorder="1" applyAlignment="1">
      <alignment horizontal="center"/>
    </xf>
    <xf numFmtId="191" fontId="31" fillId="0" borderId="0" xfId="0" applyNumberFormat="1" applyFont="1"/>
    <xf numFmtId="191" fontId="25" fillId="0" borderId="0" xfId="0" applyNumberFormat="1" applyFont="1"/>
    <xf numFmtId="191" fontId="26" fillId="0" borderId="3" xfId="0" applyNumberFormat="1" applyFont="1" applyBorder="1" applyAlignment="1">
      <alignment horizontal="center"/>
    </xf>
    <xf numFmtId="0" fontId="1" fillId="0" borderId="0" xfId="0" applyFont="1" applyAlignment="1">
      <alignment horizontal="center"/>
    </xf>
    <xf numFmtId="190" fontId="3" fillId="0" borderId="0" xfId="0" applyNumberFormat="1" applyFont="1"/>
    <xf numFmtId="0" fontId="1" fillId="0" borderId="0" xfId="0" quotePrefix="1" applyFont="1"/>
    <xf numFmtId="0" fontId="25" fillId="0" borderId="0" xfId="0" quotePrefix="1" applyFont="1" applyAlignment="1">
      <alignment horizontal="left" indent="1"/>
    </xf>
    <xf numFmtId="0" fontId="1" fillId="0" borderId="0" xfId="0" quotePrefix="1" applyFont="1" applyAlignment="1">
      <alignment horizontal="left"/>
    </xf>
    <xf numFmtId="191" fontId="27" fillId="0" borderId="0" xfId="0" applyNumberFormat="1" applyFont="1"/>
    <xf numFmtId="10" fontId="27" fillId="0" borderId="0" xfId="0" applyNumberFormat="1" applyFont="1"/>
    <xf numFmtId="0" fontId="1" fillId="0" borderId="0" xfId="0" applyFont="1" applyAlignment="1">
      <alignment vertical="center"/>
    </xf>
    <xf numFmtId="0" fontId="25" fillId="0" borderId="1" xfId="0" applyFont="1" applyBorder="1" applyAlignment="1">
      <alignment horizontal="left" indent="1"/>
    </xf>
    <xf numFmtId="0" fontId="33" fillId="0" borderId="0" xfId="0" applyFont="1" applyAlignment="1">
      <alignment horizontal="right"/>
    </xf>
    <xf numFmtId="9" fontId="3" fillId="0" borderId="0" xfId="0" applyNumberFormat="1" applyFont="1"/>
    <xf numFmtId="192" fontId="25" fillId="0" borderId="0" xfId="0" applyNumberFormat="1" applyFont="1" applyAlignment="1">
      <alignment horizontal="right"/>
    </xf>
    <xf numFmtId="0" fontId="33" fillId="0" borderId="0" xfId="0" applyFont="1"/>
    <xf numFmtId="10" fontId="33" fillId="0" borderId="0" xfId="0" applyNumberFormat="1" applyFont="1" applyAlignment="1">
      <alignment horizontal="center"/>
    </xf>
    <xf numFmtId="0" fontId="34" fillId="0" borderId="0" xfId="0" applyFont="1" applyAlignment="1">
      <alignment horizontal="right"/>
    </xf>
    <xf numFmtId="184" fontId="14" fillId="0" borderId="1" xfId="0" quotePrefix="1" applyNumberFormat="1" applyFont="1" applyBorder="1" applyAlignment="1">
      <alignment wrapText="1"/>
    </xf>
    <xf numFmtId="0" fontId="35" fillId="0" borderId="1" xfId="0" quotePrefix="1" applyFont="1" applyBorder="1" applyAlignment="1">
      <alignment horizontal="left" wrapText="1"/>
    </xf>
    <xf numFmtId="10" fontId="0" fillId="0" borderId="0" xfId="0" applyNumberFormat="1"/>
    <xf numFmtId="0" fontId="36" fillId="0" borderId="0" xfId="0" applyFont="1"/>
    <xf numFmtId="190" fontId="0" fillId="0" borderId="0" xfId="0" applyNumberFormat="1"/>
    <xf numFmtId="10" fontId="26" fillId="0" borderId="0" xfId="0" applyNumberFormat="1" applyFont="1" applyAlignment="1">
      <alignment vertical="center"/>
    </xf>
    <xf numFmtId="191" fontId="26" fillId="0" borderId="0" xfId="0" applyNumberFormat="1" applyFont="1" applyAlignment="1">
      <alignment vertical="center"/>
    </xf>
    <xf numFmtId="191" fontId="30" fillId="0" borderId="0" xfId="0" applyNumberFormat="1" applyFont="1"/>
    <xf numFmtId="10" fontId="30" fillId="0" borderId="0" xfId="0" applyNumberFormat="1" applyFont="1"/>
    <xf numFmtId="9" fontId="30" fillId="0" borderId="0" xfId="0" applyNumberFormat="1" applyFont="1"/>
    <xf numFmtId="191" fontId="26" fillId="0" borderId="0" xfId="0" applyNumberFormat="1" applyFont="1"/>
    <xf numFmtId="9" fontId="7" fillId="0" borderId="0" xfId="0" applyNumberFormat="1" applyFont="1"/>
    <xf numFmtId="9" fontId="26" fillId="0" borderId="0" xfId="0" applyNumberFormat="1" applyFont="1"/>
    <xf numFmtId="0" fontId="1" fillId="0" borderId="0" xfId="0" applyFont="1" applyAlignment="1">
      <alignment horizontal="left"/>
    </xf>
    <xf numFmtId="9" fontId="0" fillId="0" borderId="0" xfId="0" applyNumberFormat="1" applyAlignment="1">
      <alignment horizontal="right"/>
    </xf>
    <xf numFmtId="0" fontId="1" fillId="0" borderId="3" xfId="0" applyFont="1" applyBorder="1" applyAlignment="1">
      <alignment horizontal="left" vertical="center"/>
    </xf>
    <xf numFmtId="184" fontId="3" fillId="8" borderId="1" xfId="0" applyNumberFormat="1" applyFont="1" applyFill="1" applyBorder="1"/>
    <xf numFmtId="0" fontId="36" fillId="0" borderId="1" xfId="0" applyFont="1" applyBorder="1"/>
    <xf numFmtId="0" fontId="1" fillId="0" borderId="3" xfId="0" applyFont="1"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xf>
  </cellXfs>
  <cellStyles count="1">
    <cellStyle name="常规" xfId="0" builtinId="0"/>
  </cellStyles>
  <dxfs count="8">
    <dxf>
      <font>
        <color rgb="FF006100"/>
      </font>
      <fill>
        <patternFill>
          <bgColor rgb="FFC6EFCE"/>
        </patternFill>
      </fill>
    </dxf>
    <dxf>
      <fill>
        <patternFill>
          <bgColor theme="7" tint="0.7999816888943144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ont>
        <color rgb="FF006100"/>
      </font>
      <fill>
        <patternFill>
          <bgColor rgb="FFC6EFCE"/>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I100"/>
  <sheetViews>
    <sheetView showGridLines="0" zoomScale="90" workbookViewId="0">
      <selection activeCell="E84" sqref="E84"/>
    </sheetView>
  </sheetViews>
  <sheetFormatPr defaultRowHeight="11.65" x14ac:dyDescent="0.35"/>
  <cols>
    <col min="1" max="1" width="2.59765625" style="1" customWidth="1"/>
    <col min="2" max="2" width="23.1328125" style="1" customWidth="1"/>
    <col min="3" max="3" width="15.59765625" style="1" customWidth="1"/>
    <col min="4" max="5" width="25.59765625" style="1" customWidth="1"/>
    <col min="6" max="16384" width="9.06640625" style="1"/>
  </cols>
  <sheetData>
    <row r="1" spans="1:9" x14ac:dyDescent="0.35">
      <c r="B1" s="52" t="s">
        <v>103</v>
      </c>
      <c r="C1" s="55" t="s">
        <v>75</v>
      </c>
      <c r="D1" s="56" t="s">
        <v>73</v>
      </c>
    </row>
    <row r="2" spans="1:9" x14ac:dyDescent="0.35">
      <c r="B2" s="3" t="s">
        <v>70</v>
      </c>
      <c r="C2" s="48">
        <v>45643</v>
      </c>
      <c r="D2" s="59"/>
      <c r="E2" s="122" t="s">
        <v>188</v>
      </c>
    </row>
    <row r="3" spans="1:9" ht="13.9" x14ac:dyDescent="0.45">
      <c r="A3" s="39" t="s">
        <v>131</v>
      </c>
      <c r="B3" s="39"/>
      <c r="C3" s="39"/>
      <c r="D3" s="39"/>
      <c r="E3" s="39"/>
      <c r="F3" s="25"/>
      <c r="G3" s="25"/>
      <c r="H3" s="25"/>
      <c r="I3" s="25"/>
    </row>
    <row r="4" spans="1:9" x14ac:dyDescent="0.35">
      <c r="B4" s="50" t="s">
        <v>129</v>
      </c>
      <c r="C4" s="51"/>
    </row>
    <row r="5" spans="1:9" x14ac:dyDescent="0.35">
      <c r="B5" s="2" t="s">
        <v>130</v>
      </c>
      <c r="C5" s="28" t="s">
        <v>72</v>
      </c>
      <c r="D5" s="2"/>
    </row>
    <row r="6" spans="1:9" x14ac:dyDescent="0.35">
      <c r="B6" s="2" t="s">
        <v>83</v>
      </c>
      <c r="C6" s="49">
        <v>8</v>
      </c>
      <c r="D6" s="2"/>
    </row>
    <row r="7" spans="1:9" x14ac:dyDescent="0.35">
      <c r="B7" s="1" t="s">
        <v>84</v>
      </c>
      <c r="C7" s="36">
        <f>EOMONTH(EDATE(BS!C1,Thesis!C6),0)</f>
        <v>45626</v>
      </c>
    </row>
    <row r="9" spans="1:9" x14ac:dyDescent="0.35">
      <c r="B9" s="50" t="str">
        <f>D1&amp;" Stock Information"</f>
        <v>0590.HK Stock Information</v>
      </c>
      <c r="C9" s="51"/>
      <c r="D9" s="6"/>
    </row>
    <row r="10" spans="1:9" x14ac:dyDescent="0.35">
      <c r="B10" s="5" t="s">
        <v>205</v>
      </c>
      <c r="C10" s="57">
        <v>15.68</v>
      </c>
      <c r="D10" s="55" t="s">
        <v>69</v>
      </c>
    </row>
    <row r="11" spans="1:9" x14ac:dyDescent="0.35">
      <c r="B11" s="5" t="s">
        <v>1</v>
      </c>
      <c r="C11" s="58">
        <v>587107850</v>
      </c>
      <c r="D11" s="37"/>
    </row>
    <row r="12" spans="1:9" x14ac:dyDescent="0.35">
      <c r="B12" s="5" t="s">
        <v>2</v>
      </c>
      <c r="C12" s="55" t="s">
        <v>0</v>
      </c>
      <c r="D12" s="35"/>
    </row>
    <row r="13" spans="1:9" x14ac:dyDescent="0.35">
      <c r="B13" s="5" t="s">
        <v>3</v>
      </c>
      <c r="C13" s="57">
        <v>1</v>
      </c>
      <c r="D13" s="55" t="str">
        <f>IF(C12=D10,D10,C12&amp;"/"&amp;D10)</f>
        <v>HKD</v>
      </c>
    </row>
    <row r="14" spans="1:9" x14ac:dyDescent="0.35">
      <c r="B14" s="5" t="s">
        <v>36</v>
      </c>
      <c r="C14" s="38">
        <f>Thesis!C10*Thesis!C11/1000000</f>
        <v>9205.8510879999994</v>
      </c>
      <c r="D14" s="55"/>
    </row>
    <row r="15" spans="1:9" x14ac:dyDescent="0.35">
      <c r="D15" s="6"/>
    </row>
    <row r="16" spans="1:9" ht="13.9" x14ac:dyDescent="0.45">
      <c r="A16" s="39" t="s">
        <v>132</v>
      </c>
      <c r="B16" s="39"/>
      <c r="C16" s="39"/>
      <c r="D16" s="39"/>
      <c r="E16" s="39"/>
    </row>
    <row r="18" spans="1:4" x14ac:dyDescent="0.35">
      <c r="A18" s="19" t="str">
        <f>"1."</f>
        <v>1.</v>
      </c>
      <c r="B18" s="52" t="s">
        <v>104</v>
      </c>
    </row>
    <row r="19" spans="1:4" x14ac:dyDescent="0.35">
      <c r="B19" s="52" t="s">
        <v>114</v>
      </c>
    </row>
    <row r="20" spans="1:4" x14ac:dyDescent="0.35">
      <c r="B20" s="1" t="s">
        <v>93</v>
      </c>
    </row>
    <row r="22" spans="1:4" x14ac:dyDescent="0.35">
      <c r="B22" s="52" t="s">
        <v>135</v>
      </c>
      <c r="C22" s="147">
        <f>Data!C3</f>
        <v>1000</v>
      </c>
    </row>
    <row r="23" spans="1:4" x14ac:dyDescent="0.35">
      <c r="B23" s="1" t="s">
        <v>212</v>
      </c>
      <c r="C23" s="100">
        <f>Normalized_FCF!C11</f>
        <v>1080495.1269962033</v>
      </c>
      <c r="D23" s="1" t="str">
        <f>C12</f>
        <v>HKD</v>
      </c>
    </row>
    <row r="24" spans="1:4" x14ac:dyDescent="0.35">
      <c r="B24" s="1" t="s">
        <v>213</v>
      </c>
      <c r="C24" s="100">
        <f>Normalized_FCF!C19</f>
        <v>190177</v>
      </c>
    </row>
    <row r="25" spans="1:4" x14ac:dyDescent="0.35">
      <c r="B25" s="144" t="s">
        <v>134</v>
      </c>
      <c r="C25" s="100">
        <f>C23+C24</f>
        <v>1270672.1269962033</v>
      </c>
    </row>
    <row r="27" spans="1:4" x14ac:dyDescent="0.35">
      <c r="B27" s="1" t="s">
        <v>214</v>
      </c>
      <c r="C27" s="100">
        <f>Normalized_FCF!C20</f>
        <v>1270672.1269962033</v>
      </c>
    </row>
    <row r="28" spans="1:4" x14ac:dyDescent="0.35">
      <c r="B28" s="1" t="s">
        <v>215</v>
      </c>
      <c r="C28" s="143">
        <f>C27/(Common_Shares/Data!C3)</f>
        <v>2.1642908147050042</v>
      </c>
    </row>
    <row r="29" spans="1:4" x14ac:dyDescent="0.35">
      <c r="B29" s="1" t="s">
        <v>216</v>
      </c>
      <c r="C29" s="123">
        <f>C28/Market_Price</f>
        <v>0.13802875093781913</v>
      </c>
    </row>
    <row r="31" spans="1:4" x14ac:dyDescent="0.35">
      <c r="B31" s="53" t="s">
        <v>94</v>
      </c>
    </row>
    <row r="32" spans="1:4" x14ac:dyDescent="0.35">
      <c r="B32" s="53" t="s">
        <v>95</v>
      </c>
    </row>
    <row r="33" spans="1:4" x14ac:dyDescent="0.35">
      <c r="B33" s="53" t="s">
        <v>96</v>
      </c>
    </row>
    <row r="34" spans="1:4" x14ac:dyDescent="0.35">
      <c r="B34" s="53" t="s">
        <v>97</v>
      </c>
    </row>
    <row r="36" spans="1:4" x14ac:dyDescent="0.35">
      <c r="A36" s="19" t="str">
        <f>"2."</f>
        <v>2.</v>
      </c>
      <c r="B36" s="52" t="s">
        <v>105</v>
      </c>
    </row>
    <row r="37" spans="1:4" x14ac:dyDescent="0.35">
      <c r="B37" s="1" t="s">
        <v>232</v>
      </c>
      <c r="C37" s="165">
        <v>0.1</v>
      </c>
    </row>
    <row r="38" spans="1:4" x14ac:dyDescent="0.35">
      <c r="C38" s="123"/>
    </row>
    <row r="39" spans="1:4" x14ac:dyDescent="0.35">
      <c r="B39" s="18" t="s">
        <v>223</v>
      </c>
    </row>
    <row r="40" spans="1:4" x14ac:dyDescent="0.35">
      <c r="B40" s="144" t="s">
        <v>224</v>
      </c>
      <c r="C40" s="150">
        <v>0</v>
      </c>
      <c r="D40" s="54" t="s">
        <v>51</v>
      </c>
    </row>
    <row r="41" spans="1:4" x14ac:dyDescent="0.35">
      <c r="B41" s="144" t="s">
        <v>225</v>
      </c>
      <c r="C41" s="150">
        <v>0</v>
      </c>
      <c r="D41" s="149" t="s">
        <v>227</v>
      </c>
    </row>
    <row r="42" spans="1:4" x14ac:dyDescent="0.35">
      <c r="B42" s="144" t="s">
        <v>226</v>
      </c>
      <c r="C42" s="150">
        <v>0</v>
      </c>
    </row>
    <row r="43" spans="1:4" x14ac:dyDescent="0.35">
      <c r="B43" s="91" t="s">
        <v>223</v>
      </c>
      <c r="C43" s="92">
        <f>SUM(C40:C42)</f>
        <v>0</v>
      </c>
    </row>
    <row r="45" spans="1:4" x14ac:dyDescent="0.35">
      <c r="A45" s="19" t="str">
        <f>"3."</f>
        <v>3.</v>
      </c>
      <c r="B45" s="52" t="s">
        <v>106</v>
      </c>
    </row>
    <row r="46" spans="1:4" x14ac:dyDescent="0.35">
      <c r="B46" s="52" t="s">
        <v>92</v>
      </c>
    </row>
    <row r="47" spans="1:4" x14ac:dyDescent="0.35">
      <c r="B47" s="1" t="s">
        <v>98</v>
      </c>
    </row>
    <row r="48" spans="1:4" x14ac:dyDescent="0.35">
      <c r="B48" s="1" t="s">
        <v>99</v>
      </c>
    </row>
    <row r="50" spans="1:2" x14ac:dyDescent="0.35">
      <c r="B50" s="52" t="s">
        <v>100</v>
      </c>
    </row>
    <row r="51" spans="1:2" x14ac:dyDescent="0.35">
      <c r="B51" s="1" t="s">
        <v>101</v>
      </c>
    </row>
    <row r="53" spans="1:2" x14ac:dyDescent="0.35">
      <c r="A53" s="19" t="str">
        <f>"4."</f>
        <v>4.</v>
      </c>
      <c r="B53" s="52" t="s">
        <v>133</v>
      </c>
    </row>
    <row r="54" spans="1:2" x14ac:dyDescent="0.35">
      <c r="B54" s="52" t="s">
        <v>114</v>
      </c>
    </row>
    <row r="55" spans="1:2" x14ac:dyDescent="0.35">
      <c r="B55" s="1" t="s">
        <v>102</v>
      </c>
    </row>
    <row r="57" spans="1:2" x14ac:dyDescent="0.35">
      <c r="B57" s="52" t="s">
        <v>107</v>
      </c>
    </row>
    <row r="58" spans="1:2" x14ac:dyDescent="0.35">
      <c r="B58" s="1" t="s">
        <v>108</v>
      </c>
    </row>
    <row r="60" spans="1:2" x14ac:dyDescent="0.35">
      <c r="B60" s="52" t="s">
        <v>110</v>
      </c>
    </row>
    <row r="61" spans="1:2" x14ac:dyDescent="0.35">
      <c r="B61" s="1" t="s">
        <v>59</v>
      </c>
    </row>
    <row r="62" spans="1:2" x14ac:dyDescent="0.35">
      <c r="B62" s="1" t="s">
        <v>109</v>
      </c>
    </row>
    <row r="63" spans="1:2" x14ac:dyDescent="0.35">
      <c r="B63" s="1" t="s">
        <v>60</v>
      </c>
    </row>
    <row r="65" spans="1:3" x14ac:dyDescent="0.35">
      <c r="B65" s="52" t="s">
        <v>38</v>
      </c>
    </row>
    <row r="66" spans="1:3" ht="12.75" x14ac:dyDescent="0.35">
      <c r="B66" s="138" t="s">
        <v>264</v>
      </c>
      <c r="C66"/>
    </row>
    <row r="67" spans="1:3" ht="12.75" x14ac:dyDescent="0.35">
      <c r="B67" s="138" t="s">
        <v>262</v>
      </c>
      <c r="C67" s="196">
        <v>3</v>
      </c>
    </row>
    <row r="68" spans="1:3" ht="12.75" x14ac:dyDescent="0.35">
      <c r="B68" s="138" t="s">
        <v>306</v>
      </c>
      <c r="C68" s="217">
        <v>0.2</v>
      </c>
    </row>
    <row r="69" spans="1:3" x14ac:dyDescent="0.35">
      <c r="B69" s="1" t="s">
        <v>126</v>
      </c>
      <c r="C69" s="201">
        <f>Scenarios!F71</f>
        <v>-0.26862203580089039</v>
      </c>
    </row>
    <row r="71" spans="1:3" x14ac:dyDescent="0.35">
      <c r="B71" s="52" t="s">
        <v>111</v>
      </c>
    </row>
    <row r="72" spans="1:3" x14ac:dyDescent="0.35">
      <c r="B72" s="1" t="s">
        <v>112</v>
      </c>
    </row>
    <row r="74" spans="1:3" x14ac:dyDescent="0.35">
      <c r="A74" s="19" t="str">
        <f>"5."</f>
        <v>5.</v>
      </c>
      <c r="B74" s="52" t="s">
        <v>113</v>
      </c>
    </row>
    <row r="75" spans="1:3" x14ac:dyDescent="0.35">
      <c r="B75" s="52" t="s">
        <v>114</v>
      </c>
    </row>
    <row r="76" spans="1:3" x14ac:dyDescent="0.35">
      <c r="B76" s="1" t="s">
        <v>116</v>
      </c>
    </row>
    <row r="78" spans="1:3" x14ac:dyDescent="0.35">
      <c r="B78" s="52" t="s">
        <v>115</v>
      </c>
    </row>
    <row r="79" spans="1:3" x14ac:dyDescent="0.35">
      <c r="B79" s="1" t="s">
        <v>117</v>
      </c>
    </row>
    <row r="80" spans="1:3" x14ac:dyDescent="0.35">
      <c r="B80" s="1" t="s">
        <v>118</v>
      </c>
    </row>
    <row r="82" spans="1:5" ht="13.9" x14ac:dyDescent="0.45">
      <c r="A82" s="39" t="s">
        <v>127</v>
      </c>
      <c r="B82" s="39"/>
      <c r="C82" s="39"/>
      <c r="D82" s="39"/>
      <c r="E82" s="39"/>
    </row>
    <row r="84" spans="1:5" ht="12.4" x14ac:dyDescent="0.4">
      <c r="B84" s="172" t="s">
        <v>248</v>
      </c>
      <c r="C84" s="172" t="s">
        <v>273</v>
      </c>
      <c r="D84" s="173" t="s">
        <v>243</v>
      </c>
      <c r="E84" s="173" t="s">
        <v>251</v>
      </c>
    </row>
    <row r="85" spans="1:5" ht="12.75" x14ac:dyDescent="0.35">
      <c r="B85" s="171" t="s">
        <v>245</v>
      </c>
      <c r="C85" s="187"/>
      <c r="D85" s="180"/>
      <c r="E85" s="187"/>
    </row>
    <row r="86" spans="1:5" ht="12.75" x14ac:dyDescent="0.35">
      <c r="B86" s="171" t="s">
        <v>246</v>
      </c>
      <c r="C86" s="187"/>
      <c r="D86" s="180"/>
      <c r="E86" s="187"/>
    </row>
    <row r="87" spans="1:5" ht="12.75" x14ac:dyDescent="0.35">
      <c r="B87" s="171" t="s">
        <v>244</v>
      </c>
      <c r="C87" s="187"/>
      <c r="D87" s="180"/>
      <c r="E87" s="187"/>
    </row>
    <row r="88" spans="1:5" ht="12.75" x14ac:dyDescent="0.35">
      <c r="B88" s="171" t="s">
        <v>247</v>
      </c>
      <c r="C88" s="187"/>
      <c r="D88" s="180"/>
      <c r="E88" s="187"/>
    </row>
    <row r="90" spans="1:5" x14ac:dyDescent="0.35">
      <c r="B90" s="52" t="s">
        <v>128</v>
      </c>
      <c r="C90" s="192">
        <f>Scenarios!C71</f>
        <v>13.72374374218604</v>
      </c>
      <c r="D90" s="1" t="str">
        <f>Reporting_currency</f>
        <v>HKD</v>
      </c>
    </row>
    <row r="92" spans="1:5" ht="13.9" x14ac:dyDescent="0.45">
      <c r="A92" s="39" t="s">
        <v>119</v>
      </c>
      <c r="B92" s="39"/>
      <c r="C92" s="39"/>
      <c r="D92" s="39"/>
      <c r="E92" s="39"/>
    </row>
    <row r="93" spans="1:5" x14ac:dyDescent="0.35">
      <c r="B93" s="52" t="s">
        <v>120</v>
      </c>
    </row>
    <row r="94" spans="1:5" x14ac:dyDescent="0.35">
      <c r="B94" s="1" t="s">
        <v>121</v>
      </c>
    </row>
    <row r="96" spans="1:5" x14ac:dyDescent="0.35">
      <c r="B96" s="52" t="s">
        <v>122</v>
      </c>
    </row>
    <row r="97" spans="2:2" x14ac:dyDescent="0.35">
      <c r="B97" s="1" t="s">
        <v>123</v>
      </c>
    </row>
    <row r="99" spans="2:2" x14ac:dyDescent="0.35">
      <c r="B99" s="52" t="s">
        <v>124</v>
      </c>
    </row>
    <row r="100" spans="2:2" x14ac:dyDescent="0.35">
      <c r="B100" s="1" t="s">
        <v>125</v>
      </c>
    </row>
  </sheetData>
  <phoneticPr fontId="2" type="noConversion"/>
  <conditionalFormatting sqref="D85:D88">
    <cfRule type="cellIs" dxfId="7" priority="1" operator="lessThan">
      <formula>$F$13</formula>
    </cfRule>
  </conditionalFormatting>
  <dataValidations count="4">
    <dataValidation type="list" allowBlank="1" sqref="C12" xr:uid="{00000000-0002-0000-0000-000001000000}">
      <formula1>"HKD,USD,CNY,EUR"</formula1>
    </dataValidation>
    <dataValidation type="list" allowBlank="1" showInputMessage="1" showErrorMessage="1" sqref="E2" xr:uid="{45F807FD-9E0F-415A-9BBD-D5FB6470B56D}">
      <formula1>"Status: Not Held, Status: Held"</formula1>
    </dataValidation>
    <dataValidation type="list" allowBlank="1" showInputMessage="1" showErrorMessage="1" sqref="D40" xr:uid="{7A4D0D78-B7B0-41D6-9553-BB65BF9D0DE8}">
      <formula1>"US, CN, HK, Others"</formula1>
    </dataValidation>
    <dataValidation type="list" allowBlank="1" showInputMessage="1" showErrorMessage="1" sqref="D41" xr:uid="{E2751D42-64D4-404F-8920-D495B29DB1C3}">
      <formula1>"Stable Business, Moderate Risk, High Risk"</formula1>
    </dataValidation>
  </dataValidations>
  <pageMargins left="0.25" right="0.25" top="0.75" bottom="0.75" header="0.3" footer="0.3"/>
  <pageSetup paperSize="9"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67"/>
  <sheetViews>
    <sheetView showGridLines="0" zoomScaleNormal="100" workbookViewId="0">
      <pane xSplit="2" ySplit="1" topLeftCell="C32" activePane="bottomRight" state="frozen"/>
      <selection pane="topRight" activeCell="C1" sqref="C1"/>
      <selection pane="bottomLeft" activeCell="A2" sqref="A2"/>
      <selection pane="bottomRight" activeCell="B51" sqref="B51:G51"/>
    </sheetView>
  </sheetViews>
  <sheetFormatPr defaultColWidth="8.796875" defaultRowHeight="11.65" x14ac:dyDescent="0.35"/>
  <cols>
    <col min="1" max="1" width="3" style="1" customWidth="1"/>
    <col min="2" max="2" width="27.33203125" style="1" customWidth="1"/>
    <col min="3" max="13" width="20.59765625" style="1" customWidth="1"/>
    <col min="14" max="16384" width="8.796875" style="1"/>
  </cols>
  <sheetData>
    <row r="1" spans="2:13" x14ac:dyDescent="0.35">
      <c r="B1" s="120" t="str">
        <f>Thesis!C12</f>
        <v>HKD</v>
      </c>
      <c r="C1" s="142">
        <v>45382</v>
      </c>
      <c r="D1" s="41">
        <f>EOMONTH(EDATE(C1,-12),0)</f>
        <v>45016</v>
      </c>
      <c r="E1" s="41">
        <f t="shared" ref="E1:M1" si="0">EOMONTH(EDATE(D1,-12),0)</f>
        <v>44651</v>
      </c>
      <c r="F1" s="41">
        <f t="shared" si="0"/>
        <v>44286</v>
      </c>
      <c r="G1" s="41">
        <f t="shared" si="0"/>
        <v>43921</v>
      </c>
      <c r="H1" s="41">
        <f t="shared" si="0"/>
        <v>43555</v>
      </c>
      <c r="I1" s="41">
        <f t="shared" si="0"/>
        <v>43190</v>
      </c>
      <c r="J1" s="41">
        <f t="shared" si="0"/>
        <v>42825</v>
      </c>
      <c r="K1" s="41">
        <f t="shared" si="0"/>
        <v>42460</v>
      </c>
      <c r="L1" s="41">
        <f t="shared" si="0"/>
        <v>42094</v>
      </c>
      <c r="M1" s="41">
        <f t="shared" si="0"/>
        <v>41729</v>
      </c>
    </row>
    <row r="2" spans="2:13" ht="13.9" x14ac:dyDescent="0.45">
      <c r="B2" s="39" t="s">
        <v>211</v>
      </c>
      <c r="C2" s="40"/>
      <c r="D2" s="40"/>
      <c r="E2" s="40"/>
      <c r="F2" s="40"/>
      <c r="G2" s="40"/>
      <c r="H2" s="40"/>
      <c r="I2" s="40"/>
      <c r="J2" s="40"/>
      <c r="K2" s="40"/>
      <c r="L2" s="40"/>
      <c r="M2" s="40"/>
    </row>
    <row r="3" spans="2:13" x14ac:dyDescent="0.35">
      <c r="B3" s="18" t="s">
        <v>43</v>
      </c>
      <c r="C3" s="145">
        <v>1000</v>
      </c>
    </row>
    <row r="4" spans="2:13" x14ac:dyDescent="0.35">
      <c r="B4" s="35" t="s">
        <v>4</v>
      </c>
      <c r="C4" s="76">
        <v>15325962</v>
      </c>
      <c r="D4" s="76">
        <v>11977844</v>
      </c>
      <c r="E4" s="76">
        <v>11737803</v>
      </c>
      <c r="F4" s="76">
        <v>8861335</v>
      </c>
      <c r="G4" s="76">
        <v>11233771</v>
      </c>
      <c r="H4" s="76">
        <v>15859990</v>
      </c>
      <c r="I4" s="76"/>
      <c r="J4" s="76"/>
      <c r="K4" s="76"/>
      <c r="L4" s="76"/>
      <c r="M4" s="76"/>
    </row>
    <row r="5" spans="2:13" x14ac:dyDescent="0.35">
      <c r="B5" s="44" t="s">
        <v>77</v>
      </c>
      <c r="C5" s="76">
        <v>11151623</v>
      </c>
      <c r="D5" s="76">
        <v>8747447</v>
      </c>
      <c r="E5" s="76">
        <v>8503976</v>
      </c>
      <c r="F5" s="76">
        <v>6229020</v>
      </c>
      <c r="G5" s="76">
        <v>7910751</v>
      </c>
      <c r="H5" s="76">
        <v>11826154</v>
      </c>
      <c r="I5" s="76"/>
      <c r="J5" s="76"/>
      <c r="K5" s="76"/>
      <c r="L5" s="76"/>
      <c r="M5" s="76"/>
    </row>
    <row r="6" spans="2:13" x14ac:dyDescent="0.35">
      <c r="B6" s="44" t="s">
        <v>91</v>
      </c>
      <c r="C6" s="76">
        <v>2297566</v>
      </c>
      <c r="D6" s="76">
        <v>1867515</v>
      </c>
      <c r="E6" s="76">
        <v>1815111</v>
      </c>
      <c r="F6" s="76">
        <v>1694480</v>
      </c>
      <c r="G6" s="76">
        <v>2118252</v>
      </c>
      <c r="H6" s="76">
        <v>2416769</v>
      </c>
      <c r="I6" s="76"/>
      <c r="J6" s="76"/>
      <c r="K6" s="76"/>
      <c r="L6" s="76"/>
      <c r="M6" s="76"/>
    </row>
    <row r="7" spans="2:13" x14ac:dyDescent="0.35">
      <c r="B7" s="89" t="s">
        <v>140</v>
      </c>
      <c r="C7" s="90">
        <v>2043459</v>
      </c>
      <c r="D7" s="90">
        <v>1517989</v>
      </c>
      <c r="E7" s="90">
        <v>1491293</v>
      </c>
      <c r="F7" s="90">
        <v>1412494</v>
      </c>
      <c r="G7" s="90"/>
      <c r="H7" s="90"/>
      <c r="I7" s="90"/>
      <c r="J7" s="90"/>
      <c r="K7" s="90"/>
      <c r="L7" s="90"/>
      <c r="M7" s="90"/>
    </row>
    <row r="8" spans="2:13" x14ac:dyDescent="0.35">
      <c r="B8" s="44" t="s">
        <v>85</v>
      </c>
      <c r="C8" s="76"/>
      <c r="D8" s="76"/>
      <c r="E8" s="76"/>
      <c r="F8" s="76"/>
      <c r="G8" s="76"/>
      <c r="H8" s="76"/>
      <c r="I8" s="76"/>
      <c r="J8" s="76"/>
      <c r="K8" s="76"/>
      <c r="L8" s="76"/>
      <c r="M8" s="76"/>
    </row>
    <row r="9" spans="2:13" x14ac:dyDescent="0.35">
      <c r="B9" s="44" t="s">
        <v>66</v>
      </c>
      <c r="C9" s="76">
        <v>59596</v>
      </c>
      <c r="D9" s="76">
        <v>20763</v>
      </c>
      <c r="E9" s="76">
        <v>23097</v>
      </c>
      <c r="F9" s="76">
        <v>28849</v>
      </c>
      <c r="G9" s="76">
        <v>63075</v>
      </c>
      <c r="H9" s="76">
        <v>34253</v>
      </c>
      <c r="I9" s="76"/>
      <c r="J9" s="76"/>
      <c r="K9" s="76"/>
      <c r="L9" s="76"/>
      <c r="M9" s="76"/>
    </row>
    <row r="10" spans="2:13" x14ac:dyDescent="0.35">
      <c r="B10" s="44" t="s">
        <v>150</v>
      </c>
      <c r="C10" s="76">
        <v>28977</v>
      </c>
      <c r="D10" s="76">
        <v>33125</v>
      </c>
      <c r="E10" s="76">
        <v>87344</v>
      </c>
      <c r="F10" s="76">
        <v>63398</v>
      </c>
      <c r="G10" s="76"/>
      <c r="H10" s="76"/>
      <c r="I10" s="76"/>
      <c r="J10" s="76"/>
      <c r="K10" s="76"/>
      <c r="L10" s="76"/>
      <c r="M10" s="76"/>
    </row>
    <row r="11" spans="2:13" x14ac:dyDescent="0.35">
      <c r="B11" s="44" t="s">
        <v>86</v>
      </c>
      <c r="C11" s="76">
        <v>327166</v>
      </c>
      <c r="D11" s="76">
        <v>280664</v>
      </c>
      <c r="E11" s="76">
        <v>291296</v>
      </c>
      <c r="F11" s="76">
        <v>236303</v>
      </c>
      <c r="G11" s="76"/>
      <c r="H11" s="76"/>
      <c r="I11" s="76"/>
      <c r="J11" s="76"/>
      <c r="K11" s="76"/>
      <c r="L11" s="76"/>
      <c r="M11" s="76"/>
    </row>
    <row r="12" spans="2:13" x14ac:dyDescent="0.35">
      <c r="B12" s="47" t="s">
        <v>74</v>
      </c>
      <c r="C12" s="88">
        <v>1767305</v>
      </c>
      <c r="D12" s="88">
        <v>1284757</v>
      </c>
      <c r="E12" s="88">
        <v>1392364</v>
      </c>
      <c r="F12" s="88">
        <v>1017335</v>
      </c>
      <c r="G12" s="88">
        <v>866315</v>
      </c>
      <c r="H12" s="88"/>
      <c r="I12" s="88"/>
      <c r="J12" s="88"/>
      <c r="K12" s="88"/>
      <c r="L12" s="88"/>
      <c r="M12" s="88"/>
    </row>
    <row r="13" spans="2:13" x14ac:dyDescent="0.35">
      <c r="B13" s="31" t="s">
        <v>78</v>
      </c>
      <c r="C13" s="76">
        <v>-9467</v>
      </c>
      <c r="D13" s="76">
        <v>-30</v>
      </c>
      <c r="E13" s="76">
        <v>-27</v>
      </c>
      <c r="F13" s="76">
        <v>1799</v>
      </c>
      <c r="G13" s="76">
        <v>1337</v>
      </c>
      <c r="H13" s="76">
        <v>10908</v>
      </c>
      <c r="I13" s="76"/>
      <c r="J13" s="76"/>
      <c r="K13" s="76"/>
      <c r="L13" s="76"/>
      <c r="M13" s="76"/>
    </row>
    <row r="15" spans="2:13" x14ac:dyDescent="0.35">
      <c r="B15" s="18" t="s">
        <v>87</v>
      </c>
      <c r="C15" s="11"/>
    </row>
    <row r="16" spans="2:13" x14ac:dyDescent="0.35">
      <c r="B16" s="30" t="s">
        <v>81</v>
      </c>
      <c r="C16" s="76">
        <v>463424</v>
      </c>
      <c r="D16" s="76">
        <v>371724</v>
      </c>
      <c r="E16" s="76">
        <v>435672</v>
      </c>
      <c r="F16" s="76">
        <v>520888</v>
      </c>
      <c r="G16" s="76"/>
      <c r="H16" s="76"/>
      <c r="I16" s="76"/>
      <c r="J16" s="76"/>
      <c r="K16" s="76"/>
      <c r="L16" s="76"/>
      <c r="M16" s="76"/>
    </row>
    <row r="17" spans="2:13" x14ac:dyDescent="0.35">
      <c r="B17" s="30" t="s">
        <v>89</v>
      </c>
      <c r="C17" s="76">
        <v>676387</v>
      </c>
      <c r="D17" s="76">
        <v>107280</v>
      </c>
      <c r="E17" s="76">
        <v>455483</v>
      </c>
      <c r="F17" s="76">
        <v>138937</v>
      </c>
      <c r="G17" s="76"/>
      <c r="H17" s="76"/>
      <c r="I17" s="76"/>
      <c r="J17" s="76"/>
      <c r="K17" s="76"/>
      <c r="L17" s="76"/>
      <c r="M17" s="76"/>
    </row>
    <row r="18" spans="2:13" x14ac:dyDescent="0.35">
      <c r="B18" s="30" t="s">
        <v>88</v>
      </c>
      <c r="C18" s="76">
        <v>626583</v>
      </c>
      <c r="D18" s="76">
        <v>352099</v>
      </c>
      <c r="E18" s="76">
        <v>1045251</v>
      </c>
      <c r="F18" s="76">
        <v>-818677</v>
      </c>
      <c r="G18" s="76"/>
      <c r="H18" s="76"/>
      <c r="I18" s="76"/>
      <c r="J18" s="76"/>
      <c r="K18" s="76"/>
      <c r="L18" s="76"/>
      <c r="M18" s="76"/>
    </row>
    <row r="19" spans="2:13" x14ac:dyDescent="0.35">
      <c r="B19" s="27" t="s">
        <v>61</v>
      </c>
      <c r="C19" s="42">
        <v>1.3599999999999999</v>
      </c>
      <c r="D19" s="42">
        <v>1.1000000000000001</v>
      </c>
      <c r="E19" s="42">
        <v>1.1000000000000001</v>
      </c>
      <c r="F19" s="42">
        <v>1</v>
      </c>
      <c r="G19" s="42">
        <v>1</v>
      </c>
      <c r="H19" s="42">
        <v>1.1499999999999999</v>
      </c>
      <c r="I19" s="42"/>
      <c r="J19" s="42"/>
      <c r="K19" s="42"/>
      <c r="L19" s="42"/>
      <c r="M19" s="42"/>
    </row>
    <row r="21" spans="2:13" x14ac:dyDescent="0.35">
      <c r="B21" s="18" t="s">
        <v>44</v>
      </c>
      <c r="C21" s="11"/>
    </row>
    <row r="22" spans="2:13" x14ac:dyDescent="0.35">
      <c r="B22" s="29" t="s">
        <v>39</v>
      </c>
      <c r="C22" s="65"/>
      <c r="D22" s="76">
        <v>213823</v>
      </c>
      <c r="E22" s="76">
        <v>187711</v>
      </c>
      <c r="F22" s="76">
        <v>277338</v>
      </c>
      <c r="G22" s="76"/>
      <c r="H22" s="76"/>
      <c r="I22" s="76"/>
      <c r="J22" s="76"/>
      <c r="K22" s="76"/>
      <c r="L22" s="76"/>
      <c r="M22" s="76"/>
    </row>
    <row r="23" spans="2:13" x14ac:dyDescent="0.35">
      <c r="B23" s="29" t="s">
        <v>48</v>
      </c>
      <c r="C23" s="65"/>
      <c r="D23" s="76">
        <v>8852611</v>
      </c>
      <c r="E23" s="76">
        <v>8769304</v>
      </c>
      <c r="F23" s="76">
        <v>7321614</v>
      </c>
      <c r="G23" s="76"/>
      <c r="H23" s="76"/>
      <c r="I23" s="76"/>
      <c r="J23" s="76"/>
      <c r="K23" s="76"/>
      <c r="L23" s="76"/>
      <c r="M23" s="76"/>
    </row>
    <row r="24" spans="2:13" x14ac:dyDescent="0.35">
      <c r="B24" s="32" t="s">
        <v>67</v>
      </c>
      <c r="C24" s="88">
        <v>3990166</v>
      </c>
      <c r="D24" s="88">
        <v>2466431</v>
      </c>
      <c r="E24" s="88">
        <v>3908586</v>
      </c>
      <c r="F24" s="88">
        <v>2946772</v>
      </c>
      <c r="G24" s="88"/>
      <c r="H24" s="88"/>
      <c r="I24" s="88"/>
      <c r="J24" s="88"/>
      <c r="K24" s="88"/>
      <c r="L24" s="88"/>
      <c r="M24" s="88"/>
    </row>
    <row r="25" spans="2:13" x14ac:dyDescent="0.35">
      <c r="B25" s="32" t="s">
        <v>46</v>
      </c>
      <c r="C25" s="88">
        <v>12863898</v>
      </c>
      <c r="D25" s="88">
        <v>12220942</v>
      </c>
      <c r="E25" s="88">
        <v>12078528</v>
      </c>
      <c r="F25" s="88">
        <v>11324224</v>
      </c>
      <c r="G25" s="88"/>
      <c r="H25" s="88"/>
      <c r="I25" s="88"/>
      <c r="J25" s="88"/>
      <c r="K25" s="88"/>
      <c r="L25" s="88"/>
      <c r="M25" s="88"/>
    </row>
    <row r="27" spans="2:13" x14ac:dyDescent="0.35">
      <c r="B27" s="18" t="s">
        <v>90</v>
      </c>
      <c r="C27" s="11"/>
    </row>
    <row r="28" spans="2:13" x14ac:dyDescent="0.35">
      <c r="B28" s="29" t="s">
        <v>68</v>
      </c>
      <c r="C28" s="76">
        <f>20356+1075000</f>
        <v>1095356</v>
      </c>
      <c r="D28" s="76">
        <f>24308+1075000</f>
        <v>1099308</v>
      </c>
      <c r="E28" s="76">
        <f>32736+1075000</f>
        <v>1107736</v>
      </c>
      <c r="F28" s="76">
        <f>47325+1075000</f>
        <v>1122325</v>
      </c>
      <c r="G28" s="76"/>
      <c r="H28" s="76"/>
      <c r="I28" s="76"/>
      <c r="J28" s="76"/>
      <c r="K28" s="76"/>
      <c r="L28" s="76"/>
      <c r="M28" s="76"/>
    </row>
    <row r="30" spans="2:13" ht="13.9" x14ac:dyDescent="0.45">
      <c r="B30" s="39" t="s">
        <v>186</v>
      </c>
      <c r="C30" s="40"/>
      <c r="D30" s="40"/>
      <c r="E30" s="40"/>
      <c r="F30" s="40"/>
      <c r="G30" s="40"/>
      <c r="H30" s="40"/>
      <c r="I30" s="40"/>
      <c r="J30" s="40"/>
      <c r="K30" s="40"/>
      <c r="L30" s="40"/>
      <c r="M30" s="40"/>
    </row>
    <row r="31" spans="2:13" x14ac:dyDescent="0.35">
      <c r="B31" s="18" t="s">
        <v>43</v>
      </c>
    </row>
    <row r="32" spans="2:13" x14ac:dyDescent="0.35">
      <c r="B32" s="35" t="s">
        <v>4</v>
      </c>
      <c r="C32" s="65">
        <f t="shared" ref="C32:M32" si="1">IF(C$4="","",C4)</f>
        <v>15325962</v>
      </c>
      <c r="D32" s="65">
        <f t="shared" si="1"/>
        <v>11977844</v>
      </c>
      <c r="E32" s="65">
        <f t="shared" si="1"/>
        <v>11737803</v>
      </c>
      <c r="F32" s="65">
        <f t="shared" si="1"/>
        <v>8861335</v>
      </c>
      <c r="G32" s="65">
        <f t="shared" si="1"/>
        <v>11233771</v>
      </c>
      <c r="H32" s="65">
        <f t="shared" si="1"/>
        <v>15859990</v>
      </c>
      <c r="I32" s="65" t="str">
        <f t="shared" si="1"/>
        <v/>
      </c>
      <c r="J32" s="65" t="str">
        <f t="shared" si="1"/>
        <v/>
      </c>
      <c r="K32" s="65" t="str">
        <f t="shared" si="1"/>
        <v/>
      </c>
      <c r="L32" s="65" t="str">
        <f t="shared" si="1"/>
        <v/>
      </c>
      <c r="M32" s="65" t="str">
        <f t="shared" si="1"/>
        <v/>
      </c>
    </row>
    <row r="33" spans="2:13" x14ac:dyDescent="0.35">
      <c r="B33" s="44" t="s">
        <v>77</v>
      </c>
      <c r="C33" s="65">
        <f t="shared" ref="C33:M33" si="2">IF(C$4="","",-C5)</f>
        <v>-11151623</v>
      </c>
      <c r="D33" s="65">
        <f t="shared" si="2"/>
        <v>-8747447</v>
      </c>
      <c r="E33" s="65">
        <f t="shared" si="2"/>
        <v>-8503976</v>
      </c>
      <c r="F33" s="65">
        <f t="shared" si="2"/>
        <v>-6229020</v>
      </c>
      <c r="G33" s="65">
        <f t="shared" si="2"/>
        <v>-7910751</v>
      </c>
      <c r="H33" s="65">
        <f t="shared" si="2"/>
        <v>-11826154</v>
      </c>
      <c r="I33" s="65" t="str">
        <f t="shared" si="2"/>
        <v/>
      </c>
      <c r="J33" s="65" t="str">
        <f t="shared" si="2"/>
        <v/>
      </c>
      <c r="K33" s="65" t="str">
        <f t="shared" si="2"/>
        <v/>
      </c>
      <c r="L33" s="65" t="str">
        <f t="shared" si="2"/>
        <v/>
      </c>
      <c r="M33" s="65" t="str">
        <f t="shared" si="2"/>
        <v/>
      </c>
    </row>
    <row r="34" spans="2:13" x14ac:dyDescent="0.35">
      <c r="B34" s="34" t="s">
        <v>137</v>
      </c>
      <c r="C34" s="80">
        <f>IF(C32="","",C32+C33)</f>
        <v>4174339</v>
      </c>
      <c r="D34" s="80">
        <f t="shared" ref="D34" si="3">IF(D32="","",D32+D33)</f>
        <v>3230397</v>
      </c>
      <c r="E34" s="80">
        <f t="shared" ref="E34" si="4">IF(E32="","",E32+E33)</f>
        <v>3233827</v>
      </c>
      <c r="F34" s="80">
        <f t="shared" ref="F34" si="5">IF(F32="","",F32+F33)</f>
        <v>2632315</v>
      </c>
      <c r="G34" s="80">
        <f t="shared" ref="G34" si="6">IF(G32="","",G32+G33)</f>
        <v>3323020</v>
      </c>
      <c r="H34" s="80">
        <f t="shared" ref="H34" si="7">IF(H32="","",H32+H33)</f>
        <v>4033836</v>
      </c>
      <c r="I34" s="80" t="str">
        <f t="shared" ref="I34" si="8">IF(I32="","",I32+I33)</f>
        <v/>
      </c>
      <c r="J34" s="80" t="str">
        <f t="shared" ref="J34" si="9">IF(J32="","",J32+J33)</f>
        <v/>
      </c>
      <c r="K34" s="80" t="str">
        <f t="shared" ref="K34" si="10">IF(K32="","",K32+K33)</f>
        <v/>
      </c>
      <c r="L34" s="80" t="str">
        <f t="shared" ref="L34" si="11">IF(L32="","",L32+L33)</f>
        <v/>
      </c>
      <c r="M34" s="80" t="str">
        <f t="shared" ref="M34" si="12">IF(M32="","",M32+M33)</f>
        <v/>
      </c>
    </row>
    <row r="35" spans="2:13" x14ac:dyDescent="0.35">
      <c r="B35" s="44" t="s">
        <v>91</v>
      </c>
      <c r="C35" s="65">
        <f t="shared" ref="C35:M35" si="13">IF(C$4="","",-C6)</f>
        <v>-2297566</v>
      </c>
      <c r="D35" s="65">
        <f t="shared" si="13"/>
        <v>-1867515</v>
      </c>
      <c r="E35" s="65">
        <f t="shared" si="13"/>
        <v>-1815111</v>
      </c>
      <c r="F35" s="65">
        <f t="shared" si="13"/>
        <v>-1694480</v>
      </c>
      <c r="G35" s="65">
        <f t="shared" si="13"/>
        <v>-2118252</v>
      </c>
      <c r="H35" s="65">
        <f t="shared" si="13"/>
        <v>-2416769</v>
      </c>
      <c r="I35" s="65" t="str">
        <f t="shared" si="13"/>
        <v/>
      </c>
      <c r="J35" s="65" t="str">
        <f t="shared" si="13"/>
        <v/>
      </c>
      <c r="K35" s="65" t="str">
        <f t="shared" si="13"/>
        <v/>
      </c>
      <c r="L35" s="65" t="str">
        <f t="shared" si="13"/>
        <v/>
      </c>
      <c r="M35" s="65" t="str">
        <f t="shared" si="13"/>
        <v/>
      </c>
    </row>
    <row r="36" spans="2:13" x14ac:dyDescent="0.35">
      <c r="B36" s="89" t="s">
        <v>140</v>
      </c>
      <c r="C36" s="94">
        <f t="shared" ref="C36:M36" si="14">IF(C$4="","",-C7)</f>
        <v>-2043459</v>
      </c>
      <c r="D36" s="94">
        <f t="shared" si="14"/>
        <v>-1517989</v>
      </c>
      <c r="E36" s="94">
        <f t="shared" si="14"/>
        <v>-1491293</v>
      </c>
      <c r="F36" s="94">
        <f t="shared" si="14"/>
        <v>-1412494</v>
      </c>
      <c r="G36" s="94">
        <f t="shared" si="14"/>
        <v>0</v>
      </c>
      <c r="H36" s="94">
        <f t="shared" si="14"/>
        <v>0</v>
      </c>
      <c r="I36" s="94" t="str">
        <f t="shared" si="14"/>
        <v/>
      </c>
      <c r="J36" s="94" t="str">
        <f t="shared" si="14"/>
        <v/>
      </c>
      <c r="K36" s="94" t="str">
        <f t="shared" si="14"/>
        <v/>
      </c>
      <c r="L36" s="94" t="str">
        <f t="shared" si="14"/>
        <v/>
      </c>
      <c r="M36" s="94" t="str">
        <f t="shared" si="14"/>
        <v/>
      </c>
    </row>
    <row r="37" spans="2:13" x14ac:dyDescent="0.35">
      <c r="B37" s="89" t="s">
        <v>144</v>
      </c>
      <c r="C37" s="94">
        <f>IF(C$4="","",C35-C36)</f>
        <v>-254107</v>
      </c>
      <c r="D37" s="94">
        <f t="shared" ref="D37:M37" si="15">IF(D$4="","",D35-D36)</f>
        <v>-349526</v>
      </c>
      <c r="E37" s="94">
        <f t="shared" si="15"/>
        <v>-323818</v>
      </c>
      <c r="F37" s="94">
        <f t="shared" si="15"/>
        <v>-281986</v>
      </c>
      <c r="G37" s="94">
        <f t="shared" si="15"/>
        <v>-2118252</v>
      </c>
      <c r="H37" s="94">
        <f t="shared" si="15"/>
        <v>-2416769</v>
      </c>
      <c r="I37" s="94" t="str">
        <f t="shared" si="15"/>
        <v/>
      </c>
      <c r="J37" s="94" t="str">
        <f t="shared" si="15"/>
        <v/>
      </c>
      <c r="K37" s="94" t="str">
        <f t="shared" si="15"/>
        <v/>
      </c>
      <c r="L37" s="94" t="str">
        <f t="shared" si="15"/>
        <v/>
      </c>
      <c r="M37" s="94" t="str">
        <f t="shared" si="15"/>
        <v/>
      </c>
    </row>
    <row r="38" spans="2:13" x14ac:dyDescent="0.35">
      <c r="B38" s="44" t="s">
        <v>85</v>
      </c>
      <c r="C38" s="65">
        <f t="shared" ref="C38:M38" si="16">IF(C$4="","",-C8)</f>
        <v>0</v>
      </c>
      <c r="D38" s="65">
        <f t="shared" si="16"/>
        <v>0</v>
      </c>
      <c r="E38" s="65">
        <f t="shared" si="16"/>
        <v>0</v>
      </c>
      <c r="F38" s="65">
        <f t="shared" si="16"/>
        <v>0</v>
      </c>
      <c r="G38" s="65">
        <f t="shared" si="16"/>
        <v>0</v>
      </c>
      <c r="H38" s="65">
        <f t="shared" si="16"/>
        <v>0</v>
      </c>
      <c r="I38" s="65" t="str">
        <f t="shared" si="16"/>
        <v/>
      </c>
      <c r="J38" s="65" t="str">
        <f t="shared" si="16"/>
        <v/>
      </c>
      <c r="K38" s="65" t="str">
        <f t="shared" si="16"/>
        <v/>
      </c>
      <c r="L38" s="65" t="str">
        <f t="shared" si="16"/>
        <v/>
      </c>
      <c r="M38" s="65" t="str">
        <f t="shared" si="16"/>
        <v/>
      </c>
    </row>
    <row r="39" spans="2:13" x14ac:dyDescent="0.35">
      <c r="B39" s="47" t="s">
        <v>63</v>
      </c>
      <c r="C39" s="68">
        <f>IF(C$4="","",C34+C35+C38)</f>
        <v>1876773</v>
      </c>
      <c r="D39" s="68">
        <f t="shared" ref="D39:M39" si="17">IF(D$4="","",D34+D35+D38)</f>
        <v>1362882</v>
      </c>
      <c r="E39" s="68">
        <f t="shared" si="17"/>
        <v>1418716</v>
      </c>
      <c r="F39" s="68">
        <f t="shared" si="17"/>
        <v>937835</v>
      </c>
      <c r="G39" s="68">
        <f t="shared" si="17"/>
        <v>1204768</v>
      </c>
      <c r="H39" s="68">
        <f t="shared" si="17"/>
        <v>1617067</v>
      </c>
      <c r="I39" s="68" t="str">
        <f t="shared" si="17"/>
        <v/>
      </c>
      <c r="J39" s="68" t="str">
        <f t="shared" si="17"/>
        <v/>
      </c>
      <c r="K39" s="68" t="str">
        <f t="shared" si="17"/>
        <v/>
      </c>
      <c r="L39" s="68" t="str">
        <f t="shared" si="17"/>
        <v/>
      </c>
      <c r="M39" s="68" t="str">
        <f t="shared" si="17"/>
        <v/>
      </c>
    </row>
    <row r="40" spans="2:13" x14ac:dyDescent="0.35">
      <c r="B40" s="44" t="s">
        <v>151</v>
      </c>
      <c r="C40" s="100">
        <f>IF(C$4="","",C41+C42)</f>
        <v>-30619</v>
      </c>
      <c r="D40" s="100">
        <f t="shared" ref="D40:M40" si="18">IF(D$4="","",D41+D42)</f>
        <v>12362</v>
      </c>
      <c r="E40" s="100">
        <f t="shared" si="18"/>
        <v>64247</v>
      </c>
      <c r="F40" s="100">
        <f t="shared" si="18"/>
        <v>34549</v>
      </c>
      <c r="G40" s="100">
        <f t="shared" si="18"/>
        <v>-63075</v>
      </c>
      <c r="H40" s="100">
        <f t="shared" si="18"/>
        <v>-34253</v>
      </c>
      <c r="I40" s="100" t="str">
        <f t="shared" si="18"/>
        <v/>
      </c>
      <c r="J40" s="100" t="str">
        <f t="shared" si="18"/>
        <v/>
      </c>
      <c r="K40" s="100" t="str">
        <f t="shared" si="18"/>
        <v/>
      </c>
      <c r="L40" s="100" t="str">
        <f t="shared" si="18"/>
        <v/>
      </c>
      <c r="M40" s="100" t="str">
        <f t="shared" si="18"/>
        <v/>
      </c>
    </row>
    <row r="41" spans="2:13" x14ac:dyDescent="0.35">
      <c r="B41" s="89" t="s">
        <v>152</v>
      </c>
      <c r="C41" s="94">
        <f t="shared" ref="C41:M41" si="19">IF(C$4="","",-C9)</f>
        <v>-59596</v>
      </c>
      <c r="D41" s="94">
        <f t="shared" si="19"/>
        <v>-20763</v>
      </c>
      <c r="E41" s="94">
        <f t="shared" si="19"/>
        <v>-23097</v>
      </c>
      <c r="F41" s="94">
        <f t="shared" si="19"/>
        <v>-28849</v>
      </c>
      <c r="G41" s="94">
        <f t="shared" si="19"/>
        <v>-63075</v>
      </c>
      <c r="H41" s="94">
        <f t="shared" si="19"/>
        <v>-34253</v>
      </c>
      <c r="I41" s="94" t="str">
        <f t="shared" si="19"/>
        <v/>
      </c>
      <c r="J41" s="94" t="str">
        <f t="shared" si="19"/>
        <v/>
      </c>
      <c r="K41" s="94" t="str">
        <f t="shared" si="19"/>
        <v/>
      </c>
      <c r="L41" s="94" t="str">
        <f t="shared" si="19"/>
        <v/>
      </c>
      <c r="M41" s="94" t="str">
        <f t="shared" si="19"/>
        <v/>
      </c>
    </row>
    <row r="42" spans="2:13" x14ac:dyDescent="0.35">
      <c r="B42" s="89" t="s">
        <v>153</v>
      </c>
      <c r="C42" s="94">
        <f t="shared" ref="C42:M42" si="20">IF(C$4="","",C10)</f>
        <v>28977</v>
      </c>
      <c r="D42" s="94">
        <f t="shared" si="20"/>
        <v>33125</v>
      </c>
      <c r="E42" s="94">
        <f t="shared" si="20"/>
        <v>87344</v>
      </c>
      <c r="F42" s="94">
        <f t="shared" si="20"/>
        <v>63398</v>
      </c>
      <c r="G42" s="94">
        <f t="shared" si="20"/>
        <v>0</v>
      </c>
      <c r="H42" s="94">
        <f t="shared" si="20"/>
        <v>0</v>
      </c>
      <c r="I42" s="94" t="str">
        <f t="shared" si="20"/>
        <v/>
      </c>
      <c r="J42" s="94" t="str">
        <f t="shared" si="20"/>
        <v/>
      </c>
      <c r="K42" s="94" t="str">
        <f t="shared" si="20"/>
        <v/>
      </c>
      <c r="L42" s="94" t="str">
        <f t="shared" si="20"/>
        <v/>
      </c>
      <c r="M42" s="94" t="str">
        <f t="shared" si="20"/>
        <v/>
      </c>
    </row>
    <row r="43" spans="2:13" x14ac:dyDescent="0.35">
      <c r="B43" s="44" t="s">
        <v>176</v>
      </c>
      <c r="C43" s="100">
        <f>IF(C$4="","",C45-(C39+C40+C44))</f>
        <v>248317</v>
      </c>
      <c r="D43" s="100">
        <f t="shared" ref="D43:M43" si="21">IF(D$4="","",D45-(D39+D40+D44))</f>
        <v>190177</v>
      </c>
      <c r="E43" s="100">
        <f t="shared" si="21"/>
        <v>200697</v>
      </c>
      <c r="F43" s="100">
        <f t="shared" si="21"/>
        <v>281254</v>
      </c>
      <c r="G43" s="100">
        <f t="shared" si="21"/>
        <v>-275378</v>
      </c>
      <c r="H43" s="100">
        <f t="shared" si="21"/>
        <v>-1582814</v>
      </c>
      <c r="I43" s="100" t="str">
        <f t="shared" si="21"/>
        <v/>
      </c>
      <c r="J43" s="100" t="str">
        <f t="shared" si="21"/>
        <v/>
      </c>
      <c r="K43" s="100" t="str">
        <f t="shared" si="21"/>
        <v/>
      </c>
      <c r="L43" s="100" t="str">
        <f t="shared" si="21"/>
        <v/>
      </c>
      <c r="M43" s="100" t="str">
        <f t="shared" si="21"/>
        <v/>
      </c>
    </row>
    <row r="44" spans="2:13" x14ac:dyDescent="0.35">
      <c r="B44" s="44" t="s">
        <v>86</v>
      </c>
      <c r="C44" s="65">
        <f t="shared" ref="C44:M44" si="22">IF(C$4="","",-C11)</f>
        <v>-327166</v>
      </c>
      <c r="D44" s="65">
        <f t="shared" si="22"/>
        <v>-280664</v>
      </c>
      <c r="E44" s="65">
        <f t="shared" si="22"/>
        <v>-291296</v>
      </c>
      <c r="F44" s="65">
        <f t="shared" si="22"/>
        <v>-236303</v>
      </c>
      <c r="G44" s="65">
        <f t="shared" si="22"/>
        <v>0</v>
      </c>
      <c r="H44" s="65">
        <f t="shared" si="22"/>
        <v>0</v>
      </c>
      <c r="I44" s="65" t="str">
        <f t="shared" si="22"/>
        <v/>
      </c>
      <c r="J44" s="65" t="str">
        <f t="shared" si="22"/>
        <v/>
      </c>
      <c r="K44" s="65" t="str">
        <f t="shared" si="22"/>
        <v/>
      </c>
      <c r="L44" s="65" t="str">
        <f t="shared" si="22"/>
        <v/>
      </c>
      <c r="M44" s="65" t="str">
        <f t="shared" si="22"/>
        <v/>
      </c>
    </row>
    <row r="45" spans="2:13" x14ac:dyDescent="0.35">
      <c r="B45" s="47" t="s">
        <v>74</v>
      </c>
      <c r="C45" s="68">
        <f t="shared" ref="C45:M45" si="23">IF(C$4="","",C12)</f>
        <v>1767305</v>
      </c>
      <c r="D45" s="68">
        <f t="shared" si="23"/>
        <v>1284757</v>
      </c>
      <c r="E45" s="68">
        <f t="shared" si="23"/>
        <v>1392364</v>
      </c>
      <c r="F45" s="68">
        <f t="shared" si="23"/>
        <v>1017335</v>
      </c>
      <c r="G45" s="68">
        <f t="shared" si="23"/>
        <v>866315</v>
      </c>
      <c r="H45" s="68">
        <f t="shared" si="23"/>
        <v>0</v>
      </c>
      <c r="I45" s="68" t="str">
        <f t="shared" si="23"/>
        <v/>
      </c>
      <c r="J45" s="68" t="str">
        <f t="shared" si="23"/>
        <v/>
      </c>
      <c r="K45" s="68" t="str">
        <f t="shared" si="23"/>
        <v/>
      </c>
      <c r="L45" s="68" t="str">
        <f t="shared" si="23"/>
        <v/>
      </c>
      <c r="M45" s="68" t="str">
        <f t="shared" si="23"/>
        <v/>
      </c>
    </row>
    <row r="46" spans="2:13" x14ac:dyDescent="0.35">
      <c r="B46" s="31" t="s">
        <v>78</v>
      </c>
      <c r="C46" s="65">
        <f t="shared" ref="C46:M46" si="24">IF(C$4="","",MIN(-C13,0))</f>
        <v>0</v>
      </c>
      <c r="D46" s="65">
        <f t="shared" si="24"/>
        <v>0</v>
      </c>
      <c r="E46" s="65">
        <f t="shared" si="24"/>
        <v>0</v>
      </c>
      <c r="F46" s="65">
        <f t="shared" si="24"/>
        <v>-1799</v>
      </c>
      <c r="G46" s="65">
        <f t="shared" si="24"/>
        <v>-1337</v>
      </c>
      <c r="H46" s="65">
        <f t="shared" si="24"/>
        <v>-10908</v>
      </c>
      <c r="I46" s="65" t="str">
        <f t="shared" si="24"/>
        <v/>
      </c>
      <c r="J46" s="65" t="str">
        <f t="shared" si="24"/>
        <v/>
      </c>
      <c r="K46" s="65" t="str">
        <f t="shared" si="24"/>
        <v/>
      </c>
      <c r="L46" s="65" t="str">
        <f t="shared" si="24"/>
        <v/>
      </c>
      <c r="M46" s="65" t="str">
        <f t="shared" si="24"/>
        <v/>
      </c>
    </row>
    <row r="48" spans="2:13" x14ac:dyDescent="0.35">
      <c r="B48" s="18" t="s">
        <v>87</v>
      </c>
      <c r="C48" s="11"/>
    </row>
    <row r="49" spans="2:13" x14ac:dyDescent="0.35">
      <c r="B49" s="30" t="s">
        <v>81</v>
      </c>
      <c r="C49" s="65">
        <f t="shared" ref="C49:M49" si="25">IF(C$4="","",-C16)</f>
        <v>-463424</v>
      </c>
      <c r="D49" s="65">
        <f t="shared" si="25"/>
        <v>-371724</v>
      </c>
      <c r="E49" s="65">
        <f t="shared" si="25"/>
        <v>-435672</v>
      </c>
      <c r="F49" s="65">
        <f t="shared" si="25"/>
        <v>-520888</v>
      </c>
      <c r="G49" s="65">
        <f t="shared" si="25"/>
        <v>0</v>
      </c>
      <c r="H49" s="65">
        <f t="shared" si="25"/>
        <v>0</v>
      </c>
      <c r="I49" s="65" t="str">
        <f t="shared" si="25"/>
        <v/>
      </c>
      <c r="J49" s="65" t="str">
        <f t="shared" si="25"/>
        <v/>
      </c>
      <c r="K49" s="65" t="str">
        <f t="shared" si="25"/>
        <v/>
      </c>
      <c r="L49" s="65" t="str">
        <f t="shared" si="25"/>
        <v/>
      </c>
      <c r="M49" s="65" t="str">
        <f t="shared" si="25"/>
        <v/>
      </c>
    </row>
    <row r="50" spans="2:13" x14ac:dyDescent="0.35">
      <c r="B50" s="30" t="s">
        <v>89</v>
      </c>
      <c r="C50" s="65">
        <f t="shared" ref="C50:M50" si="26">IF(C$4="","",-C17)</f>
        <v>-676387</v>
      </c>
      <c r="D50" s="65">
        <f t="shared" si="26"/>
        <v>-107280</v>
      </c>
      <c r="E50" s="65">
        <f t="shared" si="26"/>
        <v>-455483</v>
      </c>
      <c r="F50" s="65">
        <f t="shared" si="26"/>
        <v>-138937</v>
      </c>
      <c r="G50" s="65">
        <f t="shared" si="26"/>
        <v>0</v>
      </c>
      <c r="H50" s="65">
        <f t="shared" si="26"/>
        <v>0</v>
      </c>
      <c r="I50" s="65" t="str">
        <f t="shared" si="26"/>
        <v/>
      </c>
      <c r="J50" s="65" t="str">
        <f t="shared" si="26"/>
        <v/>
      </c>
      <c r="K50" s="65" t="str">
        <f t="shared" si="26"/>
        <v/>
      </c>
      <c r="L50" s="65" t="str">
        <f t="shared" si="26"/>
        <v/>
      </c>
      <c r="M50" s="65" t="str">
        <f t="shared" si="26"/>
        <v/>
      </c>
    </row>
    <row r="51" spans="2:13" x14ac:dyDescent="0.35">
      <c r="B51" s="30" t="s">
        <v>88</v>
      </c>
      <c r="C51" s="65">
        <f t="shared" ref="C51:M51" si="27">IF(C$4="","",-C18)</f>
        <v>-626583</v>
      </c>
      <c r="D51" s="65">
        <f t="shared" si="27"/>
        <v>-352099</v>
      </c>
      <c r="E51" s="65">
        <f t="shared" si="27"/>
        <v>-1045251</v>
      </c>
      <c r="F51" s="65">
        <f t="shared" si="27"/>
        <v>818677</v>
      </c>
      <c r="G51" s="65">
        <f t="shared" si="27"/>
        <v>0</v>
      </c>
      <c r="H51" s="65">
        <f t="shared" si="27"/>
        <v>0</v>
      </c>
      <c r="I51" s="65" t="str">
        <f t="shared" si="27"/>
        <v/>
      </c>
      <c r="J51" s="65" t="str">
        <f t="shared" si="27"/>
        <v/>
      </c>
      <c r="K51" s="65" t="str">
        <f t="shared" si="27"/>
        <v/>
      </c>
      <c r="L51" s="65" t="str">
        <f t="shared" si="27"/>
        <v/>
      </c>
      <c r="M51" s="65" t="str">
        <f t="shared" si="27"/>
        <v/>
      </c>
    </row>
    <row r="52" spans="2:13" x14ac:dyDescent="0.35">
      <c r="B52" s="27" t="s">
        <v>61</v>
      </c>
      <c r="C52" s="95">
        <f t="shared" ref="C52:H52" si="28">IF(C$4="","",C19)</f>
        <v>1.3599999999999999</v>
      </c>
      <c r="D52" s="95">
        <f t="shared" si="28"/>
        <v>1.1000000000000001</v>
      </c>
      <c r="E52" s="95">
        <f t="shared" si="28"/>
        <v>1.1000000000000001</v>
      </c>
      <c r="F52" s="95">
        <f t="shared" si="28"/>
        <v>1</v>
      </c>
      <c r="G52" s="95">
        <f t="shared" si="28"/>
        <v>1</v>
      </c>
      <c r="H52" s="95">
        <f t="shared" si="28"/>
        <v>1.1499999999999999</v>
      </c>
      <c r="I52" s="95" t="str">
        <f t="shared" ref="I52:M52" si="29">IF(I$4="","",I19)</f>
        <v/>
      </c>
      <c r="J52" s="95" t="str">
        <f t="shared" si="29"/>
        <v/>
      </c>
      <c r="K52" s="95" t="str">
        <f t="shared" si="29"/>
        <v/>
      </c>
      <c r="L52" s="95" t="str">
        <f t="shared" si="29"/>
        <v/>
      </c>
      <c r="M52" s="95" t="str">
        <f t="shared" si="29"/>
        <v/>
      </c>
    </row>
    <row r="54" spans="2:13" x14ac:dyDescent="0.35">
      <c r="B54" s="121" t="s">
        <v>190</v>
      </c>
    </row>
    <row r="55" spans="2:13" x14ac:dyDescent="0.35">
      <c r="B55" s="1" t="str">
        <f>B32</f>
        <v>Sales</v>
      </c>
      <c r="C55" s="123">
        <f t="shared" ref="C55:M55" si="30">IF(D$32="","",C32/D32-1)</f>
        <v>0.27952593137796744</v>
      </c>
      <c r="D55" s="123">
        <f t="shared" si="30"/>
        <v>2.0450249505806095E-2</v>
      </c>
      <c r="E55" s="123">
        <f t="shared" si="30"/>
        <v>0.32460887665346139</v>
      </c>
      <c r="F55" s="123">
        <f t="shared" si="30"/>
        <v>-0.21118785490642455</v>
      </c>
      <c r="G55" s="123">
        <f t="shared" si="30"/>
        <v>-0.29169116752280422</v>
      </c>
      <c r="H55" s="123" t="str">
        <f t="shared" si="30"/>
        <v/>
      </c>
      <c r="I55" s="123" t="str">
        <f t="shared" si="30"/>
        <v/>
      </c>
      <c r="J55" s="123" t="str">
        <f t="shared" si="30"/>
        <v/>
      </c>
      <c r="K55" s="123" t="str">
        <f t="shared" si="30"/>
        <v/>
      </c>
      <c r="L55" s="123" t="str">
        <f t="shared" si="30"/>
        <v/>
      </c>
      <c r="M55" s="123" t="str">
        <f t="shared" si="30"/>
        <v/>
      </c>
    </row>
    <row r="56" spans="2:13" x14ac:dyDescent="0.35">
      <c r="B56" s="107" t="str">
        <f>B39</f>
        <v>EBIT</v>
      </c>
      <c r="C56" s="139">
        <f t="shared" ref="C56:M56" si="31">IF(D$32="","",C33/D33-1)</f>
        <v>0.27484316281081789</v>
      </c>
      <c r="D56" s="139">
        <f t="shared" si="31"/>
        <v>2.8630254836090829E-2</v>
      </c>
      <c r="E56" s="139">
        <f t="shared" si="31"/>
        <v>0.36521892689379709</v>
      </c>
      <c r="F56" s="139">
        <f t="shared" si="31"/>
        <v>-0.21258803367720713</v>
      </c>
      <c r="G56" s="139">
        <f t="shared" si="31"/>
        <v>-0.33107999439209057</v>
      </c>
      <c r="H56" s="139" t="str">
        <f t="shared" si="31"/>
        <v/>
      </c>
      <c r="I56" s="139" t="str">
        <f t="shared" si="31"/>
        <v/>
      </c>
      <c r="J56" s="139" t="str">
        <f t="shared" si="31"/>
        <v/>
      </c>
      <c r="K56" s="139" t="str">
        <f t="shared" si="31"/>
        <v/>
      </c>
      <c r="L56" s="139" t="str">
        <f t="shared" si="31"/>
        <v/>
      </c>
      <c r="M56" s="139" t="str">
        <f t="shared" si="31"/>
        <v/>
      </c>
    </row>
    <row r="57" spans="2:13" x14ac:dyDescent="0.35">
      <c r="B57" s="1" t="str">
        <f>B43</f>
        <v>Non-Operating Income (Est.)</v>
      </c>
      <c r="C57" s="123">
        <f t="shared" ref="C57:M57" si="32">IF(D$32="","",C34/D34-1)</f>
        <v>0.29220619013700166</v>
      </c>
      <c r="D57" s="123">
        <f t="shared" si="32"/>
        <v>-1.0606627998344109E-3</v>
      </c>
      <c r="E57" s="123">
        <f t="shared" si="32"/>
        <v>0.22851064557243328</v>
      </c>
      <c r="F57" s="123">
        <f t="shared" si="32"/>
        <v>-0.20785460213901807</v>
      </c>
      <c r="G57" s="123">
        <f t="shared" si="32"/>
        <v>-0.1762134107583947</v>
      </c>
      <c r="H57" s="123" t="str">
        <f t="shared" si="32"/>
        <v/>
      </c>
      <c r="I57" s="123" t="str">
        <f t="shared" si="32"/>
        <v/>
      </c>
      <c r="J57" s="123" t="str">
        <f t="shared" si="32"/>
        <v/>
      </c>
      <c r="K57" s="123" t="str">
        <f t="shared" si="32"/>
        <v/>
      </c>
      <c r="L57" s="123" t="str">
        <f t="shared" si="32"/>
        <v/>
      </c>
      <c r="M57" s="123" t="str">
        <f t="shared" si="32"/>
        <v/>
      </c>
    </row>
    <row r="58" spans="2:13" x14ac:dyDescent="0.35">
      <c r="B58" s="107" t="str">
        <f>B45</f>
        <v>Reported Net Income</v>
      </c>
      <c r="C58" s="139">
        <f t="shared" ref="C58:M58" si="33">IF(D$32="","",C35/D35-1)</f>
        <v>0.23027981033619538</v>
      </c>
      <c r="D58" s="139">
        <f t="shared" si="33"/>
        <v>2.88709616106122E-2</v>
      </c>
      <c r="E58" s="139">
        <f t="shared" si="33"/>
        <v>7.1190571738822594E-2</v>
      </c>
      <c r="F58" s="139">
        <f t="shared" si="33"/>
        <v>-0.20005740582329201</v>
      </c>
      <c r="G58" s="139">
        <f t="shared" si="33"/>
        <v>-0.12351904546938497</v>
      </c>
      <c r="H58" s="139" t="str">
        <f t="shared" si="33"/>
        <v/>
      </c>
      <c r="I58" s="139" t="str">
        <f t="shared" si="33"/>
        <v/>
      </c>
      <c r="J58" s="139" t="str">
        <f t="shared" si="33"/>
        <v/>
      </c>
      <c r="K58" s="139" t="str">
        <f t="shared" si="33"/>
        <v/>
      </c>
      <c r="L58" s="139" t="str">
        <f t="shared" si="33"/>
        <v/>
      </c>
      <c r="M58" s="139" t="str">
        <f t="shared" si="33"/>
        <v/>
      </c>
    </row>
    <row r="59" spans="2:13" x14ac:dyDescent="0.35">
      <c r="B59" s="1" t="str">
        <f>B46</f>
        <v>Non-controling Interests</v>
      </c>
      <c r="C59" s="123">
        <f>IF(D$32="","",C52/D52-1)</f>
        <v>0.23636363636363611</v>
      </c>
      <c r="D59" s="123">
        <f t="shared" ref="D59:M59" si="34">IF(E$32="","",D52/E52-1)</f>
        <v>0</v>
      </c>
      <c r="E59" s="123">
        <f t="shared" si="34"/>
        <v>0.10000000000000009</v>
      </c>
      <c r="F59" s="123">
        <f t="shared" si="34"/>
        <v>0</v>
      </c>
      <c r="G59" s="123">
        <f t="shared" si="34"/>
        <v>-0.13043478260869557</v>
      </c>
      <c r="H59" s="123" t="str">
        <f t="shared" si="34"/>
        <v/>
      </c>
      <c r="I59" s="123" t="str">
        <f t="shared" si="34"/>
        <v/>
      </c>
      <c r="J59" s="123" t="str">
        <f t="shared" si="34"/>
        <v/>
      </c>
      <c r="K59" s="123" t="str">
        <f t="shared" si="34"/>
        <v/>
      </c>
      <c r="L59" s="123" t="str">
        <f t="shared" si="34"/>
        <v/>
      </c>
      <c r="M59" s="123" t="str">
        <f t="shared" si="34"/>
        <v/>
      </c>
    </row>
    <row r="61" spans="2:13" ht="13.9" x14ac:dyDescent="0.45">
      <c r="B61" s="39" t="s">
        <v>187</v>
      </c>
      <c r="C61" s="40"/>
      <c r="D61" s="40"/>
      <c r="E61" s="40"/>
      <c r="F61" s="40"/>
      <c r="G61" s="40"/>
      <c r="H61" s="40"/>
      <c r="I61" s="40"/>
      <c r="J61" s="40"/>
      <c r="K61" s="40"/>
      <c r="L61" s="40"/>
      <c r="M61" s="40"/>
    </row>
    <row r="62" spans="2:13" x14ac:dyDescent="0.35">
      <c r="B62" s="18" t="s">
        <v>44</v>
      </c>
      <c r="C62" s="11"/>
    </row>
    <row r="63" spans="2:13" x14ac:dyDescent="0.35">
      <c r="B63" s="29" t="s">
        <v>5</v>
      </c>
      <c r="C63" s="100">
        <f>IF(C$4="","",C66+C67)</f>
        <v>16854064</v>
      </c>
      <c r="D63" s="100">
        <f t="shared" ref="D63:M63" si="35">IF(D$4="","",D66+D67)</f>
        <v>14687373</v>
      </c>
      <c r="E63" s="100">
        <f t="shared" si="35"/>
        <v>15987114</v>
      </c>
      <c r="F63" s="100">
        <f t="shared" si="35"/>
        <v>14270996</v>
      </c>
      <c r="G63" s="100">
        <f t="shared" si="35"/>
        <v>0</v>
      </c>
      <c r="H63" s="100">
        <f t="shared" si="35"/>
        <v>0</v>
      </c>
      <c r="I63" s="100" t="str">
        <f t="shared" si="35"/>
        <v/>
      </c>
      <c r="J63" s="100" t="str">
        <f t="shared" si="35"/>
        <v/>
      </c>
      <c r="K63" s="100" t="str">
        <f t="shared" si="35"/>
        <v/>
      </c>
      <c r="L63" s="100" t="str">
        <f t="shared" si="35"/>
        <v/>
      </c>
      <c r="M63" s="100" t="str">
        <f t="shared" si="35"/>
        <v/>
      </c>
    </row>
    <row r="64" spans="2:13" x14ac:dyDescent="0.35">
      <c r="B64" s="126" t="s">
        <v>191</v>
      </c>
      <c r="C64" s="94">
        <f t="shared" ref="C64:H65" si="36">IF(C$4="","",C22)</f>
        <v>0</v>
      </c>
      <c r="D64" s="94">
        <f t="shared" si="36"/>
        <v>213823</v>
      </c>
      <c r="E64" s="94">
        <f t="shared" si="36"/>
        <v>187711</v>
      </c>
      <c r="F64" s="94">
        <f t="shared" si="36"/>
        <v>277338</v>
      </c>
      <c r="G64" s="94">
        <f t="shared" si="36"/>
        <v>0</v>
      </c>
      <c r="H64" s="94">
        <f t="shared" si="36"/>
        <v>0</v>
      </c>
      <c r="I64" s="127"/>
      <c r="J64" s="127"/>
      <c r="K64" s="127"/>
      <c r="L64" s="127"/>
      <c r="M64" s="127"/>
    </row>
    <row r="65" spans="2:13" x14ac:dyDescent="0.35">
      <c r="B65" s="126" t="s">
        <v>192</v>
      </c>
      <c r="C65" s="94">
        <f t="shared" si="36"/>
        <v>0</v>
      </c>
      <c r="D65" s="94">
        <f t="shared" si="36"/>
        <v>8852611</v>
      </c>
      <c r="E65" s="94">
        <f t="shared" si="36"/>
        <v>8769304</v>
      </c>
      <c r="F65" s="94">
        <f t="shared" si="36"/>
        <v>7321614</v>
      </c>
      <c r="G65" s="94">
        <f t="shared" si="36"/>
        <v>0</v>
      </c>
      <c r="H65" s="94">
        <f t="shared" si="36"/>
        <v>0</v>
      </c>
      <c r="I65" s="127"/>
      <c r="J65" s="127"/>
      <c r="K65" s="127"/>
      <c r="L65" s="127"/>
      <c r="M65" s="127"/>
    </row>
    <row r="66" spans="2:13" x14ac:dyDescent="0.35">
      <c r="B66" s="29" t="s">
        <v>67</v>
      </c>
      <c r="C66" s="65">
        <f t="shared" ref="C66:M66" si="37">IF(C$4="","",C24)</f>
        <v>3990166</v>
      </c>
      <c r="D66" s="65">
        <f t="shared" si="37"/>
        <v>2466431</v>
      </c>
      <c r="E66" s="65">
        <f t="shared" si="37"/>
        <v>3908586</v>
      </c>
      <c r="F66" s="65">
        <f t="shared" si="37"/>
        <v>2946772</v>
      </c>
      <c r="G66" s="65">
        <f t="shared" si="37"/>
        <v>0</v>
      </c>
      <c r="H66" s="65">
        <f t="shared" si="37"/>
        <v>0</v>
      </c>
      <c r="I66" s="65" t="str">
        <f t="shared" si="37"/>
        <v/>
      </c>
      <c r="J66" s="65" t="str">
        <f t="shared" si="37"/>
        <v/>
      </c>
      <c r="K66" s="65" t="str">
        <f t="shared" si="37"/>
        <v/>
      </c>
      <c r="L66" s="65" t="str">
        <f t="shared" si="37"/>
        <v/>
      </c>
      <c r="M66" s="65" t="str">
        <f t="shared" si="37"/>
        <v/>
      </c>
    </row>
    <row r="67" spans="2:13" x14ac:dyDescent="0.35">
      <c r="B67" s="29" t="s">
        <v>46</v>
      </c>
      <c r="C67" s="65">
        <f t="shared" ref="C67:M67" si="38">IF(C$4="","",C25)</f>
        <v>12863898</v>
      </c>
      <c r="D67" s="65">
        <f t="shared" si="38"/>
        <v>12220942</v>
      </c>
      <c r="E67" s="65">
        <f t="shared" si="38"/>
        <v>12078528</v>
      </c>
      <c r="F67" s="65">
        <f t="shared" si="38"/>
        <v>11324224</v>
      </c>
      <c r="G67" s="65">
        <f t="shared" si="38"/>
        <v>0</v>
      </c>
      <c r="H67" s="65">
        <f t="shared" si="38"/>
        <v>0</v>
      </c>
      <c r="I67" s="65" t="str">
        <f t="shared" si="38"/>
        <v/>
      </c>
      <c r="J67" s="65" t="str">
        <f t="shared" si="38"/>
        <v/>
      </c>
      <c r="K67" s="65" t="str">
        <f t="shared" si="38"/>
        <v/>
      </c>
      <c r="L67" s="65" t="str">
        <f t="shared" si="38"/>
        <v/>
      </c>
      <c r="M67" s="65" t="str">
        <f t="shared" si="38"/>
        <v/>
      </c>
    </row>
  </sheetData>
  <phoneticPr fontId="2" type="noConversion"/>
  <conditionalFormatting sqref="C4:M13 C16:M19 C22:M25 C28:M28 C35:M39 C41:M42 C44:M46 C64:H65 C66:M67">
    <cfRule type="expression" dxfId="6" priority="3">
      <formula>ISBLANK(C4)</formula>
    </cfRule>
  </conditionalFormatting>
  <conditionalFormatting sqref="C32:M33 C49:M52">
    <cfRule type="expression" dxfId="5" priority="1">
      <formula>ISBLANK(C32)</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2"/>
  <sheetViews>
    <sheetView showGridLines="0" zoomScaleNormal="100" workbookViewId="0">
      <pane xSplit="2" ySplit="1" topLeftCell="C26" activePane="bottomRight" state="frozen"/>
      <selection pane="topRight" activeCell="C1" sqref="C1"/>
      <selection pane="bottomLeft" activeCell="A2" sqref="A2"/>
      <selection pane="bottomRight" activeCell="E9" sqref="E9"/>
    </sheetView>
  </sheetViews>
  <sheetFormatPr defaultColWidth="12.33203125" defaultRowHeight="15" customHeight="1" x14ac:dyDescent="0.35"/>
  <cols>
    <col min="1" max="1" width="1.33203125" style="2" customWidth="1"/>
    <col min="2" max="2" width="26.33203125" style="2" customWidth="1"/>
    <col min="3" max="3" width="20.59765625" style="2" customWidth="1"/>
    <col min="4" max="4" width="2.59765625" style="2" customWidth="1"/>
    <col min="5" max="5" width="25.19921875" style="2" customWidth="1"/>
    <col min="6" max="6" width="2.59765625" style="2" customWidth="1"/>
    <col min="7" max="17" width="20.59765625" style="2" customWidth="1"/>
    <col min="18" max="16384" width="12.33203125" style="2"/>
  </cols>
  <sheetData>
    <row r="1" spans="1:17" ht="15.75" customHeight="1" x14ac:dyDescent="0.35">
      <c r="A1" s="3"/>
      <c r="B1" s="120" t="str">
        <f>Thesis!C12</f>
        <v>HKD</v>
      </c>
      <c r="C1" s="60" t="s">
        <v>136</v>
      </c>
      <c r="D1" s="60"/>
      <c r="E1" s="60"/>
      <c r="F1" s="60"/>
      <c r="G1" s="41">
        <f>Data!C1</f>
        <v>45382</v>
      </c>
      <c r="H1" s="41">
        <f>EOMONTH(EDATE(G1,-12),0)</f>
        <v>45016</v>
      </c>
      <c r="I1" s="41">
        <f t="shared" ref="I1:Q1" si="0">EOMONTH(EDATE(H1,-12),0)</f>
        <v>44651</v>
      </c>
      <c r="J1" s="41">
        <f t="shared" si="0"/>
        <v>44286</v>
      </c>
      <c r="K1" s="41">
        <f t="shared" si="0"/>
        <v>43921</v>
      </c>
      <c r="L1" s="41">
        <f t="shared" si="0"/>
        <v>43555</v>
      </c>
      <c r="M1" s="41">
        <f t="shared" si="0"/>
        <v>43190</v>
      </c>
      <c r="N1" s="41">
        <f t="shared" si="0"/>
        <v>42825</v>
      </c>
      <c r="O1" s="41">
        <f t="shared" si="0"/>
        <v>42460</v>
      </c>
      <c r="P1" s="41">
        <f t="shared" si="0"/>
        <v>42094</v>
      </c>
      <c r="Q1" s="41">
        <f t="shared" si="0"/>
        <v>41729</v>
      </c>
    </row>
    <row r="2" spans="1:17" ht="15.75" customHeight="1" x14ac:dyDescent="0.5">
      <c r="A2" s="3"/>
      <c r="B2" s="61" t="s">
        <v>220</v>
      </c>
      <c r="C2" s="61"/>
      <c r="D2" s="63"/>
      <c r="E2" s="81" t="s">
        <v>138</v>
      </c>
      <c r="F2" s="63"/>
      <c r="G2" s="40"/>
      <c r="H2" s="40"/>
      <c r="I2" s="40"/>
      <c r="J2" s="40"/>
      <c r="K2" s="40"/>
      <c r="L2" s="40"/>
      <c r="M2" s="40"/>
      <c r="N2" s="40"/>
      <c r="O2" s="40"/>
      <c r="P2" s="40"/>
      <c r="Q2" s="40"/>
    </row>
    <row r="3" spans="1:17" ht="15.75" customHeight="1" x14ac:dyDescent="0.35">
      <c r="A3" s="12"/>
      <c r="B3" s="18" t="s">
        <v>269</v>
      </c>
      <c r="C3" s="146">
        <f>Data!C3</f>
        <v>1000</v>
      </c>
      <c r="D3" s="11"/>
      <c r="F3" s="11"/>
      <c r="G3" s="11"/>
    </row>
    <row r="4" spans="1:17" ht="15.75" customHeight="1" x14ac:dyDescent="0.35">
      <c r="A4" s="12"/>
      <c r="B4" s="29" t="s">
        <v>4</v>
      </c>
      <c r="C4" s="72">
        <f>AVERAGE(G4:L4)</f>
        <v>12499450.833333334</v>
      </c>
      <c r="D4" s="64"/>
      <c r="E4" s="83" t="s">
        <v>184</v>
      </c>
      <c r="F4" s="64"/>
      <c r="G4" s="65">
        <f>Data!C32</f>
        <v>15325962</v>
      </c>
      <c r="H4" s="65">
        <f>Data!D32</f>
        <v>11977844</v>
      </c>
      <c r="I4" s="65">
        <f>Data!E32</f>
        <v>11737803</v>
      </c>
      <c r="J4" s="65">
        <f>Data!F32</f>
        <v>8861335</v>
      </c>
      <c r="K4" s="65">
        <f>Data!G32</f>
        <v>11233771</v>
      </c>
      <c r="L4" s="65">
        <f>Data!H32</f>
        <v>15859990</v>
      </c>
      <c r="M4" s="65" t="str">
        <f>Data!I32</f>
        <v/>
      </c>
      <c r="N4" s="65" t="str">
        <f>Data!J32</f>
        <v/>
      </c>
      <c r="O4" s="65" t="str">
        <f>Data!K32</f>
        <v/>
      </c>
      <c r="P4" s="65" t="str">
        <f>Data!L32</f>
        <v/>
      </c>
      <c r="Q4" s="65" t="str">
        <f>Data!M32</f>
        <v/>
      </c>
    </row>
    <row r="5" spans="1:17" ht="15.75" customHeight="1" x14ac:dyDescent="0.35">
      <c r="A5" s="12"/>
      <c r="B5" s="2" t="s">
        <v>80</v>
      </c>
      <c r="C5" s="77">
        <f>C49</f>
        <v>-10739107.696087126</v>
      </c>
      <c r="E5" s="20"/>
      <c r="G5" s="65">
        <f>G49</f>
        <v>-13195082</v>
      </c>
      <c r="H5" s="65">
        <f t="shared" ref="H5:Q5" si="1">H49</f>
        <v>-10265436</v>
      </c>
      <c r="I5" s="65">
        <f t="shared" si="1"/>
        <v>-9995269</v>
      </c>
      <c r="J5" s="65">
        <f t="shared" si="1"/>
        <v>-7641514</v>
      </c>
      <c r="K5" s="65">
        <f t="shared" si="1"/>
        <v>-7910751</v>
      </c>
      <c r="L5" s="65">
        <f t="shared" si="1"/>
        <v>-11826154</v>
      </c>
      <c r="M5" s="65" t="str">
        <f t="shared" si="1"/>
        <v/>
      </c>
      <c r="N5" s="65" t="str">
        <f t="shared" si="1"/>
        <v/>
      </c>
      <c r="O5" s="65" t="str">
        <f t="shared" si="1"/>
        <v/>
      </c>
      <c r="P5" s="65" t="str">
        <f t="shared" si="1"/>
        <v/>
      </c>
      <c r="Q5" s="65" t="str">
        <f t="shared" si="1"/>
        <v/>
      </c>
    </row>
    <row r="6" spans="1:17" ht="15.75" customHeight="1" x14ac:dyDescent="0.35">
      <c r="A6" s="12"/>
      <c r="B6" s="34" t="s">
        <v>82</v>
      </c>
      <c r="C6" s="77">
        <f>C4+C5</f>
        <v>1760343.1372462083</v>
      </c>
      <c r="E6" s="20"/>
      <c r="G6" s="80">
        <f>IF(G4="","",G4+G5)</f>
        <v>2130880</v>
      </c>
      <c r="H6" s="80">
        <f t="shared" ref="H6:Q6" si="2">IF(H4="","",H4+H5)</f>
        <v>1712408</v>
      </c>
      <c r="I6" s="80">
        <f t="shared" si="2"/>
        <v>1742534</v>
      </c>
      <c r="J6" s="80">
        <f t="shared" si="2"/>
        <v>1219821</v>
      </c>
      <c r="K6" s="80">
        <f t="shared" si="2"/>
        <v>3323020</v>
      </c>
      <c r="L6" s="80">
        <f t="shared" si="2"/>
        <v>4033836</v>
      </c>
      <c r="M6" s="80" t="str">
        <f t="shared" si="2"/>
        <v/>
      </c>
      <c r="N6" s="80" t="str">
        <f t="shared" si="2"/>
        <v/>
      </c>
      <c r="O6" s="80" t="str">
        <f t="shared" si="2"/>
        <v/>
      </c>
      <c r="P6" s="80" t="str">
        <f t="shared" si="2"/>
        <v/>
      </c>
      <c r="Q6" s="80" t="str">
        <f t="shared" si="2"/>
        <v/>
      </c>
    </row>
    <row r="7" spans="1:17" ht="15.75" customHeight="1" x14ac:dyDescent="0.35">
      <c r="A7" s="12"/>
      <c r="B7" s="10" t="s">
        <v>79</v>
      </c>
      <c r="C7" s="77">
        <f>C52</f>
        <v>-302359.25</v>
      </c>
      <c r="E7" s="20"/>
      <c r="G7" s="77">
        <f>G52</f>
        <v>-254107</v>
      </c>
      <c r="H7" s="77">
        <f t="shared" ref="H7:Q7" si="3">H52</f>
        <v>-349526</v>
      </c>
      <c r="I7" s="77">
        <f t="shared" si="3"/>
        <v>-323818</v>
      </c>
      <c r="J7" s="77">
        <f t="shared" si="3"/>
        <v>-281986</v>
      </c>
      <c r="K7" s="77">
        <f t="shared" si="3"/>
        <v>-2118252</v>
      </c>
      <c r="L7" s="77">
        <f t="shared" si="3"/>
        <v>-2416769</v>
      </c>
      <c r="M7" s="77" t="str">
        <f t="shared" si="3"/>
        <v/>
      </c>
      <c r="N7" s="77" t="str">
        <f t="shared" si="3"/>
        <v/>
      </c>
      <c r="O7" s="77" t="str">
        <f t="shared" si="3"/>
        <v/>
      </c>
      <c r="P7" s="77" t="str">
        <f t="shared" si="3"/>
        <v/>
      </c>
      <c r="Q7" s="77" t="str">
        <f t="shared" si="3"/>
        <v/>
      </c>
    </row>
    <row r="8" spans="1:17" ht="15.75" customHeight="1" x14ac:dyDescent="0.35">
      <c r="A8" s="12"/>
      <c r="B8" s="32" t="s">
        <v>63</v>
      </c>
      <c r="C8" s="71">
        <f>C6+C7</f>
        <v>1457983.8872462083</v>
      </c>
      <c r="D8" s="67"/>
      <c r="E8" s="103"/>
      <c r="F8" s="67"/>
      <c r="G8" s="80">
        <f>IF(G$4="","",G6+G7)</f>
        <v>1876773</v>
      </c>
      <c r="H8" s="80">
        <f t="shared" ref="H8:Q8" si="4">IF(H$4="","",H6+H7)</f>
        <v>1362882</v>
      </c>
      <c r="I8" s="80">
        <f t="shared" si="4"/>
        <v>1418716</v>
      </c>
      <c r="J8" s="80">
        <f t="shared" si="4"/>
        <v>937835</v>
      </c>
      <c r="K8" s="80">
        <f t="shared" si="4"/>
        <v>1204768</v>
      </c>
      <c r="L8" s="80">
        <f t="shared" si="4"/>
        <v>1617067</v>
      </c>
      <c r="M8" s="80" t="str">
        <f t="shared" si="4"/>
        <v/>
      </c>
      <c r="N8" s="80" t="str">
        <f t="shared" si="4"/>
        <v/>
      </c>
      <c r="O8" s="80" t="str">
        <f t="shared" si="4"/>
        <v/>
      </c>
      <c r="P8" s="80" t="str">
        <f t="shared" si="4"/>
        <v/>
      </c>
      <c r="Q8" s="80" t="str">
        <f t="shared" si="4"/>
        <v/>
      </c>
    </row>
    <row r="9" spans="1:17" ht="15.75" customHeight="1" x14ac:dyDescent="0.35">
      <c r="A9" s="12"/>
      <c r="B9" s="2" t="s">
        <v>151</v>
      </c>
      <c r="C9" s="77">
        <f>C65</f>
        <v>-30619</v>
      </c>
      <c r="E9" s="20"/>
      <c r="G9" s="77">
        <f>G65</f>
        <v>-30619</v>
      </c>
      <c r="H9" s="77">
        <f t="shared" ref="H9:Q9" si="5">H65</f>
        <v>12362</v>
      </c>
      <c r="I9" s="77">
        <f t="shared" si="5"/>
        <v>64247</v>
      </c>
      <c r="J9" s="77">
        <f t="shared" si="5"/>
        <v>34549</v>
      </c>
      <c r="K9" s="77">
        <f t="shared" si="5"/>
        <v>-63075</v>
      </c>
      <c r="L9" s="77">
        <f t="shared" si="5"/>
        <v>-34253</v>
      </c>
      <c r="M9" s="77" t="str">
        <f t="shared" si="5"/>
        <v/>
      </c>
      <c r="N9" s="77" t="str">
        <f t="shared" si="5"/>
        <v/>
      </c>
      <c r="O9" s="77" t="str">
        <f t="shared" si="5"/>
        <v/>
      </c>
      <c r="P9" s="77" t="str">
        <f t="shared" si="5"/>
        <v/>
      </c>
      <c r="Q9" s="77" t="str">
        <f t="shared" si="5"/>
        <v/>
      </c>
    </row>
    <row r="10" spans="1:17" ht="15.75" customHeight="1" x14ac:dyDescent="0.35">
      <c r="A10" s="12"/>
      <c r="B10" s="2" t="s">
        <v>143</v>
      </c>
      <c r="C10" s="77">
        <f>-(C8+C9)*C38</f>
        <v>-346869.76025000488</v>
      </c>
      <c r="E10" s="20"/>
      <c r="G10" s="77">
        <f>Data!C44</f>
        <v>-327166</v>
      </c>
      <c r="H10" s="77">
        <f>Data!D44</f>
        <v>-280664</v>
      </c>
      <c r="I10" s="77">
        <f>Data!E44</f>
        <v>-291296</v>
      </c>
      <c r="J10" s="77">
        <f>Data!F44</f>
        <v>-236303</v>
      </c>
      <c r="K10" s="77">
        <f>Data!G44</f>
        <v>0</v>
      </c>
      <c r="L10" s="77">
        <f>Data!H44</f>
        <v>0</v>
      </c>
      <c r="M10" s="77" t="str">
        <f>Data!I44</f>
        <v/>
      </c>
      <c r="N10" s="77" t="str">
        <f>Data!J44</f>
        <v/>
      </c>
      <c r="O10" s="77" t="str">
        <f>Data!K44</f>
        <v/>
      </c>
      <c r="P10" s="77" t="str">
        <f>Data!L44</f>
        <v/>
      </c>
      <c r="Q10" s="77" t="str">
        <f>Data!M44</f>
        <v/>
      </c>
    </row>
    <row r="11" spans="1:17" ht="15.75" customHeight="1" x14ac:dyDescent="0.35">
      <c r="A11" s="12"/>
      <c r="B11" s="45" t="s">
        <v>177</v>
      </c>
      <c r="C11" s="73">
        <f>SUM(C8:C10)</f>
        <v>1080495.1269962033</v>
      </c>
      <c r="D11" s="70"/>
      <c r="E11" s="104"/>
      <c r="F11" s="70"/>
      <c r="G11" s="80">
        <f t="shared" ref="G11:Q11" si="6">IF(G$4="","",SUM(G8:G10))</f>
        <v>1518988</v>
      </c>
      <c r="H11" s="80">
        <f t="shared" si="6"/>
        <v>1094580</v>
      </c>
      <c r="I11" s="80">
        <f t="shared" si="6"/>
        <v>1191667</v>
      </c>
      <c r="J11" s="80">
        <f t="shared" si="6"/>
        <v>736081</v>
      </c>
      <c r="K11" s="80">
        <f t="shared" si="6"/>
        <v>1141693</v>
      </c>
      <c r="L11" s="80">
        <f t="shared" si="6"/>
        <v>1582814</v>
      </c>
      <c r="M11" s="80" t="str">
        <f t="shared" si="6"/>
        <v/>
      </c>
      <c r="N11" s="80" t="str">
        <f t="shared" si="6"/>
        <v/>
      </c>
      <c r="O11" s="80" t="str">
        <f t="shared" si="6"/>
        <v/>
      </c>
      <c r="P11" s="80" t="str">
        <f t="shared" si="6"/>
        <v/>
      </c>
      <c r="Q11" s="80" t="str">
        <f t="shared" si="6"/>
        <v/>
      </c>
    </row>
    <row r="12" spans="1:17" ht="15.75" customHeight="1" x14ac:dyDescent="0.35">
      <c r="A12" s="12"/>
      <c r="B12" s="2" t="s">
        <v>147</v>
      </c>
      <c r="C12" s="77">
        <f>BS!$G$25*BS!C42</f>
        <v>463424</v>
      </c>
      <c r="E12" s="20"/>
      <c r="G12" s="96">
        <f>IF(Data!C49="","",-Data!C49)</f>
        <v>463424</v>
      </c>
      <c r="H12" s="96">
        <f>IF(Data!D49="","",-Data!D49)</f>
        <v>371724</v>
      </c>
      <c r="I12" s="96">
        <f>IF(Data!E49="","",-Data!E49)</f>
        <v>435672</v>
      </c>
      <c r="J12" s="96">
        <f>IF(Data!F49="","",-Data!F49)</f>
        <v>520888</v>
      </c>
      <c r="K12" s="96">
        <f>IF(Data!G49="","",-Data!G49)</f>
        <v>0</v>
      </c>
      <c r="L12" s="96">
        <f>IF(Data!H49="","",-Data!H49)</f>
        <v>0</v>
      </c>
      <c r="M12" s="96" t="str">
        <f>IF(Data!I49="","",-Data!I49)</f>
        <v/>
      </c>
      <c r="N12" s="96" t="str">
        <f>IF(Data!J49="","",-Data!J49)</f>
        <v/>
      </c>
      <c r="O12" s="96" t="str">
        <f>IF(Data!K49="","",-Data!K49)</f>
        <v/>
      </c>
      <c r="P12" s="96" t="str">
        <f>IF(Data!L49="","",-Data!L49)</f>
        <v/>
      </c>
      <c r="Q12" s="96" t="str">
        <f>IF(Data!M49="","",-Data!M49)</f>
        <v/>
      </c>
    </row>
    <row r="13" spans="1:17" ht="15.75" customHeight="1" x14ac:dyDescent="0.35">
      <c r="A13" s="12"/>
      <c r="B13" s="2" t="s">
        <v>185</v>
      </c>
      <c r="C13" s="77">
        <f>-C4*C32</f>
        <v>-463424.00000000006</v>
      </c>
      <c r="E13" s="20"/>
      <c r="G13" s="77">
        <f>Data!C50</f>
        <v>-676387</v>
      </c>
      <c r="H13" s="77">
        <f>Data!D50</f>
        <v>-107280</v>
      </c>
      <c r="I13" s="77">
        <f>Data!E50</f>
        <v>-455483</v>
      </c>
      <c r="J13" s="77">
        <f>Data!F50</f>
        <v>-138937</v>
      </c>
      <c r="K13" s="77">
        <f>Data!G50</f>
        <v>0</v>
      </c>
      <c r="L13" s="77">
        <f>Data!H50</f>
        <v>0</v>
      </c>
      <c r="M13" s="77" t="str">
        <f>Data!I50</f>
        <v/>
      </c>
      <c r="N13" s="77" t="str">
        <f>Data!J50</f>
        <v/>
      </c>
      <c r="O13" s="77" t="str">
        <f>Data!K50</f>
        <v/>
      </c>
      <c r="P13" s="77" t="str">
        <f>Data!L50</f>
        <v/>
      </c>
      <c r="Q13" s="77" t="str">
        <f>Data!M50</f>
        <v/>
      </c>
    </row>
    <row r="14" spans="1:17" ht="15.75" customHeight="1" x14ac:dyDescent="0.35">
      <c r="A14" s="12"/>
      <c r="B14" s="44" t="s">
        <v>78</v>
      </c>
      <c r="C14" s="77">
        <f>-C4*C34</f>
        <v>0</v>
      </c>
      <c r="D14" s="69"/>
      <c r="E14" s="84"/>
      <c r="F14" s="69"/>
      <c r="G14" s="65">
        <f>Data!C46</f>
        <v>0</v>
      </c>
      <c r="H14" s="65">
        <f>Data!D46</f>
        <v>0</v>
      </c>
      <c r="I14" s="65">
        <f>Data!E46</f>
        <v>0</v>
      </c>
      <c r="J14" s="65">
        <f>Data!F46</f>
        <v>-1799</v>
      </c>
      <c r="K14" s="65">
        <f>Data!G46</f>
        <v>-1337</v>
      </c>
      <c r="L14" s="65">
        <f>Data!H46</f>
        <v>-10908</v>
      </c>
      <c r="M14" s="65" t="str">
        <f>Data!I46</f>
        <v/>
      </c>
      <c r="N14" s="65" t="str">
        <f>Data!J46</f>
        <v/>
      </c>
      <c r="O14" s="65" t="str">
        <f>Data!K46</f>
        <v/>
      </c>
      <c r="P14" s="65" t="str">
        <f>Data!L46</f>
        <v/>
      </c>
      <c r="Q14" s="65" t="str">
        <f>Data!M46</f>
        <v/>
      </c>
    </row>
    <row r="15" spans="1:17" ht="15.75" customHeight="1" x14ac:dyDescent="0.35">
      <c r="A15" s="12"/>
      <c r="B15" s="34" t="s">
        <v>294</v>
      </c>
      <c r="C15" s="80">
        <f>SUM(C11:C14)</f>
        <v>1080495.1269962033</v>
      </c>
      <c r="D15" s="11"/>
      <c r="E15" s="11"/>
      <c r="F15" s="11"/>
      <c r="G15" s="80">
        <f t="shared" ref="G15:Q15" si="7">IF(G$4="","",SUM(G11:G14))</f>
        <v>1306025</v>
      </c>
      <c r="H15" s="80">
        <f t="shared" si="7"/>
        <v>1359024</v>
      </c>
      <c r="I15" s="80">
        <f t="shared" si="7"/>
        <v>1171856</v>
      </c>
      <c r="J15" s="80">
        <f t="shared" si="7"/>
        <v>1116233</v>
      </c>
      <c r="K15" s="80">
        <f t="shared" si="7"/>
        <v>1140356</v>
      </c>
      <c r="L15" s="80">
        <f t="shared" si="7"/>
        <v>1571906</v>
      </c>
      <c r="M15" s="80" t="str">
        <f t="shared" si="7"/>
        <v/>
      </c>
      <c r="N15" s="80" t="str">
        <f t="shared" si="7"/>
        <v/>
      </c>
      <c r="O15" s="80" t="str">
        <f t="shared" si="7"/>
        <v/>
      </c>
      <c r="P15" s="80" t="str">
        <f t="shared" si="7"/>
        <v/>
      </c>
      <c r="Q15" s="80" t="str">
        <f t="shared" si="7"/>
        <v/>
      </c>
    </row>
    <row r="16" spans="1:17" ht="15.75" customHeight="1" x14ac:dyDescent="0.35">
      <c r="A16" s="12"/>
      <c r="B16" s="30" t="s">
        <v>88</v>
      </c>
      <c r="C16" s="77">
        <f>-C4*C33</f>
        <v>0</v>
      </c>
      <c r="D16" s="66"/>
      <c r="E16" s="85" t="s">
        <v>314</v>
      </c>
      <c r="F16" s="66"/>
      <c r="G16" s="222"/>
      <c r="H16" s="222"/>
      <c r="I16" s="222"/>
      <c r="J16" s="222"/>
      <c r="K16" s="222"/>
      <c r="L16" s="222"/>
      <c r="M16" s="222"/>
      <c r="N16" s="222"/>
      <c r="O16" s="222"/>
      <c r="P16" s="222"/>
      <c r="Q16" s="222"/>
    </row>
    <row r="17" spans="1:17" ht="15.75" customHeight="1" x14ac:dyDescent="0.35">
      <c r="A17" s="12"/>
      <c r="B17" s="30" t="s">
        <v>218</v>
      </c>
      <c r="C17" s="77">
        <v>0</v>
      </c>
      <c r="D17" s="66"/>
      <c r="E17" s="85" t="s">
        <v>217</v>
      </c>
      <c r="F17" s="66"/>
      <c r="G17" s="148"/>
      <c r="H17" s="148"/>
      <c r="I17" s="148"/>
      <c r="J17" s="148"/>
      <c r="K17" s="148"/>
      <c r="L17" s="148"/>
      <c r="M17" s="148"/>
      <c r="N17" s="148"/>
      <c r="O17" s="148"/>
      <c r="P17" s="148"/>
      <c r="Q17" s="148"/>
    </row>
    <row r="18" spans="1:17" ht="15.75" customHeight="1" x14ac:dyDescent="0.35">
      <c r="A18" s="12"/>
      <c r="B18" s="34" t="s">
        <v>299</v>
      </c>
      <c r="C18" s="80">
        <f>SUM(C15:C17)</f>
        <v>1080495.1269962033</v>
      </c>
      <c r="D18" s="66"/>
      <c r="E18" s="85"/>
      <c r="F18" s="66"/>
      <c r="G18" s="80">
        <f>IF(G$4="","",SUM(G15:G17))</f>
        <v>1306025</v>
      </c>
      <c r="H18" s="80">
        <f t="shared" ref="H18:Q18" si="8">IF(H$4="","",SUM(H15:H17))</f>
        <v>1359024</v>
      </c>
      <c r="I18" s="80">
        <f t="shared" si="8"/>
        <v>1171856</v>
      </c>
      <c r="J18" s="80">
        <f t="shared" si="8"/>
        <v>1116233</v>
      </c>
      <c r="K18" s="80">
        <f t="shared" si="8"/>
        <v>1140356</v>
      </c>
      <c r="L18" s="80">
        <f t="shared" si="8"/>
        <v>1571906</v>
      </c>
      <c r="M18" s="80" t="str">
        <f t="shared" si="8"/>
        <v/>
      </c>
      <c r="N18" s="80" t="str">
        <f t="shared" si="8"/>
        <v/>
      </c>
      <c r="O18" s="80" t="str">
        <f t="shared" si="8"/>
        <v/>
      </c>
      <c r="P18" s="80" t="str">
        <f t="shared" si="8"/>
        <v/>
      </c>
      <c r="Q18" s="80" t="str">
        <f t="shared" si="8"/>
        <v/>
      </c>
    </row>
    <row r="19" spans="1:17" ht="15.75" customHeight="1" x14ac:dyDescent="0.35">
      <c r="A19" s="12"/>
      <c r="B19" s="30" t="s">
        <v>175</v>
      </c>
      <c r="C19" s="206">
        <f>MIN(G19:J19)</f>
        <v>190177</v>
      </c>
      <c r="D19" s="66"/>
      <c r="E19" s="85" t="s">
        <v>178</v>
      </c>
      <c r="F19" s="66"/>
      <c r="G19" s="65">
        <f>Data!C43</f>
        <v>248317</v>
      </c>
      <c r="H19" s="65">
        <f>Data!D43</f>
        <v>190177</v>
      </c>
      <c r="I19" s="65">
        <f>Data!E43</f>
        <v>200697</v>
      </c>
      <c r="J19" s="65">
        <f>Data!F43</f>
        <v>281254</v>
      </c>
      <c r="K19" s="65">
        <f>Data!G43</f>
        <v>-275378</v>
      </c>
      <c r="L19" s="65">
        <f>Data!H43</f>
        <v>-1582814</v>
      </c>
      <c r="M19" s="65" t="str">
        <f>Data!I43</f>
        <v/>
      </c>
      <c r="N19" s="65" t="str">
        <f>Data!J43</f>
        <v/>
      </c>
      <c r="O19" s="65" t="str">
        <f>Data!K43</f>
        <v/>
      </c>
      <c r="P19" s="65" t="str">
        <f>Data!L43</f>
        <v/>
      </c>
      <c r="Q19" s="65" t="str">
        <f>Data!M43</f>
        <v/>
      </c>
    </row>
    <row r="20" spans="1:17" ht="15.75" customHeight="1" x14ac:dyDescent="0.35">
      <c r="A20" s="12"/>
      <c r="B20" s="34" t="s">
        <v>287</v>
      </c>
      <c r="C20" s="80">
        <f>C18+C19</f>
        <v>1270672.1269962033</v>
      </c>
      <c r="D20" s="30"/>
      <c r="E20" s="86"/>
      <c r="F20" s="30"/>
      <c r="G20" s="68">
        <f>IF(G$4="","",G18+G19)</f>
        <v>1554342</v>
      </c>
      <c r="H20" s="68">
        <f t="shared" ref="H20:Q20" si="9">IF(H$4="","",H18+H19)</f>
        <v>1549201</v>
      </c>
      <c r="I20" s="68">
        <f t="shared" si="9"/>
        <v>1372553</v>
      </c>
      <c r="J20" s="68">
        <f t="shared" si="9"/>
        <v>1397487</v>
      </c>
      <c r="K20" s="68">
        <f t="shared" si="9"/>
        <v>864978</v>
      </c>
      <c r="L20" s="68">
        <f t="shared" si="9"/>
        <v>-10908</v>
      </c>
      <c r="M20" s="68" t="str">
        <f t="shared" si="9"/>
        <v/>
      </c>
      <c r="N20" s="68" t="str">
        <f t="shared" si="9"/>
        <v/>
      </c>
      <c r="O20" s="68" t="str">
        <f t="shared" si="9"/>
        <v/>
      </c>
      <c r="P20" s="68" t="str">
        <f t="shared" si="9"/>
        <v/>
      </c>
      <c r="Q20" s="68" t="str">
        <f t="shared" si="9"/>
        <v/>
      </c>
    </row>
    <row r="21" spans="1:17" ht="15.75" customHeight="1" x14ac:dyDescent="0.35">
      <c r="A21" s="12"/>
      <c r="B21" s="30"/>
      <c r="C21" s="74"/>
      <c r="D21" s="30"/>
      <c r="E21" s="86"/>
      <c r="F21" s="30"/>
      <c r="G21" s="14"/>
      <c r="H21" s="14"/>
      <c r="I21" s="14"/>
      <c r="J21" s="14"/>
      <c r="K21" s="14"/>
      <c r="L21" s="14"/>
      <c r="M21" s="14"/>
      <c r="N21" s="14"/>
      <c r="O21" s="14"/>
      <c r="P21" s="14"/>
      <c r="Q21" s="14"/>
    </row>
    <row r="22" spans="1:17" ht="15.75" customHeight="1" x14ac:dyDescent="0.35">
      <c r="A22" s="12"/>
      <c r="B22" s="93" t="s">
        <v>76</v>
      </c>
      <c r="C22" s="74"/>
      <c r="D22" s="30"/>
      <c r="E22" s="86"/>
      <c r="F22" s="30"/>
      <c r="G22" s="14"/>
      <c r="H22" s="14"/>
      <c r="I22" s="14"/>
      <c r="J22" s="14"/>
      <c r="K22" s="14"/>
      <c r="L22" s="14"/>
      <c r="M22" s="14"/>
      <c r="N22" s="14"/>
      <c r="O22" s="14"/>
      <c r="P22" s="14"/>
      <c r="Q22" s="14"/>
    </row>
    <row r="23" spans="1:17" ht="15.75" customHeight="1" x14ac:dyDescent="0.35">
      <c r="A23" s="12"/>
      <c r="B23" s="2" t="s">
        <v>80</v>
      </c>
      <c r="C23" s="101">
        <f t="shared" ref="C23:C29" si="10">ABS(C5/C$4)</f>
        <v>0.85916636172912864</v>
      </c>
      <c r="D23" s="30"/>
      <c r="E23" s="86"/>
      <c r="F23" s="30"/>
      <c r="G23" s="8">
        <f t="shared" ref="G23:Q23" si="11">IF(G$4="","",ABS(G5/G$4))</f>
        <v>0.86096272455849754</v>
      </c>
      <c r="H23" s="8">
        <f t="shared" si="11"/>
        <v>0.85703537297697319</v>
      </c>
      <c r="I23" s="8">
        <f t="shared" si="11"/>
        <v>0.85154513157189637</v>
      </c>
      <c r="J23" s="8">
        <f t="shared" si="11"/>
        <v>0.86234342793721264</v>
      </c>
      <c r="K23" s="8">
        <f t="shared" si="11"/>
        <v>0.70419372087965826</v>
      </c>
      <c r="L23" s="8">
        <f t="shared" si="11"/>
        <v>0.74565961264792724</v>
      </c>
      <c r="M23" s="8" t="str">
        <f t="shared" si="11"/>
        <v/>
      </c>
      <c r="N23" s="8" t="str">
        <f t="shared" si="11"/>
        <v/>
      </c>
      <c r="O23" s="8" t="str">
        <f t="shared" si="11"/>
        <v/>
      </c>
      <c r="P23" s="8" t="str">
        <f t="shared" si="11"/>
        <v/>
      </c>
      <c r="Q23" s="8" t="str">
        <f t="shared" si="11"/>
        <v/>
      </c>
    </row>
    <row r="24" spans="1:17" ht="15.75" customHeight="1" x14ac:dyDescent="0.35">
      <c r="A24" s="12"/>
      <c r="B24" s="34" t="s">
        <v>82</v>
      </c>
      <c r="C24" s="102">
        <f t="shared" si="10"/>
        <v>0.14083363827087136</v>
      </c>
      <c r="D24" s="30"/>
      <c r="E24" s="86"/>
      <c r="F24" s="30"/>
      <c r="G24" s="79">
        <f t="shared" ref="G24:Q24" si="12">IF(G$4="","",ABS(G6/G$4))</f>
        <v>0.13903727544150246</v>
      </c>
      <c r="H24" s="79">
        <f t="shared" si="12"/>
        <v>0.14296462702302684</v>
      </c>
      <c r="I24" s="79">
        <f t="shared" si="12"/>
        <v>0.14845486842810363</v>
      </c>
      <c r="J24" s="79">
        <f t="shared" si="12"/>
        <v>0.13765657206278739</v>
      </c>
      <c r="K24" s="79">
        <f t="shared" si="12"/>
        <v>0.29580627912034169</v>
      </c>
      <c r="L24" s="79">
        <f t="shared" si="12"/>
        <v>0.25434038735207271</v>
      </c>
      <c r="M24" s="79" t="str">
        <f t="shared" si="12"/>
        <v/>
      </c>
      <c r="N24" s="79" t="str">
        <f t="shared" si="12"/>
        <v/>
      </c>
      <c r="O24" s="79" t="str">
        <f t="shared" si="12"/>
        <v/>
      </c>
      <c r="P24" s="79" t="str">
        <f t="shared" si="12"/>
        <v/>
      </c>
      <c r="Q24" s="79" t="str">
        <f t="shared" si="12"/>
        <v/>
      </c>
    </row>
    <row r="25" spans="1:17" ht="15.75" customHeight="1" x14ac:dyDescent="0.35">
      <c r="A25" s="12"/>
      <c r="B25" s="10" t="s">
        <v>79</v>
      </c>
      <c r="C25" s="101">
        <f t="shared" si="10"/>
        <v>2.4189802738666985E-2</v>
      </c>
      <c r="D25" s="30"/>
      <c r="E25" s="86"/>
      <c r="F25" s="30"/>
      <c r="G25" s="8">
        <f t="shared" ref="G25:Q25" si="13">IF(G$4="","",ABS(G7/G$4))</f>
        <v>1.6580166386945237E-2</v>
      </c>
      <c r="H25" s="8">
        <f t="shared" si="13"/>
        <v>2.9181044602016856E-2</v>
      </c>
      <c r="I25" s="8">
        <f t="shared" si="13"/>
        <v>2.7587615842589962E-2</v>
      </c>
      <c r="J25" s="8">
        <f t="shared" si="13"/>
        <v>3.1822067442433898E-2</v>
      </c>
      <c r="K25" s="8">
        <f t="shared" si="13"/>
        <v>0.18856108069142588</v>
      </c>
      <c r="L25" s="8">
        <f t="shared" si="13"/>
        <v>0.15238149582692045</v>
      </c>
      <c r="M25" s="8" t="str">
        <f t="shared" si="13"/>
        <v/>
      </c>
      <c r="N25" s="8" t="str">
        <f t="shared" si="13"/>
        <v/>
      </c>
      <c r="O25" s="8" t="str">
        <f t="shared" si="13"/>
        <v/>
      </c>
      <c r="P25" s="8" t="str">
        <f t="shared" si="13"/>
        <v/>
      </c>
      <c r="Q25" s="8" t="str">
        <f t="shared" si="13"/>
        <v/>
      </c>
    </row>
    <row r="26" spans="1:17" ht="15.75" customHeight="1" x14ac:dyDescent="0.35">
      <c r="A26" s="12"/>
      <c r="B26" s="32" t="s">
        <v>63</v>
      </c>
      <c r="C26" s="102">
        <f t="shared" si="10"/>
        <v>0.11664383553220437</v>
      </c>
      <c r="D26" s="30"/>
      <c r="E26" s="86"/>
      <c r="F26" s="30"/>
      <c r="G26" s="79">
        <f t="shared" ref="G26:Q26" si="14">IF(G$4="","",ABS(G8/G$4))</f>
        <v>0.12245710905455723</v>
      </c>
      <c r="H26" s="79">
        <f t="shared" si="14"/>
        <v>0.11378358242100998</v>
      </c>
      <c r="I26" s="79">
        <f t="shared" si="14"/>
        <v>0.12086725258551366</v>
      </c>
      <c r="J26" s="79">
        <f t="shared" si="14"/>
        <v>0.10583450462035347</v>
      </c>
      <c r="K26" s="79">
        <f t="shared" si="14"/>
        <v>0.10724519842891581</v>
      </c>
      <c r="L26" s="79">
        <f t="shared" si="14"/>
        <v>0.10195889152515229</v>
      </c>
      <c r="M26" s="79" t="str">
        <f t="shared" si="14"/>
        <v/>
      </c>
      <c r="N26" s="79" t="str">
        <f t="shared" si="14"/>
        <v/>
      </c>
      <c r="O26" s="79" t="str">
        <f t="shared" si="14"/>
        <v/>
      </c>
      <c r="P26" s="79" t="str">
        <f t="shared" si="14"/>
        <v/>
      </c>
      <c r="Q26" s="79" t="str">
        <f t="shared" si="14"/>
        <v/>
      </c>
    </row>
    <row r="27" spans="1:17" ht="15.75" customHeight="1" x14ac:dyDescent="0.35">
      <c r="A27" s="12"/>
      <c r="B27" s="2" t="s">
        <v>151</v>
      </c>
      <c r="C27" s="101">
        <f t="shared" si="10"/>
        <v>2.4496276203067853E-3</v>
      </c>
      <c r="D27" s="30"/>
      <c r="E27" s="86"/>
      <c r="F27" s="30"/>
      <c r="G27" s="8">
        <f t="shared" ref="G27:Q27" si="15">IF(G$4="","",ABS(G9/G$4))</f>
        <v>1.9978517498607917E-3</v>
      </c>
      <c r="H27" s="8">
        <f t="shared" si="15"/>
        <v>1.0320722160014773E-3</v>
      </c>
      <c r="I27" s="8">
        <f t="shared" si="15"/>
        <v>5.4735115251124938E-3</v>
      </c>
      <c r="J27" s="8">
        <f t="shared" si="15"/>
        <v>3.8988481983809435E-3</v>
      </c>
      <c r="K27" s="8">
        <f t="shared" si="15"/>
        <v>5.6147664039083583E-3</v>
      </c>
      <c r="L27" s="8">
        <f t="shared" si="15"/>
        <v>2.1597113239037349E-3</v>
      </c>
      <c r="M27" s="8" t="str">
        <f t="shared" si="15"/>
        <v/>
      </c>
      <c r="N27" s="8" t="str">
        <f t="shared" si="15"/>
        <v/>
      </c>
      <c r="O27" s="8" t="str">
        <f t="shared" si="15"/>
        <v/>
      </c>
      <c r="P27" s="8" t="str">
        <f t="shared" si="15"/>
        <v/>
      </c>
      <c r="Q27" s="8" t="str">
        <f t="shared" si="15"/>
        <v/>
      </c>
    </row>
    <row r="28" spans="1:17" ht="15.75" customHeight="1" x14ac:dyDescent="0.35">
      <c r="A28" s="12"/>
      <c r="B28" s="2" t="s">
        <v>143</v>
      </c>
      <c r="C28" s="101">
        <f t="shared" si="10"/>
        <v>2.7750800005147281E-2</v>
      </c>
      <c r="D28" s="30"/>
      <c r="E28" s="86"/>
      <c r="F28" s="30"/>
      <c r="G28" s="8">
        <f t="shared" ref="G28:Q28" si="16">IF(G$4="","",ABS(G10/G$4))</f>
        <v>2.134717546604905E-2</v>
      </c>
      <c r="H28" s="8">
        <f t="shared" si="16"/>
        <v>2.3431929819757211E-2</v>
      </c>
      <c r="I28" s="8">
        <f t="shared" si="16"/>
        <v>2.4816909944731565E-2</v>
      </c>
      <c r="J28" s="8">
        <f t="shared" si="16"/>
        <v>2.6666749423196391E-2</v>
      </c>
      <c r="K28" s="8">
        <f t="shared" si="16"/>
        <v>0</v>
      </c>
      <c r="L28" s="8">
        <f t="shared" si="16"/>
        <v>0</v>
      </c>
      <c r="M28" s="8" t="str">
        <f t="shared" si="16"/>
        <v/>
      </c>
      <c r="N28" s="8" t="str">
        <f t="shared" si="16"/>
        <v/>
      </c>
      <c r="O28" s="8" t="str">
        <f t="shared" si="16"/>
        <v/>
      </c>
      <c r="P28" s="8" t="str">
        <f t="shared" si="16"/>
        <v/>
      </c>
      <c r="Q28" s="8" t="str">
        <f t="shared" si="16"/>
        <v/>
      </c>
    </row>
    <row r="29" spans="1:17" ht="15.75" customHeight="1" x14ac:dyDescent="0.35">
      <c r="A29" s="12"/>
      <c r="B29" s="45" t="s">
        <v>177</v>
      </c>
      <c r="C29" s="102">
        <f t="shared" si="10"/>
        <v>8.64434079067503E-2</v>
      </c>
      <c r="D29" s="30"/>
      <c r="E29" s="86"/>
      <c r="F29" s="30"/>
      <c r="G29" s="79">
        <f t="shared" ref="G29:Q29" si="17">IF(G$4="","",ABS(G11/G$4))</f>
        <v>9.9112081838647392E-2</v>
      </c>
      <c r="H29" s="79">
        <f t="shared" si="17"/>
        <v>9.1383724817254264E-2</v>
      </c>
      <c r="I29" s="79">
        <f t="shared" si="17"/>
        <v>0.10152385416589459</v>
      </c>
      <c r="J29" s="79">
        <f t="shared" si="17"/>
        <v>8.3066603395538036E-2</v>
      </c>
      <c r="K29" s="79">
        <f t="shared" si="17"/>
        <v>0.10163043202500745</v>
      </c>
      <c r="L29" s="79">
        <f t="shared" si="17"/>
        <v>9.9799180201248547E-2</v>
      </c>
      <c r="M29" s="79" t="str">
        <f t="shared" si="17"/>
        <v/>
      </c>
      <c r="N29" s="79" t="str">
        <f t="shared" si="17"/>
        <v/>
      </c>
      <c r="O29" s="79" t="str">
        <f t="shared" si="17"/>
        <v/>
      </c>
      <c r="P29" s="79" t="str">
        <f t="shared" si="17"/>
        <v/>
      </c>
      <c r="Q29" s="79" t="str">
        <f t="shared" si="17"/>
        <v/>
      </c>
    </row>
    <row r="30" spans="1:17" ht="15.75" customHeight="1" x14ac:dyDescent="0.35">
      <c r="A30" s="12"/>
      <c r="B30" s="30" t="s">
        <v>175</v>
      </c>
      <c r="C30" s="101">
        <f>ABS(C19/C$4)</f>
        <v>1.5214828438129381E-2</v>
      </c>
      <c r="D30" s="30"/>
      <c r="E30" s="86"/>
      <c r="F30" s="30"/>
      <c r="G30" s="8">
        <f t="shared" ref="G30:Q30" si="18">IF(G$4="","",G19/G$4)</f>
        <v>1.6202376072705908E-2</v>
      </c>
      <c r="H30" s="8">
        <f t="shared" si="18"/>
        <v>1.5877398303066895E-2</v>
      </c>
      <c r="I30" s="8">
        <f t="shared" si="18"/>
        <v>1.7098344553916948E-2</v>
      </c>
      <c r="J30" s="8">
        <f t="shared" si="18"/>
        <v>3.1739461379126283E-2</v>
      </c>
      <c r="K30" s="8">
        <f t="shared" si="18"/>
        <v>-2.4513406940554511E-2</v>
      </c>
      <c r="L30" s="8">
        <f t="shared" si="18"/>
        <v>-9.9799180201248547E-2</v>
      </c>
      <c r="M30" s="8" t="str">
        <f t="shared" si="18"/>
        <v/>
      </c>
      <c r="N30" s="8" t="str">
        <f t="shared" si="18"/>
        <v/>
      </c>
      <c r="O30" s="8" t="str">
        <f t="shared" si="18"/>
        <v/>
      </c>
      <c r="P30" s="8" t="str">
        <f t="shared" si="18"/>
        <v/>
      </c>
      <c r="Q30" s="8" t="str">
        <f t="shared" si="18"/>
        <v/>
      </c>
    </row>
    <row r="31" spans="1:17" ht="15.75" customHeight="1" x14ac:dyDescent="0.35">
      <c r="A31" s="12"/>
      <c r="B31" s="2" t="s">
        <v>147</v>
      </c>
      <c r="C31" s="101">
        <f>ABS(C12/C$4)</f>
        <v>3.7075548852446252E-2</v>
      </c>
      <c r="D31" s="30"/>
      <c r="E31" s="86"/>
      <c r="F31" s="30"/>
      <c r="G31" s="8">
        <f t="shared" ref="G31:Q31" si="19">IF(G$4="","",G12/G$4)</f>
        <v>3.0237840861147901E-2</v>
      </c>
      <c r="H31" s="8">
        <f t="shared" si="19"/>
        <v>3.1034299661942499E-2</v>
      </c>
      <c r="I31" s="8">
        <f t="shared" si="19"/>
        <v>3.7116997107550703E-2</v>
      </c>
      <c r="J31" s="8">
        <f t="shared" si="19"/>
        <v>5.8782113530297636E-2</v>
      </c>
      <c r="K31" s="8">
        <f t="shared" si="19"/>
        <v>0</v>
      </c>
      <c r="L31" s="8">
        <f t="shared" si="19"/>
        <v>0</v>
      </c>
      <c r="M31" s="8" t="str">
        <f t="shared" si="19"/>
        <v/>
      </c>
      <c r="N31" s="8" t="str">
        <f t="shared" si="19"/>
        <v/>
      </c>
      <c r="O31" s="8" t="str">
        <f t="shared" si="19"/>
        <v/>
      </c>
      <c r="P31" s="8" t="str">
        <f t="shared" si="19"/>
        <v/>
      </c>
      <c r="Q31" s="8" t="str">
        <f t="shared" si="19"/>
        <v/>
      </c>
    </row>
    <row r="32" spans="1:17" ht="15.75" customHeight="1" x14ac:dyDescent="0.35">
      <c r="A32" s="12"/>
      <c r="B32" s="2" t="s">
        <v>185</v>
      </c>
      <c r="C32" s="117">
        <f>MAX(AVERAGE(G32:J32),C31)</f>
        <v>3.7075548852446252E-2</v>
      </c>
      <c r="D32" s="30"/>
      <c r="E32" s="83" t="s">
        <v>183</v>
      </c>
      <c r="F32" s="30"/>
      <c r="G32" s="8">
        <f t="shared" ref="G32:Q32" si="20">IF(G$4="","",-G13/G$4)</f>
        <v>4.413341231043115E-2</v>
      </c>
      <c r="H32" s="8">
        <f t="shared" si="20"/>
        <v>8.9565367523571013E-3</v>
      </c>
      <c r="I32" s="8">
        <f t="shared" si="20"/>
        <v>3.8804791663312119E-2</v>
      </c>
      <c r="J32" s="8">
        <f t="shared" si="20"/>
        <v>1.5679014505150749E-2</v>
      </c>
      <c r="K32" s="8">
        <f t="shared" si="20"/>
        <v>0</v>
      </c>
      <c r="L32" s="8">
        <f t="shared" si="20"/>
        <v>0</v>
      </c>
      <c r="M32" s="8" t="str">
        <f t="shared" si="20"/>
        <v/>
      </c>
      <c r="N32" s="8" t="str">
        <f t="shared" si="20"/>
        <v/>
      </c>
      <c r="O32" s="8" t="str">
        <f t="shared" si="20"/>
        <v/>
      </c>
      <c r="P32" s="8" t="str">
        <f t="shared" si="20"/>
        <v/>
      </c>
      <c r="Q32" s="8" t="str">
        <f t="shared" si="20"/>
        <v/>
      </c>
    </row>
    <row r="33" spans="1:17" ht="15.75" customHeight="1" x14ac:dyDescent="0.35">
      <c r="A33" s="12"/>
      <c r="B33" s="30" t="s">
        <v>88</v>
      </c>
      <c r="C33" s="117">
        <f>MIN(AVERAGE(G33:J33)/2,0)</f>
        <v>0</v>
      </c>
      <c r="D33" s="30"/>
      <c r="E33" s="86" t="s">
        <v>182</v>
      </c>
      <c r="F33" s="30"/>
      <c r="G33" s="8">
        <f t="shared" ref="G33:Q33" si="21">IF(G$4="","",-G16/G$4)</f>
        <v>0</v>
      </c>
      <c r="H33" s="8">
        <f t="shared" si="21"/>
        <v>0</v>
      </c>
      <c r="I33" s="8">
        <f t="shared" si="21"/>
        <v>0</v>
      </c>
      <c r="J33" s="8">
        <f t="shared" si="21"/>
        <v>0</v>
      </c>
      <c r="K33" s="8">
        <f t="shared" si="21"/>
        <v>0</v>
      </c>
      <c r="L33" s="8">
        <f t="shared" si="21"/>
        <v>0</v>
      </c>
      <c r="M33" s="8" t="str">
        <f t="shared" si="21"/>
        <v/>
      </c>
      <c r="N33" s="8" t="str">
        <f t="shared" si="21"/>
        <v/>
      </c>
      <c r="O33" s="8" t="str">
        <f t="shared" si="21"/>
        <v/>
      </c>
      <c r="P33" s="8" t="str">
        <f t="shared" si="21"/>
        <v/>
      </c>
      <c r="Q33" s="8" t="str">
        <f t="shared" si="21"/>
        <v/>
      </c>
    </row>
    <row r="34" spans="1:17" ht="15.75" customHeight="1" x14ac:dyDescent="0.35">
      <c r="A34" s="12"/>
      <c r="B34" s="44" t="s">
        <v>78</v>
      </c>
      <c r="C34" s="117">
        <f>IF(BS!G29&lt;=0,0,BS!G29/BS!G30)</f>
        <v>0</v>
      </c>
      <c r="D34" s="30"/>
      <c r="E34" s="86"/>
      <c r="F34" s="30"/>
      <c r="G34" s="8">
        <f t="shared" ref="G34:Q34" si="22">IF(G$4="","",-G14/G$4)</f>
        <v>0</v>
      </c>
      <c r="H34" s="8">
        <f t="shared" si="22"/>
        <v>0</v>
      </c>
      <c r="I34" s="8">
        <f t="shared" si="22"/>
        <v>0</v>
      </c>
      <c r="J34" s="8">
        <f t="shared" si="22"/>
        <v>2.0301681405792693E-4</v>
      </c>
      <c r="K34" s="8">
        <f t="shared" si="22"/>
        <v>1.1901613447523543E-4</v>
      </c>
      <c r="L34" s="8">
        <f t="shared" si="22"/>
        <v>6.8776840338486973E-4</v>
      </c>
      <c r="M34" s="8" t="str">
        <f t="shared" si="22"/>
        <v/>
      </c>
      <c r="N34" s="8" t="str">
        <f t="shared" si="22"/>
        <v/>
      </c>
      <c r="O34" s="8" t="str">
        <f t="shared" si="22"/>
        <v/>
      </c>
      <c r="P34" s="8" t="str">
        <f t="shared" si="22"/>
        <v/>
      </c>
      <c r="Q34" s="8" t="str">
        <f t="shared" si="22"/>
        <v/>
      </c>
    </row>
    <row r="35" spans="1:17" ht="15.75" customHeight="1" x14ac:dyDescent="0.35">
      <c r="A35" s="12"/>
      <c r="B35" s="34" t="s">
        <v>148</v>
      </c>
      <c r="C35" s="102">
        <f>ABS(C20/C$4)</f>
        <v>0.10165823634487968</v>
      </c>
      <c r="D35" s="99"/>
      <c r="E35" s="86"/>
      <c r="F35" s="99"/>
      <c r="G35" s="79">
        <f t="shared" ref="G35:Q35" si="23">IF(G$4="","",ABS(G20/G$4))</f>
        <v>0.10141888646207005</v>
      </c>
      <c r="H35" s="79">
        <f t="shared" si="23"/>
        <v>0.12933888602990656</v>
      </c>
      <c r="I35" s="79">
        <f t="shared" si="23"/>
        <v>0.11693440416405013</v>
      </c>
      <c r="J35" s="79">
        <f t="shared" si="23"/>
        <v>0.15770614698575328</v>
      </c>
      <c r="K35" s="79">
        <f t="shared" si="23"/>
        <v>7.69980089499777E-2</v>
      </c>
      <c r="L35" s="79">
        <f t="shared" si="23"/>
        <v>6.8776840338486973E-4</v>
      </c>
      <c r="M35" s="79" t="str">
        <f t="shared" si="23"/>
        <v/>
      </c>
      <c r="N35" s="79" t="str">
        <f t="shared" si="23"/>
        <v/>
      </c>
      <c r="O35" s="79" t="str">
        <f t="shared" si="23"/>
        <v/>
      </c>
      <c r="P35" s="79" t="str">
        <f t="shared" si="23"/>
        <v/>
      </c>
      <c r="Q35" s="79" t="str">
        <f t="shared" si="23"/>
        <v/>
      </c>
    </row>
    <row r="36" spans="1:17" ht="15.75" customHeight="1" x14ac:dyDescent="0.35">
      <c r="A36" s="12"/>
      <c r="B36" s="93" t="s">
        <v>168</v>
      </c>
      <c r="C36" s="74"/>
      <c r="D36" s="30"/>
      <c r="E36" s="86"/>
      <c r="F36" s="30"/>
      <c r="G36" s="14"/>
      <c r="H36" s="14"/>
      <c r="I36" s="14"/>
      <c r="J36" s="14"/>
      <c r="K36" s="14"/>
      <c r="L36" s="14"/>
      <c r="M36" s="14"/>
      <c r="N36" s="14"/>
      <c r="O36" s="14"/>
      <c r="P36" s="14"/>
      <c r="Q36" s="14"/>
    </row>
    <row r="37" spans="1:17" ht="15.75" customHeight="1" x14ac:dyDescent="0.35">
      <c r="A37" s="12"/>
      <c r="B37" s="207" t="s">
        <v>179</v>
      </c>
      <c r="C37" s="74"/>
      <c r="D37" s="30"/>
      <c r="E37" s="86"/>
      <c r="F37" s="30"/>
      <c r="G37" s="14"/>
      <c r="H37" s="14"/>
      <c r="I37" s="14"/>
      <c r="J37" s="14"/>
      <c r="K37" s="14"/>
      <c r="L37" s="14"/>
      <c r="M37" s="14"/>
      <c r="N37" s="14"/>
      <c r="O37" s="14"/>
      <c r="P37" s="14"/>
      <c r="Q37" s="14"/>
    </row>
    <row r="38" spans="1:17" ht="15.75" customHeight="1" x14ac:dyDescent="0.35">
      <c r="A38" s="12"/>
      <c r="B38" s="30" t="s">
        <v>169</v>
      </c>
      <c r="C38" s="75">
        <f>MAX(G38:J38)</f>
        <v>0.24301407674334419</v>
      </c>
      <c r="D38" s="30"/>
      <c r="E38" s="86" t="s">
        <v>167</v>
      </c>
      <c r="F38" s="30"/>
      <c r="G38" s="8">
        <f t="shared" ref="G38:Q38" si="24">IF(G$4="","",-G10/(G8+G9))</f>
        <v>0.17721490189875819</v>
      </c>
      <c r="H38" s="8">
        <f t="shared" si="24"/>
        <v>0.20408305726111148</v>
      </c>
      <c r="I38" s="8">
        <f t="shared" si="24"/>
        <v>0.19642836672256828</v>
      </c>
      <c r="J38" s="8">
        <f t="shared" si="24"/>
        <v>0.24301407674334419</v>
      </c>
      <c r="K38" s="8">
        <f t="shared" si="24"/>
        <v>0</v>
      </c>
      <c r="L38" s="8">
        <f t="shared" si="24"/>
        <v>0</v>
      </c>
      <c r="M38" s="8" t="str">
        <f t="shared" si="24"/>
        <v/>
      </c>
      <c r="N38" s="8" t="str">
        <f t="shared" si="24"/>
        <v/>
      </c>
      <c r="O38" s="8" t="str">
        <f t="shared" si="24"/>
        <v/>
      </c>
      <c r="P38" s="8" t="str">
        <f t="shared" si="24"/>
        <v/>
      </c>
      <c r="Q38" s="8" t="str">
        <f t="shared" si="24"/>
        <v/>
      </c>
    </row>
    <row r="39" spans="1:17" ht="15.75" customHeight="1" x14ac:dyDescent="0.35">
      <c r="A39" s="12"/>
      <c r="B39" s="30" t="s">
        <v>209</v>
      </c>
      <c r="C39" s="101">
        <f>C20*$C$3/(Market_Price*Common_Shares)</f>
        <v>0.13802875093781916</v>
      </c>
      <c r="D39" s="30"/>
      <c r="E39" s="86"/>
      <c r="F39" s="30"/>
      <c r="G39" s="101">
        <f t="shared" ref="G39:Q39" si="25">IF(G$4="","",G20*$C$3/(Market_Price*Common_Shares))</f>
        <v>0.16884283540346573</v>
      </c>
      <c r="H39" s="101">
        <f t="shared" si="25"/>
        <v>0.16828438622252023</v>
      </c>
      <c r="I39" s="101">
        <f t="shared" si="25"/>
        <v>0.14909572041515518</v>
      </c>
      <c r="J39" s="101">
        <f t="shared" si="25"/>
        <v>0.15180421523672596</v>
      </c>
      <c r="K39" s="101">
        <f t="shared" si="25"/>
        <v>9.3959590670276552E-2</v>
      </c>
      <c r="L39" s="101">
        <f t="shared" si="25"/>
        <v>-1.1848985928328542E-3</v>
      </c>
      <c r="M39" s="101" t="str">
        <f t="shared" si="25"/>
        <v/>
      </c>
      <c r="N39" s="101" t="str">
        <f t="shared" si="25"/>
        <v/>
      </c>
      <c r="O39" s="101" t="str">
        <f t="shared" si="25"/>
        <v/>
      </c>
      <c r="P39" s="101" t="str">
        <f t="shared" si="25"/>
        <v/>
      </c>
      <c r="Q39" s="101" t="str">
        <f t="shared" si="25"/>
        <v/>
      </c>
    </row>
    <row r="40" spans="1:17" ht="15.75" customHeight="1" x14ac:dyDescent="0.35">
      <c r="A40" s="12"/>
      <c r="B40" s="30"/>
      <c r="C40" s="74"/>
      <c r="D40" s="30"/>
      <c r="E40" s="86"/>
      <c r="F40" s="30"/>
      <c r="G40" s="14"/>
      <c r="H40" s="14"/>
      <c r="I40" s="14"/>
      <c r="J40" s="14"/>
      <c r="K40" s="14"/>
      <c r="L40" s="14"/>
      <c r="M40" s="14"/>
      <c r="N40" s="14"/>
      <c r="O40" s="14"/>
      <c r="P40" s="14"/>
      <c r="Q40" s="14"/>
    </row>
    <row r="41" spans="1:17" ht="15.75" customHeight="1" x14ac:dyDescent="0.35">
      <c r="A41" s="12"/>
      <c r="B41" s="207" t="s">
        <v>291</v>
      </c>
      <c r="C41" s="74"/>
      <c r="D41" s="30"/>
      <c r="E41" s="86"/>
      <c r="F41" s="30"/>
      <c r="G41" s="14"/>
      <c r="H41" s="14"/>
      <c r="I41" s="14"/>
      <c r="J41" s="14"/>
      <c r="K41" s="14"/>
      <c r="L41" s="14"/>
      <c r="M41" s="14"/>
      <c r="N41" s="14"/>
      <c r="O41" s="14"/>
      <c r="P41" s="14"/>
      <c r="Q41" s="14"/>
    </row>
    <row r="42" spans="1:17" ht="15.75" customHeight="1" x14ac:dyDescent="0.35">
      <c r="A42" s="12"/>
      <c r="B42" s="30" t="s">
        <v>292</v>
      </c>
      <c r="C42" s="101">
        <f>C4/G4-1</f>
        <v>-0.18442634574369077</v>
      </c>
      <c r="D42" s="30"/>
      <c r="E42" s="86"/>
      <c r="F42" s="30"/>
      <c r="G42" s="8">
        <f>IF(H4="","",G4/H4-1)</f>
        <v>0.27952593137796744</v>
      </c>
      <c r="H42" s="8">
        <f t="shared" ref="H42:Q42" si="26">IF(I4="","",H4/I4-1)</f>
        <v>2.0450249505806095E-2</v>
      </c>
      <c r="I42" s="8">
        <f t="shared" si="26"/>
        <v>0.32460887665346139</v>
      </c>
      <c r="J42" s="8">
        <f t="shared" si="26"/>
        <v>-0.21118785490642455</v>
      </c>
      <c r="K42" s="8">
        <f t="shared" si="26"/>
        <v>-0.29169116752280422</v>
      </c>
      <c r="L42" s="8" t="str">
        <f t="shared" si="26"/>
        <v/>
      </c>
      <c r="M42" s="8" t="str">
        <f t="shared" si="26"/>
        <v/>
      </c>
      <c r="N42" s="8" t="str">
        <f t="shared" si="26"/>
        <v/>
      </c>
      <c r="O42" s="8" t="str">
        <f t="shared" si="26"/>
        <v/>
      </c>
      <c r="P42" s="8" t="str">
        <f t="shared" si="26"/>
        <v/>
      </c>
      <c r="Q42" s="8" t="str">
        <f t="shared" si="26"/>
        <v/>
      </c>
    </row>
    <row r="43" spans="1:17" ht="15.75" customHeight="1" x14ac:dyDescent="0.35">
      <c r="A43" s="12"/>
      <c r="B43" s="30"/>
      <c r="C43" s="74"/>
      <c r="D43" s="30"/>
      <c r="E43" s="86"/>
      <c r="F43" s="30"/>
      <c r="G43" s="14"/>
      <c r="H43" s="14"/>
      <c r="I43" s="14"/>
      <c r="J43" s="14"/>
      <c r="K43" s="14"/>
      <c r="L43" s="14"/>
      <c r="M43" s="14"/>
      <c r="N43" s="14"/>
      <c r="O43" s="14"/>
      <c r="P43" s="14"/>
      <c r="Q43" s="14"/>
    </row>
    <row r="44" spans="1:17" ht="15.75" customHeight="1" x14ac:dyDescent="0.35">
      <c r="A44" s="12"/>
      <c r="B44" s="30"/>
      <c r="C44" s="74"/>
      <c r="D44" s="30"/>
      <c r="E44" s="86"/>
      <c r="F44" s="30"/>
      <c r="G44" s="14"/>
      <c r="H44" s="14"/>
      <c r="I44" s="14"/>
      <c r="J44" s="14"/>
      <c r="K44" s="14"/>
      <c r="L44" s="14"/>
      <c r="M44" s="14"/>
      <c r="N44" s="14"/>
      <c r="O44" s="14"/>
      <c r="P44" s="14"/>
      <c r="Q44" s="14"/>
    </row>
    <row r="45" spans="1:17" ht="15.75" customHeight="1" x14ac:dyDescent="0.5">
      <c r="A45" s="12"/>
      <c r="B45" s="61" t="s">
        <v>149</v>
      </c>
      <c r="C45" s="61"/>
      <c r="D45" s="63"/>
      <c r="E45" s="81" t="s">
        <v>138</v>
      </c>
      <c r="F45" s="63"/>
      <c r="G45" s="40"/>
      <c r="H45" s="40"/>
      <c r="I45" s="40"/>
      <c r="J45" s="40"/>
      <c r="K45" s="40"/>
      <c r="L45" s="40"/>
      <c r="M45" s="40"/>
      <c r="N45" s="40"/>
      <c r="O45" s="40"/>
      <c r="P45" s="40"/>
      <c r="Q45" s="40"/>
    </row>
    <row r="46" spans="1:17" ht="15.75" customHeight="1" x14ac:dyDescent="0.35">
      <c r="A46" s="12"/>
      <c r="B46" s="78" t="s">
        <v>142</v>
      </c>
      <c r="C46" s="74"/>
      <c r="D46" s="30"/>
      <c r="E46" s="86"/>
      <c r="F46" s="30"/>
      <c r="G46" s="14"/>
      <c r="H46" s="14"/>
      <c r="I46" s="14"/>
      <c r="J46" s="14"/>
      <c r="K46" s="14"/>
      <c r="L46" s="14"/>
      <c r="M46" s="14"/>
      <c r="N46" s="14"/>
      <c r="O46" s="14"/>
      <c r="P46" s="14"/>
      <c r="Q46" s="14"/>
    </row>
    <row r="47" spans="1:17" ht="15.75" customHeight="1" x14ac:dyDescent="0.35">
      <c r="A47" s="12"/>
      <c r="B47" s="30" t="s">
        <v>77</v>
      </c>
      <c r="C47" s="98">
        <f>-C4*C55</f>
        <v>-9031319.1044627018</v>
      </c>
      <c r="D47" s="66"/>
      <c r="E47" s="85"/>
      <c r="F47" s="66"/>
      <c r="G47" s="65">
        <f>Data!C33</f>
        <v>-11151623</v>
      </c>
      <c r="H47" s="65">
        <f>Data!D33</f>
        <v>-8747447</v>
      </c>
      <c r="I47" s="65">
        <f>Data!E33</f>
        <v>-8503976</v>
      </c>
      <c r="J47" s="65">
        <f>Data!F33</f>
        <v>-6229020</v>
      </c>
      <c r="K47" s="65">
        <f>Data!G33</f>
        <v>-7910751</v>
      </c>
      <c r="L47" s="65">
        <f>Data!H33</f>
        <v>-11826154</v>
      </c>
      <c r="M47" s="65" t="str">
        <f>Data!I33</f>
        <v/>
      </c>
      <c r="N47" s="65" t="str">
        <f>Data!J33</f>
        <v/>
      </c>
      <c r="O47" s="65" t="str">
        <f>Data!K33</f>
        <v/>
      </c>
      <c r="P47" s="65" t="str">
        <f>Data!L33</f>
        <v/>
      </c>
      <c r="Q47" s="65" t="str">
        <f>Data!M33</f>
        <v/>
      </c>
    </row>
    <row r="48" spans="1:17" ht="15.75" customHeight="1" x14ac:dyDescent="0.4">
      <c r="A48" s="12"/>
      <c r="B48" s="87" t="s">
        <v>141</v>
      </c>
      <c r="C48" s="77">
        <f>-C4*C56</f>
        <v>-1707788.5916244236</v>
      </c>
      <c r="D48" s="30"/>
      <c r="E48" s="86"/>
      <c r="F48" s="30"/>
      <c r="G48" s="65">
        <f>Data!C36</f>
        <v>-2043459</v>
      </c>
      <c r="H48" s="65">
        <f>Data!D36</f>
        <v>-1517989</v>
      </c>
      <c r="I48" s="65">
        <f>Data!E36</f>
        <v>-1491293</v>
      </c>
      <c r="J48" s="65">
        <f>Data!F36</f>
        <v>-1412494</v>
      </c>
      <c r="K48" s="65">
        <f>Data!G36</f>
        <v>0</v>
      </c>
      <c r="L48" s="65">
        <f>Data!H36</f>
        <v>0</v>
      </c>
      <c r="M48" s="65" t="str">
        <f>Data!I36</f>
        <v/>
      </c>
      <c r="N48" s="65" t="str">
        <f>Data!J36</f>
        <v/>
      </c>
      <c r="O48" s="65" t="str">
        <f>Data!K36</f>
        <v/>
      </c>
      <c r="P48" s="65" t="str">
        <f>Data!L36</f>
        <v/>
      </c>
      <c r="Q48" s="65" t="str">
        <f>Data!M36</f>
        <v/>
      </c>
    </row>
    <row r="49" spans="1:17" ht="15.75" customHeight="1" x14ac:dyDescent="0.35">
      <c r="A49" s="12"/>
      <c r="B49" s="91" t="s">
        <v>80</v>
      </c>
      <c r="C49" s="80">
        <f>C47+C48</f>
        <v>-10739107.696087126</v>
      </c>
      <c r="D49" s="11"/>
      <c r="E49" s="82"/>
      <c r="F49" s="11"/>
      <c r="G49" s="80">
        <f>IF(G$4="","",G47+G48)</f>
        <v>-13195082</v>
      </c>
      <c r="H49" s="80">
        <f t="shared" ref="H49:Q49" si="27">IF(H$4="","",H47+H48)</f>
        <v>-10265436</v>
      </c>
      <c r="I49" s="80">
        <f t="shared" si="27"/>
        <v>-9995269</v>
      </c>
      <c r="J49" s="80">
        <f t="shared" si="27"/>
        <v>-7641514</v>
      </c>
      <c r="K49" s="80">
        <f t="shared" si="27"/>
        <v>-7910751</v>
      </c>
      <c r="L49" s="80">
        <f t="shared" si="27"/>
        <v>-11826154</v>
      </c>
      <c r="M49" s="80" t="str">
        <f t="shared" si="27"/>
        <v/>
      </c>
      <c r="N49" s="80" t="str">
        <f t="shared" si="27"/>
        <v/>
      </c>
      <c r="O49" s="80" t="str">
        <f t="shared" si="27"/>
        <v/>
      </c>
      <c r="P49" s="80" t="str">
        <f t="shared" si="27"/>
        <v/>
      </c>
      <c r="Q49" s="80" t="str">
        <f t="shared" si="27"/>
        <v/>
      </c>
    </row>
    <row r="50" spans="1:17" ht="15.75" customHeight="1" x14ac:dyDescent="0.35">
      <c r="A50" s="12"/>
      <c r="B50" s="10" t="s">
        <v>145</v>
      </c>
      <c r="C50" s="97">
        <f>AVERAGE(G50:J50)</f>
        <v>-302359.25</v>
      </c>
      <c r="E50" s="83" t="s">
        <v>184</v>
      </c>
      <c r="G50" s="77">
        <f>Data!C37</f>
        <v>-254107</v>
      </c>
      <c r="H50" s="77">
        <f>Data!D37</f>
        <v>-349526</v>
      </c>
      <c r="I50" s="77">
        <f>Data!E37</f>
        <v>-323818</v>
      </c>
      <c r="J50" s="77">
        <f>Data!F37</f>
        <v>-281986</v>
      </c>
      <c r="K50" s="77">
        <f>Data!G37</f>
        <v>-2118252</v>
      </c>
      <c r="L50" s="77">
        <f>Data!H37</f>
        <v>-2416769</v>
      </c>
      <c r="M50" s="77" t="str">
        <f>Data!I37</f>
        <v/>
      </c>
      <c r="N50" s="77" t="str">
        <f>Data!J37</f>
        <v/>
      </c>
      <c r="O50" s="77" t="str">
        <f>Data!K37</f>
        <v/>
      </c>
      <c r="P50" s="77" t="str">
        <f>Data!L37</f>
        <v/>
      </c>
      <c r="Q50" s="77" t="str">
        <f>Data!M37</f>
        <v/>
      </c>
    </row>
    <row r="51" spans="1:17" ht="15.75" customHeight="1" x14ac:dyDescent="0.35">
      <c r="A51" s="12"/>
      <c r="B51" s="30" t="s">
        <v>37</v>
      </c>
      <c r="C51" s="97">
        <f>AVERAGE(G51:J51)</f>
        <v>0</v>
      </c>
      <c r="D51" s="66"/>
      <c r="E51" s="83" t="s">
        <v>184</v>
      </c>
      <c r="F51" s="66"/>
      <c r="G51" s="65">
        <f>Data!C38</f>
        <v>0</v>
      </c>
      <c r="H51" s="65">
        <f>Data!D38</f>
        <v>0</v>
      </c>
      <c r="I51" s="65">
        <f>Data!E38</f>
        <v>0</v>
      </c>
      <c r="J51" s="65">
        <f>Data!F38</f>
        <v>0</v>
      </c>
      <c r="K51" s="65">
        <f>Data!G38</f>
        <v>0</v>
      </c>
      <c r="L51" s="65">
        <f>Data!H38</f>
        <v>0</v>
      </c>
      <c r="M51" s="65" t="str">
        <f>Data!I38</f>
        <v/>
      </c>
      <c r="N51" s="65" t="str">
        <f>Data!J38</f>
        <v/>
      </c>
      <c r="O51" s="65" t="str">
        <f>Data!K38</f>
        <v/>
      </c>
      <c r="P51" s="65" t="str">
        <f>Data!L38</f>
        <v/>
      </c>
      <c r="Q51" s="65" t="str">
        <f>Data!M38</f>
        <v/>
      </c>
    </row>
    <row r="52" spans="1:17" ht="15.75" customHeight="1" x14ac:dyDescent="0.35">
      <c r="A52" s="12"/>
      <c r="B52" s="91" t="s">
        <v>79</v>
      </c>
      <c r="C52" s="80">
        <f>C50+C51</f>
        <v>-302359.25</v>
      </c>
      <c r="D52" s="66"/>
      <c r="E52" s="85"/>
      <c r="F52" s="66"/>
      <c r="G52" s="80">
        <f t="shared" ref="G52:Q52" si="28">IF(G4="","",G50+G51)</f>
        <v>-254107</v>
      </c>
      <c r="H52" s="80">
        <f t="shared" si="28"/>
        <v>-349526</v>
      </c>
      <c r="I52" s="80">
        <f t="shared" si="28"/>
        <v>-323818</v>
      </c>
      <c r="J52" s="80">
        <f t="shared" si="28"/>
        <v>-281986</v>
      </c>
      <c r="K52" s="80">
        <f t="shared" si="28"/>
        <v>-2118252</v>
      </c>
      <c r="L52" s="80">
        <f t="shared" si="28"/>
        <v>-2416769</v>
      </c>
      <c r="M52" s="80" t="str">
        <f t="shared" si="28"/>
        <v/>
      </c>
      <c r="N52" s="80" t="str">
        <f t="shared" si="28"/>
        <v/>
      </c>
      <c r="O52" s="80" t="str">
        <f t="shared" si="28"/>
        <v/>
      </c>
      <c r="P52" s="80" t="str">
        <f t="shared" si="28"/>
        <v/>
      </c>
      <c r="Q52" s="80" t="str">
        <f t="shared" si="28"/>
        <v/>
      </c>
    </row>
    <row r="53" spans="1:17" ht="15.75" customHeight="1" x14ac:dyDescent="0.35">
      <c r="A53" s="12"/>
    </row>
    <row r="54" spans="1:17" ht="15.75" customHeight="1" x14ac:dyDescent="0.35">
      <c r="A54" s="12"/>
      <c r="B54" s="93" t="s">
        <v>146</v>
      </c>
    </row>
    <row r="55" spans="1:17" ht="15.75" customHeight="1" x14ac:dyDescent="0.35">
      <c r="A55" s="12"/>
      <c r="B55" s="29" t="s">
        <v>77</v>
      </c>
      <c r="C55" s="75">
        <f>AVERAGE(G55:L55)</f>
        <v>0.72253727182782512</v>
      </c>
      <c r="D55" s="29"/>
      <c r="E55" s="83" t="s">
        <v>184</v>
      </c>
      <c r="F55" s="29"/>
      <c r="G55" s="15">
        <f>IF(G$4="","",ABS(G47/G$4))</f>
        <v>0.72762956087193742</v>
      </c>
      <c r="H55" s="15">
        <f t="shared" ref="H55:Q55" si="29">IF(H$4="","",ABS(H47/H$4))</f>
        <v>0.7303022981431383</v>
      </c>
      <c r="I55" s="15">
        <f t="shared" si="29"/>
        <v>0.7244946946204498</v>
      </c>
      <c r="J55" s="15">
        <f t="shared" si="29"/>
        <v>0.70294374380383995</v>
      </c>
      <c r="K55" s="15">
        <f t="shared" si="29"/>
        <v>0.70419372087965826</v>
      </c>
      <c r="L55" s="15">
        <f t="shared" si="29"/>
        <v>0.74565961264792724</v>
      </c>
      <c r="M55" s="15" t="str">
        <f t="shared" si="29"/>
        <v/>
      </c>
      <c r="N55" s="15" t="str">
        <f t="shared" si="29"/>
        <v/>
      </c>
      <c r="O55" s="15" t="str">
        <f t="shared" si="29"/>
        <v/>
      </c>
      <c r="P55" s="15" t="str">
        <f t="shared" si="29"/>
        <v/>
      </c>
      <c r="Q55" s="15" t="str">
        <f t="shared" si="29"/>
        <v/>
      </c>
    </row>
    <row r="56" spans="1:17" ht="15.75" customHeight="1" x14ac:dyDescent="0.4">
      <c r="A56" s="12"/>
      <c r="B56" s="87" t="str">
        <f>B48</f>
        <v>Selling Expenses</v>
      </c>
      <c r="C56" s="75">
        <f>AVERAGE(G56:J56)</f>
        <v>0.13662908990130354</v>
      </c>
      <c r="D56" s="29"/>
      <c r="E56" s="83" t="s">
        <v>184</v>
      </c>
      <c r="F56" s="29"/>
      <c r="G56" s="15">
        <f t="shared" ref="G56:G60" si="30">IF(G$4="","",ABS(G48/G$4))</f>
        <v>0.13333316368656009</v>
      </c>
      <c r="H56" s="15">
        <f t="shared" ref="H56:Q56" si="31">IF(H$4="","",ABS(H48/H$4))</f>
        <v>0.12673307483383486</v>
      </c>
      <c r="I56" s="15">
        <f t="shared" si="31"/>
        <v>0.12705043695144655</v>
      </c>
      <c r="J56" s="15">
        <f t="shared" si="31"/>
        <v>0.15939968413337269</v>
      </c>
      <c r="K56" s="15">
        <f t="shared" si="31"/>
        <v>0</v>
      </c>
      <c r="L56" s="15">
        <f t="shared" si="31"/>
        <v>0</v>
      </c>
      <c r="M56" s="15" t="str">
        <f t="shared" si="31"/>
        <v/>
      </c>
      <c r="N56" s="15" t="str">
        <f t="shared" si="31"/>
        <v/>
      </c>
      <c r="O56" s="15" t="str">
        <f t="shared" si="31"/>
        <v/>
      </c>
      <c r="P56" s="15" t="str">
        <f t="shared" si="31"/>
        <v/>
      </c>
      <c r="Q56" s="15" t="str">
        <f t="shared" si="31"/>
        <v/>
      </c>
    </row>
    <row r="57" spans="1:17" ht="15.75" customHeight="1" x14ac:dyDescent="0.35">
      <c r="A57" s="12"/>
      <c r="B57" s="91" t="s">
        <v>80</v>
      </c>
      <c r="C57" s="92">
        <f>ABS(C49/$C$4)</f>
        <v>0.85916636172912864</v>
      </c>
      <c r="G57" s="33">
        <f t="shared" si="30"/>
        <v>0.86096272455849754</v>
      </c>
      <c r="H57" s="33">
        <f t="shared" ref="H57:Q57" si="32">IF(H$4="","",ABS(H49/H$4))</f>
        <v>0.85703537297697319</v>
      </c>
      <c r="I57" s="33">
        <f t="shared" si="32"/>
        <v>0.85154513157189637</v>
      </c>
      <c r="J57" s="33">
        <f t="shared" si="32"/>
        <v>0.86234342793721264</v>
      </c>
      <c r="K57" s="33">
        <f t="shared" si="32"/>
        <v>0.70419372087965826</v>
      </c>
      <c r="L57" s="33">
        <f t="shared" si="32"/>
        <v>0.74565961264792724</v>
      </c>
      <c r="M57" s="33" t="str">
        <f t="shared" si="32"/>
        <v/>
      </c>
      <c r="N57" s="33" t="str">
        <f t="shared" si="32"/>
        <v/>
      </c>
      <c r="O57" s="33" t="str">
        <f t="shared" si="32"/>
        <v/>
      </c>
      <c r="P57" s="33" t="str">
        <f t="shared" si="32"/>
        <v/>
      </c>
      <c r="Q57" s="33" t="str">
        <f t="shared" si="32"/>
        <v/>
      </c>
    </row>
    <row r="58" spans="1:17" ht="15.75" customHeight="1" x14ac:dyDescent="0.35">
      <c r="A58" s="12"/>
      <c r="B58" s="2" t="str">
        <f>B50</f>
        <v>Other Opex (Fixed Overhead)</v>
      </c>
      <c r="C58" s="26">
        <f t="shared" ref="C58:C60" si="33">ABS(C50/$C$4)</f>
        <v>2.4189802738666985E-2</v>
      </c>
      <c r="D58" s="30"/>
      <c r="E58" s="30"/>
      <c r="F58" s="30"/>
      <c r="G58" s="15">
        <f t="shared" si="30"/>
        <v>1.6580166386945237E-2</v>
      </c>
      <c r="H58" s="15">
        <f t="shared" ref="H58:Q58" si="34">IF(H$4="","",ABS(H50/H$4))</f>
        <v>2.9181044602016856E-2</v>
      </c>
      <c r="I58" s="15">
        <f t="shared" si="34"/>
        <v>2.7587615842589962E-2</v>
      </c>
      <c r="J58" s="15">
        <f t="shared" si="34"/>
        <v>3.1822067442433898E-2</v>
      </c>
      <c r="K58" s="15">
        <f t="shared" si="34"/>
        <v>0.18856108069142588</v>
      </c>
      <c r="L58" s="15">
        <f t="shared" si="34"/>
        <v>0.15238149582692045</v>
      </c>
      <c r="M58" s="15" t="str">
        <f t="shared" si="34"/>
        <v/>
      </c>
      <c r="N58" s="15" t="str">
        <f t="shared" si="34"/>
        <v/>
      </c>
      <c r="O58" s="15" t="str">
        <f t="shared" si="34"/>
        <v/>
      </c>
      <c r="P58" s="15" t="str">
        <f t="shared" si="34"/>
        <v/>
      </c>
      <c r="Q58" s="15" t="str">
        <f t="shared" si="34"/>
        <v/>
      </c>
    </row>
    <row r="59" spans="1:17" ht="15.75" customHeight="1" x14ac:dyDescent="0.35">
      <c r="A59" s="12"/>
      <c r="B59" s="30" t="str">
        <f>B51</f>
        <v>- R&amp;D</v>
      </c>
      <c r="C59" s="26">
        <f t="shared" si="33"/>
        <v>0</v>
      </c>
      <c r="D59" s="30"/>
      <c r="E59" s="30"/>
      <c r="F59" s="30"/>
      <c r="G59" s="15">
        <f t="shared" si="30"/>
        <v>0</v>
      </c>
      <c r="H59" s="15">
        <f t="shared" ref="H59:Q59" si="35">IF(H$4="","",ABS(H51/H$4))</f>
        <v>0</v>
      </c>
      <c r="I59" s="15">
        <f t="shared" si="35"/>
        <v>0</v>
      </c>
      <c r="J59" s="15">
        <f t="shared" si="35"/>
        <v>0</v>
      </c>
      <c r="K59" s="15">
        <f t="shared" si="35"/>
        <v>0</v>
      </c>
      <c r="L59" s="15">
        <f t="shared" si="35"/>
        <v>0</v>
      </c>
      <c r="M59" s="15" t="str">
        <f t="shared" si="35"/>
        <v/>
      </c>
      <c r="N59" s="15" t="str">
        <f t="shared" si="35"/>
        <v/>
      </c>
      <c r="O59" s="15" t="str">
        <f t="shared" si="35"/>
        <v/>
      </c>
      <c r="P59" s="15" t="str">
        <f t="shared" si="35"/>
        <v/>
      </c>
      <c r="Q59" s="15" t="str">
        <f t="shared" si="35"/>
        <v/>
      </c>
    </row>
    <row r="60" spans="1:17" ht="15.75" customHeight="1" x14ac:dyDescent="0.35">
      <c r="A60" s="12"/>
      <c r="B60" s="91" t="s">
        <v>79</v>
      </c>
      <c r="C60" s="92">
        <f t="shared" si="33"/>
        <v>2.4189802738666985E-2</v>
      </c>
      <c r="G60" s="33">
        <f t="shared" si="30"/>
        <v>1.6580166386945237E-2</v>
      </c>
      <c r="H60" s="33">
        <f t="shared" ref="H60:Q60" si="36">IF(H$4="","",ABS(H52/H$4))</f>
        <v>2.9181044602016856E-2</v>
      </c>
      <c r="I60" s="33">
        <f t="shared" si="36"/>
        <v>2.7587615842589962E-2</v>
      </c>
      <c r="J60" s="33">
        <f t="shared" si="36"/>
        <v>3.1822067442433898E-2</v>
      </c>
      <c r="K60" s="33">
        <f t="shared" si="36"/>
        <v>0.18856108069142588</v>
      </c>
      <c r="L60" s="33">
        <f t="shared" si="36"/>
        <v>0.15238149582692045</v>
      </c>
      <c r="M60" s="33" t="str">
        <f t="shared" si="36"/>
        <v/>
      </c>
      <c r="N60" s="33" t="str">
        <f t="shared" si="36"/>
        <v/>
      </c>
      <c r="O60" s="33" t="str">
        <f t="shared" si="36"/>
        <v/>
      </c>
      <c r="P60" s="33" t="str">
        <f t="shared" si="36"/>
        <v/>
      </c>
      <c r="Q60" s="33" t="str">
        <f t="shared" si="36"/>
        <v/>
      </c>
    </row>
    <row r="61" spans="1:17" ht="15.75" customHeight="1" x14ac:dyDescent="0.35">
      <c r="A61" s="12"/>
    </row>
    <row r="62" spans="1:17" ht="15.75" customHeight="1" x14ac:dyDescent="0.35">
      <c r="A62" s="12"/>
      <c r="B62" s="78" t="s">
        <v>139</v>
      </c>
    </row>
    <row r="63" spans="1:17" ht="15.75" customHeight="1" x14ac:dyDescent="0.35">
      <c r="A63" s="12"/>
      <c r="B63" s="2" t="s">
        <v>66</v>
      </c>
      <c r="C63" s="77">
        <f>-BS!G27*BS!C40</f>
        <v>-59596</v>
      </c>
      <c r="G63" s="77">
        <f>Data!C41</f>
        <v>-59596</v>
      </c>
      <c r="H63" s="77">
        <f>Data!D41</f>
        <v>-20763</v>
      </c>
      <c r="I63" s="77">
        <f>Data!E41</f>
        <v>-23097</v>
      </c>
      <c r="J63" s="77">
        <f>Data!F41</f>
        <v>-28849</v>
      </c>
      <c r="K63" s="77">
        <f>Data!G41</f>
        <v>-63075</v>
      </c>
      <c r="L63" s="77">
        <f>Data!H41</f>
        <v>-34253</v>
      </c>
      <c r="M63" s="77" t="str">
        <f>Data!I41</f>
        <v/>
      </c>
      <c r="N63" s="77" t="str">
        <f>Data!J41</f>
        <v/>
      </c>
      <c r="O63" s="77" t="str">
        <f>Data!K41</f>
        <v/>
      </c>
      <c r="P63" s="77" t="str">
        <f>Data!L41</f>
        <v/>
      </c>
      <c r="Q63" s="77" t="str">
        <f>Data!M41</f>
        <v/>
      </c>
    </row>
    <row r="64" spans="1:17" ht="15.75" customHeight="1" x14ac:dyDescent="0.35">
      <c r="A64" s="12"/>
      <c r="B64" s="2" t="s">
        <v>150</v>
      </c>
      <c r="C64" s="77">
        <f>BS!$G$24*BS!C41</f>
        <v>28977</v>
      </c>
      <c r="G64" s="77">
        <f>Data!C42</f>
        <v>28977</v>
      </c>
      <c r="H64" s="77">
        <f>Data!D42</f>
        <v>33125</v>
      </c>
      <c r="I64" s="77">
        <f>Data!E42</f>
        <v>87344</v>
      </c>
      <c r="J64" s="77">
        <f>Data!F42</f>
        <v>63398</v>
      </c>
      <c r="K64" s="77">
        <f>Data!G42</f>
        <v>0</v>
      </c>
      <c r="L64" s="77">
        <f>Data!H42</f>
        <v>0</v>
      </c>
      <c r="M64" s="77" t="str">
        <f>Data!I42</f>
        <v/>
      </c>
      <c r="N64" s="77" t="str">
        <f>Data!J42</f>
        <v/>
      </c>
      <c r="O64" s="77" t="str">
        <f>Data!K42</f>
        <v/>
      </c>
      <c r="P64" s="77" t="str">
        <f>Data!L42</f>
        <v/>
      </c>
      <c r="Q64" s="77" t="str">
        <f>Data!M42</f>
        <v/>
      </c>
    </row>
    <row r="65" spans="1:17" ht="15.75" customHeight="1" x14ac:dyDescent="0.35">
      <c r="A65" s="12"/>
      <c r="B65" s="91" t="s">
        <v>151</v>
      </c>
      <c r="C65" s="80">
        <f>C63+C64</f>
        <v>-30619</v>
      </c>
      <c r="G65" s="80">
        <f t="shared" ref="G65:Q65" si="37">IF(G4="","",G63+G64)</f>
        <v>-30619</v>
      </c>
      <c r="H65" s="80">
        <f t="shared" si="37"/>
        <v>12362</v>
      </c>
      <c r="I65" s="80">
        <f t="shared" si="37"/>
        <v>64247</v>
      </c>
      <c r="J65" s="80">
        <f t="shared" si="37"/>
        <v>34549</v>
      </c>
      <c r="K65" s="80">
        <f t="shared" si="37"/>
        <v>-63075</v>
      </c>
      <c r="L65" s="80">
        <f t="shared" si="37"/>
        <v>-34253</v>
      </c>
      <c r="M65" s="80" t="str">
        <f t="shared" si="37"/>
        <v/>
      </c>
      <c r="N65" s="80" t="str">
        <f t="shared" si="37"/>
        <v/>
      </c>
      <c r="O65" s="80" t="str">
        <f t="shared" si="37"/>
        <v/>
      </c>
      <c r="P65" s="80" t="str">
        <f t="shared" si="37"/>
        <v/>
      </c>
      <c r="Q65" s="80" t="str">
        <f t="shared" si="37"/>
        <v/>
      </c>
    </row>
    <row r="66" spans="1:17" ht="15.75" customHeight="1" x14ac:dyDescent="0.35">
      <c r="A66" s="12"/>
    </row>
    <row r="67" spans="1:17" ht="15.75" customHeight="1" x14ac:dyDescent="0.5">
      <c r="A67" s="3"/>
      <c r="B67" s="61" t="s">
        <v>208</v>
      </c>
      <c r="C67" s="61"/>
      <c r="D67" s="63"/>
      <c r="E67" s="81" t="s">
        <v>138</v>
      </c>
      <c r="F67" s="63"/>
      <c r="G67" s="40"/>
      <c r="H67" s="40"/>
      <c r="I67" s="40"/>
      <c r="J67" s="40"/>
      <c r="K67" s="40"/>
      <c r="L67" s="40"/>
      <c r="M67" s="40"/>
      <c r="N67" s="40"/>
      <c r="O67" s="40"/>
      <c r="P67" s="40"/>
      <c r="Q67" s="40"/>
    </row>
    <row r="68" spans="1:17" ht="15.75" customHeight="1" x14ac:dyDescent="0.35">
      <c r="A68" s="12"/>
      <c r="B68" s="78" t="s">
        <v>44</v>
      </c>
    </row>
    <row r="69" spans="1:17" ht="15.75" customHeight="1" x14ac:dyDescent="0.35">
      <c r="A69" s="12"/>
      <c r="B69" s="29" t="s">
        <v>5</v>
      </c>
      <c r="C69" s="128">
        <f>BS!G23</f>
        <v>16854064</v>
      </c>
      <c r="D69" s="29"/>
      <c r="E69" s="29"/>
      <c r="F69" s="29"/>
      <c r="G69" s="16">
        <f t="shared" ref="G69:Q69" si="38">IF(G$4="","",G73+G72)</f>
        <v>16854064</v>
      </c>
      <c r="H69" s="16">
        <f t="shared" si="38"/>
        <v>14687373</v>
      </c>
      <c r="I69" s="16">
        <f t="shared" si="38"/>
        <v>15987114</v>
      </c>
      <c r="J69" s="16">
        <f t="shared" si="38"/>
        <v>14270996</v>
      </c>
      <c r="K69" s="16">
        <f t="shared" si="38"/>
        <v>0</v>
      </c>
      <c r="L69" s="16">
        <f t="shared" si="38"/>
        <v>0</v>
      </c>
      <c r="M69" s="16" t="str">
        <f t="shared" si="38"/>
        <v/>
      </c>
      <c r="N69" s="16" t="str">
        <f t="shared" si="38"/>
        <v/>
      </c>
      <c r="O69" s="16" t="str">
        <f t="shared" si="38"/>
        <v/>
      </c>
      <c r="P69" s="16" t="str">
        <f t="shared" si="38"/>
        <v/>
      </c>
      <c r="Q69" s="16" t="str">
        <f t="shared" si="38"/>
        <v/>
      </c>
    </row>
    <row r="70" spans="1:17" ht="15.75" customHeight="1" x14ac:dyDescent="0.35">
      <c r="A70" s="12"/>
      <c r="B70" s="126" t="s">
        <v>191</v>
      </c>
      <c r="C70" s="129">
        <f>BS!C4</f>
        <v>265773</v>
      </c>
      <c r="D70" s="118"/>
      <c r="E70" s="118"/>
      <c r="F70" s="118"/>
      <c r="G70" s="130">
        <f>IF(G$4="","",Data!D64)</f>
        <v>213823</v>
      </c>
      <c r="H70" s="130">
        <f>IF(H$4="","",Data!E64)</f>
        <v>187711</v>
      </c>
      <c r="I70" s="130">
        <f>IF(I$4="","",Data!F64)</f>
        <v>277338</v>
      </c>
      <c r="J70" s="130">
        <f>IF(J$4="","",Data!G64)</f>
        <v>0</v>
      </c>
      <c r="K70" s="130">
        <f>IF(K$4="","",Data!H64)</f>
        <v>0</v>
      </c>
      <c r="L70" s="130">
        <f>IF(L$4="","",Data!I64)</f>
        <v>0</v>
      </c>
      <c r="M70" s="130" t="str">
        <f>IF(M$4="","",Data!J64)</f>
        <v/>
      </c>
      <c r="N70" s="130" t="str">
        <f>IF(N$4="","",Data!K64)</f>
        <v/>
      </c>
      <c r="O70" s="130" t="str">
        <f>IF(O$4="","",Data!L64)</f>
        <v/>
      </c>
      <c r="P70" s="130" t="str">
        <f>IF(P$4="","",Data!M64)</f>
        <v/>
      </c>
      <c r="Q70" s="130" t="str">
        <f>IF(Q$4="","",Data!N64)</f>
        <v/>
      </c>
    </row>
    <row r="71" spans="1:17" ht="15.75" customHeight="1" x14ac:dyDescent="0.35">
      <c r="A71" s="12"/>
      <c r="B71" s="126" t="s">
        <v>192</v>
      </c>
      <c r="C71" s="129">
        <f>BS!C7+BS!C8</f>
        <v>9672256</v>
      </c>
      <c r="D71" s="118"/>
      <c r="E71" s="118"/>
      <c r="F71" s="118"/>
      <c r="G71" s="130">
        <f>IF(G$4="","",Data!D65)</f>
        <v>8852611</v>
      </c>
      <c r="H71" s="130">
        <f>IF(H$4="","",Data!E65)</f>
        <v>8769304</v>
      </c>
      <c r="I71" s="130">
        <f>IF(I$4="","",Data!F65)</f>
        <v>7321614</v>
      </c>
      <c r="J71" s="130">
        <f>IF(J$4="","",Data!G65)</f>
        <v>0</v>
      </c>
      <c r="K71" s="130">
        <f>IF(K$4="","",Data!H65)</f>
        <v>0</v>
      </c>
      <c r="L71" s="130">
        <f>IF(L$4="","",Data!I65)</f>
        <v>0</v>
      </c>
      <c r="M71" s="130" t="str">
        <f>IF(M$4="","",Data!J65)</f>
        <v/>
      </c>
      <c r="N71" s="130" t="str">
        <f>IF(N$4="","",Data!K65)</f>
        <v/>
      </c>
      <c r="O71" s="130" t="str">
        <f>IF(O$4="","",Data!L65)</f>
        <v/>
      </c>
      <c r="P71" s="130" t="str">
        <f>IF(P$4="","",Data!M65)</f>
        <v/>
      </c>
      <c r="Q71" s="130" t="str">
        <f>IF(Q$4="","",Data!N65)</f>
        <v/>
      </c>
    </row>
    <row r="72" spans="1:17" ht="15.75" customHeight="1" x14ac:dyDescent="0.35">
      <c r="A72" s="12"/>
      <c r="B72" s="29" t="s">
        <v>67</v>
      </c>
      <c r="C72" s="128">
        <f>BS!G26</f>
        <v>3990166</v>
      </c>
      <c r="D72" s="29"/>
      <c r="E72" s="29"/>
      <c r="F72" s="29"/>
      <c r="G72" s="16">
        <f>Data!C66</f>
        <v>3990166</v>
      </c>
      <c r="H72" s="16">
        <f>Data!D66</f>
        <v>2466431</v>
      </c>
      <c r="I72" s="16">
        <f>Data!E66</f>
        <v>3908586</v>
      </c>
      <c r="J72" s="16">
        <f>Data!F66</f>
        <v>2946772</v>
      </c>
      <c r="K72" s="16">
        <f>Data!G66</f>
        <v>0</v>
      </c>
      <c r="L72" s="16">
        <f>Data!H66</f>
        <v>0</v>
      </c>
      <c r="M72" s="16" t="str">
        <f>Data!I66</f>
        <v/>
      </c>
      <c r="N72" s="16" t="str">
        <f>Data!J66</f>
        <v/>
      </c>
      <c r="O72" s="16" t="str">
        <f>Data!K66</f>
        <v/>
      </c>
      <c r="P72" s="16" t="str">
        <f>Data!L66</f>
        <v/>
      </c>
      <c r="Q72" s="16" t="str">
        <f>Data!M66</f>
        <v/>
      </c>
    </row>
    <row r="73" spans="1:17" ht="15.75" customHeight="1" x14ac:dyDescent="0.35">
      <c r="A73" s="12"/>
      <c r="B73" s="29" t="s">
        <v>46</v>
      </c>
      <c r="C73" s="128">
        <f>BS!G28</f>
        <v>12863898</v>
      </c>
      <c r="D73" s="29"/>
      <c r="E73" s="29"/>
      <c r="F73" s="29"/>
      <c r="G73" s="16">
        <f>Data!C67</f>
        <v>12863898</v>
      </c>
      <c r="H73" s="16">
        <f>Data!D67</f>
        <v>12220942</v>
      </c>
      <c r="I73" s="16">
        <f>Data!E67</f>
        <v>12078528</v>
      </c>
      <c r="J73" s="16">
        <f>Data!F67</f>
        <v>11324224</v>
      </c>
      <c r="K73" s="16">
        <f>Data!G67</f>
        <v>0</v>
      </c>
      <c r="L73" s="16">
        <f>Data!H67</f>
        <v>0</v>
      </c>
      <c r="M73" s="16" t="str">
        <f>Data!I67</f>
        <v/>
      </c>
      <c r="N73" s="16" t="str">
        <f>Data!J67</f>
        <v/>
      </c>
      <c r="O73" s="16" t="str">
        <f>Data!K67</f>
        <v/>
      </c>
      <c r="P73" s="16" t="str">
        <f>Data!L67</f>
        <v/>
      </c>
      <c r="Q73" s="16" t="str">
        <f>Data!M67</f>
        <v/>
      </c>
    </row>
    <row r="74" spans="1:17" ht="15.75" customHeight="1" x14ac:dyDescent="0.35">
      <c r="A74" s="12"/>
      <c r="B74" s="29"/>
      <c r="C74" s="29"/>
      <c r="D74" s="29"/>
      <c r="E74" s="29"/>
      <c r="F74" s="29"/>
      <c r="G74" s="16"/>
      <c r="H74" s="14"/>
      <c r="I74" s="14"/>
      <c r="J74" s="14"/>
      <c r="K74" s="14"/>
      <c r="L74" s="14"/>
      <c r="M74" s="14"/>
      <c r="N74" s="14"/>
      <c r="O74" s="14"/>
      <c r="P74" s="14"/>
      <c r="Q74" s="14"/>
    </row>
    <row r="75" spans="1:17" ht="15.75" customHeight="1" x14ac:dyDescent="0.35">
      <c r="A75" s="12"/>
      <c r="B75" s="121" t="s">
        <v>76</v>
      </c>
      <c r="C75" s="29"/>
      <c r="D75" s="29"/>
      <c r="E75" s="29"/>
      <c r="F75" s="29"/>
      <c r="G75" s="16"/>
      <c r="H75" s="14"/>
      <c r="I75" s="14"/>
      <c r="J75" s="14"/>
      <c r="K75" s="14"/>
      <c r="L75" s="14"/>
      <c r="M75" s="14"/>
      <c r="N75" s="14"/>
      <c r="O75" s="14"/>
      <c r="P75" s="14"/>
      <c r="Q75" s="14"/>
    </row>
    <row r="76" spans="1:17" ht="15.75" customHeight="1" x14ac:dyDescent="0.35">
      <c r="A76" s="12"/>
      <c r="B76" s="29" t="s">
        <v>193</v>
      </c>
      <c r="C76" s="131">
        <f>C70/C$4</f>
        <v>2.1262774144544083E-2</v>
      </c>
      <c r="D76" s="29"/>
      <c r="E76" s="29"/>
      <c r="F76" s="29"/>
      <c r="G76" s="131">
        <f>IF(G$4="","",G70/G$4)</f>
        <v>1.3951685381968192E-2</v>
      </c>
      <c r="H76" s="131">
        <f t="shared" ref="H76:Q76" si="39">IF(H$4="","",H70/H$4)</f>
        <v>1.5671518179732512E-2</v>
      </c>
      <c r="I76" s="131">
        <f t="shared" si="39"/>
        <v>2.3627760663558588E-2</v>
      </c>
      <c r="J76" s="131">
        <f t="shared" si="39"/>
        <v>0</v>
      </c>
      <c r="K76" s="131">
        <f t="shared" si="39"/>
        <v>0</v>
      </c>
      <c r="L76" s="131">
        <f t="shared" si="39"/>
        <v>0</v>
      </c>
      <c r="M76" s="131" t="str">
        <f t="shared" si="39"/>
        <v/>
      </c>
      <c r="N76" s="131" t="str">
        <f t="shared" si="39"/>
        <v/>
      </c>
      <c r="O76" s="131" t="str">
        <f t="shared" si="39"/>
        <v/>
      </c>
      <c r="P76" s="131" t="str">
        <f t="shared" si="39"/>
        <v/>
      </c>
      <c r="Q76" s="131" t="str">
        <f t="shared" si="39"/>
        <v/>
      </c>
    </row>
    <row r="77" spans="1:17" ht="15.75" customHeight="1" x14ac:dyDescent="0.35">
      <c r="A77" s="12"/>
      <c r="B77" s="29" t="s">
        <v>194</v>
      </c>
      <c r="C77" s="131">
        <f>C71/C$4</f>
        <v>0.7738144762493232</v>
      </c>
      <c r="D77" s="29"/>
      <c r="E77" s="29"/>
      <c r="F77" s="29"/>
      <c r="G77" s="131">
        <f>IF(G$4="","",G71/G$4)</f>
        <v>0.57762188109301071</v>
      </c>
      <c r="H77" s="131">
        <f t="shared" ref="H77:Q77" si="40">IF(H$4="","",H71/H$4)</f>
        <v>0.73212708397270831</v>
      </c>
      <c r="I77" s="131">
        <f t="shared" si="40"/>
        <v>0.62376357824373097</v>
      </c>
      <c r="J77" s="131">
        <f t="shared" si="40"/>
        <v>0</v>
      </c>
      <c r="K77" s="131">
        <f t="shared" si="40"/>
        <v>0</v>
      </c>
      <c r="L77" s="131">
        <f t="shared" si="40"/>
        <v>0</v>
      </c>
      <c r="M77" s="131" t="str">
        <f t="shared" si="40"/>
        <v/>
      </c>
      <c r="N77" s="131" t="str">
        <f t="shared" si="40"/>
        <v/>
      </c>
      <c r="O77" s="131" t="str">
        <f t="shared" si="40"/>
        <v/>
      </c>
      <c r="P77" s="131" t="str">
        <f t="shared" si="40"/>
        <v/>
      </c>
      <c r="Q77" s="131" t="str">
        <f t="shared" si="40"/>
        <v/>
      </c>
    </row>
    <row r="78" spans="1:17" ht="15.75" customHeight="1" x14ac:dyDescent="0.35">
      <c r="A78" s="12"/>
      <c r="B78" s="29"/>
      <c r="C78" s="29"/>
      <c r="D78" s="29"/>
      <c r="E78" s="29"/>
      <c r="F78" s="29"/>
      <c r="G78" s="16"/>
      <c r="H78" s="14"/>
      <c r="I78" s="14"/>
      <c r="J78" s="14"/>
      <c r="K78" s="14"/>
      <c r="L78" s="14"/>
      <c r="M78" s="14"/>
      <c r="N78" s="14"/>
      <c r="O78" s="14"/>
      <c r="P78" s="14"/>
      <c r="Q78" s="14"/>
    </row>
    <row r="79" spans="1:17" ht="15.75" customHeight="1" x14ac:dyDescent="0.35">
      <c r="A79" s="12"/>
      <c r="B79" s="121" t="s">
        <v>200</v>
      </c>
    </row>
    <row r="80" spans="1:17" ht="15.75" customHeight="1" x14ac:dyDescent="0.35">
      <c r="A80" s="12"/>
      <c r="B80" s="29" t="s">
        <v>199</v>
      </c>
      <c r="C80" s="46">
        <f>-C4/C63</f>
        <v>209.73640568718258</v>
      </c>
      <c r="G80" s="46">
        <f t="shared" ref="G80:Q80" si="41">IF(G4="","",-G4/G63)</f>
        <v>257.16427276998456</v>
      </c>
      <c r="H80" s="46">
        <f t="shared" si="41"/>
        <v>576.88407262919611</v>
      </c>
      <c r="I80" s="46">
        <f t="shared" si="41"/>
        <v>508.19599948045203</v>
      </c>
      <c r="J80" s="46">
        <f t="shared" si="41"/>
        <v>307.162639952858</v>
      </c>
      <c r="K80" s="46">
        <f t="shared" si="41"/>
        <v>178.10179944510503</v>
      </c>
      <c r="L80" s="46">
        <f t="shared" si="41"/>
        <v>463.02484453916446</v>
      </c>
      <c r="M80" s="46" t="str">
        <f t="shared" si="41"/>
        <v/>
      </c>
      <c r="N80" s="46" t="str">
        <f t="shared" si="41"/>
        <v/>
      </c>
      <c r="O80" s="46" t="str">
        <f t="shared" si="41"/>
        <v/>
      </c>
      <c r="P80" s="46" t="str">
        <f t="shared" si="41"/>
        <v/>
      </c>
      <c r="Q80" s="46" t="str">
        <f t="shared" si="41"/>
        <v/>
      </c>
    </row>
    <row r="81" spans="1:17" ht="15.75" customHeight="1" x14ac:dyDescent="0.35">
      <c r="A81" s="12"/>
      <c r="B81" s="29" t="s">
        <v>198</v>
      </c>
      <c r="C81" s="26">
        <f>C73/C69</f>
        <v>0.76325199666976462</v>
      </c>
      <c r="G81" s="15">
        <f t="shared" ref="G81:Q81" si="42">IF(G73="","",G73/G69)</f>
        <v>0.76325199666976462</v>
      </c>
      <c r="H81" s="15">
        <f t="shared" si="42"/>
        <v>0.83207133093167851</v>
      </c>
      <c r="I81" s="15">
        <f t="shared" si="42"/>
        <v>0.75551647408031242</v>
      </c>
      <c r="J81" s="15">
        <f t="shared" si="42"/>
        <v>0.79351322080112696</v>
      </c>
      <c r="K81" s="15" t="e">
        <f t="shared" si="42"/>
        <v>#DIV/0!</v>
      </c>
      <c r="L81" s="15" t="e">
        <f t="shared" si="42"/>
        <v>#DIV/0!</v>
      </c>
      <c r="M81" s="15" t="str">
        <f t="shared" si="42"/>
        <v/>
      </c>
      <c r="N81" s="15" t="str">
        <f t="shared" si="42"/>
        <v/>
      </c>
      <c r="O81" s="15" t="str">
        <f t="shared" si="42"/>
        <v/>
      </c>
      <c r="P81" s="15" t="str">
        <f t="shared" si="42"/>
        <v/>
      </c>
      <c r="Q81" s="15" t="str">
        <f t="shared" si="42"/>
        <v/>
      </c>
    </row>
    <row r="82" spans="1:17" ht="15.75" customHeight="1" x14ac:dyDescent="0.35">
      <c r="A82" s="12"/>
    </row>
    <row r="83" spans="1:17" ht="15.75" customHeight="1" x14ac:dyDescent="0.35">
      <c r="A83" s="12"/>
      <c r="B83" s="121" t="s">
        <v>64</v>
      </c>
      <c r="C83" s="62"/>
      <c r="D83" s="62"/>
      <c r="E83" s="62"/>
      <c r="F83" s="62"/>
      <c r="G83" s="26" t="str">
        <f>IFERROR(IF(#REF!*G85*(1/G81)=G87,"","Error"),"")</f>
        <v/>
      </c>
      <c r="H83" s="26" t="str">
        <f>IFERROR(IF(#REF!*H85*(1/H81)=H87,"","Error"),"")</f>
        <v/>
      </c>
      <c r="I83" s="26" t="str">
        <f>IFERROR(IF(#REF!*I85*(1/I81)=I87,"","Error"),"")</f>
        <v/>
      </c>
      <c r="J83" s="26" t="str">
        <f>IFERROR(IF(#REF!*J85*(1/J81)=J87,"","Error"),"")</f>
        <v/>
      </c>
      <c r="K83" s="26" t="str">
        <f>IFERROR(IF(#REF!*K85*(1/K81)=K87,"","Error"),"")</f>
        <v/>
      </c>
      <c r="L83" s="26" t="str">
        <f>IFERROR(IF(#REF!*L85*(1/L81)=L87,"","Error"),"")</f>
        <v/>
      </c>
      <c r="M83" s="26" t="str">
        <f>IFERROR(IF(#REF!*M85*(1/M81)=M87,"","Error"),"")</f>
        <v/>
      </c>
      <c r="N83" s="26" t="str">
        <f>IFERROR(IF(#REF!*N85*(1/N81)=N87,"","Error"),"")</f>
        <v/>
      </c>
      <c r="O83" s="26" t="str">
        <f>IFERROR(IF(#REF!*O85*(1/O81)=O87,"","Error"),"")</f>
        <v/>
      </c>
      <c r="P83" s="26" t="str">
        <f>IFERROR(IF(#REF!*P85*(1/P81)=P87,"","Error"),"")</f>
        <v/>
      </c>
      <c r="Q83" s="26" t="str">
        <f>IFERROR(IF(#REF!*Q85*(1/Q81)=Q87,"","Error"),"")</f>
        <v/>
      </c>
    </row>
    <row r="84" spans="1:17" ht="15.75" customHeight="1" x14ac:dyDescent="0.35">
      <c r="A84" s="12"/>
      <c r="B84" s="9" t="s">
        <v>201</v>
      </c>
      <c r="C84" s="26">
        <f>C26</f>
        <v>0.11664383553220437</v>
      </c>
      <c r="G84" s="26">
        <f>G26</f>
        <v>0.12245710905455723</v>
      </c>
      <c r="H84" s="26">
        <f t="shared" ref="H84:Q84" si="43">H26</f>
        <v>0.11378358242100998</v>
      </c>
      <c r="I84" s="26">
        <f t="shared" si="43"/>
        <v>0.12086725258551366</v>
      </c>
      <c r="J84" s="26">
        <f t="shared" si="43"/>
        <v>0.10583450462035347</v>
      </c>
      <c r="K84" s="26">
        <f t="shared" si="43"/>
        <v>0.10724519842891581</v>
      </c>
      <c r="L84" s="26">
        <f t="shared" si="43"/>
        <v>0.10195889152515229</v>
      </c>
      <c r="M84" s="26" t="str">
        <f t="shared" si="43"/>
        <v/>
      </c>
      <c r="N84" s="26" t="str">
        <f t="shared" si="43"/>
        <v/>
      </c>
      <c r="O84" s="26" t="str">
        <f t="shared" si="43"/>
        <v/>
      </c>
      <c r="P84" s="26" t="str">
        <f t="shared" si="43"/>
        <v/>
      </c>
      <c r="Q84" s="26" t="str">
        <f t="shared" si="43"/>
        <v/>
      </c>
    </row>
    <row r="85" spans="1:17" ht="15.75" customHeight="1" x14ac:dyDescent="0.35">
      <c r="B85" s="9" t="s">
        <v>189</v>
      </c>
      <c r="C85" s="46">
        <f>C4/C69</f>
        <v>0.74162830005471281</v>
      </c>
      <c r="G85" s="46">
        <f t="shared" ref="G85:Q85" si="44">IF(G4="","",G4/G69)</f>
        <v>0.90933332162498015</v>
      </c>
      <c r="H85" s="46">
        <f t="shared" si="44"/>
        <v>0.81551983462257005</v>
      </c>
      <c r="I85" s="46">
        <f t="shared" si="44"/>
        <v>0.73420399704411943</v>
      </c>
      <c r="J85" s="46">
        <f t="shared" si="44"/>
        <v>0.62093318504188499</v>
      </c>
      <c r="K85" s="46" t="e">
        <f t="shared" si="44"/>
        <v>#DIV/0!</v>
      </c>
      <c r="L85" s="46" t="e">
        <f t="shared" si="44"/>
        <v>#DIV/0!</v>
      </c>
      <c r="M85" s="46" t="str">
        <f t="shared" si="44"/>
        <v/>
      </c>
      <c r="N85" s="46" t="str">
        <f t="shared" si="44"/>
        <v/>
      </c>
      <c r="O85" s="46" t="str">
        <f t="shared" si="44"/>
        <v/>
      </c>
      <c r="P85" s="46" t="str">
        <f t="shared" si="44"/>
        <v/>
      </c>
      <c r="Q85" s="46" t="str">
        <f t="shared" si="44"/>
        <v/>
      </c>
    </row>
    <row r="86" spans="1:17" ht="15.75" customHeight="1" x14ac:dyDescent="0.35">
      <c r="B86" s="9" t="s">
        <v>202</v>
      </c>
      <c r="C86" s="17">
        <f>C69/C73</f>
        <v>1.3101832741522048</v>
      </c>
      <c r="D86" s="13"/>
      <c r="E86" s="13"/>
      <c r="F86" s="13"/>
      <c r="G86" s="17">
        <f t="shared" ref="G86:Q86" si="45">IF(G$4="","",G69/G73)</f>
        <v>1.3101832741522048</v>
      </c>
      <c r="H86" s="17">
        <f t="shared" si="45"/>
        <v>1.2018200397317982</v>
      </c>
      <c r="I86" s="17">
        <f t="shared" si="45"/>
        <v>1.3235978755027102</v>
      </c>
      <c r="J86" s="17">
        <f t="shared" si="45"/>
        <v>1.2602184485223888</v>
      </c>
      <c r="K86" s="17" t="e">
        <f t="shared" si="45"/>
        <v>#DIV/0!</v>
      </c>
      <c r="L86" s="17" t="e">
        <f t="shared" si="45"/>
        <v>#DIV/0!</v>
      </c>
      <c r="M86" s="17" t="str">
        <f t="shared" si="45"/>
        <v/>
      </c>
      <c r="N86" s="17" t="str">
        <f t="shared" si="45"/>
        <v/>
      </c>
      <c r="O86" s="17" t="str">
        <f t="shared" si="45"/>
        <v/>
      </c>
      <c r="P86" s="17" t="str">
        <f t="shared" si="45"/>
        <v/>
      </c>
      <c r="Q86" s="17" t="str">
        <f t="shared" si="45"/>
        <v/>
      </c>
    </row>
    <row r="87" spans="1:17" ht="15.75" customHeight="1" x14ac:dyDescent="0.35">
      <c r="A87" s="12"/>
      <c r="B87" s="91" t="s">
        <v>65</v>
      </c>
      <c r="C87" s="140">
        <f>C8/C73</f>
        <v>0.11333919837099207</v>
      </c>
      <c r="D87" s="141"/>
      <c r="E87" s="141"/>
      <c r="F87" s="141"/>
      <c r="G87" s="140">
        <f t="shared" ref="G87:Q87" si="46">IF(G$4="","",G8/G73)</f>
        <v>0.14589458032083277</v>
      </c>
      <c r="H87" s="140">
        <f t="shared" si="46"/>
        <v>0.11152020850765841</v>
      </c>
      <c r="I87" s="140">
        <f t="shared" si="46"/>
        <v>0.1174576902086082</v>
      </c>
      <c r="J87" s="140">
        <f t="shared" si="46"/>
        <v>8.2816712209154458E-2</v>
      </c>
      <c r="K87" s="140" t="e">
        <f t="shared" si="46"/>
        <v>#DIV/0!</v>
      </c>
      <c r="L87" s="140" t="e">
        <f t="shared" si="46"/>
        <v>#DIV/0!</v>
      </c>
      <c r="M87" s="140" t="str">
        <f t="shared" si="46"/>
        <v/>
      </c>
      <c r="N87" s="140" t="str">
        <f t="shared" si="46"/>
        <v/>
      </c>
      <c r="O87" s="140" t="str">
        <f t="shared" si="46"/>
        <v/>
      </c>
      <c r="P87" s="140" t="str">
        <f t="shared" si="46"/>
        <v/>
      </c>
      <c r="Q87" s="140" t="str">
        <f t="shared" si="46"/>
        <v/>
      </c>
    </row>
    <row r="88" spans="1:17" ht="15.75" customHeight="1" x14ac:dyDescent="0.35">
      <c r="A88" s="12"/>
    </row>
    <row r="89" spans="1:17" ht="15.75" customHeight="1" x14ac:dyDescent="0.5">
      <c r="A89" s="12"/>
      <c r="B89" s="61" t="s">
        <v>221</v>
      </c>
      <c r="C89" s="61"/>
      <c r="D89" s="63"/>
      <c r="E89" s="81" t="s">
        <v>138</v>
      </c>
      <c r="F89" s="63"/>
      <c r="G89" s="40"/>
      <c r="H89" s="40"/>
      <c r="I89" s="40"/>
      <c r="J89" s="40"/>
      <c r="K89" s="40"/>
      <c r="L89" s="40"/>
      <c r="M89" s="40"/>
      <c r="N89" s="40"/>
      <c r="O89" s="40"/>
      <c r="P89" s="40"/>
      <c r="Q89" s="40"/>
    </row>
    <row r="90" spans="1:17" ht="15.75" customHeight="1" x14ac:dyDescent="0.35">
      <c r="A90" s="12"/>
      <c r="B90" s="78" t="s">
        <v>219</v>
      </c>
    </row>
    <row r="91" spans="1:17" ht="15.75" customHeight="1" x14ac:dyDescent="0.35">
      <c r="A91" s="12"/>
      <c r="B91" s="2" t="s">
        <v>61</v>
      </c>
      <c r="C91" s="157">
        <f>G91</f>
        <v>1.3599999999999999</v>
      </c>
      <c r="G91" s="156">
        <f>Data!C52</f>
        <v>1.3599999999999999</v>
      </c>
      <c r="H91" s="156">
        <f>Data!D52</f>
        <v>1.1000000000000001</v>
      </c>
      <c r="I91" s="156">
        <f>Data!E52</f>
        <v>1.1000000000000001</v>
      </c>
      <c r="J91" s="156">
        <f>Data!F52</f>
        <v>1</v>
      </c>
      <c r="K91" s="156">
        <f>Data!G52</f>
        <v>1</v>
      </c>
      <c r="L91" s="156">
        <f>Data!H52</f>
        <v>1.1499999999999999</v>
      </c>
      <c r="M91" s="156" t="str">
        <f>Data!I52</f>
        <v/>
      </c>
      <c r="N91" s="156" t="str">
        <f>Data!J52</f>
        <v/>
      </c>
      <c r="O91" s="156" t="str">
        <f>Data!K52</f>
        <v/>
      </c>
      <c r="P91" s="156" t="str">
        <f>Data!L52</f>
        <v/>
      </c>
      <c r="Q91" s="156" t="str">
        <f>Data!M52</f>
        <v/>
      </c>
    </row>
    <row r="92" spans="1:17" ht="15.75" customHeight="1" x14ac:dyDescent="0.35">
      <c r="A92" s="12"/>
      <c r="B92" s="2" t="s">
        <v>219</v>
      </c>
      <c r="C92" s="96">
        <f>C91*Common_Shares/$C$3</f>
        <v>798466.67599999986</v>
      </c>
      <c r="G92" s="96">
        <f t="shared" ref="G92:Q92" si="47">IF(G$4="","",G91*Common_Shares/$C$3)</f>
        <v>798466.67599999986</v>
      </c>
      <c r="H92" s="96">
        <f t="shared" si="47"/>
        <v>645818.63500000001</v>
      </c>
      <c r="I92" s="96">
        <f t="shared" si="47"/>
        <v>645818.63500000001</v>
      </c>
      <c r="J92" s="96">
        <f t="shared" si="47"/>
        <v>587107.85</v>
      </c>
      <c r="K92" s="96">
        <f t="shared" si="47"/>
        <v>587107.85</v>
      </c>
      <c r="L92" s="96">
        <f t="shared" si="47"/>
        <v>675174.02749999997</v>
      </c>
      <c r="M92" s="96" t="str">
        <f t="shared" si="47"/>
        <v/>
      </c>
      <c r="N92" s="96" t="str">
        <f t="shared" si="47"/>
        <v/>
      </c>
      <c r="O92" s="96" t="str">
        <f t="shared" si="47"/>
        <v/>
      </c>
      <c r="P92" s="96" t="str">
        <f t="shared" si="47"/>
        <v/>
      </c>
      <c r="Q92" s="96" t="str">
        <f t="shared" si="47"/>
        <v/>
      </c>
    </row>
    <row r="93" spans="1:17" ht="15.75" customHeight="1" x14ac:dyDescent="0.35">
      <c r="A93" s="12"/>
      <c r="B93" s="2" t="s">
        <v>222</v>
      </c>
      <c r="C93" s="26">
        <f>C91/(C15*$C$3/Common_Shares)</f>
        <v>0.73898220922083402</v>
      </c>
      <c r="G93" s="26">
        <f t="shared" ref="G93:Q93" si="48">IF(G$4="","",G91/(G15*$C$3/Common_Shares))</f>
        <v>0.61137166287015943</v>
      </c>
      <c r="H93" s="26">
        <f t="shared" si="48"/>
        <v>0.47520767477248388</v>
      </c>
      <c r="I93" s="26">
        <f t="shared" si="48"/>
        <v>0.55110750382299534</v>
      </c>
      <c r="J93" s="26">
        <f t="shared" si="48"/>
        <v>0.52597248961462351</v>
      </c>
      <c r="K93" s="26">
        <f t="shared" si="48"/>
        <v>0.51484610946055442</v>
      </c>
      <c r="L93" s="26">
        <f t="shared" si="48"/>
        <v>0.42952570160047737</v>
      </c>
      <c r="M93" s="26" t="str">
        <f t="shared" si="48"/>
        <v/>
      </c>
      <c r="N93" s="26" t="str">
        <f t="shared" si="48"/>
        <v/>
      </c>
      <c r="O93" s="26" t="str">
        <f t="shared" si="48"/>
        <v/>
      </c>
      <c r="P93" s="26" t="str">
        <f t="shared" si="48"/>
        <v/>
      </c>
      <c r="Q93" s="26" t="str">
        <f t="shared" si="48"/>
        <v/>
      </c>
    </row>
    <row r="94" spans="1:17" ht="15.75" customHeight="1" x14ac:dyDescent="0.35">
      <c r="A94" s="12"/>
    </row>
    <row r="95" spans="1:17" ht="15.75" customHeight="1" x14ac:dyDescent="0.35">
      <c r="A95" s="12"/>
    </row>
    <row r="96" spans="1:17" ht="15.75" customHeight="1" x14ac:dyDescent="0.35">
      <c r="A96" s="12"/>
    </row>
    <row r="97" spans="1:1" ht="15.75" customHeight="1" x14ac:dyDescent="0.35">
      <c r="A97" s="12"/>
    </row>
    <row r="98" spans="1:1" ht="15.75" customHeight="1" x14ac:dyDescent="0.35">
      <c r="A98" s="12"/>
    </row>
    <row r="99" spans="1:1" ht="15.75" customHeight="1" x14ac:dyDescent="0.35">
      <c r="A99" s="12"/>
    </row>
    <row r="100" spans="1:1" ht="15.75" customHeight="1" x14ac:dyDescent="0.35">
      <c r="A100" s="12"/>
    </row>
    <row r="101" spans="1:1" ht="15.75" customHeight="1" x14ac:dyDescent="0.35">
      <c r="A101" s="12"/>
    </row>
    <row r="102" spans="1:1" ht="15.75" customHeight="1" x14ac:dyDescent="0.35">
      <c r="A102" s="12"/>
    </row>
    <row r="103" spans="1:1" ht="15.75" customHeight="1" x14ac:dyDescent="0.35">
      <c r="A103" s="12"/>
    </row>
    <row r="104" spans="1:1" ht="15.75" customHeight="1" x14ac:dyDescent="0.35">
      <c r="A104" s="12"/>
    </row>
    <row r="105" spans="1:1" ht="15.75" customHeight="1" x14ac:dyDescent="0.35">
      <c r="A105" s="12"/>
    </row>
    <row r="106" spans="1:1" ht="15.75" customHeight="1" x14ac:dyDescent="0.35">
      <c r="A106" s="12"/>
    </row>
    <row r="107" spans="1:1" ht="15.75" customHeight="1" x14ac:dyDescent="0.35">
      <c r="A107" s="12"/>
    </row>
    <row r="108" spans="1:1" ht="15.75" customHeight="1" x14ac:dyDescent="0.35">
      <c r="A108" s="12"/>
    </row>
    <row r="109" spans="1:1" ht="15.75" customHeight="1" x14ac:dyDescent="0.35">
      <c r="A109" s="12"/>
    </row>
    <row r="110" spans="1:1" ht="15.75" customHeight="1" x14ac:dyDescent="0.35">
      <c r="A110" s="12"/>
    </row>
    <row r="111" spans="1:1" ht="15.75" customHeight="1" x14ac:dyDescent="0.35">
      <c r="A111" s="12"/>
    </row>
    <row r="112" spans="1:1" ht="15.75" customHeight="1" x14ac:dyDescent="0.35">
      <c r="A112" s="12"/>
    </row>
    <row r="113" spans="1:1" ht="15.75" customHeight="1" x14ac:dyDescent="0.35">
      <c r="A113" s="12"/>
    </row>
    <row r="114" spans="1:1" ht="15.75" customHeight="1" x14ac:dyDescent="0.35">
      <c r="A114" s="12"/>
    </row>
    <row r="115" spans="1:1" ht="15.75" customHeight="1" x14ac:dyDescent="0.35">
      <c r="A115" s="12"/>
    </row>
    <row r="116" spans="1:1" ht="15.75" customHeight="1" x14ac:dyDescent="0.35">
      <c r="A116" s="12"/>
    </row>
    <row r="117" spans="1:1" ht="15.75" customHeight="1" x14ac:dyDescent="0.35">
      <c r="A117" s="12"/>
    </row>
    <row r="118" spans="1:1" ht="15.75" customHeight="1" x14ac:dyDescent="0.35">
      <c r="A118" s="12"/>
    </row>
    <row r="119" spans="1:1" ht="15.75" customHeight="1" x14ac:dyDescent="0.35">
      <c r="A119" s="12"/>
    </row>
    <row r="120" spans="1:1" ht="15.75" customHeight="1" x14ac:dyDescent="0.35"/>
    <row r="121" spans="1:1" ht="15.75" customHeight="1" x14ac:dyDescent="0.35"/>
    <row r="122" spans="1:1" ht="15.75" customHeight="1" x14ac:dyDescent="0.35"/>
    <row r="123" spans="1:1" ht="15.75" customHeight="1" x14ac:dyDescent="0.35"/>
    <row r="124" spans="1:1" ht="15.75" customHeight="1" x14ac:dyDescent="0.35"/>
    <row r="125" spans="1:1" ht="15.75" customHeight="1" x14ac:dyDescent="0.35"/>
    <row r="126" spans="1:1" ht="15.75" customHeight="1" x14ac:dyDescent="0.35"/>
    <row r="127" spans="1:1" ht="15.75" customHeight="1" x14ac:dyDescent="0.35"/>
    <row r="128" spans="1:1"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sheetData>
  <phoneticPr fontId="2" type="noConversion"/>
  <conditionalFormatting sqref="G4:Q9 G11:Q11 G14:Q14 G19:Q19 G47:Q48 G51:Q51">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50"/>
  <sheetViews>
    <sheetView showGridLines="0" topLeftCell="B1" zoomScaleNormal="100" workbookViewId="0">
      <selection activeCell="C39" sqref="C39"/>
    </sheetView>
  </sheetViews>
  <sheetFormatPr defaultColWidth="12.33203125" defaultRowHeight="15" customHeight="1" x14ac:dyDescent="0.35"/>
  <cols>
    <col min="1" max="1" width="2.33203125" style="1" customWidth="1"/>
    <col min="2" max="2" width="33.9296875" style="1" bestFit="1" customWidth="1"/>
    <col min="3" max="4" width="18.6640625" style="1" customWidth="1"/>
    <col min="5" max="5" width="5.59765625" style="1" customWidth="1"/>
    <col min="6" max="6" width="25.3984375" style="1" bestFit="1" customWidth="1"/>
    <col min="7" max="8" width="18.6640625" style="1" customWidth="1"/>
    <col min="9" max="16384" width="12.33203125" style="1"/>
  </cols>
  <sheetData>
    <row r="1" spans="2:8" ht="15" customHeight="1" x14ac:dyDescent="0.35">
      <c r="B1" s="21" t="s">
        <v>62</v>
      </c>
      <c r="C1" s="136">
        <v>45382</v>
      </c>
      <c r="F1" s="115" t="str">
        <f>IF(MONTH(C1)=MONTH(Normalized_FCF!G1),"FY","Quarter")&amp;" Report"</f>
        <v>FY Report</v>
      </c>
      <c r="H1" s="4"/>
    </row>
    <row r="2" spans="2:8" ht="15" customHeight="1" x14ac:dyDescent="0.35">
      <c r="B2" s="105" t="s">
        <v>207</v>
      </c>
      <c r="C2" s="40"/>
      <c r="D2" s="40"/>
      <c r="E2" s="40"/>
      <c r="F2" s="40"/>
      <c r="G2" s="40"/>
      <c r="H2" s="40"/>
    </row>
    <row r="3" spans="2:8" ht="15" customHeight="1" x14ac:dyDescent="0.35">
      <c r="B3" s="18" t="s">
        <v>47</v>
      </c>
      <c r="C3" s="7" t="s">
        <v>7</v>
      </c>
      <c r="D3" s="114" t="s">
        <v>52</v>
      </c>
      <c r="F3" s="18" t="s">
        <v>155</v>
      </c>
      <c r="G3" s="7" t="s">
        <v>7</v>
      </c>
      <c r="H3" s="114" t="s">
        <v>52</v>
      </c>
    </row>
    <row r="4" spans="2:8" ht="15" customHeight="1" x14ac:dyDescent="0.35">
      <c r="B4" s="5" t="s">
        <v>39</v>
      </c>
      <c r="C4" s="22">
        <v>265773</v>
      </c>
      <c r="D4" s="109">
        <v>0.6</v>
      </c>
      <c r="E4" s="28"/>
      <c r="F4" s="5" t="s">
        <v>171</v>
      </c>
      <c r="G4" s="22">
        <v>1998219</v>
      </c>
      <c r="H4" s="109">
        <v>0.9</v>
      </c>
    </row>
    <row r="5" spans="2:8" ht="15" customHeight="1" x14ac:dyDescent="0.35">
      <c r="B5" s="1" t="s">
        <v>49</v>
      </c>
      <c r="C5" s="22">
        <v>0</v>
      </c>
      <c r="D5" s="109">
        <v>0.6</v>
      </c>
      <c r="E5" s="28"/>
      <c r="F5" s="1" t="s">
        <v>45</v>
      </c>
      <c r="G5" s="22">
        <v>0</v>
      </c>
      <c r="H5" s="109">
        <v>0.8</v>
      </c>
    </row>
    <row r="6" spans="2:8" ht="15" customHeight="1" x14ac:dyDescent="0.35">
      <c r="B6" s="5" t="s">
        <v>40</v>
      </c>
      <c r="C6" s="22">
        <v>366595</v>
      </c>
      <c r="D6" s="109">
        <v>0.1</v>
      </c>
      <c r="E6" s="28"/>
      <c r="F6" s="5" t="s">
        <v>11</v>
      </c>
      <c r="G6" s="22">
        <v>0</v>
      </c>
      <c r="H6" s="109">
        <v>0.6</v>
      </c>
    </row>
    <row r="7" spans="2:8" ht="15" customHeight="1" x14ac:dyDescent="0.35">
      <c r="B7" s="5" t="s">
        <v>15</v>
      </c>
      <c r="C7" s="22">
        <v>9672256</v>
      </c>
      <c r="D7" s="109">
        <v>0.5</v>
      </c>
      <c r="E7" s="28"/>
      <c r="F7" s="5" t="s">
        <v>13</v>
      </c>
      <c r="G7" s="22">
        <v>0</v>
      </c>
      <c r="H7" s="109">
        <v>0.5</v>
      </c>
    </row>
    <row r="8" spans="2:8" ht="15" customHeight="1" x14ac:dyDescent="0.35">
      <c r="B8" s="1" t="s">
        <v>160</v>
      </c>
      <c r="C8" s="22">
        <v>0</v>
      </c>
      <c r="D8" s="109">
        <v>0.6</v>
      </c>
      <c r="E8" s="28"/>
      <c r="F8" s="1" t="s">
        <v>154</v>
      </c>
      <c r="G8" s="22">
        <v>0</v>
      </c>
      <c r="H8" s="109">
        <v>0.6</v>
      </c>
    </row>
    <row r="9" spans="2:8" ht="15" customHeight="1" x14ac:dyDescent="0.35">
      <c r="B9" s="5" t="s">
        <v>17</v>
      </c>
      <c r="C9" s="22">
        <v>29465</v>
      </c>
      <c r="D9" s="109">
        <v>0.9</v>
      </c>
      <c r="E9" s="28"/>
      <c r="F9" s="5" t="s">
        <v>42</v>
      </c>
      <c r="G9" s="22">
        <v>0</v>
      </c>
      <c r="H9" s="109">
        <v>0.6</v>
      </c>
    </row>
    <row r="10" spans="2:8" ht="15" customHeight="1" x14ac:dyDescent="0.35">
      <c r="B10" s="5" t="s">
        <v>18</v>
      </c>
      <c r="C10" s="22">
        <v>0</v>
      </c>
      <c r="D10" s="109">
        <v>0.05</v>
      </c>
      <c r="F10" s="107" t="s">
        <v>156</v>
      </c>
      <c r="G10" s="108">
        <f>SUM(G4:G9)</f>
        <v>1998219</v>
      </c>
      <c r="H10" s="23">
        <f>G4*H4+G5*H5+G6*H6+G7*H7+G8*H8+G9*H9</f>
        <v>1798397.1</v>
      </c>
    </row>
    <row r="11" spans="2:8" ht="15" customHeight="1" x14ac:dyDescent="0.35">
      <c r="B11" s="107" t="s">
        <v>158</v>
      </c>
      <c r="C11" s="108">
        <f>SUM(C4:C10)</f>
        <v>10334089</v>
      </c>
      <c r="D11" s="23">
        <f>C4*D4+C5*D5+C6*D6+C7*D7+C8*D8+C9*D9+C10*D10</f>
        <v>5058769.8</v>
      </c>
      <c r="F11" s="5" t="s">
        <v>172</v>
      </c>
      <c r="G11" s="22">
        <v>0</v>
      </c>
      <c r="H11" s="109">
        <v>0.8</v>
      </c>
    </row>
    <row r="12" spans="2:8" ht="15" customHeight="1" x14ac:dyDescent="0.35">
      <c r="B12" s="5" t="s">
        <v>159</v>
      </c>
      <c r="C12" s="22">
        <v>103050</v>
      </c>
      <c r="D12" s="109">
        <v>0.4</v>
      </c>
      <c r="F12" s="5" t="s">
        <v>21</v>
      </c>
      <c r="G12" s="22">
        <v>0</v>
      </c>
      <c r="H12" s="109">
        <v>0.6</v>
      </c>
    </row>
    <row r="13" spans="2:8" ht="15" customHeight="1" x14ac:dyDescent="0.35">
      <c r="B13" s="1" t="s">
        <v>50</v>
      </c>
      <c r="C13" s="22">
        <v>0</v>
      </c>
      <c r="D13" s="109">
        <v>0.5</v>
      </c>
      <c r="F13" s="5" t="s">
        <v>23</v>
      </c>
      <c r="G13" s="22">
        <v>0</v>
      </c>
      <c r="H13" s="109">
        <v>0.5</v>
      </c>
    </row>
    <row r="14" spans="2:8" ht="15" customHeight="1" x14ac:dyDescent="0.35">
      <c r="B14" s="5" t="s">
        <v>161</v>
      </c>
      <c r="C14" s="22">
        <v>0</v>
      </c>
      <c r="D14" s="109">
        <v>0.6</v>
      </c>
      <c r="F14" s="5" t="s">
        <v>27</v>
      </c>
      <c r="G14" s="22">
        <v>0</v>
      </c>
      <c r="H14" s="109">
        <v>0.1</v>
      </c>
    </row>
    <row r="15" spans="2:8" ht="15" customHeight="1" x14ac:dyDescent="0.35">
      <c r="B15" s="5" t="s">
        <v>41</v>
      </c>
      <c r="C15" s="22">
        <v>2522337</v>
      </c>
      <c r="D15" s="109">
        <v>0.1</v>
      </c>
      <c r="F15" s="5" t="s">
        <v>28</v>
      </c>
      <c r="G15" s="22">
        <v>925726</v>
      </c>
      <c r="H15" s="109">
        <v>0.2</v>
      </c>
    </row>
    <row r="16" spans="2:8" ht="15" customHeight="1" x14ac:dyDescent="0.35">
      <c r="B16" s="5" t="s">
        <v>29</v>
      </c>
      <c r="C16" s="22">
        <v>0</v>
      </c>
      <c r="D16" s="109">
        <v>0.05</v>
      </c>
      <c r="F16" s="1" t="s">
        <v>16</v>
      </c>
      <c r="G16" s="22">
        <v>0</v>
      </c>
      <c r="H16" s="109">
        <v>0.1</v>
      </c>
    </row>
    <row r="17" spans="2:8" ht="15" customHeight="1" x14ac:dyDescent="0.35">
      <c r="B17" s="5" t="s">
        <v>30</v>
      </c>
      <c r="C17" s="22">
        <v>538321</v>
      </c>
      <c r="D17" s="109">
        <v>0.05</v>
      </c>
      <c r="F17" s="107" t="s">
        <v>157</v>
      </c>
      <c r="G17" s="108">
        <f>SUM(G11:G16)</f>
        <v>925726</v>
      </c>
      <c r="H17" s="23">
        <f>G11*H11+G12*H12+G13*H13+G14*H14+G15*H15+G16*H16</f>
        <v>185145.2</v>
      </c>
    </row>
    <row r="18" spans="2:8" ht="15" customHeight="1" x14ac:dyDescent="0.35">
      <c r="B18" s="5" t="s">
        <v>31</v>
      </c>
      <c r="C18" s="22">
        <v>154648</v>
      </c>
      <c r="D18" s="109">
        <v>0.9</v>
      </c>
    </row>
    <row r="19" spans="2:8" ht="15" customHeight="1" x14ac:dyDescent="0.35">
      <c r="B19" s="5" t="s">
        <v>32</v>
      </c>
      <c r="C19" s="22">
        <v>277674</v>
      </c>
      <c r="D19" s="109">
        <v>0</v>
      </c>
      <c r="F19" s="52" t="s">
        <v>47</v>
      </c>
      <c r="G19" s="108">
        <f>C11+C20</f>
        <v>13930119</v>
      </c>
      <c r="H19" s="23">
        <f>D11+D20</f>
        <v>5518322.75</v>
      </c>
    </row>
    <row r="20" spans="2:8" ht="15" customHeight="1" x14ac:dyDescent="0.35">
      <c r="B20" s="107" t="s">
        <v>162</v>
      </c>
      <c r="C20" s="108">
        <f>SUM(C12:C19)</f>
        <v>3596030</v>
      </c>
      <c r="D20" s="23">
        <f>C12*D12+C13*D13+C14*D14+C15*D15+C16*D16+C17*D17+C18*D18+C19*D19</f>
        <v>459552.95</v>
      </c>
      <c r="F20" s="52" t="s">
        <v>285</v>
      </c>
      <c r="G20" s="108">
        <f>G10+G17</f>
        <v>2923945</v>
      </c>
      <c r="H20" s="23">
        <f>H10+H17</f>
        <v>1983542.3</v>
      </c>
    </row>
    <row r="22" spans="2:8" ht="15" customHeight="1" x14ac:dyDescent="0.35">
      <c r="B22" s="18" t="s">
        <v>71</v>
      </c>
      <c r="G22" s="205" t="s">
        <v>283</v>
      </c>
      <c r="H22" s="205" t="s">
        <v>284</v>
      </c>
    </row>
    <row r="23" spans="2:8" ht="15" customHeight="1" x14ac:dyDescent="0.35">
      <c r="B23" s="5" t="s">
        <v>8</v>
      </c>
      <c r="C23" s="22">
        <v>1427805</v>
      </c>
      <c r="F23" s="59" t="s">
        <v>163</v>
      </c>
      <c r="G23" s="108">
        <f>G19+G20</f>
        <v>16854064</v>
      </c>
      <c r="H23" s="23">
        <f>H19+H20</f>
        <v>7501865.0499999998</v>
      </c>
    </row>
    <row r="24" spans="2:8" ht="15" customHeight="1" x14ac:dyDescent="0.35">
      <c r="B24" s="5" t="s">
        <v>9</v>
      </c>
      <c r="C24" s="22">
        <v>287697</v>
      </c>
      <c r="F24" s="106" t="s">
        <v>170</v>
      </c>
      <c r="G24" s="23">
        <f>G4+G5+G11</f>
        <v>1998219</v>
      </c>
    </row>
    <row r="25" spans="2:8" ht="15" customHeight="1" x14ac:dyDescent="0.35">
      <c r="B25" s="5" t="s">
        <v>10</v>
      </c>
      <c r="C25" s="22">
        <v>0</v>
      </c>
      <c r="F25" s="106" t="s">
        <v>180</v>
      </c>
      <c r="G25" s="23">
        <f>SUM(C14:C17)+SUM(G15:G16)</f>
        <v>3986384</v>
      </c>
    </row>
    <row r="26" spans="2:8" ht="15" customHeight="1" x14ac:dyDescent="0.35">
      <c r="B26" s="2" t="s">
        <v>12</v>
      </c>
      <c r="C26" s="22">
        <v>0</v>
      </c>
      <c r="F26" s="3" t="s">
        <v>35</v>
      </c>
      <c r="G26" s="112">
        <f>Data!C24</f>
        <v>3990166</v>
      </c>
    </row>
    <row r="27" spans="2:8" ht="15" customHeight="1" x14ac:dyDescent="0.35">
      <c r="B27" s="107" t="s">
        <v>19</v>
      </c>
      <c r="C27" s="108">
        <f>SUM(C23:C26)</f>
        <v>1715502</v>
      </c>
      <c r="F27" s="106" t="s">
        <v>166</v>
      </c>
      <c r="G27" s="23">
        <f>C27+C34</f>
        <v>2034922</v>
      </c>
    </row>
    <row r="28" spans="2:8" ht="15" customHeight="1" x14ac:dyDescent="0.35">
      <c r="B28" s="5" t="s">
        <v>14</v>
      </c>
      <c r="C28" s="24">
        <f>C29-C27</f>
        <v>1801307</v>
      </c>
      <c r="F28" s="3" t="s">
        <v>46</v>
      </c>
      <c r="G28" s="112">
        <v>12863898</v>
      </c>
    </row>
    <row r="29" spans="2:8" ht="15" customHeight="1" x14ac:dyDescent="0.35">
      <c r="B29" s="110" t="s">
        <v>6</v>
      </c>
      <c r="C29" s="112">
        <v>3516809</v>
      </c>
      <c r="F29" s="111" t="s">
        <v>164</v>
      </c>
      <c r="G29" s="14">
        <v>-26962</v>
      </c>
    </row>
    <row r="30" spans="2:8" ht="15" customHeight="1" x14ac:dyDescent="0.35">
      <c r="B30" s="5" t="s">
        <v>20</v>
      </c>
      <c r="C30" s="22">
        <v>0</v>
      </c>
      <c r="F30" s="106" t="s">
        <v>165</v>
      </c>
      <c r="G30" s="16">
        <f>G28-G29</f>
        <v>12890860</v>
      </c>
    </row>
    <row r="31" spans="2:8" ht="15" customHeight="1" x14ac:dyDescent="0.35">
      <c r="B31" s="5" t="s">
        <v>22</v>
      </c>
      <c r="C31" s="22">
        <v>319420</v>
      </c>
    </row>
    <row r="32" spans="2:8" ht="15" customHeight="1" x14ac:dyDescent="0.35">
      <c r="B32" s="5" t="s">
        <v>24</v>
      </c>
      <c r="C32" s="22">
        <v>0</v>
      </c>
    </row>
    <row r="33" spans="2:8" ht="15" customHeight="1" x14ac:dyDescent="0.35">
      <c r="B33" s="2" t="s">
        <v>25</v>
      </c>
      <c r="C33" s="22">
        <v>0</v>
      </c>
    </row>
    <row r="34" spans="2:8" ht="15" customHeight="1" x14ac:dyDescent="0.35">
      <c r="B34" s="107" t="s">
        <v>33</v>
      </c>
      <c r="C34" s="108">
        <f>SUM(C30:C33)</f>
        <v>319420</v>
      </c>
    </row>
    <row r="35" spans="2:8" ht="15" customHeight="1" x14ac:dyDescent="0.35">
      <c r="B35" s="5" t="s">
        <v>26</v>
      </c>
      <c r="C35" s="24">
        <f>C36-C34</f>
        <v>153937</v>
      </c>
    </row>
    <row r="36" spans="2:8" ht="15" customHeight="1" x14ac:dyDescent="0.35">
      <c r="B36" s="110" t="s">
        <v>34</v>
      </c>
      <c r="C36" s="113">
        <f>G26-C29</f>
        <v>473357</v>
      </c>
    </row>
    <row r="38" spans="2:8" ht="15" customHeight="1" x14ac:dyDescent="0.35">
      <c r="B38" s="105" t="s">
        <v>208</v>
      </c>
      <c r="C38" s="40"/>
      <c r="D38" s="40"/>
      <c r="E38" s="40"/>
      <c r="F38" s="40"/>
      <c r="G38" s="40"/>
      <c r="H38" s="40"/>
    </row>
    <row r="39" spans="2:8" ht="15" customHeight="1" x14ac:dyDescent="0.35">
      <c r="B39" s="133" t="s">
        <v>290</v>
      </c>
      <c r="C39" s="134" t="s">
        <v>136</v>
      </c>
      <c r="D39" s="134" t="s">
        <v>206</v>
      </c>
      <c r="E39" s="2"/>
      <c r="F39" s="137" t="s">
        <v>138</v>
      </c>
    </row>
    <row r="40" spans="2:8" ht="15" customHeight="1" x14ac:dyDescent="0.35">
      <c r="B40" s="10" t="s">
        <v>195</v>
      </c>
      <c r="C40" s="109">
        <f>D40</f>
        <v>2.9286626219579916E-2</v>
      </c>
      <c r="D40" s="26">
        <f>IF(Normalized_FCF!G4="","",ABS(Normalized_FCF!G63/BS!$G$27))</f>
        <v>2.9286626219579916E-2</v>
      </c>
      <c r="F40" s="86" t="s">
        <v>173</v>
      </c>
    </row>
    <row r="41" spans="2:8" ht="15" customHeight="1" x14ac:dyDescent="0.35">
      <c r="B41" s="10" t="s">
        <v>196</v>
      </c>
      <c r="C41" s="116">
        <v>1.4501413508729523E-2</v>
      </c>
      <c r="D41" s="8">
        <f>IF(Normalized_FCF!G4="","",Normalized_FCF!G64/BS!$G$24)</f>
        <v>1.4501413508729523E-2</v>
      </c>
      <c r="F41" s="86" t="s">
        <v>174</v>
      </c>
    </row>
    <row r="42" spans="2:8" ht="15" customHeight="1" x14ac:dyDescent="0.35">
      <c r="B42" s="2" t="s">
        <v>197</v>
      </c>
      <c r="C42" s="116">
        <f>D42</f>
        <v>0.11625172085779995</v>
      </c>
      <c r="D42" s="26">
        <f>Normalized_FCF!G12/BS!$G$25</f>
        <v>0.11625172085779995</v>
      </c>
      <c r="F42" s="20" t="s">
        <v>181</v>
      </c>
    </row>
    <row r="43" spans="2:8" ht="15" customHeight="1" x14ac:dyDescent="0.35">
      <c r="B43" s="1" t="s">
        <v>203</v>
      </c>
      <c r="C43" s="135"/>
      <c r="D43" s="123">
        <f>G25/G23</f>
        <v>0.23652360641326625</v>
      </c>
    </row>
    <row r="44" spans="2:8" ht="15" customHeight="1" x14ac:dyDescent="0.35">
      <c r="B44" s="10" t="s">
        <v>204</v>
      </c>
      <c r="C44" s="135"/>
      <c r="D44" s="132">
        <f>BS!G27/Normalized_FCF!C8</f>
        <v>1.3957095258737691</v>
      </c>
    </row>
    <row r="46" spans="2:8" ht="15" customHeight="1" x14ac:dyDescent="0.35">
      <c r="B46" s="133" t="s">
        <v>289</v>
      </c>
      <c r="C46" s="134" t="s">
        <v>136</v>
      </c>
      <c r="D46" s="134" t="s">
        <v>206</v>
      </c>
    </row>
    <row r="47" spans="2:8" ht="15" customHeight="1" x14ac:dyDescent="0.35">
      <c r="B47" s="1" t="s">
        <v>286</v>
      </c>
      <c r="C47" s="123">
        <f>Normalized_FCF!C18/G19</f>
        <v>7.756539100607851E-2</v>
      </c>
      <c r="D47" s="123">
        <f>Normalized_FCF!G18/G19</f>
        <v>9.3755480480820011E-2</v>
      </c>
    </row>
    <row r="48" spans="2:8" ht="15" customHeight="1" x14ac:dyDescent="0.35">
      <c r="B48" s="1" t="s">
        <v>288</v>
      </c>
      <c r="C48" s="123">
        <f>Normalized_FCF!C19/G20</f>
        <v>6.5041237095773002E-2</v>
      </c>
      <c r="D48" s="123">
        <f>Normalized_FCF!G19/G20</f>
        <v>8.4925332042839377E-2</v>
      </c>
    </row>
    <row r="50" spans="2:8" ht="15" customHeight="1" x14ac:dyDescent="0.35">
      <c r="B50" s="105" t="s">
        <v>282</v>
      </c>
      <c r="C50" s="40"/>
      <c r="D50" s="40"/>
      <c r="E50" s="40"/>
      <c r="F50" s="40"/>
      <c r="G50" s="40"/>
      <c r="H50" s="40"/>
    </row>
  </sheetData>
  <phoneticPr fontId="2" type="noConversion"/>
  <pageMargins left="0.25" right="0.25" top="0.75" bottom="0.75" header="0.3" footer="0.3"/>
  <pageSetup scale="7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B2:H90"/>
  <sheetViews>
    <sheetView showGridLines="0" topLeftCell="A52" zoomScaleNormal="100" workbookViewId="0">
      <selection activeCell="E73" sqref="E73"/>
    </sheetView>
  </sheetViews>
  <sheetFormatPr defaultRowHeight="12.75" x14ac:dyDescent="0.35"/>
  <cols>
    <col min="1" max="1" width="5.59765625" customWidth="1"/>
    <col min="2" max="2" width="22.59765625" customWidth="1"/>
    <col min="3" max="6" width="20.59765625" customWidth="1"/>
    <col min="7" max="7" width="5.59765625" customWidth="1"/>
    <col min="8" max="8" width="56.796875" bestFit="1" customWidth="1"/>
  </cols>
  <sheetData>
    <row r="2" spans="2:8" ht="13.9" x14ac:dyDescent="0.45">
      <c r="B2" s="39" t="s">
        <v>231</v>
      </c>
      <c r="C2" s="40"/>
      <c r="D2" s="40"/>
      <c r="E2" s="40"/>
      <c r="F2" s="40"/>
      <c r="H2" s="174" t="s">
        <v>138</v>
      </c>
    </row>
    <row r="3" spans="2:8" ht="13.15" x14ac:dyDescent="0.4">
      <c r="B3" s="151" t="s">
        <v>106</v>
      </c>
      <c r="C3" s="146">
        <f>Normalized_FCF!C3</f>
        <v>1000</v>
      </c>
      <c r="E3" s="151" t="s">
        <v>260</v>
      </c>
      <c r="H3" s="164"/>
    </row>
    <row r="4" spans="2:8" x14ac:dyDescent="0.35">
      <c r="B4" s="138" t="s">
        <v>269</v>
      </c>
      <c r="C4" s="152">
        <f>Normalized_FCF!C20</f>
        <v>1270672.1269962033</v>
      </c>
      <c r="D4" t="str">
        <f>Reporting_currency</f>
        <v>HKD</v>
      </c>
      <c r="E4" s="138" t="s">
        <v>265</v>
      </c>
      <c r="F4" s="178">
        <v>0</v>
      </c>
      <c r="H4" s="164"/>
    </row>
    <row r="5" spans="2:8" x14ac:dyDescent="0.35">
      <c r="B5" s="193" t="s">
        <v>257</v>
      </c>
      <c r="C5" s="178">
        <f>Thesis!C37</f>
        <v>0.1</v>
      </c>
      <c r="E5" s="193" t="s">
        <v>261</v>
      </c>
      <c r="H5" s="164"/>
    </row>
    <row r="6" spans="2:8" x14ac:dyDescent="0.35">
      <c r="B6" s="195" t="s">
        <v>256</v>
      </c>
      <c r="C6" s="179">
        <f>(C4*(1+Terminal_Growth))/(Equity_Cost-Terminal_Growth)</f>
        <v>12706721.269962033</v>
      </c>
      <c r="E6" s="193" t="s">
        <v>266</v>
      </c>
      <c r="H6" s="164"/>
    </row>
    <row r="7" spans="2:8" x14ac:dyDescent="0.35">
      <c r="B7" s="193" t="s">
        <v>258</v>
      </c>
      <c r="C7" s="155">
        <f>BS!G27</f>
        <v>2034922</v>
      </c>
      <c r="H7" s="164"/>
    </row>
    <row r="8" spans="2:8" x14ac:dyDescent="0.35">
      <c r="B8" s="195" t="s">
        <v>259</v>
      </c>
      <c r="C8" s="179">
        <f>C6-C7</f>
        <v>10671799.269962033</v>
      </c>
      <c r="H8" s="164"/>
    </row>
    <row r="9" spans="2:8" ht="13.15" x14ac:dyDescent="0.4">
      <c r="B9" s="194" t="s">
        <v>230</v>
      </c>
      <c r="C9" s="154">
        <f>(C8*Normalized_FCF!C3)/Common_Shares</f>
        <v>18.176897600606146</v>
      </c>
      <c r="H9" s="164"/>
    </row>
    <row r="10" spans="2:8" x14ac:dyDescent="0.35">
      <c r="H10" s="164"/>
    </row>
    <row r="11" spans="2:8" ht="13.9" x14ac:dyDescent="0.45">
      <c r="B11" s="39" t="s">
        <v>210</v>
      </c>
      <c r="C11" s="40"/>
      <c r="D11" s="40"/>
      <c r="E11" s="40"/>
      <c r="F11" s="40"/>
      <c r="H11" s="164"/>
    </row>
    <row r="12" spans="2:8" ht="13.15" x14ac:dyDescent="0.35">
      <c r="B12" s="163" t="s">
        <v>276</v>
      </c>
      <c r="H12" s="164"/>
    </row>
    <row r="13" spans="2:8" ht="13.25" customHeight="1" x14ac:dyDescent="0.35">
      <c r="B13" s="198" t="s">
        <v>274</v>
      </c>
      <c r="C13" s="211">
        <f>Scenarios!C25</f>
        <v>-3.7999999999999999E-2</v>
      </c>
      <c r="H13" s="164"/>
    </row>
    <row r="14" spans="2:8" ht="13.25" customHeight="1" x14ac:dyDescent="0.35">
      <c r="B14" s="162" t="s">
        <v>275</v>
      </c>
      <c r="C14" s="212">
        <f>Scenarios!C24</f>
        <v>10</v>
      </c>
      <c r="H14" s="164"/>
    </row>
    <row r="15" spans="2:8" ht="13.25" customHeight="1" x14ac:dyDescent="0.4">
      <c r="B15" s="199" t="s">
        <v>236</v>
      </c>
      <c r="C15" s="185">
        <f>(F49-C7)/Common_Shares*C3</f>
        <v>15.699957264324397</v>
      </c>
      <c r="D15" t="str">
        <f>IF(ROUND(C15,1)=ROUND(Scenarios!C29,1),"equals Market Price","a Current Projection")</f>
        <v>equals Market Price</v>
      </c>
      <c r="H15" s="164"/>
    </row>
    <row r="16" spans="2:8" x14ac:dyDescent="0.35">
      <c r="H16" s="164"/>
    </row>
    <row r="17" spans="2:8" ht="13.15" x14ac:dyDescent="0.4">
      <c r="B17" s="172" t="s">
        <v>237</v>
      </c>
      <c r="C17" s="172" t="s">
        <v>238</v>
      </c>
      <c r="D17" s="172" t="s">
        <v>250</v>
      </c>
      <c r="E17" s="172" t="s">
        <v>239</v>
      </c>
      <c r="F17" s="173" t="s">
        <v>240</v>
      </c>
      <c r="H17" s="164"/>
    </row>
    <row r="18" spans="2:8" x14ac:dyDescent="0.35">
      <c r="B18" s="166">
        <v>1</v>
      </c>
      <c r="C18" s="167">
        <f>C4*(1+D18)</f>
        <v>1222386.5861703476</v>
      </c>
      <c r="D18" s="183">
        <f>IF($C$14&lt;B18,0,Valuation_Model!$C$13)</f>
        <v>-3.7999999999999999E-2</v>
      </c>
      <c r="E18" s="168">
        <f t="shared" ref="E18:E47" si="0">IF($C$14&lt;B18,0,1/(1+Equity_Cost)^B18)</f>
        <v>0.90909090909090906</v>
      </c>
      <c r="F18" s="169">
        <f t="shared" ref="F18:F48" si="1">C18*E18</f>
        <v>1111260.5328821342</v>
      </c>
      <c r="H18" s="164"/>
    </row>
    <row r="19" spans="2:8" x14ac:dyDescent="0.35">
      <c r="B19" s="166">
        <v>2</v>
      </c>
      <c r="C19" s="167">
        <f t="shared" ref="C19:C47" si="2">IF(ROW()-ROW($C$18)&lt;$C$14, $C$18*(1+D19)^(ROW()-ROW($C$18)), 0)</f>
        <v>1175935.8958958744</v>
      </c>
      <c r="D19" s="183">
        <f>IF($C$14&lt;B19,0,Valuation_Model!$C$13)</f>
        <v>-3.7999999999999999E-2</v>
      </c>
      <c r="E19" s="168">
        <f t="shared" si="0"/>
        <v>0.82644628099173545</v>
      </c>
      <c r="F19" s="169">
        <f t="shared" si="1"/>
        <v>971847.84784782992</v>
      </c>
      <c r="H19" s="164"/>
    </row>
    <row r="20" spans="2:8" x14ac:dyDescent="0.35">
      <c r="B20" s="166">
        <v>3</v>
      </c>
      <c r="C20" s="167">
        <f t="shared" si="2"/>
        <v>1131250.3318518312</v>
      </c>
      <c r="D20" s="183">
        <f>IF($C$14&lt;B20,0,Valuation_Model!$C$13)</f>
        <v>-3.7999999999999999E-2</v>
      </c>
      <c r="E20" s="168">
        <f t="shared" si="0"/>
        <v>0.75131480090157754</v>
      </c>
      <c r="F20" s="169">
        <f t="shared" si="1"/>
        <v>849925.1178451021</v>
      </c>
      <c r="H20" s="164"/>
    </row>
    <row r="21" spans="2:8" x14ac:dyDescent="0.35">
      <c r="B21" s="166">
        <v>4</v>
      </c>
      <c r="C21" s="167">
        <f t="shared" si="2"/>
        <v>1088262.8192414616</v>
      </c>
      <c r="D21" s="183">
        <f>IF($C$14&lt;B21,0,Valuation_Model!$C$13)</f>
        <v>-3.7999999999999999E-2</v>
      </c>
      <c r="E21" s="168">
        <f t="shared" si="0"/>
        <v>0.68301345536507052</v>
      </c>
      <c r="F21" s="169">
        <f t="shared" si="1"/>
        <v>743298.14851544378</v>
      </c>
      <c r="H21" s="164"/>
    </row>
    <row r="22" spans="2:8" x14ac:dyDescent="0.35">
      <c r="B22" s="166">
        <v>5</v>
      </c>
      <c r="C22" s="167">
        <f t="shared" si="2"/>
        <v>1046908.832110286</v>
      </c>
      <c r="D22" s="183">
        <f>IF($C$14&lt;B22,0,Valuation_Model!$C$13)</f>
        <v>-3.7999999999999999E-2</v>
      </c>
      <c r="E22" s="168">
        <f t="shared" si="0"/>
        <v>0.62092132305915493</v>
      </c>
      <c r="F22" s="169">
        <f t="shared" si="1"/>
        <v>650048.01715623343</v>
      </c>
      <c r="H22" s="164"/>
    </row>
    <row r="23" spans="2:8" x14ac:dyDescent="0.35">
      <c r="B23" s="166">
        <v>6</v>
      </c>
      <c r="C23" s="167">
        <f t="shared" si="2"/>
        <v>1007126.2964900951</v>
      </c>
      <c r="D23" s="183">
        <f>IF($C$14&lt;B23,0,Valuation_Model!$C$13)</f>
        <v>-3.7999999999999999E-2</v>
      </c>
      <c r="E23" s="168">
        <f t="shared" si="0"/>
        <v>0.56447393005377722</v>
      </c>
      <c r="F23" s="169">
        <f t="shared" si="1"/>
        <v>568496.53864026966</v>
      </c>
      <c r="H23" s="164"/>
    </row>
    <row r="24" spans="2:8" x14ac:dyDescent="0.35">
      <c r="B24" s="166">
        <v>7</v>
      </c>
      <c r="C24" s="167">
        <f t="shared" si="2"/>
        <v>968855.49722347141</v>
      </c>
      <c r="D24" s="183">
        <f>IF($C$14&lt;B24,0,Valuation_Model!$C$13)</f>
        <v>-3.7999999999999999E-2</v>
      </c>
      <c r="E24" s="168">
        <f t="shared" si="0"/>
        <v>0.51315811823070645</v>
      </c>
      <c r="F24" s="169">
        <f t="shared" si="1"/>
        <v>497176.06379267201</v>
      </c>
      <c r="H24" s="164"/>
    </row>
    <row r="25" spans="2:8" x14ac:dyDescent="0.35">
      <c r="B25" s="166">
        <v>8</v>
      </c>
      <c r="C25" s="167">
        <f t="shared" si="2"/>
        <v>932038.98832897947</v>
      </c>
      <c r="D25" s="183">
        <f>IF($C$14&lt;B25,0,Valuation_Model!$C$13)</f>
        <v>-3.7999999999999999E-2</v>
      </c>
      <c r="E25" s="168">
        <f t="shared" si="0"/>
        <v>0.46650738020973315</v>
      </c>
      <c r="F25" s="169">
        <f t="shared" si="1"/>
        <v>434803.06669868226</v>
      </c>
      <c r="H25" s="164"/>
    </row>
    <row r="26" spans="2:8" x14ac:dyDescent="0.35">
      <c r="B26" s="166">
        <v>9</v>
      </c>
      <c r="C26" s="167">
        <f t="shared" si="2"/>
        <v>896621.50677247834</v>
      </c>
      <c r="D26" s="183">
        <f>IF($C$14&lt;B26,0,Valuation_Model!$C$13)</f>
        <v>-3.7999999999999999E-2</v>
      </c>
      <c r="E26" s="168">
        <f t="shared" si="0"/>
        <v>0.42409761837248466</v>
      </c>
      <c r="F26" s="169">
        <f t="shared" si="1"/>
        <v>380255.04560375668</v>
      </c>
      <c r="H26" s="164"/>
    </row>
    <row r="27" spans="2:8" x14ac:dyDescent="0.35">
      <c r="B27" s="166">
        <v>10</v>
      </c>
      <c r="C27" s="167">
        <f t="shared" si="2"/>
        <v>862549.88951512414</v>
      </c>
      <c r="D27" s="183">
        <f>IF($C$14&lt;B27,0,Valuation_Model!$C$13)</f>
        <v>-3.7999999999999999E-2</v>
      </c>
      <c r="E27" s="168">
        <f t="shared" si="0"/>
        <v>0.38554328942953148</v>
      </c>
      <c r="F27" s="169">
        <f t="shared" si="1"/>
        <v>332550.32170073991</v>
      </c>
      <c r="H27" s="164"/>
    </row>
    <row r="28" spans="2:8" x14ac:dyDescent="0.35">
      <c r="B28" s="166">
        <v>11</v>
      </c>
      <c r="C28" s="167">
        <f t="shared" si="2"/>
        <v>0</v>
      </c>
      <c r="D28" s="183">
        <f>IF($C$14&lt;B28,0,Valuation_Model!$C$13)</f>
        <v>0</v>
      </c>
      <c r="E28" s="168">
        <f t="shared" si="0"/>
        <v>0</v>
      </c>
      <c r="F28" s="169">
        <f t="shared" si="1"/>
        <v>0</v>
      </c>
      <c r="H28" s="164"/>
    </row>
    <row r="29" spans="2:8" x14ac:dyDescent="0.35">
      <c r="B29" s="166">
        <v>12</v>
      </c>
      <c r="C29" s="167">
        <f t="shared" si="2"/>
        <v>0</v>
      </c>
      <c r="D29" s="183">
        <f>IF($C$14&lt;B29,0,Valuation_Model!$C$13)</f>
        <v>0</v>
      </c>
      <c r="E29" s="168">
        <f t="shared" si="0"/>
        <v>0</v>
      </c>
      <c r="F29" s="169">
        <f t="shared" si="1"/>
        <v>0</v>
      </c>
      <c r="H29" s="164"/>
    </row>
    <row r="30" spans="2:8" x14ac:dyDescent="0.35">
      <c r="B30" s="166">
        <v>13</v>
      </c>
      <c r="C30" s="167">
        <f t="shared" si="2"/>
        <v>0</v>
      </c>
      <c r="D30" s="183">
        <f>IF($C$14&lt;B30,0,Valuation_Model!$C$13)</f>
        <v>0</v>
      </c>
      <c r="E30" s="168">
        <f t="shared" si="0"/>
        <v>0</v>
      </c>
      <c r="F30" s="169">
        <f t="shared" si="1"/>
        <v>0</v>
      </c>
      <c r="H30" s="164"/>
    </row>
    <row r="31" spans="2:8" x14ac:dyDescent="0.35">
      <c r="B31" s="166">
        <v>14</v>
      </c>
      <c r="C31" s="167">
        <f t="shared" si="2"/>
        <v>0</v>
      </c>
      <c r="D31" s="183">
        <f>IF($C$14&lt;B31,0,Valuation_Model!$C$13)</f>
        <v>0</v>
      </c>
      <c r="E31" s="168">
        <f t="shared" si="0"/>
        <v>0</v>
      </c>
      <c r="F31" s="169">
        <f t="shared" si="1"/>
        <v>0</v>
      </c>
      <c r="H31" s="164"/>
    </row>
    <row r="32" spans="2:8" x14ac:dyDescent="0.35">
      <c r="B32" s="166">
        <v>15</v>
      </c>
      <c r="C32" s="167">
        <f t="shared" si="2"/>
        <v>0</v>
      </c>
      <c r="D32" s="183">
        <f>IF($C$14&lt;B32,0,Valuation_Model!$C$13)</f>
        <v>0</v>
      </c>
      <c r="E32" s="168">
        <f t="shared" si="0"/>
        <v>0</v>
      </c>
      <c r="F32" s="169">
        <f t="shared" si="1"/>
        <v>0</v>
      </c>
      <c r="H32" s="164"/>
    </row>
    <row r="33" spans="2:8" x14ac:dyDescent="0.35">
      <c r="B33" s="166">
        <v>16</v>
      </c>
      <c r="C33" s="167">
        <f t="shared" si="2"/>
        <v>0</v>
      </c>
      <c r="D33" s="183">
        <f>IF($C$14&lt;B33,0,Valuation_Model!$C$13)</f>
        <v>0</v>
      </c>
      <c r="E33" s="168">
        <f t="shared" si="0"/>
        <v>0</v>
      </c>
      <c r="F33" s="169">
        <f t="shared" si="1"/>
        <v>0</v>
      </c>
      <c r="H33" s="164"/>
    </row>
    <row r="34" spans="2:8" x14ac:dyDescent="0.35">
      <c r="B34" s="166">
        <v>17</v>
      </c>
      <c r="C34" s="167">
        <f t="shared" si="2"/>
        <v>0</v>
      </c>
      <c r="D34" s="183">
        <f>IF($C$14&lt;B34,0,Valuation_Model!$C$13)</f>
        <v>0</v>
      </c>
      <c r="E34" s="168">
        <f t="shared" si="0"/>
        <v>0</v>
      </c>
      <c r="F34" s="169">
        <f t="shared" si="1"/>
        <v>0</v>
      </c>
      <c r="H34" s="164"/>
    </row>
    <row r="35" spans="2:8" x14ac:dyDescent="0.35">
      <c r="B35" s="166">
        <v>18</v>
      </c>
      <c r="C35" s="167">
        <f t="shared" si="2"/>
        <v>0</v>
      </c>
      <c r="D35" s="183">
        <f>IF($C$14&lt;B35,0,Valuation_Model!$C$13)</f>
        <v>0</v>
      </c>
      <c r="E35" s="168">
        <f t="shared" si="0"/>
        <v>0</v>
      </c>
      <c r="F35" s="169">
        <f t="shared" si="1"/>
        <v>0</v>
      </c>
      <c r="H35" s="164"/>
    </row>
    <row r="36" spans="2:8" x14ac:dyDescent="0.35">
      <c r="B36" s="166">
        <v>19</v>
      </c>
      <c r="C36" s="167">
        <f t="shared" si="2"/>
        <v>0</v>
      </c>
      <c r="D36" s="183">
        <f>IF($C$14&lt;B36,0,Valuation_Model!$C$13)</f>
        <v>0</v>
      </c>
      <c r="E36" s="168">
        <f t="shared" si="0"/>
        <v>0</v>
      </c>
      <c r="F36" s="169">
        <f t="shared" si="1"/>
        <v>0</v>
      </c>
      <c r="H36" s="164"/>
    </row>
    <row r="37" spans="2:8" x14ac:dyDescent="0.35">
      <c r="B37" s="166">
        <v>20</v>
      </c>
      <c r="C37" s="167">
        <f t="shared" si="2"/>
        <v>0</v>
      </c>
      <c r="D37" s="183">
        <f>IF($C$14&lt;B37,0,Valuation_Model!$C$13)</f>
        <v>0</v>
      </c>
      <c r="E37" s="168">
        <f t="shared" si="0"/>
        <v>0</v>
      </c>
      <c r="F37" s="169">
        <f t="shared" si="1"/>
        <v>0</v>
      </c>
      <c r="H37" s="164"/>
    </row>
    <row r="38" spans="2:8" x14ac:dyDescent="0.35">
      <c r="B38" s="166">
        <v>21</v>
      </c>
      <c r="C38" s="167">
        <f t="shared" si="2"/>
        <v>0</v>
      </c>
      <c r="D38" s="183">
        <f>IF($C$14&lt;B38,0,Valuation_Model!$C$13)</f>
        <v>0</v>
      </c>
      <c r="E38" s="168">
        <f t="shared" si="0"/>
        <v>0</v>
      </c>
      <c r="F38" s="169">
        <f t="shared" si="1"/>
        <v>0</v>
      </c>
      <c r="H38" s="164"/>
    </row>
    <row r="39" spans="2:8" x14ac:dyDescent="0.35">
      <c r="B39" s="166">
        <v>22</v>
      </c>
      <c r="C39" s="167">
        <f t="shared" si="2"/>
        <v>0</v>
      </c>
      <c r="D39" s="183">
        <f>IF($C$14&lt;B39,0,Valuation_Model!$C$13)</f>
        <v>0</v>
      </c>
      <c r="E39" s="168">
        <f t="shared" si="0"/>
        <v>0</v>
      </c>
      <c r="F39" s="169">
        <f t="shared" si="1"/>
        <v>0</v>
      </c>
      <c r="H39" s="164"/>
    </row>
    <row r="40" spans="2:8" x14ac:dyDescent="0.35">
      <c r="B40" s="166">
        <v>23</v>
      </c>
      <c r="C40" s="167">
        <f t="shared" si="2"/>
        <v>0</v>
      </c>
      <c r="D40" s="183">
        <f>IF($C$14&lt;B40,0,Valuation_Model!$C$13)</f>
        <v>0</v>
      </c>
      <c r="E40" s="168">
        <f t="shared" si="0"/>
        <v>0</v>
      </c>
      <c r="F40" s="169">
        <f t="shared" si="1"/>
        <v>0</v>
      </c>
      <c r="H40" s="164"/>
    </row>
    <row r="41" spans="2:8" x14ac:dyDescent="0.35">
      <c r="B41" s="166">
        <v>24</v>
      </c>
      <c r="C41" s="167">
        <f t="shared" si="2"/>
        <v>0</v>
      </c>
      <c r="D41" s="183">
        <f>IF($C$14&lt;B41,0,Valuation_Model!$C$13)</f>
        <v>0</v>
      </c>
      <c r="E41" s="168">
        <f t="shared" si="0"/>
        <v>0</v>
      </c>
      <c r="F41" s="169">
        <f t="shared" si="1"/>
        <v>0</v>
      </c>
      <c r="H41" s="164"/>
    </row>
    <row r="42" spans="2:8" x14ac:dyDescent="0.35">
      <c r="B42" s="166">
        <v>25</v>
      </c>
      <c r="C42" s="167">
        <f t="shared" si="2"/>
        <v>0</v>
      </c>
      <c r="D42" s="183">
        <f>IF($C$14&lt;B42,0,Valuation_Model!$C$13)</f>
        <v>0</v>
      </c>
      <c r="E42" s="168">
        <f t="shared" si="0"/>
        <v>0</v>
      </c>
      <c r="F42" s="169">
        <f t="shared" si="1"/>
        <v>0</v>
      </c>
      <c r="H42" s="164"/>
    </row>
    <row r="43" spans="2:8" x14ac:dyDescent="0.35">
      <c r="B43" s="166">
        <v>26</v>
      </c>
      <c r="C43" s="167">
        <f t="shared" si="2"/>
        <v>0</v>
      </c>
      <c r="D43" s="183">
        <f>IF($C$14&lt;B43,0,Valuation_Model!$C$13)</f>
        <v>0</v>
      </c>
      <c r="E43" s="168">
        <f t="shared" si="0"/>
        <v>0</v>
      </c>
      <c r="F43" s="169">
        <f t="shared" si="1"/>
        <v>0</v>
      </c>
      <c r="H43" s="164"/>
    </row>
    <row r="44" spans="2:8" x14ac:dyDescent="0.35">
      <c r="B44" s="166">
        <v>27</v>
      </c>
      <c r="C44" s="167">
        <f t="shared" si="2"/>
        <v>0</v>
      </c>
      <c r="D44" s="183">
        <f>IF($C$14&lt;B44,0,Valuation_Model!$C$13)</f>
        <v>0</v>
      </c>
      <c r="E44" s="168">
        <f t="shared" si="0"/>
        <v>0</v>
      </c>
      <c r="F44" s="169">
        <f t="shared" si="1"/>
        <v>0</v>
      </c>
      <c r="H44" s="164"/>
    </row>
    <row r="45" spans="2:8" x14ac:dyDescent="0.35">
      <c r="B45" s="166">
        <v>28</v>
      </c>
      <c r="C45" s="167">
        <f t="shared" si="2"/>
        <v>0</v>
      </c>
      <c r="D45" s="183">
        <f>IF($C$14&lt;B45,0,Valuation_Model!$C$13)</f>
        <v>0</v>
      </c>
      <c r="E45" s="168">
        <f t="shared" si="0"/>
        <v>0</v>
      </c>
      <c r="F45" s="169">
        <f t="shared" si="1"/>
        <v>0</v>
      </c>
      <c r="H45" s="164"/>
    </row>
    <row r="46" spans="2:8" x14ac:dyDescent="0.35">
      <c r="B46" s="166">
        <v>29</v>
      </c>
      <c r="C46" s="167">
        <f t="shared" si="2"/>
        <v>0</v>
      </c>
      <c r="D46" s="183">
        <f>IF($C$14&lt;B46,0,Valuation_Model!$C$13)</f>
        <v>0</v>
      </c>
      <c r="E46" s="168">
        <f t="shared" si="0"/>
        <v>0</v>
      </c>
      <c r="F46" s="169">
        <f t="shared" si="1"/>
        <v>0</v>
      </c>
      <c r="H46" s="164"/>
    </row>
    <row r="47" spans="2:8" x14ac:dyDescent="0.35">
      <c r="B47" s="166">
        <v>30</v>
      </c>
      <c r="C47" s="167">
        <f t="shared" si="2"/>
        <v>0</v>
      </c>
      <c r="D47" s="183">
        <f>IF($C$14&lt;B47,0,Valuation_Model!$C$13)</f>
        <v>0</v>
      </c>
      <c r="E47" s="168">
        <f t="shared" si="0"/>
        <v>0</v>
      </c>
      <c r="F47" s="169">
        <f t="shared" si="1"/>
        <v>0</v>
      </c>
      <c r="H47" s="164"/>
    </row>
    <row r="48" spans="2:8" x14ac:dyDescent="0.35">
      <c r="B48" s="170" t="s">
        <v>272</v>
      </c>
      <c r="C48" s="167">
        <f>C$18*(1+Terminal_Growth)^$C$14/Equity_Cost</f>
        <v>12223865.861703476</v>
      </c>
      <c r="D48" s="184">
        <f>Terminal_Growth</f>
        <v>0</v>
      </c>
      <c r="E48" s="168">
        <f>1/(1+Equity_Cost)^C14</f>
        <v>0.38554328942953148</v>
      </c>
      <c r="F48" s="169">
        <f t="shared" si="1"/>
        <v>4712829.4538665125</v>
      </c>
      <c r="H48" s="164"/>
    </row>
    <row r="49" spans="2:8" x14ac:dyDescent="0.35">
      <c r="C49" s="158"/>
      <c r="E49" s="171" t="s">
        <v>228</v>
      </c>
      <c r="F49" s="182">
        <f>SUM(F18:F48)</f>
        <v>11252490.154549377</v>
      </c>
      <c r="H49" s="164"/>
    </row>
    <row r="50" spans="2:8" x14ac:dyDescent="0.35">
      <c r="C50" s="158"/>
      <c r="H50" s="164"/>
    </row>
    <row r="51" spans="2:8" ht="13.15" x14ac:dyDescent="0.35">
      <c r="B51" s="163" t="s">
        <v>270</v>
      </c>
      <c r="C51" s="181"/>
      <c r="D51" s="181"/>
      <c r="E51" s="161"/>
      <c r="F51" s="161"/>
      <c r="H51" s="164"/>
    </row>
    <row r="52" spans="2:8" ht="13.15" x14ac:dyDescent="0.4">
      <c r="B52" s="177">
        <f>F49</f>
        <v>11252490.154549377</v>
      </c>
      <c r="C52" s="175">
        <f>C74</f>
        <v>-0.15</v>
      </c>
      <c r="D52" s="175">
        <f>C73</f>
        <v>0</v>
      </c>
      <c r="E52" s="175">
        <f>C72</f>
        <v>0.03</v>
      </c>
      <c r="F52" s="175">
        <f>C71</f>
        <v>0.03</v>
      </c>
      <c r="H52" s="164"/>
    </row>
    <row r="53" spans="2:8" ht="13.15" x14ac:dyDescent="0.4">
      <c r="B53" s="188">
        <v>5</v>
      </c>
      <c r="C53" s="167">
        <f t="dataTable" ref="C53:F58" dt2D="1" dtr="1" r1="C13" r2="C14"/>
        <v>9836413.3965352103</v>
      </c>
      <c r="D53" s="167">
        <v>12706721.269962028</v>
      </c>
      <c r="E53" s="167">
        <v>13365142.580878742</v>
      </c>
      <c r="F53" s="167">
        <v>13365142.580878742</v>
      </c>
      <c r="H53" s="164"/>
    </row>
    <row r="54" spans="2:8" ht="13.15" x14ac:dyDescent="0.4">
      <c r="B54" s="188">
        <v>10</v>
      </c>
      <c r="C54" s="167">
        <v>8156502.4549473226</v>
      </c>
      <c r="D54" s="167">
        <v>12706721.269962028</v>
      </c>
      <c r="E54" s="167">
        <v>14055351.524803255</v>
      </c>
      <c r="F54" s="167">
        <v>14055351.524803255</v>
      </c>
      <c r="H54" s="164"/>
    </row>
    <row r="55" spans="2:8" ht="13.15" x14ac:dyDescent="0.4">
      <c r="B55" s="188">
        <v>15</v>
      </c>
      <c r="C55" s="167">
        <v>6815544.6738921013</v>
      </c>
      <c r="D55" s="167">
        <v>12706721.269962026</v>
      </c>
      <c r="E55" s="167">
        <v>14856838.36452163</v>
      </c>
      <c r="F55" s="167">
        <v>14856838.36452163</v>
      </c>
      <c r="H55" s="164"/>
    </row>
    <row r="56" spans="2:8" ht="13.15" x14ac:dyDescent="0.4">
      <c r="B56" s="189">
        <v>20</v>
      </c>
      <c r="C56" s="167">
        <v>5900851.7022183863</v>
      </c>
      <c r="D56" s="167">
        <v>12706721.269962026</v>
      </c>
      <c r="E56" s="167">
        <v>15622934.15890887</v>
      </c>
      <c r="F56" s="167">
        <v>15622934.15890887</v>
      </c>
      <c r="H56" s="164"/>
    </row>
    <row r="57" spans="2:8" ht="13.15" x14ac:dyDescent="0.4">
      <c r="B57" s="189">
        <v>25</v>
      </c>
      <c r="C57" s="167">
        <v>5310290.2851397078</v>
      </c>
      <c r="D57" s="167">
        <v>12706721.269962026</v>
      </c>
      <c r="E57" s="167">
        <v>16291844.094064875</v>
      </c>
      <c r="F57" s="167">
        <v>16291844.094064875</v>
      </c>
      <c r="H57" s="164"/>
    </row>
    <row r="58" spans="2:8" ht="13.15" x14ac:dyDescent="0.4">
      <c r="B58" s="189">
        <v>30</v>
      </c>
      <c r="C58" s="167">
        <v>4937369.1785926893</v>
      </c>
      <c r="D58" s="167">
        <v>12706721.269962024</v>
      </c>
      <c r="E58" s="167">
        <v>16846271.166623656</v>
      </c>
      <c r="F58" s="167">
        <v>16846271.166623656</v>
      </c>
      <c r="H58" s="164"/>
    </row>
    <row r="59" spans="2:8" x14ac:dyDescent="0.35">
      <c r="C59" s="158"/>
      <c r="D59" s="158"/>
      <c r="E59" s="158"/>
      <c r="F59" s="158"/>
      <c r="H59" s="164"/>
    </row>
    <row r="60" spans="2:8" ht="13.15" x14ac:dyDescent="0.35">
      <c r="B60" s="163" t="s">
        <v>271</v>
      </c>
      <c r="C60" s="158"/>
      <c r="D60" s="158"/>
      <c r="E60" s="158"/>
      <c r="F60" s="158"/>
      <c r="H60" s="164"/>
    </row>
    <row r="61" spans="2:8" ht="13.15" x14ac:dyDescent="0.4">
      <c r="C61" s="176">
        <f>C52</f>
        <v>-0.15</v>
      </c>
      <c r="D61" s="176">
        <f>D52</f>
        <v>0</v>
      </c>
      <c r="E61" s="176">
        <f>E52</f>
        <v>0.03</v>
      </c>
      <c r="F61" s="176">
        <f>F52</f>
        <v>0.03</v>
      </c>
      <c r="H61" s="164"/>
    </row>
    <row r="62" spans="2:8" ht="13.15" x14ac:dyDescent="0.4">
      <c r="B62" s="188">
        <v>0</v>
      </c>
      <c r="C62" s="168">
        <f>D62</f>
        <v>18.176897600606146</v>
      </c>
      <c r="D62" s="168">
        <f>E62</f>
        <v>18.176897600606146</v>
      </c>
      <c r="E62" s="186">
        <f>C9</f>
        <v>18.176897600606146</v>
      </c>
      <c r="F62" s="168">
        <f>E62</f>
        <v>18.176897600606146</v>
      </c>
      <c r="H62" s="164"/>
    </row>
    <row r="63" spans="2:8" ht="13.15" x14ac:dyDescent="0.4">
      <c r="B63" s="188">
        <f t="shared" ref="B63:B68" si="3">B53</f>
        <v>5</v>
      </c>
      <c r="C63" s="168">
        <f t="shared" ref="C63:F68" si="4">(C53-$C$7)/Common_Shares*$C$3</f>
        <v>13.288003893211801</v>
      </c>
      <c r="D63" s="186">
        <f t="shared" si="4"/>
        <v>18.176897600606136</v>
      </c>
      <c r="E63" s="168">
        <f t="shared" si="4"/>
        <v>19.298363291989268</v>
      </c>
      <c r="F63" s="168">
        <f t="shared" si="4"/>
        <v>19.298363291989268</v>
      </c>
      <c r="H63" s="164"/>
    </row>
    <row r="64" spans="2:8" ht="13.15" x14ac:dyDescent="0.4">
      <c r="B64" s="188">
        <f t="shared" si="3"/>
        <v>10</v>
      </c>
      <c r="C64" s="168">
        <f t="shared" si="4"/>
        <v>10.426671104716659</v>
      </c>
      <c r="D64" s="168">
        <f t="shared" si="4"/>
        <v>18.176897600606136</v>
      </c>
      <c r="E64" s="168">
        <f t="shared" si="4"/>
        <v>20.473971732456405</v>
      </c>
      <c r="F64" s="168">
        <f t="shared" si="4"/>
        <v>20.473971732456405</v>
      </c>
      <c r="H64" s="164"/>
    </row>
    <row r="65" spans="2:8" ht="13.15" x14ac:dyDescent="0.4">
      <c r="B65" s="188">
        <f t="shared" si="3"/>
        <v>15</v>
      </c>
      <c r="C65" s="168">
        <f t="shared" si="4"/>
        <v>8.1426652256346106</v>
      </c>
      <c r="D65" s="168">
        <f t="shared" si="4"/>
        <v>18.176897600606136</v>
      </c>
      <c r="E65" s="168">
        <f t="shared" si="4"/>
        <v>21.83911587031519</v>
      </c>
      <c r="F65" s="168">
        <f t="shared" si="4"/>
        <v>21.83911587031519</v>
      </c>
      <c r="H65" s="164"/>
    </row>
    <row r="66" spans="2:8" ht="13.15" x14ac:dyDescent="0.4">
      <c r="B66" s="189">
        <f t="shared" si="3"/>
        <v>20</v>
      </c>
      <c r="C66" s="168">
        <f t="shared" si="4"/>
        <v>6.5847010940466664</v>
      </c>
      <c r="D66" s="168">
        <f t="shared" si="4"/>
        <v>18.176897600606136</v>
      </c>
      <c r="E66" s="168">
        <f t="shared" si="4"/>
        <v>23.14397969454653</v>
      </c>
      <c r="F66" s="168">
        <f t="shared" si="4"/>
        <v>23.14397969454653</v>
      </c>
      <c r="H66" s="164"/>
    </row>
    <row r="67" spans="2:8" ht="13.15" x14ac:dyDescent="0.4">
      <c r="B67" s="189">
        <f t="shared" si="3"/>
        <v>25</v>
      </c>
      <c r="C67" s="168">
        <f t="shared" si="4"/>
        <v>5.5788187555995172</v>
      </c>
      <c r="D67" s="168">
        <f t="shared" si="4"/>
        <v>18.176897600606136</v>
      </c>
      <c r="E67" s="168">
        <f t="shared" si="4"/>
        <v>24.283310287990314</v>
      </c>
      <c r="F67" s="168">
        <f t="shared" si="4"/>
        <v>24.283310287990314</v>
      </c>
    </row>
    <row r="68" spans="2:8" ht="13.15" x14ac:dyDescent="0.4">
      <c r="B68" s="189">
        <f t="shared" si="3"/>
        <v>30</v>
      </c>
      <c r="C68" s="168">
        <f t="shared" si="4"/>
        <v>4.9436354472056356</v>
      </c>
      <c r="D68" s="168">
        <f t="shared" si="4"/>
        <v>18.176897600606132</v>
      </c>
      <c r="E68" s="168">
        <f t="shared" si="4"/>
        <v>25.227646277636481</v>
      </c>
      <c r="F68" s="168">
        <f t="shared" si="4"/>
        <v>25.227646277636481</v>
      </c>
    </row>
    <row r="70" spans="2:8" ht="13.15" x14ac:dyDescent="0.4">
      <c r="B70" s="172" t="s">
        <v>248</v>
      </c>
      <c r="C70" s="172" t="s">
        <v>273</v>
      </c>
      <c r="D70" s="172" t="s">
        <v>242</v>
      </c>
      <c r="E70" s="173" t="s">
        <v>243</v>
      </c>
      <c r="F70" s="173" t="s">
        <v>251</v>
      </c>
    </row>
    <row r="71" spans="2:8" x14ac:dyDescent="0.35">
      <c r="B71" s="171" t="s">
        <v>245</v>
      </c>
      <c r="C71" s="187">
        <f>Scenarios!C51</f>
        <v>0.03</v>
      </c>
      <c r="D71" s="190">
        <f>Scenarios!C50</f>
        <v>10</v>
      </c>
      <c r="E71" s="180">
        <f>INDEX(C$62:F$68, MATCH(D71, B$62:B$68, 0), MATCH(C71, C$61:F$61, 0))</f>
        <v>20.473971732456405</v>
      </c>
      <c r="F71" s="187"/>
      <c r="H71" s="164" t="s">
        <v>235</v>
      </c>
    </row>
    <row r="72" spans="2:8" x14ac:dyDescent="0.35">
      <c r="B72" s="171" t="s">
        <v>246</v>
      </c>
      <c r="C72" s="187">
        <f>Scenarios!C39</f>
        <v>0.03</v>
      </c>
      <c r="D72" s="190">
        <f>Scenarios!C38</f>
        <v>5</v>
      </c>
      <c r="E72" s="180">
        <f>INDEX(C$62:F$68, MATCH(D72, B$62:B$68, 0), MATCH(C72, C$61:F$61, 0))</f>
        <v>19.298363291989268</v>
      </c>
      <c r="F72" s="187"/>
      <c r="H72" s="164" t="s">
        <v>234</v>
      </c>
    </row>
    <row r="73" spans="2:8" x14ac:dyDescent="0.35">
      <c r="B73" s="171" t="s">
        <v>244</v>
      </c>
      <c r="C73" s="187">
        <f>Scenarios!C45</f>
        <v>0</v>
      </c>
      <c r="D73" s="190">
        <f>Scenarios!C44</f>
        <v>5</v>
      </c>
      <c r="E73" s="180">
        <f>INDEX(C$62:F$68, MATCH(D73, B$62:B$68, 0), MATCH(C73, C$61:F$61, 0))</f>
        <v>18.176897600606136</v>
      </c>
      <c r="F73" s="187"/>
    </row>
    <row r="74" spans="2:8" x14ac:dyDescent="0.35">
      <c r="B74" s="171" t="s">
        <v>247</v>
      </c>
      <c r="C74" s="187">
        <f>Scenarios!C57</f>
        <v>-0.15</v>
      </c>
      <c r="D74" s="190">
        <f>Scenarios!C56</f>
        <v>5</v>
      </c>
      <c r="E74" s="180">
        <f>INDEX(C$62:F$68, MATCH(D74, B$62:B$68, 0), MATCH(C74, C$61:F$61, 0))</f>
        <v>13.288003893211801</v>
      </c>
      <c r="F74" s="187"/>
      <c r="H74" s="164" t="s">
        <v>233</v>
      </c>
    </row>
    <row r="75" spans="2:8" x14ac:dyDescent="0.35">
      <c r="B75" s="203" t="str">
        <f>IF(VLOOKUP("No Growth",B71:E74,4,FALSE)&gt;VLOOKUP("Base",B71:E74,4,FALSE),"Note: the No Growth value being higher than the Base or Optimistic values is unusual.","OK")</f>
        <v>OK</v>
      </c>
      <c r="C75" s="203"/>
      <c r="D75" s="203"/>
      <c r="E75" s="203"/>
      <c r="F75" s="204"/>
    </row>
    <row r="88" spans="3:3" x14ac:dyDescent="0.35">
      <c r="C88" s="159"/>
    </row>
    <row r="89" spans="3:3" x14ac:dyDescent="0.35">
      <c r="C89" s="159"/>
    </row>
    <row r="90" spans="3:3" x14ac:dyDescent="0.35">
      <c r="C90" s="159"/>
    </row>
  </sheetData>
  <autoFilter ref="B70:F70" xr:uid="{D3EAD7ED-D484-47B2-9C7C-1D1BCBEAE5A9}">
    <sortState xmlns:xlrd2="http://schemas.microsoft.com/office/spreadsheetml/2017/richdata2" ref="B71:F75">
      <sortCondition descending="1" ref="E70"/>
    </sortState>
  </autoFilter>
  <phoneticPr fontId="29" type="noConversion"/>
  <conditionalFormatting sqref="C18:F47">
    <cfRule type="cellIs" dxfId="3" priority="3" operator="equal">
      <formula>0</formula>
    </cfRule>
  </conditionalFormatting>
  <conditionalFormatting sqref="C63:F68">
    <cfRule type="expression" dxfId="2" priority="8">
      <formula>ISNUMBER(MATCH(C63, $E$71:$E$74, 0))</formula>
    </cfRule>
  </conditionalFormatting>
  <conditionalFormatting sqref="E62">
    <cfRule type="expression" dxfId="1" priority="1">
      <formula>ISNUMBER(MATCH(E62, $E$71:$E$74, 0))</formula>
    </cfRule>
  </conditionalFormatting>
  <dataValidations count="1">
    <dataValidation type="list" allowBlank="1" showInputMessage="1" showErrorMessage="1" sqref="C14" xr:uid="{A06882BF-7451-4B05-ADA9-B8AC5ACC7F23}">
      <formula1>$B$53:$B$58</formula1>
    </dataValidation>
  </dataValidations>
  <pageMargins left="0.25" right="0.25" top="0.75" bottom="0.75" header="0.3" footer="0.3"/>
  <pageSetup paperSize="9" scale="59" fitToHeight="0"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cellIs" priority="10" operator="lessThan" id="{00000000-000E-0000-0400-000007000000}">
            <xm:f>Scenarios!$C$29</xm:f>
            <x14:dxf>
              <font>
                <color rgb="FF006100"/>
              </font>
              <fill>
                <patternFill>
                  <bgColor rgb="FFC6EFCE"/>
                </patternFill>
              </fill>
            </x14:dxf>
          </x14:cfRule>
          <xm:sqref>E71:E74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77"/>
  <sheetViews>
    <sheetView showGridLines="0" tabSelected="1" topLeftCell="A16" zoomScale="70" zoomScaleNormal="70" workbookViewId="0">
      <selection activeCell="B51" sqref="B51"/>
    </sheetView>
  </sheetViews>
  <sheetFormatPr defaultRowHeight="12.75" x14ac:dyDescent="0.35"/>
  <cols>
    <col min="1" max="1" width="2.59765625" customWidth="1"/>
    <col min="2" max="2" width="22.59765625" customWidth="1"/>
    <col min="3" max="4" width="10.59765625" customWidth="1"/>
    <col min="5" max="5" width="83.06640625" customWidth="1"/>
  </cols>
  <sheetData>
    <row r="2" spans="2:7" ht="13.9" x14ac:dyDescent="0.45">
      <c r="B2" s="39" t="s">
        <v>293</v>
      </c>
      <c r="C2" s="40"/>
      <c r="D2" s="40"/>
      <c r="E2" s="40"/>
      <c r="F2" s="40"/>
      <c r="G2" s="40"/>
    </row>
    <row r="3" spans="2:7" ht="13.15" x14ac:dyDescent="0.4">
      <c r="B3" s="209" t="s">
        <v>307</v>
      </c>
    </row>
    <row r="4" spans="2:7" x14ac:dyDescent="0.35">
      <c r="B4" s="198" t="s">
        <v>296</v>
      </c>
      <c r="C4" s="164">
        <v>4</v>
      </c>
      <c r="D4" s="164"/>
      <c r="E4" s="138" t="s">
        <v>309</v>
      </c>
    </row>
    <row r="6" spans="2:7" ht="13.15" x14ac:dyDescent="0.4">
      <c r="B6" s="209" t="s">
        <v>148</v>
      </c>
      <c r="C6" s="146">
        <f>Valuation_Model!C3</f>
        <v>1000</v>
      </c>
      <c r="E6" s="138" t="s">
        <v>316</v>
      </c>
    </row>
    <row r="7" spans="2:7" x14ac:dyDescent="0.35">
      <c r="B7" s="138" t="s">
        <v>313</v>
      </c>
      <c r="C7" s="158">
        <f>Normalized_FCF!G20</f>
        <v>1554342</v>
      </c>
      <c r="E7" s="224" t="s">
        <v>315</v>
      </c>
    </row>
    <row r="8" spans="2:7" x14ac:dyDescent="0.35">
      <c r="B8" s="138" t="s">
        <v>136</v>
      </c>
      <c r="C8" s="158">
        <f>Normalized_FCF!C20</f>
        <v>1270672.1269962033</v>
      </c>
      <c r="E8" s="225"/>
    </row>
    <row r="9" spans="2:7" x14ac:dyDescent="0.35">
      <c r="E9" s="225"/>
    </row>
    <row r="10" spans="2:7" ht="13.15" x14ac:dyDescent="0.4">
      <c r="B10" s="209" t="s">
        <v>297</v>
      </c>
      <c r="E10" s="225"/>
    </row>
    <row r="11" spans="2:7" x14ac:dyDescent="0.35">
      <c r="B11" s="162" t="s">
        <v>295</v>
      </c>
      <c r="C11" s="208">
        <f>AVERAGE(Normalized_FCF!G42:INDEX(Normalized_FCF!G42:Q42, $C$4))</f>
        <v>0.10334930065770259</v>
      </c>
      <c r="D11" s="208"/>
      <c r="E11" s="225"/>
    </row>
    <row r="12" spans="2:7" x14ac:dyDescent="0.35">
      <c r="B12" s="193" t="s">
        <v>294</v>
      </c>
      <c r="E12" s="225"/>
    </row>
    <row r="13" spans="2:7" x14ac:dyDescent="0.35">
      <c r="B13" s="138" t="s">
        <v>175</v>
      </c>
      <c r="E13" s="225"/>
    </row>
    <row r="15" spans="2:7" ht="13.15" x14ac:dyDescent="0.4">
      <c r="B15" s="209" t="s">
        <v>298</v>
      </c>
    </row>
    <row r="16" spans="2:7" x14ac:dyDescent="0.35">
      <c r="B16" s="138" t="s">
        <v>82</v>
      </c>
    </row>
    <row r="17" spans="2:7" x14ac:dyDescent="0.35">
      <c r="B17" s="193" t="s">
        <v>294</v>
      </c>
    </row>
    <row r="19" spans="2:7" ht="13.9" x14ac:dyDescent="0.45">
      <c r="B19" s="39" t="s">
        <v>303</v>
      </c>
      <c r="C19" s="40"/>
      <c r="D19" s="40"/>
      <c r="E19" s="40"/>
      <c r="F19" s="40"/>
      <c r="G19" s="40"/>
    </row>
    <row r="20" spans="2:7" ht="13.15" x14ac:dyDescent="0.4">
      <c r="B20" s="151" t="s">
        <v>302</v>
      </c>
      <c r="E20" s="209" t="s">
        <v>308</v>
      </c>
    </row>
    <row r="21" spans="2:7" x14ac:dyDescent="0.35">
      <c r="B21" s="138" t="s">
        <v>243</v>
      </c>
      <c r="C21" s="210">
        <f>Valuation_Model!E73</f>
        <v>18.176897600606136</v>
      </c>
      <c r="D21" t="str">
        <f>Reporting_currency</f>
        <v>HKD</v>
      </c>
      <c r="E21" s="221" t="s">
        <v>310</v>
      </c>
    </row>
    <row r="23" spans="2:7" ht="13.15" x14ac:dyDescent="0.4">
      <c r="B23" s="151" t="s">
        <v>301</v>
      </c>
      <c r="E23" s="223"/>
    </row>
    <row r="24" spans="2:7" ht="12.75" customHeight="1" x14ac:dyDescent="0.35">
      <c r="B24" s="198" t="s">
        <v>274</v>
      </c>
      <c r="C24" s="196">
        <v>10</v>
      </c>
      <c r="D24" s="196"/>
      <c r="E24" s="226"/>
    </row>
    <row r="25" spans="2:7" x14ac:dyDescent="0.35">
      <c r="B25" s="162" t="s">
        <v>275</v>
      </c>
      <c r="C25" s="197">
        <v>-3.7999999999999999E-2</v>
      </c>
      <c r="D25" s="197"/>
      <c r="E25" s="226"/>
    </row>
    <row r="26" spans="2:7" x14ac:dyDescent="0.35">
      <c r="B26" s="138" t="s">
        <v>243</v>
      </c>
      <c r="C26" s="210">
        <f>Valuation_Model!C15</f>
        <v>15.699957264324397</v>
      </c>
      <c r="D26" s="210"/>
      <c r="E26" s="226"/>
    </row>
    <row r="28" spans="2:7" ht="13.15" x14ac:dyDescent="0.4">
      <c r="B28" s="151" t="s">
        <v>278</v>
      </c>
      <c r="C28" s="200"/>
    </row>
    <row r="29" spans="2:7" x14ac:dyDescent="0.35">
      <c r="B29" s="138" t="s">
        <v>249</v>
      </c>
      <c r="C29">
        <f>Market_Price</f>
        <v>15.68</v>
      </c>
    </row>
    <row r="30" spans="2:7" x14ac:dyDescent="0.35">
      <c r="B30" s="138" t="s">
        <v>280</v>
      </c>
      <c r="C30">
        <v>13</v>
      </c>
    </row>
    <row r="31" spans="2:7" x14ac:dyDescent="0.35">
      <c r="B31" s="138" t="s">
        <v>277</v>
      </c>
    </row>
    <row r="33" spans="2:7" ht="13.9" x14ac:dyDescent="0.45">
      <c r="B33" s="39" t="s">
        <v>304</v>
      </c>
      <c r="C33" s="40"/>
      <c r="D33" s="40"/>
      <c r="E33" s="40"/>
      <c r="F33" s="40"/>
      <c r="G33" s="40"/>
    </row>
    <row r="34" spans="2:7" ht="13.15" x14ac:dyDescent="0.4">
      <c r="B34" s="151" t="s">
        <v>311</v>
      </c>
    </row>
    <row r="35" spans="2:7" x14ac:dyDescent="0.35">
      <c r="B35" s="198" t="s">
        <v>274</v>
      </c>
      <c r="C35" s="196">
        <v>5</v>
      </c>
      <c r="E35" s="138" t="s">
        <v>312</v>
      </c>
    </row>
    <row r="37" spans="2:7" ht="13.15" x14ac:dyDescent="0.4">
      <c r="B37" s="209" t="s">
        <v>59</v>
      </c>
      <c r="E37" s="209" t="s">
        <v>308</v>
      </c>
    </row>
    <row r="38" spans="2:7" x14ac:dyDescent="0.35">
      <c r="B38" s="198" t="s">
        <v>274</v>
      </c>
      <c r="C38" s="216">
        <f>C35</f>
        <v>5</v>
      </c>
      <c r="D38" s="213"/>
      <c r="E38" s="225"/>
    </row>
    <row r="39" spans="2:7" x14ac:dyDescent="0.35">
      <c r="B39" s="162" t="s">
        <v>275</v>
      </c>
      <c r="C39" s="214">
        <v>0.03</v>
      </c>
      <c r="D39" s="214"/>
      <c r="E39" s="225"/>
    </row>
    <row r="40" spans="2:7" x14ac:dyDescent="0.35">
      <c r="B40" s="138" t="s">
        <v>243</v>
      </c>
      <c r="C40" s="210">
        <f>Valuation_Model!E72</f>
        <v>19.298363291989268</v>
      </c>
      <c r="D40" s="210"/>
      <c r="E40" s="225"/>
    </row>
    <row r="41" spans="2:7" x14ac:dyDescent="0.35">
      <c r="B41" s="138" t="s">
        <v>305</v>
      </c>
      <c r="C41" s="215">
        <v>0.55000000000000004</v>
      </c>
      <c r="D41" s="215"/>
      <c r="E41" s="225"/>
    </row>
    <row r="43" spans="2:7" ht="13.15" x14ac:dyDescent="0.4">
      <c r="B43" s="209" t="s">
        <v>60</v>
      </c>
      <c r="E43" s="209" t="s">
        <v>308</v>
      </c>
    </row>
    <row r="44" spans="2:7" x14ac:dyDescent="0.35">
      <c r="B44" s="198" t="s">
        <v>274</v>
      </c>
      <c r="C44" s="216">
        <f>C35</f>
        <v>5</v>
      </c>
      <c r="D44" s="213"/>
      <c r="E44" s="225"/>
    </row>
    <row r="45" spans="2:7" x14ac:dyDescent="0.35">
      <c r="B45" s="162" t="s">
        <v>275</v>
      </c>
      <c r="C45" s="214">
        <v>0</v>
      </c>
      <c r="D45" s="214"/>
      <c r="E45" s="225"/>
    </row>
    <row r="46" spans="2:7" x14ac:dyDescent="0.35">
      <c r="B46" s="138" t="s">
        <v>243</v>
      </c>
      <c r="C46" s="210">
        <f>Valuation_Model!E73</f>
        <v>18.176897600606136</v>
      </c>
      <c r="D46" t="str">
        <f>Reporting_currency</f>
        <v>HKD</v>
      </c>
      <c r="E46" s="225"/>
    </row>
    <row r="47" spans="2:7" x14ac:dyDescent="0.35">
      <c r="B47" s="138" t="s">
        <v>305</v>
      </c>
      <c r="C47" s="215">
        <v>0.15</v>
      </c>
      <c r="D47" s="215"/>
      <c r="E47" s="225"/>
    </row>
    <row r="49" spans="2:7" ht="13.15" x14ac:dyDescent="0.4">
      <c r="B49" s="209" t="s">
        <v>300</v>
      </c>
      <c r="E49" s="209" t="s">
        <v>308</v>
      </c>
    </row>
    <row r="50" spans="2:7" x14ac:dyDescent="0.35">
      <c r="B50" s="198" t="s">
        <v>274</v>
      </c>
      <c r="C50" s="213">
        <v>10</v>
      </c>
      <c r="D50" s="213"/>
      <c r="E50" s="225"/>
    </row>
    <row r="51" spans="2:7" x14ac:dyDescent="0.35">
      <c r="B51" s="162" t="s">
        <v>275</v>
      </c>
      <c r="C51" s="214">
        <v>0.03</v>
      </c>
      <c r="D51" s="214"/>
      <c r="E51" s="225"/>
    </row>
    <row r="52" spans="2:7" x14ac:dyDescent="0.35">
      <c r="B52" s="138" t="s">
        <v>243</v>
      </c>
      <c r="C52" s="210">
        <f>Valuation_Model!E71</f>
        <v>20.473971732456405</v>
      </c>
      <c r="D52" t="str">
        <f>Reporting_currency</f>
        <v>HKD</v>
      </c>
      <c r="E52" s="225"/>
    </row>
    <row r="53" spans="2:7" x14ac:dyDescent="0.35">
      <c r="B53" s="138" t="s">
        <v>305</v>
      </c>
      <c r="C53" s="215">
        <v>0.2</v>
      </c>
      <c r="D53" s="215"/>
      <c r="E53" s="225"/>
    </row>
    <row r="55" spans="2:7" ht="13.15" x14ac:dyDescent="0.4">
      <c r="B55" s="209" t="s">
        <v>317</v>
      </c>
      <c r="E55" s="209" t="s">
        <v>308</v>
      </c>
    </row>
    <row r="56" spans="2:7" x14ac:dyDescent="0.35">
      <c r="B56" s="198" t="s">
        <v>274</v>
      </c>
      <c r="C56" s="216">
        <f>C35</f>
        <v>5</v>
      </c>
      <c r="D56" s="213"/>
      <c r="E56" s="224" t="s">
        <v>318</v>
      </c>
    </row>
    <row r="57" spans="2:7" x14ac:dyDescent="0.35">
      <c r="B57" s="162" t="s">
        <v>275</v>
      </c>
      <c r="C57" s="197">
        <v>-0.15</v>
      </c>
      <c r="D57" s="214"/>
      <c r="E57" s="225"/>
    </row>
    <row r="58" spans="2:7" x14ac:dyDescent="0.35">
      <c r="B58" s="138" t="s">
        <v>243</v>
      </c>
      <c r="C58" s="210">
        <f>Valuation_Model!E74</f>
        <v>13.288003893211801</v>
      </c>
      <c r="D58" t="str">
        <f>Reporting_currency</f>
        <v>HKD</v>
      </c>
      <c r="E58" s="225"/>
    </row>
    <row r="59" spans="2:7" x14ac:dyDescent="0.35">
      <c r="B59" s="138" t="s">
        <v>305</v>
      </c>
      <c r="C59" s="218">
        <f>1-C41-C47-C53</f>
        <v>9.9999999999999922E-2</v>
      </c>
      <c r="D59" s="215"/>
      <c r="E59" s="225"/>
    </row>
    <row r="61" spans="2:7" ht="13.15" x14ac:dyDescent="0.4">
      <c r="B61" s="138" t="s">
        <v>252</v>
      </c>
      <c r="C61" s="202">
        <f>C41*C40+C59*C58+C46*C47+C53*C52</f>
        <v>18.764229186497477</v>
      </c>
      <c r="D61" t="str">
        <f>Reporting_currency</f>
        <v>HKD</v>
      </c>
    </row>
    <row r="63" spans="2:7" ht="13.9" x14ac:dyDescent="0.45">
      <c r="B63" s="39" t="s">
        <v>268</v>
      </c>
      <c r="C63" s="40"/>
      <c r="D63" s="40"/>
      <c r="E63" s="40"/>
      <c r="F63" s="40"/>
      <c r="G63" s="40"/>
    </row>
    <row r="64" spans="2:7" ht="13.15" x14ac:dyDescent="0.4">
      <c r="B64" s="151" t="s">
        <v>263</v>
      </c>
      <c r="E64" s="151" t="s">
        <v>260</v>
      </c>
    </row>
    <row r="65" spans="2:9" x14ac:dyDescent="0.35">
      <c r="B65" s="138" t="s">
        <v>281</v>
      </c>
      <c r="C65" s="218">
        <f>Thesis!C68</f>
        <v>0.2</v>
      </c>
      <c r="D65" s="178"/>
      <c r="E65" s="138" t="s">
        <v>264</v>
      </c>
      <c r="F65" s="216">
        <f>Thesis!C67</f>
        <v>3</v>
      </c>
    </row>
    <row r="66" spans="2:9" x14ac:dyDescent="0.35">
      <c r="B66" s="138" t="s">
        <v>241</v>
      </c>
      <c r="C66">
        <f>Normalized_FCF!C91</f>
        <v>1.3599999999999999</v>
      </c>
      <c r="D66" t="str">
        <f>Reporting_currency</f>
        <v>HKD</v>
      </c>
      <c r="E66" s="138" t="s">
        <v>262</v>
      </c>
    </row>
    <row r="68" spans="2:9" ht="13.15" x14ac:dyDescent="0.4">
      <c r="B68" s="151" t="s">
        <v>279</v>
      </c>
    </row>
    <row r="69" spans="2:9" x14ac:dyDescent="0.35">
      <c r="B69" s="138" t="s">
        <v>253</v>
      </c>
      <c r="C69" s="160">
        <f>PV(C65, F65, -C66, 0)</f>
        <v>2.8648148148148143</v>
      </c>
      <c r="D69" s="160"/>
      <c r="E69" s="138"/>
    </row>
    <row r="70" spans="2:9" x14ac:dyDescent="0.35">
      <c r="B70" s="138" t="s">
        <v>255</v>
      </c>
      <c r="C70" s="160">
        <f>C61/(1+C65)^F65</f>
        <v>10.858928927371226</v>
      </c>
      <c r="D70" s="160"/>
    </row>
    <row r="71" spans="2:9" ht="13.15" x14ac:dyDescent="0.4">
      <c r="B71" s="153" t="s">
        <v>229</v>
      </c>
      <c r="C71" s="154">
        <f>C69+C70</f>
        <v>13.72374374218604</v>
      </c>
      <c r="D71" t="str">
        <f>Reporting_currency</f>
        <v>HKD</v>
      </c>
      <c r="E71" s="219" t="s">
        <v>267</v>
      </c>
      <c r="F71" s="220">
        <f>(C71/C61-1)</f>
        <v>-0.26862203580089039</v>
      </c>
      <c r="I71" s="164" t="s">
        <v>254</v>
      </c>
    </row>
    <row r="74" spans="2:9" x14ac:dyDescent="0.35">
      <c r="D74" s="191"/>
    </row>
    <row r="75" spans="2:9" x14ac:dyDescent="0.35">
      <c r="B75" s="124" t="s">
        <v>53</v>
      </c>
      <c r="C75" s="125" t="s">
        <v>56</v>
      </c>
      <c r="D75" s="125" t="s">
        <v>57</v>
      </c>
      <c r="E75" s="119" t="s">
        <v>58</v>
      </c>
    </row>
    <row r="76" spans="2:9" x14ac:dyDescent="0.35">
      <c r="B76" s="9" t="s">
        <v>54</v>
      </c>
      <c r="C76" s="14">
        <f>Normalized_FCF!L8</f>
        <v>1617067</v>
      </c>
      <c r="D76" s="14">
        <f>Normalized_FCF!G8</f>
        <v>1876773</v>
      </c>
      <c r="E76" s="14">
        <v>6</v>
      </c>
    </row>
    <row r="77" spans="2:9" x14ac:dyDescent="0.35">
      <c r="B77" s="9" t="s">
        <v>55</v>
      </c>
      <c r="C77" s="8">
        <f>(D76/C76)^(1/E76)-1</f>
        <v>2.5133963029188244E-2</v>
      </c>
      <c r="D77" s="43"/>
      <c r="E77" s="43"/>
    </row>
  </sheetData>
  <mergeCells count="6">
    <mergeCell ref="E50:E53"/>
    <mergeCell ref="E7:E13"/>
    <mergeCell ref="E44:E47"/>
    <mergeCell ref="E24:E26"/>
    <mergeCell ref="E38:E41"/>
    <mergeCell ref="E56:E59"/>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Thesis</vt:lpstr>
      <vt:lpstr>Data</vt:lpstr>
      <vt:lpstr>Normalized_FCF</vt:lpstr>
      <vt:lpstr>BS</vt:lpstr>
      <vt:lpstr>Valuation_Model</vt:lpstr>
      <vt:lpstr>Scenarios</vt:lpstr>
      <vt:lpstr>Common_Shares</vt:lpstr>
      <vt:lpstr>Equity_Cost</vt:lpstr>
      <vt:lpstr>Exchange_Rate</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2025-02-26T14:40:45Z</cp:lastPrinted>
  <dcterms:created xsi:type="dcterms:W3CDTF">2022-08-10T03:52:42Z</dcterms:created>
  <dcterms:modified xsi:type="dcterms:W3CDTF">2025-03-11T09:25:21Z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