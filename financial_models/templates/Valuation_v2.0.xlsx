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59ECBD89-6C40-4BE9-8548-2D763DDF504A}"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DM" sheetId="8" r:id="rId5"/>
    <sheet name="Scenarios" sheetId="9" r:id="rId6"/>
    <sheet name="投资主题" sheetId="12" r:id="rId7"/>
  </sheets>
  <definedNames>
    <definedName name="_xlnm._FilterDatabase" localSheetId="4" hidden="1">DDM!$B$81:$M$81</definedName>
    <definedName name="Common_Shares">Thesis!$C$9</definedName>
    <definedName name="dividend_tax_rate">Normalized_FCF!$C$86</definedName>
    <definedName name="Equity_Cost">Thesis!$C$101</definedName>
    <definedName name="Exchange_Rate">Thesis!$E$16</definedName>
    <definedName name="FV_adjustments">DDM!$F$7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B10" i="2" l="1"/>
  <c r="B28" i="2"/>
  <c r="B27" i="2"/>
  <c r="B26" i="2"/>
  <c r="C44" i="4"/>
  <c r="D51" i="3"/>
  <c r="E21" i="8"/>
  <c r="C21" i="8"/>
  <c r="H5" i="8"/>
  <c r="H4" i="8"/>
  <c r="H8" i="8"/>
  <c r="H7" i="8"/>
  <c r="G38" i="2"/>
  <c r="H38" i="2"/>
  <c r="I38" i="2"/>
  <c r="J38" i="2"/>
  <c r="K38" i="2"/>
  <c r="L38" i="2"/>
  <c r="M38" i="2"/>
  <c r="N38" i="2"/>
  <c r="O38" i="2"/>
  <c r="P38" i="2"/>
  <c r="Q38" i="2"/>
  <c r="H37" i="2"/>
  <c r="I37" i="2"/>
  <c r="J37" i="2"/>
  <c r="K37" i="2"/>
  <c r="L37" i="2"/>
  <c r="M37" i="2"/>
  <c r="N37" i="2"/>
  <c r="O37" i="2"/>
  <c r="P37" i="2"/>
  <c r="Q37" i="2"/>
  <c r="G37" i="2"/>
  <c r="H5" i="2"/>
  <c r="I5" i="2"/>
  <c r="J5" i="2"/>
  <c r="K5" i="2"/>
  <c r="L5" i="2"/>
  <c r="M5" i="2"/>
  <c r="N5" i="2"/>
  <c r="O5" i="2"/>
  <c r="P5" i="2"/>
  <c r="G5" i="2"/>
  <c r="C5" i="2"/>
  <c r="C18" i="8"/>
  <c r="F18" i="8" s="1"/>
  <c r="B18" i="8"/>
  <c r="E18" i="8" s="1"/>
  <c r="I9" i="8"/>
  <c r="H9" i="8"/>
  <c r="C30" i="3"/>
  <c r="C27" i="3"/>
  <c r="G7" i="3"/>
  <c r="G4" i="3"/>
  <c r="G17" i="3"/>
  <c r="G15" i="3"/>
  <c r="C23" i="3"/>
  <c r="C19" i="3"/>
  <c r="A72" i="8" l="1"/>
  <c r="A74" i="8"/>
  <c r="D4" i="9"/>
  <c r="C104" i="6"/>
  <c r="C17" i="12"/>
  <c r="D51" i="8"/>
  <c r="C143" i="6" l="1"/>
  <c r="C139" i="6"/>
  <c r="C139" i="12"/>
  <c r="C143" i="12"/>
  <c r="E143" i="12"/>
  <c r="E139" i="12"/>
  <c r="E143" i="6" l="1"/>
  <c r="E139" i="6"/>
  <c r="D92" i="6"/>
  <c r="C7" i="8"/>
  <c r="G23" i="9"/>
  <c r="G24" i="9"/>
  <c r="G30" i="9"/>
  <c r="G29" i="9"/>
  <c r="C57" i="9"/>
  <c r="F33" i="9"/>
  <c r="E21" i="12"/>
  <c r="E65" i="9"/>
  <c r="E61" i="9"/>
  <c r="D33" i="9"/>
  <c r="D25" i="9"/>
  <c r="B86" i="8"/>
  <c r="B82" i="8"/>
  <c r="E28" i="9"/>
  <c r="B84" i="8"/>
  <c r="B85" i="8"/>
  <c r="B83" i="8"/>
  <c r="D30" i="9"/>
  <c r="D29" i="9"/>
  <c r="E21" i="9"/>
  <c r="D8"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4" i="2"/>
  <c r="B83"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C32" i="4"/>
  <c r="C30" i="4"/>
  <c r="C29" i="4"/>
  <c r="C28" i="4"/>
  <c r="D64" i="4"/>
  <c r="E64" i="4"/>
  <c r="F64" i="4"/>
  <c r="G64" i="4"/>
  <c r="H64" i="4"/>
  <c r="I64" i="4"/>
  <c r="J64" i="4"/>
  <c r="K64" i="4"/>
  <c r="L64" i="4"/>
  <c r="M64" i="4"/>
  <c r="C64" i="4"/>
  <c r="E78" i="2"/>
  <c r="E79" i="2"/>
  <c r="D45" i="6"/>
  <c r="D44" i="6"/>
  <c r="F145" i="6" l="1"/>
  <c r="F145" i="12"/>
  <c r="C40" i="3"/>
  <c r="E19" i="6" l="1"/>
  <c r="C52" i="9"/>
  <c r="D47" i="9"/>
  <c r="J18" i="8"/>
  <c r="D35" i="9"/>
  <c r="D34" i="9"/>
  <c r="E87" i="3"/>
  <c r="E88" i="3"/>
  <c r="E89" i="3"/>
  <c r="E86" i="3"/>
  <c r="D90" i="6" l="1"/>
  <c r="D86" i="6"/>
  <c r="D79" i="6"/>
  <c r="C34" i="9"/>
  <c r="D60" i="6"/>
  <c r="B118" i="2"/>
  <c r="C135" i="6"/>
  <c r="D85" i="6"/>
  <c r="D112" i="6"/>
  <c r="D136" i="6"/>
  <c r="D125" i="6"/>
  <c r="F86" i="8"/>
  <c r="F122" i="12" s="1"/>
  <c r="F82" i="8"/>
  <c r="D89" i="6"/>
  <c r="D84" i="6"/>
  <c r="D78" i="6"/>
  <c r="D61" i="6"/>
  <c r="D49" i="6"/>
  <c r="B74" i="2"/>
  <c r="D55" i="6"/>
  <c r="D52" i="6"/>
  <c r="D46" i="6"/>
  <c r="D41" i="6"/>
  <c r="D38" i="6"/>
  <c r="D37" i="6"/>
  <c r="D34" i="6"/>
  <c r="F118" i="6" l="1"/>
  <c r="F118" i="12"/>
  <c r="F84" i="8"/>
  <c r="F85" i="8"/>
  <c r="F122" i="6"/>
  <c r="F121" i="6" l="1"/>
  <c r="F121" i="12"/>
  <c r="F120" i="6"/>
  <c r="F120" i="12"/>
  <c r="Q91" i="2" l="1"/>
  <c r="G38" i="3"/>
  <c r="G37" i="3"/>
  <c r="D81" i="3"/>
  <c r="D80" i="3"/>
  <c r="C81" i="3"/>
  <c r="C80" i="3"/>
  <c r="C69" i="3"/>
  <c r="H24" i="3" l="1"/>
  <c r="D22" i="9"/>
  <c r="C67" i="3"/>
  <c r="D57" i="4"/>
  <c r="H53" i="2" s="1"/>
  <c r="E57" i="4"/>
  <c r="I53" i="2" s="1"/>
  <c r="F57" i="4"/>
  <c r="J53" i="2" s="1"/>
  <c r="G57" i="4"/>
  <c r="K53" i="2" s="1"/>
  <c r="H57" i="4"/>
  <c r="L53" i="2" s="1"/>
  <c r="I57" i="4"/>
  <c r="M53" i="2" s="1"/>
  <c r="J57" i="4"/>
  <c r="N53" i="2" s="1"/>
  <c r="K57" i="4"/>
  <c r="O53" i="2" s="1"/>
  <c r="L57" i="4"/>
  <c r="P53" i="2" s="1"/>
  <c r="M57" i="4"/>
  <c r="Q53" i="2" s="1"/>
  <c r="C57" i="4"/>
  <c r="G53" i="2" s="1"/>
  <c r="G61" i="2" s="1"/>
  <c r="M58" i="4"/>
  <c r="Q55" i="2" s="1"/>
  <c r="D56" i="4"/>
  <c r="H51" i="2" s="1"/>
  <c r="E56" i="4"/>
  <c r="I51" i="2" s="1"/>
  <c r="F56" i="4"/>
  <c r="J51" i="2" s="1"/>
  <c r="G56" i="4"/>
  <c r="K51" i="2" s="1"/>
  <c r="H56" i="4"/>
  <c r="L51" i="2" s="1"/>
  <c r="I56" i="4"/>
  <c r="M51" i="2" s="1"/>
  <c r="J56" i="4"/>
  <c r="N51" i="2" s="1"/>
  <c r="K56" i="4"/>
  <c r="O51" i="2" s="1"/>
  <c r="L56" i="4"/>
  <c r="P51" i="2" s="1"/>
  <c r="M56" i="4"/>
  <c r="Q51" i="2" s="1"/>
  <c r="C56" i="4"/>
  <c r="G51" i="2" s="1"/>
  <c r="M44" i="4"/>
  <c r="B25" i="4"/>
  <c r="G39" i="3" l="1"/>
  <c r="H39" i="3"/>
  <c r="D24" i="3"/>
  <c r="G36" i="3"/>
  <c r="D12" i="3"/>
  <c r="G59" i="2"/>
  <c r="C59" i="2" s="1"/>
  <c r="C51" i="2" s="1"/>
  <c r="D79" i="3"/>
  <c r="D82" i="3" s="1"/>
  <c r="H42" i="3" s="1"/>
  <c r="C79" i="3"/>
  <c r="C82" i="3" s="1"/>
  <c r="G42" i="3" s="1"/>
  <c r="B47" i="3"/>
  <c r="D58" i="9"/>
  <c r="D36" i="9"/>
  <c r="D9" i="8"/>
  <c r="D6" i="8"/>
  <c r="C82" i="8"/>
  <c r="C118" i="12" s="1"/>
  <c r="F22" i="9"/>
  <c r="G22" i="9" s="1"/>
  <c r="E55" i="4"/>
  <c r="I52" i="2" s="1"/>
  <c r="F55" i="4"/>
  <c r="J52" i="2" s="1"/>
  <c r="G55" i="4"/>
  <c r="K52" i="2" s="1"/>
  <c r="H55" i="4"/>
  <c r="L52" i="2" s="1"/>
  <c r="I55" i="4"/>
  <c r="M52" i="2" s="1"/>
  <c r="J55" i="4"/>
  <c r="N52" i="2" s="1"/>
  <c r="K55" i="4"/>
  <c r="O52" i="2" s="1"/>
  <c r="L55" i="4"/>
  <c r="P52" i="2" s="1"/>
  <c r="M55" i="4"/>
  <c r="Q52" i="2" s="1"/>
  <c r="D55" i="4"/>
  <c r="H52" i="2" s="1"/>
  <c r="C55" i="4"/>
  <c r="G52" i="2" s="1"/>
  <c r="G30" i="3"/>
  <c r="C68" i="3"/>
  <c r="C61" i="2"/>
  <c r="C53" i="2" s="1"/>
  <c r="B122" i="6" l="1"/>
  <c r="B122" i="12"/>
  <c r="B120" i="6"/>
  <c r="B120" i="12"/>
  <c r="B118" i="6"/>
  <c r="B118" i="12"/>
  <c r="B121" i="6"/>
  <c r="B121" i="12"/>
  <c r="B119" i="6"/>
  <c r="B119" i="12"/>
  <c r="C88" i="3"/>
  <c r="D88" i="3" s="1"/>
  <c r="C89" i="12"/>
  <c r="C90" i="12" s="1"/>
  <c r="F83" i="8"/>
  <c r="D82" i="8"/>
  <c r="F55" i="8"/>
  <c r="F68" i="8" s="1"/>
  <c r="C118" i="6"/>
  <c r="C89" i="6"/>
  <c r="C90" i="6" s="1"/>
  <c r="G60" i="2"/>
  <c r="C60" i="2" l="1"/>
  <c r="C52" i="2" s="1"/>
  <c r="D118" i="6"/>
  <c r="D118" i="12"/>
  <c r="F119" i="6"/>
  <c r="F119" i="12"/>
  <c r="C85" i="8"/>
  <c r="C121" i="12" s="1"/>
  <c r="D24" i="9"/>
  <c r="D86" i="8"/>
  <c r="D23" i="9"/>
  <c r="C84" i="8"/>
  <c r="C120" i="12" s="1"/>
  <c r="C86" i="8"/>
  <c r="C122" i="12" s="1"/>
  <c r="D83" i="8"/>
  <c r="C83" i="8"/>
  <c r="C119" i="12" s="1"/>
  <c r="C15" i="8"/>
  <c r="B51" i="8" s="1"/>
  <c r="Q90" i="2"/>
  <c r="A79" i="8"/>
  <c r="A78" i="8"/>
  <c r="D122" i="6" l="1"/>
  <c r="D122" i="12"/>
  <c r="D119" i="6"/>
  <c r="D119" i="12"/>
  <c r="D85" i="8"/>
  <c r="D84" i="8"/>
  <c r="C54" i="2"/>
  <c r="C56" i="2" s="1"/>
  <c r="C10"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H32" i="3"/>
  <c r="H27" i="3" s="1"/>
  <c r="H29" i="3" s="1"/>
  <c r="D46" i="3" s="1"/>
  <c r="D47" i="3" s="1"/>
  <c r="D68" i="8"/>
  <c r="E68" i="8"/>
  <c r="A75" i="8"/>
  <c r="A76" i="8"/>
  <c r="A77" i="8"/>
  <c r="A70" i="8"/>
  <c r="D4" i="8"/>
  <c r="C41" i="6" l="1"/>
  <c r="C41" i="12"/>
  <c r="C111" i="6"/>
  <c r="C111" i="12"/>
  <c r="I65" i="4"/>
  <c r="M83" i="2" s="1"/>
  <c r="J65" i="4"/>
  <c r="N83" i="2" s="1"/>
  <c r="K65" i="4"/>
  <c r="O83" i="2" s="1"/>
  <c r="L65" i="4"/>
  <c r="P83" i="2" s="1"/>
  <c r="M65" i="4"/>
  <c r="Q83" i="2" s="1"/>
  <c r="C96" i="2" l="1"/>
  <c r="C97" i="2"/>
  <c r="M76" i="4"/>
  <c r="E79" i="4"/>
  <c r="I98" i="2" s="1"/>
  <c r="F79" i="4"/>
  <c r="J98" i="2" s="1"/>
  <c r="G79" i="4"/>
  <c r="K98" i="2" s="1"/>
  <c r="H79" i="4"/>
  <c r="L98" i="2" s="1"/>
  <c r="I79" i="4"/>
  <c r="M98" i="2" s="1"/>
  <c r="J79" i="4"/>
  <c r="N98" i="2" s="1"/>
  <c r="K79" i="4"/>
  <c r="O98" i="2" s="1"/>
  <c r="L79" i="4"/>
  <c r="P98" i="2" s="1"/>
  <c r="M79" i="4"/>
  <c r="Q98" i="2" s="1"/>
  <c r="E80" i="4"/>
  <c r="I99" i="2" s="1"/>
  <c r="F80" i="4"/>
  <c r="J99" i="2" s="1"/>
  <c r="G80" i="4"/>
  <c r="K99" i="2" s="1"/>
  <c r="H80" i="4"/>
  <c r="L99" i="2" s="1"/>
  <c r="I80" i="4"/>
  <c r="M99" i="2" s="1"/>
  <c r="J80" i="4"/>
  <c r="N99" i="2" s="1"/>
  <c r="K80" i="4"/>
  <c r="O99" i="2" s="1"/>
  <c r="L80" i="4"/>
  <c r="P99" i="2" s="1"/>
  <c r="M80" i="4"/>
  <c r="Q99" i="2" s="1"/>
  <c r="C79" i="4"/>
  <c r="D79" i="4"/>
  <c r="H98" i="2" s="1"/>
  <c r="C77" i="4"/>
  <c r="C78" i="4"/>
  <c r="M68" i="4"/>
  <c r="B72" i="4"/>
  <c r="B70" i="4"/>
  <c r="B68" i="4"/>
  <c r="E15" i="6"/>
  <c r="D1" i="4"/>
  <c r="B7" i="8" l="1"/>
  <c r="D7"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36" i="2" s="1"/>
  <c r="H7" i="2" s="1"/>
  <c r="E51" i="4"/>
  <c r="I36" i="2" s="1"/>
  <c r="I7" i="2" s="1"/>
  <c r="F51" i="4"/>
  <c r="J36" i="2" s="1"/>
  <c r="J7" i="2" s="1"/>
  <c r="G51" i="4"/>
  <c r="K36" i="2" s="1"/>
  <c r="K7" i="2" s="1"/>
  <c r="H51" i="4"/>
  <c r="L36" i="2" s="1"/>
  <c r="L7" i="2" s="1"/>
  <c r="I51" i="4"/>
  <c r="M36" i="2" s="1"/>
  <c r="M7" i="2" s="1"/>
  <c r="J51" i="4"/>
  <c r="N36" i="2" s="1"/>
  <c r="N7" i="2" s="1"/>
  <c r="K51" i="4"/>
  <c r="O36" i="2" s="1"/>
  <c r="O7" i="2" s="1"/>
  <c r="L51" i="4"/>
  <c r="P36" i="2" s="1"/>
  <c r="P7" i="2" s="1"/>
  <c r="M51" i="4"/>
  <c r="Q36" i="2" s="1"/>
  <c r="Q7" i="2" s="1"/>
  <c r="D52" i="4"/>
  <c r="H4" i="2" s="1"/>
  <c r="H6" i="2" s="1"/>
  <c r="E52" i="4"/>
  <c r="I4" i="2" s="1"/>
  <c r="I6" i="2" s="1"/>
  <c r="F52" i="4"/>
  <c r="J4" i="2" s="1"/>
  <c r="J6" i="2" s="1"/>
  <c r="G52" i="4"/>
  <c r="K4" i="2" s="1"/>
  <c r="K6" i="2" s="1"/>
  <c r="H52" i="4"/>
  <c r="L4" i="2" s="1"/>
  <c r="L6" i="2" s="1"/>
  <c r="I52" i="4"/>
  <c r="M4" i="2" s="1"/>
  <c r="M6" i="2" s="1"/>
  <c r="J52" i="4"/>
  <c r="N4" i="2" s="1"/>
  <c r="N6" i="2" s="1"/>
  <c r="K52" i="4"/>
  <c r="O4" i="2" s="1"/>
  <c r="O6" i="2" s="1"/>
  <c r="L52" i="4"/>
  <c r="P4" i="2" s="1"/>
  <c r="P6" i="2" s="1"/>
  <c r="M52" i="4"/>
  <c r="Q4" i="2" s="1"/>
  <c r="Q6" i="2" s="1"/>
  <c r="C51" i="4"/>
  <c r="G36" i="2" s="1"/>
  <c r="G7" i="2" s="1"/>
  <c r="C52" i="4"/>
  <c r="G4" i="2" s="1"/>
  <c r="G6" i="2" s="1"/>
  <c r="D63" i="4"/>
  <c r="E63" i="4"/>
  <c r="F63" i="4"/>
  <c r="G63" i="4"/>
  <c r="H63" i="4"/>
  <c r="I63" i="4"/>
  <c r="J63" i="4"/>
  <c r="K63" i="4"/>
  <c r="L63" i="4"/>
  <c r="M63" i="4"/>
  <c r="C63" i="4"/>
  <c r="D61" i="4"/>
  <c r="E61" i="4"/>
  <c r="F61" i="4"/>
  <c r="G61" i="4"/>
  <c r="H61" i="4"/>
  <c r="I61" i="4"/>
  <c r="J61" i="4"/>
  <c r="K61" i="4"/>
  <c r="L61" i="4"/>
  <c r="M61" i="4"/>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E42" i="4"/>
  <c r="F42" i="4"/>
  <c r="G42" i="4"/>
  <c r="H42" i="4"/>
  <c r="I42" i="4"/>
  <c r="J42" i="4"/>
  <c r="K42" i="4"/>
  <c r="L42" i="4"/>
  <c r="M42" i="4"/>
  <c r="C42" i="4"/>
  <c r="D40" i="4"/>
  <c r="E40" i="4"/>
  <c r="F40" i="4"/>
  <c r="G40" i="4"/>
  <c r="H40" i="4"/>
  <c r="I40" i="4"/>
  <c r="J40" i="4"/>
  <c r="K40" i="4"/>
  <c r="L40" i="4"/>
  <c r="M40" i="4"/>
  <c r="C40" i="4"/>
  <c r="D39" i="4"/>
  <c r="E39" i="4"/>
  <c r="F39" i="4"/>
  <c r="G39" i="4"/>
  <c r="H39" i="4"/>
  <c r="I39" i="4"/>
  <c r="J39" i="4"/>
  <c r="K39" i="4"/>
  <c r="L39" i="4"/>
  <c r="M39" i="4"/>
  <c r="C39" i="4"/>
  <c r="G37" i="4"/>
  <c r="H37" i="4"/>
  <c r="I37" i="4"/>
  <c r="J37" i="4"/>
  <c r="K37" i="4"/>
  <c r="L37" i="4"/>
  <c r="M37" i="4"/>
  <c r="C37" i="4"/>
  <c r="M43" i="4"/>
  <c r="D65" i="4"/>
  <c r="H83" i="2" s="1"/>
  <c r="E65" i="4"/>
  <c r="I83" i="2" s="1"/>
  <c r="F65" i="4"/>
  <c r="J83" i="2" s="1"/>
  <c r="G65" i="4"/>
  <c r="K83" i="2" s="1"/>
  <c r="H65" i="4"/>
  <c r="L83" i="2" s="1"/>
  <c r="C65" i="4"/>
  <c r="G83" i="2" s="1"/>
  <c r="C83" i="2" s="1"/>
  <c r="C33" i="9" s="1"/>
  <c r="C58" i="9" s="1"/>
  <c r="G98" i="2"/>
  <c r="E77" i="4"/>
  <c r="F77" i="4"/>
  <c r="G77" i="4"/>
  <c r="H77" i="4"/>
  <c r="E78" i="4"/>
  <c r="F78" i="4"/>
  <c r="G78" i="4"/>
  <c r="H78" i="4"/>
  <c r="D78" i="4"/>
  <c r="D80" i="4"/>
  <c r="H99" i="2" s="1"/>
  <c r="D77" i="4"/>
  <c r="Q23" i="2" l="1"/>
  <c r="Q8" i="2" s="1"/>
  <c r="Q9" i="2"/>
  <c r="G42" i="2"/>
  <c r="G23" i="2"/>
  <c r="K23" i="2"/>
  <c r="K8" i="2" s="1"/>
  <c r="J23" i="2"/>
  <c r="J8" i="2" s="1"/>
  <c r="I23" i="2"/>
  <c r="I8" i="2" s="1"/>
  <c r="P23" i="2"/>
  <c r="P8" i="2" s="1"/>
  <c r="H23" i="2"/>
  <c r="H8" i="2" s="1"/>
  <c r="O23" i="2"/>
  <c r="O8" i="2" s="1"/>
  <c r="N23" i="2"/>
  <c r="N8" i="2" s="1"/>
  <c r="M23" i="2"/>
  <c r="M8" i="2" s="1"/>
  <c r="L23" i="2"/>
  <c r="L8" i="2" s="1"/>
  <c r="Q85" i="2"/>
  <c r="C62" i="9"/>
  <c r="C66" i="9"/>
  <c r="C63" i="9"/>
  <c r="C67" i="9"/>
  <c r="C87" i="2"/>
  <c r="C63" i="12" s="1"/>
  <c r="L62" i="4"/>
  <c r="J62" i="4"/>
  <c r="I62" i="4"/>
  <c r="H62" i="4"/>
  <c r="G62" i="4"/>
  <c r="E62" i="4"/>
  <c r="D62" i="4"/>
  <c r="K62" i="4"/>
  <c r="D58" i="3"/>
  <c r="C62" i="4"/>
  <c r="F62" i="4"/>
  <c r="K45" i="4"/>
  <c r="L45" i="4"/>
  <c r="C70" i="3"/>
  <c r="C62" i="2" s="1"/>
  <c r="C85" i="6"/>
  <c r="J45" i="4"/>
  <c r="I45" i="4"/>
  <c r="G35" i="3"/>
  <c r="G40" i="3"/>
  <c r="D76" i="4"/>
  <c r="C45" i="4"/>
  <c r="F45" i="4"/>
  <c r="D45" i="4"/>
  <c r="G45" i="4"/>
  <c r="E45" i="4"/>
  <c r="H45" i="4"/>
  <c r="I41" i="4"/>
  <c r="J41" i="4"/>
  <c r="K41" i="4"/>
  <c r="L41" i="4"/>
  <c r="M41" i="4"/>
  <c r="D41" i="4"/>
  <c r="G36" i="4"/>
  <c r="H36" i="4"/>
  <c r="I36" i="4"/>
  <c r="J36" i="4"/>
  <c r="K36" i="4"/>
  <c r="L36" i="4"/>
  <c r="M36" i="4"/>
  <c r="C36" i="4"/>
  <c r="C23" i="2" l="1"/>
  <c r="C8" i="2" s="1"/>
  <c r="G8" i="2"/>
  <c r="C136" i="6"/>
  <c r="C136" i="12"/>
  <c r="C63" i="6"/>
  <c r="C84" i="2"/>
  <c r="G72" i="4"/>
  <c r="I72" i="4"/>
  <c r="F72" i="4"/>
  <c r="E72" i="4"/>
  <c r="D72" i="4"/>
  <c r="J72" i="4"/>
  <c r="H72" i="4"/>
  <c r="L69" i="4"/>
  <c r="L70" i="4"/>
  <c r="L72" i="4"/>
  <c r="L71" i="4"/>
  <c r="K72" i="4"/>
  <c r="C72" i="4"/>
  <c r="G41" i="3"/>
  <c r="G32" i="3"/>
  <c r="G27" i="3" s="1"/>
  <c r="L68" i="4"/>
  <c r="D68" i="4"/>
  <c r="K68" i="4"/>
  <c r="C68" i="4"/>
  <c r="J68" i="4"/>
  <c r="I68" i="4"/>
  <c r="E68" i="4"/>
  <c r="H68" i="4"/>
  <c r="G68" i="4"/>
  <c r="F68" i="4"/>
  <c r="K38" i="4"/>
  <c r="K43" i="4" s="1"/>
  <c r="K44" i="4" s="1"/>
  <c r="K58" i="4" s="1"/>
  <c r="O55" i="2" s="1"/>
  <c r="J38" i="4"/>
  <c r="J43" i="4" s="1"/>
  <c r="J44" i="4" s="1"/>
  <c r="J58" i="4" s="1"/>
  <c r="N55" i="2" s="1"/>
  <c r="I38" i="4"/>
  <c r="I43" i="4" s="1"/>
  <c r="I44" i="4" s="1"/>
  <c r="I58" i="4" s="1"/>
  <c r="M55" i="2" s="1"/>
  <c r="H41" i="4"/>
  <c r="G38" i="4"/>
  <c r="G43" i="4" s="1"/>
  <c r="G44" i="4" s="1"/>
  <c r="E41" i="4"/>
  <c r="G41" i="4"/>
  <c r="H38" i="4"/>
  <c r="H43" i="4" s="1"/>
  <c r="C41" i="4"/>
  <c r="F41" i="4"/>
  <c r="C38" i="4"/>
  <c r="C43" i="4" s="1"/>
  <c r="D43" i="4"/>
  <c r="D44" i="4" s="1"/>
  <c r="F43" i="4"/>
  <c r="F44" i="4" s="1"/>
  <c r="L38" i="4"/>
  <c r="L43" i="4" s="1"/>
  <c r="L44" i="4" s="1"/>
  <c r="L58" i="4" s="1"/>
  <c r="P55" i="2" s="1"/>
  <c r="E43" i="4"/>
  <c r="M38" i="4"/>
  <c r="Q112" i="2" l="1"/>
  <c r="Q111" i="2"/>
  <c r="P91" i="2"/>
  <c r="N68" i="2"/>
  <c r="P68" i="2"/>
  <c r="O9" i="2"/>
  <c r="O68" i="2"/>
  <c r="M68" i="2"/>
  <c r="Q87" i="2"/>
  <c r="G87" i="2"/>
  <c r="F71" i="4"/>
  <c r="M87" i="2"/>
  <c r="N87" i="2"/>
  <c r="P87" i="2"/>
  <c r="O87" i="2"/>
  <c r="L87" i="2"/>
  <c r="J87" i="2"/>
  <c r="I87" i="2"/>
  <c r="K87" i="2"/>
  <c r="H87" i="2"/>
  <c r="C140" i="6"/>
  <c r="C140" i="12"/>
  <c r="C145" i="6"/>
  <c r="C145" i="12"/>
  <c r="C144" i="6"/>
  <c r="C144" i="12"/>
  <c r="C141" i="6"/>
  <c r="C141" i="12"/>
  <c r="Q114" i="2"/>
  <c r="G84" i="2"/>
  <c r="G16" i="2" s="1"/>
  <c r="G77" i="2" s="1"/>
  <c r="Q120" i="2"/>
  <c r="Q84" i="2"/>
  <c r="E70" i="4"/>
  <c r="J71" i="4"/>
  <c r="K70" i="4"/>
  <c r="K71" i="4"/>
  <c r="G70" i="4"/>
  <c r="F70" i="4"/>
  <c r="M120" i="2"/>
  <c r="M84" i="2"/>
  <c r="I71" i="4"/>
  <c r="N120" i="2"/>
  <c r="N84" i="2"/>
  <c r="P120" i="2"/>
  <c r="P84" i="2"/>
  <c r="J69" i="4"/>
  <c r="F69" i="4"/>
  <c r="G69" i="4"/>
  <c r="O120" i="2"/>
  <c r="O84" i="2"/>
  <c r="I69" i="4"/>
  <c r="H70" i="4"/>
  <c r="J70" i="4"/>
  <c r="L120" i="2"/>
  <c r="L84" i="2"/>
  <c r="K69" i="4"/>
  <c r="H69" i="4"/>
  <c r="I70" i="4"/>
  <c r="D70" i="4"/>
  <c r="C70" i="4"/>
  <c r="D69" i="4"/>
  <c r="I84" i="2"/>
  <c r="K120" i="2"/>
  <c r="K84" i="2"/>
  <c r="J84" i="2"/>
  <c r="H84" i="2"/>
  <c r="E69" i="4"/>
  <c r="C69" i="4"/>
  <c r="C31" i="4"/>
  <c r="C80" i="4" s="1"/>
  <c r="C76" i="4" s="1"/>
  <c r="G107" i="2"/>
  <c r="G120" i="2"/>
  <c r="H107" i="2"/>
  <c r="H120" i="2"/>
  <c r="J107" i="2"/>
  <c r="J120" i="2"/>
  <c r="I107" i="2"/>
  <c r="I120" i="2"/>
  <c r="K107" i="2"/>
  <c r="M107" i="2"/>
  <c r="L107" i="2"/>
  <c r="N107" i="2"/>
  <c r="P107" i="2"/>
  <c r="O107" i="2"/>
  <c r="Q107" i="2"/>
  <c r="Q108" i="2"/>
  <c r="Q39" i="2"/>
  <c r="Q72" i="2"/>
  <c r="Q47" i="2"/>
  <c r="C12" i="9"/>
  <c r="H95" i="2"/>
  <c r="H112" i="2" s="1"/>
  <c r="P95" i="2"/>
  <c r="P113" i="2" s="1"/>
  <c r="M95" i="2"/>
  <c r="M112" i="2" s="1"/>
  <c r="N95" i="2"/>
  <c r="N112" i="2" s="1"/>
  <c r="Q44" i="2"/>
  <c r="Q118" i="2"/>
  <c r="Q119" i="2"/>
  <c r="Q95" i="2"/>
  <c r="K95" i="2"/>
  <c r="K112" i="2" s="1"/>
  <c r="I95" i="2"/>
  <c r="I112" i="2" s="1"/>
  <c r="O95" i="2"/>
  <c r="O113" i="2" s="1"/>
  <c r="J95" i="2"/>
  <c r="J112" i="2" s="1"/>
  <c r="L95" i="2"/>
  <c r="L112" i="2" s="1"/>
  <c r="G104" i="2"/>
  <c r="N97" i="2"/>
  <c r="N103" i="2" s="1"/>
  <c r="N96" i="2"/>
  <c r="N102" i="2" s="1"/>
  <c r="O97" i="2"/>
  <c r="O103" i="2" s="1"/>
  <c r="O96" i="2"/>
  <c r="O102" i="2" s="1"/>
  <c r="J96" i="2"/>
  <c r="J102" i="2" s="1"/>
  <c r="J97" i="2"/>
  <c r="J103" i="2" s="1"/>
  <c r="M97" i="2"/>
  <c r="M103" i="2" s="1"/>
  <c r="M96" i="2"/>
  <c r="M102" i="2" s="1"/>
  <c r="H96" i="2"/>
  <c r="H102" i="2" s="1"/>
  <c r="H97" i="2"/>
  <c r="H103" i="2" s="1"/>
  <c r="I96" i="2"/>
  <c r="I102" i="2" s="1"/>
  <c r="I97" i="2"/>
  <c r="I103" i="2" s="1"/>
  <c r="P96" i="2"/>
  <c r="P102" i="2" s="1"/>
  <c r="P97" i="2"/>
  <c r="P103" i="2" s="1"/>
  <c r="Q96" i="2"/>
  <c r="Q97" i="2"/>
  <c r="K97" i="2"/>
  <c r="K103" i="2" s="1"/>
  <c r="K96" i="2"/>
  <c r="K102" i="2" s="1"/>
  <c r="L96" i="2"/>
  <c r="L102" i="2" s="1"/>
  <c r="L97" i="2"/>
  <c r="L103" i="2" s="1"/>
  <c r="H54" i="2"/>
  <c r="G54" i="2"/>
  <c r="I54" i="2"/>
  <c r="Q54" i="2"/>
  <c r="Q5" i="2" s="1"/>
  <c r="Q56" i="2"/>
  <c r="Q10" i="2" s="1"/>
  <c r="M54" i="2"/>
  <c r="P54" i="2"/>
  <c r="P70" i="2" s="1"/>
  <c r="J54" i="2"/>
  <c r="N54" i="2"/>
  <c r="K54" i="2"/>
  <c r="O54" i="2"/>
  <c r="O70" i="2" s="1"/>
  <c r="L54" i="2"/>
  <c r="F58" i="4"/>
  <c r="J55" i="2" s="1"/>
  <c r="D58" i="4"/>
  <c r="H55" i="2" s="1"/>
  <c r="G58" i="4"/>
  <c r="H44" i="4"/>
  <c r="E44" i="4"/>
  <c r="Q11" i="2"/>
  <c r="Q14" i="2"/>
  <c r="C99" i="2"/>
  <c r="C42" i="2"/>
  <c r="M90" i="2"/>
  <c r="O90" i="2"/>
  <c r="P90" i="2"/>
  <c r="N90" i="2"/>
  <c r="L90" i="2"/>
  <c r="G90" i="2"/>
  <c r="I90" i="2"/>
  <c r="C95" i="2"/>
  <c r="C27" i="2" s="1"/>
  <c r="D59" i="3"/>
  <c r="K90" i="2"/>
  <c r="H90" i="2"/>
  <c r="J90" i="2"/>
  <c r="Q113" i="2"/>
  <c r="Q102" i="2"/>
  <c r="Q103" i="2"/>
  <c r="K73" i="2"/>
  <c r="Q70" i="2"/>
  <c r="P74" i="2"/>
  <c r="G96" i="2"/>
  <c r="G102" i="2" s="1"/>
  <c r="G97" i="2"/>
  <c r="G103" i="2" s="1"/>
  <c r="L74" i="2"/>
  <c r="J76" i="2"/>
  <c r="P76" i="2"/>
  <c r="Q76" i="2"/>
  <c r="Q74" i="2"/>
  <c r="Q68" i="2"/>
  <c r="Q80" i="2"/>
  <c r="I73" i="2"/>
  <c r="Q75" i="2"/>
  <c r="Q71" i="2"/>
  <c r="Q73" i="2"/>
  <c r="Q66" i="2"/>
  <c r="Q69" i="2"/>
  <c r="Q67" i="2"/>
  <c r="Q77" i="2"/>
  <c r="H73" i="2"/>
  <c r="H74" i="2"/>
  <c r="H76" i="2"/>
  <c r="H77" i="2"/>
  <c r="I77" i="2"/>
  <c r="I76" i="2"/>
  <c r="I74" i="2"/>
  <c r="L77" i="2"/>
  <c r="J74" i="2"/>
  <c r="J77" i="2"/>
  <c r="J73" i="2"/>
  <c r="L73" i="2"/>
  <c r="L76" i="2"/>
  <c r="G74" i="2"/>
  <c r="G76" i="2"/>
  <c r="G73" i="2"/>
  <c r="K76" i="2"/>
  <c r="P73" i="2"/>
  <c r="K74" i="2"/>
  <c r="P77" i="2"/>
  <c r="K77" i="2"/>
  <c r="B1" i="4"/>
  <c r="O77" i="2"/>
  <c r="O76" i="2"/>
  <c r="O74" i="2"/>
  <c r="M77" i="2"/>
  <c r="M74" i="2"/>
  <c r="M76" i="2"/>
  <c r="N77" i="2"/>
  <c r="N74" i="2"/>
  <c r="N76" i="2"/>
  <c r="M73" i="2"/>
  <c r="N73" i="2"/>
  <c r="O73" i="2"/>
  <c r="C38" i="2" l="1"/>
  <c r="I7" i="8"/>
  <c r="D21" i="8" s="1"/>
  <c r="C37" i="2"/>
  <c r="C4" i="2" s="1"/>
  <c r="O112" i="2"/>
  <c r="P112" i="2"/>
  <c r="O67" i="2"/>
  <c r="H58" i="4"/>
  <c r="L55" i="2" s="1"/>
  <c r="G71" i="4"/>
  <c r="H71" i="4"/>
  <c r="O56" i="2"/>
  <c r="O10" i="2" s="1"/>
  <c r="O66" i="2"/>
  <c r="C58" i="4"/>
  <c r="G55" i="2" s="1"/>
  <c r="G56" i="2" s="1"/>
  <c r="G10" i="2" s="1"/>
  <c r="C71" i="4"/>
  <c r="E58" i="4"/>
  <c r="I55" i="2" s="1"/>
  <c r="E71" i="4"/>
  <c r="D71" i="4"/>
  <c r="G99" i="2"/>
  <c r="G95" i="2" s="1"/>
  <c r="P56" i="2"/>
  <c r="P10" i="2" s="1"/>
  <c r="P9" i="2"/>
  <c r="P66" i="2"/>
  <c r="M56" i="2"/>
  <c r="M10" i="2" s="1"/>
  <c r="N56" i="2"/>
  <c r="N10" i="2" s="1"/>
  <c r="G62" i="2"/>
  <c r="N66" i="2"/>
  <c r="M9" i="2"/>
  <c r="J56" i="2"/>
  <c r="J10" i="2" s="1"/>
  <c r="H56" i="2"/>
  <c r="H10" i="2" s="1"/>
  <c r="N113" i="2"/>
  <c r="M113" i="2"/>
  <c r="N9" i="2"/>
  <c r="M66" i="2"/>
  <c r="K55" i="2"/>
  <c r="C113" i="2"/>
  <c r="C55" i="3"/>
  <c r="L113" i="2"/>
  <c r="J113" i="2"/>
  <c r="H113" i="2"/>
  <c r="K113" i="2"/>
  <c r="I113" i="2"/>
  <c r="J68" i="2"/>
  <c r="G68" i="2"/>
  <c r="L68" i="2"/>
  <c r="H68" i="2"/>
  <c r="G66" i="2"/>
  <c r="K68" i="2"/>
  <c r="I68" i="2"/>
  <c r="C26" i="2" l="1"/>
  <c r="C6" i="2"/>
  <c r="C28" i="2" s="1"/>
  <c r="H70" i="2"/>
  <c r="J70" i="2"/>
  <c r="G113" i="2"/>
  <c r="D69" i="6" s="1"/>
  <c r="G112" i="2"/>
  <c r="C69" i="6"/>
  <c r="C69" i="12"/>
  <c r="C55" i="6"/>
  <c r="C55" i="12"/>
  <c r="M67" i="2"/>
  <c r="O44" i="2"/>
  <c r="O69" i="2"/>
  <c r="M44" i="2"/>
  <c r="M70" i="2"/>
  <c r="P67" i="2"/>
  <c r="N70" i="2"/>
  <c r="N44" i="2"/>
  <c r="K66" i="2"/>
  <c r="I66" i="2"/>
  <c r="H66" i="2"/>
  <c r="J66" i="2"/>
  <c r="L66" i="2"/>
  <c r="L56" i="2"/>
  <c r="L10" i="2" s="1"/>
  <c r="K56" i="2"/>
  <c r="K10" i="2" s="1"/>
  <c r="I56" i="2"/>
  <c r="I10" i="2" s="1"/>
  <c r="N67" i="2"/>
  <c r="H9" i="2"/>
  <c r="K9" i="2"/>
  <c r="G9" i="2"/>
  <c r="I9" i="2"/>
  <c r="L9" i="2"/>
  <c r="J9" i="2"/>
  <c r="C68" i="2" l="1"/>
  <c r="I4" i="8"/>
  <c r="C70" i="2"/>
  <c r="K70" i="2"/>
  <c r="I70" i="2"/>
  <c r="L70" i="2"/>
  <c r="C104" i="2"/>
  <c r="C90" i="2"/>
  <c r="C112" i="2"/>
  <c r="C103" i="2"/>
  <c r="C102" i="2"/>
  <c r="D69" i="12"/>
  <c r="L44" i="2"/>
  <c r="P44" i="2"/>
  <c r="P69" i="2"/>
  <c r="I44" i="2"/>
  <c r="H44" i="2"/>
  <c r="J44" i="2"/>
  <c r="G44" i="2"/>
  <c r="C7" i="9"/>
  <c r="K44" i="2"/>
  <c r="C13" i="9"/>
  <c r="G70" i="2"/>
  <c r="L67" i="2"/>
  <c r="I67" i="2"/>
  <c r="H67" i="2"/>
  <c r="G67" i="2"/>
  <c r="K67" i="2"/>
  <c r="J67" i="2"/>
  <c r="C98" i="2"/>
  <c r="C40" i="9" l="1"/>
  <c r="F17" i="8" s="1"/>
  <c r="E51" i="8" s="1"/>
  <c r="D55" i="3"/>
  <c r="G29" i="3"/>
  <c r="D62" i="3" s="1"/>
  <c r="F14" i="8" l="1"/>
  <c r="B39" i="9" s="1"/>
  <c r="B14" i="6" s="1"/>
  <c r="C46" i="3"/>
  <c r="C47" i="3" s="1"/>
  <c r="C62" i="3"/>
  <c r="C74" i="2" s="1"/>
  <c r="H51" i="8" l="1"/>
  <c r="E15" i="8"/>
  <c r="F15" i="8"/>
  <c r="C13" i="2"/>
  <c r="C49" i="12" s="1"/>
  <c r="G1" i="2"/>
  <c r="A41" i="8" l="1"/>
  <c r="E46" i="8"/>
  <c r="E44" i="8"/>
  <c r="A45" i="8"/>
  <c r="E48" i="8"/>
  <c r="A44" i="8"/>
  <c r="E43" i="8"/>
  <c r="E42" i="8"/>
  <c r="A47" i="8"/>
  <c r="A48" i="8"/>
  <c r="E41" i="8"/>
  <c r="A50" i="8"/>
  <c r="E45" i="8"/>
  <c r="E49" i="8"/>
  <c r="A42" i="8"/>
  <c r="A46" i="8"/>
  <c r="A43" i="8"/>
  <c r="E47" i="8"/>
  <c r="A49" i="8"/>
  <c r="E50" i="8"/>
  <c r="A36" i="8"/>
  <c r="A39" i="8"/>
  <c r="A40" i="8"/>
  <c r="E38" i="8"/>
  <c r="E40" i="8"/>
  <c r="E37" i="8"/>
  <c r="A38" i="8"/>
  <c r="E39" i="8"/>
  <c r="E36" i="8"/>
  <c r="A37" i="8"/>
  <c r="A33" i="8"/>
  <c r="E33" i="8"/>
  <c r="A34" i="8"/>
  <c r="E31" i="8"/>
  <c r="E35" i="8"/>
  <c r="A35" i="8"/>
  <c r="E32" i="8"/>
  <c r="E34" i="8"/>
  <c r="A32" i="8"/>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D46" i="8" l="1"/>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5" i="8"/>
  <c r="D22" i="8"/>
  <c r="D24" i="8"/>
  <c r="D23" i="8"/>
  <c r="D74" i="3"/>
  <c r="D76" i="3" s="1"/>
  <c r="C22" i="8" l="1"/>
  <c r="C23" i="8" s="1"/>
  <c r="D75" i="3"/>
  <c r="Q110" i="2"/>
  <c r="C24" i="8" l="1"/>
  <c r="C44" i="12"/>
  <c r="D66" i="3"/>
  <c r="C41" i="3"/>
  <c r="C25" i="8" l="1"/>
  <c r="L39" i="2"/>
  <c r="K39" i="2"/>
  <c r="K47" i="2" s="1"/>
  <c r="M39" i="2"/>
  <c r="P39" i="2"/>
  <c r="O39" i="2"/>
  <c r="N39" i="2"/>
  <c r="G39" i="2"/>
  <c r="J39" i="2"/>
  <c r="H39" i="2"/>
  <c r="I39" i="2"/>
  <c r="C44" i="6"/>
  <c r="C31" i="3"/>
  <c r="C26" i="8" l="1"/>
  <c r="I71" i="2"/>
  <c r="H71" i="2"/>
  <c r="J71" i="2"/>
  <c r="C84" i="6"/>
  <c r="C86" i="6" s="1"/>
  <c r="C84" i="12"/>
  <c r="C86" i="12" s="1"/>
  <c r="G47" i="2"/>
  <c r="C87" i="3"/>
  <c r="D87" i="3" s="1"/>
  <c r="O71" i="2"/>
  <c r="O11" i="2"/>
  <c r="O47" i="2"/>
  <c r="L71" i="2"/>
  <c r="L47" i="2"/>
  <c r="K71" i="2"/>
  <c r="P71" i="2"/>
  <c r="P11" i="2"/>
  <c r="P47" i="2"/>
  <c r="M71" i="2"/>
  <c r="M47" i="2"/>
  <c r="J47" i="2"/>
  <c r="H47" i="2"/>
  <c r="I47" i="2"/>
  <c r="N71" i="2"/>
  <c r="N47" i="2"/>
  <c r="G71" i="2"/>
  <c r="C32" i="3"/>
  <c r="G31" i="3"/>
  <c r="B1" i="2"/>
  <c r="P114" i="2" l="1"/>
  <c r="P110" i="2" s="1"/>
  <c r="P19" i="2"/>
  <c r="O114" i="2"/>
  <c r="O110" i="2" s="1"/>
  <c r="O19" i="2"/>
  <c r="B71" i="8"/>
  <c r="E72" i="8"/>
  <c r="C74" i="8"/>
  <c r="C71" i="8"/>
  <c r="F72" i="8"/>
  <c r="D74" i="8"/>
  <c r="D71" i="8"/>
  <c r="B73" i="8"/>
  <c r="E74" i="8"/>
  <c r="E71" i="8"/>
  <c r="C73" i="8"/>
  <c r="F74" i="8"/>
  <c r="D73" i="8"/>
  <c r="F71" i="8"/>
  <c r="B72" i="8"/>
  <c r="E73" i="8"/>
  <c r="B74" i="8"/>
  <c r="C72" i="8"/>
  <c r="F73" i="8"/>
  <c r="D72"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2" i="2"/>
  <c r="O111" i="2" s="1"/>
  <c r="O14" i="2"/>
  <c r="O85" i="2" s="1"/>
  <c r="P72" i="2"/>
  <c r="P111" i="2" s="1"/>
  <c r="P14" i="2"/>
  <c r="P85" i="2" s="1"/>
  <c r="O91" i="2"/>
  <c r="G43" i="2"/>
  <c r="C43" i="2" s="1"/>
  <c r="I8" i="8" s="1"/>
  <c r="F21" i="8" s="1"/>
  <c r="G21" i="8" s="1"/>
  <c r="C92" i="6" l="1"/>
  <c r="C92" i="12"/>
  <c r="C28" i="8"/>
  <c r="C86" i="3"/>
  <c r="D86" i="3" s="1"/>
  <c r="D89" i="3" s="1"/>
  <c r="C78" i="12"/>
  <c r="C79" i="12" s="1"/>
  <c r="C78" i="6"/>
  <c r="C79" i="6" s="1"/>
  <c r="O75" i="2"/>
  <c r="O118" i="2"/>
  <c r="O119" i="2" s="1"/>
  <c r="P75" i="2"/>
  <c r="P118" i="2"/>
  <c r="P119" i="2" s="1"/>
  <c r="C36" i="2"/>
  <c r="C45" i="12" l="1"/>
  <c r="C7" i="2"/>
  <c r="C29" i="8"/>
  <c r="C89" i="3"/>
  <c r="O108" i="2"/>
  <c r="O80" i="2"/>
  <c r="P108" i="2"/>
  <c r="P80" i="2"/>
  <c r="C45" i="6"/>
  <c r="E86" i="8"/>
  <c r="C39" i="2"/>
  <c r="I6" i="8" s="1"/>
  <c r="I1" i="2"/>
  <c r="I5" i="8" l="1"/>
  <c r="C31" i="2"/>
  <c r="C9" i="2"/>
  <c r="C66" i="2"/>
  <c r="I21" i="8"/>
  <c r="G26" i="8"/>
  <c r="I26" i="8" s="1"/>
  <c r="G27" i="8"/>
  <c r="I27" i="8" s="1"/>
  <c r="G28" i="8"/>
  <c r="I28" i="8" s="1"/>
  <c r="E122" i="6"/>
  <c r="E122" i="12"/>
  <c r="E30" i="9"/>
  <c r="G29" i="8"/>
  <c r="I29" i="8" s="1"/>
  <c r="C30" i="8"/>
  <c r="C31" i="8" s="1"/>
  <c r="G23" i="8"/>
  <c r="I23" i="8" s="1"/>
  <c r="G22" i="8"/>
  <c r="I22" i="8" s="1"/>
  <c r="G24" i="8"/>
  <c r="I24" i="8" s="1"/>
  <c r="G25" i="8"/>
  <c r="I25" i="8" s="1"/>
  <c r="C46" i="12"/>
  <c r="C46" i="6"/>
  <c r="C71" i="2"/>
  <c r="J1" i="2"/>
  <c r="K1" i="2" s="1"/>
  <c r="L1" i="2" s="1"/>
  <c r="M1" i="2" s="1"/>
  <c r="N1" i="2" s="1"/>
  <c r="O1" i="2" s="1"/>
  <c r="P1" i="2" s="1"/>
  <c r="Q1" i="2" s="1"/>
  <c r="J29" i="8" l="1"/>
  <c r="C67" i="2"/>
  <c r="J28" i="8"/>
  <c r="J27" i="8"/>
  <c r="J26" i="8"/>
  <c r="J25" i="8"/>
  <c r="J24" i="8"/>
  <c r="G31" i="8"/>
  <c r="I31" i="8" s="1"/>
  <c r="C32" i="8"/>
  <c r="G30" i="8"/>
  <c r="I30" i="8" s="1"/>
  <c r="J30" i="8" s="1"/>
  <c r="J22" i="8"/>
  <c r="C68" i="6"/>
  <c r="C68" i="12"/>
  <c r="C34" i="12" l="1"/>
  <c r="C34" i="6"/>
  <c r="C44" i="2"/>
  <c r="C11" i="2"/>
  <c r="J31" i="8"/>
  <c r="J23" i="8"/>
  <c r="G32" i="8"/>
  <c r="I32" i="8" s="1"/>
  <c r="J32" i="8" s="1"/>
  <c r="C33" i="8"/>
  <c r="C61" i="12"/>
  <c r="C12" i="2" l="1"/>
  <c r="C14" i="2" s="1"/>
  <c r="C85" i="2" s="1"/>
  <c r="C15" i="2" s="1"/>
  <c r="C37" i="12" s="1"/>
  <c r="C114" i="2"/>
  <c r="G33" i="8"/>
  <c r="I33" i="8" s="1"/>
  <c r="J33" i="8" s="1"/>
  <c r="C34" i="8"/>
  <c r="C16" i="2" l="1"/>
  <c r="C4" i="8" s="1"/>
  <c r="F63" i="12"/>
  <c r="C37" i="6"/>
  <c r="F63" i="6"/>
  <c r="C66" i="6"/>
  <c r="C66" i="12"/>
  <c r="C76" i="2"/>
  <c r="C77" i="2" s="1"/>
  <c r="C52" i="12"/>
  <c r="C52" i="6"/>
  <c r="G34" i="8"/>
  <c r="I34" i="8" s="1"/>
  <c r="J34" i="8" s="1"/>
  <c r="C35" i="8"/>
  <c r="C36" i="8" s="1"/>
  <c r="C68" i="8"/>
  <c r="C38" i="6" l="1"/>
  <c r="C38" i="12"/>
  <c r="C6" i="8"/>
  <c r="J21" i="8"/>
  <c r="G36" i="8"/>
  <c r="I36" i="8" s="1"/>
  <c r="C37" i="8"/>
  <c r="G35" i="8"/>
  <c r="I35" i="8" s="1"/>
  <c r="J35" i="8" s="1"/>
  <c r="E82" i="8"/>
  <c r="E83" i="8"/>
  <c r="E85" i="8"/>
  <c r="E84" i="8"/>
  <c r="J36" i="8" l="1"/>
  <c r="E120" i="6"/>
  <c r="E120" i="12"/>
  <c r="E121" i="6"/>
  <c r="E121" i="12"/>
  <c r="E118" i="12"/>
  <c r="E118" i="6"/>
  <c r="E119" i="12"/>
  <c r="E119" i="6"/>
  <c r="E24" i="9"/>
  <c r="E29" i="9"/>
  <c r="E23" i="9"/>
  <c r="E22" i="9"/>
  <c r="G37" i="8"/>
  <c r="I37" i="8" s="1"/>
  <c r="J37" i="8" s="1"/>
  <c r="C38" i="8"/>
  <c r="C36" i="9" l="1"/>
  <c r="C25" i="9"/>
  <c r="G38" i="8"/>
  <c r="I38" i="8" s="1"/>
  <c r="J38" i="8" s="1"/>
  <c r="C39" i="8"/>
  <c r="F34" i="9" l="1"/>
  <c r="D62" i="9"/>
  <c r="D63" i="9"/>
  <c r="D67" i="9"/>
  <c r="D66" i="9"/>
  <c r="G39" i="8"/>
  <c r="I39" i="8" s="1"/>
  <c r="J39" i="8" s="1"/>
  <c r="C40" i="8"/>
  <c r="C41" i="8" s="1"/>
  <c r="C125" i="12"/>
  <c r="C18" i="12" s="1"/>
  <c r="C125" i="6"/>
  <c r="C18" i="6" s="1"/>
  <c r="F53" i="9"/>
  <c r="C53" i="9" s="1"/>
  <c r="H69" i="2"/>
  <c r="H11" i="2"/>
  <c r="H19" i="2" s="1"/>
  <c r="E10" i="12" l="1"/>
  <c r="C42" i="8"/>
  <c r="G41" i="8"/>
  <c r="I41" i="8" s="1"/>
  <c r="G40" i="8"/>
  <c r="I40" i="8" s="1"/>
  <c r="J40" i="8" s="1"/>
  <c r="H114" i="2"/>
  <c r="H110" i="2" s="1"/>
  <c r="E66" i="9"/>
  <c r="D144" i="12"/>
  <c r="E62" i="9"/>
  <c r="D140" i="12"/>
  <c r="D145" i="6"/>
  <c r="D145" i="12"/>
  <c r="D141" i="6"/>
  <c r="D141" i="12"/>
  <c r="D144" i="6"/>
  <c r="D140" i="6"/>
  <c r="E67" i="9"/>
  <c r="E63" i="9"/>
  <c r="E141" i="12" s="1"/>
  <c r="C23" i="12" s="1"/>
  <c r="H14" i="2"/>
  <c r="H85" i="2" s="1"/>
  <c r="H72" i="2"/>
  <c r="H111" i="2" s="1"/>
  <c r="J41" i="8" l="1"/>
  <c r="E10" i="6"/>
  <c r="G42" i="8"/>
  <c r="I42" i="8" s="1"/>
  <c r="J42" i="8" s="1"/>
  <c r="C43" i="8"/>
  <c r="E145" i="6"/>
  <c r="C25" i="6" s="1"/>
  <c r="E145" i="12"/>
  <c r="C25" i="12" s="1"/>
  <c r="G62" i="9"/>
  <c r="E140" i="12"/>
  <c r="C22" i="12" s="1"/>
  <c r="E140" i="6"/>
  <c r="C22" i="6" s="1"/>
  <c r="E144" i="6"/>
  <c r="C24" i="6" s="1"/>
  <c r="E144" i="12"/>
  <c r="C24" i="12" s="1"/>
  <c r="G67" i="9"/>
  <c r="H108" i="2"/>
  <c r="G63" i="9"/>
  <c r="E141" i="6"/>
  <c r="H118" i="2"/>
  <c r="H119" i="2" s="1"/>
  <c r="H75" i="2"/>
  <c r="G69" i="2"/>
  <c r="D54" i="3"/>
  <c r="D50" i="3"/>
  <c r="G11" i="2"/>
  <c r="G19" i="2" s="1"/>
  <c r="G43" i="8" l="1"/>
  <c r="I43" i="8" s="1"/>
  <c r="J43" i="8" s="1"/>
  <c r="C44" i="8"/>
  <c r="G91" i="2"/>
  <c r="G114" i="2"/>
  <c r="D66" i="12" s="1"/>
  <c r="C23" i="6"/>
  <c r="H80" i="2"/>
  <c r="G14" i="2"/>
  <c r="G85" i="2" s="1"/>
  <c r="G72" i="2"/>
  <c r="G111" i="2" s="1"/>
  <c r="C45" i="8" l="1"/>
  <c r="G44" i="8"/>
  <c r="I44" i="8" s="1"/>
  <c r="J44" i="8" s="1"/>
  <c r="D67" i="12"/>
  <c r="C60" i="12"/>
  <c r="G110" i="2"/>
  <c r="D66" i="6"/>
  <c r="G108" i="2"/>
  <c r="G118" i="2"/>
  <c r="G119" i="2" s="1"/>
  <c r="G75" i="2"/>
  <c r="J69" i="2"/>
  <c r="I69" i="2"/>
  <c r="N69" i="2"/>
  <c r="L69" i="2"/>
  <c r="J11" i="2"/>
  <c r="J19" i="2" s="1"/>
  <c r="M69" i="2"/>
  <c r="L11" i="2"/>
  <c r="K11" i="2"/>
  <c r="K19" i="2" s="1"/>
  <c r="N11" i="2"/>
  <c r="N19" i="2" s="1"/>
  <c r="M11" i="2"/>
  <c r="I11" i="2"/>
  <c r="I19" i="2" s="1"/>
  <c r="K69" i="2"/>
  <c r="L114" i="2" l="1"/>
  <c r="L110" i="2" s="1"/>
  <c r="L19" i="2"/>
  <c r="M114" i="2"/>
  <c r="M110" i="2" s="1"/>
  <c r="M19" i="2"/>
  <c r="G45" i="8"/>
  <c r="I45" i="8" s="1"/>
  <c r="J45" i="8" s="1"/>
  <c r="C46" i="8"/>
  <c r="K14" i="2"/>
  <c r="K85" i="2" s="1"/>
  <c r="K114" i="2"/>
  <c r="K110" i="2" s="1"/>
  <c r="N91" i="2"/>
  <c r="N114" i="2"/>
  <c r="N110" i="2" s="1"/>
  <c r="D67" i="6"/>
  <c r="I114" i="2"/>
  <c r="I110" i="2" s="1"/>
  <c r="J114" i="2"/>
  <c r="J110" i="2" s="1"/>
  <c r="C8" i="9"/>
  <c r="C60" i="6"/>
  <c r="G80" i="2"/>
  <c r="K72" i="2"/>
  <c r="K111" i="2" s="1"/>
  <c r="K91" i="2"/>
  <c r="L91" i="2"/>
  <c r="M91" i="2"/>
  <c r="I91" i="2"/>
  <c r="H91" i="2"/>
  <c r="J91" i="2"/>
  <c r="I14" i="2"/>
  <c r="I85" i="2" s="1"/>
  <c r="I72" i="2"/>
  <c r="I111" i="2" s="1"/>
  <c r="N14" i="2"/>
  <c r="N85" i="2" s="1"/>
  <c r="N72" i="2"/>
  <c r="N111" i="2" s="1"/>
  <c r="L14" i="2"/>
  <c r="L85" i="2" s="1"/>
  <c r="L72" i="2"/>
  <c r="L111" i="2" s="1"/>
  <c r="J14" i="2"/>
  <c r="J85" i="2" s="1"/>
  <c r="J72" i="2"/>
  <c r="J111" i="2" s="1"/>
  <c r="M14" i="2"/>
  <c r="M85" i="2" s="1"/>
  <c r="M72" i="2"/>
  <c r="M111" i="2" s="1"/>
  <c r="K75" i="2" l="1"/>
  <c r="K118" i="2"/>
  <c r="K119" i="2" s="1"/>
  <c r="K108" i="2"/>
  <c r="C47" i="8"/>
  <c r="G46" i="8"/>
  <c r="I46" i="8" s="1"/>
  <c r="J46" i="8" s="1"/>
  <c r="N75" i="2"/>
  <c r="L118" i="2"/>
  <c r="L119" i="2" s="1"/>
  <c r="N108" i="2"/>
  <c r="I108" i="2"/>
  <c r="J108" i="2"/>
  <c r="M118" i="2"/>
  <c r="M119" i="2" s="1"/>
  <c r="I118" i="2"/>
  <c r="I119" i="2" s="1"/>
  <c r="J75" i="2"/>
  <c r="N118" i="2"/>
  <c r="N119" i="2" s="1"/>
  <c r="M75" i="2"/>
  <c r="I80" i="2"/>
  <c r="I75" i="2"/>
  <c r="J118" i="2"/>
  <c r="J119" i="2" s="1"/>
  <c r="K80" i="2"/>
  <c r="L75" i="2"/>
  <c r="N80" i="2"/>
  <c r="C69" i="2"/>
  <c r="C50" i="3"/>
  <c r="C54" i="3"/>
  <c r="C48" i="8" l="1"/>
  <c r="G47" i="8"/>
  <c r="I47" i="8" s="1"/>
  <c r="J47" i="8" s="1"/>
  <c r="L80" i="2"/>
  <c r="C81" i="6"/>
  <c r="C81" i="12"/>
  <c r="M108" i="2"/>
  <c r="L108" i="2"/>
  <c r="C14" i="9"/>
  <c r="M80" i="2"/>
  <c r="C72" i="2"/>
  <c r="C111" i="2" s="1"/>
  <c r="C91" i="2"/>
  <c r="J80" i="2"/>
  <c r="C73" i="2"/>
  <c r="C49" i="8" l="1"/>
  <c r="G48" i="8"/>
  <c r="I48" i="8" s="1"/>
  <c r="J48" i="8" s="1"/>
  <c r="C67" i="12"/>
  <c r="C118" i="2"/>
  <c r="G49" i="8" l="1"/>
  <c r="I49" i="8" s="1"/>
  <c r="J49" i="8" s="1"/>
  <c r="C50" i="8"/>
  <c r="C67" i="6"/>
  <c r="C75" i="2"/>
  <c r="C9" i="9"/>
  <c r="G50" i="8" l="1"/>
  <c r="I50" i="8" s="1"/>
  <c r="J50" i="8" s="1"/>
  <c r="C51" i="8"/>
  <c r="G51" i="8" s="1"/>
  <c r="C61" i="6"/>
  <c r="C119" i="2"/>
  <c r="C80" i="2"/>
  <c r="I51" i="8" l="1"/>
  <c r="J51" i="8"/>
  <c r="C62" i="6"/>
  <c r="C62" i="12"/>
  <c r="C8" i="8" l="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9"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<sst xmlns="http://schemas.openxmlformats.org/spreadsheetml/2006/main" count="746" uniqueCount="552">
  <si>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</si>
  <si>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</si>
  <si>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</si>
  <si>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</si>
  <si>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</si>
  <si>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</si>
  <si>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</si>
  <si>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</si>
  <si>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</si>
  <si>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</si>
  <si>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</si>
  <si>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</si>
  <si>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</si>
  <si>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</si>
  <si>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</si>
  <si>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</si>
  <si>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</si>
  <si>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</si>
  <si>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</si>
  <si>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</si>
  <si>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</si>
  <si>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</si>
  <si>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</si>
  <si>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</si>
  <si>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</si>
  <si>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</si>
  <si>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</si>
  <si>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</si>
  <si>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</si>
  <si>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</si>
  <si>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</si>
  <si>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</si>
  <si>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</si>
  <si>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</si>
  <si>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</si>
  <si>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</si>
  <si>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</si>
  <si>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</si>
  <si>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</si>
  <si>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</si>
  <si>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</si>
  <si>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</si>
  <si>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</si>
  <si>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</si>
  <si>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</si>
  <si>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</si>
  <si>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</si>
  <si>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</si>
  <si>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</si>
  <si>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</si>
  <si>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</si>
  <si>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</si>
  <si>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</si>
  <si>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</si>
  <si>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</si>
  <si>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</si>
  <si>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</si>
  <si>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</si>
  <si>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</si>
  <si>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</si>
  <si>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</si>
  <si>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</si>
  <si>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</si>
  <si>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</si>
  <si>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</si>
  <si>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</si>
  <si>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</si>
  <si>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</si>
  <si>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</si>
  <si>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</si>
  <si>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</si>
  <si>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</si>
  <si>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</si>
  <si>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</si>
  <si>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</si>
  <si>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</si>
  <si>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</si>
  <si>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</si>
  <si>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</si>
  <si>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</si>
  <si>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</si>
  <si>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</si>
  <si>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</si>
  <si>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</si>
  <si>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</si>
  <si>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</si>
  <si>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</si>
  <si>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</si>
  <si>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</si>
  <si>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</si>
  <si>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</si>
  <si>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</si>
  <si>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Equity Value per share</t>
    <phoneticPr fontId="2" type="noConversion"/>
  </si>
  <si>
    <t>Value Per Share</t>
    <phoneticPr fontId="2" type="noConversion"/>
  </si>
  <si>
    <t>Year</t>
    <phoneticPr fontId="27" type="noConversion"/>
  </si>
  <si>
    <t>HGP</t>
    <phoneticPr fontId="2" type="noConversion"/>
  </si>
  <si>
    <t>Value per share</t>
    <phoneticPr fontId="2" type="noConversion"/>
  </si>
  <si>
    <t>Scenarios</t>
    <phoneticPr fontId="27" type="noConversion"/>
  </si>
  <si>
    <t>PV(Dividends)</t>
    <phoneticPr fontId="2" type="noConversion"/>
  </si>
  <si>
    <t>PV(Equity Value)</t>
    <phoneticPr fontId="2" type="noConversion"/>
  </si>
  <si>
    <t>/Equity Cost of Capital</t>
    <phoneticPr fontId="2" type="noConversion"/>
  </si>
  <si>
    <t>Inputs</t>
    <phoneticPr fontId="27"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</si>
  <si>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</si>
  <si>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</si>
  <si>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</si>
  <si>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</si>
  <si>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</si>
  <si>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</si>
  <si>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</si>
  <si>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</si>
  <si>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</si>
  <si>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</si>
  <si>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</si>
  <si>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</si>
  <si>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</si>
  <si>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</si>
  <si>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</si>
  <si>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</si>
  <si>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</si>
  <si>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</si>
  <si>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</si>
  <si>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</si>
  <si>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</si>
  <si>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</si>
  <si>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</si>
  <si>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</si>
  <si>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</si>
  <si>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</si>
  <si>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</si>
  <si>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</si>
  <si>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</si>
  <si>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</si>
  <si>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</si>
  <si>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</si>
  <si>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</si>
  <si>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</si>
  <si>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</si>
  <si>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</si>
  <si>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</si>
  <si>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</si>
  <si>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</si>
  <si>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</si>
  <si>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</si>
  <si>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</si>
  <si>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</si>
  <si>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</si>
  <si>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</si>
  <si>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</si>
  <si>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</si>
  <si>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</si>
  <si>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</si>
  <si>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</si>
  <si>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</si>
  <si>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</si>
  <si>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</si>
  <si>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</si>
  <si>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</si>
  <si>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</si>
  <si>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</si>
  <si>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</si>
  <si>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</si>
  <si>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</si>
  <si>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</si>
  <si>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</si>
  <si>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</si>
  <si>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</si>
  <si>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</si>
  <si>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</si>
  <si>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</si>
  <si>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</si>
  <si>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</si>
  <si>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</si>
  <si>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</si>
  <si>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</si>
  <si>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</si>
  <si>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</si>
  <si>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</si>
  <si>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</si>
  <si>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</si>
  <si>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</si>
  <si>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</si>
  <si>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</si>
  <si>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</si>
  <si>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</si>
  <si>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</si>
  <si>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</si>
  <si>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</si>
  <si>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</si>
  <si>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</si>
  <si>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</si>
  <si>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</si>
  <si>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</si>
  <si>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</si>
  <si>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</si>
  <si>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</si>
  <si>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</si>
  <si>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</si>
  <si>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</si>
  <si>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</si>
  <si>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</si>
  <si>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</si>
  <si>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</si>
  <si>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</si>
  <si>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</si>
  <si>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</si>
  <si>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</si>
  <si>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</si>
  <si>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</si>
  <si>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7" type="noConversion"/>
  </si>
  <si>
    <t>EV per share</t>
    <phoneticPr fontId="2" type="noConversion"/>
  </si>
  <si>
    <t xml:space="preserve">Annual Dividend per share = </t>
    <phoneticPr fontId="2" type="noConversion"/>
  </si>
  <si>
    <t xml:space="preserve">Expected Holding period = </t>
    <phoneticPr fontId="27"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</si>
  <si>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</si>
  <si>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</si>
  <si>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</si>
  <si>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</si>
  <si>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</si>
  <si>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</si>
  <si>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</si>
  <si>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</si>
  <si>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</si>
  <si>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</si>
  <si>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</si>
  <si>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</si>
  <si>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</si>
  <si>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</si>
  <si>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</si>
  <si>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</si>
  <si>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</si>
  <si>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</si>
  <si>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</si>
  <si>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</si>
  <si>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</si>
  <si>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</si>
  <si>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</si>
  <si>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</si>
  <si>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</si>
  <si>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</si>
  <si>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</si>
  <si>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</si>
  <si>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</si>
  <si>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</si>
  <si>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</si>
  <si>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</si>
  <si>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</si>
  <si>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</si>
  <si>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</si>
  <si>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</si>
  <si>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</si>
  <si>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</si>
  <si>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</si>
  <si>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</si>
  <si>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</si>
  <si>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</si>
  <si>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</si>
  <si>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</si>
  <si>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</si>
  <si>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</si>
  <si>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</si>
  <si>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</si>
  <si>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</si>
  <si>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</si>
  <si>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</si>
  <si>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</si>
  <si>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</si>
  <si>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</si>
  <si>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</si>
  <si>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</si>
  <si>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</si>
  <si>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</si>
  <si>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</si>
  <si>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</si>
  <si>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</si>
  <si>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</si>
  <si>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</si>
  <si>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</si>
  <si>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</si>
  <si>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</si>
  <si>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</si>
  <si>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</si>
  <si>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</si>
  <si>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</si>
  <si>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</si>
  <si>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</si>
  <si>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</si>
  <si>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</si>
  <si>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</si>
  <si>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</si>
  <si>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</si>
  <si>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</si>
  <si>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</si>
  <si>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</si>
  <si>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</si>
  <si>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</si>
  <si>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</si>
  <si>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</si>
  <si>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</si>
  <si>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</si>
  <si>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</si>
  <si>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</si>
  <si>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</si>
  <si>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</si>
  <si>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</si>
  <si>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</si>
  <si>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</si>
  <si>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</si>
  <si>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</si>
  <si>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</si>
  <si>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</si>
  <si>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</si>
  <si>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</si>
  <si>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</si>
  <si>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</si>
  <si>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</si>
  <si>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</si>
  <si>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</si>
  <si>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</si>
  <si>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</si>
  <si>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</si>
  <si>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</si>
  <si>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</si>
  <si>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</si>
  <si>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</si>
  <si>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</si>
  <si>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</si>
  <si>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</si>
  <si>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</si>
  <si>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</si>
  <si>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</si>
  <si>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</si>
  <si>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</si>
  <si>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</si>
  <si>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</si>
  <si>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</si>
  <si>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</si>
  <si>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</si>
  <si>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</si>
  <si>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</si>
  <si>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</si>
  <si>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</si>
  <si>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</si>
  <si>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</si>
  <si>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</si>
  <si>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</si>
  <si>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</si>
  <si>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</si>
  <si>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</si>
  <si>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</si>
  <si>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</si>
  <si>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</si>
  <si>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</si>
  <si>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</si>
  <si>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</si>
  <si>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</si>
  <si>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</si>
  <si>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</si>
  <si>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</si>
  <si>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</si>
  <si>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</si>
  <si>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</si>
  <si>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</si>
  <si>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</si>
  <si>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</si>
  <si>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</si>
  <si>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</si>
  <si>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</si>
  <si>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</si>
  <si>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</si>
  <si>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</si>
  <si>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</si>
  <si>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</si>
  <si>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</si>
  <si>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</si>
  <si>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</si>
  <si>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</si>
  <si>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</si>
  <si>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</si>
  <si>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</si>
  <si>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</si>
  <si>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</si>
  <si>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</si>
  <si>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Contribution Margin</t>
  </si>
  <si>
    <t>G&amp;A and other Opex</t>
  </si>
  <si>
    <t>Tax rate</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</si>
  <si>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</si>
  <si>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</si>
  <si>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</si>
  <si>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</si>
  <si>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</si>
  <si>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</si>
  <si>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</si>
  <si>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</si>
  <si>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</si>
  <si>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</si>
  <si>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</si>
  <si>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</si>
  <si>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</si>
  <si>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</si>
  <si>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</si>
  <si>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</si>
  <si>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</si>
  <si>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Other Income, includes</t>
  </si>
  <si>
    <t>T</t>
  </si>
  <si>
    <t>PV of FCFE/TV</t>
  </si>
  <si>
    <t>PV of total FCFE =</t>
  </si>
  <si>
    <t>High g Period (HGP)</t>
  </si>
  <si>
    <t>High g Rate (HGR)</t>
  </si>
  <si>
    <t>Value per share</t>
  </si>
  <si>
    <t>Equity Value</t>
  </si>
  <si>
    <t>Value</t>
  </si>
  <si>
    <t>Terminal g Rate:</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</si>
  <si>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</si>
  <si>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</si>
  <si>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</si>
  <si>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</si>
  <si>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</si>
  <si>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</si>
  <si>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</si>
  <si>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</si>
  <si>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</si>
  <si>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</si>
  <si>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</si>
  <si>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</si>
  <si>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</si>
  <si>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</si>
  <si>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</si>
  <si>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</si>
  <si>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</si>
  <si>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</si>
  <si>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</si>
  <si>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</si>
  <si>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</si>
  <si>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</si>
  <si>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</si>
  <si>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</si>
  <si>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</si>
  <si>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</si>
  <si>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</si>
  <si>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</si>
  <si>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</si>
  <si>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</si>
  <si>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</si>
  <si>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</si>
  <si>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</si>
  <si>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</si>
  <si>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</si>
  <si>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</si>
  <si>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</si>
  <si>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</si>
  <si>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</si>
  <si>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</si>
  <si>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</si>
  <si>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</si>
  <si>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</si>
  <si>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</si>
  <si>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</si>
  <si>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</si>
  <si>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</si>
  <si>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</si>
  <si>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</si>
  <si>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</si>
  <si>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</si>
  <si>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</si>
  <si>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</si>
  <si>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</si>
  <si>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</si>
  <si>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</si>
  <si>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</si>
  <si>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</si>
  <si>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</si>
  <si>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</si>
  <si>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</si>
  <si>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</si>
  <si>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</si>
  <si>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</si>
  <si>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</si>
  <si>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</si>
  <si>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</si>
  <si>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</si>
  <si>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</si>
  <si>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</si>
  <si>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</si>
  <si>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</si>
  <si>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</si>
  <si>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</si>
  <si>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</si>
  <si>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</si>
  <si>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</si>
  <si>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</si>
  <si>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</si>
  <si>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</si>
  <si>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</si>
  <si>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</si>
  <si>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</si>
  <si>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</si>
  <si>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</si>
  <si>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</si>
  <si>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</si>
  <si>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</si>
  <si>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</si>
  <si>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</si>
  <si>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</si>
  <si>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</si>
  <si>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</si>
  <si>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</si>
  <si>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</si>
  <si>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</si>
  <si>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</si>
  <si>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</si>
  <si>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</si>
  <si>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</si>
  <si>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</si>
  <si>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</si>
  <si>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</si>
  <si>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</si>
  <si>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</si>
  <si>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</si>
  <si>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</si>
  <si>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</si>
  <si>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Prompt for fundamental Analysis</t>
  </si>
  <si>
    <t>accepts 5-10, 15, 20, 25, or 30</t>
  </si>
  <si>
    <t>兴业银行</t>
  </si>
  <si>
    <t>FIN_01</t>
  </si>
  <si>
    <t>601166.SS</t>
  </si>
  <si>
    <t>Reference the market rate</t>
  </si>
  <si>
    <t>Use Last year's rate</t>
  </si>
  <si>
    <t>No-Growth DMM</t>
  </si>
  <si>
    <t>No-Growth DDM Valuation</t>
  </si>
  <si>
    <t>Growth DDM Valuation</t>
  </si>
  <si>
    <t>Dividend Analysis</t>
  </si>
  <si>
    <t>Payout Ratio</t>
  </si>
  <si>
    <t>Dividend</t>
  </si>
  <si>
    <t>Normalized Dividend</t>
  </si>
  <si>
    <t>Pre-tax Profit/Assets</t>
  </si>
  <si>
    <t>Divid. g</t>
  </si>
  <si>
    <t>Service Income</t>
  </si>
  <si>
    <t>Interest Yield/AUM</t>
  </si>
  <si>
    <t>Debt Cost</t>
  </si>
  <si>
    <t>Asset Return</t>
  </si>
  <si>
    <t>AUM Income</t>
  </si>
  <si>
    <t>AUM</t>
  </si>
  <si>
    <t>DEBT</t>
  </si>
  <si>
    <t>AUM Yield</t>
  </si>
  <si>
    <t>Fixed Cost</t>
  </si>
  <si>
    <t>Equity/Total Asset</t>
  </si>
  <si>
    <t>Investment Income</t>
  </si>
  <si>
    <t>% of Asset</t>
  </si>
  <si>
    <t>Total Revenue</t>
  </si>
  <si>
    <t>Variable Costs</t>
  </si>
  <si>
    <t>Debt Cost - Variable</t>
  </si>
  <si>
    <t>Selling Expenses</t>
  </si>
  <si>
    <t>R&amp;D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</si>
</sst>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1"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19" fillId="0" borderId="1" xfId="0" applyFont="1" applyBorder="1"/>
    <xf numFmtId="0" fontId="7" fillId="0" borderId="1" xfId="0" quotePrefix="1" applyFont="1" applyBorder="1" applyAlignment="1">
      <alignment horizontal="lef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0" fillId="0" borderId="1" xfId="0" quotePrefix="1" applyFont="1" applyBorder="1" applyAlignment="1">
      <alignment horizontal="left" wrapText="1"/>
    </xf>
    <xf numFmtId="0" fontId="21"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2" fillId="0" borderId="1" xfId="0" applyNumberFormat="1" applyFont="1" applyBorder="1" applyAlignment="1">
      <alignment horizontal="right"/>
    </xf>
    <xf numFmtId="0" fontId="23" fillId="0" borderId="2" xfId="0" applyFont="1" applyBorder="1"/>
    <xf numFmtId="0" fontId="23" fillId="0" borderId="0" xfId="0" applyFont="1" applyAlignment="1">
      <alignment horizontal="left" indent="1"/>
    </xf>
    <xf numFmtId="39" fontId="23"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3"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6" fillId="6" borderId="3" xfId="0" applyFont="1" applyFill="1" applyBorder="1" applyAlignment="1">
      <alignment horizontal="center"/>
    </xf>
    <xf numFmtId="0" fontId="26" fillId="6" borderId="0" xfId="0" applyFont="1" applyFill="1" applyAlignment="1">
      <alignment horizontal="center"/>
    </xf>
    <xf numFmtId="9" fontId="29" fillId="0" borderId="0" xfId="0" applyNumberFormat="1" applyFont="1"/>
    <xf numFmtId="9" fontId="23" fillId="0" borderId="0" xfId="0" applyNumberFormat="1" applyFont="1"/>
    <xf numFmtId="170" fontId="30" fillId="0" borderId="0" xfId="0" applyNumberFormat="1" applyFont="1"/>
    <xf numFmtId="10" fontId="24" fillId="0" borderId="0" xfId="0" applyNumberFormat="1" applyFont="1"/>
    <xf numFmtId="39" fontId="0" fillId="0" borderId="3" xfId="0" applyNumberFormat="1" applyBorder="1" applyAlignment="1">
      <alignment horizontal="center"/>
    </xf>
    <xf numFmtId="9" fontId="1" fillId="0" borderId="0" xfId="0" applyNumberFormat="1" applyFont="1"/>
    <xf numFmtId="174" fontId="23" fillId="0" borderId="1" xfId="0" applyNumberFormat="1" applyFont="1" applyBorder="1" applyAlignment="1">
      <alignment horizontal="right"/>
    </xf>
    <xf numFmtId="10" fontId="24" fillId="0" borderId="3" xfId="0" applyNumberFormat="1" applyFont="1" applyBorder="1" applyAlignment="1">
      <alignment horizontal="center"/>
    </xf>
    <xf numFmtId="175" fontId="29" fillId="0" borderId="0" xfId="0" applyNumberFormat="1" applyFont="1"/>
    <xf numFmtId="175" fontId="23" fillId="0" borderId="0" xfId="0" applyNumberFormat="1" applyFont="1"/>
    <xf numFmtId="175" fontId="24"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3" fillId="0" borderId="0" xfId="0" quotePrefix="1" applyFont="1" applyAlignment="1">
      <alignment horizontal="left" indent="1"/>
    </xf>
    <xf numFmtId="175" fontId="25" fillId="0" borderId="0" xfId="0" applyNumberFormat="1" applyFont="1"/>
    <xf numFmtId="10" fontId="25" fillId="0" borderId="0" xfId="0" applyNumberFormat="1" applyFont="1"/>
    <xf numFmtId="0" fontId="1" fillId="0" borderId="0" xfId="0" applyFont="1" applyAlignment="1">
      <alignment vertical="center"/>
    </xf>
    <xf numFmtId="0" fontId="23" fillId="0" borderId="1" xfId="0" applyFont="1" applyBorder="1" applyAlignment="1">
      <alignment horizontal="left" indent="1"/>
    </xf>
    <xf numFmtId="0" fontId="31" fillId="0" borderId="0" xfId="0" applyFont="1"/>
    <xf numFmtId="10" fontId="31" fillId="0" borderId="0" xfId="0" applyNumberFormat="1" applyFont="1" applyAlignment="1">
      <alignment horizontal="center"/>
    </xf>
    <xf numFmtId="0" fontId="33" fillId="0" borderId="1" xfId="0" quotePrefix="1" applyFont="1" applyBorder="1" applyAlignment="1">
      <alignment horizontal="left" wrapText="1"/>
    </xf>
    <xf numFmtId="10" fontId="0" fillId="0" borderId="0" xfId="0" applyNumberFormat="1"/>
    <xf numFmtId="0" fontId="34" fillId="0" borderId="0" xfId="0" applyFont="1"/>
    <xf numFmtId="174" fontId="0" fillId="0" borderId="0" xfId="0" applyNumberFormat="1"/>
    <xf numFmtId="10" fontId="24" fillId="0" borderId="0" xfId="0" applyNumberFormat="1" applyFont="1" applyAlignment="1">
      <alignment vertical="center"/>
    </xf>
    <xf numFmtId="175" fontId="24" fillId="0" borderId="0" xfId="0" applyNumberFormat="1" applyFont="1" applyAlignment="1">
      <alignment vertical="center"/>
    </xf>
    <xf numFmtId="9" fontId="28" fillId="0" borderId="0" xfId="0" applyNumberFormat="1" applyFont="1"/>
    <xf numFmtId="175" fontId="24"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6" fillId="6" borderId="4" xfId="0" applyFont="1" applyFill="1" applyBorder="1" applyAlignment="1">
      <alignment horizontal="center"/>
    </xf>
    <xf numFmtId="0" fontId="26"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5"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6" fillId="0" borderId="0" xfId="0" applyFont="1" applyAlignment="1">
      <alignment horizontal="right"/>
    </xf>
    <xf numFmtId="0" fontId="37" fillId="0" borderId="1" xfId="0" applyFont="1" applyBorder="1" applyAlignment="1">
      <alignment horizontal="right"/>
    </xf>
    <xf numFmtId="0" fontId="18" fillId="0" borderId="5" xfId="0" applyFont="1" applyBorder="1"/>
    <xf numFmtId="0" fontId="36" fillId="0" borderId="6" xfId="0" applyFont="1" applyBorder="1" applyAlignment="1">
      <alignment horizontal="right"/>
    </xf>
    <xf numFmtId="0" fontId="37"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6" fillId="0" borderId="1" xfId="0" applyFont="1" applyBorder="1" applyAlignment="1">
      <alignment horizontal="right"/>
    </xf>
    <xf numFmtId="0" fontId="37"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4"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2" fillId="0" borderId="0" xfId="0" applyFont="1"/>
    <xf numFmtId="0" fontId="40" fillId="0" borderId="0" xfId="0" applyFont="1"/>
    <xf numFmtId="0" fontId="41" fillId="0" borderId="0" xfId="0" applyFont="1"/>
    <xf numFmtId="176" fontId="41" fillId="0" borderId="0" xfId="0" applyNumberFormat="1" applyFont="1"/>
    <xf numFmtId="0" fontId="3" fillId="0" borderId="0" xfId="0" quotePrefix="1" applyFont="1"/>
    <xf numFmtId="40" fontId="40" fillId="0" borderId="0" xfId="0" applyNumberFormat="1" applyFont="1" applyAlignment="1">
      <alignment horizontal="right"/>
    </xf>
    <xf numFmtId="0" fontId="41" fillId="0" borderId="3" xfId="0" applyFont="1" applyBorder="1"/>
    <xf numFmtId="10" fontId="42" fillId="0" borderId="3" xfId="0" applyNumberFormat="1" applyFont="1" applyBorder="1" applyAlignment="1">
      <alignment horizontal="center"/>
    </xf>
    <xf numFmtId="175" fontId="42" fillId="0" borderId="3" xfId="0" applyNumberFormat="1" applyFont="1" applyBorder="1" applyAlignment="1">
      <alignment horizontal="center"/>
    </xf>
    <xf numFmtId="10" fontId="41" fillId="0" borderId="3" xfId="0" applyNumberFormat="1" applyFont="1" applyBorder="1" applyAlignment="1">
      <alignment horizontal="center"/>
    </xf>
    <xf numFmtId="0" fontId="43"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1" fillId="0" borderId="13" xfId="0" applyFont="1" applyBorder="1"/>
    <xf numFmtId="10" fontId="42" fillId="0" borderId="13" xfId="0" applyNumberFormat="1" applyFont="1" applyBorder="1" applyAlignment="1">
      <alignment horizontal="center"/>
    </xf>
    <xf numFmtId="175" fontId="42" fillId="0" borderId="13" xfId="0" applyNumberFormat="1" applyFont="1" applyBorder="1" applyAlignment="1">
      <alignment horizontal="center"/>
    </xf>
    <xf numFmtId="39" fontId="41" fillId="0" borderId="13" xfId="0" applyNumberFormat="1" applyFont="1" applyBorder="1" applyAlignment="1">
      <alignment horizontal="center"/>
    </xf>
    <xf numFmtId="10" fontId="41"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1" fillId="0" borderId="0" xfId="0" quotePrefix="1" applyFont="1"/>
    <xf numFmtId="0" fontId="41" fillId="0" borderId="1" xfId="0" quotePrefix="1" applyFont="1" applyBorder="1"/>
    <xf numFmtId="0" fontId="3" fillId="0" borderId="0" xfId="0" applyFont="1" applyAlignment="1">
      <alignment horizontal="right"/>
    </xf>
    <xf numFmtId="0" fontId="21"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4" fillId="0" borderId="0" xfId="0" applyNumberFormat="1" applyFont="1" applyAlignment="1">
      <alignment horizontal="right"/>
    </xf>
    <xf numFmtId="0" fontId="1" fillId="0" borderId="0" xfId="0" applyFont="1" applyAlignment="1">
      <alignment horizontal="left"/>
    </xf>
    <xf numFmtId="0" fontId="24" fillId="0" borderId="0" xfId="0" applyFont="1"/>
    <xf numFmtId="0" fontId="44"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6"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6" fillId="0" borderId="1" xfId="0" applyNumberFormat="1" applyFont="1" applyBorder="1" applyAlignment="1">
      <alignment horizontal="right"/>
    </xf>
    <xf numFmtId="0" fontId="46" fillId="0" borderId="0" xfId="0" applyFont="1"/>
    <xf numFmtId="10" fontId="46" fillId="0" borderId="1" xfId="0" applyNumberFormat="1" applyFont="1" applyBorder="1" applyAlignment="1">
      <alignment wrapText="1"/>
    </xf>
    <xf numFmtId="10" fontId="46" fillId="0" borderId="1" xfId="0" quotePrefix="1" applyNumberFormat="1" applyFont="1" applyBorder="1" applyAlignment="1">
      <alignment wrapText="1"/>
    </xf>
    <xf numFmtId="0" fontId="47" fillId="0" borderId="1" xfId="0" quotePrefix="1" applyFont="1" applyBorder="1" applyAlignment="1">
      <alignment horizontal="left" wrapText="1"/>
    </xf>
    <xf numFmtId="37" fontId="47" fillId="0" borderId="1" xfId="0" applyNumberFormat="1" applyFont="1" applyBorder="1" applyAlignment="1">
      <alignment horizontal="left" wrapText="1"/>
    </xf>
    <xf numFmtId="37" fontId="47" fillId="0" borderId="1" xfId="0" quotePrefix="1" applyNumberFormat="1" applyFont="1" applyBorder="1" applyAlignment="1">
      <alignment horizontal="left" wrapText="1"/>
    </xf>
    <xf numFmtId="0" fontId="47" fillId="0" borderId="1" xfId="0" applyFont="1" applyBorder="1"/>
    <xf numFmtId="0" fontId="47" fillId="0" borderId="1" xfId="0" applyFont="1" applyBorder="1" applyAlignment="1">
      <alignment horizontal="left" wrapText="1"/>
    </xf>
    <xf numFmtId="0" fontId="48" fillId="0" borderId="1" xfId="0" applyFont="1" applyBorder="1" applyAlignment="1">
      <alignment horizontal="left" wrapText="1"/>
    </xf>
    <xf numFmtId="0" fontId="49" fillId="0" borderId="1" xfId="0" applyFont="1" applyBorder="1" applyAlignment="1">
      <alignment horizontal="left"/>
    </xf>
    <xf numFmtId="0" fontId="47" fillId="0" borderId="1" xfId="0" applyFont="1" applyBorder="1" applyAlignment="1">
      <alignment horizontal="right"/>
    </xf>
    <xf numFmtId="0" fontId="49" fillId="0" borderId="1" xfId="0" applyFont="1" applyBorder="1"/>
    <xf numFmtId="37" fontId="47" fillId="0" borderId="1" xfId="0" applyNumberFormat="1" applyFont="1" applyBorder="1" applyAlignment="1">
      <alignment horizontal="left" wrapText="1" indent="1"/>
    </xf>
    <xf numFmtId="37" fontId="47" fillId="0" borderId="1" xfId="0" quotePrefix="1" applyNumberFormat="1" applyFont="1" applyBorder="1" applyAlignment="1">
      <alignment horizontal="left"/>
    </xf>
    <xf numFmtId="37" fontId="47"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8" fillId="0" borderId="1" xfId="0" applyFont="1" applyBorder="1"/>
    <xf numFmtId="179" fontId="45" fillId="0" borderId="0" xfId="0" applyNumberFormat="1" applyFont="1"/>
    <xf numFmtId="10" fontId="0" fillId="0" borderId="0" xfId="0" applyNumberFormat="1" applyAlignment="1">
      <alignment horizontal="left"/>
    </xf>
    <xf numFmtId="0" fontId="38"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1"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2"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6"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3" fillId="0" borderId="0" xfId="0" applyNumberFormat="1" applyFont="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4"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4"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1" fillId="0" borderId="0" xfId="0" quotePrefix="1" applyFont="1"/>
    <xf numFmtId="0" fontId="1" fillId="0" borderId="1" xfId="0" applyFont="1" applyBorder="1"/>
    <xf numFmtId="0" fontId="23" fillId="0" borderId="2" xfId="0" applyFont="1" applyBorder="1" applyAlignment="1">
      <alignment horizontal="right"/>
    </xf>
    <xf numFmtId="175" fontId="24" fillId="0" borderId="1" xfId="0" applyNumberFormat="1" applyFont="1" applyBorder="1" applyAlignment="1">
      <alignment vertical="center"/>
    </xf>
    <xf numFmtId="10" fontId="24" fillId="0" borderId="1" xfId="0" applyNumberFormat="1" applyFont="1" applyBorder="1"/>
    <xf numFmtId="0" fontId="31" fillId="0" borderId="1" xfId="0" quotePrefix="1" applyFont="1" applyBorder="1" applyAlignment="1">
      <alignment horizontal="left" indent="1"/>
    </xf>
    <xf numFmtId="181" fontId="31" fillId="0" borderId="1" xfId="0" applyNumberFormat="1" applyFont="1" applyBorder="1"/>
    <xf numFmtId="0" fontId="1" fillId="0" borderId="3" xfId="0" applyFont="1" applyBorder="1" applyAlignment="1">
      <alignment horizontal="center"/>
    </xf>
    <xf numFmtId="0" fontId="1" fillId="0" borderId="3" xfId="0" applyFont="1" applyBorder="1" applyAlignment="1">
      <alignment horizontal="right"/>
    </xf>
    <xf numFmtId="181" fontId="23"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6" fillId="0" borderId="1" xfId="0" applyFont="1" applyBorder="1" applyAlignment="1">
      <alignment horizontal="center"/>
    </xf>
    <xf numFmtId="10" fontId="28" fillId="0" borderId="3" xfId="0" applyNumberFormat="1" applyFont="1" applyBorder="1"/>
    <xf numFmtId="175" fontId="24" fillId="0" borderId="3" xfId="0" applyNumberFormat="1" applyFont="1" applyBorder="1"/>
    <xf numFmtId="174" fontId="0" fillId="0" borderId="3" xfId="0" applyNumberFormat="1" applyBorder="1"/>
    <xf numFmtId="9" fontId="28" fillId="0" borderId="3" xfId="0" applyNumberFormat="1" applyFont="1" applyBorder="1"/>
    <xf numFmtId="9" fontId="24" fillId="0" borderId="3" xfId="0" applyNumberFormat="1" applyFont="1" applyBorder="1"/>
    <xf numFmtId="0" fontId="50"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3" fillId="0" borderId="3" xfId="0" applyNumberFormat="1" applyFont="1" applyBorder="1"/>
    <xf numFmtId="39" fontId="41" fillId="0" borderId="3" xfId="0" applyNumberFormat="1" applyFont="1" applyBorder="1"/>
    <xf numFmtId="174" fontId="10" fillId="0" borderId="3" xfId="0" applyNumberFormat="1" applyFont="1" applyBorder="1"/>
    <xf numFmtId="10" fontId="3" fillId="0" borderId="3" xfId="0" applyNumberFormat="1" applyFont="1" applyBorder="1"/>
    <xf numFmtId="0" fontId="41"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2" fillId="6" borderId="4" xfId="0" applyFont="1" applyFill="1" applyBorder="1" applyAlignment="1">
      <alignment horizontal="center"/>
    </xf>
    <xf numFmtId="0" fontId="52" fillId="6" borderId="1" xfId="0" applyFont="1" applyFill="1" applyBorder="1" applyAlignment="1">
      <alignment horizontal="center"/>
    </xf>
    <xf numFmtId="0" fontId="52" fillId="6" borderId="2" xfId="0" applyFont="1" applyFill="1" applyBorder="1" applyAlignment="1">
      <alignment horizontal="center"/>
    </xf>
    <xf numFmtId="0" fontId="53" fillId="0" borderId="0" xfId="0" applyFont="1"/>
    <xf numFmtId="0" fontId="55" fillId="0" borderId="1" xfId="0" applyFont="1" applyBorder="1" applyAlignment="1">
      <alignment horizontal="right"/>
    </xf>
    <xf numFmtId="0" fontId="57" fillId="3" borderId="0" xfId="0" applyFont="1" applyFill="1"/>
    <xf numFmtId="0" fontId="26" fillId="0" borderId="0" xfId="0" applyFont="1"/>
    <xf numFmtId="0" fontId="56" fillId="0" borderId="2" xfId="0" applyFont="1" applyBorder="1"/>
    <xf numFmtId="0" fontId="55" fillId="0" borderId="2" xfId="0" applyFont="1" applyBorder="1"/>
    <xf numFmtId="0" fontId="55" fillId="0" borderId="1" xfId="0" applyFont="1" applyBorder="1"/>
    <xf numFmtId="0" fontId="53" fillId="0" borderId="1" xfId="0" applyFont="1" applyBorder="1"/>
    <xf numFmtId="0" fontId="58" fillId="0" borderId="1" xfId="0" applyFont="1" applyBorder="1"/>
    <xf numFmtId="0" fontId="55" fillId="0" borderId="1" xfId="0" applyFont="1" applyBorder="1" applyAlignment="1">
      <alignment horizontal="left"/>
    </xf>
    <xf numFmtId="3" fontId="55" fillId="0" borderId="1" xfId="0" applyNumberFormat="1" applyFont="1" applyBorder="1" applyAlignment="1">
      <alignment horizontal="left"/>
    </xf>
    <xf numFmtId="0" fontId="59" fillId="0" borderId="1" xfId="0" applyFont="1" applyBorder="1" applyAlignment="1">
      <alignment horizontal="left"/>
    </xf>
    <xf numFmtId="49" fontId="55" fillId="0" borderId="1" xfId="0" applyNumberFormat="1" applyFont="1" applyBorder="1" applyAlignment="1">
      <alignment horizontal="left"/>
    </xf>
    <xf numFmtId="4" fontId="55" fillId="0" borderId="1" xfId="0" applyNumberFormat="1" applyFont="1" applyBorder="1" applyAlignment="1">
      <alignment horizontal="left"/>
    </xf>
    <xf numFmtId="165" fontId="55" fillId="0" borderId="1" xfId="0" applyNumberFormat="1" applyFont="1" applyBorder="1" applyAlignment="1">
      <alignment horizontal="left"/>
    </xf>
    <xf numFmtId="0" fontId="55" fillId="0" borderId="0" xfId="0" applyFont="1"/>
    <xf numFmtId="40" fontId="53" fillId="0" borderId="0" xfId="0" applyNumberFormat="1" applyFont="1" applyAlignment="1">
      <alignment horizontal="left"/>
    </xf>
    <xf numFmtId="10" fontId="53" fillId="0" borderId="0" xfId="0" applyNumberFormat="1" applyFont="1" applyAlignment="1">
      <alignment horizontal="right"/>
    </xf>
    <xf numFmtId="0" fontId="62" fillId="0" borderId="0" xfId="0" applyFont="1" applyAlignment="1">
      <alignment horizontal="left"/>
    </xf>
    <xf numFmtId="0" fontId="63" fillId="0" borderId="1" xfId="0" applyFont="1" applyBorder="1"/>
    <xf numFmtId="175" fontId="63" fillId="0" borderId="1" xfId="0" applyNumberFormat="1" applyFont="1" applyBorder="1" applyAlignment="1">
      <alignment horizontal="right"/>
    </xf>
    <xf numFmtId="174" fontId="55" fillId="0" borderId="1" xfId="0" applyNumberFormat="1" applyFont="1" applyBorder="1" applyAlignment="1">
      <alignment horizontal="left"/>
    </xf>
    <xf numFmtId="0" fontId="55" fillId="0" borderId="1" xfId="0" quotePrefix="1" applyFont="1" applyBorder="1"/>
    <xf numFmtId="10" fontId="55" fillId="0" borderId="1" xfId="0" applyNumberFormat="1" applyFont="1" applyBorder="1" applyAlignment="1">
      <alignment horizontal="right"/>
    </xf>
    <xf numFmtId="174" fontId="53" fillId="0" borderId="0" xfId="0" applyNumberFormat="1" applyFont="1" applyAlignment="1">
      <alignment horizontal="left"/>
    </xf>
    <xf numFmtId="10" fontId="55" fillId="0" borderId="0" xfId="0" applyNumberFormat="1" applyFont="1"/>
    <xf numFmtId="0" fontId="65" fillId="0" borderId="0" xfId="0" applyFont="1"/>
    <xf numFmtId="173" fontId="66" fillId="0" borderId="1" xfId="0" applyNumberFormat="1" applyFont="1" applyBorder="1" applyAlignment="1">
      <alignment horizontal="right"/>
    </xf>
    <xf numFmtId="0" fontId="53" fillId="0" borderId="0" xfId="0" applyFont="1" applyAlignment="1">
      <alignment horizontal="left" wrapText="1"/>
    </xf>
    <xf numFmtId="0" fontId="64" fillId="0" borderId="0" xfId="0" applyFont="1"/>
    <xf numFmtId="181" fontId="53" fillId="0" borderId="0" xfId="0" applyNumberFormat="1" applyFont="1"/>
    <xf numFmtId="37" fontId="53" fillId="0" borderId="0" xfId="0" applyNumberFormat="1" applyFont="1"/>
    <xf numFmtId="0" fontId="64" fillId="0" borderId="0" xfId="0" applyFont="1" applyAlignment="1">
      <alignment horizontal="left"/>
    </xf>
    <xf numFmtId="181" fontId="53" fillId="0" borderId="0" xfId="0" applyNumberFormat="1" applyFont="1" applyAlignment="1">
      <alignment horizontal="right"/>
    </xf>
    <xf numFmtId="0" fontId="64" fillId="0" borderId="0" xfId="0" quotePrefix="1" applyFont="1"/>
    <xf numFmtId="10" fontId="53" fillId="0" borderId="0" xfId="0" applyNumberFormat="1" applyFont="1"/>
    <xf numFmtId="180" fontId="53" fillId="0" borderId="0" xfId="0" applyNumberFormat="1" applyFont="1"/>
    <xf numFmtId="10" fontId="53" fillId="0" borderId="0" xfId="0" applyNumberFormat="1" applyFont="1" applyAlignment="1">
      <alignment horizontal="left"/>
    </xf>
    <xf numFmtId="0" fontId="65" fillId="0" borderId="0" xfId="0" applyFont="1" applyAlignment="1">
      <alignment horizontal="right"/>
    </xf>
    <xf numFmtId="0" fontId="60" fillId="0" borderId="0" xfId="0" applyFont="1" applyAlignment="1">
      <alignment horizontal="left" indent="1"/>
    </xf>
    <xf numFmtId="10" fontId="60" fillId="0" borderId="0" xfId="0" applyNumberFormat="1" applyFont="1"/>
    <xf numFmtId="166" fontId="60" fillId="0" borderId="0" xfId="0" applyNumberFormat="1" applyFont="1"/>
    <xf numFmtId="0" fontId="53" fillId="0" borderId="0" xfId="0" applyFont="1" applyAlignment="1">
      <alignment horizontal="center"/>
    </xf>
    <xf numFmtId="0" fontId="64" fillId="0" borderId="0" xfId="0" applyFont="1" applyAlignment="1">
      <alignment horizontal="center"/>
    </xf>
    <xf numFmtId="39" fontId="53" fillId="0" borderId="0" xfId="0" applyNumberFormat="1" applyFont="1"/>
    <xf numFmtId="9" fontId="60" fillId="0" borderId="0" xfId="0" applyNumberFormat="1" applyFont="1" applyAlignment="1">
      <alignment horizontal="right"/>
    </xf>
    <xf numFmtId="178" fontId="60" fillId="0" borderId="0" xfId="0" applyNumberFormat="1" applyFont="1" applyAlignment="1">
      <alignment horizontal="right"/>
    </xf>
    <xf numFmtId="181" fontId="60" fillId="0" borderId="0" xfId="0" applyNumberFormat="1" applyFont="1"/>
    <xf numFmtId="0" fontId="60" fillId="0" borderId="0" xfId="0" applyFont="1"/>
    <xf numFmtId="10" fontId="59" fillId="0" borderId="0" xfId="0" applyNumberFormat="1" applyFont="1"/>
    <xf numFmtId="0" fontId="61" fillId="0" borderId="0" xfId="0" applyFont="1"/>
    <xf numFmtId="39" fontId="64" fillId="0" borderId="0" xfId="0" applyNumberFormat="1" applyFont="1"/>
    <xf numFmtId="0" fontId="53" fillId="0" borderId="13" xfId="0" applyFont="1" applyBorder="1"/>
    <xf numFmtId="10" fontId="55" fillId="0" borderId="13" xfId="0" applyNumberFormat="1" applyFont="1" applyBorder="1" applyAlignment="1">
      <alignment horizontal="center"/>
    </xf>
    <xf numFmtId="175" fontId="55" fillId="0" borderId="13" xfId="0" applyNumberFormat="1" applyFont="1" applyBorder="1" applyAlignment="1">
      <alignment horizontal="center"/>
    </xf>
    <xf numFmtId="39" fontId="53" fillId="0" borderId="13" xfId="0" applyNumberFormat="1" applyFont="1" applyBorder="1" applyAlignment="1">
      <alignment horizontal="center"/>
    </xf>
    <xf numFmtId="10" fontId="53" fillId="0" borderId="13" xfId="0" applyNumberFormat="1" applyFont="1" applyBorder="1" applyAlignment="1">
      <alignment horizontal="center"/>
    </xf>
    <xf numFmtId="0" fontId="53" fillId="0" borderId="3" xfId="0" applyFont="1" applyBorder="1"/>
    <xf numFmtId="10" fontId="55" fillId="0" borderId="3" xfId="0" applyNumberFormat="1" applyFont="1" applyBorder="1" applyAlignment="1">
      <alignment horizontal="center"/>
    </xf>
    <xf numFmtId="175" fontId="55" fillId="0" borderId="3" xfId="0" applyNumberFormat="1" applyFont="1" applyBorder="1" applyAlignment="1">
      <alignment horizontal="center"/>
    </xf>
    <xf numFmtId="10" fontId="53" fillId="0" borderId="3" xfId="0" applyNumberFormat="1" applyFont="1" applyBorder="1" applyAlignment="1">
      <alignment horizontal="center"/>
    </xf>
    <xf numFmtId="40" fontId="64" fillId="0" borderId="0" xfId="0" applyNumberFormat="1" applyFont="1" applyAlignment="1">
      <alignment horizontal="right"/>
    </xf>
    <xf numFmtId="175" fontId="55" fillId="0" borderId="0" xfId="0" applyNumberFormat="1" applyFont="1"/>
    <xf numFmtId="176" fontId="53" fillId="0" borderId="0" xfId="0" applyNumberFormat="1" applyFont="1"/>
    <xf numFmtId="0" fontId="62" fillId="0" borderId="0" xfId="0" applyFont="1" applyAlignment="1">
      <alignment horizontal="right"/>
    </xf>
    <xf numFmtId="0" fontId="53" fillId="0" borderId="3" xfId="0" applyFont="1" applyBorder="1" applyAlignment="1">
      <alignment horizontal="center"/>
    </xf>
    <xf numFmtId="39" fontId="53" fillId="0" borderId="3" xfId="0" applyNumberFormat="1" applyFont="1" applyBorder="1"/>
    <xf numFmtId="174" fontId="64" fillId="0" borderId="3" xfId="0" applyNumberFormat="1" applyFont="1" applyBorder="1"/>
    <xf numFmtId="10" fontId="53" fillId="0" borderId="3" xfId="0" applyNumberFormat="1" applyFont="1" applyBorder="1"/>
    <xf numFmtId="0" fontId="53" fillId="0" borderId="0" xfId="0" quotePrefix="1" applyFont="1"/>
    <xf numFmtId="8" fontId="0" fillId="0" borderId="0" xfId="0" applyNumberFormat="1"/>
    <xf numFmtId="0" fontId="67" fillId="0" borderId="0" xfId="0" applyFont="1"/>
    <xf numFmtId="10" fontId="1" fillId="0" borderId="3" xfId="0" applyNumberFormat="1" applyFont="1" applyBorder="1"/>
    <xf numFmtId="10" fontId="46" fillId="0" borderId="0" xfId="0" applyNumberFormat="1" applyFont="1" applyAlignment="1">
      <alignment horizontal="left"/>
    </xf>
    <xf numFmtId="4" fontId="7" fillId="0" borderId="1" xfId="0" applyNumberFormat="1" applyFont="1" applyBorder="1" applyAlignment="1">
      <alignment horizontal="right"/>
    </xf>
    <xf numFmtId="0" fontId="46"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8" fillId="0" borderId="2" xfId="0" applyFont="1" applyBorder="1" applyAlignment="1">
      <alignment horizontal="left"/>
    </xf>
    <xf numFmtId="0" fontId="5" fillId="0" borderId="2" xfId="0" applyFont="1" applyBorder="1"/>
    <xf numFmtId="0" fontId="54" fillId="0" borderId="2" xfId="0" applyFont="1" applyBorder="1"/>
    <xf numFmtId="0" fontId="56" fillId="0" borderId="2" xfId="0" applyFont="1" applyBorder="1" applyAlignment="1">
      <alignment horizontal="left"/>
    </xf>
    <xf numFmtId="10" fontId="55" fillId="0" borderId="0" xfId="0" applyNumberFormat="1" applyFont="1" applyAlignment="1">
      <alignment horizontal="left"/>
    </xf>
    <xf numFmtId="4" fontId="55" fillId="0" borderId="1" xfId="0" applyNumberFormat="1" applyFont="1" applyBorder="1" applyAlignment="1">
      <alignment horizontal="right"/>
    </xf>
    <xf numFmtId="177" fontId="55" fillId="0" borderId="1" xfId="0" applyNumberFormat="1" applyFont="1" applyBorder="1" applyAlignment="1">
      <alignment horizontal="right"/>
    </xf>
    <xf numFmtId="164" fontId="55"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3" fillId="0" borderId="8" xfId="0" applyFont="1" applyBorder="1" applyAlignment="1">
      <alignment horizontal="right"/>
    </xf>
    <xf numFmtId="0" fontId="58" fillId="0" borderId="5" xfId="0" applyFont="1" applyBorder="1" applyAlignment="1">
      <alignment horizontal="right"/>
    </xf>
    <xf numFmtId="164" fontId="55" fillId="0" borderId="7" xfId="0" applyNumberFormat="1" applyFont="1" applyBorder="1" applyAlignment="1">
      <alignment horizontal="right"/>
    </xf>
    <xf numFmtId="0" fontId="55" fillId="0" borderId="9" xfId="0" applyFont="1" applyBorder="1" applyAlignment="1">
      <alignment horizontal="right"/>
    </xf>
    <xf numFmtId="0" fontId="55" fillId="0" borderId="10" xfId="0" applyFont="1" applyBorder="1" applyAlignment="1">
      <alignment horizontal="right"/>
    </xf>
    <xf numFmtId="0" fontId="55" fillId="0" borderId="11" xfId="0" applyFont="1" applyBorder="1" applyAlignment="1">
      <alignment horizontal="right"/>
    </xf>
    <xf numFmtId="10" fontId="0" fillId="0" borderId="3" xfId="0" applyNumberFormat="1" applyBorder="1" applyAlignment="1">
      <alignment horizontal="right"/>
    </xf>
    <xf numFmtId="40" fontId="31" fillId="0" borderId="0" xfId="0" applyNumberFormat="1" applyFont="1" applyAlignment="1">
      <alignment horizontal="right"/>
    </xf>
    <xf numFmtId="175" fontId="69"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5" fillId="0" borderId="0" xfId="0" applyFont="1" applyAlignment="1">
      <alignment horizontal="left"/>
    </xf>
    <xf numFmtId="0" fontId="1" fillId="0" borderId="1" xfId="0" applyFont="1" applyBorder="1" applyAlignment="1">
      <alignment vertical="center"/>
    </xf>
    <xf numFmtId="0" fontId="23" fillId="0" borderId="1" xfId="0" applyFont="1" applyBorder="1"/>
    <xf numFmtId="0" fontId="0" fillId="0" borderId="1" xfId="0" applyBorder="1"/>
    <xf numFmtId="181" fontId="23" fillId="0" borderId="1" xfId="0" applyNumberFormat="1" applyFont="1" applyBorder="1"/>
    <xf numFmtId="10" fontId="1" fillId="0" borderId="1" xfId="0" applyNumberFormat="1" applyFont="1" applyBorder="1"/>
    <xf numFmtId="10" fontId="31"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8" fillId="0" borderId="0" xfId="0" applyFont="1" applyAlignment="1">
      <alignment horizontal="left" wrapText="1"/>
    </xf>
    <xf numFmtId="0" fontId="23" fillId="0" borderId="3" xfId="0" applyFont="1" applyBorder="1" applyAlignment="1">
      <alignment horizontal="center"/>
    </xf>
    <xf numFmtId="0" fontId="1" fillId="0" borderId="3" xfId="0" applyFont="1" applyBorder="1" applyAlignment="1">
      <alignment horizontal="left" vertical="center" wrapText="1"/>
    </xf>
    <xf numFmtId="0" fontId="53" fillId="0" borderId="0" xfId="0" applyFont="1" applyAlignment="1">
      <alignment horizontal="left" wrapText="1"/>
    </xf>
    <xf numFmtId="0" fontId="60" fillId="0" borderId="0" xfId="0" applyFont="1" applyAlignment="1">
      <alignment horizontal="left" wrapText="1"/>
    </xf>
    <xf numFmtId="0" fontId="64" fillId="0" borderId="0" xfId="0" applyFont="1" applyAlignment="1">
      <alignment horizontal="left" wrapText="1"/>
    </xf>
    <xf numFmtId="0" fontId="53" fillId="0" borderId="0" xfId="0" applyFont="1" applyAlignment="1">
      <alignment horizontal="left"/>
    </xf>
    <xf numFmtId="0" fontId="53" fillId="0" borderId="0" xfId="0" quotePrefix="1" applyFont="1" applyAlignment="1">
      <alignment horizontal="left" wrapText="1"/>
    </xf>
    <xf numFmtId="0" fontId="60" fillId="0" borderId="0" xfId="0" applyFont="1" applyAlignment="1">
      <alignment horizontal="left" vertical="center" wrapText="1"/>
    </xf>
    <xf numFmtId="0" fontId="60" fillId="0" borderId="0" xfId="0" applyFont="1" applyAlignment="1">
      <alignment horizontal="left"/>
    </xf>
    <xf numFmtId="0" fontId="61" fillId="0" borderId="0" xfId="0" applyFont="1" applyAlignment="1">
      <alignment horizontal="left" wrapText="1"/>
    </xf>
    <xf numFmtId="181" fontId="8" fillId="0" borderId="1" xfId="0" applyNumberFormat="1" applyFont="1" applyBorder="1" applyAlignment="1">
      <alignmen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30" sqref="B30:F3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199" t="s">
        <v>215</v>
      </c>
      <c r="B2" s="32"/>
      <c r="C2" s="32"/>
      <c r="D2" s="32"/>
      <c r="E2" s="32"/>
      <c r="F2" s="32"/>
      <c r="G2" s="20"/>
      <c r="H2" s="20"/>
      <c r="I2" s="20"/>
    </row>
    <row r="3" spans="1:9">
      <c r="E3" s="430" t="s">
        <v>513</v>
      </c>
      <c r="F3" s="431">
        <v>45930</v>
      </c>
    </row>
    <row r="4" spans="1:9" ht="12.4">
      <c r="B4" s="423" t="s">
        <v>508</v>
      </c>
      <c r="C4" s="422" t="s">
        <v>521</v>
      </c>
      <c r="E4" s="432" t="s">
        <v>512</v>
      </c>
      <c r="F4" s="433" t="s">
        <v>312</v>
      </c>
    </row>
    <row r="5" spans="1:9">
      <c r="B5" s="1" t="s">
        <v>337</v>
      </c>
      <c r="C5" s="44" t="s">
        <v>523</v>
      </c>
      <c r="E5" s="435" t="s">
        <v>514</v>
      </c>
      <c r="F5" s="434" t="s">
        <v>473</v>
      </c>
    </row>
    <row r="6" spans="1:9">
      <c r="B6" s="2" t="s">
        <v>52</v>
      </c>
      <c r="C6" s="43" t="s">
        <v>522</v>
      </c>
      <c r="D6" s="43"/>
      <c r="E6" s="43"/>
    </row>
    <row r="7" spans="1:9">
      <c r="B7" s="1" t="s">
        <v>339</v>
      </c>
      <c r="C7" s="43" t="s">
        <v>518</v>
      </c>
      <c r="D7" s="43"/>
      <c r="E7" s="43"/>
    </row>
    <row r="8" spans="1:9">
      <c r="B8" s="4" t="s">
        <v>338</v>
      </c>
      <c r="C8" s="45">
        <v>21.35</v>
      </c>
      <c r="E8" s="30"/>
    </row>
    <row r="9" spans="1:9">
      <c r="B9" s="4" t="s">
        <v>334</v>
      </c>
      <c r="C9" s="46">
        <v>20774311267</v>
      </c>
    </row>
    <row r="10" spans="1:9">
      <c r="B10" s="4" t="s">
        <v>340</v>
      </c>
      <c r="C10" s="31">
        <f>Thesis!C8*Common_Shares/1000000</f>
        <v>443531.54555044998</v>
      </c>
      <c r="D10" s="1" t="s">
        <v>504</v>
      </c>
      <c r="E10" s="305">
        <f>Scenarios!F34</f>
        <v>17.065813155375174</v>
      </c>
    </row>
    <row r="11" spans="1:9">
      <c r="D11" s="5"/>
      <c r="E11" s="5"/>
    </row>
    <row r="12" spans="1:9" ht="24.5" customHeight="1">
      <c r="B12" s="458" t="s">
        <v>343</v>
      </c>
      <c r="C12" s="458"/>
      <c r="D12" s="458"/>
      <c r="E12" s="458"/>
      <c r="F12" s="458"/>
    </row>
    <row r="14" spans="1:9">
      <c r="B14" s="40" t="str">
        <f>Scenarios!B39&amp;" Valuation Conclusion"</f>
        <v>1-stage DCF Valuation Conclusion</v>
      </c>
      <c r="C14" s="41"/>
    </row>
    <row r="15" spans="1:9">
      <c r="B15" s="1" t="s">
        <v>307</v>
      </c>
      <c r="C15" s="419" t="s">
        <v>249</v>
      </c>
      <c r="D15" s="4" t="s">
        <v>341</v>
      </c>
      <c r="E15" s="256" t="str">
        <f>IF(E17=C7,C7,E17&amp;"/"&amp;C7)</f>
        <v>CNY</v>
      </c>
    </row>
    <row r="16" spans="1:9">
      <c r="B16" s="1" t="s">
        <v>308</v>
      </c>
      <c r="C16" s="419" t="s">
        <v>249</v>
      </c>
      <c r="D16" s="4" t="s">
        <v>342</v>
      </c>
      <c r="E16" s="418">
        <v>1</v>
      </c>
    </row>
    <row r="17" spans="1:6">
      <c r="B17" s="1" t="s">
        <v>507</v>
      </c>
      <c r="C17" s="417">
        <v>0</v>
      </c>
      <c r="D17" s="4" t="s">
        <v>262</v>
      </c>
      <c r="E17" s="224" t="s">
        <v>518</v>
      </c>
    </row>
    <row r="18" spans="1:6">
      <c r="B18" s="1" t="str">
        <f>"Expected Equity Value ("&amp;C7&amp;") :"</f>
        <v>Expected Equity Value (CNY) :</v>
      </c>
      <c r="C18" s="255">
        <f>C125</f>
        <v>6947.8667040564878</v>
      </c>
      <c r="D18" s="2" t="s">
        <v>335</v>
      </c>
      <c r="E18" s="420">
        <v>6</v>
      </c>
    </row>
    <row r="19" spans="1:6">
      <c r="B19" s="2" t="s">
        <v>263</v>
      </c>
      <c r="C19" s="29" t="str">
        <f>IF(Scenarios!C50="Y",Scenarios!B50,"")&amp;IF(Scenarios!C51="Y",Scenarios!B51,"")&amp;IF(Scenarios!C52="Y",Scenarios!B52,"")&amp;" "&amp;IF(Scenarios!C53="Y",Scenarios!B53,"")</f>
        <v xml:space="preserve">Low Growth </v>
      </c>
      <c r="D19" s="1" t="s">
        <v>336</v>
      </c>
      <c r="E19" s="421">
        <f>EOMONTH(EDATE(BS!C1,E18+2),0)</f>
        <v>45900</v>
      </c>
    </row>
    <row r="20" spans="1:6">
      <c r="D20" s="5"/>
      <c r="E20" s="5"/>
    </row>
    <row r="21" spans="1:6">
      <c r="B21" s="40" t="s">
        <v>390</v>
      </c>
      <c r="C21" s="257" t="str">
        <f>C138&amp;" ("&amp;Market_currency&amp;")"</f>
        <v xml:space="preserve"> (CNY)</v>
      </c>
      <c r="D21" s="29" t="s">
        <v>304</v>
      </c>
      <c r="E21" s="444">
        <v>2</v>
      </c>
    </row>
    <row r="22" spans="1:6">
      <c r="B22" s="1" t="s">
        <v>300</v>
      </c>
      <c r="C22" s="258">
        <f>E140</f>
        <v>3813.6393437895676</v>
      </c>
      <c r="D22" s="36" t="s">
        <v>392</v>
      </c>
      <c r="E22" s="76">
        <v>0.35</v>
      </c>
    </row>
    <row r="23" spans="1:6">
      <c r="B23" s="1" t="s">
        <v>301</v>
      </c>
      <c r="C23" s="259">
        <f>E141</f>
        <v>4448.1610905961516</v>
      </c>
      <c r="D23" s="36" t="s">
        <v>393</v>
      </c>
      <c r="E23" s="445">
        <v>0.25</v>
      </c>
    </row>
    <row r="24" spans="1:6">
      <c r="B24" s="1" t="s">
        <v>303</v>
      </c>
      <c r="C24" s="259">
        <f>E144</f>
        <v>5566.4000583000907</v>
      </c>
      <c r="D24" s="36" t="s">
        <v>394</v>
      </c>
      <c r="E24" s="445">
        <v>0.1174</v>
      </c>
    </row>
    <row r="25" spans="1:6">
      <c r="B25" s="1" t="s">
        <v>302</v>
      </c>
      <c r="C25" s="259">
        <f>E145</f>
        <v>6014.1189434777625</v>
      </c>
      <c r="D25" s="36" t="s">
        <v>395</v>
      </c>
      <c r="E25" s="446">
        <v>7.4999999999999997E-2</v>
      </c>
    </row>
    <row r="26" spans="1:6">
      <c r="D26" s="5"/>
      <c r="E26" s="5"/>
    </row>
    <row r="27" spans="1:6" ht="13.9">
      <c r="A27" s="199" t="s">
        <v>269</v>
      </c>
      <c r="B27" s="32"/>
      <c r="C27" s="32"/>
      <c r="D27" s="32"/>
      <c r="E27" s="32"/>
      <c r="F27" s="32"/>
    </row>
    <row r="29" spans="1:6">
      <c r="B29" s="458" t="s">
        <v>344</v>
      </c>
      <c r="C29" s="458"/>
      <c r="D29" s="458"/>
      <c r="E29" s="458"/>
      <c r="F29" s="458"/>
    </row>
    <row r="30" spans="1:6" ht="24.5" customHeight="1">
      <c r="B30" s="460" t="s">
        <v>255</v>
      </c>
      <c r="C30" s="460"/>
      <c r="D30" s="460"/>
      <c r="E30" s="460"/>
      <c r="F30" s="460"/>
    </row>
    <row r="32" spans="1:6">
      <c r="B32" s="189" t="s">
        <v>185</v>
      </c>
      <c r="C32" s="102">
        <f>scaling_factor</f>
        <v>1000000</v>
      </c>
    </row>
    <row r="33" spans="2:6" ht="24.5" customHeight="1">
      <c r="B33" s="459" t="s">
        <v>186</v>
      </c>
      <c r="C33" s="459"/>
      <c r="D33" s="459"/>
      <c r="E33" s="459"/>
      <c r="F33" s="459"/>
    </row>
    <row r="34" spans="2:6">
      <c r="B34" s="42" t="s">
        <v>187</v>
      </c>
      <c r="C34" s="287">
        <f>Normalized_FCF!C9</f>
        <v>330092.54036779993</v>
      </c>
      <c r="D34" s="1" t="str">
        <f>Reporting_currency</f>
        <v>CNY</v>
      </c>
    </row>
    <row r="35" spans="2:6">
      <c r="B35" s="42"/>
      <c r="C35" s="70"/>
    </row>
    <row r="36" spans="2:6" ht="24.5" customHeight="1">
      <c r="B36" s="459" t="s">
        <v>188</v>
      </c>
      <c r="C36" s="459"/>
      <c r="D36" s="459"/>
      <c r="E36" s="459"/>
      <c r="F36" s="459"/>
    </row>
    <row r="37" spans="2:6">
      <c r="B37" s="42" t="s">
        <v>189</v>
      </c>
      <c r="C37" s="287">
        <f>Normalized_FCF!C15</f>
        <v>8.9635033435971331E-2</v>
      </c>
      <c r="D37" s="1" t="str">
        <f>Reporting_currency</f>
        <v>CNY</v>
      </c>
    </row>
    <row r="38" spans="2:6">
      <c r="B38" s="47" t="s">
        <v>190</v>
      </c>
      <c r="C38" s="287">
        <f>Normalized_FCF!C16</f>
        <v>22020.769943020005</v>
      </c>
      <c r="D38" s="1" t="str">
        <f>Reporting_currency</f>
        <v>CNY</v>
      </c>
    </row>
    <row r="40" spans="2:6">
      <c r="B40" s="459" t="s">
        <v>191</v>
      </c>
      <c r="C40" s="459"/>
      <c r="D40" s="459"/>
      <c r="E40" s="459"/>
      <c r="F40" s="459"/>
    </row>
    <row r="41" spans="2:6">
      <c r="B41" s="42" t="s">
        <v>192</v>
      </c>
      <c r="C41" s="287">
        <f>Normalized_FCF!C5</f>
        <v>61890</v>
      </c>
      <c r="D41" s="1" t="str">
        <f>Reporting_currency</f>
        <v>CNY</v>
      </c>
    </row>
    <row r="43" spans="2:6">
      <c r="B43" s="459" t="s">
        <v>195</v>
      </c>
      <c r="C43" s="459"/>
      <c r="D43" s="459"/>
      <c r="E43" s="459"/>
      <c r="F43" s="459"/>
    </row>
    <row r="44" spans="2:6">
      <c r="B44" s="42" t="s">
        <v>256</v>
      </c>
      <c r="C44" s="288">
        <f>Normalized_FCF!C37</f>
        <v>526541.54036779993</v>
      </c>
      <c r="D44" s="1" t="str">
        <f>Reporting_currency</f>
        <v>CNY</v>
      </c>
      <c r="E44" s="247"/>
      <c r="F44" s="247"/>
    </row>
    <row r="45" spans="2:6">
      <c r="B45" s="42" t="s">
        <v>257</v>
      </c>
      <c r="C45" s="288">
        <f>Normalized_FCF!C36</f>
        <v>-195728</v>
      </c>
      <c r="D45" s="1" t="str">
        <f>Reporting_currency</f>
        <v>CNY</v>
      </c>
      <c r="E45" s="247"/>
      <c r="F45" s="247"/>
    </row>
    <row r="46" spans="2:6">
      <c r="B46" s="42" t="s">
        <v>193</v>
      </c>
      <c r="C46" s="287">
        <f>Normalized_FCF!C10</f>
        <v>0</v>
      </c>
      <c r="D46" s="1" t="str">
        <f>Reporting_currency</f>
        <v>CNY</v>
      </c>
    </row>
    <row r="48" spans="2:6">
      <c r="B48" s="1" t="s">
        <v>201</v>
      </c>
    </row>
    <row r="49" spans="2:6">
      <c r="B49" s="42" t="s">
        <v>213</v>
      </c>
      <c r="C49" s="287">
        <f>Normalized_FCF!C13</f>
        <v>-1897.9406832694099</v>
      </c>
      <c r="D49" s="1" t="str">
        <f>Reporting_currency</f>
        <v>CNY</v>
      </c>
    </row>
    <row r="51" spans="2:6">
      <c r="B51" s="459" t="s">
        <v>196</v>
      </c>
      <c r="C51" s="459"/>
      <c r="D51" s="459"/>
      <c r="E51" s="459"/>
      <c r="F51" s="459"/>
    </row>
    <row r="52" spans="2:6">
      <c r="B52" s="42" t="s">
        <v>194</v>
      </c>
      <c r="C52" s="287">
        <f>Normalized_FCF!C12</f>
        <v>-82523.135091949982</v>
      </c>
      <c r="D52" s="1" t="str">
        <f>Reporting_currency</f>
        <v>CNY</v>
      </c>
    </row>
    <row r="54" spans="2:6">
      <c r="B54" s="459" t="s">
        <v>254</v>
      </c>
      <c r="C54" s="462"/>
      <c r="D54" s="462"/>
      <c r="E54" s="462"/>
      <c r="F54" s="462"/>
    </row>
    <row r="55" spans="2:6">
      <c r="B55" s="42" t="s">
        <v>197</v>
      </c>
      <c r="C55" s="287">
        <f>Normalized_FCF!C17</f>
        <v>0</v>
      </c>
      <c r="D55" s="1" t="str">
        <f>Reporting_currency</f>
        <v>CNY</v>
      </c>
    </row>
    <row r="57" spans="2:6" ht="24.5" customHeight="1">
      <c r="B57" s="458" t="s">
        <v>259</v>
      </c>
      <c r="C57" s="458"/>
      <c r="D57" s="458"/>
      <c r="E57" s="458"/>
      <c r="F57" s="458"/>
    </row>
    <row r="58" spans="2:6" ht="24.5" customHeight="1">
      <c r="B58" s="458" t="s">
        <v>271</v>
      </c>
      <c r="C58" s="458"/>
      <c r="D58" s="458"/>
      <c r="E58" s="458"/>
      <c r="F58" s="458"/>
    </row>
    <row r="60" spans="2:6">
      <c r="B60" s="42" t="s">
        <v>217</v>
      </c>
      <c r="C60" s="287">
        <f>Normalized_FCF!G19</f>
        <v>8.2909065162223693E-3</v>
      </c>
      <c r="D60" s="1" t="str">
        <f>Reporting_currency</f>
        <v>CNY</v>
      </c>
    </row>
    <row r="61" spans="2:6">
      <c r="B61" s="42" t="s">
        <v>203</v>
      </c>
      <c r="C61" s="287">
        <f>Normalized_FCF!C19</f>
        <v>1.4E-2</v>
      </c>
      <c r="D61" s="1" t="str">
        <f>Reporting_currency</f>
        <v>CNY</v>
      </c>
    </row>
    <row r="62" spans="2:6">
      <c r="B62" s="203" t="s">
        <v>291</v>
      </c>
      <c r="C62" s="86">
        <f>Normalized_FCF!C119</f>
        <v>3.1564834881417818E-8</v>
      </c>
      <c r="F62" s="260"/>
    </row>
    <row r="63" spans="2:6">
      <c r="B63" s="203" t="s">
        <v>320</v>
      </c>
      <c r="C63" s="86">
        <f>Normalized_FCF!C87</f>
        <v>4.9648711943793909E-2</v>
      </c>
      <c r="E63" s="42" t="s">
        <v>310</v>
      </c>
      <c r="F63" s="261">
        <f>Normalized_FCF!C85</f>
        <v>8.9635033435971331E-2</v>
      </c>
    </row>
    <row r="65" spans="1:6">
      <c r="B65" s="189" t="s">
        <v>313</v>
      </c>
      <c r="C65" s="267" t="s">
        <v>315</v>
      </c>
      <c r="D65" s="267" t="s">
        <v>316</v>
      </c>
    </row>
    <row r="66" spans="1:6">
      <c r="B66" s="42" t="s">
        <v>314</v>
      </c>
      <c r="C66" s="86">
        <f>Normalized_FCF!C114</f>
        <v>0.36939176036082805</v>
      </c>
      <c r="D66" s="86">
        <f>Normalized_FCF!G114</f>
        <v>9.7492085482385513E-2</v>
      </c>
    </row>
    <row r="67" spans="1:6">
      <c r="B67" s="229" t="str">
        <f>Normalized_FCF!B111</f>
        <v>Pre-tax Profit/Sales</v>
      </c>
      <c r="C67" s="266">
        <f>Normalized_FCF!C111</f>
        <v>0.62690692957904826</v>
      </c>
      <c r="D67" s="266">
        <f>Normalized_FCF!G111</f>
        <v>0.25337734669245421</v>
      </c>
    </row>
    <row r="68" spans="1:6">
      <c r="B68" s="229" t="str">
        <f>Normalized_FCF!B112</f>
        <v>Sales/Total Assets</v>
      </c>
      <c r="C68" s="268">
        <f>Normalized_FCF!C112</f>
        <v>5.0109121764200598E-2</v>
      </c>
      <c r="D68" s="268">
        <f>Normalized_FCF!G112</f>
        <v>3.2721577617140937E-2</v>
      </c>
    </row>
    <row r="69" spans="1:6">
      <c r="B69" s="229" t="str">
        <f>Normalized_FCF!B113</f>
        <v>Total Assets/Equity</v>
      </c>
      <c r="C69" s="268">
        <f>Normalized_FCF!C113</f>
        <v>11.758917470801054</v>
      </c>
      <c r="D69" s="268">
        <f>Normalized_FCF!G113</f>
        <v>11.758917470801054</v>
      </c>
    </row>
    <row r="71" spans="1:6" ht="13.9">
      <c r="A71" s="199" t="s">
        <v>453</v>
      </c>
      <c r="B71" s="32"/>
      <c r="C71" s="32"/>
      <c r="D71" s="32"/>
      <c r="E71" s="32"/>
      <c r="F71" s="32"/>
    </row>
    <row r="72" spans="1:6">
      <c r="A72" s="188"/>
    </row>
    <row r="73" spans="1:6">
      <c r="A73" s="188"/>
      <c r="B73" s="458" t="s">
        <v>454</v>
      </c>
      <c r="C73" s="458"/>
      <c r="D73" s="458"/>
      <c r="E73" s="458"/>
      <c r="F73" s="458"/>
    </row>
    <row r="74" spans="1:6">
      <c r="A74" s="188"/>
      <c r="B74" s="1" t="s">
        <v>441</v>
      </c>
    </row>
    <row r="75" spans="1:6">
      <c r="A75" s="188"/>
    </row>
    <row r="76" spans="1:6">
      <c r="A76" s="188"/>
      <c r="B76" s="189" t="s">
        <v>185</v>
      </c>
    </row>
    <row r="77" spans="1:6">
      <c r="A77" s="188"/>
      <c r="B77" s="458" t="s">
        <v>260</v>
      </c>
      <c r="C77" s="458"/>
      <c r="D77" s="458"/>
      <c r="E77" s="458"/>
      <c r="F77" s="458"/>
    </row>
    <row r="78" spans="1:6">
      <c r="A78" s="188"/>
      <c r="B78" s="1" t="s">
        <v>205</v>
      </c>
      <c r="C78" s="287">
        <f>DDM!F4</f>
        <v>0</v>
      </c>
      <c r="D78" s="1" t="str">
        <f>Reporting_currency</f>
        <v>CNY</v>
      </c>
    </row>
    <row r="79" spans="1:6">
      <c r="A79" s="188"/>
      <c r="B79" s="42" t="s">
        <v>224</v>
      </c>
      <c r="C79" s="200">
        <f>C78*scaling_factor*Exchange_Rate/Common_Shares</f>
        <v>0</v>
      </c>
      <c r="D79" s="1" t="str">
        <f>Market_currency</f>
        <v>CNY</v>
      </c>
    </row>
    <row r="80" spans="1:6">
      <c r="A80" s="188"/>
      <c r="B80" s="229" t="s">
        <v>297</v>
      </c>
      <c r="C80" s="338" t="str">
        <f>IF(BS!G31/BS!G27&gt;300%,"nm",BS!G31/BS!G27)</f>
        <v>nm</v>
      </c>
    </row>
    <row r="81" spans="1:6">
      <c r="A81" s="188"/>
      <c r="B81" s="229" t="s">
        <v>299</v>
      </c>
      <c r="C81" s="339">
        <f>IF(BS!C50&gt;30,"nm",BS!C50)</f>
        <v>28.830306160194397</v>
      </c>
    </row>
    <row r="82" spans="1:6">
      <c r="A82" s="188"/>
    </row>
    <row r="83" spans="1:6">
      <c r="A83" s="188"/>
      <c r="B83" s="1" t="s">
        <v>442</v>
      </c>
    </row>
    <row r="84" spans="1:6">
      <c r="A84" s="188"/>
      <c r="B84" s="1" t="s">
        <v>214</v>
      </c>
      <c r="C84" s="287">
        <f>DDM!F5</f>
        <v>0</v>
      </c>
      <c r="D84" s="1" t="str">
        <f>Reporting_currency</f>
        <v>CNY</v>
      </c>
    </row>
    <row r="85" spans="1:6">
      <c r="A85" s="188"/>
      <c r="B85" s="229" t="s">
        <v>212</v>
      </c>
      <c r="C85" s="293">
        <f>BS!C66</f>
        <v>6736706</v>
      </c>
      <c r="D85" s="340" t="str">
        <f>Reporting_currency</f>
        <v>CNY</v>
      </c>
    </row>
    <row r="86" spans="1:6">
      <c r="A86" s="188"/>
      <c r="B86" s="42" t="s">
        <v>225</v>
      </c>
      <c r="C86" s="200">
        <f>C84*scaling_factor*Exchange_Rate/Common_Shares</f>
        <v>0</v>
      </c>
      <c r="D86" s="1" t="str">
        <f>Market_currency</f>
        <v>CNY</v>
      </c>
    </row>
    <row r="87" spans="1:6">
      <c r="A87" s="188"/>
    </row>
    <row r="88" spans="1:6">
      <c r="A88" s="188"/>
      <c r="B88" s="1" t="s">
        <v>206</v>
      </c>
    </row>
    <row r="89" spans="1:6">
      <c r="A89" s="188"/>
      <c r="B89" s="1" t="s">
        <v>207</v>
      </c>
      <c r="C89" s="287">
        <f>DDM!F6</f>
        <v>0</v>
      </c>
      <c r="D89" s="1" t="str">
        <f>Reporting_currency</f>
        <v>CNY</v>
      </c>
    </row>
    <row r="90" spans="1:6">
      <c r="A90" s="188"/>
      <c r="B90" s="42" t="s">
        <v>226</v>
      </c>
      <c r="C90" s="200">
        <f>C89*scaling_factor*Exchange_Rate/Common_Shares</f>
        <v>0</v>
      </c>
      <c r="D90" s="1" t="str">
        <f>Market_currency</f>
        <v>CNY</v>
      </c>
    </row>
    <row r="91" spans="1:6">
      <c r="A91" s="188"/>
    </row>
    <row r="92" spans="1:6">
      <c r="A92" s="188"/>
      <c r="B92" s="42" t="s">
        <v>445</v>
      </c>
      <c r="C92" s="216">
        <f>DDM!F8</f>
        <v>0</v>
      </c>
      <c r="D92" s="42" t="str">
        <f>Market_currency</f>
        <v>CNY</v>
      </c>
    </row>
    <row r="94" spans="1:6" ht="13.9">
      <c r="A94" s="199" t="s">
        <v>446</v>
      </c>
      <c r="B94" s="32"/>
      <c r="C94" s="32"/>
      <c r="D94" s="32"/>
      <c r="E94" s="32"/>
      <c r="F94" s="32"/>
    </row>
    <row r="95" spans="1:6">
      <c r="A95" s="188"/>
    </row>
    <row r="96" spans="1:6" ht="11.75" customHeight="1">
      <c r="B96" s="458" t="s">
        <v>461</v>
      </c>
      <c r="C96" s="458"/>
      <c r="D96" s="458"/>
      <c r="E96" s="458"/>
      <c r="F96" s="458"/>
    </row>
    <row r="97" spans="2:6">
      <c r="B97" s="460" t="s">
        <v>460</v>
      </c>
      <c r="C97" s="460"/>
      <c r="D97" s="460"/>
      <c r="E97" s="460"/>
      <c r="F97" s="460"/>
    </row>
    <row r="98" spans="2:6">
      <c r="B98" s="460" t="s">
        <v>459</v>
      </c>
      <c r="C98" s="460"/>
      <c r="D98" s="460"/>
      <c r="E98" s="460"/>
      <c r="F98" s="460"/>
    </row>
    <row r="100" spans="2:6">
      <c r="B100" s="189" t="s">
        <v>185</v>
      </c>
    </row>
    <row r="101" spans="2:6">
      <c r="B101" s="47" t="s">
        <v>443</v>
      </c>
      <c r="C101" s="211">
        <f>E25+C103</f>
        <v>7.4999999999999997E-2</v>
      </c>
    </row>
    <row r="102" spans="2:6">
      <c r="B102" s="229" t="s">
        <v>306</v>
      </c>
      <c r="C102" s="266">
        <f>E25</f>
        <v>7.4999999999999997E-2</v>
      </c>
    </row>
    <row r="103" spans="2:6">
      <c r="B103" s="229" t="s">
        <v>305</v>
      </c>
      <c r="C103" s="266">
        <f>IF(C15="Y",1%,0)+IF(C16="Y",1%,0)</f>
        <v>0</v>
      </c>
    </row>
    <row r="104" spans="2:6">
      <c r="B104" s="42" t="s">
        <v>204</v>
      </c>
      <c r="C104" s="211">
        <f>Terminal_Growth</f>
        <v>0</v>
      </c>
    </row>
    <row r="106" spans="2:6">
      <c r="B106" s="253" t="s">
        <v>270</v>
      </c>
      <c r="C106" s="113"/>
    </row>
    <row r="107" spans="2:6">
      <c r="B107" s="458" t="s">
        <v>272</v>
      </c>
      <c r="C107" s="458"/>
      <c r="D107" s="458"/>
      <c r="E107" s="458"/>
      <c r="F107" s="458"/>
    </row>
    <row r="108" spans="2:6">
      <c r="B108" s="458" t="s">
        <v>273</v>
      </c>
      <c r="C108" s="458"/>
      <c r="D108" s="458"/>
      <c r="E108" s="458"/>
      <c r="F108" s="458"/>
    </row>
    <row r="110" spans="2:6">
      <c r="B110" s="189" t="s">
        <v>463</v>
      </c>
    </row>
    <row r="111" spans="2:6">
      <c r="B111" s="47" t="s">
        <v>444</v>
      </c>
      <c r="C111" s="216">
        <f>BS!D47</f>
        <v>-92.956751979911445</v>
      </c>
      <c r="D111" s="1" t="str">
        <f>Market_currency</f>
        <v>CNY</v>
      </c>
    </row>
    <row r="112" spans="2:6">
      <c r="B112" s="42" t="s">
        <v>311</v>
      </c>
      <c r="C112" s="216">
        <f>DDM!C9</f>
        <v>14.133333333333336</v>
      </c>
      <c r="D112" s="1" t="str">
        <f>Market_currency</f>
        <v>CNY</v>
      </c>
    </row>
    <row r="114" spans="2:6" ht="24.5" customHeight="1">
      <c r="B114" s="458" t="s">
        <v>467</v>
      </c>
      <c r="C114" s="458"/>
      <c r="D114" s="458"/>
      <c r="E114" s="458"/>
      <c r="F114" s="458"/>
    </row>
    <row r="116" spans="2:6">
      <c r="B116" s="189" t="s">
        <v>464</v>
      </c>
    </row>
    <row r="117" spans="2:6" ht="12.4">
      <c r="B117" s="343" t="s">
        <v>97</v>
      </c>
      <c r="C117" s="343" t="s">
        <v>105</v>
      </c>
      <c r="D117" s="343" t="s">
        <v>95</v>
      </c>
      <c r="E117" s="343" t="s">
        <v>209</v>
      </c>
      <c r="F117" s="343" t="s">
        <v>119</v>
      </c>
    </row>
    <row r="118" spans="2:6">
      <c r="B118" s="204" t="str">
        <f>DDM!B82</f>
        <v>Snowball Scenario</v>
      </c>
      <c r="C118" s="205">
        <f>DDM!C82</f>
        <v>0.06</v>
      </c>
      <c r="D118" s="206">
        <f>DDM!D82</f>
        <v>30</v>
      </c>
      <c r="E118" s="207" t="str">
        <f>ROUND(DDM!E82,2)&amp;" "&amp;Market_currency</f>
        <v>11278.83 CNY</v>
      </c>
      <c r="F118" s="208">
        <f>DDM!F82</f>
        <v>0.01</v>
      </c>
    </row>
    <row r="119" spans="2:6">
      <c r="B119" s="195" t="str">
        <f>DDM!B83</f>
        <v>Optimistic</v>
      </c>
      <c r="C119" s="196">
        <f>DDM!C83</f>
        <v>0.04</v>
      </c>
      <c r="D119" s="197">
        <f>DDM!D83</f>
        <v>30</v>
      </c>
      <c r="E119" s="207" t="str">
        <f>ROUND(DDM!E83,2)&amp;" "&amp;Market_currency</f>
        <v>8132.71 CNY</v>
      </c>
      <c r="F119" s="198">
        <f>DDM!F83</f>
        <v>0.188</v>
      </c>
    </row>
    <row r="120" spans="2:6">
      <c r="B120" s="195" t="str">
        <f>DDM!B84</f>
        <v>Base</v>
      </c>
      <c r="C120" s="196">
        <f>DDM!C84</f>
        <v>0.03</v>
      </c>
      <c r="D120" s="197">
        <f>DDM!D84</f>
        <v>30</v>
      </c>
      <c r="E120" s="207" t="str">
        <f>ROUND(DDM!E84,2)&amp;" "&amp;Market_currency</f>
        <v>6983.3 CNY</v>
      </c>
      <c r="F120" s="198">
        <f>DDM!F84</f>
        <v>0.56399999999999995</v>
      </c>
    </row>
    <row r="121" spans="2:6">
      <c r="B121" s="195" t="str">
        <f>DDM!B85</f>
        <v>Pessimistic</v>
      </c>
      <c r="C121" s="196">
        <f>DDM!C85</f>
        <v>0.02</v>
      </c>
      <c r="D121" s="197">
        <f>DDM!D85</f>
        <v>30</v>
      </c>
      <c r="E121" s="207" t="str">
        <f>ROUND(DDM!E85,2)&amp;" "&amp;Market_currency</f>
        <v>6042.66 CNY</v>
      </c>
      <c r="F121" s="198">
        <f>DDM!F85</f>
        <v>0.188</v>
      </c>
    </row>
    <row r="122" spans="2:6">
      <c r="B122" s="195" t="str">
        <f>DDM!B86</f>
        <v>Devil's advocate</v>
      </c>
      <c r="C122" s="196">
        <f>DDM!C86</f>
        <v>0</v>
      </c>
      <c r="D122" s="197">
        <f>DDM!D86</f>
        <v>30</v>
      </c>
      <c r="E122" s="207" t="str">
        <f>ROUND(DDM!E86,2)&amp;" "&amp;Market_currency</f>
        <v>4630.61 CNY</v>
      </c>
      <c r="F122" s="198">
        <f>DDM!F86</f>
        <v>0.05</v>
      </c>
    </row>
    <row r="124" spans="2:6">
      <c r="B124" s="459" t="s">
        <v>345</v>
      </c>
      <c r="C124" s="459"/>
      <c r="D124" s="459"/>
      <c r="E124" s="459"/>
      <c r="F124" s="459"/>
    </row>
    <row r="125" spans="2:6">
      <c r="B125" s="190" t="s">
        <v>208</v>
      </c>
      <c r="C125" s="194">
        <f>Scenarios!C36</f>
        <v>6947.8667040564878</v>
      </c>
      <c r="D125" s="191" t="str">
        <f>Market_currency</f>
        <v>CNY</v>
      </c>
    </row>
    <row r="127" spans="2:6" ht="24.5" customHeight="1">
      <c r="B127" s="463" t="s">
        <v>346</v>
      </c>
      <c r="C127" s="463"/>
      <c r="D127" s="463"/>
      <c r="E127" s="463"/>
      <c r="F127" s="463"/>
    </row>
    <row r="129" spans="1:6" ht="13.9">
      <c r="A129" s="199" t="s">
        <v>450</v>
      </c>
      <c r="B129" s="32"/>
      <c r="C129" s="32"/>
      <c r="D129" s="32"/>
      <c r="E129" s="32"/>
      <c r="F129" s="32"/>
    </row>
    <row r="131" spans="1:6">
      <c r="B131" s="461" t="s">
        <v>274</v>
      </c>
      <c r="C131" s="461"/>
      <c r="D131" s="461"/>
      <c r="E131" s="461"/>
      <c r="F131" s="461"/>
    </row>
    <row r="132" spans="1:6">
      <c r="B132" s="458" t="s">
        <v>347</v>
      </c>
      <c r="C132" s="458"/>
      <c r="D132" s="458"/>
      <c r="E132" s="458"/>
      <c r="F132" s="458"/>
    </row>
    <row r="134" spans="1:6">
      <c r="B134" s="189" t="s">
        <v>185</v>
      </c>
    </row>
    <row r="135" spans="1:6">
      <c r="B135" s="1" t="s">
        <v>211</v>
      </c>
      <c r="C135" s="201">
        <f>E21</f>
        <v>2</v>
      </c>
    </row>
    <row r="136" spans="1:6">
      <c r="B136" s="191" t="s">
        <v>210</v>
      </c>
      <c r="C136" s="192">
        <f>Scenarios!C58</f>
        <v>1.06</v>
      </c>
      <c r="D136" s="191" t="str">
        <f>Market_currency</f>
        <v>CNY</v>
      </c>
    </row>
    <row r="138" spans="1:6">
      <c r="B138" s="189" t="s">
        <v>470</v>
      </c>
      <c r="C138" s="214"/>
      <c r="D138" s="215"/>
    </row>
    <row r="139" spans="1:6" ht="12.4">
      <c r="B139" s="341" t="s">
        <v>439</v>
      </c>
      <c r="C139" s="341" t="str">
        <f>"PV("&amp;Holding_Period&amp;" yrs of Dividends)"</f>
        <v>PV(2 yrs of Dividends)</v>
      </c>
      <c r="D139" s="341" t="s">
        <v>447</v>
      </c>
      <c r="E139" s="342" t="str">
        <f>"Buy below ("&amp;Market_currency&amp;")"</f>
        <v>Buy below (CNY)</v>
      </c>
      <c r="F139" s="342" t="s">
        <v>448</v>
      </c>
    </row>
    <row r="140" spans="1:6">
      <c r="B140" s="337" t="s">
        <v>300</v>
      </c>
      <c r="C140" s="334">
        <f>Scenarios!C62</f>
        <v>1.3668038408779153</v>
      </c>
      <c r="D140" s="334">
        <f>Scenarios!D62</f>
        <v>3812.2725399486899</v>
      </c>
      <c r="E140" s="335">
        <f>Scenarios!E62</f>
        <v>3813.6393437895676</v>
      </c>
      <c r="F140" s="336">
        <f>E22</f>
        <v>0.35</v>
      </c>
    </row>
    <row r="141" spans="1:6">
      <c r="B141" s="337" t="s">
        <v>301</v>
      </c>
      <c r="C141" s="334">
        <f>Scenarios!C63</f>
        <v>1.5264000000000002</v>
      </c>
      <c r="D141" s="334">
        <f>Scenarios!D63</f>
        <v>4446.6346905961518</v>
      </c>
      <c r="E141" s="335">
        <f>Scenarios!E63</f>
        <v>4448.1610905961516</v>
      </c>
      <c r="F141" s="336">
        <f>Scenarios!F63</f>
        <v>0.25</v>
      </c>
    </row>
    <row r="142" spans="1:6">
      <c r="B142" s="191"/>
      <c r="C142" s="191"/>
      <c r="D142" s="191"/>
      <c r="E142" s="191"/>
      <c r="F142" s="191"/>
    </row>
    <row r="143" spans="1:6" ht="12.4">
      <c r="B143" s="341" t="s">
        <v>440</v>
      </c>
      <c r="C143" s="341" t="str">
        <f>"PV("&amp;Holding_Period&amp;" yrs of Dividends)"</f>
        <v>PV(2 yrs of Dividends)</v>
      </c>
      <c r="D143" s="341" t="s">
        <v>447</v>
      </c>
      <c r="E143" s="342" t="str">
        <f>"Sell above ("&amp;Market_currency&amp;")"</f>
        <v>Sell above (CNY)</v>
      </c>
      <c r="F143" s="342" t="s">
        <v>448</v>
      </c>
    </row>
    <row r="144" spans="1:6">
      <c r="B144" s="337" t="s">
        <v>303</v>
      </c>
      <c r="C144" s="334">
        <f>Scenarios!C66</f>
        <v>1.7975932968992776</v>
      </c>
      <c r="D144" s="334">
        <f>Scenarios!D66</f>
        <v>5564.6024650031914</v>
      </c>
      <c r="E144" s="335">
        <f>Scenarios!E66</f>
        <v>5566.4000583000907</v>
      </c>
      <c r="F144" s="336">
        <f>E24</f>
        <v>0.1174</v>
      </c>
    </row>
    <row r="145" spans="1:6">
      <c r="B145" s="337" t="s">
        <v>302</v>
      </c>
      <c r="C145" s="334">
        <f>Scenarios!C67</f>
        <v>1.9032990805840986</v>
      </c>
      <c r="D145" s="334">
        <f>Scenarios!D67</f>
        <v>6012.215644397178</v>
      </c>
      <c r="E145" s="335">
        <f>Scenarios!E67</f>
        <v>6014.1189434777625</v>
      </c>
      <c r="F145" s="336">
        <f>Scenarios!F67</f>
        <v>7.4999999999999997E-2</v>
      </c>
    </row>
    <row r="147" spans="1:6" ht="13.9">
      <c r="A147" s="199" t="s">
        <v>451</v>
      </c>
      <c r="B147" s="32"/>
      <c r="C147" s="32"/>
      <c r="D147" s="32"/>
      <c r="E147" s="32"/>
      <c r="F147" s="32"/>
    </row>
    <row r="149" spans="1:6">
      <c r="B149" s="465" t="s">
        <v>348</v>
      </c>
      <c r="C149" s="458"/>
      <c r="D149" s="458"/>
      <c r="E149" s="458"/>
      <c r="F149" s="458"/>
    </row>
    <row r="151" spans="1:6">
      <c r="B151" s="189" t="s">
        <v>278</v>
      </c>
    </row>
    <row r="152" spans="1:6">
      <c r="B152" s="462" t="s">
        <v>282</v>
      </c>
      <c r="C152" s="462"/>
      <c r="D152" s="462"/>
      <c r="E152" s="462"/>
      <c r="F152" s="462"/>
    </row>
    <row r="153" spans="1:6">
      <c r="B153" s="193" t="s">
        <v>279</v>
      </c>
    </row>
    <row r="154" spans="1:6">
      <c r="B154" s="193" t="s">
        <v>280</v>
      </c>
    </row>
    <row r="155" spans="1:6">
      <c r="B155" s="193" t="s">
        <v>281</v>
      </c>
    </row>
    <row r="157" spans="1:6">
      <c r="B157" s="1" t="s">
        <v>285</v>
      </c>
    </row>
    <row r="158" spans="1:6" ht="34.25" customHeight="1">
      <c r="B158" s="459" t="s">
        <v>415</v>
      </c>
      <c r="C158" s="459"/>
      <c r="D158" s="459"/>
      <c r="E158" s="459"/>
      <c r="F158" s="459"/>
    </row>
    <row r="160" spans="1:6">
      <c r="B160" s="1" t="s">
        <v>286</v>
      </c>
    </row>
    <row r="161" spans="2:6" ht="24.5" customHeight="1">
      <c r="B161" s="464" t="s">
        <v>283</v>
      </c>
      <c r="C161" s="464"/>
      <c r="D161" s="464"/>
      <c r="E161" s="464"/>
      <c r="F161" s="464"/>
    </row>
    <row r="162" spans="2:6" ht="24.5" customHeight="1">
      <c r="B162" s="464" t="s">
        <v>284</v>
      </c>
      <c r="C162" s="464"/>
      <c r="D162" s="464"/>
      <c r="E162" s="464"/>
      <c r="F162" s="464"/>
    </row>
    <row r="164" spans="2:6">
      <c r="B164" s="1" t="s">
        <v>290</v>
      </c>
    </row>
    <row r="165" spans="2:6">
      <c r="B165" s="193" t="s">
        <v>287</v>
      </c>
    </row>
    <row r="166" spans="2:6">
      <c r="B166" s="193" t="s">
        <v>288</v>
      </c>
    </row>
    <row r="167" spans="2:6">
      <c r="B167" s="193" t="s">
        <v>289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3" activePane="bottomRight" state="frozen"/>
      <selection pane="topRight" activeCell="C1" sqref="C1"/>
      <selection pane="bottomLeft" activeCell="A2" sqref="A2"/>
      <selection pane="bottomRight" activeCell="C57" sqref="C5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4" t="str">
        <f>Thesis!E17</f>
        <v>CNY</v>
      </c>
      <c r="C1" s="98">
        <v>45657</v>
      </c>
      <c r="D1" s="34">
        <f>EOMONTH(EDATE(C1,-12),0)</f>
        <v>45291</v>
      </c>
      <c r="E1" s="34">
        <f t="shared" ref="E1:M1" si="0">EOMONTH(EDATE(D1,-12),0)</f>
        <v>44926</v>
      </c>
      <c r="F1" s="34">
        <f t="shared" si="0"/>
        <v>44561</v>
      </c>
      <c r="G1" s="34">
        <f t="shared" si="0"/>
        <v>44196</v>
      </c>
      <c r="H1" s="34">
        <f t="shared" si="0"/>
        <v>43830</v>
      </c>
      <c r="I1" s="34">
        <f t="shared" si="0"/>
        <v>43465</v>
      </c>
      <c r="J1" s="34">
        <f t="shared" si="0"/>
        <v>43100</v>
      </c>
      <c r="K1" s="34">
        <f t="shared" si="0"/>
        <v>42735</v>
      </c>
      <c r="L1" s="34">
        <f t="shared" si="0"/>
        <v>42369</v>
      </c>
      <c r="M1" s="34">
        <f t="shared" si="0"/>
        <v>42004</v>
      </c>
    </row>
    <row r="2" spans="2:13" ht="13.9">
      <c r="B2" s="32" t="s">
        <v>90</v>
      </c>
      <c r="C2" s="33"/>
      <c r="D2" s="33"/>
      <c r="E2" s="33"/>
      <c r="F2" s="33"/>
      <c r="G2" s="33"/>
      <c r="H2" s="33"/>
      <c r="I2" s="33"/>
      <c r="J2" s="33"/>
      <c r="K2" s="33"/>
      <c r="L2" s="33"/>
      <c r="M2" s="33"/>
    </row>
    <row r="3" spans="2:13">
      <c r="B3" s="15" t="s">
        <v>25</v>
      </c>
      <c r="C3" s="100">
        <v>1000000</v>
      </c>
    </row>
    <row r="4" spans="2:13">
      <c r="B4" s="29" t="s">
        <v>0</v>
      </c>
      <c r="C4" s="289">
        <v>61890</v>
      </c>
      <c r="D4" s="289">
        <v>62009</v>
      </c>
      <c r="E4" s="289">
        <v>74823</v>
      </c>
      <c r="F4" s="289">
        <v>73350</v>
      </c>
      <c r="G4" s="289">
        <v>57536</v>
      </c>
      <c r="H4" s="289">
        <v>76564</v>
      </c>
      <c r="I4" s="289">
        <v>61222</v>
      </c>
      <c r="J4" s="289">
        <v>50549</v>
      </c>
      <c r="K4" s="289">
        <v>39074</v>
      </c>
      <c r="L4" s="289">
        <v>21559</v>
      </c>
      <c r="M4" s="289"/>
    </row>
    <row r="5" spans="2:13">
      <c r="B5" s="36" t="s">
        <v>40</v>
      </c>
      <c r="C5" s="289">
        <v>0</v>
      </c>
      <c r="D5" s="289">
        <v>0</v>
      </c>
      <c r="E5" s="289">
        <v>0</v>
      </c>
      <c r="F5" s="289">
        <v>0</v>
      </c>
      <c r="G5" s="289">
        <v>0</v>
      </c>
      <c r="H5" s="289">
        <v>0</v>
      </c>
      <c r="I5" s="289">
        <v>0</v>
      </c>
      <c r="J5" s="289">
        <v>0</v>
      </c>
      <c r="K5" s="289">
        <v>0</v>
      </c>
      <c r="L5" s="289">
        <v>0</v>
      </c>
      <c r="M5" s="289"/>
    </row>
    <row r="6" spans="2:13">
      <c r="B6" s="36" t="s">
        <v>51</v>
      </c>
      <c r="C6" s="289">
        <v>62611</v>
      </c>
      <c r="D6" s="289">
        <v>63194</v>
      </c>
      <c r="E6" s="289">
        <v>65314</v>
      </c>
      <c r="F6" s="289">
        <v>56820</v>
      </c>
      <c r="G6" s="289">
        <v>49077</v>
      </c>
      <c r="H6" s="289">
        <v>47190</v>
      </c>
      <c r="I6" s="289">
        <v>42561</v>
      </c>
      <c r="J6" s="289">
        <v>38680</v>
      </c>
      <c r="K6" s="289">
        <v>36735</v>
      </c>
      <c r="L6" s="289">
        <v>33323</v>
      </c>
      <c r="M6" s="289"/>
    </row>
    <row r="7" spans="2:13">
      <c r="B7" s="63" t="s">
        <v>57</v>
      </c>
      <c r="C7" s="290">
        <v>0</v>
      </c>
      <c r="D7" s="290">
        <v>0</v>
      </c>
      <c r="E7" s="290">
        <v>0</v>
      </c>
      <c r="F7" s="290">
        <v>0</v>
      </c>
      <c r="G7" s="290">
        <v>0</v>
      </c>
      <c r="H7" s="290">
        <v>0</v>
      </c>
      <c r="I7" s="290">
        <v>0</v>
      </c>
      <c r="J7" s="290">
        <v>0</v>
      </c>
      <c r="K7" s="290">
        <v>0</v>
      </c>
      <c r="L7" s="290">
        <v>0</v>
      </c>
      <c r="M7" s="290"/>
    </row>
    <row r="8" spans="2:13">
      <c r="B8" s="36" t="s">
        <v>46</v>
      </c>
      <c r="C8" s="289">
        <v>0</v>
      </c>
      <c r="D8" s="289">
        <v>0</v>
      </c>
      <c r="E8" s="289">
        <v>0</v>
      </c>
      <c r="F8" s="289">
        <v>0</v>
      </c>
      <c r="G8" s="289">
        <v>0</v>
      </c>
      <c r="H8" s="289">
        <v>0</v>
      </c>
      <c r="I8" s="289">
        <v>0</v>
      </c>
      <c r="J8" s="289">
        <v>0</v>
      </c>
      <c r="K8" s="289">
        <v>0</v>
      </c>
      <c r="L8" s="289">
        <v>0</v>
      </c>
      <c r="M8" s="289"/>
    </row>
    <row r="9" spans="2:13">
      <c r="B9" s="36" t="s">
        <v>129</v>
      </c>
      <c r="C9" s="289"/>
      <c r="D9" s="289"/>
      <c r="E9" s="289"/>
      <c r="F9" s="289"/>
      <c r="G9" s="289"/>
      <c r="H9" s="289"/>
      <c r="I9" s="289"/>
      <c r="J9" s="289"/>
      <c r="K9" s="289"/>
      <c r="L9" s="289"/>
      <c r="M9" s="289"/>
    </row>
    <row r="10" spans="2:13">
      <c r="B10" s="36" t="s">
        <v>132</v>
      </c>
      <c r="C10" s="289"/>
      <c r="D10" s="289"/>
      <c r="E10" s="289"/>
      <c r="F10" s="289"/>
      <c r="G10" s="289"/>
      <c r="H10" s="289"/>
      <c r="I10" s="289"/>
      <c r="J10" s="289"/>
      <c r="K10" s="289"/>
      <c r="L10" s="289"/>
      <c r="M10" s="289"/>
    </row>
    <row r="11" spans="2:13">
      <c r="B11" s="36" t="s">
        <v>128</v>
      </c>
      <c r="C11" s="289"/>
      <c r="D11" s="289"/>
      <c r="E11" s="289"/>
      <c r="F11" s="289"/>
      <c r="G11" s="289"/>
      <c r="H11" s="289"/>
      <c r="I11" s="289"/>
      <c r="J11" s="289"/>
      <c r="K11" s="289"/>
      <c r="L11" s="289"/>
      <c r="M11" s="289"/>
    </row>
    <row r="12" spans="2:13">
      <c r="B12" s="36" t="s">
        <v>37</v>
      </c>
      <c r="C12" s="289">
        <v>195728</v>
      </c>
      <c r="D12" s="289">
        <v>202576</v>
      </c>
      <c r="E12" s="289">
        <v>183473</v>
      </c>
      <c r="F12" s="289">
        <v>169479</v>
      </c>
      <c r="G12" s="289">
        <v>159963</v>
      </c>
      <c r="H12" s="289">
        <v>166689</v>
      </c>
      <c r="I12" s="289">
        <v>174921</v>
      </c>
      <c r="J12" s="289">
        <v>164193</v>
      </c>
      <c r="K12" s="289">
        <v>123960</v>
      </c>
      <c r="L12" s="289">
        <v>136138</v>
      </c>
      <c r="M12" s="289"/>
    </row>
    <row r="13" spans="2:13">
      <c r="B13" s="36" t="s">
        <v>62</v>
      </c>
      <c r="C13" s="289">
        <v>343835</v>
      </c>
      <c r="D13" s="289">
        <v>349079</v>
      </c>
      <c r="E13" s="289">
        <v>328746</v>
      </c>
      <c r="F13" s="289">
        <v>315158</v>
      </c>
      <c r="G13" s="289">
        <v>303478</v>
      </c>
      <c r="H13" s="289">
        <v>269677</v>
      </c>
      <c r="I13" s="289">
        <v>270578</v>
      </c>
      <c r="J13" s="289">
        <v>252644</v>
      </c>
      <c r="K13" s="289">
        <v>236279</v>
      </c>
      <c r="L13" s="289">
        <v>255972</v>
      </c>
      <c r="M13" s="289"/>
    </row>
    <row r="14" spans="2:13">
      <c r="B14" s="36" t="s">
        <v>47</v>
      </c>
      <c r="C14" s="289">
        <v>9629</v>
      </c>
      <c r="D14" s="289">
        <v>6675</v>
      </c>
      <c r="E14" s="289">
        <v>13807</v>
      </c>
      <c r="F14" s="289">
        <v>11494</v>
      </c>
      <c r="G14" s="289">
        <v>8956</v>
      </c>
      <c r="H14" s="289">
        <v>7801</v>
      </c>
      <c r="I14" s="289">
        <v>6832</v>
      </c>
      <c r="J14" s="289">
        <v>7018</v>
      </c>
      <c r="K14" s="289">
        <v>9598</v>
      </c>
      <c r="L14" s="289">
        <v>12594</v>
      </c>
      <c r="M14" s="289"/>
    </row>
    <row r="15" spans="2:13">
      <c r="B15" s="39" t="s">
        <v>39</v>
      </c>
      <c r="C15" s="291">
        <v>77491</v>
      </c>
      <c r="D15" s="291">
        <v>77654</v>
      </c>
      <c r="E15" s="291">
        <v>92414</v>
      </c>
      <c r="F15" s="291">
        <v>83816</v>
      </c>
      <c r="G15" s="291">
        <v>67681</v>
      </c>
      <c r="H15" s="291">
        <v>66702</v>
      </c>
      <c r="I15" s="291">
        <v>61245</v>
      </c>
      <c r="J15" s="291">
        <v>57735</v>
      </c>
      <c r="K15" s="291">
        <v>54327</v>
      </c>
      <c r="L15" s="291">
        <v>50650</v>
      </c>
      <c r="M15" s="291"/>
    </row>
    <row r="16" spans="2:13">
      <c r="B16" s="26" t="s">
        <v>41</v>
      </c>
      <c r="C16" s="289">
        <v>286</v>
      </c>
      <c r="D16" s="289">
        <v>538</v>
      </c>
      <c r="E16" s="289">
        <v>1037</v>
      </c>
      <c r="F16" s="289">
        <v>1136</v>
      </c>
      <c r="G16" s="289">
        <v>1055</v>
      </c>
      <c r="H16" s="289">
        <v>834</v>
      </c>
      <c r="I16" s="289">
        <v>625</v>
      </c>
      <c r="J16" s="289">
        <v>535</v>
      </c>
      <c r="K16" s="289">
        <v>477</v>
      </c>
      <c r="L16" s="289">
        <v>443</v>
      </c>
      <c r="M16" s="289"/>
    </row>
    <row r="18" spans="2:13">
      <c r="B18" s="15" t="s">
        <v>48</v>
      </c>
      <c r="C18" s="9"/>
    </row>
    <row r="19" spans="2:13">
      <c r="B19" s="25" t="s">
        <v>44</v>
      </c>
      <c r="C19" s="289"/>
      <c r="D19" s="289"/>
      <c r="E19" s="289"/>
      <c r="F19" s="289"/>
      <c r="G19" s="289"/>
      <c r="H19" s="289"/>
      <c r="I19" s="289"/>
      <c r="J19" s="289"/>
      <c r="K19" s="289"/>
      <c r="L19" s="289"/>
      <c r="M19" s="289"/>
    </row>
    <row r="20" spans="2:13">
      <c r="B20" s="25" t="s">
        <v>50</v>
      </c>
      <c r="C20" s="289"/>
      <c r="D20" s="289"/>
      <c r="E20" s="289"/>
      <c r="F20" s="289"/>
      <c r="G20" s="289"/>
      <c r="H20" s="289"/>
      <c r="I20" s="289"/>
      <c r="J20" s="289"/>
      <c r="K20" s="289"/>
      <c r="L20" s="289"/>
      <c r="M20" s="289"/>
    </row>
    <row r="21" spans="2:13">
      <c r="B21" s="25" t="s">
        <v>49</v>
      </c>
      <c r="C21" s="289"/>
      <c r="D21" s="289"/>
      <c r="E21" s="289"/>
      <c r="F21" s="289"/>
      <c r="G21" s="289"/>
      <c r="H21" s="289"/>
      <c r="I21" s="289"/>
      <c r="J21" s="289"/>
      <c r="K21" s="289"/>
      <c r="L21" s="289"/>
      <c r="M21" s="289"/>
    </row>
    <row r="22" spans="2:13">
      <c r="B22" s="25" t="s">
        <v>275</v>
      </c>
      <c r="C22" s="289">
        <v>-237258</v>
      </c>
      <c r="D22" s="289">
        <v>433617</v>
      </c>
      <c r="E22" s="289">
        <v>-344587</v>
      </c>
      <c r="F22" s="289">
        <v>-389771</v>
      </c>
      <c r="G22" s="289">
        <v>-34228</v>
      </c>
      <c r="H22" s="289">
        <v>-588009</v>
      </c>
      <c r="I22" s="289">
        <v>-356099</v>
      </c>
      <c r="J22" s="289">
        <v>-162642</v>
      </c>
      <c r="K22" s="289">
        <v>203017</v>
      </c>
      <c r="L22" s="289">
        <v>818693</v>
      </c>
      <c r="M22" s="289"/>
    </row>
    <row r="23" spans="2:13">
      <c r="B23" s="25" t="s">
        <v>277</v>
      </c>
      <c r="C23" s="289">
        <v>23438</v>
      </c>
      <c r="D23" s="289">
        <v>-116901</v>
      </c>
      <c r="E23" s="289">
        <v>-2059</v>
      </c>
      <c r="F23" s="289">
        <v>79654</v>
      </c>
      <c r="G23" s="289">
        <v>234002</v>
      </c>
      <c r="H23" s="289">
        <v>602337</v>
      </c>
      <c r="I23" s="289">
        <v>422390</v>
      </c>
      <c r="J23" s="289">
        <v>268261</v>
      </c>
      <c r="K23" s="289">
        <v>-366131</v>
      </c>
      <c r="L23" s="289">
        <v>-1078507</v>
      </c>
      <c r="M23" s="289"/>
    </row>
    <row r="24" spans="2:13">
      <c r="B24" s="25" t="s">
        <v>276</v>
      </c>
      <c r="C24" s="289">
        <v>194894</v>
      </c>
      <c r="D24" s="289">
        <v>-190955</v>
      </c>
      <c r="E24" s="289">
        <v>-22248</v>
      </c>
      <c r="F24" s="289">
        <v>124588</v>
      </c>
      <c r="G24" s="289">
        <v>29636</v>
      </c>
      <c r="H24" s="289">
        <v>166667</v>
      </c>
      <c r="I24" s="289">
        <v>10436</v>
      </c>
      <c r="J24" s="289">
        <v>-67067</v>
      </c>
      <c r="K24" s="289">
        <v>282268</v>
      </c>
      <c r="L24" s="289">
        <v>213791</v>
      </c>
      <c r="M24" s="289"/>
    </row>
    <row r="25" spans="2:13">
      <c r="B25" s="22" t="str">
        <f>"Dividend per share ("&amp;Market_currency&amp;")"</f>
        <v>Dividend per share (CNY)</v>
      </c>
      <c r="C25" s="35">
        <v>1.06</v>
      </c>
      <c r="D25" s="35"/>
      <c r="E25" s="35"/>
      <c r="F25" s="35"/>
      <c r="G25" s="35"/>
      <c r="H25" s="35"/>
      <c r="I25" s="35"/>
      <c r="J25" s="35"/>
      <c r="K25" s="35"/>
      <c r="L25" s="35"/>
      <c r="M25" s="35"/>
    </row>
    <row r="27" spans="2:13">
      <c r="B27" s="15" t="s">
        <v>26</v>
      </c>
      <c r="C27" s="91" t="s">
        <v>179</v>
      </c>
    </row>
    <row r="28" spans="2:13">
      <c r="B28" s="24" t="s">
        <v>22</v>
      </c>
      <c r="C28" s="273">
        <f>BS!C4</f>
        <v>0</v>
      </c>
      <c r="D28" s="289"/>
      <c r="E28" s="289"/>
      <c r="F28" s="289"/>
      <c r="G28" s="289"/>
      <c r="H28" s="289"/>
      <c r="I28" s="289"/>
      <c r="J28" s="289"/>
      <c r="K28" s="289"/>
      <c r="L28" s="289"/>
      <c r="M28" s="289"/>
    </row>
    <row r="29" spans="2:13">
      <c r="B29" s="24" t="s">
        <v>30</v>
      </c>
      <c r="C29" s="273">
        <f>BS!C6</f>
        <v>0</v>
      </c>
      <c r="D29" s="289"/>
      <c r="E29" s="289"/>
      <c r="F29" s="289"/>
      <c r="G29" s="289"/>
      <c r="H29" s="289"/>
      <c r="I29" s="289"/>
      <c r="J29" s="289"/>
      <c r="K29" s="289"/>
      <c r="L29" s="289"/>
      <c r="M29" s="289"/>
    </row>
    <row r="30" spans="2:13">
      <c r="B30" s="27" t="s">
        <v>38</v>
      </c>
      <c r="C30" s="274">
        <f>BS!C33+BS!C42</f>
        <v>9614287</v>
      </c>
      <c r="D30" s="291">
        <v>9350607</v>
      </c>
      <c r="E30" s="291">
        <v>8509373</v>
      </c>
      <c r="F30" s="291">
        <v>7908726</v>
      </c>
      <c r="G30" s="291">
        <v>7269197</v>
      </c>
      <c r="H30" s="291">
        <v>6596029</v>
      </c>
      <c r="I30" s="291">
        <v>6239073</v>
      </c>
      <c r="J30" s="291">
        <v>5994090</v>
      </c>
      <c r="K30" s="291">
        <v>5731485</v>
      </c>
      <c r="L30" s="291">
        <v>4981503</v>
      </c>
      <c r="M30" s="291"/>
    </row>
    <row r="31" spans="2:13">
      <c r="B31" s="27" t="s">
        <v>28</v>
      </c>
      <c r="C31" s="274">
        <f>BS!G27</f>
        <v>893611</v>
      </c>
      <c r="D31" s="291">
        <v>807719</v>
      </c>
      <c r="E31" s="291">
        <v>757298</v>
      </c>
      <c r="F31" s="291">
        <v>694298</v>
      </c>
      <c r="G31" s="291">
        <v>624803</v>
      </c>
      <c r="H31" s="291">
        <v>549652</v>
      </c>
      <c r="I31" s="291">
        <v>472584</v>
      </c>
      <c r="J31" s="291">
        <v>422752</v>
      </c>
      <c r="K31" s="291">
        <v>354410</v>
      </c>
      <c r="L31" s="291">
        <v>317377</v>
      </c>
      <c r="M31" s="291"/>
    </row>
    <row r="32" spans="2:13">
      <c r="B32" s="24" t="s">
        <v>137</v>
      </c>
      <c r="C32" s="273">
        <f>BS!G28</f>
        <v>11703</v>
      </c>
      <c r="D32" s="289">
        <v>11495</v>
      </c>
      <c r="E32" s="289">
        <v>11111</v>
      </c>
      <c r="F32" s="289">
        <v>10187</v>
      </c>
      <c r="G32" s="289">
        <v>9217</v>
      </c>
      <c r="H32" s="289">
        <v>8292</v>
      </c>
      <c r="I32" s="289">
        <v>6631</v>
      </c>
      <c r="J32" s="289">
        <v>5857</v>
      </c>
      <c r="K32" s="289">
        <v>4281</v>
      </c>
      <c r="L32" s="289">
        <v>3729</v>
      </c>
      <c r="M32" s="289"/>
    </row>
    <row r="34" spans="2:13" ht="13.9">
      <c r="B34" s="32" t="s">
        <v>76</v>
      </c>
      <c r="C34" s="33"/>
      <c r="D34" s="33"/>
      <c r="E34" s="33"/>
      <c r="F34" s="33"/>
      <c r="G34" s="33"/>
      <c r="H34" s="33"/>
      <c r="I34" s="33"/>
      <c r="J34" s="33"/>
      <c r="K34" s="33"/>
      <c r="L34" s="33"/>
      <c r="M34" s="33"/>
    </row>
    <row r="35" spans="2:13">
      <c r="B35" s="15" t="s">
        <v>25</v>
      </c>
    </row>
    <row r="36" spans="2:13">
      <c r="B36" s="29" t="s">
        <v>0</v>
      </c>
      <c r="C36" s="273">
        <f t="shared" ref="C36:M36" si="1">IF(C$4="","",C4)</f>
        <v>61890</v>
      </c>
      <c r="D36" s="273">
        <f t="shared" si="1"/>
        <v>62009</v>
      </c>
      <c r="E36" s="273">
        <f t="shared" si="1"/>
        <v>74823</v>
      </c>
      <c r="F36" s="273">
        <f t="shared" si="1"/>
        <v>73350</v>
      </c>
      <c r="G36" s="273">
        <f t="shared" si="1"/>
        <v>57536</v>
      </c>
      <c r="H36" s="273">
        <f t="shared" si="1"/>
        <v>76564</v>
      </c>
      <c r="I36" s="273">
        <f t="shared" si="1"/>
        <v>61222</v>
      </c>
      <c r="J36" s="273">
        <f t="shared" si="1"/>
        <v>50549</v>
      </c>
      <c r="K36" s="273">
        <f t="shared" si="1"/>
        <v>39074</v>
      </c>
      <c r="L36" s="273">
        <f t="shared" si="1"/>
        <v>21559</v>
      </c>
      <c r="M36" s="273" t="str">
        <f t="shared" si="1"/>
        <v/>
      </c>
    </row>
    <row r="37" spans="2:13">
      <c r="B37" s="36" t="s">
        <v>40</v>
      </c>
      <c r="C37" s="273">
        <f t="shared" ref="C37:M37" si="2">IF(C$4="","",-C5)</f>
        <v>0</v>
      </c>
      <c r="D37" s="273">
        <f t="shared" si="2"/>
        <v>0</v>
      </c>
      <c r="E37" s="273">
        <f t="shared" si="2"/>
        <v>0</v>
      </c>
      <c r="F37" s="273">
        <f t="shared" si="2"/>
        <v>0</v>
      </c>
      <c r="G37" s="273">
        <f t="shared" si="2"/>
        <v>0</v>
      </c>
      <c r="H37" s="273">
        <f t="shared" si="2"/>
        <v>0</v>
      </c>
      <c r="I37" s="273">
        <f t="shared" si="2"/>
        <v>0</v>
      </c>
      <c r="J37" s="273">
        <f t="shared" si="2"/>
        <v>0</v>
      </c>
      <c r="K37" s="273">
        <f t="shared" si="2"/>
        <v>0</v>
      </c>
      <c r="L37" s="273">
        <f t="shared" si="2"/>
        <v>0</v>
      </c>
      <c r="M37" s="273" t="str">
        <f t="shared" si="2"/>
        <v/>
      </c>
    </row>
    <row r="38" spans="2:13">
      <c r="B38" s="28" t="s">
        <v>54</v>
      </c>
      <c r="C38" s="270">
        <f>IF(C36="","",C36+C37)</f>
        <v>61890</v>
      </c>
      <c r="D38" s="270">
        <f t="shared" ref="D38" si="3">IF(D36="","",D36+D37)</f>
        <v>62009</v>
      </c>
      <c r="E38" s="270">
        <f t="shared" ref="E38" si="4">IF(E36="","",E36+E37)</f>
        <v>74823</v>
      </c>
      <c r="F38" s="270">
        <f t="shared" ref="F38" si="5">IF(F36="","",F36+F37)</f>
        <v>73350</v>
      </c>
      <c r="G38" s="270">
        <f t="shared" ref="G38" si="6">IF(G36="","",G36+G37)</f>
        <v>57536</v>
      </c>
      <c r="H38" s="270">
        <f t="shared" ref="H38" si="7">IF(H36="","",H36+H37)</f>
        <v>76564</v>
      </c>
      <c r="I38" s="270">
        <f t="shared" ref="I38" si="8">IF(I36="","",I36+I37)</f>
        <v>61222</v>
      </c>
      <c r="J38" s="270">
        <f t="shared" ref="J38" si="9">IF(J36="","",J36+J37)</f>
        <v>50549</v>
      </c>
      <c r="K38" s="270">
        <f t="shared" ref="K38" si="10">IF(K36="","",K36+K37)</f>
        <v>39074</v>
      </c>
      <c r="L38" s="270">
        <f t="shared" ref="L38" si="11">IF(L36="","",L36+L37)</f>
        <v>21559</v>
      </c>
      <c r="M38" s="270" t="str">
        <f t="shared" ref="M38" si="12">IF(M36="","",M36+M37)</f>
        <v/>
      </c>
    </row>
    <row r="39" spans="2:13">
      <c r="B39" s="36" t="s">
        <v>51</v>
      </c>
      <c r="C39" s="273">
        <f t="shared" ref="C39:M39" si="13">IF(C$4="","",-C6)</f>
        <v>-62611</v>
      </c>
      <c r="D39" s="273">
        <f t="shared" si="13"/>
        <v>-63194</v>
      </c>
      <c r="E39" s="273">
        <f t="shared" si="13"/>
        <v>-65314</v>
      </c>
      <c r="F39" s="273">
        <f t="shared" si="13"/>
        <v>-56820</v>
      </c>
      <c r="G39" s="273">
        <f t="shared" si="13"/>
        <v>-49077</v>
      </c>
      <c r="H39" s="273">
        <f t="shared" si="13"/>
        <v>-47190</v>
      </c>
      <c r="I39" s="273">
        <f t="shared" si="13"/>
        <v>-42561</v>
      </c>
      <c r="J39" s="273">
        <f t="shared" si="13"/>
        <v>-38680</v>
      </c>
      <c r="K39" s="273">
        <f t="shared" si="13"/>
        <v>-36735</v>
      </c>
      <c r="L39" s="273">
        <f t="shared" si="13"/>
        <v>-33323</v>
      </c>
      <c r="M39" s="273" t="str">
        <f t="shared" si="13"/>
        <v/>
      </c>
    </row>
    <row r="40" spans="2:13">
      <c r="B40" s="63" t="s">
        <v>57</v>
      </c>
      <c r="C40" s="285">
        <f t="shared" ref="C40:M40" si="14">IF(C$4="","",-C7)</f>
        <v>0</v>
      </c>
      <c r="D40" s="285">
        <f t="shared" si="14"/>
        <v>0</v>
      </c>
      <c r="E40" s="285">
        <f t="shared" si="14"/>
        <v>0</v>
      </c>
      <c r="F40" s="285">
        <f t="shared" si="14"/>
        <v>0</v>
      </c>
      <c r="G40" s="285">
        <f t="shared" si="14"/>
        <v>0</v>
      </c>
      <c r="H40" s="285">
        <f t="shared" si="14"/>
        <v>0</v>
      </c>
      <c r="I40" s="285">
        <f t="shared" si="14"/>
        <v>0</v>
      </c>
      <c r="J40" s="285">
        <f t="shared" si="14"/>
        <v>0</v>
      </c>
      <c r="K40" s="285">
        <f t="shared" si="14"/>
        <v>0</v>
      </c>
      <c r="L40" s="285">
        <f t="shared" si="14"/>
        <v>0</v>
      </c>
      <c r="M40" s="285" t="str">
        <f t="shared" si="14"/>
        <v/>
      </c>
    </row>
    <row r="41" spans="2:13">
      <c r="B41" s="63" t="s">
        <v>59</v>
      </c>
      <c r="C41" s="285">
        <f>IF(C$4="","",C39-C40)</f>
        <v>-62611</v>
      </c>
      <c r="D41" s="285">
        <f t="shared" ref="D41:M41" si="15">IF(D$4="","",D39-D40)</f>
        <v>-63194</v>
      </c>
      <c r="E41" s="285">
        <f t="shared" si="15"/>
        <v>-65314</v>
      </c>
      <c r="F41" s="285">
        <f t="shared" si="15"/>
        <v>-56820</v>
      </c>
      <c r="G41" s="285">
        <f t="shared" si="15"/>
        <v>-49077</v>
      </c>
      <c r="H41" s="285">
        <f t="shared" si="15"/>
        <v>-47190</v>
      </c>
      <c r="I41" s="285">
        <f t="shared" si="15"/>
        <v>-42561</v>
      </c>
      <c r="J41" s="285">
        <f t="shared" si="15"/>
        <v>-38680</v>
      </c>
      <c r="K41" s="285">
        <f t="shared" si="15"/>
        <v>-36735</v>
      </c>
      <c r="L41" s="285">
        <f t="shared" si="15"/>
        <v>-33323</v>
      </c>
      <c r="M41" s="285" t="str">
        <f t="shared" si="15"/>
        <v/>
      </c>
    </row>
    <row r="42" spans="2:13">
      <c r="B42" s="36" t="s">
        <v>46</v>
      </c>
      <c r="C42" s="273">
        <f t="shared" ref="C42:M42" si="16">IF(C$4="","",-C8)</f>
        <v>0</v>
      </c>
      <c r="D42" s="273">
        <f t="shared" si="16"/>
        <v>0</v>
      </c>
      <c r="E42" s="273">
        <f t="shared" si="16"/>
        <v>0</v>
      </c>
      <c r="F42" s="273">
        <f t="shared" si="16"/>
        <v>0</v>
      </c>
      <c r="G42" s="273">
        <f t="shared" si="16"/>
        <v>0</v>
      </c>
      <c r="H42" s="273">
        <f t="shared" si="16"/>
        <v>0</v>
      </c>
      <c r="I42" s="273">
        <f t="shared" si="16"/>
        <v>0</v>
      </c>
      <c r="J42" s="273">
        <f t="shared" si="16"/>
        <v>0</v>
      </c>
      <c r="K42" s="273">
        <f t="shared" si="16"/>
        <v>0</v>
      </c>
      <c r="L42" s="273">
        <f t="shared" si="16"/>
        <v>0</v>
      </c>
      <c r="M42" s="273" t="str">
        <f t="shared" si="16"/>
        <v/>
      </c>
    </row>
    <row r="43" spans="2:13">
      <c r="B43" s="39" t="s">
        <v>122</v>
      </c>
      <c r="C43" s="274">
        <f>IF(C$4="","",C38+C39+C42)</f>
        <v>-721</v>
      </c>
      <c r="D43" s="274">
        <f t="shared" ref="D43:M43" si="17">IF(D$4="","",D38+D39+D42)</f>
        <v>-1185</v>
      </c>
      <c r="E43" s="274">
        <f t="shared" si="17"/>
        <v>9509</v>
      </c>
      <c r="F43" s="274">
        <f t="shared" si="17"/>
        <v>16530</v>
      </c>
      <c r="G43" s="274">
        <f t="shared" si="17"/>
        <v>8459</v>
      </c>
      <c r="H43" s="274">
        <f t="shared" si="17"/>
        <v>29374</v>
      </c>
      <c r="I43" s="274">
        <f t="shared" si="17"/>
        <v>18661</v>
      </c>
      <c r="J43" s="274">
        <f t="shared" si="17"/>
        <v>11869</v>
      </c>
      <c r="K43" s="274">
        <f t="shared" si="17"/>
        <v>2339</v>
      </c>
      <c r="L43" s="274">
        <f t="shared" si="17"/>
        <v>-11764</v>
      </c>
      <c r="M43" s="274" t="str">
        <f t="shared" si="17"/>
        <v/>
      </c>
    </row>
    <row r="44" spans="2:13">
      <c r="B44" s="39" t="s">
        <v>133</v>
      </c>
      <c r="C44" s="292">
        <f>IF(C$4="","",C47-C46-C45-C43)</f>
        <v>-60266</v>
      </c>
      <c r="D44" s="292">
        <f t="shared" ref="C44:M44" si="18">IF(D$4="","",D47-D46-D45-D43)</f>
        <v>-60989</v>
      </c>
      <c r="E44" s="292">
        <f t="shared" si="18"/>
        <v>-48561</v>
      </c>
      <c r="F44" s="292">
        <f t="shared" si="18"/>
        <v>-66899</v>
      </c>
      <c r="G44" s="292">
        <f t="shared" si="18"/>
        <v>-75337</v>
      </c>
      <c r="H44" s="292">
        <f t="shared" si="18"/>
        <v>-57859</v>
      </c>
      <c r="I44" s="292">
        <f t="shared" si="18"/>
        <v>-46241</v>
      </c>
      <c r="J44" s="292">
        <f t="shared" si="18"/>
        <v>-35567</v>
      </c>
      <c r="K44" s="292">
        <f t="shared" si="18"/>
        <v>-50733</v>
      </c>
      <c r="L44" s="292">
        <f t="shared" si="18"/>
        <v>-44826</v>
      </c>
      <c r="M44" s="292" t="str">
        <f t="shared" si="18"/>
        <v/>
      </c>
    </row>
    <row r="45" spans="2:13">
      <c r="B45" s="36" t="s">
        <v>63</v>
      </c>
      <c r="C45" s="287">
        <f t="shared" ref="C45:M45" si="19">IF(C$4="","",C51+C52)</f>
        <v>148107</v>
      </c>
      <c r="D45" s="287">
        <f t="shared" si="19"/>
        <v>146503</v>
      </c>
      <c r="E45" s="287">
        <f t="shared" si="19"/>
        <v>145273</v>
      </c>
      <c r="F45" s="287">
        <f t="shared" si="19"/>
        <v>145679</v>
      </c>
      <c r="G45" s="287">
        <f t="shared" si="19"/>
        <v>143515</v>
      </c>
      <c r="H45" s="287">
        <f t="shared" si="19"/>
        <v>102988</v>
      </c>
      <c r="I45" s="287">
        <f t="shared" si="19"/>
        <v>95657</v>
      </c>
      <c r="J45" s="287">
        <f t="shared" si="19"/>
        <v>88451</v>
      </c>
      <c r="K45" s="287">
        <f t="shared" si="19"/>
        <v>112319</v>
      </c>
      <c r="L45" s="287">
        <f t="shared" si="19"/>
        <v>119834</v>
      </c>
      <c r="M45" s="287" t="str">
        <f t="shared" si="19"/>
        <v/>
      </c>
    </row>
    <row r="46" spans="2:13">
      <c r="B46" s="36" t="s">
        <v>47</v>
      </c>
      <c r="C46" s="273">
        <f>IF(C$4="","",-C14)</f>
        <v>-9629</v>
      </c>
      <c r="D46" s="273">
        <f t="shared" ref="D46:M46" si="20">IF(D$4="","",-D14)</f>
        <v>-6675</v>
      </c>
      <c r="E46" s="273">
        <f t="shared" si="20"/>
        <v>-13807</v>
      </c>
      <c r="F46" s="273">
        <f t="shared" si="20"/>
        <v>-11494</v>
      </c>
      <c r="G46" s="273">
        <f t="shared" si="20"/>
        <v>-8956</v>
      </c>
      <c r="H46" s="273">
        <f t="shared" si="20"/>
        <v>-7801</v>
      </c>
      <c r="I46" s="273">
        <f t="shared" si="20"/>
        <v>-6832</v>
      </c>
      <c r="J46" s="273">
        <f t="shared" si="20"/>
        <v>-7018</v>
      </c>
      <c r="K46" s="273">
        <f t="shared" si="20"/>
        <v>-9598</v>
      </c>
      <c r="L46" s="273">
        <f t="shared" si="20"/>
        <v>-12594</v>
      </c>
      <c r="M46" s="273" t="str">
        <f t="shared" si="20"/>
        <v/>
      </c>
    </row>
    <row r="47" spans="2:13">
      <c r="B47" s="39" t="s">
        <v>39</v>
      </c>
      <c r="C47" s="274">
        <f t="shared" ref="C47:M47" si="21">IF(C$4="","",C15)</f>
        <v>77491</v>
      </c>
      <c r="D47" s="274">
        <f t="shared" si="21"/>
        <v>77654</v>
      </c>
      <c r="E47" s="274">
        <f t="shared" si="21"/>
        <v>92414</v>
      </c>
      <c r="F47" s="274">
        <f t="shared" si="21"/>
        <v>83816</v>
      </c>
      <c r="G47" s="274">
        <f t="shared" si="21"/>
        <v>67681</v>
      </c>
      <c r="H47" s="274">
        <f t="shared" si="21"/>
        <v>66702</v>
      </c>
      <c r="I47" s="274">
        <f t="shared" si="21"/>
        <v>61245</v>
      </c>
      <c r="J47" s="274">
        <f t="shared" si="21"/>
        <v>57735</v>
      </c>
      <c r="K47" s="274">
        <f t="shared" si="21"/>
        <v>54327</v>
      </c>
      <c r="L47" s="274">
        <f t="shared" si="21"/>
        <v>50650</v>
      </c>
      <c r="M47" s="274" t="str">
        <f t="shared" si="21"/>
        <v/>
      </c>
    </row>
    <row r="48" spans="2:13">
      <c r="B48" s="26" t="s">
        <v>41</v>
      </c>
      <c r="C48" s="273">
        <f t="shared" ref="C48:M48" si="22">IF(C$4="","",MIN(-C16,0))</f>
        <v>-286</v>
      </c>
      <c r="D48" s="273">
        <f t="shared" si="22"/>
        <v>-538</v>
      </c>
      <c r="E48" s="273">
        <f t="shared" si="22"/>
        <v>-1037</v>
      </c>
      <c r="F48" s="273">
        <f t="shared" si="22"/>
        <v>-1136</v>
      </c>
      <c r="G48" s="273">
        <f t="shared" si="22"/>
        <v>-1055</v>
      </c>
      <c r="H48" s="273">
        <f t="shared" si="22"/>
        <v>-834</v>
      </c>
      <c r="I48" s="273">
        <f t="shared" si="22"/>
        <v>-625</v>
      </c>
      <c r="J48" s="273">
        <f t="shared" si="22"/>
        <v>-535</v>
      </c>
      <c r="K48" s="273">
        <f t="shared" si="22"/>
        <v>-477</v>
      </c>
      <c r="L48" s="273">
        <f t="shared" si="22"/>
        <v>-443</v>
      </c>
      <c r="M48" s="273" t="str">
        <f t="shared" si="22"/>
        <v/>
      </c>
    </row>
    <row r="50" spans="2:13">
      <c r="B50" s="15" t="s">
        <v>63</v>
      </c>
    </row>
    <row r="51" spans="2:13">
      <c r="B51" s="36" t="s">
        <v>37</v>
      </c>
      <c r="C51" s="273">
        <f t="shared" ref="C51:M51" si="23">IF(C$4="","",-C12)</f>
        <v>-195728</v>
      </c>
      <c r="D51" s="273">
        <f t="shared" si="23"/>
        <v>-202576</v>
      </c>
      <c r="E51" s="273">
        <f t="shared" si="23"/>
        <v>-183473</v>
      </c>
      <c r="F51" s="273">
        <f t="shared" si="23"/>
        <v>-169479</v>
      </c>
      <c r="G51" s="273">
        <f t="shared" si="23"/>
        <v>-159963</v>
      </c>
      <c r="H51" s="273">
        <f t="shared" si="23"/>
        <v>-166689</v>
      </c>
      <c r="I51" s="273">
        <f t="shared" si="23"/>
        <v>-174921</v>
      </c>
      <c r="J51" s="273">
        <f t="shared" si="23"/>
        <v>-164193</v>
      </c>
      <c r="K51" s="273">
        <f t="shared" si="23"/>
        <v>-123960</v>
      </c>
      <c r="L51" s="273">
        <f t="shared" si="23"/>
        <v>-136138</v>
      </c>
      <c r="M51" s="273" t="str">
        <f t="shared" si="23"/>
        <v/>
      </c>
    </row>
    <row r="52" spans="2:13">
      <c r="B52" s="36" t="s">
        <v>62</v>
      </c>
      <c r="C52" s="273">
        <f>IF(C$4="","",C13)</f>
        <v>343835</v>
      </c>
      <c r="D52" s="273">
        <f t="shared" ref="D52:M52" si="24">IF(D$4="","",D13)</f>
        <v>349079</v>
      </c>
      <c r="E52" s="273">
        <f t="shared" si="24"/>
        <v>328746</v>
      </c>
      <c r="F52" s="273">
        <f t="shared" si="24"/>
        <v>315158</v>
      </c>
      <c r="G52" s="273">
        <f t="shared" si="24"/>
        <v>303478</v>
      </c>
      <c r="H52" s="273">
        <f t="shared" si="24"/>
        <v>269677</v>
      </c>
      <c r="I52" s="273">
        <f t="shared" si="24"/>
        <v>270578</v>
      </c>
      <c r="J52" s="273">
        <f t="shared" si="24"/>
        <v>252644</v>
      </c>
      <c r="K52" s="273">
        <f t="shared" si="24"/>
        <v>236279</v>
      </c>
      <c r="L52" s="273">
        <f t="shared" si="24"/>
        <v>255972</v>
      </c>
      <c r="M52" s="273" t="str">
        <f t="shared" si="24"/>
        <v/>
      </c>
    </row>
    <row r="54" spans="2:13">
      <c r="B54" s="153" t="s">
        <v>133</v>
      </c>
    </row>
    <row r="55" spans="2:13">
      <c r="B55" s="36" t="s">
        <v>129</v>
      </c>
      <c r="C55" s="287">
        <f t="shared" ref="C55:M55" si="25">IF(C$4="","",C9)</f>
        <v>0</v>
      </c>
      <c r="D55" s="287">
        <f t="shared" si="25"/>
        <v>0</v>
      </c>
      <c r="E55" s="287">
        <f t="shared" si="25"/>
        <v>0</v>
      </c>
      <c r="F55" s="287">
        <f t="shared" si="25"/>
        <v>0</v>
      </c>
      <c r="G55" s="287">
        <f t="shared" si="25"/>
        <v>0</v>
      </c>
      <c r="H55" s="287">
        <f t="shared" si="25"/>
        <v>0</v>
      </c>
      <c r="I55" s="287">
        <f t="shared" si="25"/>
        <v>0</v>
      </c>
      <c r="J55" s="287">
        <f t="shared" si="25"/>
        <v>0</v>
      </c>
      <c r="K55" s="287">
        <f t="shared" si="25"/>
        <v>0</v>
      </c>
      <c r="L55" s="287">
        <f t="shared" si="25"/>
        <v>0</v>
      </c>
      <c r="M55" s="287" t="str">
        <f t="shared" si="25"/>
        <v/>
      </c>
    </row>
    <row r="56" spans="2:13">
      <c r="B56" s="36" t="s">
        <v>132</v>
      </c>
      <c r="C56" s="287">
        <f t="shared" ref="C56:M56" si="26">IF(C$4="","",C10)</f>
        <v>0</v>
      </c>
      <c r="D56" s="287">
        <f t="shared" si="26"/>
        <v>0</v>
      </c>
      <c r="E56" s="287">
        <f t="shared" si="26"/>
        <v>0</v>
      </c>
      <c r="F56" s="287">
        <f t="shared" si="26"/>
        <v>0</v>
      </c>
      <c r="G56" s="287">
        <f t="shared" si="26"/>
        <v>0</v>
      </c>
      <c r="H56" s="287">
        <f t="shared" si="26"/>
        <v>0</v>
      </c>
      <c r="I56" s="287">
        <f t="shared" si="26"/>
        <v>0</v>
      </c>
      <c r="J56" s="287">
        <f t="shared" si="26"/>
        <v>0</v>
      </c>
      <c r="K56" s="287">
        <f t="shared" si="26"/>
        <v>0</v>
      </c>
      <c r="L56" s="287">
        <f t="shared" si="26"/>
        <v>0</v>
      </c>
      <c r="M56" s="287" t="str">
        <f t="shared" si="26"/>
        <v/>
      </c>
    </row>
    <row r="57" spans="2:13">
      <c r="B57" s="36" t="s">
        <v>128</v>
      </c>
      <c r="C57" s="287">
        <f t="shared" ref="C57:M57" si="27">IF(C$4="","",C11)</f>
        <v>0</v>
      </c>
      <c r="D57" s="287">
        <f t="shared" si="27"/>
        <v>0</v>
      </c>
      <c r="E57" s="287">
        <f t="shared" si="27"/>
        <v>0</v>
      </c>
      <c r="F57" s="287">
        <f t="shared" si="27"/>
        <v>0</v>
      </c>
      <c r="G57" s="287">
        <f t="shared" si="27"/>
        <v>0</v>
      </c>
      <c r="H57" s="287">
        <f t="shared" si="27"/>
        <v>0</v>
      </c>
      <c r="I57" s="287">
        <f t="shared" si="27"/>
        <v>0</v>
      </c>
      <c r="J57" s="287">
        <f t="shared" si="27"/>
        <v>0</v>
      </c>
      <c r="K57" s="287">
        <f t="shared" si="27"/>
        <v>0</v>
      </c>
      <c r="L57" s="287">
        <f t="shared" si="27"/>
        <v>0</v>
      </c>
      <c r="M57" s="287" t="str">
        <f t="shared" si="27"/>
        <v/>
      </c>
    </row>
    <row r="58" spans="2:13">
      <c r="B58" s="36" t="s">
        <v>130</v>
      </c>
      <c r="C58" s="287">
        <f>IF(C$4="","",C44-C55-C56-C57)</f>
        <v>-60266</v>
      </c>
      <c r="D58" s="287">
        <f t="shared" ref="D58:M58" si="28">IF(D$4="","",D44-D55-D56-D57)</f>
        <v>-60989</v>
      </c>
      <c r="E58" s="287">
        <f t="shared" si="28"/>
        <v>-48561</v>
      </c>
      <c r="F58" s="287">
        <f t="shared" si="28"/>
        <v>-66899</v>
      </c>
      <c r="G58" s="287">
        <f t="shared" si="28"/>
        <v>-75337</v>
      </c>
      <c r="H58" s="287">
        <f t="shared" si="28"/>
        <v>-57859</v>
      </c>
      <c r="I58" s="287">
        <f t="shared" si="28"/>
        <v>-46241</v>
      </c>
      <c r="J58" s="287">
        <f t="shared" si="28"/>
        <v>-35567</v>
      </c>
      <c r="K58" s="287">
        <f t="shared" si="28"/>
        <v>-50733</v>
      </c>
      <c r="L58" s="287">
        <f t="shared" si="28"/>
        <v>-44826</v>
      </c>
      <c r="M58" s="287" t="str">
        <f t="shared" si="28"/>
        <v/>
      </c>
    </row>
    <row r="60" spans="2:13">
      <c r="B60" s="15" t="s">
        <v>48</v>
      </c>
      <c r="C60" s="9"/>
    </row>
    <row r="61" spans="2:13">
      <c r="B61" s="25" t="s">
        <v>44</v>
      </c>
      <c r="C61" s="273">
        <f>IF(C$4="","",-C19)</f>
        <v>0</v>
      </c>
      <c r="D61" s="273">
        <f t="shared" ref="D61:M61" si="29">IF(D$4="","",-D19)</f>
        <v>0</v>
      </c>
      <c r="E61" s="273">
        <f t="shared" si="29"/>
        <v>0</v>
      </c>
      <c r="F61" s="273">
        <f t="shared" si="29"/>
        <v>0</v>
      </c>
      <c r="G61" s="273">
        <f t="shared" si="29"/>
        <v>0</v>
      </c>
      <c r="H61" s="273">
        <f t="shared" si="29"/>
        <v>0</v>
      </c>
      <c r="I61" s="273">
        <f t="shared" si="29"/>
        <v>0</v>
      </c>
      <c r="J61" s="273">
        <f t="shared" si="29"/>
        <v>0</v>
      </c>
      <c r="K61" s="273">
        <f t="shared" si="29"/>
        <v>0</v>
      </c>
      <c r="L61" s="273">
        <f t="shared" si="29"/>
        <v>0</v>
      </c>
      <c r="M61" s="273" t="str">
        <f t="shared" si="29"/>
        <v/>
      </c>
    </row>
    <row r="62" spans="2:13">
      <c r="B62" s="25" t="s">
        <v>50</v>
      </c>
      <c r="C62" s="273">
        <f>IF(C$4="","",IF(C20=0,C61,-C20))</f>
        <v>0</v>
      </c>
      <c r="D62" s="273">
        <f t="shared" ref="D62:M62" si="30">IF(D$4="","",IF(D20=0,D61,-D20))</f>
        <v>0</v>
      </c>
      <c r="E62" s="273">
        <f t="shared" si="30"/>
        <v>0</v>
      </c>
      <c r="F62" s="273">
        <f t="shared" si="30"/>
        <v>0</v>
      </c>
      <c r="G62" s="273">
        <f t="shared" si="30"/>
        <v>0</v>
      </c>
      <c r="H62" s="273">
        <f t="shared" si="30"/>
        <v>0</v>
      </c>
      <c r="I62" s="273">
        <f t="shared" si="30"/>
        <v>0</v>
      </c>
      <c r="J62" s="273">
        <f t="shared" si="30"/>
        <v>0</v>
      </c>
      <c r="K62" s="273">
        <f t="shared" si="30"/>
        <v>0</v>
      </c>
      <c r="L62" s="273">
        <f t="shared" si="30"/>
        <v>0</v>
      </c>
      <c r="M62" s="273" t="str">
        <f t="shared" si="30"/>
        <v/>
      </c>
    </row>
    <row r="63" spans="2:13">
      <c r="B63" s="25" t="s">
        <v>49</v>
      </c>
      <c r="C63" s="273">
        <f>IF(C$4="","",-C21)</f>
        <v>0</v>
      </c>
      <c r="D63" s="273">
        <f t="shared" ref="D63:M63" si="31">IF(D$4="","",-D21)</f>
        <v>0</v>
      </c>
      <c r="E63" s="273">
        <f t="shared" si="31"/>
        <v>0</v>
      </c>
      <c r="F63" s="273">
        <f t="shared" si="31"/>
        <v>0</v>
      </c>
      <c r="G63" s="273">
        <f t="shared" si="31"/>
        <v>0</v>
      </c>
      <c r="H63" s="273">
        <f t="shared" si="31"/>
        <v>0</v>
      </c>
      <c r="I63" s="273">
        <f t="shared" si="31"/>
        <v>0</v>
      </c>
      <c r="J63" s="273">
        <f t="shared" si="31"/>
        <v>0</v>
      </c>
      <c r="K63" s="273">
        <f t="shared" si="31"/>
        <v>0</v>
      </c>
      <c r="L63" s="273">
        <f t="shared" si="31"/>
        <v>0</v>
      </c>
      <c r="M63" s="273" t="str">
        <f t="shared" si="31"/>
        <v/>
      </c>
    </row>
    <row r="64" spans="2:13">
      <c r="B64" s="25" t="s">
        <v>294</v>
      </c>
      <c r="C64" s="273">
        <f>IF(C$4="","",C22+C23+C24)</f>
        <v>-18926</v>
      </c>
      <c r="D64" s="273">
        <f t="shared" ref="D64:M64" si="32">IF(D$4="","",D22+D23+D24)</f>
        <v>125761</v>
      </c>
      <c r="E64" s="273">
        <f t="shared" si="32"/>
        <v>-368894</v>
      </c>
      <c r="F64" s="273">
        <f t="shared" si="32"/>
        <v>-185529</v>
      </c>
      <c r="G64" s="273">
        <f t="shared" si="32"/>
        <v>229410</v>
      </c>
      <c r="H64" s="273">
        <f t="shared" si="32"/>
        <v>180995</v>
      </c>
      <c r="I64" s="273">
        <f t="shared" si="32"/>
        <v>76727</v>
      </c>
      <c r="J64" s="273">
        <f t="shared" si="32"/>
        <v>38552</v>
      </c>
      <c r="K64" s="273">
        <f t="shared" si="32"/>
        <v>119154</v>
      </c>
      <c r="L64" s="273">
        <f t="shared" si="32"/>
        <v>-46023</v>
      </c>
      <c r="M64" s="273" t="str">
        <f t="shared" si="32"/>
        <v/>
      </c>
    </row>
    <row r="65" spans="2:13">
      <c r="B65" s="22" t="s">
        <v>34</v>
      </c>
      <c r="C65" s="67">
        <f>IF(C$4="","",C25)</f>
        <v>1.06</v>
      </c>
      <c r="D65" s="67">
        <f t="shared" ref="D65:M65" si="33">IF(D$4="","",D25)</f>
        <v>0</v>
      </c>
      <c r="E65" s="67">
        <f t="shared" si="33"/>
        <v>0</v>
      </c>
      <c r="F65" s="67">
        <f t="shared" si="33"/>
        <v>0</v>
      </c>
      <c r="G65" s="67">
        <f t="shared" si="33"/>
        <v>0</v>
      </c>
      <c r="H65" s="67">
        <f t="shared" si="33"/>
        <v>0</v>
      </c>
      <c r="I65" s="67">
        <f t="shared" si="33"/>
        <v>0</v>
      </c>
      <c r="J65" s="67">
        <f t="shared" si="33"/>
        <v>0</v>
      </c>
      <c r="K65" s="67">
        <f t="shared" si="33"/>
        <v>0</v>
      </c>
      <c r="L65" s="67">
        <f t="shared" si="33"/>
        <v>0</v>
      </c>
      <c r="M65" s="67" t="str">
        <f t="shared" si="33"/>
        <v/>
      </c>
    </row>
    <row r="67" spans="2:13">
      <c r="B67" s="85" t="s">
        <v>79</v>
      </c>
    </row>
    <row r="68" spans="2:13">
      <c r="B68" s="1" t="str">
        <f>B36</f>
        <v>Sales</v>
      </c>
      <c r="C68" s="86">
        <f t="shared" ref="C68:M68" si="34">IF(D$36="","",C36/D36-1)</f>
        <v>-1.9190762631230429E-3</v>
      </c>
      <c r="D68" s="86">
        <f t="shared" si="34"/>
        <v>-0.17125750103577775</v>
      </c>
      <c r="E68" s="86">
        <f t="shared" si="34"/>
        <v>2.0081799591002092E-2</v>
      </c>
      <c r="F68" s="86">
        <f t="shared" si="34"/>
        <v>0.27485400444938812</v>
      </c>
      <c r="G68" s="86">
        <f t="shared" si="34"/>
        <v>-0.24852411054803825</v>
      </c>
      <c r="H68" s="86">
        <f t="shared" si="34"/>
        <v>0.25059619091176377</v>
      </c>
      <c r="I68" s="86">
        <f t="shared" si="34"/>
        <v>0.21114166452353156</v>
      </c>
      <c r="J68" s="86">
        <f t="shared" si="34"/>
        <v>0.29367354250908528</v>
      </c>
      <c r="K68" s="86">
        <f t="shared" si="34"/>
        <v>0.81242172642515897</v>
      </c>
      <c r="L68" s="86" t="str">
        <f t="shared" si="34"/>
        <v/>
      </c>
      <c r="M68" s="86" t="str">
        <f t="shared" si="34"/>
        <v/>
      </c>
    </row>
    <row r="69" spans="2:13">
      <c r="B69" s="28" t="s">
        <v>54</v>
      </c>
      <c r="C69" s="86">
        <f>IF(D$36="","",C38/D38-1)</f>
        <v>-1.9190762631230429E-3</v>
      </c>
      <c r="D69" s="86">
        <f t="shared" ref="D69:M69" si="35">IF(E$36="","",D38/E38-1)</f>
        <v>-0.17125750103577775</v>
      </c>
      <c r="E69" s="86">
        <f t="shared" si="35"/>
        <v>2.0081799591002092E-2</v>
      </c>
      <c r="F69" s="86">
        <f t="shared" si="35"/>
        <v>0.27485400444938812</v>
      </c>
      <c r="G69" s="86">
        <f t="shared" si="35"/>
        <v>-0.24852411054803825</v>
      </c>
      <c r="H69" s="86">
        <f t="shared" si="35"/>
        <v>0.25059619091176377</v>
      </c>
      <c r="I69" s="86">
        <f t="shared" si="35"/>
        <v>0.21114166452353156</v>
      </c>
      <c r="J69" s="86">
        <f t="shared" si="35"/>
        <v>0.29367354250908528</v>
      </c>
      <c r="K69" s="86">
        <f t="shared" si="35"/>
        <v>0.81242172642515897</v>
      </c>
      <c r="L69" s="86" t="str">
        <f t="shared" si="35"/>
        <v/>
      </c>
      <c r="M69" s="86" t="str">
        <f t="shared" si="35"/>
        <v/>
      </c>
    </row>
    <row r="70" spans="2:13">
      <c r="B70" s="74" t="str">
        <f>B43</f>
        <v>Operating EBIT</v>
      </c>
      <c r="C70" s="95">
        <f>IF(D$36="","",C43/D43-1)</f>
        <v>-0.39156118143459917</v>
      </c>
      <c r="D70" s="95">
        <f t="shared" ref="D70:M70" si="36">IF(E$36="","",D43/E43-1)</f>
        <v>-1.1246187822063309</v>
      </c>
      <c r="E70" s="95">
        <f t="shared" si="36"/>
        <v>-0.42474289171203872</v>
      </c>
      <c r="F70" s="95">
        <f t="shared" si="36"/>
        <v>0.9541316940536706</v>
      </c>
      <c r="G70" s="95">
        <f t="shared" si="36"/>
        <v>-0.71202423912303403</v>
      </c>
      <c r="H70" s="95">
        <f t="shared" si="36"/>
        <v>0.57408499008627611</v>
      </c>
      <c r="I70" s="95">
        <f t="shared" si="36"/>
        <v>0.57224703007835531</v>
      </c>
      <c r="J70" s="95">
        <f t="shared" si="36"/>
        <v>4.0743907652843099</v>
      </c>
      <c r="K70" s="95">
        <f t="shared" si="36"/>
        <v>-1.198826929615777</v>
      </c>
      <c r="L70" s="95" t="str">
        <f t="shared" si="36"/>
        <v/>
      </c>
      <c r="M70" s="95" t="str">
        <f t="shared" si="36"/>
        <v/>
      </c>
    </row>
    <row r="71" spans="2:13">
      <c r="B71" s="39" t="s">
        <v>133</v>
      </c>
      <c r="C71" s="95">
        <f>IF(D$36="","",C44/D44-1)</f>
        <v>-1.1854596730557998E-2</v>
      </c>
      <c r="D71" s="95">
        <f t="shared" ref="D71:M71" si="37">IF(E$36="","",D44/E44-1)</f>
        <v>0.25592553695352227</v>
      </c>
      <c r="E71" s="95">
        <f t="shared" si="37"/>
        <v>-0.27411471023483158</v>
      </c>
      <c r="F71" s="95">
        <f t="shared" si="37"/>
        <v>-0.11200339806469595</v>
      </c>
      <c r="G71" s="95">
        <f t="shared" si="37"/>
        <v>0.30207919251974635</v>
      </c>
      <c r="H71" s="95">
        <f t="shared" si="37"/>
        <v>0.25124889167621811</v>
      </c>
      <c r="I71" s="95">
        <f t="shared" si="37"/>
        <v>0.3001096522056963</v>
      </c>
      <c r="J71" s="95">
        <f t="shared" si="37"/>
        <v>-0.29893757514832553</v>
      </c>
      <c r="K71" s="95">
        <f t="shared" si="37"/>
        <v>0.13177620131173873</v>
      </c>
      <c r="L71" s="95" t="str">
        <f t="shared" si="37"/>
        <v/>
      </c>
      <c r="M71" s="95" t="str">
        <f t="shared" si="37"/>
        <v/>
      </c>
    </row>
    <row r="72" spans="2:13">
      <c r="B72" s="74" t="str">
        <f>B47</f>
        <v>Reported Net Income</v>
      </c>
      <c r="C72" s="95">
        <f>IF(D$36="","",C47/D47-1)</f>
        <v>-2.0990547814665472E-3</v>
      </c>
      <c r="D72" s="95">
        <f t="shared" ref="D72:M72" si="38">IF(E$36="","",D47/E47-1)</f>
        <v>-0.15971606033717833</v>
      </c>
      <c r="E72" s="95">
        <f t="shared" si="38"/>
        <v>0.10258184594826769</v>
      </c>
      <c r="F72" s="95">
        <f t="shared" si="38"/>
        <v>0.23839777781061144</v>
      </c>
      <c r="G72" s="95">
        <f t="shared" si="38"/>
        <v>1.4677221072831426E-2</v>
      </c>
      <c r="H72" s="95">
        <f t="shared" si="38"/>
        <v>8.9101151114376664E-2</v>
      </c>
      <c r="I72" s="95">
        <f t="shared" si="38"/>
        <v>6.0795011691348488E-2</v>
      </c>
      <c r="J72" s="95">
        <f t="shared" si="38"/>
        <v>6.2731238610635565E-2</v>
      </c>
      <c r="K72" s="95">
        <f t="shared" si="38"/>
        <v>7.2596248766041427E-2</v>
      </c>
      <c r="L72" s="95" t="str">
        <f t="shared" si="38"/>
        <v/>
      </c>
      <c r="M72" s="95" t="str">
        <f t="shared" si="38"/>
        <v/>
      </c>
    </row>
    <row r="74" spans="2:13" ht="13.9">
      <c r="B74" s="32" t="s">
        <v>77</v>
      </c>
      <c r="C74" s="33"/>
      <c r="D74" s="33"/>
      <c r="E74" s="33"/>
      <c r="F74" s="33"/>
      <c r="G74" s="33"/>
      <c r="H74" s="33"/>
      <c r="I74" s="33"/>
      <c r="J74" s="33"/>
      <c r="K74" s="33"/>
      <c r="L74" s="33"/>
      <c r="M74" s="33"/>
    </row>
    <row r="75" spans="2:13">
      <c r="B75" s="15" t="s">
        <v>26</v>
      </c>
      <c r="C75" s="9"/>
    </row>
    <row r="76" spans="2:13">
      <c r="B76" s="24" t="s">
        <v>1</v>
      </c>
      <c r="C76" s="70">
        <f>IF(C$4="","",C79+C80)</f>
        <v>10507898</v>
      </c>
      <c r="D76" s="287">
        <f t="shared" ref="D76:M76" si="39">IF(D$4="","",D79+D80)</f>
        <v>10158326</v>
      </c>
      <c r="E76" s="287">
        <f t="shared" si="39"/>
        <v>9266671</v>
      </c>
      <c r="F76" s="287">
        <f t="shared" si="39"/>
        <v>8603024</v>
      </c>
      <c r="G76" s="287">
        <f t="shared" si="39"/>
        <v>7894000</v>
      </c>
      <c r="H76" s="287">
        <f t="shared" si="39"/>
        <v>7145681</v>
      </c>
      <c r="I76" s="287">
        <f t="shared" si="39"/>
        <v>6711657</v>
      </c>
      <c r="J76" s="287">
        <f t="shared" si="39"/>
        <v>6416842</v>
      </c>
      <c r="K76" s="287">
        <f t="shared" si="39"/>
        <v>6085895</v>
      </c>
      <c r="L76" s="287">
        <f t="shared" si="39"/>
        <v>5298880</v>
      </c>
      <c r="M76" s="287" t="str">
        <f t="shared" si="39"/>
        <v/>
      </c>
    </row>
    <row r="77" spans="2:13">
      <c r="B77" s="87" t="s">
        <v>80</v>
      </c>
      <c r="C77" s="263">
        <f t="shared" ref="C77:H78" si="40">IF(C$4="","",C28)</f>
        <v>0</v>
      </c>
      <c r="D77" s="285">
        <f t="shared" si="40"/>
        <v>0</v>
      </c>
      <c r="E77" s="285">
        <f t="shared" si="40"/>
        <v>0</v>
      </c>
      <c r="F77" s="285">
        <f t="shared" si="40"/>
        <v>0</v>
      </c>
      <c r="G77" s="285">
        <f t="shared" si="40"/>
        <v>0</v>
      </c>
      <c r="H77" s="285">
        <f t="shared" si="40"/>
        <v>0</v>
      </c>
      <c r="I77" s="293"/>
      <c r="J77" s="293"/>
      <c r="K77" s="293"/>
      <c r="L77" s="293"/>
      <c r="M77" s="293"/>
    </row>
    <row r="78" spans="2:13">
      <c r="B78" s="87" t="s">
        <v>81</v>
      </c>
      <c r="C78" s="263">
        <f t="shared" si="40"/>
        <v>0</v>
      </c>
      <c r="D78" s="285">
        <f t="shared" si="40"/>
        <v>0</v>
      </c>
      <c r="E78" s="285">
        <f t="shared" si="40"/>
        <v>0</v>
      </c>
      <c r="F78" s="285">
        <f t="shared" si="40"/>
        <v>0</v>
      </c>
      <c r="G78" s="285">
        <f t="shared" si="40"/>
        <v>0</v>
      </c>
      <c r="H78" s="285">
        <f t="shared" si="40"/>
        <v>0</v>
      </c>
      <c r="I78" s="293"/>
      <c r="J78" s="293"/>
      <c r="K78" s="293"/>
      <c r="L78" s="293"/>
      <c r="M78" s="293"/>
    </row>
    <row r="79" spans="2:13">
      <c r="B79" s="24" t="s">
        <v>38</v>
      </c>
      <c r="C79" s="262">
        <f t="shared" ref="C79:M79" si="41">IF(C$4="","",C30)</f>
        <v>9614287</v>
      </c>
      <c r="D79" s="273">
        <f t="shared" si="41"/>
        <v>9350607</v>
      </c>
      <c r="E79" s="273">
        <f t="shared" si="41"/>
        <v>8509373</v>
      </c>
      <c r="F79" s="273">
        <f t="shared" si="41"/>
        <v>7908726</v>
      </c>
      <c r="G79" s="273">
        <f t="shared" si="41"/>
        <v>7269197</v>
      </c>
      <c r="H79" s="273">
        <f t="shared" si="41"/>
        <v>6596029</v>
      </c>
      <c r="I79" s="273">
        <f t="shared" si="41"/>
        <v>6239073</v>
      </c>
      <c r="J79" s="273">
        <f t="shared" si="41"/>
        <v>5994090</v>
      </c>
      <c r="K79" s="273">
        <f t="shared" si="41"/>
        <v>5731485</v>
      </c>
      <c r="L79" s="273">
        <f t="shared" si="41"/>
        <v>4981503</v>
      </c>
      <c r="M79" s="273" t="str">
        <f t="shared" si="41"/>
        <v/>
      </c>
    </row>
    <row r="80" spans="2:13">
      <c r="B80" s="24" t="s">
        <v>28</v>
      </c>
      <c r="C80" s="262">
        <f t="shared" ref="C80:M80" si="42">IF(C$4="","",C31)</f>
        <v>893611</v>
      </c>
      <c r="D80" s="273">
        <f t="shared" si="42"/>
        <v>807719</v>
      </c>
      <c r="E80" s="273">
        <f t="shared" si="42"/>
        <v>757298</v>
      </c>
      <c r="F80" s="273">
        <f t="shared" si="42"/>
        <v>694298</v>
      </c>
      <c r="G80" s="273">
        <f t="shared" si="42"/>
        <v>624803</v>
      </c>
      <c r="H80" s="273">
        <f t="shared" si="42"/>
        <v>549652</v>
      </c>
      <c r="I80" s="273">
        <f t="shared" si="42"/>
        <v>472584</v>
      </c>
      <c r="J80" s="273">
        <f t="shared" si="42"/>
        <v>422752</v>
      </c>
      <c r="K80" s="273">
        <f t="shared" si="42"/>
        <v>354410</v>
      </c>
      <c r="L80" s="273">
        <f t="shared" si="42"/>
        <v>317377</v>
      </c>
      <c r="M80" s="273"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66" zoomScaleNormal="100" workbookViewId="0">
      <selection activeCell="C34" sqref="C3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6" t="s">
        <v>35</v>
      </c>
      <c r="C1" s="93">
        <v>45657</v>
      </c>
      <c r="F1" s="80" t="str">
        <f>IF(MONTH(C1)=MONTH(Normalized_FCF!G1),"FY","Quarter")&amp;" Report"</f>
        <v>FY Report</v>
      </c>
      <c r="H1" s="101">
        <f>scaling_factor</f>
        <v>1000000</v>
      </c>
    </row>
    <row r="2" spans="2:8" ht="15" customHeight="1">
      <c r="B2" s="73" t="s">
        <v>126</v>
      </c>
      <c r="C2" s="33"/>
      <c r="D2" s="33"/>
      <c r="E2" s="33"/>
      <c r="F2" s="33"/>
      <c r="G2" s="33"/>
      <c r="H2" s="33"/>
    </row>
    <row r="3" spans="2:8" ht="15" customHeight="1">
      <c r="B3" s="15" t="s">
        <v>147</v>
      </c>
      <c r="C3" s="161" t="s">
        <v>108</v>
      </c>
      <c r="D3" s="162" t="s">
        <v>33</v>
      </c>
      <c r="F3" s="15" t="s">
        <v>148</v>
      </c>
      <c r="G3" s="161" t="s">
        <v>108</v>
      </c>
      <c r="H3" s="162" t="s">
        <v>33</v>
      </c>
    </row>
    <row r="4" spans="2:8" ht="15" customHeight="1">
      <c r="B4" s="4" t="s">
        <v>22</v>
      </c>
      <c r="C4" s="17">
        <v>0</v>
      </c>
      <c r="D4" s="231">
        <v>0.6</v>
      </c>
      <c r="E4" s="23"/>
      <c r="F4" s="4" t="s">
        <v>72</v>
      </c>
      <c r="G4" s="17">
        <f>394940+107117+70524+377748</f>
        <v>950329</v>
      </c>
      <c r="H4" s="231">
        <v>0.9</v>
      </c>
    </row>
    <row r="5" spans="2:8" ht="15" customHeight="1">
      <c r="B5" s="1" t="s">
        <v>31</v>
      </c>
      <c r="C5" s="17">
        <v>0</v>
      </c>
      <c r="D5" s="231">
        <v>0.6</v>
      </c>
      <c r="E5" s="23"/>
      <c r="F5" s="1" t="s">
        <v>27</v>
      </c>
      <c r="G5" s="17">
        <v>0</v>
      </c>
      <c r="H5" s="231">
        <v>0.7</v>
      </c>
    </row>
    <row r="6" spans="2:8" ht="15" customHeight="1">
      <c r="B6" s="4" t="s">
        <v>8</v>
      </c>
      <c r="C6" s="17">
        <v>0</v>
      </c>
      <c r="D6" s="231">
        <v>0.5</v>
      </c>
      <c r="E6" s="23"/>
      <c r="F6" s="4" t="s">
        <v>140</v>
      </c>
      <c r="G6" s="17">
        <v>0</v>
      </c>
      <c r="H6" s="231">
        <v>0.6</v>
      </c>
    </row>
    <row r="7" spans="2:8" ht="15" customHeight="1">
      <c r="B7" s="1" t="s">
        <v>64</v>
      </c>
      <c r="C7" s="17">
        <v>0</v>
      </c>
      <c r="D7" s="231">
        <v>0.6</v>
      </c>
      <c r="E7" s="23"/>
      <c r="F7" s="4" t="s">
        <v>141</v>
      </c>
      <c r="G7" s="17">
        <f>6731</f>
        <v>6731</v>
      </c>
      <c r="H7" s="231">
        <v>0.6</v>
      </c>
    </row>
    <row r="8" spans="2:8" ht="15" customHeight="1">
      <c r="B8" s="1" t="s">
        <v>138</v>
      </c>
      <c r="C8" s="17">
        <v>0</v>
      </c>
      <c r="D8" s="231">
        <v>0.6</v>
      </c>
      <c r="E8" s="23"/>
      <c r="F8" s="1" t="s">
        <v>142</v>
      </c>
      <c r="G8" s="17">
        <v>0</v>
      </c>
      <c r="H8" s="231">
        <v>0.6</v>
      </c>
    </row>
    <row r="9" spans="2:8" ht="15" customHeight="1">
      <c r="B9" s="4" t="s">
        <v>23</v>
      </c>
      <c r="C9" s="17">
        <v>0</v>
      </c>
      <c r="D9" s="231">
        <v>0.1</v>
      </c>
      <c r="E9" s="23"/>
      <c r="F9" s="4" t="s">
        <v>143</v>
      </c>
      <c r="G9" s="17">
        <v>0</v>
      </c>
      <c r="H9" s="231">
        <v>0.6</v>
      </c>
    </row>
    <row r="10" spans="2:8" ht="15" customHeight="1">
      <c r="B10" s="4" t="s">
        <v>9</v>
      </c>
      <c r="C10" s="17">
        <v>0</v>
      </c>
      <c r="D10" s="231">
        <v>0.9</v>
      </c>
      <c r="F10" s="1" t="s">
        <v>388</v>
      </c>
      <c r="G10" s="17">
        <v>0</v>
      </c>
      <c r="H10" s="231">
        <v>0.6</v>
      </c>
    </row>
    <row r="11" spans="2:8" ht="15" customHeight="1">
      <c r="B11" s="4" t="s">
        <v>10</v>
      </c>
      <c r="C11" s="17">
        <v>0</v>
      </c>
      <c r="D11" s="231">
        <v>0.05</v>
      </c>
      <c r="H11" s="232"/>
    </row>
    <row r="12" spans="2:8" ht="15" customHeight="1">
      <c r="B12" s="74" t="s">
        <v>67</v>
      </c>
      <c r="C12" s="75">
        <f>SUM(C4:C11)</f>
        <v>0</v>
      </c>
      <c r="D12" s="18">
        <f>C4*D4+C5*D5+C9*D9+C6*D6+C8*D8+C7*D7+C10*D10+C11*D11</f>
        <v>0</v>
      </c>
      <c r="F12" s="74" t="s">
        <v>65</v>
      </c>
      <c r="G12" s="75">
        <f>SUM(G4:G10)</f>
        <v>957060</v>
      </c>
      <c r="H12" s="18">
        <f>G4*H4+G5*H5+G6*H6+G7*H7+G8*H8+G9*H9+G10*H10</f>
        <v>859334.7</v>
      </c>
    </row>
    <row r="13" spans="2:8" ht="15" customHeight="1">
      <c r="F13" s="74"/>
      <c r="G13" s="75"/>
      <c r="H13" s="18"/>
    </row>
    <row r="14" spans="2:8" ht="15" customHeight="1">
      <c r="B14" s="15" t="s">
        <v>146</v>
      </c>
      <c r="C14" s="161" t="s">
        <v>108</v>
      </c>
      <c r="D14" s="162" t="s">
        <v>33</v>
      </c>
      <c r="F14" s="15" t="s">
        <v>149</v>
      </c>
      <c r="G14" s="161" t="s">
        <v>108</v>
      </c>
      <c r="H14" s="162" t="s">
        <v>33</v>
      </c>
    </row>
    <row r="15" spans="2:8" ht="15" customHeight="1">
      <c r="B15" s="4" t="s">
        <v>317</v>
      </c>
      <c r="C15" s="17">
        <v>0</v>
      </c>
      <c r="D15" s="231">
        <v>0.4</v>
      </c>
      <c r="F15" s="4" t="s">
        <v>73</v>
      </c>
      <c r="G15" s="17">
        <f>177518+5608859</f>
        <v>5786377</v>
      </c>
      <c r="H15" s="231">
        <v>0.8</v>
      </c>
    </row>
    <row r="16" spans="2:8" ht="15" customHeight="1">
      <c r="B16" s="1" t="s">
        <v>32</v>
      </c>
      <c r="C16" s="17">
        <v>0</v>
      </c>
      <c r="D16" s="231">
        <v>0.5</v>
      </c>
      <c r="F16" s="4" t="s">
        <v>140</v>
      </c>
      <c r="G16" s="17">
        <v>0</v>
      </c>
      <c r="H16" s="231">
        <v>0.6</v>
      </c>
    </row>
    <row r="17" spans="2:8" ht="15" customHeight="1">
      <c r="B17" s="1" t="s">
        <v>64</v>
      </c>
      <c r="C17" s="17">
        <v>0</v>
      </c>
      <c r="D17" s="231">
        <v>0.6</v>
      </c>
      <c r="F17" s="4" t="s">
        <v>141</v>
      </c>
      <c r="G17" s="17">
        <f>923189+1896064+630916+4011+114913</f>
        <v>3569093</v>
      </c>
      <c r="H17" s="231">
        <v>0.6</v>
      </c>
    </row>
    <row r="18" spans="2:8" ht="15" customHeight="1">
      <c r="B18" s="4" t="s">
        <v>138</v>
      </c>
      <c r="C18" s="17">
        <v>0</v>
      </c>
      <c r="D18" s="231">
        <v>0.6</v>
      </c>
      <c r="F18" s="4" t="s">
        <v>144</v>
      </c>
      <c r="G18" s="17">
        <v>0</v>
      </c>
      <c r="H18" s="231">
        <v>0.1</v>
      </c>
    </row>
    <row r="19" spans="2:8" ht="15" customHeight="1">
      <c r="B19" s="4" t="s">
        <v>24</v>
      </c>
      <c r="C19" s="17">
        <f>28869+1862+9314</f>
        <v>40045</v>
      </c>
      <c r="D19" s="231">
        <v>0.1</v>
      </c>
      <c r="F19" s="4" t="s">
        <v>145</v>
      </c>
      <c r="G19" s="17">
        <v>3917</v>
      </c>
      <c r="H19" s="231">
        <v>0.1</v>
      </c>
    </row>
    <row r="20" spans="2:8" ht="15" customHeight="1">
      <c r="B20" s="4" t="s">
        <v>16</v>
      </c>
      <c r="C20" s="17">
        <v>0</v>
      </c>
      <c r="D20" s="231">
        <v>0.05</v>
      </c>
      <c r="F20" s="4" t="s">
        <v>142</v>
      </c>
      <c r="G20" s="17">
        <v>0</v>
      </c>
      <c r="H20" s="231">
        <v>0.2</v>
      </c>
    </row>
    <row r="21" spans="2:8" ht="15" customHeight="1">
      <c r="B21" s="4" t="s">
        <v>17</v>
      </c>
      <c r="C21" s="17">
        <v>1122</v>
      </c>
      <c r="D21" s="231">
        <v>0.05</v>
      </c>
      <c r="F21" s="1" t="s">
        <v>143</v>
      </c>
      <c r="G21" s="17">
        <v>0</v>
      </c>
      <c r="H21" s="231">
        <v>0.1</v>
      </c>
    </row>
    <row r="22" spans="2:8" ht="15" customHeight="1">
      <c r="B22" s="4" t="s">
        <v>18</v>
      </c>
      <c r="C22" s="17">
        <v>67259</v>
      </c>
      <c r="D22" s="231">
        <v>0.9</v>
      </c>
      <c r="H22" s="232"/>
    </row>
    <row r="23" spans="2:8" ht="15" customHeight="1">
      <c r="B23" s="4" t="s">
        <v>19</v>
      </c>
      <c r="C23" s="17">
        <f>532+82493</f>
        <v>83025</v>
      </c>
      <c r="D23" s="231">
        <v>0</v>
      </c>
      <c r="H23" s="232"/>
    </row>
    <row r="24" spans="2:8" ht="15" customHeight="1">
      <c r="B24" s="74" t="s">
        <v>68</v>
      </c>
      <c r="C24" s="75">
        <f>SUM(C15:C23)</f>
        <v>191451</v>
      </c>
      <c r="D24" s="18">
        <f>C15*D15+C16*D16+C18*D18+C17*D17+C19*D19+C20*D20+C21*D21+C22*D22+C23*D23</f>
        <v>64593.7</v>
      </c>
      <c r="F24" s="74" t="s">
        <v>66</v>
      </c>
      <c r="G24" s="75">
        <f>SUM(G15:G21)</f>
        <v>9359387</v>
      </c>
      <c r="H24" s="18">
        <f>G15*H15+G16*H16+G17*H17+G18*H18+G19*H19+G20*H20+G21*H21</f>
        <v>6770949.1000000006</v>
      </c>
    </row>
    <row r="26" spans="2:8" ht="15" customHeight="1">
      <c r="B26" s="15" t="s">
        <v>162</v>
      </c>
      <c r="C26" s="161" t="s">
        <v>108</v>
      </c>
      <c r="F26" s="163" t="s">
        <v>158</v>
      </c>
      <c r="G26" s="164" t="s">
        <v>108</v>
      </c>
      <c r="H26" s="165" t="s">
        <v>33</v>
      </c>
    </row>
    <row r="27" spans="2:8" ht="15" customHeight="1">
      <c r="B27" s="4" t="s">
        <v>3</v>
      </c>
      <c r="C27" s="17">
        <f>91419+1832111+336862+5630360</f>
        <v>7890752</v>
      </c>
      <c r="F27" s="166" t="s">
        <v>28</v>
      </c>
      <c r="G27" s="79">
        <f>G32-G30</f>
        <v>893611</v>
      </c>
      <c r="H27" s="167">
        <f>H32-G30</f>
        <v>-1919409.4999999991</v>
      </c>
    </row>
    <row r="28" spans="2:8" ht="15" customHeight="1">
      <c r="B28" s="4" t="s">
        <v>4</v>
      </c>
      <c r="C28" s="17">
        <v>9304</v>
      </c>
      <c r="F28" s="168" t="s">
        <v>199</v>
      </c>
      <c r="G28" s="289">
        <v>11703</v>
      </c>
      <c r="H28" s="167"/>
    </row>
    <row r="29" spans="2:8" ht="15" customHeight="1">
      <c r="B29" s="4" t="s">
        <v>5</v>
      </c>
      <c r="C29" s="17">
        <v>0</v>
      </c>
      <c r="F29" s="169" t="s">
        <v>70</v>
      </c>
      <c r="G29" s="13">
        <f>G27-G28</f>
        <v>881908</v>
      </c>
      <c r="H29" s="167">
        <f>H27-G28</f>
        <v>-1931112.4999999991</v>
      </c>
    </row>
    <row r="30" spans="2:8" ht="15" customHeight="1">
      <c r="B30" s="2" t="s">
        <v>6</v>
      </c>
      <c r="C30" s="17">
        <f>26740+74890+261996+1252987</f>
        <v>1616613</v>
      </c>
      <c r="F30" s="166" t="s">
        <v>21</v>
      </c>
      <c r="G30" s="79">
        <f>C33+C42</f>
        <v>9614287</v>
      </c>
      <c r="H30" s="167"/>
    </row>
    <row r="31" spans="2:8" ht="15" customHeight="1">
      <c r="B31" s="74" t="s">
        <v>165</v>
      </c>
      <c r="C31" s="75">
        <f>SUM(C27:C30)</f>
        <v>9516669</v>
      </c>
      <c r="F31" s="169" t="s">
        <v>71</v>
      </c>
      <c r="G31" s="170">
        <f>C31+C40</f>
        <v>9516669</v>
      </c>
      <c r="H31" s="167"/>
    </row>
    <row r="32" spans="2:8" ht="15" customHeight="1">
      <c r="B32" s="4" t="s">
        <v>7</v>
      </c>
      <c r="C32" s="19">
        <f>C33-C31</f>
        <v>97618</v>
      </c>
      <c r="F32" s="171" t="s">
        <v>69</v>
      </c>
      <c r="G32" s="172">
        <f>G35+G40</f>
        <v>10507898</v>
      </c>
      <c r="H32" s="167">
        <f>H35+H40</f>
        <v>7694877.5000000009</v>
      </c>
    </row>
    <row r="33" spans="2:8" ht="15" customHeight="1">
      <c r="B33" s="77" t="s">
        <v>2</v>
      </c>
      <c r="C33" s="78">
        <v>9614287</v>
      </c>
      <c r="F33" s="173"/>
      <c r="G33" s="2"/>
      <c r="H33" s="174"/>
    </row>
    <row r="34" spans="2:8" ht="15" customHeight="1">
      <c r="B34" s="77"/>
      <c r="C34" s="78"/>
      <c r="F34" s="175" t="s">
        <v>164</v>
      </c>
      <c r="G34" s="176" t="s">
        <v>108</v>
      </c>
      <c r="H34" s="177" t="s">
        <v>33</v>
      </c>
    </row>
    <row r="35" spans="2:8" ht="15" customHeight="1">
      <c r="B35" s="15" t="s">
        <v>163</v>
      </c>
      <c r="C35" s="161" t="s">
        <v>108</v>
      </c>
      <c r="F35" s="178" t="s">
        <v>29</v>
      </c>
      <c r="G35" s="172">
        <f>C12+C24</f>
        <v>191451</v>
      </c>
      <c r="H35" s="179">
        <f>D12+D24</f>
        <v>64593.7</v>
      </c>
    </row>
    <row r="36" spans="2:8" ht="15" customHeight="1">
      <c r="B36" s="4" t="s">
        <v>11</v>
      </c>
      <c r="C36" s="17">
        <v>0</v>
      </c>
      <c r="F36" s="169" t="s">
        <v>159</v>
      </c>
      <c r="G36" s="170">
        <f>C4+C15</f>
        <v>0</v>
      </c>
      <c r="H36" s="174"/>
    </row>
    <row r="37" spans="2:8" ht="15" customHeight="1">
      <c r="B37" s="4" t="s">
        <v>12</v>
      </c>
      <c r="C37" s="17">
        <v>0</v>
      </c>
      <c r="F37" s="169" t="s">
        <v>160</v>
      </c>
      <c r="G37" s="170">
        <f>C6</f>
        <v>0</v>
      </c>
      <c r="H37" s="174"/>
    </row>
    <row r="38" spans="2:8" ht="15" customHeight="1">
      <c r="B38" s="4" t="s">
        <v>13</v>
      </c>
      <c r="C38" s="17">
        <v>0</v>
      </c>
      <c r="F38" s="169" t="s">
        <v>161</v>
      </c>
      <c r="G38" s="170">
        <f>C7+C17</f>
        <v>0</v>
      </c>
      <c r="H38" s="174"/>
    </row>
    <row r="39" spans="2:8" ht="15" customHeight="1">
      <c r="B39" s="2" t="s">
        <v>14</v>
      </c>
      <c r="C39" s="17">
        <v>0</v>
      </c>
      <c r="F39" s="169" t="s">
        <v>74</v>
      </c>
      <c r="G39" s="170">
        <f>C7+C17+C19+C20</f>
        <v>40045</v>
      </c>
      <c r="H39" s="167">
        <f>C7*D7+C17*D17+C19*D19+C20*D20</f>
        <v>4004.5</v>
      </c>
    </row>
    <row r="40" spans="2:8" ht="15" customHeight="1">
      <c r="B40" s="74" t="s">
        <v>166</v>
      </c>
      <c r="C40" s="75">
        <f>SUM(C36:C39)</f>
        <v>0</v>
      </c>
      <c r="F40" s="178" t="s">
        <v>110</v>
      </c>
      <c r="G40" s="172">
        <f>G12+G24</f>
        <v>10316447</v>
      </c>
      <c r="H40" s="179">
        <f>H12+H24</f>
        <v>7630283.8000000007</v>
      </c>
    </row>
    <row r="41" spans="2:8" ht="15" customHeight="1">
      <c r="B41" s="4" t="s">
        <v>15</v>
      </c>
      <c r="C41" s="19">
        <f>C42-C40</f>
        <v>0</v>
      </c>
      <c r="F41" s="169" t="s">
        <v>153</v>
      </c>
      <c r="G41" s="170">
        <f>C70</f>
        <v>6736706</v>
      </c>
      <c r="H41" s="179">
        <f>H40-H42</f>
        <v>5484397.7000000011</v>
      </c>
    </row>
    <row r="42" spans="2:8" ht="15" customHeight="1">
      <c r="B42" s="77" t="s">
        <v>20</v>
      </c>
      <c r="C42" s="78">
        <v>0</v>
      </c>
      <c r="F42" s="180" t="s">
        <v>154</v>
      </c>
      <c r="G42" s="181">
        <f>C82</f>
        <v>3579741</v>
      </c>
      <c r="H42" s="182">
        <f>D82</f>
        <v>2145886.1</v>
      </c>
    </row>
    <row r="44" spans="2:8" ht="15" customHeight="1">
      <c r="B44" s="73" t="s">
        <v>89</v>
      </c>
      <c r="C44" s="33"/>
      <c r="D44" s="33"/>
      <c r="E44" s="33"/>
      <c r="F44" s="33"/>
      <c r="G44" s="33"/>
      <c r="H44" s="33"/>
    </row>
    <row r="45" spans="2:8" ht="15" customHeight="1">
      <c r="B45" s="15" t="s">
        <v>218</v>
      </c>
      <c r="C45" s="209" t="s">
        <v>108</v>
      </c>
      <c r="D45" s="161" t="s">
        <v>298</v>
      </c>
      <c r="F45" s="226" t="s">
        <v>55</v>
      </c>
    </row>
    <row r="46" spans="2:8" ht="15" customHeight="1">
      <c r="B46" s="1" t="s">
        <v>220</v>
      </c>
      <c r="C46" s="70">
        <f>G29</f>
        <v>881908</v>
      </c>
      <c r="D46" s="70">
        <f>H29</f>
        <v>-1931112.4999999991</v>
      </c>
      <c r="F46" s="223"/>
    </row>
    <row r="47" spans="2:8" ht="15" customHeight="1">
      <c r="B47" s="1" t="str">
        <f>"Equity per share ("&amp;Market_currency&amp;")"</f>
        <v>Equity per share (CNY)</v>
      </c>
      <c r="C47" s="131">
        <f>C46*H1/Common_Shares*Exchange_Rate</f>
        <v>42.451852610917172</v>
      </c>
      <c r="D47" s="131">
        <f>D46*H1/Common_Shares*Exchange_Rate</f>
        <v>-92.956751979911445</v>
      </c>
      <c r="F47" s="223"/>
    </row>
    <row r="48" spans="2:8" ht="15" customHeight="1">
      <c r="F48" s="223"/>
    </row>
    <row r="49" spans="2:8" ht="15" customHeight="1">
      <c r="B49" s="140" t="s">
        <v>115</v>
      </c>
      <c r="C49" s="210" t="s">
        <v>53</v>
      </c>
      <c r="D49" s="176" t="s">
        <v>88</v>
      </c>
      <c r="E49" s="2"/>
      <c r="F49" s="223"/>
    </row>
    <row r="50" spans="2:8" ht="15" customHeight="1">
      <c r="B50" s="8" t="s">
        <v>87</v>
      </c>
      <c r="C50" s="89">
        <f>G31/Normalized_FCF!C9</f>
        <v>28.830306160194397</v>
      </c>
      <c r="D50" s="89">
        <f>G31/Normalized_FCF!G9</f>
        <v>64.569694543579445</v>
      </c>
      <c r="F50" s="223"/>
    </row>
    <row r="51" spans="2:8" ht="15" customHeight="1">
      <c r="B51" s="1" t="s">
        <v>544</v>
      </c>
      <c r="C51" s="160"/>
      <c r="D51" s="86">
        <f>G27/G32</f>
        <v>8.5041841860284517E-2</v>
      </c>
      <c r="F51" s="223"/>
    </row>
    <row r="52" spans="2:8" ht="15" customHeight="1">
      <c r="F52" s="223"/>
    </row>
    <row r="53" spans="2:8" ht="15" customHeight="1">
      <c r="B53" s="140" t="s">
        <v>114</v>
      </c>
      <c r="C53" s="210" t="s">
        <v>53</v>
      </c>
      <c r="D53" s="176" t="s">
        <v>88</v>
      </c>
      <c r="F53" s="223"/>
    </row>
    <row r="54" spans="2:8" ht="15" customHeight="1">
      <c r="B54" s="1" t="s">
        <v>111</v>
      </c>
      <c r="C54" s="86">
        <f>Normalized_FCF!C9/G35</f>
        <v>1.7241620068205439</v>
      </c>
      <c r="D54" s="86">
        <f>Normalized_FCF!G9/G35</f>
        <v>0.76983666839034526</v>
      </c>
      <c r="F54" s="223"/>
    </row>
    <row r="55" spans="2:8" ht="15" customHeight="1">
      <c r="B55" s="1" t="s">
        <v>113</v>
      </c>
      <c r="C55" s="86">
        <f>Normalized_FCF!C5/G40</f>
        <v>5.9991584311924447E-3</v>
      </c>
      <c r="D55" s="86">
        <f>Normalized_FCF!G5/G40</f>
        <v>5.9991584311924447E-3</v>
      </c>
      <c r="F55" s="223"/>
    </row>
    <row r="56" spans="2:8" ht="15" customHeight="1">
      <c r="F56" s="223"/>
    </row>
    <row r="57" spans="2:8" ht="15" customHeight="1">
      <c r="B57" s="140" t="s">
        <v>139</v>
      </c>
      <c r="C57" s="210" t="s">
        <v>53</v>
      </c>
      <c r="D57" s="176" t="s">
        <v>88</v>
      </c>
      <c r="F57" s="223"/>
    </row>
    <row r="58" spans="2:8" ht="15" customHeight="1">
      <c r="B58" s="2" t="s">
        <v>83</v>
      </c>
      <c r="C58" s="92"/>
      <c r="D58" s="21">
        <f>Normalized_FCF!G15/BS!$G$39</f>
        <v>0</v>
      </c>
      <c r="F58" s="5"/>
    </row>
    <row r="59" spans="2:8" ht="15" customHeight="1">
      <c r="B59" s="1" t="s">
        <v>86</v>
      </c>
      <c r="C59" s="92"/>
      <c r="D59" s="86">
        <f>G39/G32</f>
        <v>3.810942968803085E-3</v>
      </c>
      <c r="F59" s="223"/>
    </row>
    <row r="60" spans="2:8" ht="15" customHeight="1">
      <c r="F60" s="223"/>
    </row>
    <row r="61" spans="2:8" ht="15" customHeight="1">
      <c r="B61" s="140" t="s">
        <v>221</v>
      </c>
      <c r="C61" s="210" t="s">
        <v>109</v>
      </c>
      <c r="D61" s="176" t="s">
        <v>88</v>
      </c>
      <c r="F61" s="223"/>
    </row>
    <row r="62" spans="2:8" ht="15" customHeight="1">
      <c r="B62" s="1" t="s">
        <v>200</v>
      </c>
      <c r="C62" s="86">
        <f>IF(G28&lt;=0,0,G28/G29)</f>
        <v>1.3270091664890215E-2</v>
      </c>
      <c r="D62" s="86">
        <f>G28/G29</f>
        <v>1.3270091664890215E-2</v>
      </c>
      <c r="F62" s="223" t="s">
        <v>219</v>
      </c>
    </row>
    <row r="64" spans="2:8" ht="15" customHeight="1">
      <c r="B64" s="73" t="s">
        <v>155</v>
      </c>
      <c r="C64" s="33"/>
      <c r="D64" s="33"/>
      <c r="E64" s="33"/>
      <c r="F64" s="33"/>
      <c r="G64" s="33"/>
      <c r="H64" s="33"/>
    </row>
    <row r="65" spans="2:6" ht="15" customHeight="1">
      <c r="B65" s="15" t="s">
        <v>151</v>
      </c>
      <c r="C65" s="209" t="s">
        <v>108</v>
      </c>
      <c r="D65" s="162" t="s">
        <v>228</v>
      </c>
      <c r="F65" s="226" t="s">
        <v>55</v>
      </c>
    </row>
    <row r="66" spans="2:6" ht="15" customHeight="1">
      <c r="B66" s="99" t="s">
        <v>150</v>
      </c>
      <c r="C66" s="18">
        <f>G4+G5+G15</f>
        <v>6736706</v>
      </c>
      <c r="D66" s="70" t="e">
        <f>C66-D75</f>
        <v>#REF!</v>
      </c>
      <c r="F66" s="5" t="s">
        <v>184</v>
      </c>
    </row>
    <row r="67" spans="2:6" ht="15" customHeight="1">
      <c r="B67" s="99" t="s">
        <v>140</v>
      </c>
      <c r="C67" s="18">
        <f>G6+G16</f>
        <v>0</v>
      </c>
      <c r="F67" s="223"/>
    </row>
    <row r="68" spans="2:6" ht="15" customHeight="1">
      <c r="B68" s="99" t="s">
        <v>144</v>
      </c>
      <c r="C68" s="18">
        <f>G18</f>
        <v>0</v>
      </c>
      <c r="F68" s="223"/>
    </row>
    <row r="69" spans="2:6" ht="15" customHeight="1">
      <c r="B69" s="99" t="s">
        <v>142</v>
      </c>
      <c r="C69" s="18">
        <f>G8+G20</f>
        <v>0</v>
      </c>
      <c r="F69" s="223"/>
    </row>
    <row r="70" spans="2:6" ht="15" customHeight="1">
      <c r="B70" s="74" t="s">
        <v>151</v>
      </c>
      <c r="C70" s="75">
        <f>SUM(C66:C69)</f>
        <v>6736706</v>
      </c>
      <c r="F70" s="223"/>
    </row>
    <row r="71" spans="2:6" ht="15" customHeight="1">
      <c r="F71" s="223"/>
    </row>
    <row r="72" spans="2:6" ht="15" customHeight="1">
      <c r="B72" s="225" t="s">
        <v>246</v>
      </c>
      <c r="C72" s="209" t="s">
        <v>88</v>
      </c>
      <c r="D72" s="161" t="s">
        <v>53</v>
      </c>
      <c r="F72" s="223"/>
    </row>
    <row r="73" spans="2:6" ht="15" customHeight="1">
      <c r="B73" s="99" t="s">
        <v>245</v>
      </c>
      <c r="C73" s="287" t="e">
        <f>(Normalized_FCF!#REF!+Normalized_FCF!G23-Normalized_FCF!G84)/12</f>
        <v>#REF!</v>
      </c>
      <c r="D73" s="287" t="e">
        <f>(Normalized_FCF!#REF!+Normalized_FCF!C23-Normalized_FCF!C84)/12</f>
        <v>#REF!</v>
      </c>
      <c r="F73" s="1" t="s">
        <v>266</v>
      </c>
    </row>
    <row r="74" spans="2:6" ht="15" customHeight="1">
      <c r="B74" s="227" t="s">
        <v>250</v>
      </c>
      <c r="C74" s="228" t="e">
        <f>-$C$66/C73</f>
        <v>#REF!</v>
      </c>
      <c r="D74" s="228" t="e">
        <f>-$C$66/D73</f>
        <v>#REF!</v>
      </c>
      <c r="F74" s="223" t="s">
        <v>247</v>
      </c>
    </row>
    <row r="75" spans="2:6" ht="15" customHeight="1">
      <c r="B75" s="74" t="s">
        <v>248</v>
      </c>
      <c r="C75" s="264"/>
      <c r="D75" s="265" t="e">
        <f>MAX(-D73*D76,G5)</f>
        <v>#REF!</v>
      </c>
      <c r="F75" s="223" t="s">
        <v>267</v>
      </c>
    </row>
    <row r="76" spans="2:6" ht="15" customHeight="1">
      <c r="B76" s="229" t="s">
        <v>251</v>
      </c>
      <c r="C76" s="230"/>
      <c r="D76" s="251" t="e">
        <f>IF(D74&lt;=3,1,IF(D74&gt;18,6,2))</f>
        <v>#REF!</v>
      </c>
      <c r="F76" s="223" t="s">
        <v>252</v>
      </c>
    </row>
    <row r="77" spans="2:6" ht="15" customHeight="1">
      <c r="F77" s="223"/>
    </row>
    <row r="78" spans="2:6" ht="15" customHeight="1">
      <c r="B78" s="15" t="s">
        <v>152</v>
      </c>
      <c r="C78" s="209" t="s">
        <v>108</v>
      </c>
      <c r="D78" s="162" t="s">
        <v>33</v>
      </c>
      <c r="F78" s="223"/>
    </row>
    <row r="79" spans="2:6" ht="15" customHeight="1">
      <c r="B79" s="99" t="s">
        <v>141</v>
      </c>
      <c r="C79" s="18">
        <f>G7+G17</f>
        <v>3575824</v>
      </c>
      <c r="D79" s="70">
        <f>G7*H7+G17*H17</f>
        <v>2145494.4</v>
      </c>
      <c r="F79" s="223"/>
    </row>
    <row r="80" spans="2:6" ht="15" customHeight="1">
      <c r="B80" s="99" t="s">
        <v>145</v>
      </c>
      <c r="C80" s="18">
        <f>G19</f>
        <v>3917</v>
      </c>
      <c r="D80" s="70">
        <f>G19*H19</f>
        <v>391.70000000000005</v>
      </c>
      <c r="F80" s="223"/>
    </row>
    <row r="81" spans="2:8" ht="15" customHeight="1">
      <c r="B81" s="99" t="s">
        <v>143</v>
      </c>
      <c r="C81" s="18">
        <f>G9+G21</f>
        <v>0</v>
      </c>
      <c r="D81" s="70">
        <f>G9*H9+G21*H21</f>
        <v>0</v>
      </c>
      <c r="F81" s="223"/>
    </row>
    <row r="82" spans="2:8" ht="15" customHeight="1">
      <c r="B82" s="74" t="s">
        <v>152</v>
      </c>
      <c r="C82" s="75">
        <f>SUM(C79:C81)</f>
        <v>3579741</v>
      </c>
      <c r="D82" s="75">
        <f>SUM(D79:D81)</f>
        <v>2145886.1</v>
      </c>
      <c r="F82" s="223"/>
    </row>
    <row r="84" spans="2:8" ht="15" customHeight="1">
      <c r="B84" s="73" t="s">
        <v>231</v>
      </c>
      <c r="C84" s="33"/>
      <c r="D84" s="33"/>
      <c r="E84" s="33"/>
      <c r="F84" s="33"/>
      <c r="G84" s="33"/>
      <c r="H84" s="33"/>
    </row>
    <row r="85" spans="2:8" ht="15" customHeight="1">
      <c r="B85" s="15" t="s">
        <v>232</v>
      </c>
      <c r="D85" s="215" t="s">
        <v>233</v>
      </c>
    </row>
    <row r="86" spans="2:8" ht="15" customHeight="1">
      <c r="B86" s="212" t="s">
        <v>229</v>
      </c>
      <c r="C86" s="70">
        <f>-DDM!F4*Exchange_Rate</f>
        <v>0</v>
      </c>
      <c r="D86" s="200">
        <f>C86*scaling_factor/Common_Shares</f>
        <v>0</v>
      </c>
      <c r="E86" s="214" t="str">
        <f>Market_currency</f>
        <v>CNY</v>
      </c>
    </row>
    <row r="87" spans="2:8" ht="15" customHeight="1">
      <c r="B87" s="212" t="s">
        <v>230</v>
      </c>
      <c r="C87" s="70">
        <f>DDM!F5*Exchange_Rate</f>
        <v>0</v>
      </c>
      <c r="D87" s="200">
        <f>C87*scaling_factor/Common_Shares</f>
        <v>0</v>
      </c>
      <c r="E87" s="214" t="str">
        <f>Market_currency</f>
        <v>CNY</v>
      </c>
    </row>
    <row r="88" spans="2:8" ht="15" customHeight="1">
      <c r="B88" s="213" t="s">
        <v>152</v>
      </c>
      <c r="C88" s="70">
        <f>DDM!F6*Exchange_Rate</f>
        <v>0</v>
      </c>
      <c r="D88" s="200">
        <f>C88*scaling_factor/Common_Shares</f>
        <v>0</v>
      </c>
      <c r="E88" s="214" t="str">
        <f>Market_currency</f>
        <v>CNY</v>
      </c>
    </row>
    <row r="89" spans="2:8" ht="15" customHeight="1">
      <c r="B89" s="74" t="s">
        <v>234</v>
      </c>
      <c r="C89" s="159">
        <f>SUM(C86:C88)</f>
        <v>0</v>
      </c>
      <c r="D89" s="216">
        <f>SUM(D86:D88)</f>
        <v>0</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2"/>
  <sheetViews>
    <sheetView showGridLines="0" tabSelected="1" zoomScaleNormal="100" workbookViewId="0">
      <pane xSplit="2" ySplit="1" topLeftCell="C21" activePane="bottomRight" state="frozen"/>
      <selection activeCell="C17" sqref="C17"/>
      <selection pane="topRight" activeCell="C17" sqref="C17"/>
      <selection pane="bottomLeft" activeCell="C17" sqref="C17"/>
      <selection pane="bottomRight" activeCell="C28" sqref="C28"/>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4" t="str">
        <f>Thesis!E17</f>
        <v>CNY</v>
      </c>
      <c r="C1" s="48" t="s">
        <v>53</v>
      </c>
      <c r="D1" s="48"/>
      <c r="E1" s="48"/>
      <c r="F1" s="48"/>
      <c r="G1" s="34">
        <f>Data!C1</f>
        <v>45657</v>
      </c>
      <c r="H1" s="34">
        <f>EOMONTH(EDATE(G1,-12),0)</f>
        <v>45291</v>
      </c>
      <c r="I1" s="34">
        <f t="shared" ref="I1:Q1" si="0">EOMONTH(EDATE(H1,-12),0)</f>
        <v>44926</v>
      </c>
      <c r="J1" s="34">
        <f t="shared" si="0"/>
        <v>44561</v>
      </c>
      <c r="K1" s="34">
        <f t="shared" si="0"/>
        <v>44196</v>
      </c>
      <c r="L1" s="34">
        <f t="shared" si="0"/>
        <v>43830</v>
      </c>
      <c r="M1" s="34">
        <f t="shared" si="0"/>
        <v>43465</v>
      </c>
      <c r="N1" s="34">
        <f t="shared" si="0"/>
        <v>43100</v>
      </c>
      <c r="O1" s="34">
        <f t="shared" si="0"/>
        <v>42735</v>
      </c>
      <c r="P1" s="34">
        <f t="shared" si="0"/>
        <v>42369</v>
      </c>
      <c r="Q1" s="34">
        <f t="shared" si="0"/>
        <v>42004</v>
      </c>
    </row>
    <row r="2" spans="1:17" ht="15.75" customHeight="1">
      <c r="A2" s="3"/>
      <c r="B2" s="49" t="s">
        <v>529</v>
      </c>
      <c r="C2" s="49"/>
      <c r="D2" s="51"/>
      <c r="E2" s="61" t="s">
        <v>55</v>
      </c>
      <c r="F2" s="51"/>
      <c r="G2" s="33"/>
      <c r="H2" s="33"/>
      <c r="I2" s="33"/>
      <c r="J2" s="33"/>
      <c r="K2" s="33"/>
      <c r="L2" s="33"/>
      <c r="M2" s="33"/>
      <c r="N2" s="33"/>
      <c r="O2" s="33"/>
      <c r="P2" s="33"/>
      <c r="Q2" s="33"/>
    </row>
    <row r="3" spans="1:17" ht="15.75" customHeight="1">
      <c r="A3" s="10"/>
      <c r="B3" s="15" t="s">
        <v>532</v>
      </c>
      <c r="C3" s="101">
        <f>scaling_factor</f>
        <v>1000000</v>
      </c>
      <c r="D3" s="9"/>
      <c r="E3" s="238"/>
      <c r="F3" s="9"/>
      <c r="G3" s="15" t="s">
        <v>396</v>
      </c>
      <c r="H3" s="101">
        <f>scaling_factor</f>
        <v>1000000</v>
      </c>
    </row>
    <row r="4" spans="1:17" ht="15.75" customHeight="1">
      <c r="A4" s="10"/>
      <c r="B4" s="24" t="s">
        <v>545</v>
      </c>
      <c r="C4" s="476">
        <f>C37</f>
        <v>526541.54036779993</v>
      </c>
      <c r="D4" s="52"/>
      <c r="E4" s="236"/>
      <c r="F4" s="52"/>
      <c r="G4" s="273">
        <f t="shared" ref="G4:Q4" si="1">G38</f>
        <v>343835</v>
      </c>
      <c r="H4" s="273">
        <f t="shared" si="1"/>
        <v>349079</v>
      </c>
      <c r="I4" s="273">
        <f t="shared" si="1"/>
        <v>328746</v>
      </c>
      <c r="J4" s="273">
        <f t="shared" si="1"/>
        <v>315158</v>
      </c>
      <c r="K4" s="273">
        <f t="shared" si="1"/>
        <v>303478</v>
      </c>
      <c r="L4" s="273">
        <f t="shared" si="1"/>
        <v>269677</v>
      </c>
      <c r="M4" s="273">
        <f t="shared" si="1"/>
        <v>270578</v>
      </c>
      <c r="N4" s="273">
        <f t="shared" si="1"/>
        <v>252644</v>
      </c>
      <c r="O4" s="273">
        <f t="shared" si="1"/>
        <v>236279</v>
      </c>
      <c r="P4" s="273">
        <f t="shared" si="1"/>
        <v>255972</v>
      </c>
      <c r="Q4" s="273" t="str">
        <f t="shared" si="1"/>
        <v/>
      </c>
    </row>
    <row r="5" spans="1:17" ht="15.75" customHeight="1">
      <c r="A5" s="10"/>
      <c r="B5" s="25" t="s">
        <v>535</v>
      </c>
      <c r="C5" s="302">
        <f>Data!C4</f>
        <v>61890</v>
      </c>
      <c r="D5" s="53"/>
      <c r="E5" s="237"/>
      <c r="F5" s="53"/>
      <c r="G5" s="273">
        <f>Data!C4</f>
        <v>61890</v>
      </c>
      <c r="H5" s="273">
        <f>Data!D4</f>
        <v>62009</v>
      </c>
      <c r="I5" s="273">
        <f>Data!E4</f>
        <v>74823</v>
      </c>
      <c r="J5" s="273">
        <f>Data!F4</f>
        <v>73350</v>
      </c>
      <c r="K5" s="273">
        <f>Data!G4</f>
        <v>57536</v>
      </c>
      <c r="L5" s="273">
        <f>Data!H4</f>
        <v>76564</v>
      </c>
      <c r="M5" s="273">
        <f>Data!I4</f>
        <v>61222</v>
      </c>
      <c r="N5" s="273">
        <f>Data!J4</f>
        <v>50549</v>
      </c>
      <c r="O5" s="273">
        <f>Data!K4</f>
        <v>39074</v>
      </c>
      <c r="P5" s="273">
        <f>Data!L4</f>
        <v>21559</v>
      </c>
      <c r="Q5" s="273" t="str">
        <f>Q54</f>
        <v/>
      </c>
    </row>
    <row r="6" spans="1:17" ht="15.75" customHeight="1">
      <c r="A6" s="10"/>
      <c r="B6" s="28" t="s">
        <v>547</v>
      </c>
      <c r="C6" s="270">
        <f>C4+C5</f>
        <v>588431.54036779993</v>
      </c>
      <c r="E6" s="238"/>
      <c r="G6" s="270">
        <f>IF(G4="","",G4+G5)</f>
        <v>405725</v>
      </c>
      <c r="H6" s="270">
        <f t="shared" ref="H6:Q6" si="2">IF(H4="","",H4+H5)</f>
        <v>411088</v>
      </c>
      <c r="I6" s="270">
        <f t="shared" si="2"/>
        <v>403569</v>
      </c>
      <c r="J6" s="270">
        <f t="shared" si="2"/>
        <v>388508</v>
      </c>
      <c r="K6" s="270">
        <f t="shared" si="2"/>
        <v>361014</v>
      </c>
      <c r="L6" s="270">
        <f t="shared" si="2"/>
        <v>346241</v>
      </c>
      <c r="M6" s="270">
        <f t="shared" si="2"/>
        <v>331800</v>
      </c>
      <c r="N6" s="270">
        <f t="shared" si="2"/>
        <v>303193</v>
      </c>
      <c r="O6" s="270">
        <f t="shared" si="2"/>
        <v>275353</v>
      </c>
      <c r="P6" s="270">
        <f t="shared" si="2"/>
        <v>277531</v>
      </c>
      <c r="Q6" s="270" t="str">
        <f t="shared" si="2"/>
        <v/>
      </c>
    </row>
    <row r="7" spans="1:17" ht="15.75" customHeight="1">
      <c r="A7" s="10"/>
      <c r="B7" s="2" t="s">
        <v>537</v>
      </c>
      <c r="C7" s="269">
        <f>C36</f>
        <v>-195728</v>
      </c>
      <c r="E7" s="238"/>
      <c r="G7" s="273">
        <f>G36</f>
        <v>-195728</v>
      </c>
      <c r="H7" s="273">
        <f>H36</f>
        <v>-202576</v>
      </c>
      <c r="I7" s="273">
        <f>I36</f>
        <v>-183473</v>
      </c>
      <c r="J7" s="273">
        <f>J36</f>
        <v>-169479</v>
      </c>
      <c r="K7" s="273">
        <f>K36</f>
        <v>-159963</v>
      </c>
      <c r="L7" s="273">
        <f>L36</f>
        <v>-166689</v>
      </c>
      <c r="M7" s="273">
        <f>M36</f>
        <v>-174921</v>
      </c>
      <c r="N7" s="273">
        <f>N36</f>
        <v>-164193</v>
      </c>
      <c r="O7" s="273">
        <f>O36</f>
        <v>-123960</v>
      </c>
      <c r="P7" s="273">
        <f>P36</f>
        <v>-136138</v>
      </c>
      <c r="Q7" s="273" t="str">
        <f>Q36</f>
        <v/>
      </c>
    </row>
    <row r="8" spans="1:17" ht="15.75" customHeight="1">
      <c r="A8" s="10"/>
      <c r="B8" s="8" t="s">
        <v>42</v>
      </c>
      <c r="C8" s="269">
        <f>C23</f>
        <v>-62611</v>
      </c>
      <c r="E8" s="238"/>
      <c r="G8" s="269">
        <f>G23</f>
        <v>-62611</v>
      </c>
      <c r="H8" s="269">
        <f>H23</f>
        <v>-63194</v>
      </c>
      <c r="I8" s="269">
        <f>I23</f>
        <v>-65314</v>
      </c>
      <c r="J8" s="269">
        <f>J23</f>
        <v>-56820</v>
      </c>
      <c r="K8" s="269">
        <f>K23</f>
        <v>-49077</v>
      </c>
      <c r="L8" s="269">
        <f>L23</f>
        <v>-47190</v>
      </c>
      <c r="M8" s="269">
        <f>M23</f>
        <v>-42561</v>
      </c>
      <c r="N8" s="269">
        <f>N23</f>
        <v>-38680</v>
      </c>
      <c r="O8" s="269">
        <f>O23</f>
        <v>-36735</v>
      </c>
      <c r="P8" s="269">
        <f>P23</f>
        <v>-33323</v>
      </c>
      <c r="Q8" s="269" t="str">
        <f>Q23</f>
        <v/>
      </c>
    </row>
    <row r="9" spans="1:17" ht="15.75" customHeight="1">
      <c r="A9" s="10"/>
      <c r="B9" s="27" t="s">
        <v>122</v>
      </c>
      <c r="C9" s="271">
        <f>SUM(C6:C8)</f>
        <v>330092.54036779993</v>
      </c>
      <c r="D9" s="54"/>
      <c r="E9" s="244"/>
      <c r="F9" s="54"/>
      <c r="G9" s="270">
        <f>IF(G$4="","",SUM(G6:G8))</f>
        <v>147386</v>
      </c>
      <c r="H9" s="270">
        <f t="shared" ref="H9:Q9" si="3">IF(H$4="","",SUM(H6:H8))</f>
        <v>145318</v>
      </c>
      <c r="I9" s="270">
        <f t="shared" si="3"/>
        <v>154782</v>
      </c>
      <c r="J9" s="270">
        <f t="shared" si="3"/>
        <v>162209</v>
      </c>
      <c r="K9" s="270">
        <f t="shared" si="3"/>
        <v>151974</v>
      </c>
      <c r="L9" s="270">
        <f t="shared" si="3"/>
        <v>132362</v>
      </c>
      <c r="M9" s="270">
        <f t="shared" si="3"/>
        <v>114318</v>
      </c>
      <c r="N9" s="270">
        <f t="shared" si="3"/>
        <v>100320</v>
      </c>
      <c r="O9" s="270">
        <f t="shared" si="3"/>
        <v>114658</v>
      </c>
      <c r="P9" s="270">
        <f t="shared" si="3"/>
        <v>108070</v>
      </c>
      <c r="Q9" s="270" t="str">
        <f t="shared" si="3"/>
        <v/>
      </c>
    </row>
    <row r="10" spans="1:17" ht="15.75" customHeight="1">
      <c r="A10" s="10"/>
      <c r="B10" s="2" t="str">
        <f>B56</f>
        <v>Total Non-Operating EBIT</v>
      </c>
      <c r="C10" s="269">
        <f>C56</f>
        <v>0</v>
      </c>
      <c r="E10" s="238"/>
      <c r="G10" s="269">
        <f>G56</f>
        <v>-60266</v>
      </c>
      <c r="H10" s="269">
        <f t="shared" ref="H10:Q10" si="4">H56</f>
        <v>-60989</v>
      </c>
      <c r="I10" s="269">
        <f t="shared" si="4"/>
        <v>-48561</v>
      </c>
      <c r="J10" s="269">
        <f t="shared" si="4"/>
        <v>-66899</v>
      </c>
      <c r="K10" s="269">
        <f t="shared" si="4"/>
        <v>-75337</v>
      </c>
      <c r="L10" s="269">
        <f t="shared" si="4"/>
        <v>-57859</v>
      </c>
      <c r="M10" s="269">
        <f t="shared" si="4"/>
        <v>-46241</v>
      </c>
      <c r="N10" s="269">
        <f t="shared" si="4"/>
        <v>-35567</v>
      </c>
      <c r="O10" s="269">
        <f t="shared" si="4"/>
        <v>-50733</v>
      </c>
      <c r="P10" s="269">
        <f t="shared" si="4"/>
        <v>-44826</v>
      </c>
      <c r="Q10" s="269" t="str">
        <f t="shared" si="4"/>
        <v/>
      </c>
    </row>
    <row r="11" spans="1:17" ht="15.75" customHeight="1">
      <c r="A11" s="10"/>
      <c r="B11" s="64" t="s">
        <v>131</v>
      </c>
      <c r="C11" s="270">
        <f>SUM(C9:C10)</f>
        <v>330092.54036779993</v>
      </c>
      <c r="E11" s="238"/>
      <c r="G11" s="270">
        <f>IF(G$4="","",SUM(G9:G10))</f>
        <v>87120</v>
      </c>
      <c r="H11" s="270">
        <f>IF(H$4="","",SUM(H9:H10))</f>
        <v>84329</v>
      </c>
      <c r="I11" s="270">
        <f>IF(I$4="","",SUM(I9:I10))</f>
        <v>106221</v>
      </c>
      <c r="J11" s="270">
        <f>IF(J$4="","",SUM(J9:J10))</f>
        <v>95310</v>
      </c>
      <c r="K11" s="270">
        <f>IF(K$4="","",SUM(K9:K10))</f>
        <v>76637</v>
      </c>
      <c r="L11" s="270">
        <f>IF(L$4="","",SUM(L9:L10))</f>
        <v>74503</v>
      </c>
      <c r="M11" s="270">
        <f>IF(M$4="","",SUM(M9:M10))</f>
        <v>68077</v>
      </c>
      <c r="N11" s="270">
        <f>IF(N$4="","",SUM(N9:N10))</f>
        <v>64753</v>
      </c>
      <c r="O11" s="270">
        <f>IF(O$4="","",SUM(O9:O10))</f>
        <v>63925</v>
      </c>
      <c r="P11" s="270">
        <f>IF(P$4="","",SUM(P9:P10))</f>
        <v>63244</v>
      </c>
      <c r="Q11" s="270" t="str">
        <f>IF(Q$4="","",SUM(Q9:Q10))</f>
        <v/>
      </c>
    </row>
    <row r="12" spans="1:17" ht="15.75" customHeight="1">
      <c r="A12" s="10"/>
      <c r="B12" s="2" t="s">
        <v>58</v>
      </c>
      <c r="C12" s="269">
        <f>-C11*C47</f>
        <v>-82523.135091949982</v>
      </c>
      <c r="E12" s="238"/>
      <c r="G12" s="269">
        <f>Data!C46</f>
        <v>-9629</v>
      </c>
      <c r="H12" s="269">
        <f>Data!D46</f>
        <v>-6675</v>
      </c>
      <c r="I12" s="269">
        <f>Data!E46</f>
        <v>-13807</v>
      </c>
      <c r="J12" s="269">
        <f>Data!F46</f>
        <v>-11494</v>
      </c>
      <c r="K12" s="269">
        <f>Data!G46</f>
        <v>-8956</v>
      </c>
      <c r="L12" s="269">
        <f>Data!H46</f>
        <v>-7801</v>
      </c>
      <c r="M12" s="269">
        <f>Data!I46</f>
        <v>-6832</v>
      </c>
      <c r="N12" s="269">
        <f>Data!J46</f>
        <v>-7018</v>
      </c>
      <c r="O12" s="269">
        <f>Data!K46</f>
        <v>-9598</v>
      </c>
      <c r="P12" s="269">
        <f>Data!L46</f>
        <v>-12594</v>
      </c>
      <c r="Q12" s="269" t="str">
        <f>Data!M46</f>
        <v/>
      </c>
    </row>
    <row r="13" spans="1:17" ht="15.75" customHeight="1">
      <c r="A13" s="10"/>
      <c r="B13" s="36" t="s">
        <v>198</v>
      </c>
      <c r="C13" s="269">
        <f>-C4*C74</f>
        <v>-1897.9406832694099</v>
      </c>
      <c r="D13" s="55"/>
      <c r="E13" s="245"/>
      <c r="F13" s="55"/>
      <c r="G13" s="273">
        <f>Data!C48</f>
        <v>-286</v>
      </c>
      <c r="H13" s="273">
        <f>Data!D48</f>
        <v>-538</v>
      </c>
      <c r="I13" s="273">
        <f>Data!E48</f>
        <v>-1037</v>
      </c>
      <c r="J13" s="273">
        <f>Data!F48</f>
        <v>-1136</v>
      </c>
      <c r="K13" s="273">
        <f>Data!G48</f>
        <v>-1055</v>
      </c>
      <c r="L13" s="273">
        <f>Data!H48</f>
        <v>-834</v>
      </c>
      <c r="M13" s="273">
        <f>Data!I48</f>
        <v>-625</v>
      </c>
      <c r="N13" s="273">
        <f>Data!J48</f>
        <v>-535</v>
      </c>
      <c r="O13" s="273">
        <f>Data!K48</f>
        <v>-477</v>
      </c>
      <c r="P13" s="273">
        <f>Data!L48</f>
        <v>-443</v>
      </c>
      <c r="Q13" s="273" t="str">
        <f>Data!M48</f>
        <v/>
      </c>
    </row>
    <row r="14" spans="1:17" ht="15.75" customHeight="1">
      <c r="A14" s="10"/>
      <c r="B14" s="37" t="s">
        <v>124</v>
      </c>
      <c r="C14" s="272">
        <f>SUM(C11:C13)</f>
        <v>245671.46459258054</v>
      </c>
      <c r="D14" s="56"/>
      <c r="E14" s="246"/>
      <c r="F14" s="56"/>
      <c r="G14" s="270">
        <f t="shared" ref="G14:Q14" si="5">IF(G$4="","",SUM(G11:G13))</f>
        <v>77205</v>
      </c>
      <c r="H14" s="270">
        <f t="shared" si="5"/>
        <v>77116</v>
      </c>
      <c r="I14" s="270">
        <f t="shared" si="5"/>
        <v>91377</v>
      </c>
      <c r="J14" s="270">
        <f t="shared" si="5"/>
        <v>82680</v>
      </c>
      <c r="K14" s="270">
        <f t="shared" si="5"/>
        <v>66626</v>
      </c>
      <c r="L14" s="270">
        <f t="shared" si="5"/>
        <v>65868</v>
      </c>
      <c r="M14" s="270">
        <f t="shared" si="5"/>
        <v>60620</v>
      </c>
      <c r="N14" s="270">
        <f t="shared" si="5"/>
        <v>57200</v>
      </c>
      <c r="O14" s="270">
        <f t="shared" si="5"/>
        <v>53850</v>
      </c>
      <c r="P14" s="270">
        <f t="shared" si="5"/>
        <v>50207</v>
      </c>
      <c r="Q14" s="270" t="str">
        <f t="shared" si="5"/>
        <v/>
      </c>
    </row>
    <row r="15" spans="1:17" ht="15.75" customHeight="1">
      <c r="A15" s="10"/>
      <c r="B15" s="2" t="s">
        <v>530</v>
      </c>
      <c r="C15" s="21">
        <f>C85</f>
        <v>8.9635033435971331E-2</v>
      </c>
      <c r="E15" s="238"/>
      <c r="G15" s="269"/>
      <c r="H15" s="269"/>
      <c r="I15" s="269"/>
      <c r="J15" s="269"/>
      <c r="K15" s="269"/>
      <c r="L15" s="269"/>
      <c r="M15" s="269"/>
      <c r="N15" s="269"/>
      <c r="O15" s="269"/>
      <c r="P15" s="269"/>
      <c r="Q15" s="269"/>
    </row>
    <row r="16" spans="1:17" ht="15.75" customHeight="1">
      <c r="A16" s="10"/>
      <c r="B16" s="64" t="s">
        <v>531</v>
      </c>
      <c r="C16" s="270">
        <f>C14*C15</f>
        <v>22020.769943020005</v>
      </c>
      <c r="E16" s="238"/>
      <c r="G16" s="269">
        <f>G84</f>
        <v>22020.769943020001</v>
      </c>
      <c r="H16" s="269"/>
      <c r="I16" s="269"/>
      <c r="J16" s="269"/>
      <c r="K16" s="269"/>
      <c r="L16" s="269"/>
      <c r="M16" s="269"/>
      <c r="N16" s="269"/>
      <c r="O16" s="269"/>
      <c r="P16" s="269"/>
      <c r="Q16" s="269"/>
    </row>
    <row r="17" spans="1:17" ht="15.75" customHeight="1">
      <c r="A17" s="10"/>
      <c r="B17" s="25"/>
      <c r="C17" s="269"/>
      <c r="D17" s="53"/>
      <c r="E17" s="237"/>
      <c r="F17" s="53"/>
      <c r="G17" s="275"/>
      <c r="H17" s="275"/>
      <c r="I17" s="275"/>
      <c r="J17" s="275"/>
      <c r="K17" s="275"/>
      <c r="L17" s="275"/>
      <c r="M17" s="275"/>
      <c r="N17" s="275"/>
      <c r="O17" s="275"/>
      <c r="P17" s="275"/>
      <c r="Q17" s="275"/>
    </row>
    <row r="18" spans="1:17" ht="15.75" customHeight="1">
      <c r="A18" s="10"/>
      <c r="B18" s="25"/>
      <c r="C18" s="269"/>
      <c r="D18" s="53"/>
      <c r="E18" s="237"/>
      <c r="F18" s="53"/>
      <c r="G18" s="276"/>
      <c r="H18" s="276"/>
      <c r="I18" s="276"/>
      <c r="J18" s="276"/>
      <c r="K18" s="276"/>
      <c r="L18" s="276"/>
      <c r="M18" s="276"/>
      <c r="N18" s="276"/>
      <c r="O18" s="276"/>
      <c r="P18" s="276"/>
      <c r="Q18" s="276"/>
    </row>
    <row r="19" spans="1:17" ht="15.75" customHeight="1">
      <c r="A19" s="10"/>
      <c r="B19" s="7" t="s">
        <v>533</v>
      </c>
      <c r="C19" s="58">
        <v>1.4E-2</v>
      </c>
      <c r="D19" s="25"/>
      <c r="E19" s="235"/>
      <c r="F19" s="25"/>
      <c r="G19" s="21">
        <f>G11/G95</f>
        <v>8.2909065162223693E-3</v>
      </c>
      <c r="H19" s="21">
        <f>H11/H95</f>
        <v>8.3014662061445949E-3</v>
      </c>
      <c r="I19" s="21">
        <f>I11/I95</f>
        <v>1.1462692481474739E-2</v>
      </c>
      <c r="J19" s="21">
        <f>J11/J95</f>
        <v>1.1078662572602378E-2</v>
      </c>
      <c r="K19" s="21">
        <f>K11/K95</f>
        <v>9.7082594375475038E-3</v>
      </c>
      <c r="L19" s="21">
        <f>L11/L95</f>
        <v>1.0426298067322065E-2</v>
      </c>
      <c r="M19" s="21">
        <f>M11/M95</f>
        <v>1.0143098790656316E-2</v>
      </c>
      <c r="N19" s="21">
        <f>N11/N95</f>
        <v>1.0091100887321208E-2</v>
      </c>
      <c r="O19" s="21">
        <f>O11/O95</f>
        <v>1.0503796072722253E-2</v>
      </c>
      <c r="P19" s="21">
        <f>P11/P95</f>
        <v>1.1935352376351229E-2</v>
      </c>
      <c r="Q19" s="274"/>
    </row>
    <row r="20" spans="1:17" ht="15.75" customHeight="1">
      <c r="A20" s="10"/>
      <c r="B20" s="25"/>
      <c r="C20" s="57"/>
      <c r="D20" s="25"/>
      <c r="E20" s="62"/>
      <c r="F20" s="25"/>
      <c r="G20" s="12"/>
      <c r="H20" s="12"/>
      <c r="I20" s="12"/>
      <c r="J20" s="12"/>
      <c r="K20" s="12"/>
      <c r="L20" s="12"/>
      <c r="M20" s="12"/>
      <c r="N20" s="12"/>
      <c r="O20" s="12"/>
      <c r="P20" s="12"/>
      <c r="Q20" s="12"/>
    </row>
    <row r="21" spans="1:17" ht="15.75" customHeight="1">
      <c r="A21" s="10"/>
      <c r="B21" s="49" t="s">
        <v>167</v>
      </c>
      <c r="C21" s="49"/>
      <c r="D21" s="51"/>
      <c r="E21" s="61" t="s">
        <v>55</v>
      </c>
      <c r="F21" s="51"/>
      <c r="G21" s="33"/>
      <c r="H21" s="33"/>
      <c r="I21" s="33"/>
      <c r="J21" s="33"/>
      <c r="K21" s="33"/>
      <c r="L21" s="33"/>
      <c r="M21" s="33"/>
      <c r="N21" s="33"/>
      <c r="O21" s="33"/>
      <c r="P21" s="33"/>
      <c r="Q21" s="33"/>
    </row>
    <row r="22" spans="1:17" ht="15.75" customHeight="1">
      <c r="A22" s="10"/>
      <c r="B22" s="59" t="s">
        <v>42</v>
      </c>
      <c r="E22" s="238"/>
    </row>
    <row r="23" spans="1:17" ht="15.75" customHeight="1">
      <c r="A23" s="10"/>
      <c r="B23" s="300" t="s">
        <v>382</v>
      </c>
      <c r="C23" s="279">
        <f>G23</f>
        <v>-62611</v>
      </c>
      <c r="D23" s="53"/>
      <c r="E23" s="237"/>
      <c r="F23" s="53"/>
      <c r="G23" s="270">
        <f>IF(G4="","",Data!C41)</f>
        <v>-62611</v>
      </c>
      <c r="H23" s="270">
        <f>IF(H4="","",Data!D41)</f>
        <v>-63194</v>
      </c>
      <c r="I23" s="270">
        <f>IF(I4="","",Data!E41)</f>
        <v>-65314</v>
      </c>
      <c r="J23" s="270">
        <f>IF(J4="","",Data!F41)</f>
        <v>-56820</v>
      </c>
      <c r="K23" s="270">
        <f>IF(K4="","",Data!G41)</f>
        <v>-49077</v>
      </c>
      <c r="L23" s="270">
        <f>IF(L4="","",Data!H41)</f>
        <v>-47190</v>
      </c>
      <c r="M23" s="270">
        <f>IF(M4="","",Data!I41)</f>
        <v>-42561</v>
      </c>
      <c r="N23" s="270">
        <f>IF(N4="","",Data!J41)</f>
        <v>-38680</v>
      </c>
      <c r="O23" s="270">
        <f>IF(O4="","",Data!K41)</f>
        <v>-36735</v>
      </c>
      <c r="P23" s="270">
        <f>IF(P4="","",Data!L41)</f>
        <v>-33323</v>
      </c>
      <c r="Q23" s="270" t="str">
        <f>IF(Q4="","",Data!M41)</f>
        <v/>
      </c>
    </row>
    <row r="24" spans="1:17" ht="15.75" customHeight="1">
      <c r="A24" s="10"/>
    </row>
    <row r="25" spans="1:17" ht="15.75" customHeight="1">
      <c r="A25" s="10"/>
      <c r="B25" s="15" t="s">
        <v>546</v>
      </c>
    </row>
    <row r="26" spans="1:17" ht="15.75" customHeight="1">
      <c r="A26" s="10"/>
      <c r="B26" s="2" t="str">
        <f>B4</f>
        <v>Investment Income</v>
      </c>
      <c r="C26" s="21">
        <f>C4/C$95</f>
        <v>5.0109121764200598E-2</v>
      </c>
    </row>
    <row r="27" spans="1:17" ht="15.75" customHeight="1">
      <c r="A27" s="10"/>
      <c r="B27" s="2" t="str">
        <f>B5</f>
        <v>Service Income</v>
      </c>
      <c r="C27" s="21">
        <f>C5/C$95</f>
        <v>5.8898554211317998E-3</v>
      </c>
    </row>
    <row r="28" spans="1:17" ht="15.75" customHeight="1">
      <c r="A28" s="10"/>
      <c r="B28" s="2" t="str">
        <f>B6</f>
        <v>Total Revenue</v>
      </c>
      <c r="C28" s="21">
        <f>C6/C$95</f>
        <v>5.5998977185332401E-2</v>
      </c>
    </row>
    <row r="29" spans="1:17" ht="15.75" customHeight="1">
      <c r="A29" s="10"/>
      <c r="C29" s="21"/>
    </row>
    <row r="30" spans="1:17" ht="15.75" customHeight="1">
      <c r="A30" s="10"/>
      <c r="B30" s="15" t="s">
        <v>548</v>
      </c>
      <c r="C30" s="21"/>
    </row>
    <row r="31" spans="1:17" ht="15.75" customHeight="1">
      <c r="A31" s="10"/>
      <c r="B31" s="2" t="s">
        <v>549</v>
      </c>
      <c r="C31" s="21">
        <f>C7/C$95</f>
        <v>-1.8626751040027225E-2</v>
      </c>
    </row>
    <row r="32" spans="1:17" ht="15.75" customHeight="1">
      <c r="A32" s="10"/>
      <c r="B32" s="2" t="s">
        <v>550</v>
      </c>
    </row>
    <row r="33" spans="1:17" ht="15.75" customHeight="1">
      <c r="A33" s="10"/>
      <c r="B33" s="2" t="s">
        <v>551</v>
      </c>
    </row>
    <row r="34" spans="1:17" ht="15.75" customHeight="1">
      <c r="A34" s="10"/>
    </row>
    <row r="35" spans="1:17" ht="15.75" customHeight="1">
      <c r="A35" s="10"/>
      <c r="B35" s="59" t="s">
        <v>56</v>
      </c>
      <c r="E35" s="238"/>
    </row>
    <row r="36" spans="1:17" ht="15.75" customHeight="1">
      <c r="A36" s="10"/>
      <c r="B36" s="2" t="s">
        <v>537</v>
      </c>
      <c r="C36" s="269">
        <f>-BS!G31*Normalized_FCF!C43</f>
        <v>-195728</v>
      </c>
      <c r="E36" s="238"/>
      <c r="G36" s="269">
        <f>Data!C51</f>
        <v>-195728</v>
      </c>
      <c r="H36" s="269">
        <f>Data!D51</f>
        <v>-202576</v>
      </c>
      <c r="I36" s="269">
        <f>Data!E51</f>
        <v>-183473</v>
      </c>
      <c r="J36" s="269">
        <f>Data!F51</f>
        <v>-169479</v>
      </c>
      <c r="K36" s="269">
        <f>Data!G51</f>
        <v>-159963</v>
      </c>
      <c r="L36" s="269">
        <f>Data!H51</f>
        <v>-166689</v>
      </c>
      <c r="M36" s="269">
        <f>Data!I51</f>
        <v>-174921</v>
      </c>
      <c r="N36" s="269">
        <f>Data!J51</f>
        <v>-164193</v>
      </c>
      <c r="O36" s="269">
        <f>Data!K51</f>
        <v>-123960</v>
      </c>
      <c r="P36" s="269">
        <f>Data!L51</f>
        <v>-136138</v>
      </c>
      <c r="Q36" s="269" t="str">
        <f>Data!M51</f>
        <v/>
      </c>
    </row>
    <row r="37" spans="1:17" ht="15.75" customHeight="1">
      <c r="A37" s="10"/>
      <c r="B37" s="2" t="s">
        <v>538</v>
      </c>
      <c r="C37" s="269">
        <f>BS!$G$40*C42</f>
        <v>526541.54036779993</v>
      </c>
      <c r="E37" s="238"/>
      <c r="G37" s="277">
        <f>Data!C52</f>
        <v>343835</v>
      </c>
      <c r="H37" s="277">
        <f>Data!D52</f>
        <v>349079</v>
      </c>
      <c r="I37" s="277">
        <f>Data!E52</f>
        <v>328746</v>
      </c>
      <c r="J37" s="277">
        <f>Data!F52</f>
        <v>315158</v>
      </c>
      <c r="K37" s="277">
        <f>Data!G52</f>
        <v>303478</v>
      </c>
      <c r="L37" s="277">
        <f>Data!H52</f>
        <v>269677</v>
      </c>
      <c r="M37" s="277">
        <f>Data!I52</f>
        <v>270578</v>
      </c>
      <c r="N37" s="277">
        <f>Data!J52</f>
        <v>252644</v>
      </c>
      <c r="O37" s="277">
        <f>Data!K52</f>
        <v>236279</v>
      </c>
      <c r="P37" s="277">
        <f>Data!L52</f>
        <v>255972</v>
      </c>
      <c r="Q37" s="277" t="str">
        <f>Data!M52</f>
        <v/>
      </c>
    </row>
    <row r="38" spans="1:17" ht="15.75" customHeight="1">
      <c r="A38" s="10"/>
      <c r="B38" s="248" t="s">
        <v>258</v>
      </c>
      <c r="C38" s="281">
        <f>BS!$C$66*C42</f>
        <v>343835</v>
      </c>
      <c r="D38" s="249"/>
      <c r="E38" s="250"/>
      <c r="F38" s="249"/>
      <c r="G38" s="281">
        <f>Data!C52</f>
        <v>343835</v>
      </c>
      <c r="H38" s="281">
        <f>Data!D52</f>
        <v>349079</v>
      </c>
      <c r="I38" s="281">
        <f>Data!E52</f>
        <v>328746</v>
      </c>
      <c r="J38" s="281">
        <f>Data!F52</f>
        <v>315158</v>
      </c>
      <c r="K38" s="281">
        <f>Data!G52</f>
        <v>303478</v>
      </c>
      <c r="L38" s="281">
        <f>Data!H52</f>
        <v>269677</v>
      </c>
      <c r="M38" s="281">
        <f>Data!I52</f>
        <v>270578</v>
      </c>
      <c r="N38" s="281">
        <f>Data!J52</f>
        <v>252644</v>
      </c>
      <c r="O38" s="281">
        <f>Data!K52</f>
        <v>236279</v>
      </c>
      <c r="P38" s="281">
        <f>Data!L52</f>
        <v>255972</v>
      </c>
      <c r="Q38" s="281" t="str">
        <f>Data!M52</f>
        <v/>
      </c>
    </row>
    <row r="39" spans="1:17" ht="15.75" customHeight="1">
      <c r="A39" s="10"/>
      <c r="B39" s="64" t="s">
        <v>63</v>
      </c>
      <c r="C39" s="270">
        <f>C36+C37</f>
        <v>330813.54036779993</v>
      </c>
      <c r="E39" s="238"/>
      <c r="G39" s="270">
        <f t="shared" ref="G39:Q39" si="6">IF(G$4="","",(G36+G37))</f>
        <v>148107</v>
      </c>
      <c r="H39" s="270">
        <f t="shared" si="6"/>
        <v>146503</v>
      </c>
      <c r="I39" s="270">
        <f t="shared" si="6"/>
        <v>145273</v>
      </c>
      <c r="J39" s="270">
        <f t="shared" si="6"/>
        <v>145679</v>
      </c>
      <c r="K39" s="270">
        <f t="shared" si="6"/>
        <v>143515</v>
      </c>
      <c r="L39" s="270">
        <f t="shared" si="6"/>
        <v>102988</v>
      </c>
      <c r="M39" s="270">
        <f t="shared" si="6"/>
        <v>95657</v>
      </c>
      <c r="N39" s="270">
        <f t="shared" si="6"/>
        <v>88451</v>
      </c>
      <c r="O39" s="270">
        <f t="shared" si="6"/>
        <v>112319</v>
      </c>
      <c r="P39" s="270">
        <f t="shared" si="6"/>
        <v>119834</v>
      </c>
      <c r="Q39" s="270" t="str">
        <f t="shared" si="6"/>
        <v/>
      </c>
    </row>
    <row r="40" spans="1:17" ht="15.75" customHeight="1">
      <c r="A40" s="10"/>
      <c r="E40" s="238"/>
    </row>
    <row r="41" spans="1:17" ht="15.75" customHeight="1">
      <c r="A41" s="10"/>
      <c r="B41" s="66" t="s">
        <v>125</v>
      </c>
      <c r="E41" s="238"/>
      <c r="G41" s="91" t="s">
        <v>179</v>
      </c>
    </row>
    <row r="42" spans="1:17" ht="15.75" customHeight="1">
      <c r="A42" s="10"/>
      <c r="B42" s="8" t="s">
        <v>536</v>
      </c>
      <c r="C42" s="81">
        <f>G42</f>
        <v>5.1039038960584003E-2</v>
      </c>
      <c r="E42" s="235" t="s">
        <v>524</v>
      </c>
      <c r="G42" s="6">
        <f>IF(G4="","",G37/BS!$C$66)</f>
        <v>5.1039038960584003E-2</v>
      </c>
      <c r="H42" s="148"/>
      <c r="I42" s="148"/>
      <c r="J42" s="148"/>
      <c r="K42" s="148"/>
      <c r="L42" s="148"/>
      <c r="M42" s="148"/>
      <c r="N42" s="148"/>
      <c r="O42" s="148"/>
      <c r="P42" s="148"/>
      <c r="Q42" s="148"/>
    </row>
    <row r="43" spans="1:17" ht="15.75" customHeight="1">
      <c r="A43" s="10"/>
      <c r="B43" s="8" t="s">
        <v>82</v>
      </c>
      <c r="C43" s="76">
        <f>G43</f>
        <v>2.0566860106198924E-2</v>
      </c>
      <c r="E43" s="235" t="s">
        <v>525</v>
      </c>
      <c r="G43" s="21">
        <f>IFERROR(ABS(Normalized_FCF!G36/BS!$G$31),0)</f>
        <v>2.0566860106198924E-2</v>
      </c>
      <c r="H43" s="148"/>
      <c r="I43" s="148"/>
      <c r="J43" s="148"/>
      <c r="K43" s="148"/>
      <c r="L43" s="148"/>
      <c r="M43" s="148"/>
      <c r="N43" s="148"/>
      <c r="O43" s="148"/>
      <c r="P43" s="148"/>
      <c r="Q43" s="148"/>
    </row>
    <row r="44" spans="1:17" ht="15.75" customHeight="1">
      <c r="A44" s="10"/>
      <c r="B44" s="24" t="s">
        <v>84</v>
      </c>
      <c r="C44" s="38">
        <f>-C9/C36</f>
        <v>1.6864860437331395</v>
      </c>
      <c r="E44" s="238"/>
      <c r="G44" s="38">
        <f>IF(G4="","",-G9/G36)</f>
        <v>0.75301438731300585</v>
      </c>
      <c r="H44" s="38">
        <f>IF(H4="","",-H9/H36)</f>
        <v>0.71735052523497356</v>
      </c>
      <c r="I44" s="38">
        <f>IF(I4="","",-I9/I36)</f>
        <v>0.84362276738266662</v>
      </c>
      <c r="J44" s="38">
        <f>IF(J4="","",-J9/J36)</f>
        <v>0.957103829973035</v>
      </c>
      <c r="K44" s="38">
        <f>IF(K4="","",-K9/K36)</f>
        <v>0.95005720072766831</v>
      </c>
      <c r="L44" s="38">
        <f>IF(L4="","",-L9/L36)</f>
        <v>0.79406559521024178</v>
      </c>
      <c r="M44" s="38">
        <f>IF(M4="","",-M9/M36)</f>
        <v>0.6535407412489066</v>
      </c>
      <c r="N44" s="38">
        <f>IF(N4="","",-N9/N36)</f>
        <v>0.61098828817306461</v>
      </c>
      <c r="O44" s="38">
        <f>IF(O4="","",-O9/O36)</f>
        <v>0.92495966440787347</v>
      </c>
      <c r="P44" s="38">
        <f>IF(P4="","",-P9/P36)</f>
        <v>0.79382685216471527</v>
      </c>
      <c r="Q44" s="38" t="str">
        <f>IF(Q4="","",-Q9/Q36)</f>
        <v/>
      </c>
    </row>
    <row r="45" spans="1:17" ht="15.75" customHeight="1">
      <c r="A45" s="10"/>
      <c r="E45" s="238"/>
    </row>
    <row r="46" spans="1:17" ht="15.75" customHeight="1">
      <c r="A46" s="10"/>
      <c r="B46" s="59" t="s">
        <v>168</v>
      </c>
      <c r="E46" s="238"/>
    </row>
    <row r="47" spans="1:17" ht="15.75" customHeight="1">
      <c r="A47" s="10"/>
      <c r="B47" s="25" t="s">
        <v>136</v>
      </c>
      <c r="C47" s="233">
        <v>0.25</v>
      </c>
      <c r="D47" s="25"/>
      <c r="E47" s="235" t="s">
        <v>389</v>
      </c>
      <c r="F47" s="25"/>
      <c r="G47" s="6">
        <f>IF(G$4="","",-G12/SUM(G9+G5,G10))</f>
        <v>6.4619824172874304E-2</v>
      </c>
      <c r="H47" s="6">
        <f>IF(H$4="","",-H12/SUM(H9+H5,H10))</f>
        <v>4.5613579521382008E-2</v>
      </c>
      <c r="I47" s="6">
        <f>IF(I$4="","",-I12/SUM(I9+I5,I10))</f>
        <v>7.6263228828351112E-2</v>
      </c>
      <c r="J47" s="6">
        <f>IF(J$4="","",-J12/SUM(J9+J5,J10))</f>
        <v>6.814893869322898E-2</v>
      </c>
      <c r="K47" s="6">
        <f>IF(K$4="","",-K12/SUM(K9+K5,K10))</f>
        <v>6.6749644116178369E-2</v>
      </c>
      <c r="L47" s="6">
        <f>IF(L$4="","",-L12/SUM(L9+L5,L10))</f>
        <v>5.1639338836410337E-2</v>
      </c>
      <c r="M47" s="6">
        <f>IF(M$4="","",-M12/SUM(M9+M5,M10))</f>
        <v>5.2838769054671733E-2</v>
      </c>
      <c r="N47" s="6">
        <f>IF(N$4="","",-N12/SUM(N9+N5,N10))</f>
        <v>6.0866246899446669E-2</v>
      </c>
      <c r="O47" s="6">
        <f>IF(O$4="","",-O12/SUM(O9+O5,O10))</f>
        <v>9.3185370731754674E-2</v>
      </c>
      <c r="P47" s="6">
        <f>IF(P$4="","",-P12/SUM(P9+P5,P10))</f>
        <v>0.14850889709090481</v>
      </c>
      <c r="Q47" s="6" t="str">
        <f>IF(Q$4="","",-Q12/SUM(Q9+Q5,Q10))</f>
        <v/>
      </c>
    </row>
    <row r="48" spans="1:17" ht="15.75" customHeight="1">
      <c r="A48" s="10"/>
      <c r="E48" s="238"/>
    </row>
    <row r="49" spans="1:17" ht="15.75" customHeight="1">
      <c r="A49" s="10"/>
      <c r="B49" s="49" t="s">
        <v>169</v>
      </c>
      <c r="C49" s="49"/>
      <c r="D49" s="51"/>
      <c r="E49" s="61" t="s">
        <v>55</v>
      </c>
      <c r="F49" s="51"/>
      <c r="G49" s="33"/>
      <c r="H49" s="33"/>
      <c r="I49" s="33"/>
      <c r="J49" s="33"/>
      <c r="K49" s="33"/>
      <c r="L49" s="33"/>
      <c r="M49" s="33"/>
      <c r="N49" s="33"/>
      <c r="O49" s="33"/>
      <c r="P49" s="33"/>
      <c r="Q49" s="33"/>
    </row>
    <row r="50" spans="1:17" ht="15.75" customHeight="1">
      <c r="A50" s="10"/>
      <c r="B50" s="59" t="s">
        <v>133</v>
      </c>
      <c r="E50" s="238"/>
      <c r="G50" s="91" t="s">
        <v>179</v>
      </c>
    </row>
    <row r="51" spans="1:17" ht="15.75" customHeight="1">
      <c r="A51" s="10"/>
      <c r="B51" s="36" t="s">
        <v>132</v>
      </c>
      <c r="C51" s="269">
        <f>BS!$C67*C59</f>
        <v>0</v>
      </c>
      <c r="E51" s="238"/>
      <c r="G51" s="269">
        <f>Data!C56</f>
        <v>0</v>
      </c>
      <c r="H51" s="269">
        <f>Data!D56</f>
        <v>0</v>
      </c>
      <c r="I51" s="269">
        <f>Data!E56</f>
        <v>0</v>
      </c>
      <c r="J51" s="269">
        <f>Data!F56</f>
        <v>0</v>
      </c>
      <c r="K51" s="269">
        <f>Data!G56</f>
        <v>0</v>
      </c>
      <c r="L51" s="269">
        <f>Data!H56</f>
        <v>0</v>
      </c>
      <c r="M51" s="269">
        <f>Data!I56</f>
        <v>0</v>
      </c>
      <c r="N51" s="269">
        <f>Data!J56</f>
        <v>0</v>
      </c>
      <c r="O51" s="269">
        <f>Data!K56</f>
        <v>0</v>
      </c>
      <c r="P51" s="269">
        <f>Data!L56</f>
        <v>0</v>
      </c>
      <c r="Q51" s="269" t="str">
        <f>Data!M56</f>
        <v/>
      </c>
    </row>
    <row r="52" spans="1:17" ht="15.75" customHeight="1">
      <c r="A52" s="10"/>
      <c r="B52" s="36" t="s">
        <v>129</v>
      </c>
      <c r="C52" s="269">
        <f>BS!$C68*C60</f>
        <v>0</v>
      </c>
      <c r="E52" s="238"/>
      <c r="G52" s="269">
        <f>Data!C55</f>
        <v>0</v>
      </c>
      <c r="H52" s="269">
        <f>Data!D55</f>
        <v>0</v>
      </c>
      <c r="I52" s="269">
        <f>Data!E55</f>
        <v>0</v>
      </c>
      <c r="J52" s="269">
        <f>Data!F55</f>
        <v>0</v>
      </c>
      <c r="K52" s="269">
        <f>Data!G55</f>
        <v>0</v>
      </c>
      <c r="L52" s="269">
        <f>Data!H55</f>
        <v>0</v>
      </c>
      <c r="M52" s="269">
        <f>Data!I55</f>
        <v>0</v>
      </c>
      <c r="N52" s="269">
        <f>Data!J55</f>
        <v>0</v>
      </c>
      <c r="O52" s="269">
        <f>Data!K55</f>
        <v>0</v>
      </c>
      <c r="P52" s="269">
        <f>Data!L55</f>
        <v>0</v>
      </c>
      <c r="Q52" s="269" t="str">
        <f>Data!M55</f>
        <v/>
      </c>
    </row>
    <row r="53" spans="1:17" ht="15.75" customHeight="1">
      <c r="A53" s="10"/>
      <c r="B53" s="36" t="s">
        <v>128</v>
      </c>
      <c r="C53" s="269">
        <f>BS!$C69*C61</f>
        <v>0</v>
      </c>
      <c r="E53" s="238"/>
      <c r="G53" s="269">
        <f>Data!C57</f>
        <v>0</v>
      </c>
      <c r="H53" s="269">
        <f>Data!D57</f>
        <v>0</v>
      </c>
      <c r="I53" s="269">
        <f>Data!E57</f>
        <v>0</v>
      </c>
      <c r="J53" s="269">
        <f>Data!F57</f>
        <v>0</v>
      </c>
      <c r="K53" s="269">
        <f>Data!G57</f>
        <v>0</v>
      </c>
      <c r="L53" s="269">
        <f>Data!H57</f>
        <v>0</v>
      </c>
      <c r="M53" s="269">
        <f>Data!I57</f>
        <v>0</v>
      </c>
      <c r="N53" s="269">
        <f>Data!J57</f>
        <v>0</v>
      </c>
      <c r="O53" s="269">
        <f>Data!K57</f>
        <v>0</v>
      </c>
      <c r="P53" s="269">
        <f>Data!L57</f>
        <v>0</v>
      </c>
      <c r="Q53" s="269" t="str">
        <f>Data!M57</f>
        <v/>
      </c>
    </row>
    <row r="54" spans="1:17" ht="15.75" customHeight="1">
      <c r="A54" s="10"/>
      <c r="B54" s="28" t="s">
        <v>156</v>
      </c>
      <c r="C54" s="270">
        <f>SUM(C51:C53)</f>
        <v>0</v>
      </c>
      <c r="E54" s="238"/>
      <c r="G54" s="270">
        <f>IF(G4="","",SUM(G51:G53))</f>
        <v>0</v>
      </c>
      <c r="H54" s="270">
        <f>IF(H4="","",SUM(H51:H53))</f>
        <v>0</v>
      </c>
      <c r="I54" s="270">
        <f>IF(I4="","",SUM(I51:I53))</f>
        <v>0</v>
      </c>
      <c r="J54" s="270">
        <f>IF(J4="","",SUM(J51:J53))</f>
        <v>0</v>
      </c>
      <c r="K54" s="270">
        <f>IF(K4="","",SUM(K51:K53))</f>
        <v>0</v>
      </c>
      <c r="L54" s="270">
        <f>IF(L4="","",SUM(L51:L53))</f>
        <v>0</v>
      </c>
      <c r="M54" s="270">
        <f>IF(M4="","",SUM(M51:M53))</f>
        <v>0</v>
      </c>
      <c r="N54" s="270">
        <f>IF(N4="","",SUM(N51:N53))</f>
        <v>0</v>
      </c>
      <c r="O54" s="270">
        <f>IF(O4="","",SUM(O51:O53))</f>
        <v>0</v>
      </c>
      <c r="P54" s="270">
        <f>IF(P4="","",SUM(P51:P53))</f>
        <v>0</v>
      </c>
      <c r="Q54" s="270" t="str">
        <f>IF(Q4="","",SUM(Q51:Q53))</f>
        <v/>
      </c>
    </row>
    <row r="55" spans="1:17" ht="15.75" customHeight="1">
      <c r="A55" s="10"/>
      <c r="B55" s="36" t="s">
        <v>130</v>
      </c>
      <c r="C55" s="282">
        <v>0</v>
      </c>
      <c r="E55" s="236" t="s">
        <v>253</v>
      </c>
      <c r="G55" s="269">
        <f>Data!C58</f>
        <v>-60266</v>
      </c>
      <c r="H55" s="269">
        <f>Data!D58</f>
        <v>-60989</v>
      </c>
      <c r="I55" s="269">
        <f>Data!E58</f>
        <v>-48561</v>
      </c>
      <c r="J55" s="269">
        <f>Data!F58</f>
        <v>-66899</v>
      </c>
      <c r="K55" s="269">
        <f>Data!G58</f>
        <v>-75337</v>
      </c>
      <c r="L55" s="269">
        <f>Data!H58</f>
        <v>-57859</v>
      </c>
      <c r="M55" s="269">
        <f>Data!I58</f>
        <v>-46241</v>
      </c>
      <c r="N55" s="269">
        <f>Data!J58</f>
        <v>-35567</v>
      </c>
      <c r="O55" s="269">
        <f>Data!K58</f>
        <v>-50733</v>
      </c>
      <c r="P55" s="269">
        <f>Data!L58</f>
        <v>-44826</v>
      </c>
      <c r="Q55" s="269" t="str">
        <f>Data!M58</f>
        <v/>
      </c>
    </row>
    <row r="56" spans="1:17" ht="15.75" customHeight="1">
      <c r="A56" s="10"/>
      <c r="B56" s="28" t="s">
        <v>157</v>
      </c>
      <c r="C56" s="270">
        <f>C54+C55</f>
        <v>0</v>
      </c>
      <c r="E56" s="238"/>
      <c r="G56" s="270">
        <f>IF(G4="","",G54+G55)</f>
        <v>-60266</v>
      </c>
      <c r="H56" s="270">
        <f>IF(H4="","",H54+H55)</f>
        <v>-60989</v>
      </c>
      <c r="I56" s="270">
        <f>IF(I4="","",I54+I55)</f>
        <v>-48561</v>
      </c>
      <c r="J56" s="270">
        <f>IF(J4="","",J54+J55)</f>
        <v>-66899</v>
      </c>
      <c r="K56" s="270">
        <f>IF(K4="","",K54+K55)</f>
        <v>-75337</v>
      </c>
      <c r="L56" s="270">
        <f>IF(L4="","",L54+L55)</f>
        <v>-57859</v>
      </c>
      <c r="M56" s="270">
        <f>IF(M4="","",M54+M55)</f>
        <v>-46241</v>
      </c>
      <c r="N56" s="270">
        <f>IF(N4="","",N54+N55)</f>
        <v>-35567</v>
      </c>
      <c r="O56" s="270">
        <f>IF(O4="","",O54+O55)</f>
        <v>-50733</v>
      </c>
      <c r="P56" s="270">
        <f>IF(P4="","",P54+P55)</f>
        <v>-44826</v>
      </c>
      <c r="Q56" s="270" t="str">
        <f>IF(Q4="","",Q54+Q55)</f>
        <v/>
      </c>
    </row>
    <row r="57" spans="1:17" ht="15.75" customHeight="1">
      <c r="A57" s="10"/>
      <c r="E57" s="238"/>
    </row>
    <row r="58" spans="1:17" ht="15.75" customHeight="1">
      <c r="A58" s="10"/>
      <c r="B58" s="90" t="s">
        <v>134</v>
      </c>
      <c r="E58" s="238"/>
      <c r="G58" s="91" t="s">
        <v>179</v>
      </c>
    </row>
    <row r="59" spans="1:17" ht="15.75" customHeight="1">
      <c r="A59" s="10"/>
      <c r="B59" s="36" t="s">
        <v>132</v>
      </c>
      <c r="C59" s="155">
        <f>G59</f>
        <v>0</v>
      </c>
      <c r="E59" s="238"/>
      <c r="G59" s="21">
        <f>IFERROR(G51/BS!$C$67,0)</f>
        <v>0</v>
      </c>
      <c r="H59" s="154"/>
      <c r="I59" s="154"/>
      <c r="J59" s="154"/>
      <c r="K59" s="154"/>
      <c r="L59" s="154"/>
      <c r="M59" s="154"/>
      <c r="N59" s="154"/>
      <c r="O59" s="154"/>
      <c r="P59" s="154"/>
      <c r="Q59" s="154"/>
    </row>
    <row r="60" spans="1:17" ht="15.75" customHeight="1">
      <c r="A60" s="10"/>
      <c r="B60" s="99" t="s">
        <v>127</v>
      </c>
      <c r="C60" s="155">
        <f>G60</f>
        <v>0</v>
      </c>
      <c r="E60" s="238"/>
      <c r="G60" s="21">
        <f>IFERROR(G52/BS!$C$68,0)</f>
        <v>0</v>
      </c>
      <c r="H60" s="154"/>
      <c r="I60" s="154"/>
      <c r="J60" s="154"/>
      <c r="K60" s="154"/>
      <c r="L60" s="154"/>
      <c r="M60" s="154"/>
      <c r="N60" s="154"/>
      <c r="O60" s="154"/>
      <c r="P60" s="154"/>
      <c r="Q60" s="154"/>
    </row>
    <row r="61" spans="1:17" ht="15.75" customHeight="1">
      <c r="A61" s="10"/>
      <c r="B61" s="99" t="s">
        <v>128</v>
      </c>
      <c r="C61" s="155">
        <f>G61</f>
        <v>0</v>
      </c>
      <c r="E61" s="238"/>
      <c r="G61" s="21">
        <f>IFERROR(G53/BS!$C$69,0)</f>
        <v>0</v>
      </c>
      <c r="H61" s="154"/>
      <c r="I61" s="154"/>
      <c r="J61" s="154"/>
      <c r="K61" s="154"/>
      <c r="L61" s="154"/>
      <c r="M61" s="154"/>
      <c r="N61" s="154"/>
      <c r="O61" s="154"/>
      <c r="P61" s="154"/>
      <c r="Q61" s="154"/>
    </row>
    <row r="62" spans="1:17" ht="15.75" customHeight="1">
      <c r="A62" s="10"/>
      <c r="B62" s="28" t="s">
        <v>156</v>
      </c>
      <c r="C62" s="65">
        <f>C54/BS!C70</f>
        <v>0</v>
      </c>
      <c r="D62" s="9"/>
      <c r="E62" s="243"/>
      <c r="F62" s="9"/>
      <c r="G62" s="65">
        <f>G54/BS!C70</f>
        <v>0</v>
      </c>
      <c r="H62" s="154"/>
      <c r="I62" s="154"/>
      <c r="J62" s="154"/>
      <c r="K62" s="154"/>
      <c r="L62" s="154"/>
      <c r="M62" s="154"/>
      <c r="N62" s="154"/>
      <c r="O62" s="154"/>
      <c r="P62" s="154"/>
      <c r="Q62" s="154"/>
    </row>
    <row r="63" spans="1:17" ht="15.75" customHeight="1">
      <c r="A63" s="10"/>
    </row>
    <row r="64" spans="1:17" ht="15.75" customHeight="1">
      <c r="A64" s="10"/>
      <c r="B64" s="49" t="s">
        <v>172</v>
      </c>
      <c r="C64" s="49"/>
      <c r="D64" s="51"/>
      <c r="E64" s="61" t="s">
        <v>55</v>
      </c>
      <c r="F64" s="51"/>
      <c r="G64" s="33"/>
      <c r="H64" s="33"/>
      <c r="I64" s="33"/>
      <c r="J64" s="33"/>
      <c r="K64" s="33"/>
      <c r="L64" s="33"/>
      <c r="M64" s="33"/>
      <c r="N64" s="33"/>
      <c r="O64" s="33"/>
      <c r="P64" s="33"/>
      <c r="Q64" s="33"/>
    </row>
    <row r="65" spans="1:17" ht="15.75" customHeight="1">
      <c r="A65" s="10"/>
      <c r="B65" s="66" t="s">
        <v>176</v>
      </c>
      <c r="C65" s="57"/>
      <c r="D65" s="25"/>
      <c r="E65" s="235"/>
      <c r="F65" s="25"/>
      <c r="G65" s="91"/>
      <c r="H65" s="12"/>
      <c r="I65" s="12"/>
      <c r="J65" s="12"/>
      <c r="K65" s="12"/>
      <c r="L65" s="12"/>
      <c r="M65" s="12"/>
      <c r="N65" s="12"/>
      <c r="O65" s="12"/>
      <c r="P65" s="12"/>
      <c r="Q65" s="12"/>
    </row>
    <row r="66" spans="1:17" ht="15.75" customHeight="1">
      <c r="A66" s="10"/>
      <c r="B66" s="2" t="s">
        <v>43</v>
      </c>
      <c r="C66" s="71">
        <f>ABS(C7/C$4)</f>
        <v>0.37172375775571292</v>
      </c>
      <c r="D66" s="25"/>
      <c r="E66" s="235"/>
      <c r="F66" s="25"/>
      <c r="G66" s="6">
        <f>IF(G$4="","",ABS(G7/G$4))</f>
        <v>0.56924978550758354</v>
      </c>
      <c r="H66" s="6">
        <f>IF(H$4="","",ABS(H7/H$4))</f>
        <v>0.58031563055927171</v>
      </c>
      <c r="I66" s="6">
        <f>IF(I$4="","",ABS(I7/I$4))</f>
        <v>0.55809956623046364</v>
      </c>
      <c r="J66" s="6">
        <f>IF(J$4="","",ABS(J7/J$4))</f>
        <v>0.53775883842390171</v>
      </c>
      <c r="K66" s="6">
        <f>IF(K$4="","",ABS(K7/K$4))</f>
        <v>0.52709916369555621</v>
      </c>
      <c r="L66" s="6">
        <f>IF(L$4="","",ABS(L7/L$4))</f>
        <v>0.61810610471044991</v>
      </c>
      <c r="M66" s="6">
        <f>IF(M$4="","",ABS(M7/M$4))</f>
        <v>0.64647162740503661</v>
      </c>
      <c r="N66" s="6">
        <f>IF(N$4="","",ABS(N7/N$4))</f>
        <v>0.6498986716486439</v>
      </c>
      <c r="O66" s="6">
        <f>IF(O$4="","",ABS(O7/O$4))</f>
        <v>0.52463401317933456</v>
      </c>
      <c r="P66" s="6">
        <f>IF(P$4="","",ABS(P7/P$4))</f>
        <v>0.53184723329114125</v>
      </c>
      <c r="Q66" s="6" t="str">
        <f>IF(Q$4="","",ABS(Q7/Q$4))</f>
        <v/>
      </c>
    </row>
    <row r="67" spans="1:17" ht="15.75" customHeight="1">
      <c r="A67" s="10"/>
      <c r="B67" s="28" t="s">
        <v>45</v>
      </c>
      <c r="C67" s="72">
        <f>ABS(C6/C$4)</f>
        <v>1.1175405837054539</v>
      </c>
      <c r="D67" s="25"/>
      <c r="E67" s="235"/>
      <c r="F67" s="25"/>
      <c r="G67" s="60">
        <f>IF(G$4="","",ABS(G6/G$4))</f>
        <v>1.1799991274884756</v>
      </c>
      <c r="H67" s="60">
        <f>IF(H$4="","",ABS(H6/H$4))</f>
        <v>1.177636007895061</v>
      </c>
      <c r="I67" s="60">
        <f>IF(I$4="","",ABS(I6/I$4))</f>
        <v>1.2276012483802083</v>
      </c>
      <c r="J67" s="60">
        <f>IF(J$4="","",ABS(J6/J$4))</f>
        <v>1.2327404032263183</v>
      </c>
      <c r="K67" s="60">
        <f>IF(K$4="","",ABS(K6/K$4))</f>
        <v>1.1895887016521791</v>
      </c>
      <c r="L67" s="60">
        <f>IF(L$4="","",ABS(L6/L$4))</f>
        <v>1.2839100108648493</v>
      </c>
      <c r="M67" s="60">
        <f>IF(M$4="","",ABS(M6/M$4))</f>
        <v>1.2262637760645729</v>
      </c>
      <c r="N67" s="60">
        <f>IF(N$4="","",ABS(N6/N$4))</f>
        <v>1.2000799544022418</v>
      </c>
      <c r="O67" s="60">
        <f>IF(O$4="","",ABS(O6/O$4))</f>
        <v>1.1653722929248898</v>
      </c>
      <c r="P67" s="60">
        <f>IF(P$4="","",ABS(P6/P$4))</f>
        <v>1.0842240557560983</v>
      </c>
      <c r="Q67" s="60" t="str">
        <f>IF(Q$4="","",ABS(Q6/Q$4))</f>
        <v/>
      </c>
    </row>
    <row r="68" spans="1:17" ht="15.75" customHeight="1">
      <c r="A68" s="10"/>
      <c r="B68" s="8" t="s">
        <v>42</v>
      </c>
      <c r="C68" s="71">
        <f>ABS(C8/C$4)</f>
        <v>0.11890989637069271</v>
      </c>
      <c r="D68" s="25"/>
      <c r="E68" s="235"/>
      <c r="F68" s="25"/>
      <c r="G68" s="6">
        <f>IF(G$4="","",ABS(G8/G$4))</f>
        <v>0.18209606351883897</v>
      </c>
      <c r="H68" s="6">
        <f>IF(H$4="","",ABS(H8/H$4))</f>
        <v>0.18103065495203091</v>
      </c>
      <c r="I68" s="6">
        <f>IF(I$4="","",ABS(I8/I$4))</f>
        <v>0.19867618161133518</v>
      </c>
      <c r="J68" s="6">
        <f>IF(J$4="","",ABS(J8/J$4))</f>
        <v>0.1802905209450498</v>
      </c>
      <c r="K68" s="6">
        <f>IF(K$4="","",ABS(K8/K$4))</f>
        <v>0.1617151819901278</v>
      </c>
      <c r="L68" s="6">
        <f>IF(L$4="","",ABS(L8/L$4))</f>
        <v>0.17498711421441204</v>
      </c>
      <c r="M68" s="6">
        <f>IF(M$4="","",ABS(M8/M$4))</f>
        <v>0.15729660208886162</v>
      </c>
      <c r="N68" s="6">
        <f>IF(N$4="","",ABS(N8/N$4))</f>
        <v>0.15310080587704439</v>
      </c>
      <c r="O68" s="6">
        <f>IF(O$4="","",ABS(O8/O$4))</f>
        <v>0.15547297897824183</v>
      </c>
      <c r="P68" s="6">
        <f>IF(P$4="","",ABS(P8/P$4))</f>
        <v>0.13018220742893755</v>
      </c>
      <c r="Q68" s="6" t="str">
        <f>IF(Q$4="","",ABS(Q8/Q$4))</f>
        <v/>
      </c>
    </row>
    <row r="69" spans="1:17" ht="15.75" customHeight="1">
      <c r="A69" s="10"/>
      <c r="B69" s="27" t="s">
        <v>122</v>
      </c>
      <c r="C69" s="72">
        <f>ABS(C9/C$4)</f>
        <v>0.62690692957904826</v>
      </c>
      <c r="D69" s="25"/>
      <c r="E69" s="235"/>
      <c r="F69" s="25"/>
      <c r="G69" s="60">
        <f>IF(G$4="","",ABS(G9/G$4))</f>
        <v>0.42865327846205303</v>
      </c>
      <c r="H69" s="60">
        <f>IF(H$4="","",ABS(H9/H$4))</f>
        <v>0.41628972238375839</v>
      </c>
      <c r="I69" s="60">
        <f>IF(I$4="","",ABS(I9/I$4))</f>
        <v>0.4708255005384096</v>
      </c>
      <c r="J69" s="60">
        <f>IF(J$4="","",ABS(J9/J$4))</f>
        <v>0.51469104385736675</v>
      </c>
      <c r="K69" s="60">
        <f>IF(K$4="","",ABS(K9/K$4))</f>
        <v>0.50077435596649511</v>
      </c>
      <c r="L69" s="60">
        <f>IF(L$4="","",ABS(L9/L$4))</f>
        <v>0.49081679193998745</v>
      </c>
      <c r="M69" s="60">
        <f>IF(M$4="","",ABS(M9/M$4))</f>
        <v>0.42249554657067462</v>
      </c>
      <c r="N69" s="60">
        <f>IF(N$4="","",ABS(N9/N$4))</f>
        <v>0.39708047687655357</v>
      </c>
      <c r="O69" s="60">
        <f>IF(O$4="","",ABS(O9/O$4))</f>
        <v>0.48526530076731322</v>
      </c>
      <c r="P69" s="60">
        <f>IF(P$4="","",ABS(P9/P$4))</f>
        <v>0.42219461503601957</v>
      </c>
      <c r="Q69" s="60" t="str">
        <f>IF(Q$4="","",ABS(Q9/Q$4))</f>
        <v/>
      </c>
    </row>
    <row r="70" spans="1:17" ht="15.75" customHeight="1">
      <c r="A70" s="10"/>
      <c r="B70" s="25" t="s">
        <v>123</v>
      </c>
      <c r="C70" s="71">
        <f>ABS(C5/C$4)</f>
        <v>0.11754058370545387</v>
      </c>
      <c r="D70" s="25"/>
      <c r="E70" s="235"/>
      <c r="F70" s="25"/>
      <c r="G70" s="6">
        <f>IF(G$4="","",G5/G$4)</f>
        <v>0.17999912748847557</v>
      </c>
      <c r="H70" s="6">
        <f>IF(H$4="","",H5/H$4)</f>
        <v>0.17763600789506101</v>
      </c>
      <c r="I70" s="6">
        <f>IF(I$4="","",I5/I$4)</f>
        <v>0.22760124838020843</v>
      </c>
      <c r="J70" s="6">
        <f>IF(J$4="","",J5/J$4)</f>
        <v>0.23274040322631823</v>
      </c>
      <c r="K70" s="6">
        <f>IF(K$4="","",K5/K$4)</f>
        <v>0.18958870165217906</v>
      </c>
      <c r="L70" s="6">
        <f>IF(L$4="","",L5/L$4)</f>
        <v>0.2839100108648494</v>
      </c>
      <c r="M70" s="6">
        <f>IF(M$4="","",M5/M$4)</f>
        <v>0.22626377606457287</v>
      </c>
      <c r="N70" s="6">
        <f>IF(N$4="","",N5/N$4)</f>
        <v>0.20007995440224188</v>
      </c>
      <c r="O70" s="6">
        <f>IF(O$4="","",O5/O$4)</f>
        <v>0.16537229292488964</v>
      </c>
      <c r="P70" s="6">
        <f>IF(P$4="","",P5/P$4)</f>
        <v>8.4224055756098329E-2</v>
      </c>
      <c r="Q70" s="6" t="str">
        <f>IF(Q$4="","",Q5/Q$4)</f>
        <v/>
      </c>
    </row>
    <row r="71" spans="1:17" ht="15.75" customHeight="1">
      <c r="A71" s="10"/>
      <c r="B71" s="2" t="s">
        <v>63</v>
      </c>
      <c r="C71" s="71">
        <f>ABS(C10/C$4)</f>
        <v>0</v>
      </c>
      <c r="D71" s="25"/>
      <c r="E71" s="235"/>
      <c r="F71" s="25"/>
      <c r="G71" s="6">
        <f>IF(G$4="","",ABS(G10/G$4))</f>
        <v>0.1752759317695988</v>
      </c>
      <c r="H71" s="6">
        <f>IF(H$4="","",ABS(H10/H$4))</f>
        <v>0.17471403321311221</v>
      </c>
      <c r="I71" s="6">
        <f>IF(I$4="","",ABS(I10/I$4))</f>
        <v>0.14771586574437406</v>
      </c>
      <c r="J71" s="6">
        <f>IF(J$4="","",ABS(J10/J$4))</f>
        <v>0.21227130518660481</v>
      </c>
      <c r="K71" s="6">
        <f>IF(K$4="","",ABS(K10/K$4))</f>
        <v>0.24824534233123982</v>
      </c>
      <c r="L71" s="6">
        <f>IF(L$4="","",ABS(L10/L$4))</f>
        <v>0.21454925707420358</v>
      </c>
      <c r="M71" s="6">
        <f>IF(M$4="","",ABS(M10/M$4))</f>
        <v>0.17089711654310402</v>
      </c>
      <c r="N71" s="6">
        <f>IF(N$4="","",ABS(N10/N$4))</f>
        <v>0.1407791200265987</v>
      </c>
      <c r="O71" s="6">
        <f>IF(O$4="","",ABS(O10/O$4))</f>
        <v>0.21471650040841547</v>
      </c>
      <c r="P71" s="6">
        <f>IF(P$4="","",ABS(P10/P$4))</f>
        <v>0.17512071632834841</v>
      </c>
      <c r="Q71" s="6" t="str">
        <f>IF(Q$4="","",ABS(Q10/Q$4))</f>
        <v/>
      </c>
    </row>
    <row r="72" spans="1:17" ht="15.75" customHeight="1">
      <c r="A72" s="10"/>
      <c r="B72" s="64" t="s">
        <v>131</v>
      </c>
      <c r="C72" s="72">
        <f>C11/C4</f>
        <v>0.62690692957904826</v>
      </c>
      <c r="D72" s="25"/>
      <c r="E72" s="235"/>
      <c r="F72" s="25"/>
      <c r="G72" s="60">
        <f>IF(G$4="","",G11/G$4)</f>
        <v>0.25337734669245421</v>
      </c>
      <c r="H72" s="60">
        <f>IF(H$4="","",H11/H$4)</f>
        <v>0.24157568917064617</v>
      </c>
      <c r="I72" s="60">
        <f>IF(I$4="","",I11/I$4)</f>
        <v>0.32310963479403554</v>
      </c>
      <c r="J72" s="60">
        <f>IF(J$4="","",J11/J$4)</f>
        <v>0.30241973867076194</v>
      </c>
      <c r="K72" s="60">
        <f>IF(K$4="","",K11/K$4)</f>
        <v>0.25252901363525526</v>
      </c>
      <c r="L72" s="60">
        <f>IF(L$4="","",L11/L$4)</f>
        <v>0.27626753486578387</v>
      </c>
      <c r="M72" s="60">
        <f>IF(M$4="","",M11/M$4)</f>
        <v>0.2515984300275706</v>
      </c>
      <c r="N72" s="60">
        <f>IF(N$4="","",N11/N$4)</f>
        <v>0.25630135684995486</v>
      </c>
      <c r="O72" s="60">
        <f>IF(O$4="","",O11/O$4)</f>
        <v>0.27054880035889772</v>
      </c>
      <c r="P72" s="60">
        <f>IF(P$4="","",P11/P$4)</f>
        <v>0.24707389870767116</v>
      </c>
      <c r="Q72" s="60" t="str">
        <f>IF(Q$4="","",Q11/Q$4)</f>
        <v/>
      </c>
    </row>
    <row r="73" spans="1:17" ht="15.75" customHeight="1">
      <c r="A73" s="10"/>
      <c r="B73" s="2" t="s">
        <v>58</v>
      </c>
      <c r="C73" s="71">
        <f>ABS(C12/C$4)</f>
        <v>0.15672673239476206</v>
      </c>
      <c r="D73" s="25"/>
      <c r="E73" s="235"/>
      <c r="F73" s="25"/>
      <c r="G73" s="6">
        <f>IF(G$4="","",ABS(G12/G$4))</f>
        <v>2.8004711562231884E-2</v>
      </c>
      <c r="H73" s="6">
        <f>IF(H$4="","",ABS(H12/H$4))</f>
        <v>1.912174608040014E-2</v>
      </c>
      <c r="I73" s="6">
        <f>IF(I$4="","",ABS(I12/I$4))</f>
        <v>4.1998990101780709E-2</v>
      </c>
      <c r="J73" s="6">
        <f>IF(J$4="","",ABS(J12/J$4))</f>
        <v>3.647059570120384E-2</v>
      </c>
      <c r="K73" s="6">
        <f>IF(K$4="","",ABS(K12/K$4))</f>
        <v>2.9511200152894115E-2</v>
      </c>
      <c r="L73" s="6">
        <f>IF(L$4="","",ABS(L12/L$4))</f>
        <v>2.892719809253292E-2</v>
      </c>
      <c r="M73" s="6">
        <f>IF(M$4="","",ABS(M12/M$4))</f>
        <v>2.5249650747658715E-2</v>
      </c>
      <c r="N73" s="6">
        <f>IF(N$4="","",ABS(N12/N$4))</f>
        <v>2.7778217570969429E-2</v>
      </c>
      <c r="O73" s="6">
        <f>IF(O$4="","",ABS(O12/O$4))</f>
        <v>4.0621468687441542E-2</v>
      </c>
      <c r="P73" s="6">
        <f>IF(P$4="","",ABS(P12/P$4))</f>
        <v>4.920069382588721E-2</v>
      </c>
      <c r="Q73" s="6" t="str">
        <f>IF(Q$4="","",ABS(Q12/Q$4))</f>
        <v/>
      </c>
    </row>
    <row r="74" spans="1:17" ht="15.75" customHeight="1">
      <c r="A74" s="10"/>
      <c r="B74" s="36" t="str">
        <f>B13</f>
        <v>NCI’s Share of Profits</v>
      </c>
      <c r="C74" s="234">
        <f>MIN(BS!C62,MAX(G74:K74))</f>
        <v>3.6045412142480912E-3</v>
      </c>
      <c r="D74" s="25"/>
      <c r="E74" s="235"/>
      <c r="F74" s="25"/>
      <c r="G74" s="6">
        <f>IF(G$4="","",-G13/G$4)</f>
        <v>8.3179431994997598E-4</v>
      </c>
      <c r="H74" s="6">
        <f>IF(H$4="","",-H13/H$4)</f>
        <v>1.5411984106749475E-3</v>
      </c>
      <c r="I74" s="6">
        <f>IF(I$4="","",-I13/I$4)</f>
        <v>3.1544110042403557E-3</v>
      </c>
      <c r="J74" s="6">
        <f>IF(J$4="","",-J13/J$4)</f>
        <v>3.6045412142480912E-3</v>
      </c>
      <c r="K74" s="6">
        <f>IF(K$4="","",-K13/K$4)</f>
        <v>3.4763640197971518E-3</v>
      </c>
      <c r="L74" s="6">
        <f>IF(L$4="","",-L13/L$4)</f>
        <v>3.092588541106583E-3</v>
      </c>
      <c r="M74" s="6">
        <f>IF(M$4="","",-M13/M$4)</f>
        <v>2.309869982038451E-3</v>
      </c>
      <c r="N74" s="6">
        <f>IF(N$4="","",-N13/N$4)</f>
        <v>2.117604217792625E-3</v>
      </c>
      <c r="O74" s="6">
        <f>IF(O$4="","",-O13/O$4)</f>
        <v>2.0187998087007309E-3</v>
      </c>
      <c r="P74" s="6">
        <f>IF(P$4="","",-P13/P$4)</f>
        <v>1.730658040723204E-3</v>
      </c>
      <c r="Q74" s="6" t="str">
        <f>IF(Q$4="","",-Q13/Q$4)</f>
        <v/>
      </c>
    </row>
    <row r="75" spans="1:17" ht="15.75" customHeight="1">
      <c r="A75" s="10"/>
      <c r="B75" s="37" t="s">
        <v>124</v>
      </c>
      <c r="C75" s="72">
        <f>ABS(C14/C$4)</f>
        <v>0.46657565597003808</v>
      </c>
      <c r="D75" s="25"/>
      <c r="E75" s="235"/>
      <c r="F75" s="25"/>
      <c r="G75" s="60">
        <f>IF(G$4="","",ABS(G14/G$4))</f>
        <v>0.22454084081027237</v>
      </c>
      <c r="H75" s="60">
        <f>IF(H$4="","",ABS(H14/H$4))</f>
        <v>0.22091274467957109</v>
      </c>
      <c r="I75" s="60">
        <f>IF(I$4="","",ABS(I14/I$4))</f>
        <v>0.27795623368801448</v>
      </c>
      <c r="J75" s="60">
        <f>IF(J$4="","",ABS(J14/J$4))</f>
        <v>0.26234460175531005</v>
      </c>
      <c r="K75" s="60">
        <f>IF(K$4="","",ABS(K14/K$4))</f>
        <v>0.21954144946256401</v>
      </c>
      <c r="L75" s="60">
        <f>IF(L$4="","",ABS(L14/L$4))</f>
        <v>0.24424774823214437</v>
      </c>
      <c r="M75" s="60">
        <f>IF(M$4="","",ABS(M14/M$4))</f>
        <v>0.22403890929787343</v>
      </c>
      <c r="N75" s="60">
        <f>IF(N$4="","",ABS(N14/N$4))</f>
        <v>0.22640553506119282</v>
      </c>
      <c r="O75" s="60">
        <f>IF(O$4="","",ABS(O14/O$4))</f>
        <v>0.22790853186275548</v>
      </c>
      <c r="P75" s="60">
        <f>IF(P$4="","",ABS(P14/P$4))</f>
        <v>0.19614254684106075</v>
      </c>
      <c r="Q75" s="60" t="str">
        <f>IF(Q$4="","",ABS(Q14/Q$4))</f>
        <v/>
      </c>
    </row>
    <row r="76" spans="1:17" ht="15.75" customHeight="1">
      <c r="A76" s="10"/>
      <c r="B76" s="2" t="s">
        <v>60</v>
      </c>
      <c r="C76" s="71">
        <f>ABS(C15/C$4)</f>
        <v>1.7023354581551049E-7</v>
      </c>
      <c r="D76" s="25"/>
      <c r="E76" s="235"/>
      <c r="F76" s="25"/>
      <c r="G76" s="6">
        <f>IF(G$4="","",G15/G$4)</f>
        <v>0</v>
      </c>
      <c r="H76" s="6">
        <f>IF(H$4="","",H15/H$4)</f>
        <v>0</v>
      </c>
      <c r="I76" s="6">
        <f>IF(I$4="","",I15/I$4)</f>
        <v>0</v>
      </c>
      <c r="J76" s="6">
        <f>IF(J$4="","",J15/J$4)</f>
        <v>0</v>
      </c>
      <c r="K76" s="6">
        <f>IF(K$4="","",K15/K$4)</f>
        <v>0</v>
      </c>
      <c r="L76" s="6">
        <f>IF(L$4="","",L15/L$4)</f>
        <v>0</v>
      </c>
      <c r="M76" s="6">
        <f>IF(M$4="","",M15/M$4)</f>
        <v>0</v>
      </c>
      <c r="N76" s="6">
        <f>IF(N$4="","",N15/N$4)</f>
        <v>0</v>
      </c>
      <c r="O76" s="6">
        <f>IF(O$4="","",O15/O$4)</f>
        <v>0</v>
      </c>
      <c r="P76" s="6">
        <f>IF(P$4="","",P15/P$4)</f>
        <v>0</v>
      </c>
      <c r="Q76" s="6" t="str">
        <f>IF(Q$4="","",Q15/Q$4)</f>
        <v/>
      </c>
    </row>
    <row r="77" spans="1:17" ht="15.75" customHeight="1">
      <c r="A77" s="10"/>
      <c r="B77" s="2" t="s">
        <v>75</v>
      </c>
      <c r="C77" s="82">
        <f>MAX(AVERAGE(G77:J77),C76)</f>
        <v>1.7023354581551049E-7</v>
      </c>
      <c r="D77" s="25"/>
      <c r="E77" s="236" t="s">
        <v>268</v>
      </c>
      <c r="F77" s="25"/>
      <c r="G77" s="6">
        <f>IF(G$4="","",-G16/G$4)</f>
        <v>-6.4044585173179E-2</v>
      </c>
      <c r="H77" s="6">
        <f>IF(H$4="","",-H16/H$4)</f>
        <v>0</v>
      </c>
      <c r="I77" s="6">
        <f>IF(I$4="","",-I16/I$4)</f>
        <v>0</v>
      </c>
      <c r="J77" s="6">
        <f>IF(J$4="","",-J16/J$4)</f>
        <v>0</v>
      </c>
      <c r="K77" s="6">
        <f>IF(K$4="","",-K16/K$4)</f>
        <v>0</v>
      </c>
      <c r="L77" s="6">
        <f>IF(L$4="","",-L16/L$4)</f>
        <v>0</v>
      </c>
      <c r="M77" s="6">
        <f>IF(M$4="","",-M16/M$4)</f>
        <v>0</v>
      </c>
      <c r="N77" s="6">
        <f>IF(N$4="","",-N16/N$4)</f>
        <v>0</v>
      </c>
      <c r="O77" s="6">
        <f>IF(O$4="","",-O16/O$4)</f>
        <v>0</v>
      </c>
      <c r="P77" s="6">
        <f>IF(P$4="","",-P16/P$4)</f>
        <v>0</v>
      </c>
      <c r="Q77" s="6" t="str">
        <f>IF(Q$4="","",-Q16/Q$4)</f>
        <v/>
      </c>
    </row>
    <row r="78" spans="1:17" ht="15.75" customHeight="1">
      <c r="A78" s="10"/>
      <c r="B78" s="25" t="s">
        <v>49</v>
      </c>
      <c r="C78" s="234">
        <v>0</v>
      </c>
      <c r="D78" s="25"/>
      <c r="E78" s="237">
        <f>E17</f>
        <v>0</v>
      </c>
      <c r="F78" s="25"/>
      <c r="G78" s="202"/>
      <c r="H78" s="202"/>
      <c r="I78" s="202"/>
      <c r="J78" s="202"/>
      <c r="K78" s="202"/>
      <c r="L78" s="202"/>
      <c r="M78" s="202"/>
      <c r="N78" s="202"/>
      <c r="O78" s="202"/>
      <c r="P78" s="202"/>
      <c r="Q78" s="202"/>
    </row>
    <row r="79" spans="1:17" ht="15.75" customHeight="1">
      <c r="A79" s="10"/>
      <c r="B79" s="8" t="s">
        <v>91</v>
      </c>
      <c r="C79" s="71">
        <v>0</v>
      </c>
      <c r="E79" s="237">
        <f>E18</f>
        <v>0</v>
      </c>
      <c r="G79" s="148"/>
      <c r="H79" s="148"/>
      <c r="I79" s="148"/>
      <c r="J79" s="148"/>
      <c r="K79" s="148"/>
      <c r="L79" s="148"/>
      <c r="M79" s="148"/>
      <c r="N79" s="148"/>
      <c r="O79" s="148"/>
      <c r="P79" s="148"/>
      <c r="Q79" s="148"/>
    </row>
    <row r="80" spans="1:17" ht="15.75" customHeight="1">
      <c r="A80" s="10"/>
      <c r="B80" s="28" t="s">
        <v>112</v>
      </c>
      <c r="C80" s="72">
        <f>ABS(C19/C$4)</f>
        <v>2.6588595441531009E-8</v>
      </c>
      <c r="D80" s="69"/>
      <c r="E80" s="235"/>
      <c r="F80" s="69"/>
      <c r="G80" s="60">
        <f>IF(G$4="","",ABS(G19/G$4))</f>
        <v>2.4113038277727308E-8</v>
      </c>
      <c r="H80" s="60">
        <f>IF(H$4="","",ABS(H19/H$4))</f>
        <v>2.3781053017066609E-8</v>
      </c>
      <c r="I80" s="60">
        <f>IF(I$4="","",ABS(I19/I$4))</f>
        <v>3.4867929895648124E-8</v>
      </c>
      <c r="J80" s="60">
        <f>IF(J$4="","",ABS(J19/J$4))</f>
        <v>3.5152725212757979E-8</v>
      </c>
      <c r="K80" s="60">
        <f>IF(K$4="","",ABS(K19/K$4))</f>
        <v>3.1989994126584146E-8</v>
      </c>
      <c r="L80" s="60">
        <f>IF(L$4="","",ABS(L19/L$4))</f>
        <v>3.8662170178851239E-8</v>
      </c>
      <c r="M80" s="60">
        <f>IF(M$4="","",ABS(M19/M$4))</f>
        <v>3.7486783074220061E-8</v>
      </c>
      <c r="N80" s="60">
        <f>IF(N$4="","",ABS(N19/N$4))</f>
        <v>3.9941977198434194E-8</v>
      </c>
      <c r="O80" s="60">
        <f>IF(O$4="","",ABS(O19/O$4))</f>
        <v>4.4455055560258221E-8</v>
      </c>
      <c r="P80" s="60">
        <f>IF(P$4="","",ABS(P19/P$4))</f>
        <v>4.6627570110602837E-8</v>
      </c>
      <c r="Q80" s="60" t="str">
        <f>IF(Q$4="","",ABS(Q19/Q$4))</f>
        <v/>
      </c>
    </row>
    <row r="81" spans="1:17" ht="15.75" customHeight="1">
      <c r="A81" s="10"/>
      <c r="E81" s="238"/>
    </row>
    <row r="82" spans="1:17" ht="15.75" customHeight="1">
      <c r="A82" s="10"/>
      <c r="B82" s="59" t="s">
        <v>174</v>
      </c>
      <c r="E82" s="238"/>
    </row>
    <row r="83" spans="1:17" ht="15.75" customHeight="1">
      <c r="A83" s="10"/>
      <c r="B83" s="2" t="str">
        <f>"Dividend per share ("&amp;Market_currency&amp;")"</f>
        <v>Dividend per share (CNY)</v>
      </c>
      <c r="C83" s="107">
        <f>G83</f>
        <v>1.06</v>
      </c>
      <c r="E83" s="238"/>
      <c r="G83" s="106">
        <f>Data!C65</f>
        <v>1.06</v>
      </c>
      <c r="H83" s="106">
        <f>Data!D65</f>
        <v>0</v>
      </c>
      <c r="I83" s="106">
        <f>Data!E65</f>
        <v>0</v>
      </c>
      <c r="J83" s="106">
        <f>Data!F65</f>
        <v>0</v>
      </c>
      <c r="K83" s="106">
        <f>Data!G65</f>
        <v>0</v>
      </c>
      <c r="L83" s="106">
        <f>Data!H65</f>
        <v>0</v>
      </c>
      <c r="M83" s="106">
        <f>Data!I65</f>
        <v>0</v>
      </c>
      <c r="N83" s="106">
        <f>Data!J65</f>
        <v>0</v>
      </c>
      <c r="O83" s="106">
        <f>Data!K65</f>
        <v>0</v>
      </c>
      <c r="P83" s="106">
        <f>Data!L65</f>
        <v>0</v>
      </c>
      <c r="Q83" s="106" t="str">
        <f>Data!M65</f>
        <v/>
      </c>
    </row>
    <row r="84" spans="1:17" ht="15.75" customHeight="1">
      <c r="A84" s="10"/>
      <c r="B84" s="2" t="str">
        <f>"Dividend ("&amp;Market_currency&amp;")"</f>
        <v>Dividend (CNY)</v>
      </c>
      <c r="C84" s="68">
        <f>C83*Common_Shares/scaling_factor</f>
        <v>22020.769943020001</v>
      </c>
      <c r="E84" s="238"/>
      <c r="G84" s="68">
        <f t="shared" ref="G84:Q84" si="7">IF(G$4="","",G83*Common_Shares/scaling_factor)</f>
        <v>22020.769943020001</v>
      </c>
      <c r="H84" s="68">
        <f t="shared" si="7"/>
        <v>0</v>
      </c>
      <c r="I84" s="68">
        <f t="shared" si="7"/>
        <v>0</v>
      </c>
      <c r="J84" s="68">
        <f t="shared" si="7"/>
        <v>0</v>
      </c>
      <c r="K84" s="68">
        <f t="shared" si="7"/>
        <v>0</v>
      </c>
      <c r="L84" s="68">
        <f t="shared" si="7"/>
        <v>0</v>
      </c>
      <c r="M84" s="68">
        <f t="shared" si="7"/>
        <v>0</v>
      </c>
      <c r="N84" s="68">
        <f t="shared" si="7"/>
        <v>0</v>
      </c>
      <c r="O84" s="68">
        <f t="shared" si="7"/>
        <v>0</v>
      </c>
      <c r="P84" s="68">
        <f t="shared" si="7"/>
        <v>0</v>
      </c>
      <c r="Q84" s="68" t="str">
        <f t="shared" si="7"/>
        <v/>
      </c>
    </row>
    <row r="85" spans="1:17" ht="15.75" customHeight="1">
      <c r="A85" s="10"/>
      <c r="B85" s="2" t="s">
        <v>173</v>
      </c>
      <c r="C85" s="21">
        <f>C83/(C14*scaling_factor/Common_Shares)</f>
        <v>8.9635033435971331E-2</v>
      </c>
      <c r="E85" s="238"/>
      <c r="G85" s="149">
        <f>IF(G$4="","",G83/(G14*scaling_factor/Common_Shares))</f>
        <v>0.28522466087714526</v>
      </c>
      <c r="H85" s="149">
        <f>IF(H$4="","",H83/(H14*scaling_factor/Common_Shares))</f>
        <v>0</v>
      </c>
      <c r="I85" s="149">
        <f>IF(I$4="","",I83/(I14*scaling_factor/Common_Shares))</f>
        <v>0</v>
      </c>
      <c r="J85" s="149">
        <f>IF(J$4="","",J83/(J14*scaling_factor/Common_Shares))</f>
        <v>0</v>
      </c>
      <c r="K85" s="149">
        <f>IF(K$4="","",K83/(K14*scaling_factor/Common_Shares))</f>
        <v>0</v>
      </c>
      <c r="L85" s="149">
        <f>IF(L$4="","",L83/(L14*scaling_factor/Common_Shares))</f>
        <v>0</v>
      </c>
      <c r="M85" s="149">
        <f>IF(M$4="","",M83/(M14*scaling_factor/Common_Shares))</f>
        <v>0</v>
      </c>
      <c r="N85" s="149">
        <f>IF(N$4="","",N83/(N14*scaling_factor/Common_Shares))</f>
        <v>0</v>
      </c>
      <c r="O85" s="149">
        <f>IF(O$4="","",O83/(O14*scaling_factor/Common_Shares))</f>
        <v>0</v>
      </c>
      <c r="P85" s="149">
        <f>IF(P$4="","",P83/(P14*scaling_factor/Common_Shares))</f>
        <v>0</v>
      </c>
      <c r="Q85" s="149" t="str">
        <f>IF(Q$4="","",Q83/(Q14*scaling_factor/Common_Shares))</f>
        <v/>
      </c>
    </row>
    <row r="86" spans="1:17" ht="15.75" customHeight="1">
      <c r="A86" s="10"/>
      <c r="B86" s="2" t="s">
        <v>319</v>
      </c>
      <c r="C86" s="294">
        <v>0</v>
      </c>
      <c r="E86" s="238"/>
      <c r="G86" s="295"/>
      <c r="H86" s="295"/>
      <c r="I86" s="295"/>
      <c r="J86" s="295"/>
      <c r="K86" s="295"/>
      <c r="L86" s="295"/>
      <c r="M86" s="295"/>
      <c r="N86" s="295"/>
      <c r="O86" s="295"/>
      <c r="P86" s="295"/>
      <c r="Q86" s="295"/>
    </row>
    <row r="87" spans="1:17" ht="15.75" customHeight="1">
      <c r="A87" s="10"/>
      <c r="B87" s="2" t="s">
        <v>318</v>
      </c>
      <c r="C87" s="21">
        <f>(C83*(1-dividend_tax_rate))/Market_Price</f>
        <v>4.9648711943793909E-2</v>
      </c>
      <c r="E87" s="238"/>
      <c r="G87" s="21">
        <f t="shared" ref="G87:Q87" si="8">IF(G$4="","",(G83*(1-dividend_tax_rate))/Market_Price)</f>
        <v>4.9648711943793909E-2</v>
      </c>
      <c r="H87" s="21">
        <f t="shared" si="8"/>
        <v>0</v>
      </c>
      <c r="I87" s="21">
        <f t="shared" si="8"/>
        <v>0</v>
      </c>
      <c r="J87" s="21">
        <f t="shared" si="8"/>
        <v>0</v>
      </c>
      <c r="K87" s="21">
        <f t="shared" si="8"/>
        <v>0</v>
      </c>
      <c r="L87" s="21">
        <f t="shared" si="8"/>
        <v>0</v>
      </c>
      <c r="M87" s="21">
        <f t="shared" si="8"/>
        <v>0</v>
      </c>
      <c r="N87" s="21">
        <f t="shared" si="8"/>
        <v>0</v>
      </c>
      <c r="O87" s="21">
        <f t="shared" si="8"/>
        <v>0</v>
      </c>
      <c r="P87" s="21">
        <f t="shared" si="8"/>
        <v>0</v>
      </c>
      <c r="Q87" s="21" t="str">
        <f t="shared" si="8"/>
        <v/>
      </c>
    </row>
    <row r="88" spans="1:17" ht="15.75" customHeight="1">
      <c r="A88" s="10"/>
      <c r="E88" s="238"/>
    </row>
    <row r="89" spans="1:17" ht="15.75" customHeight="1">
      <c r="A89" s="10"/>
      <c r="B89" s="140" t="s">
        <v>79</v>
      </c>
      <c r="C89" s="57"/>
      <c r="D89" s="25"/>
      <c r="E89" s="235"/>
      <c r="F89" s="25"/>
      <c r="G89" s="12"/>
      <c r="H89" s="12"/>
      <c r="I89" s="12"/>
      <c r="J89" s="12"/>
      <c r="K89" s="12"/>
      <c r="L89" s="12"/>
      <c r="M89" s="12"/>
      <c r="N89" s="12"/>
      <c r="O89" s="12"/>
      <c r="P89" s="12"/>
      <c r="Q89" s="12"/>
    </row>
    <row r="90" spans="1:17" ht="15.75" customHeight="1">
      <c r="A90" s="10"/>
      <c r="B90" s="25" t="s">
        <v>116</v>
      </c>
      <c r="C90" s="71">
        <f>C4/G4-1</f>
        <v>0.53137854019456987</v>
      </c>
      <c r="D90" s="25"/>
      <c r="E90" s="235"/>
      <c r="F90" s="25"/>
      <c r="G90" s="6">
        <f>IF(H4="","",G4/H4-1)</f>
        <v>-1.502238748248963E-2</v>
      </c>
      <c r="H90" s="6">
        <f>IF(I4="","",H4/I4-1)</f>
        <v>6.1850182207540128E-2</v>
      </c>
      <c r="I90" s="6">
        <f>IF(J4="","",I4/J4-1)</f>
        <v>4.3114882059157589E-2</v>
      </c>
      <c r="J90" s="6">
        <f>IF(K4="","",J4/K4-1)</f>
        <v>3.848713910069268E-2</v>
      </c>
      <c r="K90" s="6">
        <f>IF(L4="","",K4/L4-1)</f>
        <v>0.12533883126851753</v>
      </c>
      <c r="L90" s="6">
        <f>IF(M4="","",L4/M4-1)</f>
        <v>-3.3299085661065986E-3</v>
      </c>
      <c r="M90" s="6">
        <f>IF(N4="","",M4/N4-1)</f>
        <v>7.0985259891388708E-2</v>
      </c>
      <c r="N90" s="6">
        <f>IF(O4="","",N4/O4-1)</f>
        <v>6.9261339348820616E-2</v>
      </c>
      <c r="O90" s="6">
        <f>IF(P4="","",O4/P4-1)</f>
        <v>-7.6934195927679583E-2</v>
      </c>
      <c r="P90" s="6" t="str">
        <f>IF(Q4="","",P4/Q4-1)</f>
        <v/>
      </c>
      <c r="Q90" s="6" t="str">
        <f>IF(R4="","",Q4/R4-1)</f>
        <v/>
      </c>
    </row>
    <row r="91" spans="1:17" ht="15.75" customHeight="1">
      <c r="A91" s="10"/>
      <c r="B91" s="64" t="s">
        <v>131</v>
      </c>
      <c r="C91" s="71">
        <f>C11/G11-1</f>
        <v>2.7889410051400358</v>
      </c>
      <c r="D91" s="25"/>
      <c r="E91" s="235"/>
      <c r="F91" s="25"/>
      <c r="G91" s="6">
        <f>IF(H7="","",G11/H11-1)</f>
        <v>3.3096562273950747E-2</v>
      </c>
      <c r="H91" s="6">
        <f>IF(I7="","",H11/I11-1)</f>
        <v>-0.20609860573709526</v>
      </c>
      <c r="I91" s="6">
        <f>IF(J7="","",I11/J11-1)</f>
        <v>0.11447906830343091</v>
      </c>
      <c r="J91" s="6">
        <f>IF(K7="","",J11/K11-1)</f>
        <v>0.2436551535159257</v>
      </c>
      <c r="K91" s="6">
        <f>IF(L7="","",K11/L11-1)</f>
        <v>2.8643141886903978E-2</v>
      </c>
      <c r="L91" s="6">
        <f>IF(M7="","",L11/M11-1)</f>
        <v>9.4393113680097507E-2</v>
      </c>
      <c r="M91" s="6">
        <f>IF(N7="","",M11/N11-1)</f>
        <v>5.1333528948465768E-2</v>
      </c>
      <c r="N91" s="6">
        <f>IF(O7="","",N11/O11-1)</f>
        <v>1.2952678920610028E-2</v>
      </c>
      <c r="O91" s="6">
        <f>IF(P7="","",O11/P11-1)</f>
        <v>1.0767819872240736E-2</v>
      </c>
      <c r="P91" s="6" t="str">
        <f>IF(Q7="","",P11/Q11-1)</f>
        <v/>
      </c>
      <c r="Q91" s="6" t="e">
        <f>IF(#REF!="","",Q11/R11-1)</f>
        <v>#REF!</v>
      </c>
    </row>
    <row r="92" spans="1:17" ht="15.75" customHeight="1">
      <c r="A92" s="10"/>
    </row>
    <row r="93" spans="1:17" ht="15.75" customHeight="1">
      <c r="A93" s="3"/>
      <c r="B93" s="49" t="s">
        <v>175</v>
      </c>
      <c r="C93" s="49"/>
      <c r="D93" s="51"/>
      <c r="E93" s="61" t="s">
        <v>55</v>
      </c>
      <c r="F93" s="51"/>
      <c r="G93" s="33"/>
      <c r="H93" s="33"/>
      <c r="I93" s="33"/>
      <c r="J93" s="33"/>
      <c r="K93" s="33"/>
      <c r="L93" s="33"/>
      <c r="M93" s="33"/>
      <c r="N93" s="33"/>
      <c r="O93" s="33"/>
      <c r="P93" s="33"/>
      <c r="Q93" s="33"/>
    </row>
    <row r="94" spans="1:17" ht="15.75" customHeight="1">
      <c r="A94" s="10"/>
      <c r="B94" s="59" t="s">
        <v>26</v>
      </c>
      <c r="E94" s="238"/>
      <c r="G94" s="91" t="s">
        <v>179</v>
      </c>
    </row>
    <row r="95" spans="1:17" ht="15.75" customHeight="1">
      <c r="A95" s="10"/>
      <c r="B95" s="24" t="s">
        <v>1</v>
      </c>
      <c r="C95" s="283">
        <f>BS!G32</f>
        <v>10507898</v>
      </c>
      <c r="D95" s="24"/>
      <c r="E95" s="239"/>
      <c r="F95" s="24"/>
      <c r="G95" s="273">
        <f t="shared" ref="G95:Q95" si="9">IF(G$4="","",G99+G98)</f>
        <v>10507898</v>
      </c>
      <c r="H95" s="273">
        <f t="shared" si="9"/>
        <v>10158326</v>
      </c>
      <c r="I95" s="273">
        <f t="shared" si="9"/>
        <v>9266671</v>
      </c>
      <c r="J95" s="273">
        <f t="shared" si="9"/>
        <v>8603024</v>
      </c>
      <c r="K95" s="273">
        <f t="shared" si="9"/>
        <v>7894000</v>
      </c>
      <c r="L95" s="273">
        <f t="shared" si="9"/>
        <v>7145681</v>
      </c>
      <c r="M95" s="273">
        <f t="shared" si="9"/>
        <v>6711657</v>
      </c>
      <c r="N95" s="273">
        <f t="shared" si="9"/>
        <v>6416842</v>
      </c>
      <c r="O95" s="273">
        <f t="shared" si="9"/>
        <v>6085895</v>
      </c>
      <c r="P95" s="273">
        <f t="shared" si="9"/>
        <v>5298880</v>
      </c>
      <c r="Q95" s="273" t="str">
        <f t="shared" si="9"/>
        <v/>
      </c>
    </row>
    <row r="96" spans="1:17" ht="15.75" customHeight="1">
      <c r="A96" s="10"/>
      <c r="B96" s="87" t="s">
        <v>170</v>
      </c>
      <c r="C96" s="284">
        <f>BS!C4</f>
        <v>0</v>
      </c>
      <c r="D96" s="83"/>
      <c r="E96" s="240"/>
      <c r="F96" s="83"/>
      <c r="G96" s="285">
        <f>IF(G$4="","",Data!D77)</f>
        <v>0</v>
      </c>
      <c r="H96" s="285">
        <f>IF(H$4="","",Data!E77)</f>
        <v>0</v>
      </c>
      <c r="I96" s="285">
        <f>IF(I$4="","",Data!F77)</f>
        <v>0</v>
      </c>
      <c r="J96" s="285">
        <f>IF(J$4="","",Data!G77)</f>
        <v>0</v>
      </c>
      <c r="K96" s="285">
        <f>IF(K$4="","",Data!H77)</f>
        <v>0</v>
      </c>
      <c r="L96" s="285">
        <f>IF(L$4="","",Data!I77)</f>
        <v>0</v>
      </c>
      <c r="M96" s="285">
        <f>IF(M$4="","",Data!J77)</f>
        <v>0</v>
      </c>
      <c r="N96" s="285">
        <f>IF(N$4="","",Data!K77)</f>
        <v>0</v>
      </c>
      <c r="O96" s="285">
        <f>IF(O$4="","",Data!L77)</f>
        <v>0</v>
      </c>
      <c r="P96" s="285">
        <f>IF(P$4="","",Data!M77)</f>
        <v>0</v>
      </c>
      <c r="Q96" s="285" t="str">
        <f>IF(Q$4="","",Data!N77)</f>
        <v/>
      </c>
    </row>
    <row r="97" spans="1:17" ht="15.75" customHeight="1">
      <c r="A97" s="10"/>
      <c r="B97" s="87" t="s">
        <v>171</v>
      </c>
      <c r="C97" s="284">
        <f>BS!C6+BS!C7</f>
        <v>0</v>
      </c>
      <c r="D97" s="83"/>
      <c r="E97" s="240"/>
      <c r="F97" s="83"/>
      <c r="G97" s="285">
        <f>IF(G$4="","",Data!D78)</f>
        <v>0</v>
      </c>
      <c r="H97" s="285">
        <f>IF(H$4="","",Data!E78)</f>
        <v>0</v>
      </c>
      <c r="I97" s="285">
        <f>IF(I$4="","",Data!F78)</f>
        <v>0</v>
      </c>
      <c r="J97" s="285">
        <f>IF(J$4="","",Data!G78)</f>
        <v>0</v>
      </c>
      <c r="K97" s="285">
        <f>IF(K$4="","",Data!H78)</f>
        <v>0</v>
      </c>
      <c r="L97" s="285">
        <f>IF(L$4="","",Data!I78)</f>
        <v>0</v>
      </c>
      <c r="M97" s="285">
        <f>IF(M$4="","",Data!J78)</f>
        <v>0</v>
      </c>
      <c r="N97" s="285">
        <f>IF(N$4="","",Data!K78)</f>
        <v>0</v>
      </c>
      <c r="O97" s="285">
        <f>IF(O$4="","",Data!L78)</f>
        <v>0</v>
      </c>
      <c r="P97" s="285">
        <f>IF(P$4="","",Data!M78)</f>
        <v>0</v>
      </c>
      <c r="Q97" s="285" t="str">
        <f>IF(Q$4="","",Data!N78)</f>
        <v/>
      </c>
    </row>
    <row r="98" spans="1:17" ht="15.75" customHeight="1">
      <c r="A98" s="10"/>
      <c r="B98" s="24" t="s">
        <v>38</v>
      </c>
      <c r="C98" s="283">
        <f>BS!G30</f>
        <v>9614287</v>
      </c>
      <c r="D98" s="24"/>
      <c r="E98" s="239"/>
      <c r="F98" s="24"/>
      <c r="G98" s="273">
        <f>Data!C79</f>
        <v>9614287</v>
      </c>
      <c r="H98" s="273">
        <f>Data!D79</f>
        <v>9350607</v>
      </c>
      <c r="I98" s="273">
        <f>Data!E79</f>
        <v>8509373</v>
      </c>
      <c r="J98" s="273">
        <f>Data!F79</f>
        <v>7908726</v>
      </c>
      <c r="K98" s="273">
        <f>Data!G79</f>
        <v>7269197</v>
      </c>
      <c r="L98" s="273">
        <f>Data!H79</f>
        <v>6596029</v>
      </c>
      <c r="M98" s="273">
        <f>Data!I79</f>
        <v>6239073</v>
      </c>
      <c r="N98" s="273">
        <f>Data!J79</f>
        <v>5994090</v>
      </c>
      <c r="O98" s="273">
        <f>Data!K79</f>
        <v>5731485</v>
      </c>
      <c r="P98" s="273">
        <f>Data!L79</f>
        <v>4981503</v>
      </c>
      <c r="Q98" s="273" t="str">
        <f>Data!M79</f>
        <v/>
      </c>
    </row>
    <row r="99" spans="1:17" ht="15.75" customHeight="1">
      <c r="A99" s="10"/>
      <c r="B99" s="24" t="s">
        <v>28</v>
      </c>
      <c r="C99" s="283">
        <f>BS!G27</f>
        <v>893611</v>
      </c>
      <c r="D99" s="24"/>
      <c r="E99" s="239"/>
      <c r="F99" s="24"/>
      <c r="G99" s="273">
        <f>Data!C80</f>
        <v>893611</v>
      </c>
      <c r="H99" s="273">
        <f>Data!D80</f>
        <v>807719</v>
      </c>
      <c r="I99" s="273">
        <f>Data!E80</f>
        <v>757298</v>
      </c>
      <c r="J99" s="273">
        <f>Data!F80</f>
        <v>694298</v>
      </c>
      <c r="K99" s="273">
        <f>Data!G80</f>
        <v>624803</v>
      </c>
      <c r="L99" s="273">
        <f>Data!H80</f>
        <v>549652</v>
      </c>
      <c r="M99" s="273">
        <f>Data!I80</f>
        <v>472584</v>
      </c>
      <c r="N99" s="273">
        <f>Data!J80</f>
        <v>422752</v>
      </c>
      <c r="O99" s="273">
        <f>Data!K80</f>
        <v>354410</v>
      </c>
      <c r="P99" s="273">
        <f>Data!L80</f>
        <v>317377</v>
      </c>
      <c r="Q99" s="273" t="str">
        <f>Data!M80</f>
        <v/>
      </c>
    </row>
    <row r="100" spans="1:17" ht="15.75" customHeight="1">
      <c r="A100" s="10"/>
      <c r="E100" s="238"/>
    </row>
    <row r="101" spans="1:17" ht="15.75" customHeight="1">
      <c r="A101" s="10"/>
      <c r="B101" s="85" t="s">
        <v>180</v>
      </c>
      <c r="C101" s="24"/>
      <c r="D101" s="24"/>
      <c r="E101" s="239"/>
      <c r="F101" s="24"/>
      <c r="G101" s="91" t="s">
        <v>179</v>
      </c>
      <c r="H101" s="12"/>
      <c r="I101" s="12"/>
      <c r="J101" s="12"/>
      <c r="K101" s="12"/>
      <c r="L101" s="12"/>
      <c r="M101" s="12"/>
      <c r="N101" s="12"/>
      <c r="O101" s="12"/>
      <c r="P101" s="12"/>
      <c r="Q101" s="12"/>
    </row>
    <row r="102" spans="1:17" ht="15.75" customHeight="1">
      <c r="A102" s="10"/>
      <c r="B102" s="24" t="s">
        <v>177</v>
      </c>
      <c r="C102" s="88">
        <f>C96/C$4</f>
        <v>0</v>
      </c>
      <c r="D102" s="24"/>
      <c r="E102" s="239"/>
      <c r="F102" s="24"/>
      <c r="G102" s="88">
        <f t="shared" ref="G102:Q102" si="10">IF(G$4="","",G96/G$4)</f>
        <v>0</v>
      </c>
      <c r="H102" s="88">
        <f t="shared" si="10"/>
        <v>0</v>
      </c>
      <c r="I102" s="88">
        <f t="shared" si="10"/>
        <v>0</v>
      </c>
      <c r="J102" s="88">
        <f t="shared" si="10"/>
        <v>0</v>
      </c>
      <c r="K102" s="88">
        <f t="shared" si="10"/>
        <v>0</v>
      </c>
      <c r="L102" s="88">
        <f t="shared" si="10"/>
        <v>0</v>
      </c>
      <c r="M102" s="88">
        <f t="shared" si="10"/>
        <v>0</v>
      </c>
      <c r="N102" s="88">
        <f t="shared" si="10"/>
        <v>0</v>
      </c>
      <c r="O102" s="88">
        <f t="shared" si="10"/>
        <v>0</v>
      </c>
      <c r="P102" s="88">
        <f t="shared" si="10"/>
        <v>0</v>
      </c>
      <c r="Q102" s="88" t="str">
        <f t="shared" si="10"/>
        <v/>
      </c>
    </row>
    <row r="103" spans="1:17" ht="15.75" customHeight="1">
      <c r="A103" s="10"/>
      <c r="B103" s="24" t="s">
        <v>178</v>
      </c>
      <c r="C103" s="88">
        <f>C97/C$4</f>
        <v>0</v>
      </c>
      <c r="D103" s="24"/>
      <c r="E103" s="239"/>
      <c r="F103" s="24"/>
      <c r="G103" s="88">
        <f t="shared" ref="G103:Q103" si="11">IF(G$4="","",G97/G$4)</f>
        <v>0</v>
      </c>
      <c r="H103" s="88">
        <f t="shared" si="11"/>
        <v>0</v>
      </c>
      <c r="I103" s="88">
        <f t="shared" si="11"/>
        <v>0</v>
      </c>
      <c r="J103" s="88">
        <f t="shared" si="11"/>
        <v>0</v>
      </c>
      <c r="K103" s="88">
        <f t="shared" si="11"/>
        <v>0</v>
      </c>
      <c r="L103" s="88">
        <f t="shared" si="11"/>
        <v>0</v>
      </c>
      <c r="M103" s="88">
        <f t="shared" si="11"/>
        <v>0</v>
      </c>
      <c r="N103" s="88">
        <f t="shared" si="11"/>
        <v>0</v>
      </c>
      <c r="O103" s="88">
        <f t="shared" si="11"/>
        <v>0</v>
      </c>
      <c r="P103" s="88">
        <f t="shared" si="11"/>
        <v>0</v>
      </c>
      <c r="Q103" s="88" t="str">
        <f t="shared" si="11"/>
        <v/>
      </c>
    </row>
    <row r="104" spans="1:17" ht="15.75" customHeight="1">
      <c r="A104" s="10"/>
      <c r="B104" s="24" t="s">
        <v>64</v>
      </c>
      <c r="C104" s="88">
        <f>BS!$G$38/C$4</f>
        <v>0</v>
      </c>
      <c r="D104" s="24"/>
      <c r="E104" s="239"/>
      <c r="F104" s="24"/>
      <c r="G104" s="88">
        <f>BS!$G$38/G$4</f>
        <v>0</v>
      </c>
      <c r="H104" s="183"/>
      <c r="I104" s="183"/>
      <c r="J104" s="183"/>
      <c r="K104" s="183"/>
      <c r="L104" s="183"/>
      <c r="M104" s="183"/>
      <c r="N104" s="183"/>
      <c r="O104" s="183"/>
      <c r="P104" s="183"/>
      <c r="Q104" s="183"/>
    </row>
    <row r="105" spans="1:17" ht="15.75" customHeight="1">
      <c r="A105" s="10"/>
      <c r="E105" s="238"/>
    </row>
    <row r="106" spans="1:17" ht="15.75" customHeight="1">
      <c r="A106" s="10"/>
      <c r="B106" s="59" t="s">
        <v>48</v>
      </c>
      <c r="E106" s="238"/>
    </row>
    <row r="107" spans="1:17" ht="15.75" customHeight="1">
      <c r="A107" s="10"/>
      <c r="B107" s="2" t="s">
        <v>292</v>
      </c>
      <c r="C107" s="148"/>
      <c r="E107" s="238"/>
      <c r="G107" s="254">
        <f>IF(G$4="","",Data!C$22/Data!C15)</f>
        <v>-3.0617491063478339</v>
      </c>
      <c r="H107" s="254">
        <f>IF(H$4="","",Data!D$22/Data!D15)</f>
        <v>5.5839621912586601</v>
      </c>
      <c r="I107" s="254">
        <f>IF(I$4="","",Data!E$22/Data!E15)</f>
        <v>-3.7287315774666174</v>
      </c>
      <c r="J107" s="254">
        <f>IF(J$4="","",Data!F$22/Data!F15)</f>
        <v>-4.6503173618402212</v>
      </c>
      <c r="K107" s="254">
        <f>IF(K$4="","",Data!G$22/Data!G15)</f>
        <v>-0.50572538821825919</v>
      </c>
      <c r="L107" s="254">
        <f>IF(L$4="","",Data!H$22/Data!H15)</f>
        <v>-8.8154628047135013</v>
      </c>
      <c r="M107" s="254">
        <f>IF(M$4="","",Data!I$22/Data!I15)</f>
        <v>-5.8143358641521754</v>
      </c>
      <c r="N107" s="254">
        <f>IF(N$4="","",Data!J$22/Data!J15)</f>
        <v>-2.817043387892959</v>
      </c>
      <c r="O107" s="254">
        <f>IF(O$4="","",Data!K$22/Data!K15)</f>
        <v>3.7369447972463048</v>
      </c>
      <c r="P107" s="254">
        <f>IF(P$4="","",Data!L$22/Data!L15)</f>
        <v>16.163731490621917</v>
      </c>
      <c r="Q107" s="254" t="str">
        <f>IF(Q$4="","",Data!M$22/Data!M15)</f>
        <v/>
      </c>
    </row>
    <row r="108" spans="1:17" ht="15.75" customHeight="1">
      <c r="A108" s="10"/>
      <c r="B108" s="2" t="s">
        <v>293</v>
      </c>
      <c r="C108" s="148"/>
      <c r="E108" s="238"/>
      <c r="G108" s="254">
        <f>IF(G$4="","",Data!C$22/G19)</f>
        <v>-28616653.623553719</v>
      </c>
      <c r="H108" s="254">
        <f>IF(H$4="","",Data!D$22/H19)</f>
        <v>52233784.879958257</v>
      </c>
      <c r="I108" s="254">
        <f>IF(I$4="","",Data!E$22/I19)</f>
        <v>-30061610.791434839</v>
      </c>
      <c r="J108" s="254">
        <f>IF(J$4="","",Data!F$22/J19)</f>
        <v>-35182134.797020249</v>
      </c>
      <c r="K108" s="254">
        <f>IF(K$4="","",Data!G$22/K19)</f>
        <v>-3525657.7371243658</v>
      </c>
      <c r="L108" s="254">
        <f>IF(L$4="","",Data!H$22/L19)</f>
        <v>-56396718.778156586</v>
      </c>
      <c r="M108" s="254">
        <f>IF(M$4="","",Data!I$22/M19)</f>
        <v>-35107515.696094133</v>
      </c>
      <c r="N108" s="254">
        <f>IF(N$4="","",Data!J$22/N19)</f>
        <v>-16117369.335227713</v>
      </c>
      <c r="O108" s="254">
        <f>IF(O$4="","",Data!K$22/O19)</f>
        <v>19327964.727649592</v>
      </c>
      <c r="P108" s="254">
        <f>IF(P$4="","",Data!L$22/P19)</f>
        <v>68593953.004870027</v>
      </c>
      <c r="Q108" s="254" t="str">
        <f>IF(Q$4="","",Data!M$22/Q19)</f>
        <v/>
      </c>
    </row>
    <row r="109" spans="1:17" ht="15.75" customHeight="1">
      <c r="A109" s="10"/>
      <c r="E109" s="238"/>
    </row>
    <row r="110" spans="1:17" ht="15.75" customHeight="1">
      <c r="A110" s="10"/>
      <c r="B110" s="85" t="s">
        <v>36</v>
      </c>
      <c r="C110" s="50"/>
      <c r="D110" s="50"/>
      <c r="E110" s="241"/>
      <c r="F110" s="50"/>
      <c r="G110" s="21" t="str">
        <f>IFERROR(IF(#REF!*G112*(1/#REF!)=G114,"","Error"),"")</f>
        <v/>
      </c>
      <c r="H110" s="21" t="str">
        <f>IFERROR(IF(#REF!*H112*(1/#REF!)=H114,"","Error"),"")</f>
        <v/>
      </c>
      <c r="I110" s="21" t="str">
        <f>IFERROR(IF(#REF!*I112*(1/#REF!)=I114,"","Error"),"")</f>
        <v/>
      </c>
      <c r="J110" s="21" t="str">
        <f>IFERROR(IF(#REF!*J112*(1/#REF!)=J114,"","Error"),"")</f>
        <v/>
      </c>
      <c r="K110" s="21" t="str">
        <f>IFERROR(IF(#REF!*K112*(1/#REF!)=K114,"","Error"),"")</f>
        <v/>
      </c>
      <c r="L110" s="21" t="str">
        <f>IFERROR(IF(#REF!*L112*(1/#REF!)=L114,"","Error"),"")</f>
        <v/>
      </c>
      <c r="M110" s="21" t="str">
        <f>IFERROR(IF(#REF!*M112*(1/#REF!)=M114,"","Error"),"")</f>
        <v/>
      </c>
      <c r="N110" s="21" t="str">
        <f>IFERROR(IF(#REF!*N112*(1/#REF!)=N114,"","Error"),"")</f>
        <v/>
      </c>
      <c r="O110" s="21" t="str">
        <f>IFERROR(IF(#REF!*O112*(1/#REF!)=O114,"","Error"),"")</f>
        <v/>
      </c>
      <c r="P110" s="21" t="str">
        <f>IFERROR(IF(#REF!*P112*(1/#REF!)=P114,"","Error"),"")</f>
        <v/>
      </c>
      <c r="Q110" s="21" t="str">
        <f>IFERROR(IF(#REF!*Q112*(1/#REF!)=Q114,"","Error"),"")</f>
        <v/>
      </c>
    </row>
    <row r="111" spans="1:17" ht="15.75" customHeight="1">
      <c r="A111" s="10"/>
      <c r="B111" s="7" t="s">
        <v>181</v>
      </c>
      <c r="C111" s="21">
        <f>C72</f>
        <v>0.62690692957904826</v>
      </c>
      <c r="E111" s="238"/>
      <c r="G111" s="21">
        <f>IF(G4="","",G72)</f>
        <v>0.25337734669245421</v>
      </c>
      <c r="H111" s="21">
        <f>IF(H4="","",H72)</f>
        <v>0.24157568917064617</v>
      </c>
      <c r="I111" s="21">
        <f>IF(I4="","",I72)</f>
        <v>0.32310963479403554</v>
      </c>
      <c r="J111" s="21">
        <f>IF(J4="","",J72)</f>
        <v>0.30241973867076194</v>
      </c>
      <c r="K111" s="21">
        <f>IF(K4="","",K72)</f>
        <v>0.25252901363525526</v>
      </c>
      <c r="L111" s="21">
        <f>IF(L4="","",L72)</f>
        <v>0.27626753486578387</v>
      </c>
      <c r="M111" s="21">
        <f>IF(M4="","",M72)</f>
        <v>0.2515984300275706</v>
      </c>
      <c r="N111" s="21">
        <f>IF(N4="","",N72)</f>
        <v>0.25630135684995486</v>
      </c>
      <c r="O111" s="21">
        <f>IF(O4="","",O72)</f>
        <v>0.27054880035889772</v>
      </c>
      <c r="P111" s="21">
        <f>IF(P4="","",P72)</f>
        <v>0.24707389870767116</v>
      </c>
      <c r="Q111" s="21" t="str">
        <f>IF(Q4="","",Q72)</f>
        <v/>
      </c>
    </row>
    <row r="112" spans="1:17" ht="15.75" customHeight="1">
      <c r="B112" s="7" t="s">
        <v>78</v>
      </c>
      <c r="C112" s="38">
        <f>C4/C95</f>
        <v>5.0109121764200598E-2</v>
      </c>
      <c r="E112" s="238"/>
      <c r="G112" s="38">
        <f>IF(G4="","",G4/G95)</f>
        <v>3.2721577617140937E-2</v>
      </c>
      <c r="H112" s="38">
        <f>IF(H4="","",H4/H95)</f>
        <v>3.4363831206047135E-2</v>
      </c>
      <c r="I112" s="38">
        <f>IF(I4="","",I4/I95)</f>
        <v>3.54761704607836E-2</v>
      </c>
      <c r="J112" s="38">
        <f>IF(J4="","",J4/J95)</f>
        <v>3.6633397744792996E-2</v>
      </c>
      <c r="K112" s="38">
        <f>IF(K4="","",K4/K95)</f>
        <v>3.8444134785913353E-2</v>
      </c>
      <c r="L112" s="38">
        <f>IF(L4="","",L4/L95)</f>
        <v>3.7739859923777735E-2</v>
      </c>
      <c r="M112" s="38">
        <f>IF(M4="","",M4/M95)</f>
        <v>4.031463467218304E-2</v>
      </c>
      <c r="N112" s="38">
        <f>IF(N4="","",N4/N95)</f>
        <v>3.9372015081561927E-2</v>
      </c>
      <c r="O112" s="38">
        <f>IF(O4="","",O4/O95)</f>
        <v>3.8824034920089817E-2</v>
      </c>
      <c r="P112" s="38">
        <f>IF(P4="","",P4/P95)</f>
        <v>4.8306812005555894E-2</v>
      </c>
      <c r="Q112" s="38" t="str">
        <f>IF(Q4="","",Q4/Q95)</f>
        <v/>
      </c>
    </row>
    <row r="113" spans="1:17" ht="15.75" customHeight="1">
      <c r="B113" s="7" t="s">
        <v>85</v>
      </c>
      <c r="C113" s="14">
        <f>C95/C99</f>
        <v>11.758917470801054</v>
      </c>
      <c r="D113" s="11"/>
      <c r="E113" s="242"/>
      <c r="F113" s="11"/>
      <c r="G113" s="14">
        <f t="shared" ref="G113:Q113" si="12">IF(G$4="","",G95/G99)</f>
        <v>11.758917470801054</v>
      </c>
      <c r="H113" s="14">
        <f t="shared" si="12"/>
        <v>12.576559422274331</v>
      </c>
      <c r="I113" s="14">
        <f t="shared" si="12"/>
        <v>12.236492107466281</v>
      </c>
      <c r="J113" s="14">
        <f t="shared" si="12"/>
        <v>12.39096756724058</v>
      </c>
      <c r="K113" s="14">
        <f t="shared" si="12"/>
        <v>12.634382357319026</v>
      </c>
      <c r="L113" s="14">
        <f t="shared" si="12"/>
        <v>13.000372963256751</v>
      </c>
      <c r="M113" s="14">
        <f t="shared" si="12"/>
        <v>14.202040272205576</v>
      </c>
      <c r="N113" s="14">
        <f t="shared" si="12"/>
        <v>15.178738361971085</v>
      </c>
      <c r="O113" s="14">
        <f t="shared" si="12"/>
        <v>17.171905420275952</v>
      </c>
      <c r="P113" s="14">
        <f t="shared" si="12"/>
        <v>16.695853826836853</v>
      </c>
      <c r="Q113" s="14" t="str">
        <f t="shared" si="12"/>
        <v/>
      </c>
    </row>
    <row r="114" spans="1:17" ht="15.75" customHeight="1">
      <c r="A114" s="10"/>
      <c r="B114" s="64" t="s">
        <v>182</v>
      </c>
      <c r="C114" s="96">
        <f>C11/C99</f>
        <v>0.36939176036082805</v>
      </c>
      <c r="D114" s="97"/>
      <c r="E114" s="241"/>
      <c r="F114" s="97"/>
      <c r="G114" s="96">
        <f>IF(G$4="","",G11/G99)</f>
        <v>9.7492085482385513E-2</v>
      </c>
      <c r="H114" s="96">
        <f>IF(H$4="","",H11/H99)</f>
        <v>0.10440388303357975</v>
      </c>
      <c r="I114" s="96">
        <f>IF(I$4="","",I11/I99)</f>
        <v>0.14026314607987872</v>
      </c>
      <c r="J114" s="96">
        <f>IF(J$4="","",J11/J99)</f>
        <v>0.13727534862551816</v>
      </c>
      <c r="K114" s="96">
        <f>IF(K$4="","",K11/K99)</f>
        <v>0.12265786175802613</v>
      </c>
      <c r="L114" s="96">
        <f>IF(L$4="","",L11/L99)</f>
        <v>0.1355457635012699</v>
      </c>
      <c r="M114" s="96">
        <f>IF(M$4="","",M11/M99)</f>
        <v>0.14405269750986069</v>
      </c>
      <c r="N114" s="96">
        <f>IF(N$4="","",N11/N99)</f>
        <v>0.15317018015290287</v>
      </c>
      <c r="O114" s="96">
        <f>IF(O$4="","",O11/O99)</f>
        <v>0.18037019271465252</v>
      </c>
      <c r="P114" s="96">
        <f>IF(P$4="","",P11/P99)</f>
        <v>0.19927089864735001</v>
      </c>
      <c r="Q114" s="96" t="str">
        <f>IF(Q$4="","",Q11/Q99)</f>
        <v/>
      </c>
    </row>
    <row r="115" spans="1:17" ht="15.75" customHeight="1">
      <c r="A115" s="10"/>
      <c r="B115" s="25"/>
      <c r="C115" s="57"/>
      <c r="D115" s="25"/>
      <c r="E115" s="62"/>
      <c r="F115" s="25"/>
      <c r="G115" s="12"/>
      <c r="H115" s="12"/>
      <c r="I115" s="12"/>
      <c r="J115" s="12"/>
      <c r="K115" s="12"/>
      <c r="L115" s="12"/>
      <c r="M115" s="12"/>
      <c r="N115" s="12"/>
      <c r="O115" s="12"/>
      <c r="P115" s="12"/>
      <c r="Q115" s="12"/>
    </row>
    <row r="116" spans="1:17" ht="15.75" customHeight="1">
      <c r="A116" s="10"/>
      <c r="B116" s="49" t="s">
        <v>183</v>
      </c>
      <c r="C116" s="49"/>
      <c r="D116" s="51"/>
      <c r="E116" s="61" t="s">
        <v>55</v>
      </c>
      <c r="F116" s="51"/>
      <c r="G116" s="33"/>
      <c r="H116" s="33"/>
      <c r="I116" s="33"/>
      <c r="J116" s="33"/>
      <c r="K116" s="33"/>
      <c r="L116" s="33"/>
      <c r="M116" s="33"/>
      <c r="N116" s="33"/>
      <c r="O116" s="33"/>
      <c r="P116" s="33"/>
      <c r="Q116" s="33"/>
    </row>
    <row r="117" spans="1:17" ht="15.75" customHeight="1">
      <c r="A117" s="10"/>
      <c r="B117" s="157" t="s">
        <v>135</v>
      </c>
      <c r="C117" s="158"/>
      <c r="D117" s="25"/>
      <c r="E117" s="235"/>
      <c r="F117" s="25"/>
      <c r="G117" s="12"/>
      <c r="H117" s="12"/>
      <c r="I117" s="12"/>
      <c r="J117" s="12"/>
      <c r="K117" s="12"/>
      <c r="L117" s="12"/>
      <c r="M117" s="12"/>
      <c r="N117" s="12"/>
      <c r="O117" s="12"/>
      <c r="P117" s="12"/>
      <c r="Q117" s="12"/>
    </row>
    <row r="118" spans="1:17" ht="15.75" customHeight="1">
      <c r="A118" s="10"/>
      <c r="B118" s="25" t="str">
        <f>"FCFE per share ("&amp;Market_currency&amp;")"</f>
        <v>FCFE per share (CNY)</v>
      </c>
      <c r="C118" s="156">
        <f>C14*$C$3/Common_Shares*Exchange_Rate</f>
        <v>11.825733302784855</v>
      </c>
      <c r="D118" s="25"/>
      <c r="E118" s="235"/>
      <c r="F118" s="25"/>
      <c r="G118" s="156">
        <f>IF(G$4="","",G14*$C$3/Common_Shares*Exchange_Rate)</f>
        <v>3.7163686924552906</v>
      </c>
      <c r="H118" s="156">
        <f>IF(H$4="","",H14*$C$3/Common_Shares*Exchange_Rate)</f>
        <v>3.71208455524101</v>
      </c>
      <c r="I118" s="156">
        <f>IF(I$4="","",I14*$C$3/Common_Shares*Exchange_Rate)</f>
        <v>4.3985573733629568</v>
      </c>
      <c r="J118" s="156">
        <f>IF(J$4="","",J14*$C$3/Common_Shares*Exchange_Rate)</f>
        <v>3.9799153356933283</v>
      </c>
      <c r="K118" s="156">
        <f>IF(K$4="","",K14*$C$3/Common_Shares*Exchange_Rate)</f>
        <v>3.207134000434249</v>
      </c>
      <c r="L118" s="156">
        <f>IF(L$4="","",L14*$C$3/Common_Shares*Exchange_Rate)</f>
        <v>3.1706466295530742</v>
      </c>
      <c r="M118" s="156">
        <f>IF(M$4="","",M14*$C$3/Common_Shares*Exchange_Rate)</f>
        <v>2.9180269430301111</v>
      </c>
      <c r="N118" s="156">
        <f>IF(N$4="","",N14*$C$3/Common_Shares*Exchange_Rate)</f>
        <v>2.7534005467060765</v>
      </c>
      <c r="O118" s="156">
        <f>IF(O$4="","",O14*$C$3/Common_Shares*Exchange_Rate)</f>
        <v>2.5921436965056328</v>
      </c>
      <c r="P118" s="156">
        <f>IF(P$4="","",P14*$C$3/Common_Shares*Exchange_Rate)</f>
        <v>2.4167828889593004</v>
      </c>
      <c r="Q118" s="156" t="str">
        <f>IF(Q$4="","",Q14*$C$3/Common_Shares*Exchange_Rate)</f>
        <v/>
      </c>
    </row>
    <row r="119" spans="1:17" ht="15.75" customHeight="1">
      <c r="A119" s="10"/>
      <c r="B119" s="25" t="s">
        <v>216</v>
      </c>
      <c r="C119" s="71">
        <f>C19*Exchange_Rate*$C$3/(Market_Price*Common_Shares)</f>
        <v>3.1564834881417818E-8</v>
      </c>
      <c r="D119" s="25"/>
      <c r="E119" s="235"/>
      <c r="F119" s="25"/>
      <c r="G119" s="71">
        <f t="shared" ref="G119" si="13">IF(G$4="","",G118/Market_Price)</f>
        <v>0.17406879121570445</v>
      </c>
      <c r="H119" s="71">
        <f t="shared" ref="H119" si="14">IF(H$4="","",H118/Market_Price)</f>
        <v>0.17386812905110116</v>
      </c>
      <c r="I119" s="71">
        <f t="shared" ref="I119" si="15">IF(I$4="","",I118/Market_Price)</f>
        <v>0.20602142263995113</v>
      </c>
      <c r="J119" s="71">
        <f t="shared" ref="J119" si="16">IF(J$4="","",J118/Market_Price)</f>
        <v>0.18641289628540178</v>
      </c>
      <c r="K119" s="71">
        <f t="shared" ref="K119" si="17">IF(K$4="","",K118/Market_Price)</f>
        <v>0.15021704920066739</v>
      </c>
      <c r="L119" s="71">
        <f t="shared" ref="L119" si="18">IF(L$4="","",L118/Market_Price)</f>
        <v>0.14850803885494493</v>
      </c>
      <c r="M119" s="71">
        <f t="shared" ref="M119" si="19">IF(M$4="","",M118/Market_Price)</f>
        <v>0.13667573503653915</v>
      </c>
      <c r="N119" s="71">
        <f t="shared" ref="N119" si="20">IF(N$4="","",N118/Market_Price)</f>
        <v>0.12896489680122136</v>
      </c>
      <c r="O119" s="71">
        <f t="shared" ref="O119" si="21">IF(O$4="","",O118/Market_Price)</f>
        <v>0.12141188274031066</v>
      </c>
      <c r="P119" s="71">
        <f t="shared" ref="P119" si="22">IF(P$4="","",P118/Market_Price)</f>
        <v>0.11319826177795317</v>
      </c>
      <c r="Q119" s="71" t="str">
        <f t="shared" ref="Q119" si="23">IF(Q$4="","",Q118/Market_Price)</f>
        <v/>
      </c>
    </row>
    <row r="120" spans="1:17" ht="15.75" customHeight="1">
      <c r="B120" s="2" t="s">
        <v>295</v>
      </c>
      <c r="C120" s="148"/>
      <c r="G120" s="21">
        <f>IF(G$4="","",(Data!C47*$C$3)/(Market_Price*Common_Shares))</f>
        <v>0.17471361569971058</v>
      </c>
      <c r="H120" s="21">
        <f>IF(H$4="","",(Data!D47*$C$3)/(Market_Price*Common_Shares))</f>
        <v>0.17508112056297279</v>
      </c>
      <c r="I120" s="21">
        <f>IF(I$4="","",(Data!E47*$C$3)/(Market_Price*Common_Shares))</f>
        <v>0.20835947505223901</v>
      </c>
      <c r="J120" s="21">
        <f>IF(J$4="","",(Data!F47*$C$3)/(Market_Price*Common_Shares))</f>
        <v>0.18897415717292254</v>
      </c>
      <c r="K120" s="21">
        <f>IF(K$4="","",(Data!G47*$C$3)/(Market_Price*Common_Shares))</f>
        <v>0.15259568497208853</v>
      </c>
      <c r="L120" s="21">
        <f>IF(L$4="","",(Data!H47*$C$3)/(Market_Price*Common_Shares))</f>
        <v>0.15038840116145225</v>
      </c>
      <c r="M120" s="21">
        <f>IF(M$4="","",(Data!I47*$C$3)/(Market_Price*Common_Shares))</f>
        <v>0.13808487945088815</v>
      </c>
      <c r="N120" s="21">
        <f>IF(N$4="","",(Data!J47*$C$3)/(Market_Price*Common_Shares))</f>
        <v>0.13017112441990411</v>
      </c>
      <c r="O120" s="21">
        <f>IF(O$4="","",(Data!K47*$C$3)/(Market_Price*Common_Shares))</f>
        <v>0.12248734175734184</v>
      </c>
      <c r="P120" s="21">
        <f>IF(P$4="","",(Data!L47*$C$3)/(Market_Price*Common_Shares))</f>
        <v>0.11419706333884375</v>
      </c>
      <c r="Q120" s="21" t="str">
        <f>IF(Q$4="","",(Data!M47*$C$3)/(Market_Price*Common_Shares))</f>
        <v/>
      </c>
    </row>
    <row r="121" spans="1:17" ht="15.75" customHeight="1"/>
    <row r="122" spans="1:17" ht="15.75" customHeight="1"/>
    <row r="123" spans="1:17" ht="15.75" customHeight="1"/>
    <row r="124" spans="1:17" ht="15.75" customHeight="1"/>
    <row r="125" spans="1:17" ht="15.75" customHeight="1"/>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sheetData>
  <phoneticPr fontId="2" type="noConversion"/>
  <conditionalFormatting sqref="G13:Q16 G4:Q11">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B1" zoomScale="76" zoomScaleNormal="100" workbookViewId="0">
      <selection activeCell="F19" sqref="F19"/>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2" t="s">
        <v>527</v>
      </c>
      <c r="C2" s="33"/>
      <c r="D2" s="33"/>
      <c r="E2" s="33"/>
      <c r="F2" s="33"/>
      <c r="G2" s="33"/>
      <c r="H2" s="33"/>
      <c r="I2" s="33"/>
      <c r="J2" s="33"/>
      <c r="K2" s="33"/>
      <c r="L2" s="33"/>
    </row>
    <row r="3" spans="2:15" ht="13.15">
      <c r="B3" s="103" t="s">
        <v>526</v>
      </c>
      <c r="C3" s="101">
        <f>scaling_factor</f>
        <v>1000000</v>
      </c>
      <c r="E3" s="453"/>
      <c r="F3" s="454"/>
      <c r="H3" s="103" t="s">
        <v>400</v>
      </c>
    </row>
    <row r="4" spans="2:15">
      <c r="B4" s="94" t="s">
        <v>532</v>
      </c>
      <c r="C4" s="278">
        <f>Normalized_FCF!C16</f>
        <v>22020.769943020005</v>
      </c>
      <c r="D4" t="str">
        <f>Reporting_currency</f>
        <v>CNY</v>
      </c>
      <c r="E4" s="319"/>
      <c r="F4" s="307"/>
      <c r="H4" s="310" t="str">
        <f>Normalized_FCF!B4</f>
        <v>Investment Income</v>
      </c>
      <c r="I4" s="307">
        <f>Normalized_FCF!C4</f>
        <v>526541.54036779993</v>
      </c>
      <c r="J4" s="307"/>
    </row>
    <row r="5" spans="2:15">
      <c r="B5" s="184" t="s">
        <v>100</v>
      </c>
      <c r="C5" s="185">
        <f>Equity_Cost</f>
        <v>7.4999999999999997E-2</v>
      </c>
      <c r="E5" s="319"/>
      <c r="F5" s="307"/>
      <c r="H5" s="310" t="str">
        <f>Normalized_FCF!B7</f>
        <v>Debt Cost</v>
      </c>
      <c r="I5" s="307">
        <f>Normalized_FCF!C7</f>
        <v>-195728</v>
      </c>
      <c r="J5" s="307"/>
    </row>
    <row r="6" spans="2:15" ht="13.25" customHeight="1">
      <c r="B6" s="133" t="s">
        <v>408</v>
      </c>
      <c r="C6" s="286">
        <f>(C4*(1+Terminal_Growth))/(Equity_Cost-Terminal_Growth)</f>
        <v>293610.2659069334</v>
      </c>
      <c r="D6" t="str">
        <f>Reporting_currency</f>
        <v>CNY</v>
      </c>
      <c r="E6" s="319"/>
      <c r="F6" s="307"/>
      <c r="H6" s="310" t="s">
        <v>401</v>
      </c>
      <c r="I6" s="307">
        <f>I7+I8</f>
        <v>7.1605899066782927E-2</v>
      </c>
      <c r="J6" s="307"/>
      <c r="N6" s="132"/>
    </row>
    <row r="7" spans="2:15" ht="12.75" customHeight="1" thickBot="1">
      <c r="B7" s="186" t="str">
        <f>"*"&amp;Thesis!E15</f>
        <v>*CNY</v>
      </c>
      <c r="C7" s="187">
        <f>Exchange_Rate</f>
        <v>1</v>
      </c>
      <c r="D7" t="str">
        <f>Thesis!E15</f>
        <v>CNY</v>
      </c>
      <c r="E7" s="137"/>
      <c r="F7" s="455"/>
      <c r="H7" s="314" t="str">
        <f>Normalized_FCF!B42</f>
        <v>Interest Yield/AUM</v>
      </c>
      <c r="I7" s="457">
        <f>Normalized_FCF!C42</f>
        <v>5.1039038960584003E-2</v>
      </c>
      <c r="J7" s="315"/>
      <c r="N7" s="306"/>
      <c r="O7" s="306"/>
    </row>
    <row r="8" spans="2:15" ht="13.5" thickTop="1">
      <c r="B8" s="104" t="s">
        <v>409</v>
      </c>
      <c r="C8" s="286">
        <f>C6*Exchange_Rate</f>
        <v>293610.2659069334</v>
      </c>
      <c r="D8" t="str">
        <f>Market_currency</f>
        <v>CNY</v>
      </c>
      <c r="E8" s="137"/>
      <c r="F8" s="105"/>
      <c r="G8" s="296"/>
      <c r="H8" s="314" t="str">
        <f>Normalized_FCF!B43</f>
        <v>Interest Rate/Debt</v>
      </c>
      <c r="I8" s="457">
        <f>Normalized_FCF!C43</f>
        <v>2.0566860106198924E-2</v>
      </c>
      <c r="J8" s="315"/>
      <c r="N8" s="306"/>
      <c r="O8" s="306"/>
    </row>
    <row r="9" spans="2:15" ht="13.15">
      <c r="B9" s="133" t="s">
        <v>407</v>
      </c>
      <c r="C9" s="105">
        <f>(C8*scaling_factor)/Common_Shares</f>
        <v>14.133333333333336</v>
      </c>
      <c r="D9" t="str">
        <f>Market_currency</f>
        <v>CNY</v>
      </c>
      <c r="F9" s="323"/>
      <c r="H9" s="456" t="str">
        <f>Normalized_FCF!B19</f>
        <v>Pre-tax Profit/Assets</v>
      </c>
      <c r="I9" s="141">
        <f>Normalized_FCF!C19</f>
        <v>1.4E-2</v>
      </c>
      <c r="J9" s="308"/>
      <c r="N9" s="306"/>
      <c r="O9" s="306"/>
    </row>
    <row r="10" spans="2:15">
      <c r="H10" s="310" t="s">
        <v>383</v>
      </c>
      <c r="I10" s="308">
        <f>Normalized_FCF!C47</f>
        <v>0.25</v>
      </c>
      <c r="N10" s="306"/>
      <c r="O10" s="306"/>
    </row>
    <row r="11" spans="2:15">
      <c r="E11" s="309"/>
      <c r="I11" s="309"/>
      <c r="J11" s="309"/>
    </row>
    <row r="13" spans="2:15" ht="13.9">
      <c r="B13" s="32" t="s">
        <v>528</v>
      </c>
      <c r="C13" s="33"/>
      <c r="D13" s="33"/>
      <c r="E13" s="33"/>
      <c r="F13" s="33"/>
      <c r="G13" s="33"/>
      <c r="H13" s="33"/>
      <c r="I13" s="33"/>
      <c r="J13" s="33"/>
      <c r="K13" s="33"/>
      <c r="L13" s="33"/>
    </row>
    <row r="14" spans="2:15" ht="13.15">
      <c r="B14" s="103" t="s">
        <v>384</v>
      </c>
      <c r="C14" s="311" t="s">
        <v>391</v>
      </c>
      <c r="E14" s="103" t="s">
        <v>384</v>
      </c>
      <c r="F14" s="311" t="str">
        <f>IF(F17=C17,"I","II")</f>
        <v>I</v>
      </c>
      <c r="H14" s="103" t="s">
        <v>399</v>
      </c>
    </row>
    <row r="15" spans="2:15">
      <c r="B15" s="136" t="s">
        <v>405</v>
      </c>
      <c r="C15" s="145">
        <f>Scenarios!C45</f>
        <v>30</v>
      </c>
      <c r="E15" s="310" t="str">
        <f>IF(F14="II","Change year","Terminal Year")</f>
        <v>Terminal Year</v>
      </c>
      <c r="F15" s="312">
        <f>IF(F14="II",_xlfn.CEILING.MATH(C15/2),C15+1)</f>
        <v>31</v>
      </c>
      <c r="H15" s="94" t="s">
        <v>410</v>
      </c>
      <c r="I15" s="123">
        <f>Terminal_Growth</f>
        <v>0</v>
      </c>
      <c r="J15" s="123"/>
    </row>
    <row r="16" spans="2:15" ht="13.25" customHeight="1">
      <c r="B16" s="111" t="s">
        <v>406</v>
      </c>
      <c r="C16" s="144">
        <f>Scenarios!C46</f>
        <v>1.8613012126595961E-2</v>
      </c>
      <c r="E16" s="310" t="s">
        <v>385</v>
      </c>
      <c r="F16" s="313">
        <f>Scenarios!C41</f>
        <v>1.8613012126595961E-2</v>
      </c>
    </row>
    <row r="17" spans="1:21" ht="13.25" customHeight="1">
      <c r="B17" s="310" t="s">
        <v>381</v>
      </c>
      <c r="C17" s="308"/>
      <c r="E17" s="310" t="s">
        <v>386</v>
      </c>
      <c r="F17" s="313">
        <f>Scenarios!C40</f>
        <v>0</v>
      </c>
      <c r="H17" s="103" t="s">
        <v>398</v>
      </c>
    </row>
    <row r="18" spans="1:21" ht="13.25" customHeight="1">
      <c r="B18" s="310" t="str">
        <f>Normalized_FCF!B19</f>
        <v>Pre-tax Profit/Assets</v>
      </c>
      <c r="C18" s="308">
        <f>Normalized_FCF!C19</f>
        <v>1.4E-2</v>
      </c>
      <c r="E18" s="310" t="str">
        <f>B18</f>
        <v>Pre-tax Profit/Assets</v>
      </c>
      <c r="F18" s="141">
        <f>C18</f>
        <v>1.4E-2</v>
      </c>
      <c r="H18" s="137" t="s">
        <v>93</v>
      </c>
      <c r="I18" s="126">
        <f>(L52+FV_adjustments)*Exchange_Rate/Common_Shares*scaling_factor</f>
        <v>5926.2380768007424</v>
      </c>
      <c r="J18" t="str">
        <f>Market_currency</f>
        <v>CNY</v>
      </c>
    </row>
    <row r="19" spans="1:21">
      <c r="L19" s="278"/>
    </row>
    <row r="20" spans="1:21" ht="13.15">
      <c r="A20" s="118" t="s">
        <v>384</v>
      </c>
      <c r="B20" s="118" t="s">
        <v>94</v>
      </c>
      <c r="C20" s="118" t="s">
        <v>540</v>
      </c>
      <c r="D20" s="118" t="s">
        <v>542</v>
      </c>
      <c r="E20" s="118" t="s">
        <v>541</v>
      </c>
      <c r="F20" s="118" t="s">
        <v>537</v>
      </c>
      <c r="G20" s="118" t="s">
        <v>539</v>
      </c>
      <c r="H20" s="118" t="s">
        <v>535</v>
      </c>
      <c r="I20" s="118" t="s">
        <v>543</v>
      </c>
      <c r="J20" s="118" t="s">
        <v>534</v>
      </c>
      <c r="K20" s="118" t="s">
        <v>506</v>
      </c>
      <c r="L20" s="119" t="s">
        <v>403</v>
      </c>
    </row>
    <row r="21" spans="1:21">
      <c r="A21" s="304" t="str">
        <f t="shared" ref="A21:A50" si="0">IF($C$15&lt;B21,"",IF(B21&gt;=$F$15,"II","I"))</f>
        <v>I</v>
      </c>
      <c r="B21" s="114">
        <v>1</v>
      </c>
      <c r="C21" s="280">
        <f>BS!$G$40</f>
        <v>10316447</v>
      </c>
      <c r="D21" s="301">
        <f>I7</f>
        <v>5.1039038960584003E-2</v>
      </c>
      <c r="E21" s="280">
        <f>-BS!$G$31</f>
        <v>-9516669</v>
      </c>
      <c r="F21" s="301">
        <f>I8</f>
        <v>2.0566860106198924E-2</v>
      </c>
      <c r="G21" s="280">
        <f>C21*D21+E21*F21</f>
        <v>330813.54036779993</v>
      </c>
      <c r="H21" s="301">
        <f t="shared" ref="H21:H50" si="1">IF(A21="",0%,IF(A21="I",$C$18,$F$18))</f>
        <v>1.4E-2</v>
      </c>
      <c r="I21" s="280">
        <f>(G21*(1-$I$10)+C21*(H21-$I$9))</f>
        <v>248110.15527584995</v>
      </c>
      <c r="J21" s="301">
        <f>I21/C4-1</f>
        <v>10.26709719586777</v>
      </c>
      <c r="K21" s="116">
        <f t="shared" ref="K21:K50" si="2">IF($C$15&lt;B21,0,1/(1+Equity_Cost)^B21)</f>
        <v>0.93023255813953487</v>
      </c>
      <c r="L21" s="280">
        <f t="shared" ref="L21:L50" si="3">I21*K21</f>
        <v>230800.1444426511</v>
      </c>
    </row>
    <row r="22" spans="1:21">
      <c r="A22" s="304" t="str">
        <f t="shared" si="0"/>
        <v>I</v>
      </c>
      <c r="B22" s="114">
        <v>2</v>
      </c>
      <c r="C22" s="280">
        <f t="shared" ref="C22:C50" si="4">IF(A22="",0,C21*(1+D22))</f>
        <v>10508467.153114384</v>
      </c>
      <c r="D22" s="301">
        <f t="shared" ref="D21:D50" si="5">IF(A22="",0,IF(A22="I",$C$16,$F$16))</f>
        <v>1.8613012126595961E-2</v>
      </c>
      <c r="E22" s="280">
        <f t="shared" ref="E22:E50" si="6">IF($C$15&lt;B22,0,IF(B22&gt;=$F$15,$F$17,$C$17))</f>
        <v>0</v>
      </c>
      <c r="F22" s="301"/>
      <c r="G22" s="280">
        <f t="shared" ref="G22:G50" si="7">IF(A22="", 0,C22*(1-E22)+F22+$I$6)</f>
        <v>10508467.224720282</v>
      </c>
      <c r="H22" s="301">
        <f t="shared" si="1"/>
        <v>1.4E-2</v>
      </c>
      <c r="I22" s="280">
        <f>IF(A22="", 0,G22*(1-$I$10)+C22*(H22-$I$9))</f>
        <v>7881350.4185402114</v>
      </c>
      <c r="J22" s="301">
        <f>IF(A22="", 0,I22/I21-1)</f>
        <v>30.765529346340909</v>
      </c>
      <c r="K22" s="116">
        <f t="shared" si="2"/>
        <v>0.86533261222282321</v>
      </c>
      <c r="L22" s="280">
        <f t="shared" si="3"/>
        <v>6819989.5455188425</v>
      </c>
    </row>
    <row r="23" spans="1:21">
      <c r="A23" s="304" t="str">
        <f t="shared" si="0"/>
        <v>I</v>
      </c>
      <c r="B23" s="114">
        <v>3</v>
      </c>
      <c r="C23" s="280">
        <f t="shared" si="4"/>
        <v>10704061.379667237</v>
      </c>
      <c r="D23" s="301">
        <f t="shared" si="5"/>
        <v>1.8613012126595961E-2</v>
      </c>
      <c r="E23" s="280">
        <f t="shared" si="6"/>
        <v>0</v>
      </c>
      <c r="F23" s="301"/>
      <c r="G23" s="280">
        <f t="shared" si="7"/>
        <v>10704061.451273136</v>
      </c>
      <c r="H23" s="301">
        <f t="shared" si="1"/>
        <v>1.4E-2</v>
      </c>
      <c r="I23" s="280">
        <f t="shared" ref="I23:I50" si="8">IF(A23="", 0,G23*(1-$I$10)+C23*(H23-$I$9))</f>
        <v>8028046.0884548519</v>
      </c>
      <c r="J23" s="301">
        <f t="shared" ref="J23:J50" si="9">IF(A23="", 0,I23/I22-1)</f>
        <v>1.8613011999764728E-2</v>
      </c>
      <c r="K23" s="116">
        <f t="shared" si="2"/>
        <v>0.80496056950960304</v>
      </c>
      <c r="L23" s="280">
        <f t="shared" si="3"/>
        <v>6462260.5514119584</v>
      </c>
      <c r="N23" s="278"/>
      <c r="O23" s="278"/>
      <c r="P23" s="278"/>
      <c r="Q23" s="278"/>
      <c r="R23" s="278"/>
      <c r="S23" s="278"/>
      <c r="T23" s="278"/>
      <c r="U23" s="278"/>
    </row>
    <row r="24" spans="1:21">
      <c r="A24" s="304" t="str">
        <f t="shared" si="0"/>
        <v>I</v>
      </c>
      <c r="B24" s="114">
        <v>4</v>
      </c>
      <c r="C24" s="280">
        <f t="shared" si="4"/>
        <v>10903296.20393081</v>
      </c>
      <c r="D24" s="301">
        <f t="shared" si="5"/>
        <v>1.8613012126595961E-2</v>
      </c>
      <c r="E24" s="280">
        <f t="shared" si="6"/>
        <v>0</v>
      </c>
      <c r="F24" s="301"/>
      <c r="G24" s="280">
        <f t="shared" si="7"/>
        <v>10903296.275536709</v>
      </c>
      <c r="H24" s="301">
        <f t="shared" si="1"/>
        <v>1.4E-2</v>
      </c>
      <c r="I24" s="280">
        <f t="shared" si="8"/>
        <v>8177472.2066525314</v>
      </c>
      <c r="J24" s="301">
        <f t="shared" si="9"/>
        <v>1.8613012002082208E-2</v>
      </c>
      <c r="K24" s="116">
        <f t="shared" si="2"/>
        <v>0.7488005297763749</v>
      </c>
      <c r="L24" s="280">
        <f t="shared" si="3"/>
        <v>6123295.5205729967</v>
      </c>
      <c r="N24" s="278"/>
      <c r="O24" s="278"/>
      <c r="P24" s="278"/>
      <c r="Q24" s="278"/>
      <c r="R24" s="278"/>
      <c r="S24" s="278"/>
      <c r="T24" s="278"/>
      <c r="U24" s="278"/>
    </row>
    <row r="25" spans="1:21">
      <c r="A25" s="304" t="str">
        <f t="shared" si="0"/>
        <v>I</v>
      </c>
      <c r="B25" s="114">
        <v>5</v>
      </c>
      <c r="C25" s="280">
        <f t="shared" si="4"/>
        <v>11106239.388394441</v>
      </c>
      <c r="D25" s="301">
        <f t="shared" si="5"/>
        <v>1.8613012126595961E-2</v>
      </c>
      <c r="E25" s="280">
        <f t="shared" si="6"/>
        <v>0</v>
      </c>
      <c r="F25" s="301"/>
      <c r="G25" s="280">
        <f t="shared" si="7"/>
        <v>11106239.46000034</v>
      </c>
      <c r="H25" s="301">
        <f t="shared" si="1"/>
        <v>1.4E-2</v>
      </c>
      <c r="I25" s="280">
        <f t="shared" si="8"/>
        <v>8329679.5950002549</v>
      </c>
      <c r="J25" s="301">
        <f t="shared" si="9"/>
        <v>1.8613012004357499E-2</v>
      </c>
      <c r="K25" s="116">
        <f t="shared" si="2"/>
        <v>0.69655863235011617</v>
      </c>
      <c r="L25" s="280">
        <f t="shared" si="3"/>
        <v>5802110.2266080473</v>
      </c>
      <c r="N25" s="278"/>
      <c r="O25" s="278"/>
      <c r="P25" s="278"/>
      <c r="Q25" s="278"/>
      <c r="R25" s="278"/>
      <c r="S25" s="278"/>
      <c r="T25" s="278"/>
      <c r="U25" s="278"/>
    </row>
    <row r="26" spans="1:21">
      <c r="A26" s="304" t="str">
        <f t="shared" si="0"/>
        <v>I</v>
      </c>
      <c r="B26" s="114">
        <v>6</v>
      </c>
      <c r="C26" s="280">
        <f t="shared" si="4"/>
        <v>11312959.956811504</v>
      </c>
      <c r="D26" s="301">
        <f t="shared" si="5"/>
        <v>1.8613012126595961E-2</v>
      </c>
      <c r="E26" s="280">
        <f t="shared" si="6"/>
        <v>0</v>
      </c>
      <c r="F26" s="301"/>
      <c r="G26" s="280">
        <f t="shared" si="7"/>
        <v>11312960.028417403</v>
      </c>
      <c r="H26" s="301">
        <f t="shared" si="1"/>
        <v>1.4E-2</v>
      </c>
      <c r="I26" s="280">
        <f t="shared" si="8"/>
        <v>8484720.0213130526</v>
      </c>
      <c r="J26" s="301">
        <f t="shared" si="9"/>
        <v>1.8613012006591267E-2</v>
      </c>
      <c r="K26" s="116">
        <f t="shared" si="2"/>
        <v>0.64796151846522443</v>
      </c>
      <c r="L26" s="280">
        <f t="shared" si="3"/>
        <v>5497772.0687622968</v>
      </c>
    </row>
    <row r="27" spans="1:21">
      <c r="A27" s="304" t="str">
        <f t="shared" si="0"/>
        <v>I</v>
      </c>
      <c r="B27" s="114">
        <v>7</v>
      </c>
      <c r="C27" s="280">
        <f t="shared" si="4"/>
        <v>11523528.217675332</v>
      </c>
      <c r="D27" s="301">
        <f t="shared" si="5"/>
        <v>1.8613012126595961E-2</v>
      </c>
      <c r="E27" s="280">
        <f t="shared" si="6"/>
        <v>0</v>
      </c>
      <c r="F27" s="301"/>
      <c r="G27" s="280">
        <f t="shared" si="7"/>
        <v>11523528.28928123</v>
      </c>
      <c r="H27" s="301">
        <f t="shared" si="1"/>
        <v>1.4E-2</v>
      </c>
      <c r="I27" s="280">
        <f t="shared" si="8"/>
        <v>8642646.2169609219</v>
      </c>
      <c r="J27" s="301">
        <f t="shared" si="9"/>
        <v>1.8613012008783958E-2</v>
      </c>
      <c r="K27" s="116">
        <f t="shared" si="2"/>
        <v>0.60275490089788319</v>
      </c>
      <c r="L27" s="280">
        <f t="shared" si="3"/>
        <v>5209397.3639997458</v>
      </c>
    </row>
    <row r="28" spans="1:21">
      <c r="A28" s="304" t="str">
        <f t="shared" si="0"/>
        <v>I</v>
      </c>
      <c r="B28" s="114">
        <v>8</v>
      </c>
      <c r="C28" s="280">
        <f t="shared" si="4"/>
        <v>11738015.788132094</v>
      </c>
      <c r="D28" s="301">
        <f t="shared" si="5"/>
        <v>1.8613012126595961E-2</v>
      </c>
      <c r="E28" s="280">
        <f t="shared" si="6"/>
        <v>0</v>
      </c>
      <c r="F28" s="301"/>
      <c r="G28" s="280">
        <f t="shared" si="7"/>
        <v>11738015.859737992</v>
      </c>
      <c r="H28" s="301">
        <f t="shared" si="1"/>
        <v>1.4E-2</v>
      </c>
      <c r="I28" s="280">
        <f t="shared" si="8"/>
        <v>8803511.8948034942</v>
      </c>
      <c r="J28" s="301">
        <f t="shared" si="9"/>
        <v>1.8613012010936902E-2</v>
      </c>
      <c r="K28" s="116">
        <f t="shared" si="2"/>
        <v>0.56070223339337966</v>
      </c>
      <c r="L28" s="280">
        <f t="shared" si="3"/>
        <v>4936148.7811215026</v>
      </c>
    </row>
    <row r="29" spans="1:21">
      <c r="A29" s="304" t="str">
        <f t="shared" si="0"/>
        <v>I</v>
      </c>
      <c r="B29" s="114">
        <v>9</v>
      </c>
      <c r="C29" s="280">
        <f t="shared" si="4"/>
        <v>11956495.618338771</v>
      </c>
      <c r="D29" s="301">
        <f t="shared" si="5"/>
        <v>1.8613012126595961E-2</v>
      </c>
      <c r="E29" s="280">
        <f t="shared" si="6"/>
        <v>0</v>
      </c>
      <c r="F29" s="301"/>
      <c r="G29" s="280">
        <f t="shared" si="7"/>
        <v>11956495.68994467</v>
      </c>
      <c r="H29" s="301">
        <f t="shared" si="1"/>
        <v>1.4E-2</v>
      </c>
      <c r="I29" s="280">
        <f t="shared" si="8"/>
        <v>8967371.7674585022</v>
      </c>
      <c r="J29" s="301">
        <f t="shared" si="9"/>
        <v>1.8613012013050323E-2</v>
      </c>
      <c r="K29" s="116">
        <f t="shared" si="2"/>
        <v>0.52158347292407414</v>
      </c>
      <c r="L29" s="280">
        <f t="shared" si="3"/>
        <v>4677232.9094722988</v>
      </c>
    </row>
    <row r="30" spans="1:21">
      <c r="A30" s="304" t="str">
        <f t="shared" si="0"/>
        <v>I</v>
      </c>
      <c r="B30" s="114">
        <v>10</v>
      </c>
      <c r="C30" s="280">
        <f t="shared" si="4"/>
        <v>12179042.016274503</v>
      </c>
      <c r="D30" s="301">
        <f t="shared" si="5"/>
        <v>1.8613012126595961E-2</v>
      </c>
      <c r="E30" s="280">
        <f t="shared" si="6"/>
        <v>0</v>
      </c>
      <c r="F30" s="301"/>
      <c r="G30" s="280">
        <f t="shared" si="7"/>
        <v>12179042.087880401</v>
      </c>
      <c r="H30" s="301">
        <f t="shared" si="1"/>
        <v>1.4E-2</v>
      </c>
      <c r="I30" s="280">
        <f t="shared" si="8"/>
        <v>9134281.5659103002</v>
      </c>
      <c r="J30" s="301">
        <f t="shared" si="9"/>
        <v>1.8613012015125108E-2</v>
      </c>
      <c r="K30" s="116">
        <f t="shared" si="2"/>
        <v>0.48519392830146441</v>
      </c>
      <c r="L30" s="280">
        <f t="shared" si="3"/>
        <v>4431897.9551756699</v>
      </c>
    </row>
    <row r="31" spans="1:21">
      <c r="A31" s="304" t="str">
        <f t="shared" si="0"/>
        <v>I</v>
      </c>
      <c r="B31" s="114">
        <v>11</v>
      </c>
      <c r="C31" s="280">
        <f t="shared" si="4"/>
        <v>12405730.673013741</v>
      </c>
      <c r="D31" s="301">
        <f t="shared" si="5"/>
        <v>1.8613012126595961E-2</v>
      </c>
      <c r="E31" s="280">
        <f t="shared" si="6"/>
        <v>0</v>
      </c>
      <c r="F31" s="301"/>
      <c r="G31" s="280">
        <f t="shared" si="7"/>
        <v>12405730.74461964</v>
      </c>
      <c r="H31" s="301">
        <f t="shared" si="1"/>
        <v>1.4E-2</v>
      </c>
      <c r="I31" s="280">
        <f t="shared" si="8"/>
        <v>9304298.0584647302</v>
      </c>
      <c r="J31" s="301">
        <f t="shared" si="9"/>
        <v>1.8613012017161923E-2</v>
      </c>
      <c r="K31" s="116">
        <f t="shared" si="2"/>
        <v>0.45134318911764126</v>
      </c>
      <c r="L31" s="280">
        <f t="shared" si="3"/>
        <v>4199431.5582085494</v>
      </c>
    </row>
    <row r="32" spans="1:21">
      <c r="A32" s="304" t="str">
        <f t="shared" si="0"/>
        <v>I</v>
      </c>
      <c r="B32" s="114">
        <v>12</v>
      </c>
      <c r="C32" s="280">
        <f t="shared" si="4"/>
        <v>12636638.688469829</v>
      </c>
      <c r="D32" s="301">
        <f t="shared" si="5"/>
        <v>1.8613012126595961E-2</v>
      </c>
      <c r="E32" s="280">
        <f t="shared" si="6"/>
        <v>0</v>
      </c>
      <c r="F32" s="301"/>
      <c r="G32" s="280">
        <f t="shared" si="7"/>
        <v>12636638.760075727</v>
      </c>
      <c r="H32" s="301">
        <f t="shared" si="1"/>
        <v>1.4E-2</v>
      </c>
      <c r="I32" s="280">
        <f t="shared" si="8"/>
        <v>9477479.0700567961</v>
      </c>
      <c r="J32" s="301">
        <f t="shared" si="9"/>
        <v>1.8613012019161657E-2</v>
      </c>
      <c r="K32" s="116">
        <f t="shared" si="2"/>
        <v>0.41985412941175931</v>
      </c>
      <c r="L32" s="280">
        <f t="shared" si="3"/>
        <v>3979158.7239768663</v>
      </c>
    </row>
    <row r="33" spans="1:21">
      <c r="A33" s="304" t="str">
        <f t="shared" si="0"/>
        <v>I</v>
      </c>
      <c r="B33" s="114">
        <v>13</v>
      </c>
      <c r="C33" s="280">
        <f t="shared" si="4"/>
        <v>12871844.597617729</v>
      </c>
      <c r="D33" s="301">
        <f t="shared" si="5"/>
        <v>1.8613012126595961E-2</v>
      </c>
      <c r="E33" s="280">
        <f t="shared" si="6"/>
        <v>0</v>
      </c>
      <c r="F33" s="301"/>
      <c r="G33" s="280">
        <f t="shared" si="7"/>
        <v>12871844.669223627</v>
      </c>
      <c r="H33" s="301">
        <f t="shared" si="1"/>
        <v>1.4E-2</v>
      </c>
      <c r="I33" s="280">
        <f t="shared" si="8"/>
        <v>9653883.5019177198</v>
      </c>
      <c r="J33" s="301">
        <f t="shared" si="9"/>
        <v>1.8613012021124531E-2</v>
      </c>
      <c r="K33" s="116">
        <f t="shared" si="2"/>
        <v>0.39056198084814819</v>
      </c>
      <c r="L33" s="280">
        <f t="shared" si="3"/>
        <v>3770439.8633862422</v>
      </c>
      <c r="N33" s="278"/>
      <c r="O33" s="278"/>
      <c r="P33" s="278"/>
      <c r="Q33" s="278"/>
      <c r="R33" s="278"/>
      <c r="S33" s="278"/>
      <c r="T33" s="278"/>
      <c r="U33" s="278"/>
    </row>
    <row r="34" spans="1:21">
      <c r="A34" s="304" t="str">
        <f t="shared" si="0"/>
        <v>I</v>
      </c>
      <c r="B34" s="114">
        <v>14</v>
      </c>
      <c r="C34" s="280">
        <f t="shared" si="4"/>
        <v>13111428.397204846</v>
      </c>
      <c r="D34" s="301">
        <f t="shared" si="5"/>
        <v>1.8613012126595961E-2</v>
      </c>
      <c r="E34" s="280">
        <f t="shared" si="6"/>
        <v>0</v>
      </c>
      <c r="F34" s="301"/>
      <c r="G34" s="280">
        <f t="shared" si="7"/>
        <v>13111428.468810745</v>
      </c>
      <c r="H34" s="301">
        <f t="shared" si="1"/>
        <v>1.4E-2</v>
      </c>
      <c r="I34" s="280">
        <f t="shared" si="8"/>
        <v>9833571.3516080584</v>
      </c>
      <c r="J34" s="301">
        <f t="shared" si="9"/>
        <v>1.86130120230521E-2</v>
      </c>
      <c r="K34" s="116">
        <f t="shared" si="2"/>
        <v>0.36331347055641694</v>
      </c>
      <c r="L34" s="280">
        <f t="shared" si="3"/>
        <v>3572668.9357168796</v>
      </c>
      <c r="N34" s="278"/>
      <c r="O34" s="278"/>
      <c r="P34" s="278"/>
      <c r="Q34" s="278"/>
      <c r="R34" s="278"/>
      <c r="S34" s="278"/>
      <c r="T34" s="278"/>
      <c r="U34" s="278"/>
    </row>
    <row r="35" spans="1:21">
      <c r="A35" s="304" t="str">
        <f t="shared" si="0"/>
        <v>I</v>
      </c>
      <c r="B35" s="114">
        <v>15</v>
      </c>
      <c r="C35" s="280">
        <f t="shared" si="4"/>
        <v>13355471.572959015</v>
      </c>
      <c r="D35" s="301">
        <f t="shared" si="5"/>
        <v>1.8613012126595961E-2</v>
      </c>
      <c r="E35" s="280">
        <f t="shared" si="6"/>
        <v>0</v>
      </c>
      <c r="F35" s="301"/>
      <c r="G35" s="280">
        <f t="shared" si="7"/>
        <v>13355471.644564914</v>
      </c>
      <c r="H35" s="301">
        <f t="shared" si="1"/>
        <v>1.4E-2</v>
      </c>
      <c r="I35" s="280">
        <f t="shared" si="8"/>
        <v>10016603.733423686</v>
      </c>
      <c r="J35" s="301">
        <f t="shared" si="9"/>
        <v>1.8613012024944142E-2</v>
      </c>
      <c r="K35" s="116">
        <f t="shared" si="2"/>
        <v>0.33796601912224833</v>
      </c>
      <c r="L35" s="280">
        <f t="shared" si="3"/>
        <v>3385271.6889102533</v>
      </c>
      <c r="N35" s="278"/>
      <c r="O35" s="278"/>
      <c r="P35" s="278"/>
      <c r="Q35" s="278"/>
      <c r="R35" s="278"/>
      <c r="S35" s="278"/>
      <c r="T35" s="278"/>
      <c r="U35" s="278"/>
    </row>
    <row r="36" spans="1:21">
      <c r="A36" s="304" t="str">
        <f t="shared" si="0"/>
        <v>I</v>
      </c>
      <c r="B36" s="114">
        <v>16</v>
      </c>
      <c r="C36" s="280">
        <f t="shared" si="4"/>
        <v>13604057.127302909</v>
      </c>
      <c r="D36" s="301">
        <f t="shared" si="5"/>
        <v>1.8613012126595961E-2</v>
      </c>
      <c r="E36" s="280">
        <f t="shared" si="6"/>
        <v>0</v>
      </c>
      <c r="F36" s="301"/>
      <c r="G36" s="280">
        <f t="shared" si="7"/>
        <v>13604057.198908808</v>
      </c>
      <c r="H36" s="301">
        <f t="shared" si="1"/>
        <v>1.4E-2</v>
      </c>
      <c r="I36" s="280">
        <f t="shared" si="8"/>
        <v>10203042.899181606</v>
      </c>
      <c r="J36" s="301">
        <f t="shared" si="9"/>
        <v>1.8613012026801545E-2</v>
      </c>
      <c r="K36" s="116">
        <f t="shared" si="2"/>
        <v>0.31438699453232405</v>
      </c>
      <c r="L36" s="280">
        <f t="shared" si="3"/>
        <v>3207703.9921580753</v>
      </c>
    </row>
    <row r="37" spans="1:21">
      <c r="A37" s="304" t="str">
        <f t="shared" si="0"/>
        <v>I</v>
      </c>
      <c r="B37" s="114">
        <v>17</v>
      </c>
      <c r="C37" s="280">
        <f t="shared" si="4"/>
        <v>13857269.607584301</v>
      </c>
      <c r="D37" s="301">
        <f t="shared" si="5"/>
        <v>1.8613012126595961E-2</v>
      </c>
      <c r="E37" s="280">
        <f t="shared" si="6"/>
        <v>0</v>
      </c>
      <c r="F37" s="301"/>
      <c r="G37" s="280">
        <f t="shared" si="7"/>
        <v>13857269.6791902</v>
      </c>
      <c r="H37" s="301">
        <f t="shared" si="1"/>
        <v>1.4E-2</v>
      </c>
      <c r="I37" s="280">
        <f t="shared" si="8"/>
        <v>10392952.259392649</v>
      </c>
      <c r="J37" s="301">
        <f t="shared" si="9"/>
        <v>1.8613012028624754E-2</v>
      </c>
      <c r="K37" s="116">
        <f t="shared" si="2"/>
        <v>0.29245301816960378</v>
      </c>
      <c r="L37" s="280">
        <f t="shared" si="3"/>
        <v>3039450.2559519829</v>
      </c>
    </row>
    <row r="38" spans="1:21">
      <c r="A38" s="304" t="str">
        <f t="shared" si="0"/>
        <v>I</v>
      </c>
      <c r="B38" s="114">
        <v>18</v>
      </c>
      <c r="C38" s="280">
        <f t="shared" si="4"/>
        <v>14115195.134831777</v>
      </c>
      <c r="D38" s="301">
        <f t="shared" si="5"/>
        <v>1.8613012126595961E-2</v>
      </c>
      <c r="E38" s="280">
        <f t="shared" si="6"/>
        <v>0</v>
      </c>
      <c r="F38" s="301"/>
      <c r="G38" s="280">
        <f t="shared" si="7"/>
        <v>14115195.206437675</v>
      </c>
      <c r="H38" s="301">
        <f t="shared" si="1"/>
        <v>1.4E-2</v>
      </c>
      <c r="I38" s="280">
        <f t="shared" si="8"/>
        <v>10586396.404828256</v>
      </c>
      <c r="J38" s="301">
        <f t="shared" si="9"/>
        <v>1.8613012030415321E-2</v>
      </c>
      <c r="K38" s="116">
        <f t="shared" si="2"/>
        <v>0.27204931922753844</v>
      </c>
      <c r="L38" s="280">
        <f t="shared" si="3"/>
        <v>2880021.9350063875</v>
      </c>
    </row>
    <row r="39" spans="1:21">
      <c r="A39" s="304" t="str">
        <f t="shared" si="0"/>
        <v>I</v>
      </c>
      <c r="B39" s="114">
        <v>19</v>
      </c>
      <c r="C39" s="280">
        <f t="shared" si="4"/>
        <v>14377921.433045669</v>
      </c>
      <c r="D39" s="301">
        <f t="shared" si="5"/>
        <v>1.8613012126595961E-2</v>
      </c>
      <c r="E39" s="280">
        <f t="shared" si="6"/>
        <v>0</v>
      </c>
      <c r="F39" s="301"/>
      <c r="G39" s="280">
        <f t="shared" si="7"/>
        <v>14377921.504651567</v>
      </c>
      <c r="H39" s="301">
        <f t="shared" si="1"/>
        <v>1.4E-2</v>
      </c>
      <c r="I39" s="280">
        <f t="shared" si="8"/>
        <v>10783441.128488675</v>
      </c>
      <c r="J39" s="301">
        <f t="shared" si="9"/>
        <v>1.8613012032172804E-2</v>
      </c>
      <c r="K39" s="116">
        <f t="shared" si="2"/>
        <v>0.25306913416515198</v>
      </c>
      <c r="L39" s="280">
        <f t="shared" si="3"/>
        <v>2728956.1097075185</v>
      </c>
    </row>
    <row r="40" spans="1:21">
      <c r="A40" s="304" t="str">
        <f t="shared" si="0"/>
        <v>I</v>
      </c>
      <c r="B40" s="114">
        <v>20</v>
      </c>
      <c r="C40" s="280">
        <f t="shared" si="4"/>
        <v>14645537.859034192</v>
      </c>
      <c r="D40" s="301">
        <f t="shared" si="5"/>
        <v>1.8613012126595961E-2</v>
      </c>
      <c r="E40" s="280">
        <f t="shared" si="6"/>
        <v>0</v>
      </c>
      <c r="F40" s="301"/>
      <c r="G40" s="280">
        <f t="shared" si="7"/>
        <v>14645537.93064009</v>
      </c>
      <c r="H40" s="301">
        <f t="shared" si="1"/>
        <v>1.4E-2</v>
      </c>
      <c r="I40" s="280">
        <f t="shared" si="8"/>
        <v>10984153.447980069</v>
      </c>
      <c r="J40" s="301">
        <f t="shared" si="9"/>
        <v>1.8613012033898313E-2</v>
      </c>
      <c r="K40" s="116">
        <f t="shared" si="2"/>
        <v>0.23541314806060654</v>
      </c>
      <c r="L40" s="280">
        <f t="shared" si="3"/>
        <v>2585814.1419697539</v>
      </c>
    </row>
    <row r="41" spans="1:21">
      <c r="A41" s="304" t="str">
        <f t="shared" si="0"/>
        <v>I</v>
      </c>
      <c r="B41" s="114">
        <v>21</v>
      </c>
      <c r="C41" s="280">
        <f t="shared" si="4"/>
        <v>14918135.432804916</v>
      </c>
      <c r="D41" s="301">
        <f t="shared" si="5"/>
        <v>1.8613012126595961E-2</v>
      </c>
      <c r="E41" s="280">
        <f t="shared" si="6"/>
        <v>0</v>
      </c>
      <c r="F41" s="301"/>
      <c r="G41" s="280">
        <f t="shared" si="7"/>
        <v>14918135.504410814</v>
      </c>
      <c r="H41" s="301">
        <f t="shared" si="1"/>
        <v>1.4E-2</v>
      </c>
      <c r="I41" s="280">
        <f t="shared" si="8"/>
        <v>11188601.62830811</v>
      </c>
      <c r="J41" s="301">
        <f t="shared" si="9"/>
        <v>1.8613012035591847E-2</v>
      </c>
      <c r="K41" s="116">
        <f t="shared" si="2"/>
        <v>0.21898897494009908</v>
      </c>
      <c r="L41" s="280">
        <f t="shared" si="3"/>
        <v>2450180.4015963166</v>
      </c>
    </row>
    <row r="42" spans="1:21">
      <c r="A42" s="304" t="str">
        <f t="shared" si="0"/>
        <v>I</v>
      </c>
      <c r="B42" s="114">
        <v>22</v>
      </c>
      <c r="C42" s="280">
        <f t="shared" si="4"/>
        <v>15195806.868521914</v>
      </c>
      <c r="D42" s="301">
        <f t="shared" si="5"/>
        <v>1.8613012126595961E-2</v>
      </c>
      <c r="E42" s="280">
        <f t="shared" si="6"/>
        <v>0</v>
      </c>
      <c r="F42" s="301"/>
      <c r="G42" s="280">
        <f t="shared" si="7"/>
        <v>15195806.940127812</v>
      </c>
      <c r="H42" s="301">
        <f t="shared" si="1"/>
        <v>1.4E-2</v>
      </c>
      <c r="I42" s="280">
        <f t="shared" si="8"/>
        <v>11396855.205095859</v>
      </c>
      <c r="J42" s="301">
        <f t="shared" si="9"/>
        <v>1.8613012037254961E-2</v>
      </c>
      <c r="K42" s="116">
        <f t="shared" si="2"/>
        <v>0.20371067436288287</v>
      </c>
      <c r="L42" s="280">
        <f t="shared" si="3"/>
        <v>2321661.0594462091</v>
      </c>
    </row>
    <row r="43" spans="1:21">
      <c r="A43" s="304" t="str">
        <f t="shared" si="0"/>
        <v>I</v>
      </c>
      <c r="B43" s="114">
        <v>23</v>
      </c>
      <c r="C43" s="280">
        <f t="shared" si="4"/>
        <v>15478646.606039122</v>
      </c>
      <c r="D43" s="301">
        <f t="shared" si="5"/>
        <v>1.8613012126595961E-2</v>
      </c>
      <c r="E43" s="280">
        <f t="shared" si="6"/>
        <v>0</v>
      </c>
      <c r="F43" s="301"/>
      <c r="G43" s="280">
        <f t="shared" si="7"/>
        <v>15478646.67764502</v>
      </c>
      <c r="H43" s="301">
        <f t="shared" si="1"/>
        <v>1.4E-2</v>
      </c>
      <c r="I43" s="280">
        <f t="shared" si="8"/>
        <v>11608985.008233765</v>
      </c>
      <c r="J43" s="301">
        <f t="shared" si="9"/>
        <v>1.8613012038887433E-2</v>
      </c>
      <c r="K43" s="116">
        <f t="shared" si="2"/>
        <v>0.18949830173291429</v>
      </c>
      <c r="L43" s="280">
        <f t="shared" si="3"/>
        <v>2199882.9439031607</v>
      </c>
    </row>
    <row r="44" spans="1:21">
      <c r="A44" s="304" t="str">
        <f t="shared" si="0"/>
        <v>I</v>
      </c>
      <c r="B44" s="114">
        <v>24</v>
      </c>
      <c r="C44" s="280">
        <f t="shared" si="4"/>
        <v>15766750.843020622</v>
      </c>
      <c r="D44" s="301">
        <f t="shared" si="5"/>
        <v>1.8613012126595961E-2</v>
      </c>
      <c r="E44" s="280">
        <f t="shared" si="6"/>
        <v>0</v>
      </c>
      <c r="F44" s="301"/>
      <c r="G44" s="280">
        <f t="shared" si="7"/>
        <v>15766750.91462652</v>
      </c>
      <c r="H44" s="301">
        <f t="shared" si="1"/>
        <v>1.4E-2</v>
      </c>
      <c r="I44" s="280">
        <f t="shared" si="8"/>
        <v>11825063.185969889</v>
      </c>
      <c r="J44" s="301">
        <f t="shared" si="9"/>
        <v>1.8613012040490151E-2</v>
      </c>
      <c r="K44" s="116">
        <f t="shared" si="2"/>
        <v>0.17627748998410636</v>
      </c>
      <c r="L44" s="280">
        <f t="shared" si="3"/>
        <v>2084492.457326232</v>
      </c>
    </row>
    <row r="45" spans="1:21">
      <c r="A45" s="304" t="str">
        <f t="shared" si="0"/>
        <v>I</v>
      </c>
      <c r="B45" s="114">
        <v>25</v>
      </c>
      <c r="C45" s="280">
        <f t="shared" si="4"/>
        <v>16060217.567658782</v>
      </c>
      <c r="D45" s="301">
        <f t="shared" si="5"/>
        <v>1.8613012126595961E-2</v>
      </c>
      <c r="E45" s="280">
        <f t="shared" si="6"/>
        <v>0</v>
      </c>
      <c r="F45" s="301"/>
      <c r="G45" s="280">
        <f t="shared" si="7"/>
        <v>16060217.63926468</v>
      </c>
      <c r="H45" s="301">
        <f t="shared" si="1"/>
        <v>1.4E-2</v>
      </c>
      <c r="I45" s="280">
        <f t="shared" si="8"/>
        <v>12045163.22944851</v>
      </c>
      <c r="J45" s="301">
        <f t="shared" si="9"/>
        <v>1.8613012042063559E-2</v>
      </c>
      <c r="K45" s="116">
        <f t="shared" si="2"/>
        <v>0.16397906045033148</v>
      </c>
      <c r="L45" s="280">
        <f t="shared" si="3"/>
        <v>1975154.5493358471</v>
      </c>
    </row>
    <row r="46" spans="1:21">
      <c r="A46" s="304" t="str">
        <f t="shared" si="0"/>
        <v>I</v>
      </c>
      <c r="B46" s="114">
        <v>26</v>
      </c>
      <c r="C46" s="280">
        <f t="shared" si="4"/>
        <v>16359146.592001384</v>
      </c>
      <c r="D46" s="301">
        <f t="shared" si="5"/>
        <v>1.8613012126595961E-2</v>
      </c>
      <c r="E46" s="280">
        <f t="shared" si="6"/>
        <v>0</v>
      </c>
      <c r="F46" s="301"/>
      <c r="G46" s="280">
        <f t="shared" si="7"/>
        <v>16359146.663607283</v>
      </c>
      <c r="H46" s="301">
        <f t="shared" si="1"/>
        <v>1.4E-2</v>
      </c>
      <c r="I46" s="280">
        <f t="shared" si="8"/>
        <v>12269359.997705461</v>
      </c>
      <c r="J46" s="301">
        <f t="shared" si="9"/>
        <v>1.8613012043608101E-2</v>
      </c>
      <c r="K46" s="116">
        <f t="shared" si="2"/>
        <v>0.15253866088402931</v>
      </c>
      <c r="L46" s="280">
        <f t="shared" si="3"/>
        <v>1871551.743954068</v>
      </c>
    </row>
    <row r="47" spans="1:21">
      <c r="A47" s="304" t="str">
        <f t="shared" si="0"/>
        <v>I</v>
      </c>
      <c r="B47" s="114">
        <v>27</v>
      </c>
      <c r="C47" s="280">
        <f t="shared" si="4"/>
        <v>16663639.585899066</v>
      </c>
      <c r="D47" s="301">
        <f t="shared" si="5"/>
        <v>1.8613012126595961E-2</v>
      </c>
      <c r="E47" s="280">
        <f t="shared" si="6"/>
        <v>0</v>
      </c>
      <c r="F47" s="301"/>
      <c r="G47" s="280">
        <f t="shared" si="7"/>
        <v>16663639.657504965</v>
      </c>
      <c r="H47" s="301">
        <f t="shared" si="1"/>
        <v>1.4E-2</v>
      </c>
      <c r="I47" s="280">
        <f t="shared" si="8"/>
        <v>12497729.743128724</v>
      </c>
      <c r="J47" s="301">
        <f t="shared" si="9"/>
        <v>1.8613012045124666E-2</v>
      </c>
      <c r="K47" s="116">
        <f t="shared" si="2"/>
        <v>0.14189642872932959</v>
      </c>
      <c r="L47" s="280">
        <f t="shared" si="3"/>
        <v>1773383.2177742876</v>
      </c>
      <c r="N47" s="278"/>
      <c r="O47" s="278"/>
      <c r="P47" s="278"/>
      <c r="Q47" s="278"/>
      <c r="R47" s="278"/>
      <c r="S47" s="278"/>
      <c r="T47" s="278"/>
      <c r="U47" s="278"/>
    </row>
    <row r="48" spans="1:21">
      <c r="A48" s="304" t="str">
        <f t="shared" si="0"/>
        <v>I</v>
      </c>
      <c r="B48" s="114">
        <v>28</v>
      </c>
      <c r="C48" s="280">
        <f t="shared" si="4"/>
        <v>16973800.11158463</v>
      </c>
      <c r="D48" s="301">
        <f t="shared" si="5"/>
        <v>1.8613012126595961E-2</v>
      </c>
      <c r="E48" s="280">
        <f t="shared" si="6"/>
        <v>0</v>
      </c>
      <c r="F48" s="301"/>
      <c r="G48" s="280">
        <f t="shared" si="7"/>
        <v>16973800.183190528</v>
      </c>
      <c r="H48" s="301">
        <f t="shared" si="1"/>
        <v>1.4E-2</v>
      </c>
      <c r="I48" s="280">
        <f t="shared" si="8"/>
        <v>12730350.137392897</v>
      </c>
      <c r="J48" s="301">
        <f t="shared" si="9"/>
        <v>1.8613012046613253E-2</v>
      </c>
      <c r="K48" s="116">
        <f t="shared" si="2"/>
        <v>0.13199667788774846</v>
      </c>
      <c r="L48" s="280">
        <f t="shared" si="3"/>
        <v>1680363.9264837047</v>
      </c>
      <c r="N48" s="278"/>
      <c r="O48" s="278"/>
      <c r="P48" s="278"/>
      <c r="Q48" s="278"/>
      <c r="R48" s="278"/>
      <c r="S48" s="278"/>
      <c r="T48" s="278"/>
      <c r="U48" s="278"/>
    </row>
    <row r="49" spans="1:21">
      <c r="A49" s="304" t="str">
        <f t="shared" si="0"/>
        <v>I</v>
      </c>
      <c r="B49" s="114">
        <v>29</v>
      </c>
      <c r="C49" s="280">
        <f t="shared" si="4"/>
        <v>17289733.658895969</v>
      </c>
      <c r="D49" s="301">
        <f t="shared" si="5"/>
        <v>1.8613012126595961E-2</v>
      </c>
      <c r="E49" s="280">
        <f t="shared" si="6"/>
        <v>0</v>
      </c>
      <c r="F49" s="301"/>
      <c r="G49" s="280">
        <f t="shared" si="7"/>
        <v>17289733.730501868</v>
      </c>
      <c r="H49" s="301">
        <f t="shared" si="1"/>
        <v>1.4E-2</v>
      </c>
      <c r="I49" s="280">
        <f t="shared" si="8"/>
        <v>12967300.297876401</v>
      </c>
      <c r="J49" s="301">
        <f t="shared" si="9"/>
        <v>1.8613012048074751E-2</v>
      </c>
      <c r="K49" s="116">
        <f t="shared" si="2"/>
        <v>0.1227876073374404</v>
      </c>
      <c r="L49" s="280">
        <f t="shared" si="3"/>
        <v>1592223.7772023214</v>
      </c>
      <c r="N49" s="278"/>
      <c r="O49" s="278"/>
      <c r="P49" s="278"/>
      <c r="Q49" s="278"/>
      <c r="R49" s="278"/>
      <c r="S49" s="278"/>
      <c r="T49" s="278"/>
      <c r="U49" s="278"/>
    </row>
    <row r="50" spans="1:21">
      <c r="A50" s="304" t="str">
        <f t="shared" si="0"/>
        <v>I</v>
      </c>
      <c r="B50" s="114">
        <v>30</v>
      </c>
      <c r="C50" s="280">
        <f t="shared" si="4"/>
        <v>17611547.681154612</v>
      </c>
      <c r="D50" s="301">
        <f t="shared" si="5"/>
        <v>1.8613012126595961E-2</v>
      </c>
      <c r="E50" s="280">
        <f t="shared" si="6"/>
        <v>0</v>
      </c>
      <c r="F50" s="301"/>
      <c r="G50" s="280">
        <f t="shared" si="7"/>
        <v>17611547.752760511</v>
      </c>
      <c r="H50" s="301">
        <f t="shared" si="1"/>
        <v>1.4E-2</v>
      </c>
      <c r="I50" s="280">
        <f t="shared" si="8"/>
        <v>13208660.814570382</v>
      </c>
      <c r="J50" s="301">
        <f t="shared" si="9"/>
        <v>1.8613012049509381E-2</v>
      </c>
      <c r="K50" s="116">
        <f t="shared" si="2"/>
        <v>0.11422103008133992</v>
      </c>
      <c r="L50" s="280">
        <f t="shared" si="3"/>
        <v>1508706.8442352596</v>
      </c>
      <c r="N50" s="278"/>
      <c r="O50" s="278"/>
      <c r="P50" s="278"/>
      <c r="Q50" s="278"/>
      <c r="R50" s="278"/>
      <c r="S50" s="278"/>
      <c r="T50" s="278"/>
      <c r="U50" s="278"/>
    </row>
    <row r="51" spans="1:21">
      <c r="A51" s="316" t="s">
        <v>402</v>
      </c>
      <c r="B51" s="317">
        <f>C15+1</f>
        <v>31</v>
      </c>
      <c r="C51" s="280">
        <f>VLOOKUP(C15,B21:C50,2,FALSE)*(1+Terminal_Growth)</f>
        <v>17611547.681154612</v>
      </c>
      <c r="D51" s="303">
        <f>Terminal_Growth</f>
        <v>0</v>
      </c>
      <c r="E51" s="280">
        <f>F17</f>
        <v>0</v>
      </c>
      <c r="F51" s="303"/>
      <c r="G51" s="280">
        <f>C51*(1-E51)+F51+$I$6</f>
        <v>17611547.752760511</v>
      </c>
      <c r="H51" s="301">
        <f>F18</f>
        <v>1.4E-2</v>
      </c>
      <c r="I51" s="280">
        <f>(G51*(1-$I$10)+C51*(H51-$I$9))/Equity_Cost</f>
        <v>176115477.52760512</v>
      </c>
      <c r="J51" s="416">
        <f>(G51*(1-$I$10)+C51*(H51-$I$9))/VLOOKUP(C15,B21:I50,8,FALSE)-1</f>
        <v>0</v>
      </c>
      <c r="K51" s="116">
        <f>1/(1+Equity_Cost)^C15</f>
        <v>0.11422103008133992</v>
      </c>
      <c r="L51" s="280">
        <f>I51*K51</f>
        <v>20116091.256470129</v>
      </c>
    </row>
    <row r="52" spans="1:21" ht="13.15">
      <c r="G52" s="108"/>
      <c r="H52" s="108"/>
      <c r="I52" s="108"/>
      <c r="J52" s="466" t="s">
        <v>404</v>
      </c>
      <c r="K52" s="466"/>
      <c r="L52" s="318">
        <f>SUM(L21:L51)</f>
        <v>123113514.44980606</v>
      </c>
    </row>
    <row r="53" spans="1:21">
      <c r="C53" s="108"/>
    </row>
    <row r="54" spans="1:21" ht="13.15">
      <c r="B54" s="112" t="s">
        <v>103</v>
      </c>
      <c r="C54" s="125"/>
      <c r="D54" s="125"/>
      <c r="E54" s="110"/>
      <c r="F54" s="110"/>
      <c r="G54" s="110"/>
      <c r="H54" s="110"/>
      <c r="I54" s="110"/>
      <c r="J54" s="110"/>
      <c r="K54" s="110"/>
      <c r="L54" s="110"/>
    </row>
    <row r="55" spans="1:21" ht="13.15">
      <c r="A55" s="122">
        <f>L52</f>
        <v>123113514.44980606</v>
      </c>
      <c r="B55" s="120">
        <f>C86</f>
        <v>0</v>
      </c>
      <c r="C55" s="120">
        <f>C85</f>
        <v>0.02</v>
      </c>
      <c r="D55" s="120">
        <f>C84</f>
        <v>0.03</v>
      </c>
      <c r="E55" s="120">
        <f>C83</f>
        <v>0.04</v>
      </c>
      <c r="F55" s="120">
        <f>C82</f>
        <v>0.06</v>
      </c>
      <c r="G55" s="120"/>
      <c r="H55" s="120"/>
      <c r="I55" s="120"/>
      <c r="J55" s="120"/>
      <c r="K55" s="120"/>
      <c r="L55" s="120"/>
    </row>
    <row r="56" spans="1:21" ht="13.15">
      <c r="A56" s="128">
        <v>5</v>
      </c>
      <c r="B56" s="115">
        <f t="dataTable" ref="B56:F65" dt2D="1" dtr="1" r1="C16" r2="C15"/>
        <v>96197749.647753328</v>
      </c>
      <c r="C56" s="115">
        <v>103305752.5625701</v>
      </c>
      <c r="D56" s="115">
        <v>107010652.05587432</v>
      </c>
      <c r="E56" s="115">
        <v>110818724.19677392</v>
      </c>
      <c r="F56" s="115">
        <v>118752219.53179204</v>
      </c>
      <c r="G56" s="297"/>
      <c r="H56" s="297"/>
      <c r="I56" s="297"/>
      <c r="J56" s="297"/>
      <c r="K56" s="297"/>
      <c r="L56" s="297"/>
    </row>
    <row r="57" spans="1:21" ht="13.15">
      <c r="A57" s="128">
        <v>6</v>
      </c>
      <c r="B57" s="115">
        <v>96197749.647753358</v>
      </c>
      <c r="C57" s="115">
        <v>104861426.27390504</v>
      </c>
      <c r="D57" s="115">
        <v>109437027.39692974</v>
      </c>
      <c r="E57" s="115">
        <v>114181370.42075931</v>
      </c>
      <c r="F57" s="115">
        <v>124195522.92875896</v>
      </c>
      <c r="G57" s="297"/>
      <c r="H57" s="297"/>
      <c r="I57" s="297"/>
      <c r="J57" s="297"/>
      <c r="K57" s="297"/>
      <c r="L57" s="297"/>
    </row>
    <row r="58" spans="1:21" ht="13.15">
      <c r="A58" s="128">
        <v>7</v>
      </c>
      <c r="B58" s="115">
        <v>96197749.647753358</v>
      </c>
      <c r="C58" s="115">
        <v>106337507.37675309</v>
      </c>
      <c r="D58" s="115">
        <v>111761833.53766191</v>
      </c>
      <c r="E58" s="115">
        <v>117434535.13977772</v>
      </c>
      <c r="F58" s="115">
        <v>129562873.25507054</v>
      </c>
      <c r="G58" s="297"/>
      <c r="H58" s="297"/>
      <c r="I58" s="297"/>
      <c r="J58" s="297"/>
      <c r="K58" s="297"/>
      <c r="L58" s="297"/>
    </row>
    <row r="59" spans="1:21" ht="13.15">
      <c r="A59" s="128">
        <v>8</v>
      </c>
      <c r="B59" s="115">
        <v>96197749.647753358</v>
      </c>
      <c r="C59" s="115">
        <v>107738068.05108333</v>
      </c>
      <c r="D59" s="115">
        <v>113989322.2120378</v>
      </c>
      <c r="E59" s="115">
        <v>120581782.86794439</v>
      </c>
      <c r="F59" s="115">
        <v>134855330.32101494</v>
      </c>
      <c r="G59" s="297"/>
      <c r="H59" s="297"/>
      <c r="I59" s="297"/>
      <c r="J59" s="297"/>
      <c r="K59" s="297"/>
      <c r="L59" s="297"/>
    </row>
    <row r="60" spans="1:21" ht="13.15">
      <c r="A60" s="128">
        <v>9</v>
      </c>
      <c r="B60" s="115">
        <v>96197749.647753358</v>
      </c>
      <c r="C60" s="115">
        <v>109066972.13277343</v>
      </c>
      <c r="D60" s="115">
        <v>116123567.17446312</v>
      </c>
      <c r="E60" s="115">
        <v>123626562.06542653</v>
      </c>
      <c r="F60" s="115">
        <v>140073939.14882994</v>
      </c>
      <c r="G60" s="297"/>
      <c r="H60" s="297"/>
      <c r="I60" s="297"/>
      <c r="J60" s="297"/>
      <c r="K60" s="297"/>
      <c r="L60" s="297"/>
    </row>
    <row r="61" spans="1:21" ht="13.15">
      <c r="A61" s="128">
        <v>10</v>
      </c>
      <c r="B61" s="115">
        <v>96197749.647753358</v>
      </c>
      <c r="C61" s="115">
        <v>110327885.77307473</v>
      </c>
      <c r="D61" s="115">
        <v>118168471.65008923</v>
      </c>
      <c r="E61" s="115">
        <v>126572208.91694418</v>
      </c>
      <c r="F61" s="115">
        <v>145219730.1790475</v>
      </c>
      <c r="G61" s="297"/>
      <c r="H61" s="297"/>
      <c r="I61" s="297"/>
      <c r="J61" s="297"/>
      <c r="K61" s="297"/>
      <c r="L61" s="297"/>
    </row>
    <row r="62" spans="1:21" ht="13.15">
      <c r="A62" s="128">
        <v>15</v>
      </c>
      <c r="B62" s="115">
        <v>96197749.647753358</v>
      </c>
      <c r="C62" s="280">
        <v>115728306.57382897</v>
      </c>
      <c r="D62" s="115">
        <v>127178437.34630498</v>
      </c>
      <c r="E62" s="115">
        <v>139922815.90044522</v>
      </c>
      <c r="F62" s="115">
        <v>169891488.46501404</v>
      </c>
      <c r="G62" s="297"/>
      <c r="H62" s="297"/>
      <c r="I62" s="297"/>
      <c r="J62" s="297"/>
      <c r="K62" s="297"/>
      <c r="L62" s="297"/>
      <c r="M62" s="278"/>
      <c r="N62" s="278"/>
      <c r="O62" s="278"/>
      <c r="P62" s="278"/>
      <c r="Q62" s="278"/>
      <c r="R62" s="278"/>
      <c r="S62" s="278"/>
      <c r="T62" s="278"/>
      <c r="U62" s="278"/>
    </row>
    <row r="63" spans="1:21" ht="13.15">
      <c r="A63" s="129">
        <v>20</v>
      </c>
      <c r="B63" s="115">
        <v>96197749.647753358</v>
      </c>
      <c r="C63" s="280">
        <v>119881538.07071808</v>
      </c>
      <c r="D63" s="115">
        <v>134454005.94297543</v>
      </c>
      <c r="E63" s="115">
        <v>151237055.89203876</v>
      </c>
      <c r="F63" s="115">
        <v>192889331.55775988</v>
      </c>
      <c r="G63" s="297"/>
      <c r="H63" s="297"/>
      <c r="I63" s="297"/>
      <c r="J63" s="297"/>
      <c r="K63" s="297"/>
      <c r="L63" s="297"/>
      <c r="M63" s="278"/>
      <c r="N63" s="278"/>
      <c r="O63" s="278"/>
      <c r="P63" s="278"/>
      <c r="Q63" s="278"/>
      <c r="R63" s="278"/>
      <c r="S63" s="278"/>
      <c r="T63" s="278"/>
      <c r="U63" s="278"/>
    </row>
    <row r="64" spans="1:21" ht="13.15">
      <c r="A64" s="129">
        <v>25</v>
      </c>
      <c r="B64" s="115">
        <v>96197749.647753358</v>
      </c>
      <c r="C64" s="280">
        <v>123075609.88533346</v>
      </c>
      <c r="D64" s="115">
        <v>140329044.78214547</v>
      </c>
      <c r="E64" s="115">
        <v>160825535.78254667</v>
      </c>
      <c r="F64" s="115">
        <v>214326830.28760916</v>
      </c>
      <c r="G64" s="297"/>
      <c r="H64" s="297"/>
      <c r="I64" s="297"/>
      <c r="J64" s="297"/>
      <c r="K64" s="297"/>
      <c r="L64" s="297"/>
      <c r="M64" s="278"/>
      <c r="N64" s="278"/>
      <c r="O64" s="278"/>
      <c r="P64" s="278"/>
      <c r="Q64" s="278"/>
      <c r="R64" s="278"/>
      <c r="S64" s="278"/>
      <c r="T64" s="278"/>
      <c r="U64" s="278"/>
    </row>
    <row r="65" spans="1:21" ht="13.15">
      <c r="A65" s="129">
        <v>30</v>
      </c>
      <c r="B65" s="115">
        <v>96197749.647753343</v>
      </c>
      <c r="C65" s="280">
        <v>125532033.21848071</v>
      </c>
      <c r="D65" s="115">
        <v>145073152.53168303</v>
      </c>
      <c r="E65" s="115">
        <v>168951485.61912298</v>
      </c>
      <c r="F65" s="115">
        <v>234309849.99684656</v>
      </c>
      <c r="G65" s="297"/>
      <c r="H65" s="297"/>
      <c r="I65" s="297"/>
      <c r="J65" s="297"/>
      <c r="K65" s="297"/>
      <c r="L65" s="297"/>
      <c r="M65" s="278"/>
      <c r="N65" s="278"/>
      <c r="O65" s="278"/>
      <c r="P65" s="278"/>
      <c r="Q65" s="278"/>
      <c r="R65" s="278"/>
      <c r="S65" s="278"/>
      <c r="T65" s="278"/>
      <c r="U65" s="278"/>
    </row>
    <row r="66" spans="1:21">
      <c r="C66" s="278"/>
      <c r="D66" s="108"/>
      <c r="E66" s="108"/>
      <c r="F66" s="108"/>
      <c r="G66" s="108"/>
      <c r="H66" s="108"/>
      <c r="I66" s="108"/>
      <c r="J66" s="108"/>
      <c r="K66" s="108"/>
      <c r="L66" s="108"/>
      <c r="M66" s="278"/>
      <c r="N66" s="278"/>
      <c r="O66" s="278"/>
      <c r="P66" s="278"/>
      <c r="Q66" s="278"/>
      <c r="R66" s="278"/>
      <c r="S66" s="278"/>
      <c r="T66" s="278"/>
      <c r="U66" s="278"/>
    </row>
    <row r="67" spans="1:21" ht="13.15">
      <c r="B67" s="112" t="s">
        <v>104</v>
      </c>
      <c r="C67" s="278"/>
      <c r="D67" s="108"/>
      <c r="E67" s="108"/>
      <c r="F67" s="108"/>
      <c r="G67" s="108"/>
      <c r="H67" s="108"/>
      <c r="I67" s="108"/>
      <c r="J67" s="108"/>
      <c r="K67" s="108"/>
      <c r="L67" s="108"/>
      <c r="M67" s="278"/>
      <c r="N67" s="278"/>
      <c r="O67" s="278"/>
      <c r="P67" s="278"/>
      <c r="Q67" s="278"/>
      <c r="R67" s="278"/>
      <c r="S67" s="278"/>
      <c r="T67" s="278"/>
      <c r="U67" s="278"/>
    </row>
    <row r="68" spans="1:21" ht="13.15">
      <c r="B68" s="121">
        <f>B55</f>
        <v>0</v>
      </c>
      <c r="C68" s="121">
        <f>C55</f>
        <v>0.02</v>
      </c>
      <c r="D68" s="121">
        <f>D55</f>
        <v>0.03</v>
      </c>
      <c r="E68" s="121">
        <f>E55</f>
        <v>0.04</v>
      </c>
      <c r="F68" s="121">
        <f>F55</f>
        <v>0.06</v>
      </c>
      <c r="G68" s="121"/>
      <c r="H68" s="121"/>
      <c r="I68" s="121"/>
      <c r="J68" s="121"/>
      <c r="K68" s="121"/>
      <c r="L68" s="121"/>
    </row>
    <row r="69" spans="1:21" ht="13.15">
      <c r="A69" s="128">
        <v>0</v>
      </c>
      <c r="B69" s="116">
        <f>C9</f>
        <v>14.133333333333336</v>
      </c>
      <c r="C69" s="116">
        <f>C9</f>
        <v>14.133333333333336</v>
      </c>
      <c r="D69" s="116">
        <f>C9</f>
        <v>14.133333333333336</v>
      </c>
      <c r="E69" s="116">
        <f>C9</f>
        <v>14.133333333333336</v>
      </c>
      <c r="F69" s="116">
        <f>C9</f>
        <v>14.133333333333336</v>
      </c>
      <c r="G69" s="298"/>
      <c r="H69" s="298"/>
      <c r="I69" s="298"/>
      <c r="J69" s="298"/>
      <c r="K69" s="298"/>
      <c r="L69" s="298"/>
    </row>
    <row r="70" spans="1:21" ht="13.15">
      <c r="A70" s="128">
        <f>A56</f>
        <v>5</v>
      </c>
      <c r="B70" s="116">
        <f t="shared" ref="B70:F74" si="10">(B56+FV_adjustments)/Common_Shares*scaling_factor*Exchange_Rate</f>
        <v>4630.610777482837</v>
      </c>
      <c r="C70" s="116">
        <f t="shared" si="10"/>
        <v>4972.7642584556497</v>
      </c>
      <c r="D70" s="116">
        <f t="shared" si="10"/>
        <v>5151.1046831122039</v>
      </c>
      <c r="E70" s="116">
        <f t="shared" si="10"/>
        <v>5334.4114648368386</v>
      </c>
      <c r="F70" s="116">
        <f t="shared" si="10"/>
        <v>5716.3011570174167</v>
      </c>
      <c r="G70" s="298"/>
      <c r="H70" s="298"/>
      <c r="I70" s="298"/>
      <c r="J70" s="298"/>
      <c r="K70" s="298"/>
      <c r="L70" s="298"/>
    </row>
    <row r="71" spans="1:21" ht="13.15">
      <c r="A71" s="128">
        <v>6</v>
      </c>
      <c r="B71" s="116">
        <f t="shared" si="10"/>
        <v>4630.6107774828379</v>
      </c>
      <c r="C71" s="116">
        <f t="shared" si="10"/>
        <v>5047.6487487928152</v>
      </c>
      <c r="D71" s="116">
        <f t="shared" si="10"/>
        <v>5267.9015920383599</v>
      </c>
      <c r="E71" s="116">
        <f t="shared" si="10"/>
        <v>5496.2770583945403</v>
      </c>
      <c r="F71" s="116">
        <f t="shared" si="10"/>
        <v>5978.3220407428671</v>
      </c>
      <c r="G71" s="298"/>
      <c r="H71" s="298"/>
      <c r="I71" s="298"/>
      <c r="J71" s="298"/>
      <c r="K71" s="298"/>
      <c r="L71" s="298"/>
    </row>
    <row r="72" spans="1:21" ht="13.15">
      <c r="A72" s="128">
        <f t="shared" ref="A72" si="11">A58</f>
        <v>7</v>
      </c>
      <c r="B72" s="116">
        <f t="shared" si="10"/>
        <v>4630.6107774828379</v>
      </c>
      <c r="C72" s="116">
        <f t="shared" si="10"/>
        <v>5118.7019396243595</v>
      </c>
      <c r="D72" s="116">
        <f t="shared" si="10"/>
        <v>5379.8093280327239</v>
      </c>
      <c r="E72" s="116">
        <f t="shared" si="10"/>
        <v>5652.8726093712921</v>
      </c>
      <c r="F72" s="116">
        <f t="shared" si="10"/>
        <v>6236.6868191140084</v>
      </c>
      <c r="G72" s="298"/>
      <c r="H72" s="298"/>
      <c r="I72" s="298"/>
      <c r="J72" s="298"/>
      <c r="K72" s="298"/>
      <c r="L72" s="298"/>
    </row>
    <row r="73" spans="1:21" ht="13.15">
      <c r="A73" s="128">
        <v>8</v>
      </c>
      <c r="B73" s="116">
        <f t="shared" si="10"/>
        <v>4630.6107774828379</v>
      </c>
      <c r="C73" s="116">
        <f t="shared" si="10"/>
        <v>5186.1198509249871</v>
      </c>
      <c r="D73" s="116">
        <f t="shared" si="10"/>
        <v>5487.0325541482507</v>
      </c>
      <c r="E73" s="116">
        <f t="shared" si="10"/>
        <v>5804.3697005488011</v>
      </c>
      <c r="F73" s="116">
        <f t="shared" si="10"/>
        <v>6491.4465075543885</v>
      </c>
      <c r="G73" s="298"/>
      <c r="H73" s="298"/>
      <c r="I73" s="298"/>
      <c r="J73" s="298"/>
      <c r="K73" s="298"/>
      <c r="L73" s="298"/>
    </row>
    <row r="74" spans="1:21" ht="13.15">
      <c r="A74" s="128">
        <f t="shared" ref="A74" si="12">A60</f>
        <v>9</v>
      </c>
      <c r="B74" s="116">
        <f t="shared" si="10"/>
        <v>4630.6107774828379</v>
      </c>
      <c r="C74" s="116">
        <f t="shared" si="10"/>
        <v>5250.0884737404676</v>
      </c>
      <c r="D74" s="116">
        <f t="shared" si="10"/>
        <v>5589.7673661473173</v>
      </c>
      <c r="E74" s="116">
        <f t="shared" si="10"/>
        <v>5950.9343282926238</v>
      </c>
      <c r="F74" s="116">
        <f t="shared" si="10"/>
        <v>6742.6514096444407</v>
      </c>
      <c r="G74" s="298"/>
      <c r="H74" s="298"/>
      <c r="I74" s="298"/>
      <c r="J74" s="298"/>
      <c r="K74" s="298"/>
      <c r="L74" s="298"/>
    </row>
    <row r="75" spans="1:21" ht="13.15">
      <c r="A75" s="128">
        <f t="shared" ref="A75:A79" si="13">A61</f>
        <v>10</v>
      </c>
      <c r="B75" s="116">
        <f t="shared" ref="B75:F79" si="14">(B61+FV_adjustments)/Common_Shares*scaling_factor*Exchange_Rate</f>
        <v>4630.6107774828379</v>
      </c>
      <c r="C75" s="116">
        <f t="shared" si="14"/>
        <v>5310.7842832956203</v>
      </c>
      <c r="D75" s="116">
        <f t="shared" si="14"/>
        <v>5688.2016511324673</v>
      </c>
      <c r="E75" s="116">
        <f t="shared" si="14"/>
        <v>6092.7270844354853</v>
      </c>
      <c r="F75" s="116">
        <f t="shared" si="14"/>
        <v>6990.3511270541658</v>
      </c>
      <c r="G75" s="298"/>
      <c r="H75" s="298"/>
      <c r="I75" s="298"/>
      <c r="J75" s="298"/>
      <c r="K75" s="298"/>
      <c r="L75" s="298"/>
    </row>
    <row r="76" spans="1:21" ht="13.15">
      <c r="A76" s="128">
        <f t="shared" si="13"/>
        <v>15</v>
      </c>
      <c r="B76" s="116">
        <f t="shared" si="14"/>
        <v>4630.6107774828379</v>
      </c>
      <c r="C76" s="116">
        <f t="shared" si="14"/>
        <v>5570.7409543662425</v>
      </c>
      <c r="D76" s="116">
        <f t="shared" si="14"/>
        <v>6121.9087223521083</v>
      </c>
      <c r="E76" s="116">
        <f t="shared" si="14"/>
        <v>6735.3768845618797</v>
      </c>
      <c r="F76" s="116">
        <f t="shared" si="14"/>
        <v>8177.9600912636142</v>
      </c>
      <c r="G76" s="298"/>
      <c r="H76" s="298"/>
      <c r="I76" s="298"/>
      <c r="J76" s="298"/>
      <c r="K76" s="298"/>
      <c r="L76" s="298"/>
    </row>
    <row r="77" spans="1:21" ht="13.15">
      <c r="A77" s="129">
        <f t="shared" si="13"/>
        <v>20</v>
      </c>
      <c r="B77" s="116">
        <f t="shared" si="14"/>
        <v>4630.6107774828379</v>
      </c>
      <c r="C77" s="116">
        <f t="shared" si="14"/>
        <v>5770.6624556622455</v>
      </c>
      <c r="D77" s="116">
        <f t="shared" si="14"/>
        <v>6472.1282075211639</v>
      </c>
      <c r="E77" s="116">
        <f t="shared" si="14"/>
        <v>7280.0033632055411</v>
      </c>
      <c r="F77" s="116">
        <f t="shared" si="14"/>
        <v>9284.9928490368111</v>
      </c>
      <c r="G77" s="298"/>
      <c r="H77" s="298"/>
      <c r="I77" s="298"/>
      <c r="J77" s="298"/>
      <c r="K77" s="298"/>
      <c r="L77" s="298"/>
    </row>
    <row r="78" spans="1:21" ht="13.15">
      <c r="A78" s="129">
        <f t="shared" si="13"/>
        <v>25</v>
      </c>
      <c r="B78" s="116">
        <f t="shared" si="14"/>
        <v>4630.6107774828379</v>
      </c>
      <c r="C78" s="116">
        <f t="shared" si="14"/>
        <v>5924.413488539526</v>
      </c>
      <c r="D78" s="116">
        <f t="shared" si="14"/>
        <v>6754.9312696136503</v>
      </c>
      <c r="E78" s="116">
        <f t="shared" si="14"/>
        <v>7741.5580095797486</v>
      </c>
      <c r="F78" s="116">
        <f t="shared" si="14"/>
        <v>10316.916288246213</v>
      </c>
      <c r="G78" s="298"/>
      <c r="H78" s="298"/>
      <c r="I78" s="298"/>
      <c r="J78" s="298"/>
      <c r="K78" s="298"/>
      <c r="L78" s="298"/>
    </row>
    <row r="79" spans="1:21" ht="13.15">
      <c r="A79" s="129">
        <f t="shared" si="13"/>
        <v>30</v>
      </c>
      <c r="B79" s="116">
        <f t="shared" si="14"/>
        <v>4630.6107774828379</v>
      </c>
      <c r="C79" s="116">
        <f t="shared" si="14"/>
        <v>6042.6567988267498</v>
      </c>
      <c r="D79" s="116">
        <f t="shared" si="14"/>
        <v>6983.295410718707</v>
      </c>
      <c r="E79" s="116">
        <f t="shared" si="14"/>
        <v>8132.7117634702272</v>
      </c>
      <c r="F79" s="116">
        <f t="shared" si="14"/>
        <v>11278.826382516365</v>
      </c>
      <c r="G79" s="298"/>
      <c r="H79" s="298"/>
      <c r="I79" s="298"/>
      <c r="J79" s="298"/>
      <c r="K79" s="298"/>
      <c r="L79" s="298"/>
    </row>
    <row r="81" spans="2:12" ht="13.15">
      <c r="B81" s="150" t="s">
        <v>97</v>
      </c>
      <c r="C81" s="150" t="s">
        <v>105</v>
      </c>
      <c r="D81" s="150" t="s">
        <v>95</v>
      </c>
      <c r="E81" s="151" t="s">
        <v>96</v>
      </c>
      <c r="F81" s="151" t="s">
        <v>434</v>
      </c>
      <c r="G81" s="324"/>
      <c r="H81" s="324"/>
      <c r="I81" s="324"/>
      <c r="J81" s="324"/>
      <c r="K81" s="324"/>
      <c r="L81" s="324"/>
    </row>
    <row r="82" spans="2:12">
      <c r="B82" s="117" t="str">
        <f>Scenarios!B29</f>
        <v>Snowball Scenario</v>
      </c>
      <c r="C82" s="127">
        <f>Scenarios!C29</f>
        <v>0.06</v>
      </c>
      <c r="D82" s="130">
        <f>Scenarios!D29</f>
        <v>30</v>
      </c>
      <c r="E82" s="124">
        <f>INDEX(B$69:F$79, MATCH(D82, A$69:A$79, 0), MATCH(C82, B$68:F$68, 0))</f>
        <v>11278.826382516365</v>
      </c>
      <c r="F82" s="127">
        <f>Scenarios!F29</f>
        <v>0.01</v>
      </c>
      <c r="G82" s="299"/>
      <c r="H82" s="299"/>
      <c r="I82" s="299"/>
      <c r="J82" s="299"/>
      <c r="K82" s="299"/>
      <c r="L82" s="299"/>
    </row>
    <row r="83" spans="2:12">
      <c r="B83" s="117" t="str">
        <f>Scenarios!B22</f>
        <v>Optimistic</v>
      </c>
      <c r="C83" s="127">
        <f>Scenarios!C22</f>
        <v>0.04</v>
      </c>
      <c r="D83" s="130">
        <f>Scenarios!D22</f>
        <v>30</v>
      </c>
      <c r="E83" s="124">
        <f>INDEX(B$69:F$79, MATCH(D83, A$69:A$79, 0), MATCH(C83, B$68:F$68, 0))</f>
        <v>8132.7117634702272</v>
      </c>
      <c r="F83" s="127">
        <f>Scenarios!F22*(1-F$82-F$86)</f>
        <v>0.188</v>
      </c>
      <c r="G83" s="299"/>
      <c r="H83" s="299"/>
      <c r="I83" s="299"/>
      <c r="J83" s="299"/>
      <c r="K83" s="299"/>
      <c r="L83" s="299"/>
    </row>
    <row r="84" spans="2:12">
      <c r="B84" s="117" t="str">
        <f>Scenarios!B23</f>
        <v>Base</v>
      </c>
      <c r="C84" s="127">
        <f>Scenarios!C23</f>
        <v>0.03</v>
      </c>
      <c r="D84" s="130">
        <f>Scenarios!D23</f>
        <v>30</v>
      </c>
      <c r="E84" s="124">
        <f>INDEX(B$69:F$79, MATCH(D84, A$69:A$79, 0), MATCH(C84, B$68:F$68, 0))</f>
        <v>6983.295410718707</v>
      </c>
      <c r="F84" s="127">
        <f>Scenarios!F23*(1-F$82-F$86)</f>
        <v>0.56399999999999995</v>
      </c>
      <c r="G84" s="299"/>
      <c r="H84" s="299"/>
      <c r="I84" s="299"/>
      <c r="J84" s="299"/>
      <c r="K84" s="299"/>
      <c r="L84" s="299"/>
    </row>
    <row r="85" spans="2:12">
      <c r="B85" s="117" t="str">
        <f>Scenarios!B24</f>
        <v>Pessimistic</v>
      </c>
      <c r="C85" s="127">
        <f>Scenarios!C24</f>
        <v>0.02</v>
      </c>
      <c r="D85" s="130">
        <f>Scenarios!D24</f>
        <v>30</v>
      </c>
      <c r="E85" s="124">
        <f>INDEX(B$69:F$79, MATCH(D85, A$69:A$79, 0), MATCH(C85, B$68:F$68, 0))</f>
        <v>6042.6567988267498</v>
      </c>
      <c r="F85" s="127">
        <f>Scenarios!F24*(1-F$82-F$86)</f>
        <v>0.188</v>
      </c>
      <c r="G85" s="299"/>
      <c r="H85" s="299"/>
      <c r="I85" s="299"/>
      <c r="J85" s="299"/>
      <c r="K85" s="299"/>
      <c r="L85" s="299"/>
    </row>
    <row r="86" spans="2:12">
      <c r="B86" s="117" t="str">
        <f>Scenarios!B30</f>
        <v>Devil's advocate</v>
      </c>
      <c r="C86" s="127">
        <f>Scenarios!C30</f>
        <v>0</v>
      </c>
      <c r="D86" s="130">
        <f>Scenarios!D30</f>
        <v>30</v>
      </c>
      <c r="E86" s="124">
        <f>INDEX(B$69:F$79, MATCH(D86, A$69:A$79, 0), MATCH(C86, B$68:F$68, 0))</f>
        <v>4630.6107774828379</v>
      </c>
      <c r="F86" s="127">
        <f>Scenarios!F30</f>
        <v>0.05</v>
      </c>
      <c r="G86" s="299"/>
      <c r="H86" s="299"/>
      <c r="I86" s="299"/>
      <c r="J86" s="299"/>
      <c r="K86" s="299"/>
      <c r="L86" s="299"/>
    </row>
    <row r="87" spans="2:12">
      <c r="B87" s="138"/>
      <c r="C87" s="138"/>
      <c r="D87" s="138"/>
      <c r="E87" s="138"/>
      <c r="F87" s="139"/>
      <c r="G87" s="139"/>
      <c r="H87" s="139"/>
      <c r="I87" s="139"/>
      <c r="J87" s="139"/>
      <c r="K87" s="139"/>
      <c r="L87" s="139"/>
    </row>
    <row r="97" spans="3:21">
      <c r="C97" s="109"/>
    </row>
    <row r="98" spans="3:21">
      <c r="C98" s="109"/>
    </row>
    <row r="99" spans="3:21">
      <c r="C99" s="109"/>
    </row>
    <row r="106" spans="3:21">
      <c r="C106" s="278"/>
      <c r="M106" s="278"/>
      <c r="N106" s="278"/>
      <c r="O106" s="278"/>
      <c r="P106" s="278"/>
      <c r="Q106" s="278"/>
      <c r="R106" s="278"/>
      <c r="S106" s="278"/>
      <c r="T106" s="278"/>
      <c r="U106" s="278"/>
    </row>
    <row r="107" spans="3:21">
      <c r="C107" s="278"/>
      <c r="M107" s="278"/>
      <c r="N107" s="278"/>
      <c r="O107" s="278"/>
      <c r="P107" s="278"/>
      <c r="Q107" s="278"/>
      <c r="R107" s="278"/>
      <c r="S107" s="278"/>
      <c r="T107" s="278"/>
      <c r="U107" s="278"/>
    </row>
    <row r="108" spans="3:21">
      <c r="C108" s="278"/>
      <c r="M108" s="278"/>
      <c r="N108" s="278"/>
      <c r="O108" s="278"/>
      <c r="P108" s="278"/>
      <c r="Q108" s="278"/>
      <c r="R108" s="278"/>
      <c r="S108" s="278"/>
      <c r="T108" s="278"/>
      <c r="U108" s="278"/>
    </row>
    <row r="109" spans="3:21">
      <c r="C109" s="278"/>
      <c r="M109" s="278"/>
      <c r="N109" s="278"/>
      <c r="O109" s="278"/>
      <c r="P109" s="278"/>
      <c r="Q109" s="278"/>
      <c r="R109" s="278"/>
      <c r="S109" s="278"/>
      <c r="T109" s="278"/>
      <c r="U109" s="278"/>
    </row>
    <row r="110" spans="3:21">
      <c r="C110" s="278"/>
      <c r="M110" s="278"/>
      <c r="N110" s="278"/>
      <c r="O110" s="278"/>
      <c r="P110" s="278"/>
      <c r="Q110" s="278"/>
      <c r="R110" s="278"/>
      <c r="S110" s="278"/>
      <c r="T110" s="278"/>
      <c r="U110" s="278"/>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43" zoomScaleNormal="100" workbookViewId="0">
      <selection activeCell="D67" sqref="D67"/>
    </sheetView>
  </sheetViews>
  <sheetFormatPr defaultColWidth="8.796875" defaultRowHeight="12.75"/>
  <cols>
    <col min="1" max="1" width="2.6640625" customWidth="1"/>
    <col min="2" max="2" width="22.6640625" customWidth="1"/>
    <col min="3" max="7" width="20.6640625" customWidth="1"/>
  </cols>
  <sheetData>
    <row r="2" spans="2:7" ht="13.9">
      <c r="B2" s="32" t="s">
        <v>117</v>
      </c>
      <c r="C2" s="33"/>
      <c r="D2" s="33"/>
      <c r="E2" s="33"/>
      <c r="F2" s="33"/>
      <c r="G2" s="33"/>
    </row>
    <row r="3" spans="2:7" ht="13.15">
      <c r="B3" s="142" t="s">
        <v>120</v>
      </c>
      <c r="D3" s="94" t="s">
        <v>519</v>
      </c>
      <c r="E3" s="94"/>
    </row>
    <row r="4" spans="2:7" ht="12.75" customHeight="1">
      <c r="B4" s="136" t="s">
        <v>118</v>
      </c>
      <c r="C4" s="451">
        <v>2</v>
      </c>
      <c r="D4" s="467"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601166.SS – 兴业银行: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7"/>
      <c r="F4" s="467"/>
      <c r="G4" s="467"/>
    </row>
    <row r="5" spans="2:7">
      <c r="C5" s="447"/>
      <c r="D5" s="467"/>
      <c r="E5" s="467"/>
      <c r="F5" s="467"/>
      <c r="G5" s="467"/>
    </row>
    <row r="6" spans="2:7" ht="13.15">
      <c r="B6" s="142" t="s">
        <v>88</v>
      </c>
      <c r="C6" s="448" t="str">
        <f>DDM!C3&amp;" "&amp;Reporting_currency</f>
        <v>1000000 CNY</v>
      </c>
      <c r="D6" s="467"/>
      <c r="E6" s="467"/>
      <c r="F6" s="467"/>
      <c r="G6" s="467"/>
    </row>
    <row r="7" spans="2:7" ht="12.75" customHeight="1">
      <c r="B7" s="94" t="s">
        <v>222</v>
      </c>
      <c r="C7" s="449">
        <f>Normalized_FCF!G9</f>
        <v>147386</v>
      </c>
      <c r="D7" s="467"/>
      <c r="E7" s="467"/>
      <c r="F7" s="467"/>
      <c r="G7" s="467"/>
    </row>
    <row r="8" spans="2:7">
      <c r="B8" s="94" t="s">
        <v>61</v>
      </c>
      <c r="C8" s="449">
        <f>Normalized_FCF!G19</f>
        <v>8.2909065162223693E-3</v>
      </c>
      <c r="D8" s="467"/>
      <c r="E8" s="467"/>
      <c r="F8" s="467"/>
      <c r="G8" s="467"/>
    </row>
    <row r="9" spans="2:7">
      <c r="B9" s="94" t="s">
        <v>53</v>
      </c>
      <c r="C9" s="449">
        <f>Normalized_FCF!C19</f>
        <v>1.4E-2</v>
      </c>
      <c r="D9" s="467"/>
      <c r="E9" s="467"/>
      <c r="F9" s="467"/>
      <c r="G9" s="467"/>
    </row>
    <row r="10" spans="2:7">
      <c r="C10" s="450"/>
      <c r="D10" s="467"/>
      <c r="E10" s="467"/>
      <c r="F10" s="467"/>
      <c r="G10" s="467"/>
    </row>
    <row r="11" spans="2:7" ht="13.15">
      <c r="B11" s="142" t="s">
        <v>309</v>
      </c>
      <c r="C11" s="450"/>
      <c r="D11" s="467"/>
      <c r="E11" s="467"/>
      <c r="F11" s="467"/>
      <c r="G11" s="467"/>
    </row>
    <row r="12" spans="2:7">
      <c r="B12" s="111" t="s">
        <v>116</v>
      </c>
      <c r="C12" s="252">
        <f ca="1">(Normalized_FCF!G4/OFFSET(Normalized_FCF!G4, 0, $C$4))^(1/$C$4) - 1</f>
        <v>2.2691868219390177E-2</v>
      </c>
      <c r="D12" s="467"/>
      <c r="E12" s="467"/>
      <c r="F12" s="467"/>
      <c r="G12" s="467"/>
    </row>
    <row r="13" spans="2:7">
      <c r="B13" s="132" t="s">
        <v>122</v>
      </c>
      <c r="C13" s="252">
        <f ca="1">(Normalized_FCF!G9/OFFSET(Normalized_FCF!G9, 0, $C$4))^(1/$C$4) - 1</f>
        <v>-2.4184102394003482E-2</v>
      </c>
      <c r="D13" s="467"/>
      <c r="E13" s="467"/>
      <c r="F13" s="467"/>
      <c r="G13" s="467"/>
    </row>
    <row r="14" spans="2:7">
      <c r="B14" s="94" t="s">
        <v>61</v>
      </c>
      <c r="C14" s="252">
        <f ca="1">(Normalized_FCF!G19/OFFSET(Normalized_FCF!G19, 0, $C$4))^(1/$C$4) - 1</f>
        <v>-0.14953256573916662</v>
      </c>
      <c r="D14" s="467"/>
      <c r="E14" s="467"/>
      <c r="F14" s="467"/>
      <c r="G14" s="467"/>
    </row>
    <row r="16" spans="2:7" ht="13.9">
      <c r="B16" s="32" t="s">
        <v>430</v>
      </c>
      <c r="C16" s="33"/>
      <c r="D16" s="33"/>
      <c r="E16" s="33"/>
      <c r="F16" s="33"/>
      <c r="G16" s="33"/>
    </row>
    <row r="17" spans="2:7" ht="13.15">
      <c r="B17" s="103" t="s">
        <v>121</v>
      </c>
      <c r="E17" s="222" t="s">
        <v>241</v>
      </c>
    </row>
    <row r="18" spans="2:7" ht="12.75" customHeight="1">
      <c r="B18" s="136" t="s">
        <v>106</v>
      </c>
      <c r="C18" s="134">
        <v>30</v>
      </c>
      <c r="E18" s="452" t="s">
        <v>520</v>
      </c>
      <c r="F18" s="320"/>
    </row>
    <row r="19" spans="2:7">
      <c r="E19" s="320"/>
      <c r="F19" s="320"/>
    </row>
    <row r="20" spans="2:7" ht="13.15">
      <c r="B20" s="103" t="s">
        <v>427</v>
      </c>
      <c r="E20" s="320"/>
      <c r="F20" s="320"/>
    </row>
    <row r="21" spans="2:7" ht="13.15">
      <c r="B21" s="150" t="s">
        <v>413</v>
      </c>
      <c r="C21" s="150" t="s">
        <v>367</v>
      </c>
      <c r="D21" s="150" t="s">
        <v>425</v>
      </c>
      <c r="E21" s="151" t="str">
        <f>"Value per share ("&amp;Market_currency&amp;")"</f>
        <v>Value per share (CNY)</v>
      </c>
      <c r="F21" s="151" t="s">
        <v>426</v>
      </c>
      <c r="G21" s="151" t="s">
        <v>434</v>
      </c>
    </row>
    <row r="22" spans="2:7">
      <c r="B22" s="304" t="s">
        <v>422</v>
      </c>
      <c r="C22" s="325">
        <v>0.04</v>
      </c>
      <c r="D22" s="326">
        <f>C18</f>
        <v>30</v>
      </c>
      <c r="E22" s="327">
        <f>DDM!E83</f>
        <v>8132.7117634702272</v>
      </c>
      <c r="F22" s="329">
        <f>1-F23-F24</f>
        <v>0.2</v>
      </c>
      <c r="G22" s="329">
        <f>F22*(1-F$29-F$30)</f>
        <v>0.188</v>
      </c>
    </row>
    <row r="23" spans="2:7">
      <c r="B23" s="304" t="s">
        <v>414</v>
      </c>
      <c r="C23" s="325">
        <v>0.03</v>
      </c>
      <c r="D23" s="326">
        <f>C18</f>
        <v>30</v>
      </c>
      <c r="E23" s="327">
        <f>DDM!E84</f>
        <v>6983.295410718707</v>
      </c>
      <c r="F23" s="328">
        <v>0.6</v>
      </c>
      <c r="G23" s="329">
        <f t="shared" ref="G23:G24" si="0">F23*(1-F$29-F$30)</f>
        <v>0.56399999999999995</v>
      </c>
    </row>
    <row r="24" spans="2:7">
      <c r="B24" s="304" t="s">
        <v>423</v>
      </c>
      <c r="C24" s="325">
        <v>0.02</v>
      </c>
      <c r="D24" s="326">
        <f>C18</f>
        <v>30</v>
      </c>
      <c r="E24" s="327">
        <f>DDM!E85</f>
        <v>6042.6567988267498</v>
      </c>
      <c r="F24" s="328">
        <v>0.2</v>
      </c>
      <c r="G24" s="329">
        <f t="shared" si="0"/>
        <v>0.188</v>
      </c>
    </row>
    <row r="25" spans="2:7">
      <c r="B25" s="138" t="s">
        <v>428</v>
      </c>
      <c r="C25" s="443">
        <f>E23*F23+E24*F24+E22*F22</f>
        <v>7025.0509588906198</v>
      </c>
      <c r="D25" s="138" t="str">
        <f>Market_currency</f>
        <v>CNY</v>
      </c>
      <c r="G25" s="146"/>
    </row>
    <row r="27" spans="2:7" ht="13.15">
      <c r="B27" s="103" t="s">
        <v>429</v>
      </c>
    </row>
    <row r="28" spans="2:7" ht="13.15">
      <c r="B28" s="150" t="s">
        <v>413</v>
      </c>
      <c r="C28" s="150" t="s">
        <v>367</v>
      </c>
      <c r="D28" s="150" t="s">
        <v>425</v>
      </c>
      <c r="E28" s="151" t="str">
        <f>"Value per share ("&amp;Market_currency&amp;")"</f>
        <v>Value per share (CNY)</v>
      </c>
      <c r="F28" s="151" t="s">
        <v>426</v>
      </c>
      <c r="G28" s="151" t="s">
        <v>434</v>
      </c>
    </row>
    <row r="29" spans="2:7">
      <c r="B29" s="304" t="s">
        <v>421</v>
      </c>
      <c r="C29" s="325">
        <v>0.06</v>
      </c>
      <c r="D29" s="326">
        <f>C18</f>
        <v>30</v>
      </c>
      <c r="E29" s="327">
        <f>DDM!E82</f>
        <v>11278.826382516365</v>
      </c>
      <c r="F29" s="328">
        <v>0.01</v>
      </c>
      <c r="G29" s="329">
        <f>F29</f>
        <v>0.01</v>
      </c>
    </row>
    <row r="30" spans="2:7">
      <c r="B30" s="316" t="s">
        <v>424</v>
      </c>
      <c r="C30" s="325">
        <v>0</v>
      </c>
      <c r="D30" s="326">
        <f>C18</f>
        <v>30</v>
      </c>
      <c r="E30" s="327">
        <f>DDM!E86</f>
        <v>4630.6107774828379</v>
      </c>
      <c r="F30" s="328">
        <v>0.05</v>
      </c>
      <c r="G30" s="329">
        <f>F30</f>
        <v>0.05</v>
      </c>
    </row>
    <row r="31" spans="2:7">
      <c r="E31" s="330"/>
      <c r="F31" s="330"/>
    </row>
    <row r="32" spans="2:7" ht="13.15">
      <c r="B32" s="142" t="s">
        <v>433</v>
      </c>
    </row>
    <row r="33" spans="2:7">
      <c r="B33" s="94" t="s">
        <v>435</v>
      </c>
      <c r="C33" s="152">
        <f>Normalized_FCF!C83*(1-dividend_tax_rate)</f>
        <v>1.06</v>
      </c>
      <c r="D33" t="str">
        <f>Market_currency</f>
        <v>CNY</v>
      </c>
      <c r="E33" s="94" t="s">
        <v>432</v>
      </c>
      <c r="F33" s="219">
        <f>Holding_Period</f>
        <v>2</v>
      </c>
    </row>
    <row r="34" spans="2:7">
      <c r="B34" s="94" t="s">
        <v>223</v>
      </c>
      <c r="C34" s="143">
        <f>Market_Price</f>
        <v>21.35</v>
      </c>
      <c r="D34" t="str">
        <f>Market_currency</f>
        <v>CNY</v>
      </c>
      <c r="E34" s="94" t="s">
        <v>431</v>
      </c>
      <c r="F34" s="331">
        <f>RATE(Holding_Period,$C$33,-C34,$C$36)</f>
        <v>17.065813155375174</v>
      </c>
    </row>
    <row r="35" spans="2:7">
      <c r="B35" s="94" t="s">
        <v>411</v>
      </c>
      <c r="C35" s="321">
        <f>DDM!C9</f>
        <v>14.133333333333336</v>
      </c>
      <c r="D35" s="94" t="str">
        <f>Market_currency</f>
        <v>CNY</v>
      </c>
      <c r="E35" s="94" t="s">
        <v>431</v>
      </c>
      <c r="F35" s="331">
        <f>RATE(Holding_Period,$C$33,-C35,$C$36)</f>
        <v>21.211149869115982</v>
      </c>
    </row>
    <row r="36" spans="2:7">
      <c r="B36" s="94" t="s">
        <v>412</v>
      </c>
      <c r="C36" s="322">
        <f>E22*G22+E23*G23+E24*G24+E30*G30+E29*G29</f>
        <v>6947.8667040564878</v>
      </c>
      <c r="D36" t="str">
        <f>Market_currency</f>
        <v>CNY</v>
      </c>
      <c r="E36" s="94" t="s">
        <v>437</v>
      </c>
      <c r="F36" s="332" t="s">
        <v>436</v>
      </c>
    </row>
    <row r="38" spans="2:7" ht="13.9">
      <c r="B38" s="32" t="s">
        <v>397</v>
      </c>
      <c r="C38" s="33"/>
      <c r="D38" s="33"/>
      <c r="E38" s="33"/>
      <c r="F38" s="33"/>
      <c r="G38" s="33"/>
    </row>
    <row r="39" spans="2:7" ht="13.15">
      <c r="B39" s="415" t="str">
        <f>IF(DDM!F14="II","2","1")&amp;"-stage DCF"</f>
        <v>1-stage DCF</v>
      </c>
      <c r="E39" s="222" t="s">
        <v>241</v>
      </c>
    </row>
    <row r="40" spans="2:7">
      <c r="B40" t="s">
        <v>386</v>
      </c>
      <c r="C40" s="135">
        <f>DDM!C17</f>
        <v>0</v>
      </c>
      <c r="E40" s="94" t="s">
        <v>387</v>
      </c>
    </row>
    <row r="41" spans="2:7">
      <c r="B41" s="94" t="s">
        <v>385</v>
      </c>
      <c r="C41" s="135">
        <f>DDM!C16</f>
        <v>1.8613012126595961E-2</v>
      </c>
      <c r="E41" s="94"/>
    </row>
    <row r="43" spans="2:7" ht="13.9">
      <c r="B43" s="32" t="s">
        <v>264</v>
      </c>
      <c r="C43" s="33"/>
      <c r="D43" s="33"/>
      <c r="E43" s="33"/>
      <c r="F43" s="33"/>
      <c r="G43" s="33"/>
    </row>
    <row r="44" spans="2:7" ht="13.15">
      <c r="B44" s="103" t="s">
        <v>239</v>
      </c>
      <c r="E44" s="222" t="s">
        <v>241</v>
      </c>
    </row>
    <row r="45" spans="2:7">
      <c r="B45" s="136" t="s">
        <v>106</v>
      </c>
      <c r="C45" s="147">
        <f>C18</f>
        <v>30</v>
      </c>
      <c r="D45" s="134"/>
      <c r="E45" s="221" t="s">
        <v>296</v>
      </c>
    </row>
    <row r="46" spans="2:7">
      <c r="B46" s="111" t="s">
        <v>107</v>
      </c>
      <c r="C46" s="135">
        <v>1.8613012126595961E-2</v>
      </c>
      <c r="D46" s="135"/>
      <c r="E46" s="221" t="s">
        <v>242</v>
      </c>
    </row>
    <row r="47" spans="2:7">
      <c r="B47" s="94" t="s">
        <v>92</v>
      </c>
      <c r="C47" s="143">
        <f>DDM!I18</f>
        <v>5926.2380768007424</v>
      </c>
      <c r="D47" s="143" t="str">
        <f>Market_currency</f>
        <v>CNY</v>
      </c>
      <c r="E47" s="221" t="s">
        <v>243</v>
      </c>
    </row>
    <row r="49" spans="2:7" ht="13.15">
      <c r="B49" s="103" t="s">
        <v>265</v>
      </c>
      <c r="E49" s="222" t="s">
        <v>244</v>
      </c>
    </row>
    <row r="50" spans="2:7">
      <c r="B50" s="94" t="s">
        <v>240</v>
      </c>
      <c r="C50" s="218" t="str">
        <f>IF(C36&lt;C35,"Y","N")</f>
        <v>N</v>
      </c>
      <c r="E50" s="123"/>
    </row>
    <row r="51" spans="2:7">
      <c r="B51" s="94" t="s">
        <v>236</v>
      </c>
      <c r="C51" s="218" t="str">
        <f>IF(C50="Y","N",IF(C46&gt;8%,"N","Y"))</f>
        <v>Y</v>
      </c>
      <c r="E51" s="221" t="s">
        <v>237</v>
      </c>
    </row>
    <row r="52" spans="2:7">
      <c r="B52" s="94" t="s">
        <v>235</v>
      </c>
      <c r="C52" s="218" t="str">
        <f>IF(C46&gt;8%,"Y","N")</f>
        <v>N</v>
      </c>
      <c r="E52" s="221"/>
    </row>
    <row r="53" spans="2:7">
      <c r="B53" s="94" t="s">
        <v>227</v>
      </c>
      <c r="C53" s="217" t="str">
        <f>IF(F53&gt;50%,"Y","N")</f>
        <v>N</v>
      </c>
      <c r="E53" s="123" t="s">
        <v>261</v>
      </c>
      <c r="F53" s="252">
        <f>BS!D89/C36</f>
        <v>0</v>
      </c>
    </row>
    <row r="55" spans="2:7" ht="13.9">
      <c r="B55" s="32" t="s">
        <v>102</v>
      </c>
      <c r="C55" s="33"/>
      <c r="D55" s="33"/>
      <c r="E55" s="33"/>
      <c r="F55" s="33"/>
      <c r="G55" s="33"/>
    </row>
    <row r="56" spans="2:7" ht="13.15">
      <c r="B56" s="103" t="s">
        <v>101</v>
      </c>
    </row>
    <row r="57" spans="2:7">
      <c r="B57" s="220" t="s">
        <v>238</v>
      </c>
      <c r="C57" s="219">
        <f>Holding_Period</f>
        <v>2</v>
      </c>
      <c r="D57" s="123"/>
    </row>
    <row r="58" spans="2:7">
      <c r="B58" s="94" t="s">
        <v>321</v>
      </c>
      <c r="C58" s="152">
        <f>C33</f>
        <v>1.06</v>
      </c>
      <c r="D58" t="str">
        <f>Market_currency</f>
        <v>CNY</v>
      </c>
    </row>
    <row r="60" spans="2:7" ht="13.15">
      <c r="B60" s="103" t="s">
        <v>449</v>
      </c>
      <c r="E60" s="414"/>
    </row>
    <row r="61" spans="2:7" ht="13.15">
      <c r="B61" s="150" t="s">
        <v>439</v>
      </c>
      <c r="C61" s="150" t="s">
        <v>98</v>
      </c>
      <c r="D61" s="150" t="s">
        <v>99</v>
      </c>
      <c r="E61" s="151" t="str">
        <f>"Buy below ("&amp;Market_currency&amp;")"</f>
        <v>Buy below (CNY)</v>
      </c>
      <c r="F61" s="151" t="s">
        <v>431</v>
      </c>
      <c r="G61" s="151" t="s">
        <v>438</v>
      </c>
    </row>
    <row r="62" spans="2:7" ht="13.15">
      <c r="B62" s="304" t="s">
        <v>300</v>
      </c>
      <c r="C62" s="116">
        <f>PV(F62, Holding_Period, -C58, 0)</f>
        <v>1.3668038408779153</v>
      </c>
      <c r="D62" s="116">
        <f>C36/(1+F62)^Holding_Period</f>
        <v>3812.2725399486899</v>
      </c>
      <c r="E62" s="333">
        <f>C62+D62</f>
        <v>3813.6393437895676</v>
      </c>
      <c r="F62" s="303">
        <f>Thesis!E22</f>
        <v>0.35</v>
      </c>
      <c r="G62" s="442">
        <f>(1-E62/C36)</f>
        <v>0.45110643219983082</v>
      </c>
    </row>
    <row r="63" spans="2:7" ht="13.15">
      <c r="B63" s="304" t="s">
        <v>301</v>
      </c>
      <c r="C63" s="116">
        <f>PV(F63, Holding_Period, -C58, 0)</f>
        <v>1.5264000000000002</v>
      </c>
      <c r="D63" s="116">
        <f>C36/(1+F63)^Holding_Period</f>
        <v>4446.6346905961518</v>
      </c>
      <c r="E63" s="333">
        <f>C63+D63</f>
        <v>4448.1610905961516</v>
      </c>
      <c r="F63" s="303">
        <f>Thesis!E23</f>
        <v>0.25</v>
      </c>
      <c r="G63" s="442">
        <f>(1-E63/C36)</f>
        <v>0.35978030666605787</v>
      </c>
    </row>
    <row r="65" spans="2:7" ht="13.15">
      <c r="B65" s="150" t="s">
        <v>440</v>
      </c>
      <c r="C65" s="150" t="s">
        <v>98</v>
      </c>
      <c r="D65" s="150" t="s">
        <v>99</v>
      </c>
      <c r="E65" s="151" t="str">
        <f>"Sell above ("&amp;Market_currency&amp;")"</f>
        <v>Sell above (CNY)</v>
      </c>
      <c r="F65" s="151" t="s">
        <v>431</v>
      </c>
      <c r="G65" s="151" t="s">
        <v>438</v>
      </c>
    </row>
    <row r="66" spans="2:7" ht="13.15">
      <c r="B66" s="304" t="s">
        <v>303</v>
      </c>
      <c r="C66" s="116">
        <f>PV(F66, Holding_Period, -C58, 0)</f>
        <v>1.7975932968992776</v>
      </c>
      <c r="D66" s="116">
        <f>C36/(1+F66)^Holding_Period</f>
        <v>5564.6024650031914</v>
      </c>
      <c r="E66" s="333">
        <f>C66+D66</f>
        <v>5566.4000583000907</v>
      </c>
      <c r="F66" s="303">
        <f>Thesis!E24</f>
        <v>0.1174</v>
      </c>
      <c r="G66" s="442">
        <f>(1-E66/C47)</f>
        <v>6.0719467196111876E-2</v>
      </c>
    </row>
    <row r="67" spans="2:7" ht="13.15">
      <c r="B67" s="304" t="s">
        <v>302</v>
      </c>
      <c r="C67" s="116">
        <f>PV(F67, Holding_Period, -C58, 0)</f>
        <v>1.9032990805840986</v>
      </c>
      <c r="D67" s="116">
        <f>C36/(1+F67)^Holding_Period</f>
        <v>6012.215644397178</v>
      </c>
      <c r="E67" s="333">
        <f>C67+D67</f>
        <v>6014.1189434777625</v>
      </c>
      <c r="F67" s="303">
        <f>Thesis!E25</f>
        <v>7.4999999999999997E-2</v>
      </c>
      <c r="G67" s="442">
        <f>(1-E67/C36)</f>
        <v>0.1343934477087132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F15" sqref="F15"/>
    </sheetView>
  </sheetViews>
  <sheetFormatPr defaultColWidth="9" defaultRowHeight="12.4"/>
  <cols>
    <col min="1" max="1" width="2.6640625" style="344" customWidth="1"/>
    <col min="2" max="2" width="32.6640625" style="344" customWidth="1"/>
    <col min="3" max="4" width="25.6640625" style="344" customWidth="1"/>
    <col min="5" max="6" width="15.6640625" style="344" customWidth="1"/>
    <col min="7" max="16384" width="9" style="344"/>
  </cols>
  <sheetData>
    <row r="2" spans="1:10" ht="13.9">
      <c r="A2" s="346" t="s">
        <v>322</v>
      </c>
      <c r="B2" s="346"/>
      <c r="C2" s="346"/>
      <c r="D2" s="346"/>
      <c r="E2" s="346"/>
      <c r="F2" s="346"/>
      <c r="G2" s="347"/>
      <c r="H2" s="347"/>
      <c r="I2" s="347"/>
      <c r="J2" s="347"/>
    </row>
    <row r="3" spans="1:10">
      <c r="E3" s="437" t="s">
        <v>517</v>
      </c>
      <c r="F3" s="438">
        <f>Thesis!F3</f>
        <v>45930</v>
      </c>
    </row>
    <row r="4" spans="1:10">
      <c r="B4" s="424" t="s">
        <v>509</v>
      </c>
      <c r="C4" s="425" t="str">
        <f>Thesis!C4</f>
        <v>兴业银行</v>
      </c>
      <c r="D4" s="350"/>
      <c r="E4" s="436" t="s">
        <v>515</v>
      </c>
      <c r="F4" s="439" t="str">
        <f>Thesis!F4</f>
        <v>INT</v>
      </c>
    </row>
    <row r="5" spans="1:10">
      <c r="B5" s="344" t="s">
        <v>352</v>
      </c>
      <c r="C5" s="356" t="str">
        <f>Thesis!C5</f>
        <v>601166.SS</v>
      </c>
      <c r="E5" s="440" t="s">
        <v>516</v>
      </c>
      <c r="F5" s="441" t="str">
        <f>Thesis!F5</f>
        <v>Y</v>
      </c>
    </row>
    <row r="6" spans="1:10">
      <c r="B6" s="351" t="s">
        <v>324</v>
      </c>
      <c r="C6" s="353" t="str">
        <f>Thesis!C6</f>
        <v>FIN_01</v>
      </c>
      <c r="E6" s="355"/>
    </row>
    <row r="7" spans="1:10">
      <c r="B7" s="344" t="s">
        <v>354</v>
      </c>
      <c r="C7" s="353" t="str">
        <f>Market_currency</f>
        <v>CNY</v>
      </c>
      <c r="D7" s="355"/>
      <c r="E7" s="355"/>
    </row>
    <row r="8" spans="1:10">
      <c r="B8" s="352" t="s">
        <v>353</v>
      </c>
      <c r="C8" s="357">
        <f>Market_Price</f>
        <v>21.35</v>
      </c>
    </row>
    <row r="9" spans="1:10">
      <c r="B9" s="352" t="s">
        <v>349</v>
      </c>
      <c r="C9" s="354">
        <f>Common_Shares</f>
        <v>20774311267</v>
      </c>
    </row>
    <row r="10" spans="1:10">
      <c r="B10" s="352" t="s">
        <v>355</v>
      </c>
      <c r="C10" s="358">
        <f>投资主题!C8*Common_Shares/1000000</f>
        <v>443531.54555044998</v>
      </c>
      <c r="D10" s="344" t="s">
        <v>505</v>
      </c>
      <c r="E10" s="361">
        <f>Scenarios!F34</f>
        <v>17.065813155375174</v>
      </c>
    </row>
    <row r="11" spans="1:10">
      <c r="D11" s="350"/>
      <c r="E11" s="350"/>
    </row>
    <row r="12" spans="1:10" ht="24.5" customHeight="1">
      <c r="B12" s="469" t="s">
        <v>474</v>
      </c>
      <c r="C12" s="469"/>
      <c r="D12" s="469"/>
      <c r="E12" s="469"/>
      <c r="F12" s="469"/>
    </row>
    <row r="14" spans="1:10">
      <c r="B14" s="348" t="s">
        <v>358</v>
      </c>
      <c r="C14" s="349"/>
      <c r="D14" s="350"/>
    </row>
    <row r="15" spans="1:10">
      <c r="B15" s="344" t="s">
        <v>325</v>
      </c>
      <c r="C15" s="359" t="str">
        <f>Thesis!C15</f>
        <v>N</v>
      </c>
      <c r="D15" s="352" t="s">
        <v>356</v>
      </c>
      <c r="E15" s="345" t="str">
        <f>IF(E17=C7,C7,E17&amp;"/"&amp;C7)</f>
        <v>CNY</v>
      </c>
    </row>
    <row r="16" spans="1:10">
      <c r="B16" s="344" t="s">
        <v>326</v>
      </c>
      <c r="C16" s="359" t="str">
        <f>Thesis!C16</f>
        <v>N</v>
      </c>
      <c r="D16" s="352" t="s">
        <v>357</v>
      </c>
      <c r="E16" s="427">
        <f>Exchange_Rate</f>
        <v>1</v>
      </c>
    </row>
    <row r="17" spans="1:6">
      <c r="B17" s="344" t="s">
        <v>510</v>
      </c>
      <c r="C17" s="426">
        <f>Terminal_Growth</f>
        <v>0</v>
      </c>
      <c r="D17" s="352" t="s">
        <v>327</v>
      </c>
      <c r="E17" s="345" t="str">
        <f>Reporting_currency</f>
        <v>CNY</v>
      </c>
    </row>
    <row r="18" spans="1:6">
      <c r="B18" s="344" t="str">
        <f>"预期股权价值 ("&amp;C7&amp;") :"</f>
        <v>预期股权价值 (CNY) :</v>
      </c>
      <c r="C18" s="360">
        <f>C125</f>
        <v>6947.8667040564878</v>
      </c>
      <c r="D18" s="351" t="s">
        <v>350</v>
      </c>
      <c r="E18" s="428">
        <f>Thesis!E18</f>
        <v>6</v>
      </c>
    </row>
    <row r="19" spans="1:6">
      <c r="B19" s="351" t="s">
        <v>323</v>
      </c>
      <c r="C19" s="353" t="str">
        <f>IF(Scenarios!C50="Y",Scenarios!B50,"")&amp;IF(Scenarios!C51="Y",Scenarios!B51,"")&amp;IF(Scenarios!C52="Y",Scenarios!B52,"")&amp;" "&amp;IF(Scenarios!C53="Y",Scenarios!B53,"")</f>
        <v xml:space="preserve">Low Growth </v>
      </c>
      <c r="D19" s="344" t="s">
        <v>351</v>
      </c>
      <c r="E19" s="429">
        <f>EOMONTH(EDATE(BS!C1,E18+2),0)</f>
        <v>45900</v>
      </c>
    </row>
    <row r="20" spans="1:6">
      <c r="D20" s="350"/>
      <c r="E20" s="350"/>
    </row>
    <row r="21" spans="1:6">
      <c r="B21" s="348" t="s">
        <v>469</v>
      </c>
      <c r="C21" s="362" t="str">
        <f>C138&amp;" ("&amp;Market_currency&amp;")"</f>
        <v xml:space="preserve"> (CNY)</v>
      </c>
      <c r="D21" s="363" t="s">
        <v>332</v>
      </c>
      <c r="E21" s="364">
        <f>Holding_Period</f>
        <v>2</v>
      </c>
    </row>
    <row r="22" spans="1:6">
      <c r="B22" s="344" t="s">
        <v>328</v>
      </c>
      <c r="C22" s="365">
        <f>E140</f>
        <v>3813.6393437895676</v>
      </c>
      <c r="D22" s="366" t="s">
        <v>417</v>
      </c>
      <c r="E22" s="367">
        <f>Thesis!E22</f>
        <v>0.35</v>
      </c>
    </row>
    <row r="23" spans="1:6">
      <c r="B23" s="344" t="s">
        <v>329</v>
      </c>
      <c r="C23" s="368">
        <f>E141</f>
        <v>4448.1610905961516</v>
      </c>
      <c r="D23" s="366" t="s">
        <v>418</v>
      </c>
      <c r="E23" s="369">
        <f>Thesis!E23</f>
        <v>0.25</v>
      </c>
    </row>
    <row r="24" spans="1:6">
      <c r="B24" s="344" t="s">
        <v>331</v>
      </c>
      <c r="C24" s="368">
        <f>E144</f>
        <v>5566.4000583000907</v>
      </c>
      <c r="D24" s="366" t="s">
        <v>420</v>
      </c>
      <c r="E24" s="369">
        <f>Thesis!E24</f>
        <v>0.1174</v>
      </c>
    </row>
    <row r="25" spans="1:6">
      <c r="B25" s="344" t="s">
        <v>330</v>
      </c>
      <c r="C25" s="368">
        <f>E145</f>
        <v>6014.1189434777625</v>
      </c>
      <c r="D25" s="366" t="s">
        <v>419</v>
      </c>
      <c r="E25" s="369">
        <f>Thesis!E25</f>
        <v>7.4999999999999997E-2</v>
      </c>
    </row>
    <row r="27" spans="1:6" ht="13.9">
      <c r="A27" s="346" t="s">
        <v>333</v>
      </c>
      <c r="B27" s="346"/>
      <c r="C27" s="346"/>
      <c r="D27" s="346"/>
      <c r="E27" s="346"/>
      <c r="F27" s="346"/>
    </row>
    <row r="29" spans="1:6">
      <c r="B29" s="469" t="s">
        <v>475</v>
      </c>
      <c r="C29" s="469"/>
      <c r="D29" s="469"/>
      <c r="E29" s="469"/>
      <c r="F29" s="469"/>
    </row>
    <row r="30" spans="1:6" ht="24.5" customHeight="1">
      <c r="B30" s="470" t="s">
        <v>476</v>
      </c>
      <c r="C30" s="470"/>
      <c r="D30" s="470"/>
      <c r="E30" s="470"/>
      <c r="F30" s="470"/>
    </row>
    <row r="32" spans="1:6">
      <c r="B32" s="370" t="s">
        <v>359</v>
      </c>
      <c r="C32" s="371">
        <f>scaling_factor</f>
        <v>1000000</v>
      </c>
    </row>
    <row r="33" spans="2:6">
      <c r="B33" s="468" t="s">
        <v>477</v>
      </c>
      <c r="C33" s="468"/>
      <c r="D33" s="468"/>
      <c r="E33" s="468"/>
      <c r="F33" s="468"/>
    </row>
    <row r="34" spans="2:6">
      <c r="B34" s="373" t="s">
        <v>187</v>
      </c>
      <c r="C34" s="374">
        <f>Normalized_FCF!C9</f>
        <v>330092.54036779993</v>
      </c>
      <c r="D34" s="344" t="str">
        <f>Reporting_currency</f>
        <v>CNY</v>
      </c>
    </row>
    <row r="35" spans="2:6">
      <c r="B35" s="373"/>
      <c r="C35" s="375"/>
    </row>
    <row r="36" spans="2:6" ht="24.5" customHeight="1">
      <c r="B36" s="468" t="s">
        <v>478</v>
      </c>
      <c r="C36" s="468"/>
      <c r="D36" s="468"/>
      <c r="E36" s="468"/>
      <c r="F36" s="468"/>
    </row>
    <row r="37" spans="2:6">
      <c r="B37" s="373" t="s">
        <v>189</v>
      </c>
      <c r="C37" s="374">
        <f>Normalized_FCF!C15</f>
        <v>8.9635033435971331E-2</v>
      </c>
      <c r="D37" s="344" t="str">
        <f>Reporting_currency</f>
        <v>CNY</v>
      </c>
    </row>
    <row r="38" spans="2:6">
      <c r="B38" s="376" t="s">
        <v>190</v>
      </c>
      <c r="C38" s="374">
        <f>Normalized_FCF!C16</f>
        <v>22020.769943020005</v>
      </c>
      <c r="D38" s="344" t="str">
        <f>Reporting_currency</f>
        <v>CNY</v>
      </c>
    </row>
    <row r="40" spans="2:6">
      <c r="B40" s="468" t="s">
        <v>479</v>
      </c>
      <c r="C40" s="468"/>
      <c r="D40" s="468"/>
      <c r="E40" s="468"/>
      <c r="F40" s="468"/>
    </row>
    <row r="41" spans="2:6">
      <c r="B41" s="373" t="s">
        <v>192</v>
      </c>
      <c r="C41" s="374">
        <f>Normalized_FCF!C5</f>
        <v>61890</v>
      </c>
      <c r="D41" s="344" t="str">
        <f>Reporting_currency</f>
        <v>CNY</v>
      </c>
    </row>
    <row r="43" spans="2:6">
      <c r="B43" s="468" t="s">
        <v>480</v>
      </c>
      <c r="C43" s="468"/>
      <c r="D43" s="468"/>
      <c r="E43" s="468"/>
      <c r="F43" s="468"/>
    </row>
    <row r="44" spans="2:6">
      <c r="B44" s="373" t="s">
        <v>256</v>
      </c>
      <c r="C44" s="377">
        <f>Normalized_FCF!C37</f>
        <v>526541.54036779993</v>
      </c>
      <c r="D44" s="344" t="str">
        <f>Reporting_currency</f>
        <v>CNY</v>
      </c>
      <c r="E44" s="372"/>
      <c r="F44" s="372"/>
    </row>
    <row r="45" spans="2:6">
      <c r="B45" s="373" t="s">
        <v>257</v>
      </c>
      <c r="C45" s="377">
        <f>Normalized_FCF!C36</f>
        <v>-195728</v>
      </c>
      <c r="D45" s="344" t="str">
        <f>Reporting_currency</f>
        <v>CNY</v>
      </c>
      <c r="E45" s="372"/>
      <c r="F45" s="372"/>
    </row>
    <row r="46" spans="2:6">
      <c r="B46" s="373" t="s">
        <v>193</v>
      </c>
      <c r="C46" s="374">
        <f>Normalized_FCF!C10</f>
        <v>0</v>
      </c>
      <c r="D46" s="344" t="str">
        <f>Reporting_currency</f>
        <v>CNY</v>
      </c>
    </row>
    <row r="48" spans="2:6">
      <c r="B48" s="344" t="s">
        <v>481</v>
      </c>
    </row>
    <row r="49" spans="2:6">
      <c r="B49" s="373" t="s">
        <v>213</v>
      </c>
      <c r="C49" s="374">
        <f>Normalized_FCF!C13</f>
        <v>-1897.9406832694099</v>
      </c>
      <c r="D49" s="344" t="str">
        <f>Reporting_currency</f>
        <v>CNY</v>
      </c>
    </row>
    <row r="51" spans="2:6">
      <c r="B51" s="468" t="s">
        <v>482</v>
      </c>
      <c r="C51" s="468"/>
      <c r="D51" s="468"/>
      <c r="E51" s="468"/>
      <c r="F51" s="468"/>
    </row>
    <row r="52" spans="2:6">
      <c r="B52" s="373" t="s">
        <v>472</v>
      </c>
      <c r="C52" s="374">
        <f>Normalized_FCF!C12</f>
        <v>-82523.135091949982</v>
      </c>
      <c r="D52" s="344" t="str">
        <f>Reporting_currency</f>
        <v>CNY</v>
      </c>
    </row>
    <row r="54" spans="2:6">
      <c r="B54" s="468" t="s">
        <v>483</v>
      </c>
      <c r="C54" s="471"/>
      <c r="D54" s="471"/>
      <c r="E54" s="471"/>
      <c r="F54" s="471"/>
    </row>
    <row r="55" spans="2:6">
      <c r="B55" s="373" t="s">
        <v>197</v>
      </c>
      <c r="C55" s="374">
        <f>Normalized_FCF!C17</f>
        <v>0</v>
      </c>
      <c r="D55" s="344" t="str">
        <f>Reporting_currency</f>
        <v>CNY</v>
      </c>
    </row>
    <row r="57" spans="2:6">
      <c r="B57" s="469" t="s">
        <v>484</v>
      </c>
      <c r="C57" s="469"/>
      <c r="D57" s="469"/>
      <c r="E57" s="469"/>
      <c r="F57" s="469"/>
    </row>
    <row r="58" spans="2:6">
      <c r="B58" s="469" t="s">
        <v>485</v>
      </c>
      <c r="C58" s="469"/>
      <c r="D58" s="469"/>
      <c r="E58" s="469"/>
      <c r="F58" s="469"/>
    </row>
    <row r="60" spans="2:6">
      <c r="B60" s="373" t="s">
        <v>360</v>
      </c>
      <c r="C60" s="374">
        <f>Normalized_FCF!G19</f>
        <v>8.2909065162223693E-3</v>
      </c>
      <c r="D60" s="344" t="str">
        <f>Reporting_currency</f>
        <v>CNY</v>
      </c>
    </row>
    <row r="61" spans="2:6">
      <c r="B61" s="373" t="s">
        <v>203</v>
      </c>
      <c r="C61" s="374">
        <f>Normalized_FCF!C19</f>
        <v>1.4E-2</v>
      </c>
      <c r="D61" s="344" t="str">
        <f>Reporting_currency</f>
        <v>CNY</v>
      </c>
    </row>
    <row r="62" spans="2:6">
      <c r="B62" s="378" t="s">
        <v>291</v>
      </c>
      <c r="C62" s="379">
        <f>Normalized_FCF!C119</f>
        <v>3.1564834881417818E-8</v>
      </c>
      <c r="F62" s="380"/>
    </row>
    <row r="63" spans="2:6">
      <c r="B63" s="378" t="s">
        <v>320</v>
      </c>
      <c r="C63" s="379">
        <f>Normalized_FCF!C87</f>
        <v>4.9648711943793909E-2</v>
      </c>
      <c r="E63" s="373" t="s">
        <v>361</v>
      </c>
      <c r="F63" s="381">
        <f>Normalized_FCF!C85</f>
        <v>8.9635033435971331E-2</v>
      </c>
    </row>
    <row r="65" spans="1:6">
      <c r="B65" s="370" t="s">
        <v>364</v>
      </c>
      <c r="C65" s="382" t="s">
        <v>315</v>
      </c>
      <c r="D65" s="382" t="s">
        <v>362</v>
      </c>
    </row>
    <row r="66" spans="1:6">
      <c r="B66" s="373" t="s">
        <v>314</v>
      </c>
      <c r="C66" s="379">
        <f>Normalized_FCF!C114</f>
        <v>0.36939176036082805</v>
      </c>
      <c r="D66" s="379">
        <f>Normalized_FCF!G114</f>
        <v>9.7492085482385513E-2</v>
      </c>
    </row>
    <row r="67" spans="1:6">
      <c r="B67" s="383" t="str">
        <f>Normalized_FCF!B111</f>
        <v>Pre-tax Profit/Sales</v>
      </c>
      <c r="C67" s="384">
        <f>Normalized_FCF!C111</f>
        <v>0.62690692957904826</v>
      </c>
      <c r="D67" s="384">
        <f>Normalized_FCF!G111</f>
        <v>0.25337734669245421</v>
      </c>
    </row>
    <row r="68" spans="1:6">
      <c r="B68" s="383" t="str">
        <f>Normalized_FCF!B112</f>
        <v>Sales/Total Assets</v>
      </c>
      <c r="C68" s="385">
        <f>Normalized_FCF!C112</f>
        <v>5.0109121764200598E-2</v>
      </c>
      <c r="D68" s="385">
        <f>Normalized_FCF!G112</f>
        <v>3.2721577617140937E-2</v>
      </c>
    </row>
    <row r="69" spans="1:6">
      <c r="B69" s="383" t="str">
        <f>Normalized_FCF!B113</f>
        <v>Total Assets/Equity</v>
      </c>
      <c r="C69" s="385">
        <f>Normalized_FCF!C113</f>
        <v>11.758917470801054</v>
      </c>
      <c r="D69" s="385">
        <f>Normalized_FCF!G113</f>
        <v>11.758917470801054</v>
      </c>
    </row>
    <row r="71" spans="1:6" ht="13.9">
      <c r="A71" s="346" t="s">
        <v>452</v>
      </c>
      <c r="B71" s="346"/>
      <c r="C71" s="346"/>
      <c r="D71" s="346"/>
      <c r="E71" s="346"/>
      <c r="F71" s="346"/>
    </row>
    <row r="72" spans="1:6">
      <c r="A72" s="386"/>
    </row>
    <row r="73" spans="1:6">
      <c r="A73" s="387"/>
      <c r="B73" s="469" t="s">
        <v>486</v>
      </c>
      <c r="C73" s="469"/>
      <c r="D73" s="469"/>
      <c r="E73" s="469"/>
      <c r="F73" s="469"/>
    </row>
    <row r="74" spans="1:6">
      <c r="B74" s="470" t="s">
        <v>455</v>
      </c>
      <c r="C74" s="470"/>
      <c r="D74" s="470"/>
      <c r="E74" s="470"/>
      <c r="F74" s="470"/>
    </row>
    <row r="76" spans="1:6">
      <c r="B76" s="370" t="s">
        <v>359</v>
      </c>
    </row>
    <row r="77" spans="1:6">
      <c r="B77" s="469" t="s">
        <v>487</v>
      </c>
      <c r="C77" s="469"/>
      <c r="D77" s="469"/>
      <c r="E77" s="469"/>
      <c r="F77" s="469"/>
    </row>
    <row r="78" spans="1:6">
      <c r="B78" s="344" t="s">
        <v>205</v>
      </c>
      <c r="C78" s="374">
        <f>DDM!F4</f>
        <v>0</v>
      </c>
      <c r="D78" s="344" t="str">
        <f>Reporting_currency</f>
        <v>CNY</v>
      </c>
    </row>
    <row r="79" spans="1:6">
      <c r="B79" s="373" t="s">
        <v>224</v>
      </c>
      <c r="C79" s="388">
        <f>C78*scaling_factor*Exchange_Rate/Common_Shares</f>
        <v>0</v>
      </c>
      <c r="D79" s="344" t="str">
        <f>Market_currency</f>
        <v>CNY</v>
      </c>
    </row>
    <row r="80" spans="1:6">
      <c r="B80" s="383" t="s">
        <v>297</v>
      </c>
      <c r="C80" s="389" t="str">
        <f>IF(BS!G31/BS!G27&gt;300%,"nm",BS!G31/BS!G27)</f>
        <v>nm</v>
      </c>
    </row>
    <row r="81" spans="1:6">
      <c r="B81" s="383" t="s">
        <v>299</v>
      </c>
      <c r="C81" s="390">
        <f>IF(BS!C50&gt;30,"nm",BS!C50)</f>
        <v>28.830306160194397</v>
      </c>
    </row>
    <row r="83" spans="1:6">
      <c r="B83" s="344" t="s">
        <v>488</v>
      </c>
    </row>
    <row r="84" spans="1:6">
      <c r="B84" s="344" t="s">
        <v>214</v>
      </c>
      <c r="C84" s="374">
        <f>DDM!F5</f>
        <v>0</v>
      </c>
      <c r="D84" s="344" t="str">
        <f>Reporting_currency</f>
        <v>CNY</v>
      </c>
    </row>
    <row r="85" spans="1:6">
      <c r="B85" s="383" t="s">
        <v>457</v>
      </c>
      <c r="C85" s="391">
        <f>BS!C66</f>
        <v>6736706</v>
      </c>
      <c r="D85" s="392" t="str">
        <f>Reporting_currency</f>
        <v>CNY</v>
      </c>
    </row>
    <row r="86" spans="1:6">
      <c r="B86" s="373" t="s">
        <v>225</v>
      </c>
      <c r="C86" s="388">
        <f>C84*scaling_factor*Exchange_Rate/Common_Shares</f>
        <v>0</v>
      </c>
      <c r="D86" s="344" t="str">
        <f>Market_currency</f>
        <v>CNY</v>
      </c>
    </row>
    <row r="88" spans="1:6">
      <c r="B88" s="344" t="s">
        <v>489</v>
      </c>
    </row>
    <row r="89" spans="1:6">
      <c r="B89" s="344" t="s">
        <v>207</v>
      </c>
      <c r="C89" s="374">
        <f>DDM!F6</f>
        <v>0</v>
      </c>
      <c r="D89" s="344" t="str">
        <f>Reporting_currency</f>
        <v>CNY</v>
      </c>
    </row>
    <row r="90" spans="1:6">
      <c r="B90" s="373" t="s">
        <v>226</v>
      </c>
      <c r="C90" s="388">
        <f>C89*scaling_factor*Exchange_Rate/Common_Shares</f>
        <v>0</v>
      </c>
      <c r="D90" s="344" t="str">
        <f>Market_currency</f>
        <v>CNY</v>
      </c>
    </row>
    <row r="92" spans="1:6">
      <c r="B92" s="373" t="s">
        <v>456</v>
      </c>
      <c r="C92" s="388">
        <f>DDM!F8</f>
        <v>0</v>
      </c>
      <c r="D92" s="344" t="str">
        <f>Market_currency</f>
        <v>CNY</v>
      </c>
    </row>
    <row r="94" spans="1:6" ht="13.9">
      <c r="A94" s="346" t="s">
        <v>458</v>
      </c>
      <c r="B94" s="346"/>
      <c r="C94" s="346"/>
      <c r="D94" s="346"/>
      <c r="E94" s="346"/>
      <c r="F94" s="346"/>
    </row>
    <row r="95" spans="1:6">
      <c r="A95" s="386"/>
    </row>
    <row r="96" spans="1:6">
      <c r="A96" s="386"/>
      <c r="B96" s="469" t="s">
        <v>490</v>
      </c>
      <c r="C96" s="469"/>
      <c r="D96" s="469"/>
      <c r="E96" s="469"/>
      <c r="F96" s="469"/>
    </row>
    <row r="97" spans="1:6">
      <c r="A97" s="386"/>
      <c r="B97" s="470" t="s">
        <v>491</v>
      </c>
      <c r="C97" s="470"/>
      <c r="D97" s="470"/>
      <c r="E97" s="470"/>
      <c r="F97" s="470"/>
    </row>
    <row r="98" spans="1:6">
      <c r="A98" s="386"/>
      <c r="B98" s="470" t="s">
        <v>492</v>
      </c>
      <c r="C98" s="470"/>
      <c r="D98" s="470"/>
      <c r="E98" s="470"/>
      <c r="F98" s="470"/>
    </row>
    <row r="99" spans="1:6">
      <c r="A99" s="386"/>
    </row>
    <row r="100" spans="1:6">
      <c r="A100" s="386"/>
      <c r="B100" s="370" t="s">
        <v>359</v>
      </c>
    </row>
    <row r="101" spans="1:6">
      <c r="A101" s="386"/>
      <c r="B101" s="373" t="s">
        <v>202</v>
      </c>
      <c r="C101" s="369">
        <f>E25+C103</f>
        <v>7.4999999999999997E-2</v>
      </c>
    </row>
    <row r="102" spans="1:6">
      <c r="A102" s="386"/>
      <c r="B102" s="383" t="s">
        <v>306</v>
      </c>
      <c r="C102" s="384">
        <f>E25</f>
        <v>7.4999999999999997E-2</v>
      </c>
    </row>
    <row r="103" spans="1:6">
      <c r="A103" s="386"/>
      <c r="B103" s="383" t="s">
        <v>305</v>
      </c>
      <c r="C103" s="384">
        <f>IF(C15="Y",1%,0)+IF(C16="Y",1%,0)</f>
        <v>0</v>
      </c>
    </row>
    <row r="104" spans="1:6">
      <c r="A104" s="386"/>
      <c r="B104" s="373" t="s">
        <v>510</v>
      </c>
      <c r="C104" s="369">
        <v>0</v>
      </c>
    </row>
    <row r="105" spans="1:6">
      <c r="A105" s="386"/>
      <c r="C105" s="393"/>
    </row>
    <row r="106" spans="1:6">
      <c r="A106" s="386"/>
      <c r="B106" s="394" t="s">
        <v>363</v>
      </c>
      <c r="C106" s="393"/>
    </row>
    <row r="107" spans="1:6">
      <c r="A107" s="386"/>
      <c r="B107" s="469" t="s">
        <v>493</v>
      </c>
      <c r="C107" s="469"/>
      <c r="D107" s="469"/>
      <c r="E107" s="469"/>
      <c r="F107" s="469"/>
    </row>
    <row r="108" spans="1:6">
      <c r="A108" s="386"/>
      <c r="B108" s="469" t="s">
        <v>511</v>
      </c>
      <c r="C108" s="469"/>
      <c r="D108" s="469"/>
      <c r="E108" s="469"/>
      <c r="F108" s="469"/>
    </row>
    <row r="109" spans="1:6">
      <c r="A109" s="386"/>
    </row>
    <row r="110" spans="1:6">
      <c r="A110" s="386"/>
      <c r="B110" s="370" t="s">
        <v>465</v>
      </c>
    </row>
    <row r="111" spans="1:6">
      <c r="A111" s="386"/>
      <c r="B111" s="376" t="s">
        <v>462</v>
      </c>
      <c r="C111" s="395">
        <f>BS!D47</f>
        <v>-92.956751979911445</v>
      </c>
      <c r="D111" s="344" t="str">
        <f>Market_currency</f>
        <v>CNY</v>
      </c>
    </row>
    <row r="112" spans="1:6">
      <c r="A112" s="386"/>
      <c r="B112" s="373" t="s">
        <v>365</v>
      </c>
      <c r="C112" s="395">
        <f>DDM!C9</f>
        <v>14.133333333333336</v>
      </c>
      <c r="D112" s="344" t="str">
        <f>Market_currency</f>
        <v>CNY</v>
      </c>
    </row>
    <row r="113" spans="1:6">
      <c r="A113" s="386"/>
    </row>
    <row r="114" spans="1:6">
      <c r="A114" s="386"/>
      <c r="B114" s="469" t="s">
        <v>494</v>
      </c>
      <c r="C114" s="469"/>
      <c r="D114" s="469"/>
      <c r="E114" s="469"/>
      <c r="F114" s="469"/>
    </row>
    <row r="115" spans="1:6">
      <c r="A115" s="386"/>
    </row>
    <row r="116" spans="1:6">
      <c r="A116" s="386"/>
      <c r="B116" s="370" t="s">
        <v>466</v>
      </c>
    </row>
    <row r="117" spans="1:6">
      <c r="A117" s="386"/>
      <c r="B117" s="343" t="s">
        <v>366</v>
      </c>
      <c r="C117" s="343" t="s">
        <v>367</v>
      </c>
      <c r="D117" s="343" t="s">
        <v>95</v>
      </c>
      <c r="E117" s="343" t="s">
        <v>368</v>
      </c>
      <c r="F117" s="343" t="s">
        <v>369</v>
      </c>
    </row>
    <row r="118" spans="1:6">
      <c r="A118" s="386"/>
      <c r="B118" s="396" t="str">
        <f>DDM!B82</f>
        <v>Snowball Scenario</v>
      </c>
      <c r="C118" s="397">
        <f>DDM!C82</f>
        <v>0.06</v>
      </c>
      <c r="D118" s="398">
        <f>DDM!D82</f>
        <v>30</v>
      </c>
      <c r="E118" s="399" t="str">
        <f>ROUND(DDM!E82,2)&amp;" "&amp;Market_currency</f>
        <v>11278.83 CNY</v>
      </c>
      <c r="F118" s="400">
        <f>DDM!F82</f>
        <v>0.01</v>
      </c>
    </row>
    <row r="119" spans="1:6">
      <c r="A119" s="386"/>
      <c r="B119" s="401" t="str">
        <f>DDM!B83</f>
        <v>Optimistic</v>
      </c>
      <c r="C119" s="402">
        <f>DDM!C83</f>
        <v>0.04</v>
      </c>
      <c r="D119" s="403">
        <f>DDM!D83</f>
        <v>30</v>
      </c>
      <c r="E119" s="399" t="str">
        <f>ROUND(DDM!E83,2)&amp;" "&amp;Market_currency</f>
        <v>8132.71 CNY</v>
      </c>
      <c r="F119" s="404">
        <f>DDM!F83</f>
        <v>0.188</v>
      </c>
    </row>
    <row r="120" spans="1:6">
      <c r="B120" s="401" t="str">
        <f>DDM!B84</f>
        <v>Base</v>
      </c>
      <c r="C120" s="402">
        <f>DDM!C84</f>
        <v>0.03</v>
      </c>
      <c r="D120" s="403">
        <f>DDM!D84</f>
        <v>30</v>
      </c>
      <c r="E120" s="399" t="str">
        <f>ROUND(DDM!E84,2)&amp;" "&amp;Market_currency</f>
        <v>6983.3 CNY</v>
      </c>
      <c r="F120" s="404">
        <f>DDM!F84</f>
        <v>0.56399999999999995</v>
      </c>
    </row>
    <row r="121" spans="1:6">
      <c r="B121" s="401" t="str">
        <f>DDM!B85</f>
        <v>Pessimistic</v>
      </c>
      <c r="C121" s="402">
        <f>DDM!C85</f>
        <v>0.02</v>
      </c>
      <c r="D121" s="403">
        <f>DDM!D85</f>
        <v>30</v>
      </c>
      <c r="E121" s="399" t="str">
        <f>ROUND(DDM!E85,2)&amp;" "&amp;Market_currency</f>
        <v>6042.66 CNY</v>
      </c>
      <c r="F121" s="404">
        <f>DDM!F85</f>
        <v>0.188</v>
      </c>
    </row>
    <row r="122" spans="1:6">
      <c r="B122" s="401" t="str">
        <f>DDM!B86</f>
        <v>Devil's advocate</v>
      </c>
      <c r="C122" s="402">
        <f>DDM!C86</f>
        <v>0</v>
      </c>
      <c r="D122" s="403">
        <f>DDM!D86</f>
        <v>30</v>
      </c>
      <c r="E122" s="399" t="str">
        <f>ROUND(DDM!E86,2)&amp;" "&amp;Market_currency</f>
        <v>4630.61 CNY</v>
      </c>
      <c r="F122" s="404">
        <f>DDM!F86</f>
        <v>0.05</v>
      </c>
    </row>
    <row r="124" spans="1:6">
      <c r="B124" s="468" t="s">
        <v>495</v>
      </c>
      <c r="C124" s="468"/>
      <c r="D124" s="468"/>
      <c r="E124" s="468"/>
      <c r="F124" s="468"/>
    </row>
    <row r="125" spans="1:6">
      <c r="B125" s="373" t="s">
        <v>208</v>
      </c>
      <c r="C125" s="405">
        <f>Scenarios!C36</f>
        <v>6947.8667040564878</v>
      </c>
      <c r="D125" s="344" t="str">
        <f>Market_currency</f>
        <v>CNY</v>
      </c>
    </row>
    <row r="127" spans="1:6">
      <c r="B127" s="473" t="s">
        <v>496</v>
      </c>
      <c r="C127" s="473"/>
      <c r="D127" s="473"/>
      <c r="E127" s="473"/>
      <c r="F127" s="473"/>
    </row>
    <row r="129" spans="1:6" ht="13.9">
      <c r="A129" s="346" t="s">
        <v>468</v>
      </c>
      <c r="B129" s="346"/>
      <c r="C129" s="346"/>
      <c r="D129" s="346"/>
      <c r="E129" s="346"/>
      <c r="F129" s="346"/>
    </row>
    <row r="131" spans="1:6">
      <c r="B131" s="474" t="s">
        <v>497</v>
      </c>
      <c r="C131" s="474"/>
      <c r="D131" s="474"/>
      <c r="E131" s="474"/>
      <c r="F131" s="474"/>
    </row>
    <row r="132" spans="1:6" ht="24.5" customHeight="1">
      <c r="B132" s="469" t="s">
        <v>498</v>
      </c>
      <c r="C132" s="469"/>
      <c r="D132" s="469"/>
      <c r="E132" s="469"/>
      <c r="F132" s="469"/>
    </row>
    <row r="134" spans="1:6">
      <c r="B134" s="370" t="s">
        <v>359</v>
      </c>
    </row>
    <row r="135" spans="1:6">
      <c r="B135" s="344" t="s">
        <v>370</v>
      </c>
      <c r="C135" s="406">
        <f>E21</f>
        <v>2</v>
      </c>
    </row>
    <row r="136" spans="1:6">
      <c r="B136" s="344" t="s">
        <v>371</v>
      </c>
      <c r="C136" s="407">
        <f>Scenarios!C58</f>
        <v>1.06</v>
      </c>
      <c r="D136" s="344" t="str">
        <f>Market_currency</f>
        <v>CNY</v>
      </c>
    </row>
    <row r="138" spans="1:6">
      <c r="B138" s="370" t="s">
        <v>469</v>
      </c>
      <c r="C138" s="408"/>
      <c r="D138" s="408"/>
    </row>
    <row r="139" spans="1:6">
      <c r="B139" s="341" t="s">
        <v>439</v>
      </c>
      <c r="C139" s="341" t="str">
        <f>"PV("&amp;Holding_Period&amp;" yrs of Dividends)"</f>
        <v>PV(2 yrs of Dividends)</v>
      </c>
      <c r="D139" s="341" t="s">
        <v>447</v>
      </c>
      <c r="E139" s="342" t="str">
        <f>"Buy below ("&amp;Market_currency&amp;")"</f>
        <v>Buy below (CNY)</v>
      </c>
      <c r="F139" s="342" t="s">
        <v>471</v>
      </c>
    </row>
    <row r="140" spans="1:6">
      <c r="B140" s="409" t="s">
        <v>300</v>
      </c>
      <c r="C140" s="410">
        <f>Scenarios!C62</f>
        <v>1.3668038408779153</v>
      </c>
      <c r="D140" s="410">
        <f>Scenarios!D62</f>
        <v>3812.2725399486899</v>
      </c>
      <c r="E140" s="411">
        <f>Scenarios!E62</f>
        <v>3813.6393437895676</v>
      </c>
      <c r="F140" s="412">
        <f>E22</f>
        <v>0.35</v>
      </c>
    </row>
    <row r="141" spans="1:6">
      <c r="B141" s="409" t="s">
        <v>301</v>
      </c>
      <c r="C141" s="410">
        <f>Scenarios!C63</f>
        <v>1.5264000000000002</v>
      </c>
      <c r="D141" s="410">
        <f>Scenarios!D63</f>
        <v>4446.6346905961518</v>
      </c>
      <c r="E141" s="411">
        <f>Scenarios!E63</f>
        <v>4448.1610905961516</v>
      </c>
      <c r="F141" s="412">
        <f>Scenarios!F63</f>
        <v>0.25</v>
      </c>
    </row>
    <row r="143" spans="1:6">
      <c r="B143" s="341" t="s">
        <v>440</v>
      </c>
      <c r="C143" s="341" t="str">
        <f>"PV("&amp;Holding_Period&amp;" yrs of Dividends)"</f>
        <v>PV(2 yrs of Dividends)</v>
      </c>
      <c r="D143" s="341" t="s">
        <v>447</v>
      </c>
      <c r="E143" s="342" t="str">
        <f>"Sell above ("&amp;Market_currency&amp;")"</f>
        <v>Sell above (CNY)</v>
      </c>
      <c r="F143" s="342" t="s">
        <v>471</v>
      </c>
    </row>
    <row r="144" spans="1:6">
      <c r="B144" s="409" t="s">
        <v>303</v>
      </c>
      <c r="C144" s="410">
        <f>Scenarios!C66</f>
        <v>1.7975932968992776</v>
      </c>
      <c r="D144" s="410">
        <f>Scenarios!D66</f>
        <v>5564.6024650031914</v>
      </c>
      <c r="E144" s="411">
        <f>Scenarios!E66</f>
        <v>5566.4000583000907</v>
      </c>
      <c r="F144" s="412">
        <f>E24</f>
        <v>0.1174</v>
      </c>
    </row>
    <row r="145" spans="1:6">
      <c r="B145" s="409" t="s">
        <v>302</v>
      </c>
      <c r="C145" s="410">
        <f>Scenarios!C67</f>
        <v>1.9032990805840986</v>
      </c>
      <c r="D145" s="410">
        <f>Scenarios!D67</f>
        <v>6012.215644397178</v>
      </c>
      <c r="E145" s="411">
        <f>Scenarios!E67</f>
        <v>6014.1189434777625</v>
      </c>
      <c r="F145" s="412">
        <f>Scenarios!F67</f>
        <v>7.4999999999999997E-2</v>
      </c>
    </row>
    <row r="147" spans="1:6" ht="13.9">
      <c r="A147" s="346" t="s">
        <v>451</v>
      </c>
      <c r="B147" s="346"/>
      <c r="C147" s="346"/>
      <c r="D147" s="346"/>
      <c r="E147" s="346"/>
      <c r="F147" s="346"/>
    </row>
    <row r="149" spans="1:6">
      <c r="B149" s="475" t="s">
        <v>499</v>
      </c>
      <c r="C149" s="469"/>
      <c r="D149" s="469"/>
      <c r="E149" s="469"/>
      <c r="F149" s="469"/>
    </row>
    <row r="151" spans="1:6">
      <c r="B151" s="370" t="s">
        <v>372</v>
      </c>
    </row>
    <row r="152" spans="1:6">
      <c r="B152" s="471" t="s">
        <v>500</v>
      </c>
      <c r="C152" s="471"/>
      <c r="D152" s="471"/>
      <c r="E152" s="471"/>
      <c r="F152" s="471"/>
    </row>
    <row r="153" spans="1:6">
      <c r="B153" s="413" t="s">
        <v>373</v>
      </c>
    </row>
    <row r="154" spans="1:6">
      <c r="B154" s="413" t="s">
        <v>374</v>
      </c>
    </row>
    <row r="155" spans="1:6">
      <c r="B155" s="413" t="s">
        <v>375</v>
      </c>
    </row>
    <row r="157" spans="1:6">
      <c r="B157" s="344" t="s">
        <v>501</v>
      </c>
    </row>
    <row r="158" spans="1:6" ht="24.5" customHeight="1">
      <c r="B158" s="468" t="s">
        <v>416</v>
      </c>
      <c r="C158" s="468"/>
      <c r="D158" s="468"/>
      <c r="E158" s="468"/>
      <c r="F158" s="468"/>
    </row>
    <row r="160" spans="1:6">
      <c r="B160" s="344" t="s">
        <v>502</v>
      </c>
    </row>
    <row r="161" spans="2:6">
      <c r="B161" s="472" t="s">
        <v>376</v>
      </c>
      <c r="C161" s="472"/>
      <c r="D161" s="472"/>
      <c r="E161" s="472"/>
      <c r="F161" s="472"/>
    </row>
    <row r="162" spans="2:6">
      <c r="B162" s="472" t="s">
        <v>377</v>
      </c>
      <c r="C162" s="472"/>
      <c r="D162" s="472"/>
      <c r="E162" s="472"/>
      <c r="F162" s="472"/>
    </row>
    <row r="164" spans="2:6">
      <c r="B164" s="344" t="s">
        <v>503</v>
      </c>
    </row>
    <row r="165" spans="2:6">
      <c r="B165" s="413" t="s">
        <v>378</v>
      </c>
    </row>
    <row r="166" spans="2:6">
      <c r="B166" s="413" t="s">
        <v>379</v>
      </c>
    </row>
    <row r="167" spans="2:6">
      <c r="B167" s="413" t="s">
        <v>380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DDM</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2025-10-04T05:14:59Z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