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B244F4FE-5023-42C5-8F30-4E82261EDC74}"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17" i="2" l="1"/>
  <c r="I117" i="2"/>
  <c r="J117" i="2"/>
  <c r="K117" i="2"/>
  <c r="L117" i="2"/>
  <c r="M117" i="2"/>
  <c r="N117" i="2"/>
  <c r="O117" i="2"/>
  <c r="P117" i="2"/>
  <c r="Q117" i="2"/>
  <c r="H118" i="2"/>
  <c r="I118" i="2"/>
  <c r="J118" i="2"/>
  <c r="K118" i="2"/>
  <c r="L118" i="2"/>
  <c r="M118" i="2"/>
  <c r="N118" i="2"/>
  <c r="O118" i="2"/>
  <c r="P118" i="2"/>
  <c r="Q118" i="2"/>
  <c r="G118" i="2"/>
  <c r="D75" i="6" s="1"/>
  <c r="G117" i="2"/>
  <c r="C118" i="2"/>
  <c r="C117" i="2"/>
  <c r="C105" i="6"/>
  <c r="C104" i="6"/>
  <c r="C75" i="6"/>
  <c r="C76" i="6"/>
  <c r="D76" i="6"/>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120" i="2" s="1"/>
  <c r="Q4" i="2"/>
  <c r="Q120" i="2" s="1"/>
  <c r="P4" i="2"/>
  <c r="P120" i="2" s="1"/>
  <c r="I4" i="2"/>
  <c r="I120" i="2" s="1"/>
  <c r="G4" i="2"/>
  <c r="H4" i="2"/>
  <c r="H120" i="2" s="1"/>
  <c r="L4" i="2"/>
  <c r="L120" i="2" s="1"/>
  <c r="K4" i="2"/>
  <c r="K120" i="2" s="1"/>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C172" i="6" l="1"/>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D74" i="6" s="1"/>
  <c r="G116" i="2" l="1"/>
  <c r="D73" i="6"/>
  <c r="G114" i="2"/>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<sst xmlns="http://schemas.openxmlformats.org/spreadsheetml/2006/main" count="684" uniqueCount="463">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</sst>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458</v>
      </c>
      <c r="E1" s="292" t="s">
        <v>356</v>
      </c>
      <c r="F1" s="254" t="s">
        <v>285</v>
      </c>
    </row>
    <row r="2" spans="1:10" ht="13.9">
      <c r="A2" s="222" t="s">
        <v>268</v>
      </c>
      <c r="B2" s="36"/>
      <c r="C2" s="36"/>
      <c r="D2" s="36"/>
      <c r="E2" s="36"/>
      <c r="F2" s="36"/>
      <c r="G2" s="22"/>
      <c r="H2" s="22"/>
      <c r="I2" s="22"/>
      <c r="J2" s="22"/>
    </row>
    <row r="4" spans="1:10">
      <c r="B4" s="45" t="s">
        <v>419</v>
      </c>
      <c r="C4" s="46"/>
      <c r="D4" s="5"/>
      <c r="E4" s="2"/>
      <c r="F4" s="2"/>
    </row>
    <row r="5" spans="1:10" ht="12.4">
      <c r="B5" s="4" t="s">
        <v>317</v>
      </c>
      <c r="C5" s="294" t="s">
        <v>444</v>
      </c>
    </row>
    <row r="6" spans="1:10">
      <c r="B6" s="4" t="s">
        <v>0</v>
      </c>
      <c r="C6" s="51">
        <v>20774311267</v>
      </c>
      <c r="E6" s="48"/>
    </row>
    <row r="7" spans="1:10">
      <c r="B7" s="2" t="s">
        <v>309</v>
      </c>
      <c r="C7" s="250">
        <v>6</v>
      </c>
      <c r="D7" s="48"/>
      <c r="E7" s="48"/>
    </row>
    <row r="8" spans="1:10">
      <c r="B8" s="1" t="s">
        <v>269</v>
      </c>
      <c r="C8" s="33">
        <f>EOMONTH(EDATE(BS!C1,C7+2),0)</f>
        <v>45900</v>
      </c>
      <c r="E8" s="48"/>
    </row>
    <row r="9" spans="1:10">
      <c r="E9" s="34"/>
    </row>
    <row r="10" spans="1:10">
      <c r="B10" s="45" t="s">
        <v>422</v>
      </c>
      <c r="C10" s="46"/>
      <c r="E10" s="34"/>
    </row>
    <row r="11" spans="1:10">
      <c r="B11" s="1" t="s">
        <v>421</v>
      </c>
      <c r="C11" s="49" t="s">
        <v>445</v>
      </c>
      <c r="D11" s="49"/>
      <c r="E11" s="34"/>
    </row>
    <row r="12" spans="1:10">
      <c r="B12" s="4" t="s">
        <v>95</v>
      </c>
      <c r="C12" s="50">
        <v>22.7</v>
      </c>
      <c r="D12" s="50"/>
      <c r="E12" s="48"/>
    </row>
    <row r="13" spans="1:10">
      <c r="B13" s="1" t="s">
        <v>420</v>
      </c>
      <c r="C13" s="48" t="s">
        <v>418</v>
      </c>
      <c r="D13" s="48"/>
      <c r="E13" s="5"/>
    </row>
    <row r="14" spans="1:10">
      <c r="B14" s="4" t="s">
        <v>424</v>
      </c>
      <c r="C14" s="35">
        <f>Thesis!C12*Common_Shares/1000000</f>
        <v>471576.86576089996</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363</v>
      </c>
      <c r="C18" s="348"/>
      <c r="D18" s="348"/>
      <c r="E18" s="348"/>
      <c r="F18" s="348"/>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443</v>
      </c>
      <c r="E21" s="308" t="s">
        <v>447</v>
      </c>
    </row>
    <row r="22" spans="2:6">
      <c r="B22" s="2" t="s">
        <v>56</v>
      </c>
      <c r="C22" s="48" t="s">
        <v>446</v>
      </c>
      <c r="D22" s="1" t="str">
        <f>IF(valuation_method="DDM","DDM Terminal Value","")</f>
        <v>DDM Terminal Value</v>
      </c>
      <c r="E22" s="313">
        <v>0.02</v>
      </c>
    </row>
    <row r="23" spans="2:6">
      <c r="B23" s="1" t="s">
        <v>438</v>
      </c>
      <c r="C23" s="262" t="s">
        <v>323</v>
      </c>
    </row>
    <row r="24" spans="2:6">
      <c r="B24" s="1" t="s">
        <v>439</v>
      </c>
      <c r="C24" s="262" t="s">
        <v>323</v>
      </c>
    </row>
    <row r="25" spans="2:6">
      <c r="B25" s="4" t="s">
        <v>350</v>
      </c>
      <c r="C25" s="48" t="s">
        <v>418</v>
      </c>
      <c r="D25" s="32" t="str">
        <f>IF(D11="","",Market_currency&amp;"/"&amp;D13&amp;":")</f>
        <v/>
      </c>
      <c r="E25" s="299" t="str">
        <f>IF(D11="","",1/Exchange_Rate*D16)</f>
        <v/>
      </c>
    </row>
    <row r="26" spans="2:6">
      <c r="B26" s="1" t="str">
        <f>"Expected Equity Value ("&amp;C13&amp;") :"</f>
        <v>Expected Equity Value (CNY) :</v>
      </c>
      <c r="C26" s="304">
        <f>C132</f>
        <v>21.752920556327282</v>
      </c>
      <c r="D26" s="1" t="s">
        <v>403</v>
      </c>
      <c r="E26" s="301">
        <f ca="1">Scenarios!C87</f>
        <v>3.3241061492891966E-2</v>
      </c>
    </row>
    <row r="27" spans="2:6">
      <c r="D27" s="5"/>
      <c r="E27" s="5"/>
    </row>
    <row r="28" spans="2:6">
      <c r="B28" s="45" t="s">
        <v>437</v>
      </c>
      <c r="C28" s="309" t="str">
        <f>C145&amp;" ("&amp;Market_currency&amp;")"</f>
        <v>601166.SS (CNY)</v>
      </c>
      <c r="D28" s="309" t="str">
        <f>IF(D11="","",D145&amp;" ("&amp;D13&amp;")")</f>
        <v/>
      </c>
      <c r="E28" s="305" t="s">
        <v>433</v>
      </c>
      <c r="F28" s="303">
        <v>3</v>
      </c>
    </row>
    <row r="29" spans="2:6">
      <c r="B29" s="1" t="s">
        <v>429</v>
      </c>
      <c r="C29" s="310">
        <f>C149</f>
        <v>9.6117057421017815</v>
      </c>
      <c r="D29" s="310" t="str">
        <f>D149</f>
        <v/>
      </c>
      <c r="E29" s="306" t="s">
        <v>428</v>
      </c>
      <c r="F29" s="302">
        <v>0.4</v>
      </c>
    </row>
    <row r="30" spans="2:6">
      <c r="B30" s="1" t="s">
        <v>430</v>
      </c>
      <c r="C30" s="311">
        <f>C157</f>
        <v>14.144259076931155</v>
      </c>
      <c r="D30" s="311" t="str">
        <f>D157</f>
        <v/>
      </c>
      <c r="E30" s="307" t="s">
        <v>441</v>
      </c>
      <c r="F30" s="312">
        <v>0.22</v>
      </c>
    </row>
    <row r="31" spans="2:6">
      <c r="B31" s="1" t="s">
        <v>431</v>
      </c>
      <c r="C31" s="311">
        <f>C165</f>
        <v>19.999892480445755</v>
      </c>
      <c r="D31" s="311" t="str">
        <f>D165</f>
        <v/>
      </c>
      <c r="E31" s="307" t="s">
        <v>440</v>
      </c>
      <c r="F31" s="312">
        <v>0.08</v>
      </c>
    </row>
    <row r="32" spans="2:6">
      <c r="B32" s="1" t="s">
        <v>432</v>
      </c>
      <c r="C32" s="311">
        <f>C173</f>
        <v>18.029240328562945</v>
      </c>
      <c r="D32" s="311" t="str">
        <f>D173</f>
        <v/>
      </c>
      <c r="E32" s="307" t="s">
        <v>442</v>
      </c>
      <c r="F32" s="312">
        <v>0.12</v>
      </c>
    </row>
    <row r="33" spans="1:6">
      <c r="D33" s="5"/>
      <c r="E33" s="5"/>
    </row>
    <row r="34" spans="1:6" ht="13.9">
      <c r="A34" s="222" t="s">
        <v>358</v>
      </c>
      <c r="B34" s="36"/>
      <c r="C34" s="36"/>
      <c r="D34" s="36"/>
      <c r="E34" s="36"/>
      <c r="F34" s="36"/>
    </row>
    <row r="36" spans="1:6" ht="24.5" customHeight="1">
      <c r="B36" s="348" t="s">
        <v>364</v>
      </c>
      <c r="C36" s="348"/>
      <c r="D36" s="348"/>
      <c r="E36" s="348"/>
      <c r="F36" s="348"/>
    </row>
    <row r="37" spans="1:6" ht="24.5" customHeight="1">
      <c r="B37" s="350" t="s">
        <v>342</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-721</v>
      </c>
      <c r="D41" s="1" t="str">
        <f>Reporting_currency</f>
        <v>CNY</v>
      </c>
    </row>
    <row r="42" spans="1:6">
      <c r="B42" s="47"/>
      <c r="C42" s="76"/>
    </row>
    <row r="43" spans="1:6" ht="24.5" customHeight="1">
      <c r="B43" s="349" t="s">
        <v>234</v>
      </c>
      <c r="C43" s="349"/>
      <c r="D43" s="349"/>
      <c r="E43" s="349"/>
      <c r="F43" s="349"/>
    </row>
    <row r="44" spans="1:6">
      <c r="B44" s="47" t="s">
        <v>235</v>
      </c>
      <c r="C44" s="76">
        <f>Normalized_FCF!C9</f>
        <v>0</v>
      </c>
      <c r="D44" s="1" t="str">
        <f>Reporting_currency</f>
        <v>CNY</v>
      </c>
    </row>
    <row r="45" spans="1:6">
      <c r="B45" s="52" t="s">
        <v>236</v>
      </c>
      <c r="C45" s="76">
        <f>Normalized_FCF!C10</f>
        <v>0</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343</v>
      </c>
      <c r="C51" s="340">
        <f>Normalized_FCF!C48</f>
        <v>0</v>
      </c>
      <c r="D51" s="1" t="str">
        <f>Reporting_currency</f>
        <v>CNY</v>
      </c>
      <c r="E51" s="286"/>
      <c r="F51" s="286"/>
    </row>
    <row r="52" spans="2:6">
      <c r="B52" s="47" t="s">
        <v>344</v>
      </c>
      <c r="C52" s="340">
        <f>Normalized_FCF!C47</f>
        <v>0</v>
      </c>
      <c r="D52" s="1" t="str">
        <f>Reporting_currency</f>
        <v>CNY</v>
      </c>
      <c r="E52" s="286"/>
      <c r="F52" s="286"/>
    </row>
    <row r="53" spans="2:6">
      <c r="B53" s="47" t="s">
        <v>239</v>
      </c>
      <c r="C53" s="76">
        <f>Normalized_FCF!C12</f>
        <v>0</v>
      </c>
      <c r="D53" s="1" t="str">
        <f>Reporting_currency</f>
        <v>CNY</v>
      </c>
    </row>
    <row r="55" spans="2:6">
      <c r="B55" s="1" t="s">
        <v>247</v>
      </c>
    </row>
    <row r="56" spans="2:6">
      <c r="B56" s="47" t="s">
        <v>266</v>
      </c>
      <c r="C56" s="76">
        <f>Normalized_FCF!C15</f>
        <v>0</v>
      </c>
      <c r="D56" s="1" t="str">
        <f>Reporting_currency</f>
        <v>CNY</v>
      </c>
    </row>
    <row r="58" spans="2:6">
      <c r="B58" s="349" t="s">
        <v>242</v>
      </c>
      <c r="C58" s="349"/>
      <c r="D58" s="349"/>
      <c r="E58" s="349"/>
      <c r="F58" s="349"/>
    </row>
    <row r="59" spans="2:6">
      <c r="B59" s="47" t="s">
        <v>240</v>
      </c>
      <c r="C59" s="76">
        <f>Normalized_FCF!C14</f>
        <v>180.25</v>
      </c>
      <c r="D59" s="1" t="str">
        <f>Reporting_currency</f>
        <v>CNY</v>
      </c>
    </row>
    <row r="61" spans="2:6">
      <c r="B61" s="349" t="s">
        <v>341</v>
      </c>
      <c r="C61" s="352"/>
      <c r="D61" s="352"/>
      <c r="E61" s="352"/>
      <c r="F61" s="352"/>
    </row>
    <row r="62" spans="2:6">
      <c r="B62" s="47" t="s">
        <v>243</v>
      </c>
      <c r="C62" s="76">
        <f>Normalized_FCF!C17</f>
        <v>0</v>
      </c>
      <c r="D62" s="1" t="str">
        <f>Reporting_currency</f>
        <v>CNY</v>
      </c>
    </row>
    <row r="64" spans="2:6" ht="24.5" customHeight="1">
      <c r="B64" s="348" t="s">
        <v>346</v>
      </c>
      <c r="C64" s="348"/>
      <c r="D64" s="348"/>
      <c r="E64" s="348"/>
      <c r="F64" s="348"/>
    </row>
    <row r="65" spans="1:6" ht="24.5" customHeight="1">
      <c r="B65" s="348" t="s">
        <v>365</v>
      </c>
      <c r="C65" s="348"/>
      <c r="D65" s="348"/>
      <c r="E65" s="348"/>
      <c r="F65" s="348"/>
    </row>
    <row r="67" spans="1:6">
      <c r="B67" s="47" t="s">
        <v>271</v>
      </c>
      <c r="C67" s="76">
        <f>Normalized_FCF!G19</f>
        <v>-206364</v>
      </c>
      <c r="D67" s="1" t="str">
        <f>Reporting_currency</f>
        <v>CNY</v>
      </c>
    </row>
    <row r="68" spans="1:6">
      <c r="B68" s="47" t="s">
        <v>249</v>
      </c>
      <c r="C68" s="76">
        <f>Normalized_FCF!C19</f>
        <v>-540.75</v>
      </c>
      <c r="D68" s="1" t="str">
        <f>Reporting_currency</f>
        <v>CNY</v>
      </c>
    </row>
    <row r="69" spans="1:6">
      <c r="B69" s="227" t="s">
        <v>394</v>
      </c>
      <c r="C69" s="92">
        <f>Normalized_FCF!C125</f>
        <v>-1.1466847491076299E-3</v>
      </c>
      <c r="F69" s="314"/>
    </row>
    <row r="70" spans="1:6">
      <c r="B70" s="227" t="s">
        <v>310</v>
      </c>
      <c r="C70" s="92">
        <f>Normalized_FCF!C93</f>
        <v>4.6696035242290754E-2</v>
      </c>
      <c r="E70" s="47" t="s">
        <v>456</v>
      </c>
      <c r="F70" s="315">
        <f>Normalized_FCF!C92</f>
        <v>-40.722644369893672</v>
      </c>
    </row>
    <row r="72" spans="1:6">
      <c r="B72" s="210" t="s">
        <v>459</v>
      </c>
      <c r="C72" s="344" t="s">
        <v>461</v>
      </c>
      <c r="D72" s="344" t="s">
        <v>462</v>
      </c>
    </row>
    <row r="73" spans="1:6">
      <c r="B73" s="47" t="s">
        <v>460</v>
      </c>
      <c r="C73" s="92">
        <f>Normalized_FCF!C120</f>
        <v>-240.33333333333334</v>
      </c>
      <c r="D73" s="92">
        <f>Normalized_FCF!G120</f>
        <v>-65483</v>
      </c>
    </row>
    <row r="74" spans="1:6">
      <c r="B74" s="259" t="str">
        <f>Normalized_FCF!B117</f>
        <v>Pre-tax Profit/Sales</v>
      </c>
      <c r="C74" s="343">
        <f>Normalized_FCF!C117</f>
        <v>-1.1649701082565843E-2</v>
      </c>
      <c r="D74" s="343">
        <f>Normalized_FCF!G117</f>
        <v>1.4678118322150659</v>
      </c>
    </row>
    <row r="75" spans="1:6">
      <c r="B75" s="259" t="str">
        <f>Normalized_FCF!B118</f>
        <v>Sales/Total Assets</v>
      </c>
      <c r="C75" s="345">
        <f>Normalized_FCF!C118</f>
        <v>15472.5</v>
      </c>
      <c r="D75" s="345">
        <f>Normalized_FCF!G118</f>
        <v>-33459.5</v>
      </c>
    </row>
    <row r="76" spans="1:6">
      <c r="B76" s="259" t="str">
        <f>Normalized_FCF!B119</f>
        <v>Total Assets/Equity</v>
      </c>
      <c r="C76" s="345">
        <f>Normalized_FCF!C119</f>
        <v>1.3333333333333333</v>
      </c>
      <c r="D76" s="345">
        <f>Normalized_FCF!G119</f>
        <v>1.3333333333333333</v>
      </c>
    </row>
    <row r="78" spans="1:6" ht="13.9">
      <c r="A78" s="222" t="s">
        <v>359</v>
      </c>
      <c r="B78" s="36"/>
      <c r="C78" s="36"/>
      <c r="D78" s="36"/>
      <c r="E78" s="36"/>
      <c r="F78" s="36"/>
    </row>
    <row r="79" spans="1:6">
      <c r="A79" s="209"/>
    </row>
    <row r="80" spans="1:6" ht="24.5" customHeight="1">
      <c r="A80" s="17"/>
      <c r="B80" s="348" t="s">
        <v>366</v>
      </c>
      <c r="C80" s="348"/>
      <c r="D80" s="348"/>
      <c r="E80" s="348"/>
      <c r="F80" s="348"/>
    </row>
    <row r="81" spans="1:6">
      <c r="B81" s="350" t="s">
        <v>253</v>
      </c>
      <c r="C81" s="350"/>
      <c r="D81" s="350"/>
      <c r="E81" s="350"/>
      <c r="F81" s="350"/>
    </row>
    <row r="83" spans="1:6">
      <c r="B83" s="210" t="s">
        <v>231</v>
      </c>
    </row>
    <row r="84" spans="1:6">
      <c r="B84" s="1" t="s">
        <v>435</v>
      </c>
      <c r="C84" s="92">
        <f>F31</f>
        <v>0.08</v>
      </c>
    </row>
    <row r="85" spans="1:6">
      <c r="B85" s="1" t="s">
        <v>434</v>
      </c>
      <c r="C85" s="92">
        <f>IF(C23="Y",1%,0)+IF(C24="Y",1%,0)</f>
        <v>0</v>
      </c>
    </row>
    <row r="86" spans="1:6">
      <c r="B86" s="80" t="s">
        <v>248</v>
      </c>
      <c r="C86" s="236">
        <f>F31+C85</f>
        <v>0.08</v>
      </c>
    </row>
    <row r="87" spans="1:6">
      <c r="C87" s="121"/>
    </row>
    <row r="88" spans="1:6">
      <c r="B88" s="293" t="s">
        <v>360</v>
      </c>
      <c r="C88" s="121"/>
    </row>
    <row r="89" spans="1:6" ht="24.5" customHeight="1">
      <c r="B89" s="348" t="s">
        <v>367</v>
      </c>
      <c r="C89" s="348"/>
      <c r="D89" s="348"/>
      <c r="E89" s="348"/>
      <c r="F89" s="348"/>
    </row>
    <row r="90" spans="1:6" ht="24.5" customHeight="1">
      <c r="B90" s="348" t="s">
        <v>368</v>
      </c>
      <c r="C90" s="348"/>
      <c r="D90" s="348"/>
      <c r="E90" s="348"/>
      <c r="F90" s="348"/>
    </row>
    <row r="92" spans="1:6">
      <c r="B92" s="47" t="s">
        <v>252</v>
      </c>
      <c r="C92" s="236">
        <v>0</v>
      </c>
    </row>
    <row r="93" spans="1:6">
      <c r="B93" s="47" t="s">
        <v>281</v>
      </c>
      <c r="C93" s="223">
        <f>DCF!C6*scaling_factor*Exchange_Rate/Common_Shares</f>
        <v>-0.32537179755928991</v>
      </c>
      <c r="D93" s="1" t="str">
        <f>Market_currency</f>
        <v>CNY</v>
      </c>
    </row>
    <row r="95" spans="1:6" ht="13.9">
      <c r="A95" s="222" t="s">
        <v>361</v>
      </c>
      <c r="B95" s="36"/>
      <c r="C95" s="36"/>
      <c r="D95" s="36"/>
      <c r="E95" s="36"/>
      <c r="F95" s="36"/>
    </row>
    <row r="96" spans="1:6">
      <c r="A96" s="209"/>
    </row>
    <row r="97" spans="2:6">
      <c r="B97" s="348" t="s">
        <v>369</v>
      </c>
      <c r="C97" s="348"/>
      <c r="D97" s="348"/>
      <c r="E97" s="348"/>
      <c r="F97" s="348"/>
    </row>
    <row r="98" spans="2:6">
      <c r="B98" s="1" t="s">
        <v>254</v>
      </c>
    </row>
    <row r="100" spans="2:6">
      <c r="B100" s="210" t="s">
        <v>231</v>
      </c>
    </row>
    <row r="101" spans="2:6" ht="24.5" customHeight="1">
      <c r="B101" s="348" t="s">
        <v>347</v>
      </c>
      <c r="C101" s="348"/>
      <c r="D101" s="348"/>
      <c r="E101" s="348"/>
      <c r="F101" s="348"/>
    </row>
    <row r="102" spans="2:6">
      <c r="B102" s="47" t="s">
        <v>256</v>
      </c>
      <c r="C102" s="76">
        <f>DCF!C7</f>
        <v>0</v>
      </c>
      <c r="D102" s="1" t="str">
        <f>Reporting_currency</f>
        <v>CNY</v>
      </c>
    </row>
    <row r="103" spans="2:6">
      <c r="B103" s="47" t="s">
        <v>282</v>
      </c>
      <c r="C103" s="223">
        <f>C102*scaling_factor*Exchange_Rate/Common_Shares</f>
        <v>0</v>
      </c>
      <c r="D103" s="1" t="str">
        <f>Market_currency</f>
        <v>CNY</v>
      </c>
    </row>
    <row r="104" spans="2:6">
      <c r="B104" s="296" t="s">
        <v>408</v>
      </c>
      <c r="C104" s="346">
        <f>IF(BS!G31/BS!G27&gt;300%,"nm",BS!G31/BS!G27)</f>
        <v>0</v>
      </c>
    </row>
    <row r="105" spans="2:6">
      <c r="B105" s="296" t="s">
        <v>410</v>
      </c>
      <c r="C105" s="347">
        <f>IF(BS!C50&gt;30,"nm",BS!C50)</f>
        <v>0</v>
      </c>
    </row>
    <row r="107" spans="2:6">
      <c r="B107" s="1" t="s">
        <v>255</v>
      </c>
    </row>
    <row r="108" spans="2:6">
      <c r="B108" s="47" t="s">
        <v>265</v>
      </c>
      <c r="C108" s="76">
        <f>BS!C66</f>
        <v>2</v>
      </c>
      <c r="D108" s="1" t="str">
        <f>Reporting_currency</f>
        <v>CNY</v>
      </c>
    </row>
    <row r="109" spans="2:6">
      <c r="B109" s="47" t="s">
        <v>267</v>
      </c>
      <c r="C109" s="76">
        <f>DCF!C8</f>
        <v>0</v>
      </c>
      <c r="D109" s="1" t="str">
        <f>Reporting_currency</f>
        <v>CNY</v>
      </c>
    </row>
    <row r="110" spans="2:6">
      <c r="B110" s="47" t="s">
        <v>283</v>
      </c>
      <c r="C110" s="223">
        <f>C109*scaling_factor*Exchange_Rate/Common_Shares</f>
        <v>0</v>
      </c>
      <c r="D110" s="1" t="str">
        <f>Market_currency</f>
        <v>CNY</v>
      </c>
    </row>
    <row r="112" spans="2:6">
      <c r="B112" s="1" t="s">
        <v>257</v>
      </c>
    </row>
    <row r="113" spans="1:6">
      <c r="B113" s="47" t="s">
        <v>258</v>
      </c>
      <c r="C113" s="76">
        <f>DCF!C9</f>
        <v>0</v>
      </c>
      <c r="D113" s="1" t="str">
        <f>Reporting_currency</f>
        <v>CNY</v>
      </c>
    </row>
    <row r="114" spans="1:6">
      <c r="B114" s="47" t="s">
        <v>284</v>
      </c>
      <c r="C114" s="223">
        <f>C113*scaling_factor*Exchange_Rate/Common_Shares</f>
        <v>0</v>
      </c>
      <c r="D114" s="1" t="str">
        <f>Market_currency</f>
        <v>CNY</v>
      </c>
    </row>
    <row r="116" spans="1:6" ht="24.5" customHeight="1">
      <c r="B116" s="348" t="s">
        <v>370</v>
      </c>
      <c r="C116" s="348"/>
      <c r="D116" s="348"/>
      <c r="E116" s="348"/>
      <c r="F116" s="348"/>
    </row>
    <row r="118" spans="1:6">
      <c r="B118" s="47" t="s">
        <v>457</v>
      </c>
      <c r="C118" s="223">
        <f>IF(valuation_method="DCF",DCF!C12,DDM!C7)</f>
        <v>13.25</v>
      </c>
      <c r="D118" s="1" t="str">
        <f>Market_currency</f>
        <v>CNY</v>
      </c>
    </row>
    <row r="119" spans="1:6">
      <c r="B119" s="296" t="s">
        <v>409</v>
      </c>
      <c r="C119" s="223">
        <f>BS!D47</f>
        <v>4.3322735874745961E-5</v>
      </c>
      <c r="D119" s="1" t="str">
        <f>Market_currency</f>
        <v>CNY</v>
      </c>
    </row>
    <row r="121" spans="1:6" ht="13.9">
      <c r="A121" s="222" t="s">
        <v>362</v>
      </c>
      <c r="B121" s="36"/>
      <c r="C121" s="36"/>
      <c r="D121" s="36"/>
      <c r="E121" s="36"/>
      <c r="F121" s="36"/>
    </row>
    <row r="123" spans="1:6" ht="24.5" customHeight="1">
      <c r="B123" s="349" t="s">
        <v>371</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34.38 CNY</v>
      </c>
      <c r="F126" s="232">
        <f>DCF!F74</f>
        <v>0.05</v>
      </c>
    </row>
    <row r="127" spans="1:6">
      <c r="B127" s="218" t="str">
        <f>DCF!B75</f>
        <v>Optimistic</v>
      </c>
      <c r="C127" s="219">
        <f>DCF!C75</f>
        <v>0.06</v>
      </c>
      <c r="D127" s="220">
        <f>DCF!D75</f>
        <v>30</v>
      </c>
      <c r="E127" s="231" t="str">
        <f>ROUND(IF(valuation_method="DCF",DCF!E75,DDM!E70),2)&amp;" "&amp;Market_currency</f>
        <v>26.64 CNY</v>
      </c>
      <c r="F127" s="221">
        <f>DCF!F75</f>
        <v>0.18</v>
      </c>
    </row>
    <row r="128" spans="1:6">
      <c r="B128" s="218" t="str">
        <f>DCF!B76</f>
        <v>Base</v>
      </c>
      <c r="C128" s="219">
        <f>DCF!C76</f>
        <v>0.04</v>
      </c>
      <c r="D128" s="220">
        <f>DCF!D76</f>
        <v>30</v>
      </c>
      <c r="E128" s="231" t="str">
        <f>ROUND(IF(valuation_method="DCF",DCF!E76,DDM!E71),2)&amp;" "&amp;Market_currency</f>
        <v>21.16 CNY</v>
      </c>
      <c r="F128" s="221">
        <f>DCF!F76</f>
        <v>0.53999999999999992</v>
      </c>
    </row>
    <row r="129" spans="1:6">
      <c r="B129" s="218" t="str">
        <f>DCF!B77</f>
        <v>Pessimistic</v>
      </c>
      <c r="C129" s="219">
        <f>DCF!C77</f>
        <v>0.02</v>
      </c>
      <c r="D129" s="220">
        <f>DCF!D77</f>
        <v>30</v>
      </c>
      <c r="E129" s="231" t="str">
        <f>ROUND(IF(valuation_method="DCF",DCF!E77,DDM!E72),2)&amp;" "&amp;Market_currency</f>
        <v>17.21 CNY</v>
      </c>
      <c r="F129" s="221">
        <f>DCF!F77</f>
        <v>0.18</v>
      </c>
    </row>
    <row r="130" spans="1:6">
      <c r="B130" s="218" t="str">
        <f>DCF!B78</f>
        <v>Devil's advocate</v>
      </c>
      <c r="C130" s="219">
        <f>DCF!C78</f>
        <v>0</v>
      </c>
      <c r="D130" s="220">
        <f>DCF!D78</f>
        <v>30</v>
      </c>
      <c r="E130" s="231" t="str">
        <f>ROUND(IF(valuation_method="DCF",DCF!E78,DDM!E73),2)&amp;" "&amp;Market_currency</f>
        <v>14.32 CNY</v>
      </c>
      <c r="F130" s="221">
        <f>DCF!F78</f>
        <v>0.05</v>
      </c>
    </row>
    <row r="132" spans="1:6">
      <c r="B132" s="211" t="s">
        <v>259</v>
      </c>
      <c r="C132" s="217">
        <f>Scenarios!C60</f>
        <v>21.752920556327282</v>
      </c>
      <c r="D132" s="212" t="str">
        <f>Market_currency</f>
        <v>CNY</v>
      </c>
    </row>
    <row r="134" spans="1:6" ht="24.5" customHeight="1">
      <c r="B134" s="353" t="s">
        <v>374</v>
      </c>
      <c r="C134" s="353"/>
      <c r="D134" s="353"/>
      <c r="E134" s="353"/>
      <c r="F134" s="353"/>
    </row>
    <row r="136" spans="1:6" ht="13.9">
      <c r="A136" s="222" t="s">
        <v>406</v>
      </c>
      <c r="B136" s="36"/>
      <c r="C136" s="36"/>
      <c r="D136" s="36"/>
      <c r="E136" s="36"/>
      <c r="F136" s="36"/>
    </row>
    <row r="138" spans="1:6">
      <c r="B138" s="351" t="s">
        <v>372</v>
      </c>
      <c r="C138" s="351"/>
      <c r="D138" s="351"/>
      <c r="E138" s="351"/>
      <c r="F138" s="351"/>
    </row>
    <row r="139" spans="1:6" ht="24.5" customHeight="1">
      <c r="B139" s="348" t="s">
        <v>373</v>
      </c>
      <c r="C139" s="348"/>
      <c r="D139" s="348"/>
      <c r="E139" s="348"/>
      <c r="F139" s="348"/>
    </row>
    <row r="140" spans="1:6">
      <c r="B140" s="210" t="s">
        <v>231</v>
      </c>
    </row>
    <row r="141" spans="1:6">
      <c r="B141" s="1" t="s">
        <v>264</v>
      </c>
      <c r="C141" s="225">
        <f>F28</f>
        <v>3</v>
      </c>
    </row>
    <row r="142" spans="1:6">
      <c r="B142" s="1" t="s">
        <v>277</v>
      </c>
      <c r="C142" s="224">
        <f>F29</f>
        <v>0.4</v>
      </c>
    </row>
    <row r="143" spans="1:6">
      <c r="B143" s="212" t="s">
        <v>262</v>
      </c>
      <c r="C143" s="213">
        <f>Scenarios!C77</f>
        <v>1.06</v>
      </c>
      <c r="D143" s="212" t="str">
        <f>Market_currency</f>
        <v>CNY</v>
      </c>
    </row>
    <row r="145" spans="2:4">
      <c r="B145" s="210" t="s">
        <v>412</v>
      </c>
      <c r="C145" s="241" t="str">
        <f>C11</f>
        <v>601166.SS</v>
      </c>
      <c r="D145" s="241" t="str">
        <f>IF(D11="","",D11)</f>
        <v/>
      </c>
    </row>
    <row r="146" spans="2:4">
      <c r="B146" s="1" t="s">
        <v>411</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7.9274491823350175</v>
      </c>
    </row>
    <row r="149" spans="2:4">
      <c r="B149" s="80" t="s">
        <v>261</v>
      </c>
      <c r="C149" s="215">
        <f>Scenarios!C83</f>
        <v>9.6117057421017815</v>
      </c>
      <c r="D149" s="300" t="str">
        <f>IF($D$11="","",C149*$E$25)</f>
        <v/>
      </c>
    </row>
    <row r="150" spans="2:4">
      <c r="B150" s="259" t="s">
        <v>420</v>
      </c>
      <c r="C150" s="298" t="str">
        <f>Market_currency</f>
        <v>CNY</v>
      </c>
      <c r="D150" s="298" t="str">
        <f>IF($D$11="","",D$13)</f>
        <v/>
      </c>
    </row>
    <row r="151" spans="2:4">
      <c r="B151" s="214" t="s">
        <v>263</v>
      </c>
      <c r="C151" s="92">
        <f>Scenarios!F83</f>
        <v>0.55814182664745582</v>
      </c>
    </row>
    <row r="153" spans="2:4">
      <c r="B153" s="210" t="s">
        <v>415</v>
      </c>
    </row>
    <row r="154" spans="2:4">
      <c r="B154" s="1" t="s">
        <v>414</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11.97948317057776</v>
      </c>
    </row>
    <row r="157" spans="2:4">
      <c r="B157" s="80" t="s">
        <v>261</v>
      </c>
      <c r="C157" s="215">
        <f>Scenarios!C93</f>
        <v>14.144259076931155</v>
      </c>
      <c r="D157" s="300" t="str">
        <f>IF($D$11="","",C157*$E$25)</f>
        <v/>
      </c>
    </row>
    <row r="158" spans="2:4">
      <c r="B158" s="259" t="s">
        <v>420</v>
      </c>
      <c r="C158" s="298" t="str">
        <f>Market_currency</f>
        <v>CNY</v>
      </c>
      <c r="D158" s="298" t="str">
        <f>IF($D$11="","",D$13)</f>
        <v/>
      </c>
    </row>
    <row r="159" spans="2:4">
      <c r="B159" s="214" t="s">
        <v>263</v>
      </c>
      <c r="C159" s="92">
        <f>Scenarios!F93</f>
        <v>0.34977654884061038</v>
      </c>
    </row>
    <row r="161" spans="2:4">
      <c r="B161" s="210" t="s">
        <v>404</v>
      </c>
    </row>
    <row r="162" spans="2:4">
      <c r="B162" s="1" t="s">
        <v>413</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17.268169673963001</v>
      </c>
    </row>
    <row r="165" spans="2:4">
      <c r="B165" s="80" t="s">
        <v>405</v>
      </c>
      <c r="C165" s="215">
        <f>Scenarios!C99</f>
        <v>19.999892480445755</v>
      </c>
      <c r="D165" s="300" t="str">
        <f>IF($D$11="","",C165*$E$25)</f>
        <v/>
      </c>
    </row>
    <row r="166" spans="2:4">
      <c r="B166" s="259" t="s">
        <v>420</v>
      </c>
      <c r="C166" s="298" t="str">
        <f>Market_currency</f>
        <v>CNY</v>
      </c>
      <c r="D166" s="298" t="str">
        <f>IF($D$11="","",D$13)</f>
        <v/>
      </c>
    </row>
    <row r="167" spans="2:4">
      <c r="B167" s="214" t="s">
        <v>263</v>
      </c>
      <c r="C167" s="92">
        <f>Scenarios!F99</f>
        <v>8.0588170739750331E-2</v>
      </c>
    </row>
    <row r="169" spans="2:4">
      <c r="B169" s="210" t="s">
        <v>436</v>
      </c>
    </row>
    <row r="170" spans="2:4">
      <c r="B170" s="1" t="s">
        <v>427</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15.483299184248073</v>
      </c>
    </row>
    <row r="173" spans="2:4">
      <c r="B173" s="80" t="s">
        <v>405</v>
      </c>
      <c r="C173" s="215">
        <f>Scenarios!C105</f>
        <v>18.029240328562945</v>
      </c>
      <c r="D173" s="300" t="str">
        <f>IF($D$11="","",C173*$E$25)</f>
        <v/>
      </c>
    </row>
    <row r="174" spans="2:4">
      <c r="B174" s="259" t="s">
        <v>420</v>
      </c>
      <c r="C174" s="298" t="str">
        <f>Market_currency</f>
        <v>CNY</v>
      </c>
      <c r="D174" s="298" t="str">
        <f>IF($D$11="","",D$13)</f>
        <v/>
      </c>
    </row>
    <row r="175" spans="2:4">
      <c r="B175" s="214" t="s">
        <v>263</v>
      </c>
      <c r="C175" s="92">
        <f>Scenarios!F105</f>
        <v>0.17104839072722289</v>
      </c>
    </row>
    <row r="177" spans="1:6" ht="13.9">
      <c r="A177" s="222" t="s">
        <v>378</v>
      </c>
      <c r="B177" s="36"/>
      <c r="C177" s="36"/>
      <c r="D177" s="36"/>
      <c r="E177" s="36"/>
      <c r="F177" s="36"/>
    </row>
    <row r="179" spans="1:6">
      <c r="B179" s="355" t="s">
        <v>380</v>
      </c>
      <c r="C179" s="348"/>
      <c r="D179" s="348"/>
      <c r="E179" s="348"/>
      <c r="F179" s="348"/>
    </row>
    <row r="181" spans="1:6">
      <c r="B181" s="210" t="s">
        <v>379</v>
      </c>
    </row>
    <row r="182" spans="1:6">
      <c r="B182" s="352" t="s">
        <v>384</v>
      </c>
      <c r="C182" s="352"/>
      <c r="D182" s="352"/>
      <c r="E182" s="352"/>
      <c r="F182" s="352"/>
    </row>
    <row r="183" spans="1:6">
      <c r="B183" s="214" t="s">
        <v>381</v>
      </c>
    </row>
    <row r="184" spans="1:6">
      <c r="B184" s="214" t="s">
        <v>382</v>
      </c>
    </row>
    <row r="185" spans="1:6">
      <c r="B185" s="214" t="s">
        <v>383</v>
      </c>
    </row>
    <row r="187" spans="1:6">
      <c r="B187" s="1" t="s">
        <v>388</v>
      </c>
    </row>
    <row r="188" spans="1:6" ht="46.5" customHeight="1">
      <c r="B188" s="349" t="s">
        <v>385</v>
      </c>
      <c r="C188" s="349"/>
      <c r="D188" s="349"/>
      <c r="E188" s="349"/>
      <c r="F188" s="349"/>
    </row>
    <row r="190" spans="1:6">
      <c r="B190" s="1" t="s">
        <v>389</v>
      </c>
    </row>
    <row r="191" spans="1:6" ht="24.5" customHeight="1">
      <c r="B191" s="354" t="s">
        <v>386</v>
      </c>
      <c r="C191" s="354"/>
      <c r="D191" s="354"/>
      <c r="E191" s="354"/>
      <c r="F191" s="354"/>
    </row>
    <row r="192" spans="1:6" ht="24.5" customHeight="1">
      <c r="B192" s="354" t="s">
        <v>387</v>
      </c>
      <c r="C192" s="354"/>
      <c r="D192" s="354"/>
      <c r="E192" s="354"/>
      <c r="F192" s="354"/>
    </row>
    <row r="194" spans="2:2">
      <c r="B194" s="1" t="s">
        <v>393</v>
      </c>
    </row>
    <row r="195" spans="2:2">
      <c r="B195" s="214" t="s">
        <v>390</v>
      </c>
    </row>
    <row r="196" spans="2:2">
      <c r="B196" s="214" t="s">
        <v>391</v>
      </c>
    </row>
    <row r="197" spans="2:2">
      <c r="B197" s="214" t="s">
        <v>392</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61890</v>
      </c>
      <c r="D4" s="334"/>
      <c r="E4" s="334"/>
      <c r="F4" s="334"/>
      <c r="G4" s="334"/>
      <c r="H4" s="334"/>
      <c r="I4" s="334"/>
      <c r="J4" s="334"/>
      <c r="K4" s="334"/>
      <c r="L4" s="334"/>
      <c r="M4" s="334"/>
    </row>
    <row r="5" spans="2:13">
      <c r="B5" s="40" t="s">
        <v>43</v>
      </c>
      <c r="C5" s="334">
        <v>0</v>
      </c>
      <c r="D5" s="334"/>
      <c r="E5" s="334"/>
      <c r="F5" s="334"/>
      <c r="G5" s="334"/>
      <c r="H5" s="334"/>
      <c r="I5" s="334"/>
      <c r="J5" s="334"/>
      <c r="K5" s="334"/>
      <c r="L5" s="334"/>
      <c r="M5" s="334"/>
    </row>
    <row r="6" spans="2:13">
      <c r="B6" s="40" t="s">
        <v>54</v>
      </c>
      <c r="C6" s="334">
        <v>62611</v>
      </c>
      <c r="D6" s="334"/>
      <c r="E6" s="334"/>
      <c r="F6" s="334"/>
      <c r="G6" s="334"/>
      <c r="H6" s="334"/>
      <c r="I6" s="334"/>
      <c r="J6" s="334"/>
      <c r="K6" s="334"/>
      <c r="L6" s="334"/>
      <c r="M6" s="334"/>
    </row>
    <row r="7" spans="2:13">
      <c r="B7" s="69" t="s">
        <v>61</v>
      </c>
      <c r="C7" s="335">
        <v>0</v>
      </c>
      <c r="D7" s="335"/>
      <c r="E7" s="335"/>
      <c r="F7" s="335"/>
      <c r="G7" s="335"/>
      <c r="H7" s="335"/>
      <c r="I7" s="335"/>
      <c r="J7" s="335"/>
      <c r="K7" s="335"/>
      <c r="L7" s="335"/>
      <c r="M7" s="335"/>
    </row>
    <row r="8" spans="2:13">
      <c r="B8" s="40" t="s">
        <v>49</v>
      </c>
      <c r="C8" s="334">
        <v>0</v>
      </c>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195728</v>
      </c>
      <c r="D12" s="334"/>
      <c r="E12" s="334"/>
      <c r="F12" s="334"/>
      <c r="G12" s="334"/>
      <c r="H12" s="334"/>
      <c r="I12" s="334"/>
      <c r="J12" s="334"/>
      <c r="K12" s="334"/>
      <c r="L12" s="334"/>
      <c r="M12" s="334"/>
    </row>
    <row r="13" spans="2:13">
      <c r="B13" s="40" t="s">
        <v>67</v>
      </c>
      <c r="C13" s="334">
        <v>343835</v>
      </c>
      <c r="D13" s="334"/>
      <c r="E13" s="334"/>
      <c r="F13" s="334"/>
      <c r="G13" s="334"/>
      <c r="H13" s="334"/>
      <c r="I13" s="334"/>
      <c r="J13" s="334"/>
      <c r="K13" s="334"/>
      <c r="L13" s="334"/>
      <c r="M13" s="334"/>
    </row>
    <row r="14" spans="2:13">
      <c r="B14" s="40" t="s">
        <v>50</v>
      </c>
      <c r="C14" s="334">
        <v>9629</v>
      </c>
      <c r="D14" s="334"/>
      <c r="E14" s="334"/>
      <c r="F14" s="334"/>
      <c r="G14" s="334"/>
      <c r="H14" s="334"/>
      <c r="I14" s="334"/>
      <c r="J14" s="334"/>
      <c r="K14" s="334"/>
      <c r="L14" s="334"/>
      <c r="M14" s="334"/>
    </row>
    <row r="15" spans="2:13">
      <c r="B15" s="43" t="s">
        <v>42</v>
      </c>
      <c r="C15" s="336">
        <v>77491</v>
      </c>
      <c r="D15" s="336"/>
      <c r="E15" s="336"/>
      <c r="F15" s="336"/>
      <c r="G15" s="336"/>
      <c r="H15" s="336"/>
      <c r="I15" s="336"/>
      <c r="J15" s="336"/>
      <c r="K15" s="336"/>
      <c r="L15" s="336"/>
      <c r="M15" s="336"/>
    </row>
    <row r="16" spans="2:13">
      <c r="B16" s="28" t="s">
        <v>44</v>
      </c>
      <c r="C16" s="334">
        <v>286</v>
      </c>
      <c r="D16" s="334"/>
      <c r="E16" s="334"/>
      <c r="F16" s="334"/>
      <c r="G16" s="334"/>
      <c r="H16" s="334"/>
      <c r="I16" s="334"/>
      <c r="J16" s="334"/>
      <c r="K16" s="334"/>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375</v>
      </c>
      <c r="C22" s="334">
        <v>-237258</v>
      </c>
      <c r="D22" s="334"/>
      <c r="E22" s="334"/>
      <c r="F22" s="334"/>
      <c r="G22" s="334"/>
      <c r="H22" s="334"/>
      <c r="I22" s="334"/>
      <c r="J22" s="334"/>
      <c r="K22" s="334"/>
      <c r="L22" s="334"/>
      <c r="M22" s="334"/>
    </row>
    <row r="23" spans="2:13">
      <c r="B23" s="27" t="s">
        <v>377</v>
      </c>
      <c r="C23" s="334">
        <v>23438</v>
      </c>
      <c r="D23" s="334"/>
      <c r="E23" s="334"/>
      <c r="F23" s="334"/>
      <c r="G23" s="334"/>
      <c r="H23" s="334"/>
      <c r="I23" s="334"/>
      <c r="J23" s="334"/>
      <c r="K23" s="334"/>
      <c r="L23" s="334"/>
      <c r="M23" s="334"/>
    </row>
    <row r="24" spans="2:13">
      <c r="B24" s="27" t="s">
        <v>376</v>
      </c>
      <c r="C24" s="334">
        <v>194894</v>
      </c>
      <c r="D24" s="334"/>
      <c r="E24" s="334"/>
      <c r="F24" s="334"/>
      <c r="G24" s="334"/>
      <c r="H24" s="334"/>
      <c r="I24" s="334"/>
      <c r="J24" s="334"/>
      <c r="K24" s="334"/>
      <c r="L24" s="334"/>
      <c r="M24" s="334"/>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323">
        <f>BS!C4</f>
        <v>0</v>
      </c>
      <c r="D28" s="334"/>
      <c r="E28" s="334"/>
      <c r="F28" s="334"/>
      <c r="G28" s="334"/>
      <c r="H28" s="334"/>
      <c r="I28" s="334"/>
      <c r="J28" s="334"/>
      <c r="K28" s="334"/>
      <c r="L28" s="334"/>
      <c r="M28" s="334"/>
    </row>
    <row r="29" spans="2:13">
      <c r="B29" s="26" t="s">
        <v>32</v>
      </c>
      <c r="C29" s="323">
        <f>BS!C6</f>
        <v>0</v>
      </c>
      <c r="D29" s="334"/>
      <c r="E29" s="334"/>
      <c r="F29" s="334"/>
      <c r="G29" s="334"/>
      <c r="H29" s="334"/>
      <c r="I29" s="334"/>
      <c r="J29" s="334"/>
      <c r="K29" s="334"/>
      <c r="L29" s="334"/>
      <c r="M29" s="334"/>
    </row>
    <row r="30" spans="2:13">
      <c r="B30" s="29" t="s">
        <v>40</v>
      </c>
      <c r="C30" s="324">
        <f>BS!C33+BS!C42</f>
        <v>1</v>
      </c>
      <c r="D30" s="336"/>
      <c r="E30" s="336"/>
      <c r="F30" s="336"/>
      <c r="G30" s="336"/>
      <c r="H30" s="336"/>
      <c r="I30" s="336"/>
      <c r="J30" s="336"/>
      <c r="K30" s="336"/>
      <c r="L30" s="336"/>
      <c r="M30" s="336"/>
    </row>
    <row r="31" spans="2:13">
      <c r="B31" s="29" t="s">
        <v>30</v>
      </c>
      <c r="C31" s="324">
        <f>BS!G27</f>
        <v>3</v>
      </c>
      <c r="D31" s="336"/>
      <c r="E31" s="336"/>
      <c r="F31" s="336"/>
      <c r="G31" s="336"/>
      <c r="H31" s="336"/>
      <c r="I31" s="336"/>
      <c r="J31" s="336"/>
      <c r="K31" s="336"/>
      <c r="L31" s="336"/>
      <c r="M31" s="336"/>
    </row>
    <row r="32" spans="2:13">
      <c r="B32" s="26" t="s">
        <v>173</v>
      </c>
      <c r="C32" s="323">
        <f>BS!G28</f>
        <v>0</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61890</v>
      </c>
      <c r="D36" s="323" t="str">
        <f t="shared" si="1"/>
        <v/>
      </c>
      <c r="E36" s="323" t="str">
        <f t="shared" si="1"/>
        <v/>
      </c>
      <c r="F36" s="323" t="str">
        <f t="shared" si="1"/>
        <v/>
      </c>
      <c r="G36" s="323" t="str">
        <f t="shared" si="1"/>
        <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0</v>
      </c>
      <c r="D37" s="323" t="str">
        <f t="shared" si="2"/>
        <v/>
      </c>
      <c r="E37" s="323" t="str">
        <f t="shared" si="2"/>
        <v/>
      </c>
      <c r="F37" s="323" t="str">
        <f t="shared" si="2"/>
        <v/>
      </c>
      <c r="G37" s="323" t="str">
        <f t="shared" si="2"/>
        <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61890</v>
      </c>
      <c r="D38" s="319" t="str">
        <f t="shared" ref="D38" si="3">IF(D36="","",D36+D37)</f>
        <v/>
      </c>
      <c r="E38" s="319" t="str">
        <f t="shared" ref="E38" si="4">IF(E36="","",E36+E37)</f>
        <v/>
      </c>
      <c r="F38" s="319" t="str">
        <f t="shared" ref="F38" si="5">IF(F36="","",F36+F37)</f>
        <v/>
      </c>
      <c r="G38" s="319" t="str">
        <f t="shared" ref="G38" si="6">IF(G36="","",G36+G37)</f>
        <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-62611</v>
      </c>
      <c r="D39" s="323" t="str">
        <f t="shared" si="13"/>
        <v/>
      </c>
      <c r="E39" s="323" t="str">
        <f t="shared" si="13"/>
        <v/>
      </c>
      <c r="F39" s="323" t="str">
        <f t="shared" si="13"/>
        <v/>
      </c>
      <c r="G39" s="323" t="str">
        <f t="shared" si="13"/>
        <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0</v>
      </c>
      <c r="D40" s="333" t="str">
        <f t="shared" si="14"/>
        <v/>
      </c>
      <c r="E40" s="333" t="str">
        <f t="shared" si="14"/>
        <v/>
      </c>
      <c r="F40" s="333" t="str">
        <f t="shared" si="14"/>
        <v/>
      </c>
      <c r="G40" s="333" t="str">
        <f t="shared" si="14"/>
        <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-62611</v>
      </c>
      <c r="D41" s="333" t="str">
        <f t="shared" ref="D41:M41" si="15">IF(D$4="","",D39-D40)</f>
        <v/>
      </c>
      <c r="E41" s="333" t="str">
        <f t="shared" si="15"/>
        <v/>
      </c>
      <c r="F41" s="333" t="str">
        <f t="shared" si="15"/>
        <v/>
      </c>
      <c r="G41" s="333" t="str">
        <f t="shared" si="15"/>
        <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t="str">
        <f t="shared" si="16"/>
        <v/>
      </c>
      <c r="E42" s="323" t="str">
        <f t="shared" si="16"/>
        <v/>
      </c>
      <c r="F42" s="323" t="str">
        <f t="shared" si="16"/>
        <v/>
      </c>
      <c r="G42" s="323" t="str">
        <f t="shared" si="16"/>
        <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-721</v>
      </c>
      <c r="D43" s="324" t="str">
        <f t="shared" ref="D43:M43" si="17">IF(D$4="","",D38+D39+D42)</f>
        <v/>
      </c>
      <c r="E43" s="324" t="str">
        <f t="shared" si="17"/>
        <v/>
      </c>
      <c r="F43" s="324" t="str">
        <f t="shared" si="17"/>
        <v/>
      </c>
      <c r="G43" s="324" t="str">
        <f t="shared" si="17"/>
        <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-60266</v>
      </c>
      <c r="D44" s="180" t="str">
        <f t="shared" si="18"/>
        <v/>
      </c>
      <c r="E44" s="180" t="str">
        <f t="shared" si="18"/>
        <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148107</v>
      </c>
      <c r="D45" s="76" t="str">
        <f t="shared" si="19"/>
        <v/>
      </c>
      <c r="E45" s="76" t="str">
        <f t="shared" si="19"/>
        <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-9629</v>
      </c>
      <c r="D46" s="323" t="str">
        <f t="shared" si="20"/>
        <v/>
      </c>
      <c r="E46" s="323" t="str">
        <f t="shared" si="20"/>
        <v/>
      </c>
      <c r="F46" s="323" t="str">
        <f t="shared" si="20"/>
        <v/>
      </c>
      <c r="G46" s="323" t="str">
        <f t="shared" si="20"/>
        <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77491</v>
      </c>
      <c r="D47" s="324" t="str">
        <f t="shared" si="21"/>
        <v/>
      </c>
      <c r="E47" s="324" t="str">
        <f t="shared" si="21"/>
        <v/>
      </c>
      <c r="F47" s="324" t="str">
        <f t="shared" si="21"/>
        <v/>
      </c>
      <c r="G47" s="324" t="str">
        <f t="shared" si="21"/>
        <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-286</v>
      </c>
      <c r="D48" s="323" t="str">
        <f t="shared" si="22"/>
        <v/>
      </c>
      <c r="E48" s="323" t="str">
        <f t="shared" si="22"/>
        <v/>
      </c>
      <c r="F48" s="323" t="str">
        <f t="shared" si="22"/>
        <v/>
      </c>
      <c r="G48" s="323" t="str">
        <f t="shared" si="22"/>
        <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-195728</v>
      </c>
      <c r="D51" s="323" t="str">
        <f t="shared" si="23"/>
        <v/>
      </c>
      <c r="E51" s="323" t="str">
        <f t="shared" si="23"/>
        <v/>
      </c>
      <c r="F51" s="323" t="str">
        <f t="shared" si="23"/>
        <v/>
      </c>
      <c r="G51" s="323" t="str">
        <f t="shared" si="23"/>
        <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343835</v>
      </c>
      <c r="D52" s="323" t="str">
        <f t="shared" si="24"/>
        <v/>
      </c>
      <c r="E52" s="323" t="str">
        <f t="shared" si="24"/>
        <v/>
      </c>
      <c r="F52" s="323" t="str">
        <f t="shared" si="24"/>
        <v/>
      </c>
      <c r="G52" s="323" t="str">
        <f t="shared" si="24"/>
        <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0</v>
      </c>
      <c r="D55" s="76" t="str">
        <f t="shared" si="25"/>
        <v/>
      </c>
      <c r="E55" s="76" t="str">
        <f t="shared" si="25"/>
        <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t="str">
        <f t="shared" si="26"/>
        <v/>
      </c>
      <c r="E56" s="76" t="str">
        <f t="shared" si="26"/>
        <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t="str">
        <f t="shared" si="27"/>
        <v/>
      </c>
      <c r="E57" s="76" t="str">
        <f t="shared" si="27"/>
        <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-60266</v>
      </c>
      <c r="D58" s="76" t="str">
        <f t="shared" ref="D58:M58" si="28">IF(D$4="","",D44-D55-D56-D57)</f>
        <v/>
      </c>
      <c r="E58" s="76" t="str">
        <f t="shared" si="28"/>
        <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0</v>
      </c>
      <c r="D61" s="323" t="str">
        <f t="shared" ref="D61:M61" si="29">IF(D$4="","",-D19)</f>
        <v/>
      </c>
      <c r="E61" s="323" t="str">
        <f t="shared" si="29"/>
        <v/>
      </c>
      <c r="F61" s="323" t="str">
        <f t="shared" si="29"/>
        <v/>
      </c>
      <c r="G61" s="323" t="str">
        <f t="shared" si="29"/>
        <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0</v>
      </c>
      <c r="D62" s="323" t="str">
        <f t="shared" ref="D62:M62" si="30">IF(D$4="","",IF(D20=0,D61,-D20))</f>
        <v/>
      </c>
      <c r="E62" s="323" t="str">
        <f t="shared" si="30"/>
        <v/>
      </c>
      <c r="F62" s="323" t="str">
        <f t="shared" si="30"/>
        <v/>
      </c>
      <c r="G62" s="323" t="str">
        <f t="shared" si="30"/>
        <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0</v>
      </c>
      <c r="D63" s="323" t="str">
        <f t="shared" ref="D63:M63" si="31">IF(D$4="","",-D21)</f>
        <v/>
      </c>
      <c r="E63" s="323" t="str">
        <f t="shared" si="31"/>
        <v/>
      </c>
      <c r="F63" s="323" t="str">
        <f t="shared" si="31"/>
        <v/>
      </c>
      <c r="G63" s="323" t="str">
        <f t="shared" si="31"/>
        <v/>
      </c>
      <c r="H63" s="323" t="str">
        <f t="shared" si="31"/>
        <v/>
      </c>
      <c r="I63" s="323" t="str">
        <f t="shared" si="31"/>
        <v/>
      </c>
      <c r="J63" s="323" t="str">
        <f t="shared" si="31"/>
        <v/>
      </c>
      <c r="K63" s="323" t="str">
        <f t="shared" si="31"/>
        <v/>
      </c>
      <c r="L63" s="323" t="str">
        <f t="shared" si="31"/>
        <v/>
      </c>
      <c r="M63" s="323" t="str">
        <f t="shared" si="31"/>
        <v/>
      </c>
    </row>
    <row r="64" spans="2:13">
      <c r="B64" s="27" t="s">
        <v>397</v>
      </c>
      <c r="C64" s="323">
        <f>IF(C$4="","",C22+C23+C24)</f>
        <v>-18926</v>
      </c>
      <c r="D64" s="323" t="str">
        <f t="shared" ref="D64:M64" si="32">IF(D$4="","",D22+D23+D24)</f>
        <v/>
      </c>
      <c r="E64" s="323" t="str">
        <f t="shared" si="32"/>
        <v/>
      </c>
      <c r="F64" s="323" t="str">
        <f t="shared" si="32"/>
        <v/>
      </c>
      <c r="G64" s="323" t="str">
        <f t="shared" si="32"/>
        <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4</v>
      </c>
      <c r="D76" s="76" t="str">
        <f t="shared" ref="D76:M76" si="39">IF(D$4="","",D79+D80)</f>
        <v/>
      </c>
      <c r="E76" s="76" t="str">
        <f t="shared" si="39"/>
        <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0</v>
      </c>
      <c r="D77" s="333" t="str">
        <f t="shared" si="40"/>
        <v/>
      </c>
      <c r="E77" s="333" t="str">
        <f t="shared" si="40"/>
        <v/>
      </c>
      <c r="F77" s="333" t="str">
        <f t="shared" si="40"/>
        <v/>
      </c>
      <c r="G77" s="333" t="str">
        <f t="shared" si="40"/>
        <v/>
      </c>
      <c r="H77" s="333" t="str">
        <f t="shared" si="40"/>
        <v/>
      </c>
      <c r="I77" s="337"/>
      <c r="J77" s="337"/>
      <c r="K77" s="337"/>
      <c r="L77" s="337"/>
      <c r="M77" s="337"/>
    </row>
    <row r="78" spans="2:13">
      <c r="B78" s="93" t="s">
        <v>87</v>
      </c>
      <c r="C78" s="333">
        <f t="shared" si="40"/>
        <v>0</v>
      </c>
      <c r="D78" s="333" t="str">
        <f t="shared" si="40"/>
        <v/>
      </c>
      <c r="E78" s="333" t="str">
        <f t="shared" si="40"/>
        <v/>
      </c>
      <c r="F78" s="333" t="str">
        <f t="shared" si="40"/>
        <v/>
      </c>
      <c r="G78" s="333" t="str">
        <f t="shared" si="40"/>
        <v/>
      </c>
      <c r="H78" s="333" t="str">
        <f t="shared" si="40"/>
        <v/>
      </c>
      <c r="I78" s="337"/>
      <c r="J78" s="337"/>
      <c r="K78" s="337"/>
      <c r="L78" s="337"/>
      <c r="M78" s="337"/>
    </row>
    <row r="79" spans="2:13">
      <c r="B79" s="26" t="s">
        <v>40</v>
      </c>
      <c r="C79" s="323">
        <f t="shared" ref="C79:M79" si="41">IF(C$4="","",C30)</f>
        <v>1</v>
      </c>
      <c r="D79" s="323" t="str">
        <f t="shared" si="41"/>
        <v/>
      </c>
      <c r="E79" s="323" t="str">
        <f t="shared" si="41"/>
        <v/>
      </c>
      <c r="F79" s="323" t="str">
        <f t="shared" si="41"/>
        <v/>
      </c>
      <c r="G79" s="323" t="str">
        <f t="shared" si="41"/>
        <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3</v>
      </c>
      <c r="D80" s="323" t="str">
        <f t="shared" si="42"/>
        <v/>
      </c>
      <c r="E80" s="323" t="str">
        <f t="shared" si="42"/>
        <v/>
      </c>
      <c r="F80" s="323" t="str">
        <f t="shared" si="42"/>
        <v/>
      </c>
      <c r="G80" s="323" t="str">
        <f t="shared" si="42"/>
        <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1</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74</v>
      </c>
      <c r="C24" s="81">
        <f>SUM(C15:C23)</f>
        <v>1</v>
      </c>
      <c r="D24" s="20">
        <f>C15*D15+C16*D16+C18*D18+C17*D17+C19*D19+C20*D20+C21*D21+C22*D22+C23*D23</f>
        <v>0.1</v>
      </c>
      <c r="F24" s="80" t="s">
        <v>71</v>
      </c>
      <c r="G24" s="81">
        <f>SUM(G15:G21)</f>
        <v>1</v>
      </c>
      <c r="H24" s="20">
        <f>G15*H15+G16*H16+G17*H17+G18*H18+G19*H19+G20*H20+G21*H21</f>
        <v>0.8</v>
      </c>
    </row>
    <row r="26" spans="2:8" ht="15" customHeight="1">
      <c r="B26" s="16" t="s">
        <v>201</v>
      </c>
      <c r="C26" s="182" t="s">
        <v>137</v>
      </c>
      <c r="F26" s="184" t="s">
        <v>197</v>
      </c>
      <c r="G26" s="185" t="s">
        <v>137</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245</v>
      </c>
      <c r="G28" s="12">
        <v>0</v>
      </c>
      <c r="H28" s="188"/>
    </row>
    <row r="29" spans="2:8" ht="15" customHeight="1">
      <c r="B29" s="4" t="s">
        <v>7</v>
      </c>
      <c r="C29" s="19">
        <v>0</v>
      </c>
      <c r="F29" s="190" t="s">
        <v>76</v>
      </c>
      <c r="G29" s="14">
        <f>G27-G28</f>
        <v>3</v>
      </c>
      <c r="H29" s="188">
        <f>H27-G28</f>
        <v>0.90000000000000013</v>
      </c>
    </row>
    <row r="30" spans="2:8" ht="15" customHeight="1">
      <c r="B30" s="2" t="s">
        <v>8</v>
      </c>
      <c r="C30" s="19">
        <v>0</v>
      </c>
      <c r="F30" s="187" t="s">
        <v>23</v>
      </c>
      <c r="G30" s="85">
        <f>C33+C42</f>
        <v>1</v>
      </c>
      <c r="H30" s="188"/>
    </row>
    <row r="31" spans="2:8" ht="15" customHeight="1">
      <c r="B31" s="80" t="s">
        <v>204</v>
      </c>
      <c r="C31" s="81">
        <f>SUM(C27:C30)</f>
        <v>0</v>
      </c>
      <c r="F31" s="190" t="s">
        <v>77</v>
      </c>
      <c r="G31" s="191">
        <f>C31+C40</f>
        <v>0</v>
      </c>
      <c r="H31" s="188"/>
    </row>
    <row r="32" spans="2:8" ht="15" customHeight="1">
      <c r="B32" s="4" t="s">
        <v>9</v>
      </c>
      <c r="C32" s="21">
        <f>C33-C31</f>
        <v>1</v>
      </c>
      <c r="F32" s="192" t="s">
        <v>75</v>
      </c>
      <c r="G32" s="193">
        <f>G35+G40</f>
        <v>4</v>
      </c>
      <c r="H32" s="188">
        <f>H35+H40</f>
        <v>1.9000000000000001</v>
      </c>
    </row>
    <row r="33" spans="2:8" ht="15" customHeight="1">
      <c r="B33" s="83" t="s">
        <v>4</v>
      </c>
      <c r="C33" s="84">
        <v>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v>
      </c>
      <c r="H35" s="200">
        <f>D12+D24</f>
        <v>0.2</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v>
      </c>
      <c r="H39" s="188">
        <f>C7*D7+C17*D17+C19*D19+C20*D20</f>
        <v>0.1</v>
      </c>
    </row>
    <row r="40" spans="2:8" ht="15" customHeight="1">
      <c r="B40" s="80" t="s">
        <v>205</v>
      </c>
      <c r="C40" s="81">
        <f>SUM(C36:C39)</f>
        <v>0</v>
      </c>
      <c r="F40" s="199" t="s">
        <v>139</v>
      </c>
      <c r="G40" s="193">
        <f>G12+G24</f>
        <v>2</v>
      </c>
      <c r="H40" s="200">
        <f>H12+H24</f>
        <v>1.7000000000000002</v>
      </c>
    </row>
    <row r="41" spans="2:8" ht="15" customHeight="1">
      <c r="B41" s="4" t="s">
        <v>17</v>
      </c>
      <c r="C41" s="21">
        <f>C42-C40</f>
        <v>0</v>
      </c>
      <c r="F41" s="190" t="s">
        <v>192</v>
      </c>
      <c r="G41" s="191">
        <f>C70</f>
        <v>2</v>
      </c>
      <c r="H41" s="200">
        <f>H40-H42</f>
        <v>1.7000000000000002</v>
      </c>
    </row>
    <row r="42" spans="2:8" ht="15" customHeight="1">
      <c r="B42" s="83" t="s">
        <v>22</v>
      </c>
      <c r="C42" s="84">
        <v>0</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409</v>
      </c>
      <c r="F45" s="256" t="s">
        <v>59</v>
      </c>
    </row>
    <row r="46" spans="2:8" ht="15" customHeight="1">
      <c r="B46" s="1" t="s">
        <v>274</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v>
      </c>
      <c r="D50" s="95">
        <f>G31/Normalized_FCF!G8</f>
        <v>0</v>
      </c>
      <c r="F50" s="253"/>
    </row>
    <row r="51" spans="2:8" ht="15" customHeight="1">
      <c r="B51" s="1" t="s">
        <v>177</v>
      </c>
      <c r="C51" s="181"/>
      <c r="D51" s="92">
        <f>G29/G32</f>
        <v>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-360.5</v>
      </c>
      <c r="D54" s="92">
        <f>Normalized_FCF!G8/G35</f>
        <v>-360.5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0.25</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2</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v>
      </c>
      <c r="F70" s="253"/>
    </row>
    <row r="71" spans="2:6" ht="15" customHeight="1">
      <c r="F71" s="253"/>
    </row>
    <row r="72" spans="2:6" ht="15" customHeight="1">
      <c r="B72" s="255" t="s">
        <v>320</v>
      </c>
      <c r="C72" s="234" t="s">
        <v>96</v>
      </c>
      <c r="D72" s="182" t="s">
        <v>57</v>
      </c>
      <c r="F72" s="253"/>
    </row>
    <row r="73" spans="2:6" ht="15" customHeight="1">
      <c r="B73" s="105" t="s">
        <v>319</v>
      </c>
      <c r="C73" s="76">
        <f>(Normalized_FCF!G25+Normalized_FCF!G35-Normalized_FCF!G91)/12</f>
        <v>-7052.6474952516664</v>
      </c>
      <c r="D73" s="76">
        <f>(Normalized_FCF!C25+Normalized_FCF!C35-Normalized_FCF!C91)/12</f>
        <v>-7052.6474952516664</v>
      </c>
      <c r="F73" s="1" t="s">
        <v>354</v>
      </c>
    </row>
    <row r="74" spans="2:6" ht="15" customHeight="1">
      <c r="B74" s="257" t="s">
        <v>324</v>
      </c>
      <c r="C74" s="258">
        <f>-$C$66/C73</f>
        <v>2.8358144956862504E-4</v>
      </c>
      <c r="D74" s="258">
        <f>-$C$66/D73</f>
        <v>2.8358144956862504E-4</v>
      </c>
      <c r="F74" s="253" t="s">
        <v>321</v>
      </c>
    </row>
    <row r="75" spans="2:6" ht="15" customHeight="1">
      <c r="B75" s="80" t="s">
        <v>322</v>
      </c>
      <c r="C75" s="341"/>
      <c r="D75" s="342">
        <f>MAX(-D73*D76,G5)</f>
        <v>2</v>
      </c>
      <c r="F75" s="253" t="s">
        <v>355</v>
      </c>
    </row>
    <row r="76" spans="2:6" ht="15" customHeight="1">
      <c r="B76" s="259" t="s">
        <v>325</v>
      </c>
      <c r="C76" s="260"/>
      <c r="D76" s="290">
        <f>IF(valuation_method="DCF",IF(D74&lt;=3,1,IF(D74&gt;18,6,2)),-C66/D73)</f>
        <v>2.8358144956862504E-4</v>
      </c>
      <c r="F76" s="253" t="s">
        <v>326</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0</v>
      </c>
      <c r="D86" s="223">
        <f>C86*scaling_factor/Common_Shares</f>
        <v>0</v>
      </c>
      <c r="E86" s="240" t="str">
        <f>Market_currency</f>
        <v>CNY</v>
      </c>
    </row>
    <row r="87" spans="2:8" ht="15" customHeight="1">
      <c r="B87" s="238" t="s">
        <v>289</v>
      </c>
      <c r="C87" s="76">
        <f>DCF!C8*Exchange_Rate</f>
        <v>0</v>
      </c>
      <c r="D87" s="223">
        <f>C87*scaling_factor/Common_Shares</f>
        <v>0</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293</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61890</v>
      </c>
      <c r="D4" s="57"/>
      <c r="E4" s="266"/>
      <c r="F4" s="57"/>
      <c r="G4" s="323">
        <f>Data!C36</f>
        <v>61890</v>
      </c>
      <c r="H4" s="323" t="str">
        <f>Data!D36</f>
        <v/>
      </c>
      <c r="I4" s="323" t="str">
        <f>Data!E36</f>
        <v/>
      </c>
      <c r="J4" s="323" t="str">
        <f>Data!F36</f>
        <v/>
      </c>
      <c r="K4" s="323" t="str">
        <f>Data!G36</f>
        <v/>
      </c>
      <c r="L4" s="323" t="str">
        <f>Data!H36</f>
        <v/>
      </c>
      <c r="M4" s="323" t="str">
        <f>Data!I36</f>
        <v/>
      </c>
      <c r="N4" s="323" t="str">
        <f>Data!J36</f>
        <v/>
      </c>
      <c r="O4" s="323" t="str">
        <f>Data!K36</f>
        <v/>
      </c>
      <c r="P4" s="323" t="str">
        <f>Data!L36</f>
        <v/>
      </c>
      <c r="Q4" s="323" t="str">
        <f>Data!M36</f>
        <v/>
      </c>
    </row>
    <row r="5" spans="1:17" ht="15.75" customHeight="1">
      <c r="A5" s="10"/>
      <c r="B5" s="2" t="s">
        <v>46</v>
      </c>
      <c r="C5" s="318">
        <f>C25</f>
        <v>0</v>
      </c>
      <c r="E5" s="268"/>
      <c r="G5" s="323">
        <f t="shared" ref="G5:Q5" si="1">G25</f>
        <v>0</v>
      </c>
      <c r="H5" s="323" t="str">
        <f t="shared" si="1"/>
        <v/>
      </c>
      <c r="I5" s="323" t="str">
        <f t="shared" si="1"/>
        <v/>
      </c>
      <c r="J5" s="323" t="str">
        <f t="shared" si="1"/>
        <v/>
      </c>
      <c r="K5" s="323" t="str">
        <f t="shared" si="1"/>
        <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61890</v>
      </c>
      <c r="E6" s="268"/>
      <c r="G6" s="319">
        <f>IF(G4="","",G4+G5)</f>
        <v>61890</v>
      </c>
      <c r="H6" s="319" t="str">
        <f t="shared" ref="H6:Q6" si="2">IF(H4="","",H4+H5)</f>
        <v/>
      </c>
      <c r="I6" s="319" t="str">
        <f t="shared" si="2"/>
        <v/>
      </c>
      <c r="J6" s="319" t="str">
        <f t="shared" si="2"/>
        <v/>
      </c>
      <c r="K6" s="319" t="str">
        <f t="shared" si="2"/>
        <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-62611</v>
      </c>
      <c r="E7" s="268"/>
      <c r="G7" s="318">
        <f t="shared" ref="G7:Q7" si="3">G35</f>
        <v>-62611</v>
      </c>
      <c r="H7" s="318" t="str">
        <f t="shared" si="3"/>
        <v/>
      </c>
      <c r="I7" s="318" t="str">
        <f t="shared" si="3"/>
        <v/>
      </c>
      <c r="J7" s="318" t="str">
        <f t="shared" si="3"/>
        <v/>
      </c>
      <c r="K7" s="318" t="str">
        <f t="shared" si="3"/>
        <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-721</v>
      </c>
      <c r="D8" s="59"/>
      <c r="E8" s="274"/>
      <c r="F8" s="59"/>
      <c r="G8" s="319">
        <f>IF(G$4="","",G6+G7)</f>
        <v>-721</v>
      </c>
      <c r="H8" s="319" t="str">
        <f t="shared" ref="H8:Q8" si="4">IF(H$4="","",H6+H7)</f>
        <v/>
      </c>
      <c r="I8" s="319" t="str">
        <f t="shared" si="4"/>
        <v/>
      </c>
      <c r="J8" s="319" t="str">
        <f t="shared" si="4"/>
        <v/>
      </c>
      <c r="K8" s="319" t="str">
        <f t="shared" si="4"/>
        <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0</v>
      </c>
      <c r="E9" s="268"/>
      <c r="G9" s="318">
        <f>IF(Data!C61="","",-Data!C61)</f>
        <v>0</v>
      </c>
      <c r="H9" s="318" t="str">
        <f>IF(Data!D61="","",-Data!D61)</f>
        <v/>
      </c>
      <c r="I9" s="318" t="str">
        <f>IF(Data!E61="","",-Data!E61)</f>
        <v/>
      </c>
      <c r="J9" s="318" t="str">
        <f>IF(Data!F61="","",-Data!F61)</f>
        <v/>
      </c>
      <c r="K9" s="318" t="str">
        <f>IF(Data!G61="","",-Data!G61)</f>
        <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0</v>
      </c>
      <c r="E10" s="268"/>
      <c r="G10" s="318">
        <f>Data!C62</f>
        <v>0</v>
      </c>
      <c r="H10" s="318" t="str">
        <f>Data!D62</f>
        <v/>
      </c>
      <c r="I10" s="318" t="str">
        <f>Data!E62</f>
        <v/>
      </c>
      <c r="J10" s="318" t="str">
        <f>Data!F62</f>
        <v/>
      </c>
      <c r="K10" s="318" t="str">
        <f>Data!G62</f>
        <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0</v>
      </c>
      <c r="H11" s="324" t="str">
        <f t="shared" ref="H11:Q11" si="5">H61</f>
        <v/>
      </c>
      <c r="I11" s="324" t="str">
        <f t="shared" si="5"/>
        <v/>
      </c>
      <c r="J11" s="324" t="str">
        <f t="shared" si="5"/>
        <v/>
      </c>
      <c r="K11" s="324" t="str">
        <f t="shared" si="5"/>
        <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0</v>
      </c>
      <c r="E12" s="268"/>
      <c r="G12" s="318">
        <f>G50</f>
        <v>-195728</v>
      </c>
      <c r="H12" s="318" t="str">
        <f t="shared" ref="H12:Q12" si="6">H50</f>
        <v/>
      </c>
      <c r="I12" s="318" t="str">
        <f t="shared" si="6"/>
        <v/>
      </c>
      <c r="J12" s="318" t="str">
        <f t="shared" si="6"/>
        <v/>
      </c>
      <c r="K12" s="318" t="str">
        <f t="shared" si="6"/>
        <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-721</v>
      </c>
      <c r="E13" s="268"/>
      <c r="G13" s="319">
        <f>IF(G$4="","",SUM(G8:G12))</f>
        <v>-196449</v>
      </c>
      <c r="H13" s="319" t="str">
        <f t="shared" ref="H13:Q13" si="7">IF(H$4="","",SUM(H8:H12))</f>
        <v/>
      </c>
      <c r="I13" s="319" t="str">
        <f t="shared" si="7"/>
        <v/>
      </c>
      <c r="J13" s="319" t="str">
        <f t="shared" si="7"/>
        <v/>
      </c>
      <c r="K13" s="319" t="str">
        <f t="shared" si="7"/>
        <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180.25</v>
      </c>
      <c r="E14" s="268"/>
      <c r="G14" s="318">
        <f>Data!C46</f>
        <v>-9629</v>
      </c>
      <c r="H14" s="318" t="str">
        <f>Data!D46</f>
        <v/>
      </c>
      <c r="I14" s="318" t="str">
        <f>Data!E46</f>
        <v/>
      </c>
      <c r="J14" s="318" t="str">
        <f>Data!F46</f>
        <v/>
      </c>
      <c r="K14" s="318" t="str">
        <f>Data!G46</f>
        <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0</v>
      </c>
      <c r="D15" s="60"/>
      <c r="E15" s="275"/>
      <c r="F15" s="60"/>
      <c r="G15" s="323">
        <f>Data!C48</f>
        <v>-286</v>
      </c>
      <c r="H15" s="323" t="str">
        <f>Data!D48</f>
        <v/>
      </c>
      <c r="I15" s="323" t="str">
        <f>Data!E48</f>
        <v/>
      </c>
      <c r="J15" s="323" t="str">
        <f>Data!F48</f>
        <v/>
      </c>
      <c r="K15" s="323" t="str">
        <f>Data!G48</f>
        <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-540.75</v>
      </c>
      <c r="D16" s="61"/>
      <c r="E16" s="276"/>
      <c r="F16" s="61"/>
      <c r="G16" s="319">
        <f>IF(G$4="","",SUM(G13:G15))</f>
        <v>-206364</v>
      </c>
      <c r="H16" s="319" t="str">
        <f t="shared" ref="H16:Q16" si="8">IF(H$4="","",SUM(H13:H15))</f>
        <v/>
      </c>
      <c r="I16" s="319" t="str">
        <f t="shared" si="8"/>
        <v/>
      </c>
      <c r="J16" s="319" t="str">
        <f t="shared" si="8"/>
        <v/>
      </c>
      <c r="K16" s="319" t="str">
        <f t="shared" si="8"/>
        <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334</v>
      </c>
      <c r="F17" s="58"/>
      <c r="G17" s="325"/>
      <c r="H17" s="325"/>
      <c r="I17" s="325"/>
      <c r="J17" s="325"/>
      <c r="K17" s="325"/>
      <c r="L17" s="325"/>
      <c r="M17" s="325"/>
      <c r="N17" s="325"/>
      <c r="O17" s="325"/>
      <c r="P17" s="325"/>
      <c r="Q17" s="325"/>
    </row>
    <row r="18" spans="1:17" ht="15.75" customHeight="1">
      <c r="A18" s="10"/>
      <c r="B18" s="27" t="s">
        <v>99</v>
      </c>
      <c r="C18" s="318">
        <v>0</v>
      </c>
      <c r="D18" s="58"/>
      <c r="E18" s="267" t="s">
        <v>335</v>
      </c>
      <c r="F18" s="58"/>
      <c r="G18" s="326"/>
      <c r="H18" s="326"/>
      <c r="I18" s="326"/>
      <c r="J18" s="326"/>
      <c r="K18" s="326"/>
      <c r="L18" s="326"/>
      <c r="M18" s="326"/>
      <c r="N18" s="326"/>
      <c r="O18" s="326"/>
      <c r="P18" s="326"/>
      <c r="Q18" s="326"/>
    </row>
    <row r="19" spans="1:17" ht="15.75" customHeight="1">
      <c r="A19" s="10"/>
      <c r="B19" s="31" t="s">
        <v>66</v>
      </c>
      <c r="C19" s="319">
        <f>C16+C17</f>
        <v>-540.75</v>
      </c>
      <c r="D19" s="27"/>
      <c r="E19" s="265"/>
      <c r="F19" s="27"/>
      <c r="G19" s="324">
        <f>IF(G$4="","",G16+G17)</f>
        <v>-206364</v>
      </c>
      <c r="H19" s="324" t="str">
        <f t="shared" ref="H19:Q19" si="9">IF(H$4="","",H16+H17)</f>
        <v/>
      </c>
      <c r="I19" s="324" t="str">
        <f t="shared" si="9"/>
        <v/>
      </c>
      <c r="J19" s="324" t="str">
        <f t="shared" si="9"/>
        <v/>
      </c>
      <c r="K19" s="324" t="str">
        <f t="shared" si="9"/>
        <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0</v>
      </c>
      <c r="D23" s="58"/>
      <c r="E23" s="267"/>
      <c r="F23" s="58"/>
      <c r="G23" s="323">
        <f>Data!C37</f>
        <v>0</v>
      </c>
      <c r="H23" s="323" t="str">
        <f>Data!D37</f>
        <v/>
      </c>
      <c r="I23" s="323" t="str">
        <f>Data!E37</f>
        <v/>
      </c>
      <c r="J23" s="323" t="str">
        <f>Data!F37</f>
        <v/>
      </c>
      <c r="K23" s="323" t="str">
        <f>Data!G37</f>
        <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0</v>
      </c>
      <c r="D24" s="27"/>
      <c r="E24" s="265"/>
      <c r="F24" s="27"/>
      <c r="G24" s="323">
        <f>Data!C40</f>
        <v>0</v>
      </c>
      <c r="H24" s="323" t="str">
        <f>Data!D40</f>
        <v/>
      </c>
      <c r="I24" s="323" t="str">
        <f>Data!E40</f>
        <v/>
      </c>
      <c r="J24" s="323" t="str">
        <f>Data!F40</f>
        <v/>
      </c>
      <c r="K24" s="323" t="str">
        <f>Data!G40</f>
        <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0</v>
      </c>
      <c r="D25" s="9"/>
      <c r="E25" s="273"/>
      <c r="F25" s="9"/>
      <c r="G25" s="319">
        <f t="shared" ref="G25:Q25" si="10">IF(G$4="","",G23+G24)</f>
        <v>0</v>
      </c>
      <c r="H25" s="319" t="str">
        <f t="shared" si="10"/>
        <v/>
      </c>
      <c r="I25" s="319" t="str">
        <f t="shared" si="10"/>
        <v/>
      </c>
      <c r="J25" s="319" t="str">
        <f t="shared" si="10"/>
        <v/>
      </c>
      <c r="K25" s="319" t="str">
        <f t="shared" si="10"/>
        <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336</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336</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-62611</v>
      </c>
      <c r="E33" s="266" t="s">
        <v>336</v>
      </c>
      <c r="G33" s="318">
        <f>Data!C41</f>
        <v>-62611</v>
      </c>
      <c r="H33" s="318" t="str">
        <f>Data!D41</f>
        <v/>
      </c>
      <c r="I33" s="318" t="str">
        <f>Data!E41</f>
        <v/>
      </c>
      <c r="J33" s="318" t="str">
        <f>Data!F41</f>
        <v/>
      </c>
      <c r="K33" s="318" t="str">
        <f>Data!G41</f>
        <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336</v>
      </c>
      <c r="F34" s="58"/>
      <c r="G34" s="323">
        <f>Data!C42</f>
        <v>0</v>
      </c>
      <c r="H34" s="323" t="str">
        <f>Data!D42</f>
        <v/>
      </c>
      <c r="I34" s="323" t="str">
        <f>Data!E42</f>
        <v/>
      </c>
      <c r="J34" s="323" t="str">
        <f>Data!F42</f>
        <v/>
      </c>
      <c r="K34" s="323" t="str">
        <f>Data!G42</f>
        <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-62611</v>
      </c>
      <c r="D35" s="58"/>
      <c r="E35" s="267"/>
      <c r="F35" s="58"/>
      <c r="G35" s="319">
        <f t="shared" ref="G35:Q35" si="14">IF(G4="","",G33+G34)</f>
        <v>-62611</v>
      </c>
      <c r="H35" s="319" t="str">
        <f t="shared" si="14"/>
        <v/>
      </c>
      <c r="I35" s="319" t="str">
        <f t="shared" si="14"/>
        <v/>
      </c>
      <c r="J35" s="319" t="str">
        <f t="shared" si="14"/>
        <v/>
      </c>
      <c r="K35" s="319" t="str">
        <f t="shared" si="14"/>
        <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0</v>
      </c>
      <c r="E47" s="268"/>
      <c r="G47" s="318">
        <f>Data!C51</f>
        <v>-195728</v>
      </c>
      <c r="H47" s="318" t="str">
        <f>Data!D51</f>
        <v/>
      </c>
      <c r="I47" s="318" t="str">
        <f>Data!E51</f>
        <v/>
      </c>
      <c r="J47" s="318" t="str">
        <f>Data!F51</f>
        <v/>
      </c>
      <c r="K47" s="318" t="str">
        <f>Data!G51</f>
        <v/>
      </c>
      <c r="L47" s="318" t="str">
        <f>Data!H51</f>
        <v/>
      </c>
      <c r="M47" s="318" t="str">
        <f>Data!I51</f>
        <v/>
      </c>
      <c r="N47" s="318" t="str">
        <f>Data!J51</f>
        <v/>
      </c>
      <c r="O47" s="318" t="str">
        <f>Data!K51</f>
        <v/>
      </c>
      <c r="P47" s="318" t="str">
        <f>Data!L51</f>
        <v/>
      </c>
      <c r="Q47" s="318" t="str">
        <f>Data!M51</f>
        <v/>
      </c>
    </row>
    <row r="48" spans="1:17" ht="15.75" customHeight="1">
      <c r="A48" s="10"/>
      <c r="B48" s="2" t="s">
        <v>348</v>
      </c>
      <c r="C48" s="318">
        <f>BS!D75*C53</f>
        <v>0</v>
      </c>
      <c r="E48" s="268"/>
      <c r="G48" s="327">
        <f>IFERROR(IF(G$4="","",($C$48/$C$49)*G49),0)</f>
        <v>0</v>
      </c>
      <c r="H48" s="327" t="str">
        <f t="shared" ref="H48:Q48" si="19">IFERROR(IF(H$4="","",($C$48/$C$49)*H49),0)</f>
        <v/>
      </c>
      <c r="I48" s="327" t="str">
        <f t="shared" si="19"/>
        <v/>
      </c>
      <c r="J48" s="327" t="str">
        <f t="shared" si="19"/>
        <v/>
      </c>
      <c r="K48" s="327" t="str">
        <f t="shared" si="19"/>
        <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345</v>
      </c>
      <c r="C49" s="329">
        <f>BS!$C$66*C53</f>
        <v>0</v>
      </c>
      <c r="D49" s="288"/>
      <c r="E49" s="289"/>
      <c r="F49" s="288"/>
      <c r="G49" s="329">
        <f>Data!C52</f>
        <v>343835</v>
      </c>
      <c r="H49" s="329" t="str">
        <f>Data!D52</f>
        <v/>
      </c>
      <c r="I49" s="329" t="str">
        <f>Data!E52</f>
        <v/>
      </c>
      <c r="J49" s="329" t="str">
        <f>Data!F52</f>
        <v/>
      </c>
      <c r="K49" s="329" t="str">
        <f>Data!G52</f>
        <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0</v>
      </c>
      <c r="E50" s="268"/>
      <c r="G50" s="319">
        <f>IF(G$4="","",(G47+G48))</f>
        <v>-195728</v>
      </c>
      <c r="H50" s="319" t="str">
        <f t="shared" ref="H50:Q50" si="20">IF(H$4="","",(H47+H48))</f>
        <v/>
      </c>
      <c r="I50" s="319" t="str">
        <f t="shared" si="20"/>
        <v/>
      </c>
      <c r="J50" s="319" t="str">
        <f t="shared" si="20"/>
        <v/>
      </c>
      <c r="K50" s="319" t="str">
        <f t="shared" si="20"/>
        <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v>
      </c>
      <c r="E53" s="265" t="s">
        <v>338</v>
      </c>
      <c r="G53" s="6">
        <f>IF(Normalized_FCF!G4="","",Normalized_FCF!G49/BS!$C$66)</f>
        <v>171917.5</v>
      </c>
      <c r="H53" s="169"/>
      <c r="I53" s="169"/>
      <c r="J53" s="169"/>
      <c r="K53" s="169"/>
      <c r="L53" s="169"/>
      <c r="M53" s="169"/>
      <c r="N53" s="169"/>
      <c r="O53" s="169"/>
      <c r="P53" s="169"/>
      <c r="Q53" s="169"/>
    </row>
    <row r="54" spans="1:17" ht="15.75" customHeight="1">
      <c r="A54" s="10"/>
      <c r="B54" s="8" t="s">
        <v>88</v>
      </c>
      <c r="C54" s="82">
        <f>G54</f>
        <v>0</v>
      </c>
      <c r="E54" s="265" t="s">
        <v>339</v>
      </c>
      <c r="G54" s="23">
        <f>IFERROR(ABS(Normalized_FCF!G47/BS!$G$31),0)</f>
        <v>0</v>
      </c>
      <c r="H54" s="169"/>
      <c r="I54" s="169"/>
      <c r="J54" s="169"/>
      <c r="K54" s="169"/>
      <c r="L54" s="169"/>
      <c r="M54" s="169"/>
      <c r="N54" s="169"/>
      <c r="O54" s="169"/>
      <c r="P54" s="169"/>
      <c r="Q54" s="169"/>
    </row>
    <row r="55" spans="1:17" ht="15.75" customHeight="1">
      <c r="A55" s="10"/>
      <c r="B55" s="26" t="s">
        <v>91</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t="str">
        <f>Data!D56</f>
        <v/>
      </c>
      <c r="I58" s="318" t="str">
        <f>Data!E56</f>
        <v/>
      </c>
      <c r="J58" s="318" t="str">
        <f>Data!F56</f>
        <v/>
      </c>
      <c r="K58" s="318" t="str">
        <f>Data!G56</f>
        <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0</v>
      </c>
      <c r="H59" s="318" t="str">
        <f>Data!D55</f>
        <v/>
      </c>
      <c r="I59" s="318" t="str">
        <f>Data!E55</f>
        <v/>
      </c>
      <c r="J59" s="318" t="str">
        <f>Data!F55</f>
        <v/>
      </c>
      <c r="K59" s="318" t="str">
        <f>Data!G55</f>
        <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t="str">
        <f>Data!D57</f>
        <v/>
      </c>
      <c r="I60" s="318" t="str">
        <f>Data!E57</f>
        <v/>
      </c>
      <c r="J60" s="318" t="str">
        <f>Data!F57</f>
        <v/>
      </c>
      <c r="K60" s="318" t="str">
        <f>Data!G57</f>
        <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0</v>
      </c>
      <c r="H61" s="319" t="str">
        <f t="shared" si="22"/>
        <v/>
      </c>
      <c r="I61" s="319" t="str">
        <f t="shared" si="22"/>
        <v/>
      </c>
      <c r="J61" s="319" t="str">
        <f t="shared" si="22"/>
        <v/>
      </c>
      <c r="K61" s="319" t="str">
        <f t="shared" si="22"/>
        <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340</v>
      </c>
      <c r="G62" s="318">
        <f>Data!C58</f>
        <v>-60266</v>
      </c>
      <c r="H62" s="318" t="str">
        <f>Data!D58</f>
        <v/>
      </c>
      <c r="I62" s="318" t="str">
        <f>Data!E58</f>
        <v/>
      </c>
      <c r="J62" s="318" t="str">
        <f>Data!F58</f>
        <v/>
      </c>
      <c r="K62" s="318" t="str">
        <f>Data!G58</f>
        <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-60266</v>
      </c>
      <c r="H63" s="319" t="str">
        <f t="shared" si="23"/>
        <v/>
      </c>
      <c r="I63" s="319" t="str">
        <f t="shared" si="23"/>
        <v/>
      </c>
      <c r="J63" s="319" t="str">
        <f t="shared" si="23"/>
        <v/>
      </c>
      <c r="K63" s="319" t="str">
        <f t="shared" si="23"/>
        <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6" t="s">
        <v>357</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311</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4</v>
      </c>
      <c r="D101" s="26"/>
      <c r="E101" s="269"/>
      <c r="F101" s="26"/>
      <c r="G101" s="323">
        <f t="shared" ref="G101:Q101" si="42">IF(G$4="","",G105+G104)</f>
        <v>4</v>
      </c>
      <c r="H101" s="323" t="str">
        <f t="shared" si="42"/>
        <v/>
      </c>
      <c r="I101" s="323" t="str">
        <f t="shared" si="42"/>
        <v/>
      </c>
      <c r="J101" s="323" t="str">
        <f t="shared" si="42"/>
        <v/>
      </c>
      <c r="K101" s="323" t="str">
        <f t="shared" si="42"/>
        <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0</v>
      </c>
      <c r="D102" s="89"/>
      <c r="E102" s="270"/>
      <c r="F102" s="89"/>
      <c r="G102" s="333" t="str">
        <f>IF(G$4="","",Data!D77)</f>
        <v/>
      </c>
      <c r="H102" s="333" t="str">
        <f>IF(H$4="","",Data!E77)</f>
        <v/>
      </c>
      <c r="I102" s="333" t="str">
        <f>IF(I$4="","",Data!F77)</f>
        <v/>
      </c>
      <c r="J102" s="333" t="str">
        <f>IF(J$4="","",Data!G77)</f>
        <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0</v>
      </c>
      <c r="D103" s="89"/>
      <c r="E103" s="270"/>
      <c r="F103" s="89"/>
      <c r="G103" s="333" t="str">
        <f>IF(G$4="","",Data!D78)</f>
        <v/>
      </c>
      <c r="H103" s="333" t="str">
        <f>IF(H$4="","",Data!E78)</f>
        <v/>
      </c>
      <c r="I103" s="333" t="str">
        <f>IF(I$4="","",Data!F78)</f>
        <v/>
      </c>
      <c r="J103" s="333" t="str">
        <f>IF(J$4="","",Data!G78)</f>
        <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1</v>
      </c>
      <c r="D104" s="26"/>
      <c r="E104" s="269"/>
      <c r="F104" s="26"/>
      <c r="G104" s="323">
        <f>Data!C79</f>
        <v>1</v>
      </c>
      <c r="H104" s="323" t="str">
        <f>Data!D79</f>
        <v/>
      </c>
      <c r="I104" s="323" t="str">
        <f>Data!E79</f>
        <v/>
      </c>
      <c r="J104" s="323" t="str">
        <f>Data!F79</f>
        <v/>
      </c>
      <c r="K104" s="323" t="str">
        <f>Data!G79</f>
        <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3</v>
      </c>
      <c r="D105" s="26"/>
      <c r="E105" s="269"/>
      <c r="F105" s="26"/>
      <c r="G105" s="323">
        <f>Data!C80</f>
        <v>3</v>
      </c>
      <c r="H105" s="323" t="str">
        <f>Data!D80</f>
        <v/>
      </c>
      <c r="I105" s="323" t="str">
        <f>Data!E80</f>
        <v/>
      </c>
      <c r="J105" s="323" t="str">
        <f>Data!F80</f>
        <v/>
      </c>
      <c r="K105" s="323" t="str">
        <f>Data!G80</f>
        <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396</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-1.1649701082565843E-2</v>
      </c>
      <c r="E117" s="268"/>
      <c r="G117" s="23">
        <f>IF(G4="","",IF(valuation_method="DDM",G13/(G4+G12),G81))</f>
        <v>1.4678118322150659</v>
      </c>
      <c r="H117" s="23" t="str">
        <f>IF(H4="","",IF(valuation_method="DDM",H13/(H4+H12),H81))</f>
        <v/>
      </c>
      <c r="I117" s="23" t="str">
        <f>IF(I4="","",IF(valuation_method="DDM",I13/(I4+I12),I81))</f>
        <v/>
      </c>
      <c r="J117" s="23" t="str">
        <f>IF(J4="","",IF(valuation_method="DDM",J13/(J4+J12),J81))</f>
        <v/>
      </c>
      <c r="K117" s="23" t="str">
        <f>IF(K4="","",IF(valuation_method="DDM",K13/(K4+K12),K81))</f>
        <v/>
      </c>
      <c r="L117" s="23" t="str">
        <f>IF(L4="","",IF(valuation_method="DDM",L13/(L4+L12),L81))</f>
        <v/>
      </c>
      <c r="M117" s="23" t="str">
        <f>IF(M4="","",IF(valuation_method="DDM",M13/(M4+M12),M81))</f>
        <v/>
      </c>
      <c r="N117" s="23" t="str">
        <f>IF(N4="","",IF(valuation_method="DDM",N13/(N4+N12),N81))</f>
        <v/>
      </c>
      <c r="O117" s="23" t="str">
        <f>IF(O4="","",IF(valuation_method="DDM",O13/(O4+O12),O81))</f>
        <v/>
      </c>
      <c r="P117" s="23" t="str">
        <f>IF(P4="","",IF(valuation_method="DDM",P13/(P4+P12),P81))</f>
        <v/>
      </c>
      <c r="Q117" s="23" t="str">
        <f>IF(Q4="","",IF(valuation_method="DDM",Q13/(Q4+Q12),Q81))</f>
        <v/>
      </c>
    </row>
    <row r="118" spans="1:17" ht="15.75" customHeight="1">
      <c r="B118" s="7" t="s">
        <v>84</v>
      </c>
      <c r="C118" s="42">
        <f>IF(valuation_method="DDM",(C4+C12)/C101,C4/C101)</f>
        <v>15472.5</v>
      </c>
      <c r="E118" s="268"/>
      <c r="G118" s="42">
        <f>IF(G4="","",IF(valuation_method="DDM",(G4+G12)/G101,G4/G101))</f>
        <v>-33459.5</v>
      </c>
      <c r="H118" s="42" t="str">
        <f>IF(H4="","",IF(valuation_method="DDM",(H4+H12)/H101,H4/H101))</f>
        <v/>
      </c>
      <c r="I118" s="42" t="str">
        <f>IF(I4="","",IF(valuation_method="DDM",(I4+I12)/I101,I4/I101))</f>
        <v/>
      </c>
      <c r="J118" s="42" t="str">
        <f>IF(J4="","",IF(valuation_method="DDM",(J4+J12)/J101,J4/J101))</f>
        <v/>
      </c>
      <c r="K118" s="42" t="str">
        <f>IF(K4="","",IF(valuation_method="DDM",(K4+K12)/K101,K4/K101))</f>
        <v/>
      </c>
      <c r="L118" s="42" t="str">
        <f>IF(L4="","",IF(valuation_method="DDM",(L4+L12)/L101,L4/L101))</f>
        <v/>
      </c>
      <c r="M118" s="42" t="str">
        <f>IF(M4="","",IF(valuation_method="DDM",(M4+M12)/M101,M4/M101))</f>
        <v/>
      </c>
      <c r="N118" s="42" t="str">
        <f>IF(N4="","",IF(valuation_method="DDM",(N4+N12)/N101,N4/N101))</f>
        <v/>
      </c>
      <c r="O118" s="42" t="str">
        <f>IF(O4="","",IF(valuation_method="DDM",(O4+O12)/O101,O4/O101))</f>
        <v/>
      </c>
      <c r="P118" s="42" t="str">
        <f>IF(P4="","",IF(valuation_method="DDM",(P4+P12)/P101,P4/P101))</f>
        <v/>
      </c>
      <c r="Q118" s="42" t="str">
        <f>IF(Q4="","",IF(valuation_method="DDM",(Q4+Q12)/Q101,Q4/Q101))</f>
        <v/>
      </c>
    </row>
    <row r="119" spans="1:17" ht="15.75" customHeight="1">
      <c r="B119" s="7" t="s">
        <v>92</v>
      </c>
      <c r="C119" s="15">
        <f>C101/C105</f>
        <v>1.3333333333333333</v>
      </c>
      <c r="D119" s="11"/>
      <c r="E119" s="272"/>
      <c r="F119" s="11"/>
      <c r="G119" s="15">
        <f t="shared" ref="G119:Q119" si="45">IF(G$4="","",G101/G105)</f>
        <v>1.3333333333333333</v>
      </c>
      <c r="H119" s="15" t="str">
        <f t="shared" si="45"/>
        <v/>
      </c>
      <c r="I119" s="15" t="str">
        <f t="shared" si="45"/>
        <v/>
      </c>
      <c r="J119" s="15" t="str">
        <f t="shared" si="45"/>
        <v/>
      </c>
      <c r="K119" s="15" t="str">
        <f t="shared" si="45"/>
        <v/>
      </c>
      <c r="L119" s="15" t="str">
        <f t="shared" si="45"/>
        <v/>
      </c>
      <c r="M119" s="15" t="str">
        <f t="shared" si="45"/>
        <v/>
      </c>
      <c r="N119" s="15" t="str">
        <f t="shared" si="45"/>
        <v/>
      </c>
      <c r="O119" s="15" t="str">
        <f t="shared" si="45"/>
        <v/>
      </c>
      <c r="P119" s="15" t="str">
        <f t="shared" si="45"/>
        <v/>
      </c>
      <c r="Q119" s="15" t="str">
        <f t="shared" si="45"/>
        <v/>
      </c>
    </row>
    <row r="120" spans="1:17" ht="15.75" customHeight="1">
      <c r="A120" s="10"/>
      <c r="B120" s="70" t="s">
        <v>223</v>
      </c>
      <c r="C120" s="102">
        <f>C13/C105</f>
        <v>-240.33333333333334</v>
      </c>
      <c r="D120" s="103"/>
      <c r="E120" s="271"/>
      <c r="F120" s="103"/>
      <c r="G120" s="102">
        <f>IF(G$4="","",G13/G105)</f>
        <v>-65483</v>
      </c>
      <c r="H120" s="102" t="str">
        <f t="shared" ref="H120:Q120" si="46">IF(H$4="","",H13/H105)</f>
        <v/>
      </c>
      <c r="I120" s="102" t="str">
        <f t="shared" si="46"/>
        <v/>
      </c>
      <c r="J120" s="102" t="str">
        <f t="shared" si="46"/>
        <v/>
      </c>
      <c r="K120" s="102" t="str">
        <f t="shared" si="46"/>
        <v/>
      </c>
      <c r="L120" s="102" t="str">
        <f t="shared" si="46"/>
        <v/>
      </c>
      <c r="M120" s="102" t="str">
        <f t="shared" si="46"/>
        <v/>
      </c>
      <c r="N120" s="102" t="str">
        <f t="shared" si="46"/>
        <v/>
      </c>
      <c r="O120" s="102" t="str">
        <f t="shared" si="46"/>
        <v/>
      </c>
      <c r="P120" s="102" t="str">
        <f t="shared" si="46"/>
        <v/>
      </c>
      <c r="Q120" s="102" t="str">
        <f t="shared" si="46"/>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-2.6029743804743193E-2</v>
      </c>
      <c r="D124" s="27"/>
      <c r="E124" s="265"/>
      <c r="F124" s="27"/>
      <c r="G124" s="177">
        <f t="shared" ref="G124:Q124" si="47">IF(G$4="","",G16*$C$3/Common_Shares*Exchange_Rate)</f>
        <v>-9.9336145178400823</v>
      </c>
      <c r="H124" s="177" t="str">
        <f t="shared" si="47"/>
        <v/>
      </c>
      <c r="I124" s="177" t="str">
        <f t="shared" si="47"/>
        <v/>
      </c>
      <c r="J124" s="177" t="str">
        <f t="shared" si="47"/>
        <v/>
      </c>
      <c r="K124" s="177" t="str">
        <f t="shared" si="47"/>
        <v/>
      </c>
      <c r="L124" s="177" t="str">
        <f t="shared" si="47"/>
        <v/>
      </c>
      <c r="M124" s="177" t="str">
        <f t="shared" si="47"/>
        <v/>
      </c>
      <c r="N124" s="177" t="str">
        <f t="shared" si="47"/>
        <v/>
      </c>
      <c r="O124" s="177" t="str">
        <f t="shared" si="47"/>
        <v/>
      </c>
      <c r="P124" s="177" t="str">
        <f t="shared" si="47"/>
        <v/>
      </c>
      <c r="Q124" s="177" t="str">
        <f t="shared" si="47"/>
        <v/>
      </c>
    </row>
    <row r="125" spans="1:17" ht="15.75" customHeight="1">
      <c r="A125" s="10"/>
      <c r="B125" s="27" t="s">
        <v>270</v>
      </c>
      <c r="C125" s="77">
        <f>C19*Exchange_Rate*$C$3/(Market_Price*Common_Shares)</f>
        <v>-1.1466847491076299E-3</v>
      </c>
      <c r="D125" s="27"/>
      <c r="E125" s="265"/>
      <c r="F125" s="27"/>
      <c r="G125" s="77">
        <f t="shared" ref="G125" si="48">IF(G$4="","",G124/Market_Price)</f>
        <v>-0.43760416378150141</v>
      </c>
      <c r="H125" s="77" t="str">
        <f t="shared" ref="H125" si="49">IF(H$4="","",H124/Market_Price)</f>
        <v/>
      </c>
      <c r="I125" s="77" t="str">
        <f t="shared" ref="I125" si="50">IF(I$4="","",I124/Market_Price)</f>
        <v/>
      </c>
      <c r="J125" s="77" t="str">
        <f t="shared" ref="J125" si="51">IF(J$4="","",J124/Market_Price)</f>
        <v/>
      </c>
      <c r="K125" s="77" t="str">
        <f t="shared" ref="K125" si="52">IF(K$4="","",K124/Market_Price)</f>
        <v/>
      </c>
      <c r="L125" s="77" t="str">
        <f t="shared" ref="L125" si="53">IF(L$4="","",L124/Market_Price)</f>
        <v/>
      </c>
      <c r="M125" s="77" t="str">
        <f t="shared" ref="M125" si="54">IF(M$4="","",M124/Market_Price)</f>
        <v/>
      </c>
      <c r="N125" s="77" t="str">
        <f t="shared" ref="N125" si="55">IF(N$4="","",N124/Market_Price)</f>
        <v/>
      </c>
      <c r="O125" s="77" t="str">
        <f t="shared" ref="O125" si="56">IF(O$4="","",O124/Market_Price)</f>
        <v/>
      </c>
      <c r="P125" s="77" t="str">
        <f t="shared" ref="P125" si="57">IF(P$4="","",P124/Market_Price)</f>
        <v/>
      </c>
      <c r="Q125" s="77" t="str">
        <f t="shared" ref="Q125" si="58">IF(Q$4="","",Q124/Market_Price)</f>
        <v/>
      </c>
    </row>
    <row r="126" spans="1:17" ht="15.75" customHeight="1">
      <c r="B126" s="2" t="s">
        <v>398</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-540.75</v>
      </c>
      <c r="D4" t="str">
        <f>Reporting_currency</f>
        <v>CNY</v>
      </c>
      <c r="E4" s="100" t="s">
        <v>251</v>
      </c>
      <c r="F4" s="134">
        <f>Terminal_Growth</f>
        <v>0</v>
      </c>
      <c r="H4" s="120"/>
    </row>
    <row r="5" spans="2:8">
      <c r="B5" s="205" t="s">
        <v>124</v>
      </c>
      <c r="C5" s="206">
        <f>Equity_Cost</f>
        <v>0.08</v>
      </c>
      <c r="E5" s="148"/>
      <c r="H5" s="120"/>
    </row>
    <row r="6" spans="2:8" ht="13.25" customHeight="1">
      <c r="B6" s="149" t="s">
        <v>229</v>
      </c>
      <c r="C6" s="338">
        <f>(C4*(1+Terminal_Growth))/(Equity_Cost-Terminal_Growth)</f>
        <v>-6759.375</v>
      </c>
      <c r="D6" t="str">
        <f>Reporting_currency</f>
        <v>CNY</v>
      </c>
      <c r="E6" s="356" t="s">
        <v>250</v>
      </c>
      <c r="F6" s="356"/>
      <c r="H6" s="120"/>
    </row>
    <row r="7" spans="2:8">
      <c r="B7" s="148" t="s">
        <v>225</v>
      </c>
      <c r="C7" s="114">
        <f>BS!G31</f>
        <v>0</v>
      </c>
      <c r="D7" t="str">
        <f>Reporting_currency</f>
        <v>CNY</v>
      </c>
      <c r="E7" s="356"/>
      <c r="F7" s="356"/>
      <c r="H7" s="120"/>
    </row>
    <row r="8" spans="2:8">
      <c r="B8" s="148" t="s">
        <v>226</v>
      </c>
      <c r="C8" s="114">
        <f>BS!D66</f>
        <v>0</v>
      </c>
      <c r="D8" t="str">
        <f>Reporting_currency</f>
        <v>CNY</v>
      </c>
      <c r="E8" s="356"/>
      <c r="F8" s="356"/>
      <c r="H8" s="120"/>
    </row>
    <row r="9" spans="2:8">
      <c r="B9" s="205" t="s">
        <v>191</v>
      </c>
      <c r="C9" s="339">
        <f>BS!H42</f>
        <v>0</v>
      </c>
      <c r="D9" t="str">
        <f>Reporting_currency</f>
        <v>CNY</v>
      </c>
      <c r="E9" s="356"/>
      <c r="F9" s="356"/>
      <c r="H9" s="120"/>
    </row>
    <row r="10" spans="2:8" ht="13.15">
      <c r="B10" s="149" t="s">
        <v>228</v>
      </c>
      <c r="C10" s="338">
        <f>C6-C7+C8+C9</f>
        <v>-6759.375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-0.32537179755928991</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4.2510316586672814E-2</v>
      </c>
      <c r="H16" s="120"/>
    </row>
    <row r="17" spans="2:8" ht="13.25" customHeight="1">
      <c r="B17" s="118" t="s">
        <v>135</v>
      </c>
      <c r="C17" s="162">
        <f>Scenarios!C64</f>
        <v>30</v>
      </c>
      <c r="H17" s="120"/>
    </row>
    <row r="18" spans="2:8" ht="13.25" customHeight="1">
      <c r="B18" s="153" t="s">
        <v>107</v>
      </c>
      <c r="C18" s="140">
        <f>(F52-C7+C8+C9)*Exchange_Rate/Common_Shares*scaling_factor</f>
        <v>-0.5067370353564189</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-563.73745369424341</v>
      </c>
      <c r="D21" s="138">
        <f>IF($C$17&lt;B21,0,DCF!$C$16)</f>
        <v>4.2510316586672814E-2</v>
      </c>
      <c r="E21" s="124">
        <f t="shared" ref="E21:E50" si="0">IF($C$17&lt;B21,0,1/(1+Equity_Cost)^B21)</f>
        <v>0.92592592592592582</v>
      </c>
      <c r="F21" s="125">
        <f t="shared" ref="F21:F51" si="1">C21*E21</f>
        <v>-521.97912379096601</v>
      </c>
      <c r="H21" s="120"/>
    </row>
    <row r="22" spans="2:8">
      <c r="B22" s="122">
        <v>2</v>
      </c>
      <c r="C22" s="123">
        <f t="shared" ref="C22:C50" si="2">IF(ROW()-ROW($C$21)&lt;$C$17, $C$21*(1+D22)^(ROW()-ROW($C$21)), 0)</f>
        <v>-587.70211132255054</v>
      </c>
      <c r="D22" s="138">
        <f>IF($C$17&lt;B22,0,DCF!$C$16)</f>
        <v>4.2510316586672814E-2</v>
      </c>
      <c r="E22" s="124">
        <f t="shared" si="0"/>
        <v>0.85733882030178321</v>
      </c>
      <c r="F22" s="125">
        <f t="shared" si="1"/>
        <v>-503.85983481014273</v>
      </c>
      <c r="H22" s="120"/>
    </row>
    <row r="23" spans="2:8">
      <c r="B23" s="122">
        <v>3</v>
      </c>
      <c r="C23" s="123">
        <f t="shared" si="2"/>
        <v>-612.68551413352827</v>
      </c>
      <c r="D23" s="138">
        <f>IF($C$17&lt;B23,0,DCF!$C$16)</f>
        <v>4.2510316586672814E-2</v>
      </c>
      <c r="E23" s="124">
        <f t="shared" si="0"/>
        <v>0.79383224102016958</v>
      </c>
      <c r="F23" s="125">
        <f t="shared" si="1"/>
        <v>-486.36951472521355</v>
      </c>
      <c r="H23" s="120"/>
    </row>
    <row r="24" spans="2:8">
      <c r="B24" s="122">
        <v>4</v>
      </c>
      <c r="C24" s="123">
        <f t="shared" si="2"/>
        <v>-638.73096930741303</v>
      </c>
      <c r="D24" s="138">
        <f>IF($C$17&lt;B24,0,DCF!$C$16)</f>
        <v>4.2510316586672814E-2</v>
      </c>
      <c r="E24" s="124">
        <f t="shared" si="0"/>
        <v>0.73502985279645328</v>
      </c>
      <c r="F24" s="125">
        <f t="shared" si="1"/>
        <v>-469.4863303465637</v>
      </c>
      <c r="H24" s="120"/>
    </row>
    <row r="25" spans="2:8">
      <c r="B25" s="122">
        <v>5</v>
      </c>
      <c r="C25" s="123">
        <f t="shared" si="2"/>
        <v>-665.88362502638358</v>
      </c>
      <c r="D25" s="138">
        <f>IF($C$17&lt;B25,0,DCF!$C$16)</f>
        <v>4.2510316586672814E-2</v>
      </c>
      <c r="E25" s="124">
        <f t="shared" si="0"/>
        <v>0.68058319703375303</v>
      </c>
      <c r="F25" s="125">
        <f t="shared" si="1"/>
        <v>-453.18920637288096</v>
      </c>
      <c r="H25" s="120"/>
    </row>
    <row r="26" spans="2:8">
      <c r="B26" s="122">
        <v>6</v>
      </c>
      <c r="C26" s="123">
        <f t="shared" si="2"/>
        <v>-694.19054873613652</v>
      </c>
      <c r="D26" s="138">
        <f>IF($C$17&lt;B26,0,DCF!$C$16)</f>
        <v>4.2510316586672814E-2</v>
      </c>
      <c r="E26" s="124">
        <f t="shared" si="0"/>
        <v>0.63016962688310452</v>
      </c>
      <c r="F26" s="125">
        <f t="shared" si="1"/>
        <v>-437.45779908282873</v>
      </c>
      <c r="H26" s="120"/>
    </row>
    <row r="27" spans="2:8">
      <c r="B27" s="122">
        <v>7</v>
      </c>
      <c r="C27" s="123">
        <f t="shared" si="2"/>
        <v>-723.70080873438587</v>
      </c>
      <c r="D27" s="138">
        <f>IF($C$17&lt;B27,0,DCF!$C$16)</f>
        <v>4.2510316586672814E-2</v>
      </c>
      <c r="E27" s="124">
        <f t="shared" si="0"/>
        <v>0.58349039526213387</v>
      </c>
      <c r="F27" s="125">
        <f t="shared" si="1"/>
        <v>-422.27247093995277</v>
      </c>
      <c r="H27" s="120"/>
    </row>
    <row r="28" spans="2:8">
      <c r="B28" s="122">
        <v>8</v>
      </c>
      <c r="C28" s="123">
        <f t="shared" si="2"/>
        <v>-754.46555922771586</v>
      </c>
      <c r="D28" s="138">
        <f>IF($C$17&lt;B28,0,DCF!$C$16)</f>
        <v>4.2510316586672814E-2</v>
      </c>
      <c r="E28" s="124">
        <f t="shared" si="0"/>
        <v>0.54026888450197574</v>
      </c>
      <c r="F28" s="125">
        <f t="shared" si="1"/>
        <v>-407.61426607911739</v>
      </c>
      <c r="H28" s="120"/>
    </row>
    <row r="29" spans="2:8">
      <c r="B29" s="122">
        <v>9</v>
      </c>
      <c r="C29" s="123">
        <f t="shared" si="2"/>
        <v>-786.53812900422713</v>
      </c>
      <c r="D29" s="138">
        <f>IF($C$17&lt;B29,0,DCF!$C$16)</f>
        <v>4.2510316586672814E-2</v>
      </c>
      <c r="E29" s="124">
        <f t="shared" si="0"/>
        <v>0.50024896713145905</v>
      </c>
      <c r="F29" s="125">
        <f t="shared" si="1"/>
        <v>-393.46488664387493</v>
      </c>
      <c r="H29" s="120"/>
    </row>
    <row r="30" spans="2:8">
      <c r="B30" s="122">
        <v>10</v>
      </c>
      <c r="C30" s="123">
        <f t="shared" si="2"/>
        <v>-819.97411387568616</v>
      </c>
      <c r="D30" s="138">
        <f>IF($C$17&lt;B30,0,DCF!$C$16)</f>
        <v>4.2510316586672814E-2</v>
      </c>
      <c r="E30" s="124">
        <f t="shared" si="0"/>
        <v>0.46319348808468425</v>
      </c>
      <c r="F30" s="125">
        <f t="shared" si="1"/>
        <v>-379.80666994522716</v>
      </c>
      <c r="H30" s="120"/>
    </row>
    <row r="31" spans="2:8">
      <c r="B31" s="122">
        <v>11</v>
      </c>
      <c r="C31" s="123">
        <f t="shared" si="2"/>
        <v>-854.83147304941826</v>
      </c>
      <c r="D31" s="138">
        <f>IF($C$17&lt;B31,0,DCF!$C$16)</f>
        <v>4.2510316586672814E-2</v>
      </c>
      <c r="E31" s="124">
        <f t="shared" si="0"/>
        <v>0.42888285933767062</v>
      </c>
      <c r="F31" s="125">
        <f t="shared" si="1"/>
        <v>-366.62256641326741</v>
      </c>
      <c r="H31" s="120"/>
    </row>
    <row r="32" spans="2:8">
      <c r="B32" s="122">
        <v>12</v>
      </c>
      <c r="C32" s="123">
        <f t="shared" si="2"/>
        <v>-891.17062959700104</v>
      </c>
      <c r="D32" s="138">
        <f>IF($C$17&lt;B32,0,DCF!$C$16)</f>
        <v>4.2510316586672814E-2</v>
      </c>
      <c r="E32" s="124">
        <f t="shared" si="0"/>
        <v>0.39711375864599124</v>
      </c>
      <c r="F32" s="125">
        <f t="shared" si="1"/>
        <v>-353.89611831417955</v>
      </c>
      <c r="H32" s="120"/>
    </row>
    <row r="33" spans="2:8">
      <c r="B33" s="122">
        <v>13</v>
      </c>
      <c r="C33" s="123">
        <f t="shared" si="2"/>
        <v>-929.05457519391405</v>
      </c>
      <c r="D33" s="138">
        <f>IF($C$17&lt;B33,0,DCF!$C$16)</f>
        <v>4.2510316586672814E-2</v>
      </c>
      <c r="E33" s="124">
        <f t="shared" si="0"/>
        <v>0.36769792467221413</v>
      </c>
      <c r="F33" s="125">
        <f t="shared" si="1"/>
        <v>-341.61143920602768</v>
      </c>
      <c r="H33" s="120"/>
    </row>
    <row r="34" spans="2:8">
      <c r="B34" s="122">
        <v>14</v>
      </c>
      <c r="C34" s="123">
        <f t="shared" si="2"/>
        <v>-968.54897931170422</v>
      </c>
      <c r="D34" s="138">
        <f>IF($C$17&lt;B34,0,DCF!$C$16)</f>
        <v>4.2510316586672814E-2</v>
      </c>
      <c r="E34" s="124">
        <f t="shared" si="0"/>
        <v>0.34046104136316119</v>
      </c>
      <c r="F34" s="125">
        <f t="shared" si="1"/>
        <v>-329.75319410768969</v>
      </c>
      <c r="H34" s="120"/>
    </row>
    <row r="35" spans="2:8">
      <c r="B35" s="122">
        <v>15</v>
      </c>
      <c r="C35" s="123">
        <f t="shared" si="2"/>
        <v>-1009.7223030519436</v>
      </c>
      <c r="D35" s="138">
        <f>IF($C$17&lt;B35,0,DCF!$C$16)</f>
        <v>4.2510316586672814E-2</v>
      </c>
      <c r="E35" s="124">
        <f t="shared" si="0"/>
        <v>0.31524170496588994</v>
      </c>
      <c r="F35" s="125">
        <f t="shared" si="1"/>
        <v>-318.30658035617972</v>
      </c>
      <c r="H35" s="120"/>
    </row>
    <row r="36" spans="2:8">
      <c r="B36" s="122">
        <v>16</v>
      </c>
      <c r="C36" s="123">
        <f t="shared" si="2"/>
        <v>-1052.6459178193063</v>
      </c>
      <c r="D36" s="138">
        <f>IF($C$17&lt;B36,0,DCF!$C$16)</f>
        <v>4.2510316586672814E-2</v>
      </c>
      <c r="E36" s="124">
        <f t="shared" si="0"/>
        <v>0.29189046756100923</v>
      </c>
      <c r="F36" s="125">
        <f t="shared" si="1"/>
        <v>-307.25730912846501</v>
      </c>
      <c r="H36" s="120"/>
    </row>
    <row r="37" spans="2:8">
      <c r="B37" s="122">
        <v>17</v>
      </c>
      <c r="C37" s="123">
        <f t="shared" si="2"/>
        <v>-1097.3942290394737</v>
      </c>
      <c r="D37" s="138">
        <f>IF($C$17&lt;B37,0,DCF!$C$16)</f>
        <v>4.2510316586672814E-2</v>
      </c>
      <c r="E37" s="124">
        <f t="shared" si="0"/>
        <v>0.27026895144537894</v>
      </c>
      <c r="F37" s="125">
        <f t="shared" si="1"/>
        <v>-296.59158760470854</v>
      </c>
      <c r="H37" s="120"/>
    </row>
    <row r="38" spans="2:8">
      <c r="B38" s="122">
        <v>18</v>
      </c>
      <c r="C38" s="123">
        <f t="shared" si="2"/>
        <v>-1144.0448051363296</v>
      </c>
      <c r="D38" s="138">
        <f>IF($C$17&lt;B38,0,DCF!$C$16)</f>
        <v>4.2510316586672814E-2</v>
      </c>
      <c r="E38" s="124">
        <f t="shared" si="0"/>
        <v>0.25024902911609154</v>
      </c>
      <c r="F38" s="125">
        <f t="shared" si="1"/>
        <v>-286.29610175067461</v>
      </c>
      <c r="H38" s="120"/>
    </row>
    <row r="39" spans="2:8">
      <c r="B39" s="122">
        <v>19</v>
      </c>
      <c r="C39" s="123">
        <f t="shared" si="2"/>
        <v>-1192.6785119920135</v>
      </c>
      <c r="D39" s="138">
        <f>IF($C$17&lt;B39,0,DCF!$C$16)</f>
        <v>4.2510316586672814E-2</v>
      </c>
      <c r="E39" s="124">
        <f t="shared" si="0"/>
        <v>0.23171206399638106</v>
      </c>
      <c r="F39" s="125">
        <f t="shared" si="1"/>
        <v>-276.35799969780197</v>
      </c>
      <c r="H39" s="120"/>
    </row>
    <row r="40" spans="2:8">
      <c r="B40" s="122">
        <v>20</v>
      </c>
      <c r="C40" s="123">
        <f t="shared" si="2"/>
        <v>-1243.3796531229159</v>
      </c>
      <c r="D40" s="138">
        <f>IF($C$17&lt;B40,0,DCF!$C$16)</f>
        <v>4.2510316586672814E-2</v>
      </c>
      <c r="E40" s="124">
        <f t="shared" si="0"/>
        <v>0.21454820740405653</v>
      </c>
      <c r="F40" s="125">
        <f t="shared" si="1"/>
        <v>-266.76487570019924</v>
      </c>
      <c r="H40" s="120"/>
    </row>
    <row r="41" spans="2:8">
      <c r="B41" s="122">
        <v>21</v>
      </c>
      <c r="C41" s="123">
        <f t="shared" si="2"/>
        <v>-1296.2361158145986</v>
      </c>
      <c r="D41" s="138">
        <f>IF($C$17&lt;B41,0,DCF!$C$16)</f>
        <v>4.2510316586672814E-2</v>
      </c>
      <c r="E41" s="124">
        <f t="shared" si="0"/>
        <v>0.19865574759634863</v>
      </c>
      <c r="F41" s="125">
        <f t="shared" si="1"/>
        <v>-257.50475464853622</v>
      </c>
      <c r="H41" s="120"/>
    </row>
    <row r="42" spans="2:8">
      <c r="B42" s="122">
        <v>22</v>
      </c>
      <c r="C42" s="123">
        <f t="shared" si="2"/>
        <v>-1351.3395234689565</v>
      </c>
      <c r="D42" s="138">
        <f>IF($C$17&lt;B42,0,DCF!$C$16)</f>
        <v>4.2510316586672814E-2</v>
      </c>
      <c r="E42" s="124">
        <f t="shared" si="0"/>
        <v>0.18394050703365611</v>
      </c>
      <c r="F42" s="125">
        <f t="shared" si="1"/>
        <v>-248.56607712149909</v>
      </c>
      <c r="H42" s="120"/>
    </row>
    <row r="43" spans="2:8">
      <c r="B43" s="122">
        <v>23</v>
      </c>
      <c r="C43" s="123">
        <f t="shared" si="2"/>
        <v>-1408.7853944277053</v>
      </c>
      <c r="D43" s="138">
        <f>IF($C$17&lt;B43,0,DCF!$C$16)</f>
        <v>4.2510316586672814E-2</v>
      </c>
      <c r="E43" s="124">
        <f t="shared" si="0"/>
        <v>0.17031528429042234</v>
      </c>
      <c r="F43" s="125">
        <f t="shared" si="1"/>
        <v>-239.93768495614941</v>
      </c>
      <c r="H43" s="120"/>
    </row>
    <row r="44" spans="2:8">
      <c r="B44" s="122">
        <v>24</v>
      </c>
      <c r="C44" s="123">
        <f t="shared" si="2"/>
        <v>-1468.6733075475081</v>
      </c>
      <c r="D44" s="138">
        <f>IF($C$17&lt;B44,0,DCF!$C$16)</f>
        <v>4.2510316586672814E-2</v>
      </c>
      <c r="E44" s="124">
        <f t="shared" si="0"/>
        <v>0.1576993373059466</v>
      </c>
      <c r="F44" s="125">
        <f t="shared" si="1"/>
        <v>-231.60880731917473</v>
      </c>
      <c r="H44" s="120"/>
    </row>
    <row r="45" spans="2:8">
      <c r="B45" s="122">
        <v>25</v>
      </c>
      <c r="C45" s="123">
        <f t="shared" si="2"/>
        <v>-1531.1070748137483</v>
      </c>
      <c r="D45" s="138">
        <f>IF($C$17&lt;B45,0,DCF!$C$16)</f>
        <v>4.2510316586672814E-2</v>
      </c>
      <c r="E45" s="124">
        <f t="shared" si="0"/>
        <v>0.1460179049129135</v>
      </c>
      <c r="F45" s="125">
        <f t="shared" si="1"/>
        <v>-223.56904726164305</v>
      </c>
      <c r="H45" s="120"/>
    </row>
    <row r="46" spans="2:8">
      <c r="B46" s="122">
        <v>26</v>
      </c>
      <c r="C46" s="123">
        <f t="shared" si="2"/>
        <v>-1596.1949212921756</v>
      </c>
      <c r="D46" s="138">
        <f>IF($C$17&lt;B46,0,DCF!$C$16)</f>
        <v>4.2510316586672814E-2</v>
      </c>
      <c r="E46" s="124">
        <f t="shared" si="0"/>
        <v>0.13520176380825324</v>
      </c>
      <c r="F46" s="125">
        <f t="shared" si="1"/>
        <v>-215.8083687404781</v>
      </c>
      <c r="H46" s="120"/>
    </row>
    <row r="47" spans="2:8">
      <c r="B47" s="122">
        <v>27</v>
      </c>
      <c r="C47" s="123">
        <f t="shared" si="2"/>
        <v>-1664.0496727303455</v>
      </c>
      <c r="D47" s="138">
        <f>IF($C$17&lt;B47,0,DCF!$C$16)</f>
        <v>4.2510316586672814E-2</v>
      </c>
      <c r="E47" s="124">
        <f t="shared" si="0"/>
        <v>0.12518681834097523</v>
      </c>
      <c r="F47" s="125">
        <f t="shared" si="1"/>
        <v>-208.31708409045305</v>
      </c>
      <c r="H47" s="120"/>
    </row>
    <row r="48" spans="2:8">
      <c r="B48" s="122">
        <v>28</v>
      </c>
      <c r="C48" s="123">
        <f t="shared" si="2"/>
        <v>-1734.788951134062</v>
      </c>
      <c r="D48" s="138">
        <f>IF($C$17&lt;B48,0,DCF!$C$16)</f>
        <v>4.2510316586672814E-2</v>
      </c>
      <c r="E48" s="124">
        <f t="shared" si="0"/>
        <v>0.11591372068608817</v>
      </c>
      <c r="F48" s="125">
        <f t="shared" si="1"/>
        <v>-201.08584193106552</v>
      </c>
      <c r="H48" s="120"/>
    </row>
    <row r="49" spans="1:8">
      <c r="B49" s="122">
        <v>29</v>
      </c>
      <c r="C49" s="123">
        <f t="shared" si="2"/>
        <v>-1808.535378657833</v>
      </c>
      <c r="D49" s="138">
        <f>IF($C$17&lt;B49,0,DCF!$C$16)</f>
        <v>4.2510316586672814E-2</v>
      </c>
      <c r="E49" s="124">
        <f t="shared" si="0"/>
        <v>0.10732751915378534</v>
      </c>
      <c r="F49" s="125">
        <f t="shared" si="1"/>
        <v>-194.10561549319701</v>
      </c>
      <c r="H49" s="120"/>
    </row>
    <row r="50" spans="1:8">
      <c r="B50" s="122">
        <v>30</v>
      </c>
      <c r="C50" s="123">
        <f t="shared" si="2"/>
        <v>-1885.4167901627757</v>
      </c>
      <c r="D50" s="138">
        <f>IF($C$17&lt;B50,0,DCF!$C$16)</f>
        <v>4.2510316586672814E-2</v>
      </c>
      <c r="E50" s="124">
        <f t="shared" si="0"/>
        <v>9.9377332549801231E-2</v>
      </c>
      <c r="F50" s="125">
        <f t="shared" si="1"/>
        <v>-187.36769135098496</v>
      </c>
      <c r="H50" s="120"/>
    </row>
    <row r="51" spans="1:8">
      <c r="B51" s="126" t="s">
        <v>132</v>
      </c>
      <c r="C51" s="123">
        <f>C$21*(1+Terminal_Growth)^$C$17/Equity_Cost</f>
        <v>-7046.7181711780422</v>
      </c>
      <c r="D51" s="139">
        <f>Terminal_Growth</f>
        <v>0</v>
      </c>
      <c r="E51" s="124">
        <f>1/(1+Equity_Cost)^C17</f>
        <v>9.9377332549801231E-2</v>
      </c>
      <c r="F51" s="125">
        <f t="shared" si="1"/>
        <v>-700.28405508188746</v>
      </c>
      <c r="H51" s="120"/>
    </row>
    <row r="52" spans="1:8">
      <c r="C52" s="114"/>
      <c r="E52" s="127" t="s">
        <v>101</v>
      </c>
      <c r="F52" s="137">
        <f>SUM(F21:F51)</f>
        <v>-10527.11290301103</v>
      </c>
      <c r="H52" s="120"/>
    </row>
    <row r="53" spans="1:8">
      <c r="C53" s="114"/>
      <c r="H53" s="120"/>
    </row>
    <row r="54" spans="1:8" ht="13.15">
      <c r="B54" s="119" t="s">
        <v>130</v>
      </c>
      <c r="C54" s="136"/>
      <c r="D54" s="136"/>
      <c r="E54" s="117"/>
      <c r="F54" s="117"/>
      <c r="H54" s="120"/>
    </row>
    <row r="55" spans="1:8" ht="13.15">
      <c r="A55" s="133">
        <f>F52</f>
        <v>-10527.11290301103</v>
      </c>
      <c r="B55" s="131">
        <f>C78</f>
        <v>0</v>
      </c>
      <c r="C55" s="131">
        <f>C77</f>
        <v>0.02</v>
      </c>
      <c r="D55" s="131">
        <f>C76</f>
        <v>0.04</v>
      </c>
      <c r="E55" s="131">
        <f>C75</f>
        <v>0.06</v>
      </c>
      <c r="F55" s="131">
        <f>C74</f>
        <v>0.08</v>
      </c>
      <c r="H55" s="120"/>
    </row>
    <row r="56" spans="1:8" ht="13.15">
      <c r="A56" s="143">
        <v>5</v>
      </c>
      <c r="B56" s="123">
        <f t="dataTable" ref="B56:F61" dt2D="1" dtr="1" r1="C16" r2="C17"/>
        <v>-6759.3749999999991</v>
      </c>
      <c r="C56" s="123">
        <v>-6977.4678210153688</v>
      </c>
      <c r="D56" s="123">
        <v>-7202.0924268482604</v>
      </c>
      <c r="E56" s="123">
        <v>-7433.5354533172158</v>
      </c>
      <c r="F56" s="123">
        <v>-7672.0924112460261</v>
      </c>
      <c r="H56" s="120"/>
    </row>
    <row r="57" spans="1:8" ht="13.15">
      <c r="A57" s="143">
        <v>10</v>
      </c>
      <c r="B57" s="123">
        <v>-6759.3749999999982</v>
      </c>
      <c r="C57" s="123">
        <v>-7195.7614710547969</v>
      </c>
      <c r="D57" s="123">
        <v>-7675.8856821246973</v>
      </c>
      <c r="E57" s="123">
        <v>-8204.9820822730926</v>
      </c>
      <c r="F57" s="123">
        <v>-8788.8703622042049</v>
      </c>
      <c r="H57" s="120"/>
    </row>
    <row r="58" spans="1:8" ht="13.15">
      <c r="A58" s="143">
        <v>15</v>
      </c>
      <c r="B58" s="123">
        <v>-6759.3749999999964</v>
      </c>
      <c r="C58" s="123">
        <v>-7465.9603901359706</v>
      </c>
      <c r="D58" s="123">
        <v>-8293.5352745357213</v>
      </c>
      <c r="E58" s="123">
        <v>-9266.136683694418</v>
      </c>
      <c r="F58" s="123">
        <v>-10412.553851464118</v>
      </c>
      <c r="H58" s="120"/>
    </row>
    <row r="59" spans="1:8" ht="13.15">
      <c r="A59" s="144">
        <v>20</v>
      </c>
      <c r="B59" s="123">
        <v>-6759.3749999999955</v>
      </c>
      <c r="C59" s="123">
        <v>-7741.2497575427678</v>
      </c>
      <c r="D59" s="123">
        <v>-8958.3276236664969</v>
      </c>
      <c r="E59" s="123">
        <v>-10476.625647185263</v>
      </c>
      <c r="F59" s="123">
        <v>-12381.228732575539</v>
      </c>
      <c r="H59" s="120"/>
    </row>
    <row r="60" spans="1:8" ht="13.15">
      <c r="A60" s="144">
        <v>25</v>
      </c>
      <c r="B60" s="123">
        <v>-6759.3749999999964</v>
      </c>
      <c r="C60" s="123">
        <v>-7997.2841450407304</v>
      </c>
      <c r="D60" s="123">
        <v>-9613.1707033183757</v>
      </c>
      <c r="E60" s="123">
        <v>-11745.181276130355</v>
      </c>
      <c r="F60" s="123">
        <v>-14584.698958102383</v>
      </c>
      <c r="H60" s="120"/>
    </row>
    <row r="61" spans="1:8" ht="13.15">
      <c r="A61" s="144">
        <v>30</v>
      </c>
      <c r="B61" s="123">
        <v>-6759.3749999999964</v>
      </c>
      <c r="C61" s="123">
        <v>-8223.1420912914509</v>
      </c>
      <c r="D61" s="123">
        <v>-10226.437050778864</v>
      </c>
      <c r="E61" s="123">
        <v>-13013.575696485836</v>
      </c>
      <c r="F61" s="123">
        <v>-16947.966949780119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-0.33586999498265335</v>
      </c>
      <c r="D66" s="124">
        <f t="shared" si="4"/>
        <v>-0.34668260883761698</v>
      </c>
      <c r="E66" s="124">
        <f t="shared" si="4"/>
        <v>-0.35782343673291295</v>
      </c>
      <c r="F66" s="124">
        <f t="shared" si="4"/>
        <v>-0.36930670348783823</v>
      </c>
      <c r="H66" s="120"/>
    </row>
    <row r="67" spans="1:8" ht="13.15">
      <c r="A67" s="143">
        <f t="shared" si="3"/>
        <v>10</v>
      </c>
      <c r="B67" s="124">
        <f t="shared" si="4"/>
        <v>-0.32537179755928985</v>
      </c>
      <c r="C67" s="124">
        <f t="shared" si="4"/>
        <v>-0.34637785958686707</v>
      </c>
      <c r="D67" s="124">
        <f t="shared" si="4"/>
        <v>-0.36948929779048045</v>
      </c>
      <c r="E67" s="124">
        <f t="shared" si="4"/>
        <v>-0.39495807956371143</v>
      </c>
      <c r="F67" s="124">
        <f t="shared" si="4"/>
        <v>-0.42306434371017287</v>
      </c>
      <c r="H67" s="120"/>
    </row>
    <row r="68" spans="1:8" ht="13.15">
      <c r="A68" s="143">
        <f t="shared" si="3"/>
        <v>15</v>
      </c>
      <c r="B68" s="124">
        <f t="shared" si="4"/>
        <v>-0.3253717975592898</v>
      </c>
      <c r="C68" s="124">
        <f t="shared" si="4"/>
        <v>-0.35938425559241771</v>
      </c>
      <c r="D68" s="124">
        <f t="shared" si="4"/>
        <v>-0.3992207090739997</v>
      </c>
      <c r="E68" s="124">
        <f t="shared" si="4"/>
        <v>-0.44603821347443073</v>
      </c>
      <c r="F68" s="124">
        <f t="shared" si="4"/>
        <v>-0.50122257809838744</v>
      </c>
      <c r="H68" s="120"/>
    </row>
    <row r="69" spans="1:8" ht="13.15">
      <c r="A69" s="144">
        <f t="shared" si="3"/>
        <v>20</v>
      </c>
      <c r="B69" s="124">
        <f t="shared" si="4"/>
        <v>-0.32537179755928974</v>
      </c>
      <c r="C69" s="124">
        <f t="shared" si="4"/>
        <v>-0.3726356873182961</v>
      </c>
      <c r="D69" s="124">
        <f t="shared" si="4"/>
        <v>-0.43122140168838247</v>
      </c>
      <c r="E69" s="124">
        <f t="shared" si="4"/>
        <v>-0.50430676196844071</v>
      </c>
      <c r="F69" s="124">
        <f t="shared" si="4"/>
        <v>-0.59598744687353966</v>
      </c>
      <c r="H69" s="120"/>
    </row>
    <row r="70" spans="1:8" ht="13.15">
      <c r="A70" s="144">
        <f t="shared" si="3"/>
        <v>25</v>
      </c>
      <c r="B70" s="124">
        <f t="shared" si="4"/>
        <v>-0.3253717975592898</v>
      </c>
      <c r="C70" s="124">
        <f t="shared" si="4"/>
        <v>-0.38496025414543678</v>
      </c>
      <c r="D70" s="124">
        <f t="shared" si="4"/>
        <v>-0.46274317255411979</v>
      </c>
      <c r="E70" s="124">
        <f t="shared" si="4"/>
        <v>-0.56537042914089675</v>
      </c>
      <c r="F70" s="124">
        <f t="shared" si="4"/>
        <v>-0.70205451197172453</v>
      </c>
    </row>
    <row r="71" spans="1:8" ht="13.15">
      <c r="A71" s="144">
        <f t="shared" si="3"/>
        <v>30</v>
      </c>
      <c r="B71" s="124">
        <f t="shared" si="4"/>
        <v>-0.3253717975592898</v>
      </c>
      <c r="C71" s="124">
        <f t="shared" si="4"/>
        <v>-0.39583223653502847</v>
      </c>
      <c r="D71" s="124">
        <f t="shared" si="4"/>
        <v>-0.49226359032289857</v>
      </c>
      <c r="E71" s="124">
        <f t="shared" si="4"/>
        <v>-0.62642633631652112</v>
      </c>
      <c r="F71" s="124">
        <f t="shared" si="4"/>
        <v>-0.81581366197694216</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-0.81581366197694216</v>
      </c>
      <c r="F74" s="142">
        <f>Scenarios!C58</f>
        <v>0.05</v>
      </c>
    </row>
    <row r="75" spans="1:8">
      <c r="B75" s="127" t="str">
        <f>Scenarios!B36</f>
        <v>Optimistic</v>
      </c>
      <c r="C75" s="142">
        <f>Scenarios!C38</f>
        <v>0.06</v>
      </c>
      <c r="D75" s="145">
        <f>Scenarios!C37</f>
        <v>30</v>
      </c>
      <c r="E75" s="135">
        <f>INDEX(B$65:F$71, MATCH(D75, A$65:A$71, 0), MATCH(C75, B$64:F$64, 0))</f>
        <v>-0.62642633631652112</v>
      </c>
      <c r="F75" s="142">
        <f>Scenarios!C40*(1-F$74-F$78)</f>
        <v>0.18</v>
      </c>
      <c r="H75" s="120"/>
    </row>
    <row r="76" spans="1:8">
      <c r="B76" s="127" t="str">
        <f>Scenarios!B24</f>
        <v>Base</v>
      </c>
      <c r="C76" s="142">
        <f>Scenarios!C26</f>
        <v>0.04</v>
      </c>
      <c r="D76" s="145">
        <f>Scenarios!C25</f>
        <v>30</v>
      </c>
      <c r="E76" s="135">
        <f>INDEX(B$65:F$71, MATCH(D76, A$65:A$71, 0), MATCH(C76, B$64:F$64, 0))</f>
        <v>-0.49226359032289857</v>
      </c>
      <c r="F76" s="142">
        <f>Scenarios!C28*(1-F$74-F$78)</f>
        <v>0.53999999999999992</v>
      </c>
      <c r="H76" s="120"/>
    </row>
    <row r="77" spans="1:8">
      <c r="B77" s="127" t="str">
        <f>Scenarios!B30</f>
        <v>Pessimistic</v>
      </c>
      <c r="C77" s="142">
        <f>Scenarios!C32</f>
        <v>0.02</v>
      </c>
      <c r="D77" s="145">
        <f>Scenarios!C31</f>
        <v>30</v>
      </c>
      <c r="E77" s="135">
        <f>INDEX(B$65:F$71, MATCH(D77, A$65:A$71, 0), MATCH(C77, B$64:F$64, 0))</f>
        <v>-0.39583223653502847</v>
      </c>
      <c r="F77" s="142">
        <f>Scenarios!C34*(1-F$74-F$78)</f>
        <v>0.18</v>
      </c>
      <c r="H77" s="120"/>
    </row>
    <row r="78" spans="1:8">
      <c r="B78" s="127" t="str">
        <f>Scenarios!B48</f>
        <v>Devil's advocate</v>
      </c>
      <c r="C78" s="142">
        <f>Scenarios!C50</f>
        <v>0</v>
      </c>
      <c r="D78" s="145">
        <f>Scenarios!C49</f>
        <v>30</v>
      </c>
      <c r="E78" s="135">
        <f>INDEX(B$65:F$71, MATCH(D78, A$65:A$71, 0), MATCH(C78, B$64:F$64, 0))</f>
        <v>-0.3253717975592898</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451</v>
      </c>
      <c r="C2" s="37"/>
      <c r="D2" s="37"/>
      <c r="E2" s="37"/>
      <c r="F2" s="37"/>
      <c r="H2" s="130" t="s">
        <v>59</v>
      </c>
    </row>
    <row r="3" spans="2:8" ht="13.15">
      <c r="B3" s="109" t="s">
        <v>450</v>
      </c>
      <c r="C3" s="107">
        <f>scaling_factor</f>
        <v>1000000</v>
      </c>
      <c r="E3" s="109" t="s">
        <v>125</v>
      </c>
      <c r="H3" s="120"/>
    </row>
    <row r="4" spans="2:8">
      <c r="B4" s="100" t="s">
        <v>448</v>
      </c>
      <c r="C4" s="114">
        <f>Normalized_FCF!C91</f>
        <v>22020.769943020001</v>
      </c>
      <c r="D4" t="str">
        <f>Market_currency</f>
        <v>CNY</v>
      </c>
      <c r="E4" s="100" t="s">
        <v>251</v>
      </c>
      <c r="F4" s="134">
        <f>Thesis!E22</f>
        <v>0.02</v>
      </c>
      <c r="H4" s="120"/>
    </row>
    <row r="5" spans="2:8">
      <c r="B5" s="205" t="s">
        <v>124</v>
      </c>
      <c r="C5" s="206">
        <f>Equity_Cost</f>
        <v>0.08</v>
      </c>
      <c r="E5" s="148"/>
      <c r="H5" s="120"/>
    </row>
    <row r="6" spans="2:8" ht="13.25" customHeight="1">
      <c r="B6" s="149" t="s">
        <v>449</v>
      </c>
      <c r="C6" s="338">
        <f>(C4*(1+Terminal_Growth))/(Equity_Cost-Terminal_Growth)</f>
        <v>275259.62428774999</v>
      </c>
      <c r="D6" t="str">
        <f>Reporting_currency</f>
        <v>CNY</v>
      </c>
      <c r="E6" s="356"/>
      <c r="F6" s="356"/>
      <c r="H6" s="120"/>
    </row>
    <row r="7" spans="2:8" ht="13.15">
      <c r="B7" s="149" t="s">
        <v>452</v>
      </c>
      <c r="C7" s="111">
        <f>(C6*scaling_factor)/Common_Shares*Exchange_Rate</f>
        <v>13.25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4.2510316586672814E-2</v>
      </c>
      <c r="H11" s="120"/>
    </row>
    <row r="12" spans="2:8" ht="13.25" customHeight="1">
      <c r="B12" s="118" t="s">
        <v>135</v>
      </c>
      <c r="C12" s="162">
        <f>Scenarios!C64</f>
        <v>30</v>
      </c>
      <c r="H12" s="120"/>
    </row>
    <row r="13" spans="2:8" ht="13.25" customHeight="1">
      <c r="B13" s="153" t="s">
        <v>107</v>
      </c>
      <c r="C13" s="140">
        <f>F47/Common_Shares*scaling_factor</f>
        <v>21.74944849239106</v>
      </c>
      <c r="D13" t="str">
        <f>Market_currency</f>
        <v>CNY</v>
      </c>
      <c r="H13" s="120"/>
    </row>
    <row r="14" spans="2:8">
      <c r="H14" s="120"/>
    </row>
    <row r="15" spans="2:8" ht="13.15">
      <c r="B15" s="128" t="s">
        <v>108</v>
      </c>
      <c r="C15" s="128" t="s">
        <v>454</v>
      </c>
      <c r="D15" s="128" t="s">
        <v>119</v>
      </c>
      <c r="E15" s="128" t="s">
        <v>110</v>
      </c>
      <c r="F15" s="129" t="s">
        <v>453</v>
      </c>
      <c r="H15" s="120"/>
    </row>
    <row r="16" spans="2:8">
      <c r="B16" s="122">
        <v>1</v>
      </c>
      <c r="C16" s="123">
        <f>C4*(1+D16)</f>
        <v>22956.879844780073</v>
      </c>
      <c r="D16" s="138">
        <f>IF($C$12&lt;B16,0,DDM!$C$11)</f>
        <v>4.2510316586672814E-2</v>
      </c>
      <c r="E16" s="124">
        <f t="shared" ref="E16:E45" si="0">IF($C$12&lt;B16,0,1/(1+Equity_Cost)^B16)</f>
        <v>0.92592592592592582</v>
      </c>
      <c r="F16" s="125">
        <f t="shared" ref="F16:F46" si="1">C16*E16</f>
        <v>21256.370226648214</v>
      </c>
      <c r="H16" s="120"/>
    </row>
    <row r="17" spans="2:8">
      <c r="B17" s="122">
        <v>2</v>
      </c>
      <c r="C17" s="123">
        <f t="shared" ref="C17:C45" si="2">IF(ROW()-ROW($C$16)&lt;$C$12, $C$16*(1+D17)^(ROW()-ROW($C$16)), 0)</f>
        <v>23932.784074823885</v>
      </c>
      <c r="D17" s="138">
        <f>IF($C$12&lt;B17,0,DDM!$C$11)</f>
        <v>4.2510316586672814E-2</v>
      </c>
      <c r="E17" s="124">
        <f t="shared" si="0"/>
        <v>0.85733882030178321</v>
      </c>
      <c r="F17" s="125">
        <f t="shared" si="1"/>
        <v>20518.504865246814</v>
      </c>
      <c r="H17" s="120"/>
    </row>
    <row r="18" spans="2:8">
      <c r="B18" s="122">
        <v>3</v>
      </c>
      <c r="C18" s="123">
        <f t="shared" si="2"/>
        <v>24950.174302645133</v>
      </c>
      <c r="D18" s="138">
        <f>IF($C$12&lt;B18,0,DDM!$C$11)</f>
        <v>4.2510316586672814E-2</v>
      </c>
      <c r="E18" s="124">
        <f t="shared" si="0"/>
        <v>0.79383224102016958</v>
      </c>
      <c r="F18" s="125">
        <f t="shared" si="1"/>
        <v>19806.252780512634</v>
      </c>
      <c r="H18" s="120"/>
    </row>
    <row r="19" spans="2:8">
      <c r="B19" s="122">
        <v>4</v>
      </c>
      <c r="C19" s="123">
        <f t="shared" si="2"/>
        <v>26010.814111143245</v>
      </c>
      <c r="D19" s="138">
        <f>IF($C$12&lt;B19,0,DDM!$C$11)</f>
        <v>4.2510316586672814E-2</v>
      </c>
      <c r="E19" s="124">
        <f t="shared" si="0"/>
        <v>0.73502985279645328</v>
      </c>
      <c r="F19" s="125">
        <f t="shared" si="1"/>
        <v>19118.724867229528</v>
      </c>
      <c r="H19" s="120"/>
    </row>
    <row r="20" spans="2:8">
      <c r="B20" s="122">
        <v>5</v>
      </c>
      <c r="C20" s="123">
        <f t="shared" si="2"/>
        <v>27116.542053685043</v>
      </c>
      <c r="D20" s="138">
        <f>IF($C$12&lt;B20,0,DDM!$C$11)</f>
        <v>4.2510316586672814E-2</v>
      </c>
      <c r="E20" s="124">
        <f t="shared" si="0"/>
        <v>0.68058319703375303</v>
      </c>
      <c r="F20" s="125">
        <f t="shared" si="1"/>
        <v>18455.062883397179</v>
      </c>
      <c r="H20" s="120"/>
    </row>
    <row r="21" spans="2:8">
      <c r="B21" s="122">
        <v>6</v>
      </c>
      <c r="C21" s="123">
        <f t="shared" si="2"/>
        <v>28269.274841123024</v>
      </c>
      <c r="D21" s="138">
        <f>IF($C$12&lt;B21,0,DDM!$C$11)</f>
        <v>4.2510316586672814E-2</v>
      </c>
      <c r="E21" s="124">
        <f t="shared" si="0"/>
        <v>0.63016962688310452</v>
      </c>
      <c r="F21" s="125">
        <f t="shared" si="1"/>
        <v>17814.438378886429</v>
      </c>
      <c r="H21" s="120"/>
    </row>
    <row r="22" spans="2:8">
      <c r="B22" s="122">
        <v>7</v>
      </c>
      <c r="C22" s="123">
        <f t="shared" si="2"/>
        <v>29471.01066429483</v>
      </c>
      <c r="D22" s="138">
        <f>IF($C$12&lt;B22,0,DDM!$C$11)</f>
        <v>4.2510316586672814E-2</v>
      </c>
      <c r="E22" s="124">
        <f t="shared" si="0"/>
        <v>0.58349039526213387</v>
      </c>
      <c r="F22" s="125">
        <f t="shared" si="1"/>
        <v>17196.051661283953</v>
      </c>
      <c r="H22" s="120"/>
    </row>
    <row r="23" spans="2:8">
      <c r="B23" s="122">
        <v>8</v>
      </c>
      <c r="C23" s="123">
        <f t="shared" si="2"/>
        <v>30723.832657763218</v>
      </c>
      <c r="D23" s="138">
        <f>IF($C$12&lt;B23,0,DDM!$C$11)</f>
        <v>4.2510316586672814E-2</v>
      </c>
      <c r="E23" s="124">
        <f t="shared" si="0"/>
        <v>0.54026888450197574</v>
      </c>
      <c r="F23" s="125">
        <f t="shared" si="1"/>
        <v>16599.130797635105</v>
      </c>
      <c r="H23" s="120"/>
    </row>
    <row r="24" spans="2:8">
      <c r="B24" s="122">
        <v>9</v>
      </c>
      <c r="C24" s="123">
        <f t="shared" si="2"/>
        <v>32029.912510800688</v>
      </c>
      <c r="D24" s="138">
        <f>IF($C$12&lt;B24,0,DDM!$C$11)</f>
        <v>4.2510316586672814E-2</v>
      </c>
      <c r="E24" s="124">
        <f t="shared" si="0"/>
        <v>0.50024896713145905</v>
      </c>
      <c r="F24" s="125">
        <f t="shared" si="1"/>
        <v>16022.930650839042</v>
      </c>
      <c r="H24" s="120"/>
    </row>
    <row r="25" spans="2:8">
      <c r="B25" s="122">
        <v>10</v>
      </c>
      <c r="C25" s="123">
        <f t="shared" si="2"/>
        <v>33391.51423187826</v>
      </c>
      <c r="D25" s="138">
        <f>IF($C$12&lt;B25,0,DDM!$C$11)</f>
        <v>4.2510316586672814E-2</v>
      </c>
      <c r="E25" s="124">
        <f t="shared" si="0"/>
        <v>0.46319348808468425</v>
      </c>
      <c r="F25" s="125">
        <f t="shared" si="1"/>
        <v>15466.731949493067</v>
      </c>
      <c r="H25" s="120"/>
    </row>
    <row r="26" spans="2:8">
      <c r="B26" s="122">
        <v>11</v>
      </c>
      <c r="C26" s="123">
        <f t="shared" si="2"/>
        <v>34810.9980731838</v>
      </c>
      <c r="D26" s="138">
        <f>IF($C$12&lt;B26,0,DDM!$C$11)</f>
        <v>4.2510316586672814E-2</v>
      </c>
      <c r="E26" s="124">
        <f t="shared" si="0"/>
        <v>0.42888285933767062</v>
      </c>
      <c r="F26" s="125">
        <f t="shared" si="1"/>
        <v>14929.840390025211</v>
      </c>
      <c r="H26" s="120"/>
    </row>
    <row r="27" spans="2:8">
      <c r="B27" s="122">
        <v>12</v>
      </c>
      <c r="C27" s="123">
        <f t="shared" si="2"/>
        <v>36290.824621972904</v>
      </c>
      <c r="D27" s="138">
        <f>IF($C$12&lt;B27,0,DDM!$C$11)</f>
        <v>4.2510316586672814E-2</v>
      </c>
      <c r="E27" s="124">
        <f t="shared" si="0"/>
        <v>0.39711375864599124</v>
      </c>
      <c r="F27" s="125">
        <f t="shared" si="1"/>
        <v>14411.585769994144</v>
      </c>
      <c r="H27" s="120"/>
    </row>
    <row r="28" spans="2:8">
      <c r="B28" s="122">
        <v>13</v>
      </c>
      <c r="C28" s="123">
        <f t="shared" si="2"/>
        <v>37833.559065844398</v>
      </c>
      <c r="D28" s="138">
        <f>IF($C$12&lt;B28,0,DDM!$C$11)</f>
        <v>4.2510316586672814E-2</v>
      </c>
      <c r="E28" s="124">
        <f t="shared" si="0"/>
        <v>0.36769792467221413</v>
      </c>
      <c r="F28" s="125">
        <f t="shared" si="1"/>
        <v>13911.321151474618</v>
      </c>
      <c r="H28" s="120"/>
    </row>
    <row r="29" spans="2:8">
      <c r="B29" s="122">
        <v>14</v>
      </c>
      <c r="C29" s="123">
        <f t="shared" si="2"/>
        <v>39441.87563933403</v>
      </c>
      <c r="D29" s="138">
        <f>IF($C$12&lt;B29,0,DDM!$C$11)</f>
        <v>4.2510316586672814E-2</v>
      </c>
      <c r="E29" s="124">
        <f t="shared" si="0"/>
        <v>0.34046104136316119</v>
      </c>
      <c r="F29" s="125">
        <f t="shared" si="1"/>
        <v>13428.422053483962</v>
      </c>
      <c r="H29" s="120"/>
    </row>
    <row r="30" spans="2:8">
      <c r="B30" s="122">
        <v>15</v>
      </c>
      <c r="C30" s="123">
        <f t="shared" si="2"/>
        <v>41118.562259534301</v>
      </c>
      <c r="D30" s="138">
        <f>IF($C$12&lt;B30,0,DDM!$C$11)</f>
        <v>4.2510316586672814E-2</v>
      </c>
      <c r="E30" s="124">
        <f t="shared" si="0"/>
        <v>0.31524170496588994</v>
      </c>
      <c r="F30" s="125">
        <f t="shared" si="1"/>
        <v>12962.285672441689</v>
      </c>
      <c r="H30" s="120"/>
    </row>
    <row r="31" spans="2:8">
      <c r="B31" s="122">
        <v>16</v>
      </c>
      <c r="C31" s="123">
        <f t="shared" si="2"/>
        <v>42866.525358775922</v>
      </c>
      <c r="D31" s="138">
        <f>IF($C$12&lt;B31,0,DDM!$C$11)</f>
        <v>4.2510316586672814E-2</v>
      </c>
      <c r="E31" s="124">
        <f t="shared" si="0"/>
        <v>0.29189046756100923</v>
      </c>
      <c r="F31" s="125">
        <f t="shared" si="1"/>
        <v>12512.330129688962</v>
      </c>
      <c r="H31" s="120"/>
    </row>
    <row r="32" spans="2:8">
      <c r="B32" s="122">
        <v>17</v>
      </c>
      <c r="C32" s="123">
        <f t="shared" si="2"/>
        <v>44688.794922748122</v>
      </c>
      <c r="D32" s="138">
        <f>IF($C$12&lt;B32,0,DDM!$C$11)</f>
        <v>4.2510316586672814E-2</v>
      </c>
      <c r="E32" s="124">
        <f t="shared" si="0"/>
        <v>0.27026895144537894</v>
      </c>
      <c r="F32" s="125">
        <f t="shared" si="1"/>
        <v>12077.99374512871</v>
      </c>
      <c r="H32" s="120"/>
    </row>
    <row r="33" spans="2:8">
      <c r="B33" s="122">
        <v>18</v>
      </c>
      <c r="C33" s="123">
        <f t="shared" si="2"/>
        <v>46588.529742791055</v>
      </c>
      <c r="D33" s="138">
        <f>IF($C$12&lt;B33,0,DDM!$C$11)</f>
        <v>4.2510316586672814E-2</v>
      </c>
      <c r="E33" s="124">
        <f t="shared" si="0"/>
        <v>0.25024902911609154</v>
      </c>
      <c r="F33" s="125">
        <f t="shared" si="1"/>
        <v>11658.734336079615</v>
      </c>
      <c r="H33" s="120"/>
    </row>
    <row r="34" spans="2:8">
      <c r="B34" s="122">
        <v>19</v>
      </c>
      <c r="C34" s="123">
        <f t="shared" si="2"/>
        <v>48569.022891464723</v>
      </c>
      <c r="D34" s="138">
        <f>IF($C$12&lt;B34,0,DDM!$C$11)</f>
        <v>4.2510316586672814E-2</v>
      </c>
      <c r="E34" s="124">
        <f t="shared" si="0"/>
        <v>0.23171206399638106</v>
      </c>
      <c r="F34" s="125">
        <f t="shared" si="1"/>
        <v>11254.028540468771</v>
      </c>
      <c r="H34" s="120"/>
    </row>
    <row r="35" spans="2:8">
      <c r="B35" s="122">
        <v>20</v>
      </c>
      <c r="C35" s="123">
        <f t="shared" si="2"/>
        <v>50633.707430886257</v>
      </c>
      <c r="D35" s="138">
        <f>IF($C$12&lt;B35,0,DDM!$C$11)</f>
        <v>4.2510316586672814E-2</v>
      </c>
      <c r="E35" s="124">
        <f t="shared" si="0"/>
        <v>0.21454820740405653</v>
      </c>
      <c r="F35" s="125">
        <f t="shared" si="1"/>
        <v>10863.371163518103</v>
      </c>
      <c r="H35" s="120"/>
    </row>
    <row r="36" spans="2:8">
      <c r="B36" s="122">
        <v>21</v>
      </c>
      <c r="C36" s="123">
        <f t="shared" si="2"/>
        <v>52786.162363730204</v>
      </c>
      <c r="D36" s="138">
        <f>IF($C$12&lt;B36,0,DDM!$C$11)</f>
        <v>4.2510316586672814E-2</v>
      </c>
      <c r="E36" s="124">
        <f t="shared" si="0"/>
        <v>0.19865574759634863</v>
      </c>
      <c r="F36" s="125">
        <f t="shared" si="1"/>
        <v>10486.274547109066</v>
      </c>
      <c r="H36" s="120"/>
    </row>
    <row r="37" spans="2:8">
      <c r="B37" s="122">
        <v>22</v>
      </c>
      <c r="C37" s="123">
        <f t="shared" si="2"/>
        <v>55030.11883720789</v>
      </c>
      <c r="D37" s="138">
        <f>IF($C$12&lt;B37,0,DDM!$C$11)</f>
        <v>4.2510316586672814E-2</v>
      </c>
      <c r="E37" s="124">
        <f t="shared" si="0"/>
        <v>0.18394050703365611</v>
      </c>
      <c r="F37" s="125">
        <f t="shared" si="1"/>
        <v>10122.267961038369</v>
      </c>
      <c r="H37" s="120"/>
    </row>
    <row r="38" spans="2:8">
      <c r="B38" s="122">
        <v>23</v>
      </c>
      <c r="C38" s="123">
        <f t="shared" si="2"/>
        <v>57369.466610779826</v>
      </c>
      <c r="D38" s="138">
        <f>IF($C$12&lt;B38,0,DDM!$C$11)</f>
        <v>4.2510316586672814E-2</v>
      </c>
      <c r="E38" s="124">
        <f t="shared" si="0"/>
        <v>0.17031528429042234</v>
      </c>
      <c r="F38" s="125">
        <f t="shared" si="1"/>
        <v>9770.8970154048584</v>
      </c>
      <c r="H38" s="120"/>
    </row>
    <row r="39" spans="2:8">
      <c r="B39" s="122">
        <v>24</v>
      </c>
      <c r="C39" s="123">
        <f t="shared" si="2"/>
        <v>59808.260798812633</v>
      </c>
      <c r="D39" s="138">
        <f>IF($C$12&lt;B39,0,DDM!$C$11)</f>
        <v>4.2510316586672814E-2</v>
      </c>
      <c r="E39" s="124">
        <f t="shared" si="0"/>
        <v>0.1576993373059466</v>
      </c>
      <c r="F39" s="125">
        <f t="shared" si="1"/>
        <v>9431.7230933939773</v>
      </c>
      <c r="H39" s="120"/>
    </row>
    <row r="40" spans="2:8">
      <c r="B40" s="122">
        <v>25</v>
      </c>
      <c r="C40" s="123">
        <f t="shared" si="2"/>
        <v>62350.728899868453</v>
      </c>
      <c r="D40" s="138">
        <f>IF($C$12&lt;B40,0,DDM!$C$11)</f>
        <v>4.2510316586672814E-2</v>
      </c>
      <c r="E40" s="124">
        <f t="shared" si="0"/>
        <v>0.1460179049129135</v>
      </c>
      <c r="F40" s="125">
        <f t="shared" si="1"/>
        <v>9104.3228037518402</v>
      </c>
      <c r="H40" s="120"/>
    </row>
    <row r="41" spans="2:8">
      <c r="B41" s="122">
        <v>26</v>
      </c>
      <c r="C41" s="123">
        <f t="shared" si="2"/>
        <v>65001.278124811681</v>
      </c>
      <c r="D41" s="138">
        <f>IF($C$12&lt;B41,0,DDM!$C$11)</f>
        <v>4.2510316586672814E-2</v>
      </c>
      <c r="E41" s="124">
        <f t="shared" si="0"/>
        <v>0.13520176380825324</v>
      </c>
      <c r="F41" s="125">
        <f t="shared" si="1"/>
        <v>8788.2874522653674</v>
      </c>
      <c r="H41" s="120"/>
    </row>
    <row r="42" spans="2:8">
      <c r="B42" s="122">
        <v>27</v>
      </c>
      <c r="C42" s="123">
        <f t="shared" si="2"/>
        <v>67764.503036435795</v>
      </c>
      <c r="D42" s="138">
        <f>IF($C$12&lt;B42,0,DDM!$C$11)</f>
        <v>4.2510316586672814E-2</v>
      </c>
      <c r="E42" s="124">
        <f t="shared" si="0"/>
        <v>0.12518681834097523</v>
      </c>
      <c r="F42" s="125">
        <f t="shared" si="1"/>
        <v>8483.2225315887517</v>
      </c>
      <c r="H42" s="120"/>
    </row>
    <row r="43" spans="2:8">
      <c r="B43" s="122">
        <v>28</v>
      </c>
      <c r="C43" s="123">
        <f t="shared" si="2"/>
        <v>70645.193513853243</v>
      </c>
      <c r="D43" s="138">
        <f>IF($C$12&lt;B43,0,DDM!$C$11)</f>
        <v>4.2510316586672814E-2</v>
      </c>
      <c r="E43" s="124">
        <f t="shared" si="0"/>
        <v>0.11591372068608817</v>
      </c>
      <c r="F43" s="125">
        <f t="shared" si="1"/>
        <v>8188.7472287794326</v>
      </c>
      <c r="H43" s="120"/>
    </row>
    <row r="44" spans="2:8">
      <c r="B44" s="122">
        <v>29</v>
      </c>
      <c r="C44" s="123">
        <f t="shared" si="2"/>
        <v>73648.343055453908</v>
      </c>
      <c r="D44" s="138">
        <f>IF($C$12&lt;B44,0,DDM!$C$11)</f>
        <v>4.2510316586672814E-2</v>
      </c>
      <c r="E44" s="124">
        <f t="shared" si="0"/>
        <v>0.10732751915378534</v>
      </c>
      <c r="F44" s="125">
        <f t="shared" si="1"/>
        <v>7904.493949928783</v>
      </c>
      <c r="H44" s="120"/>
    </row>
    <row r="45" spans="2:8">
      <c r="B45" s="122">
        <v>30</v>
      </c>
      <c r="C45" s="123">
        <f t="shared" si="2"/>
        <v>76779.157434825145</v>
      </c>
      <c r="D45" s="138">
        <f>IF($C$12&lt;B45,0,DDM!$C$11)</f>
        <v>4.2510316586672814E-2</v>
      </c>
      <c r="E45" s="124">
        <f t="shared" si="0"/>
        <v>9.9377332549801231E-2</v>
      </c>
      <c r="F45" s="125">
        <f t="shared" si="1"/>
        <v>7630.1078612941619</v>
      </c>
      <c r="H45" s="120"/>
    </row>
    <row r="46" spans="2:8">
      <c r="B46" s="126" t="s">
        <v>132</v>
      </c>
      <c r="C46" s="123">
        <f>C$16*(1+F4)^$C$12/Equity_Cost</f>
        <v>519790.12802138977</v>
      </c>
      <c r="D46" s="139">
        <f>Terminal_Growth</f>
        <v>0</v>
      </c>
      <c r="E46" s="124">
        <f>1/(1+Equity_Cost)^C12</f>
        <v>9.9377332549801231E-2</v>
      </c>
      <c r="F46" s="125">
        <f t="shared" si="1"/>
        <v>51655.356408485408</v>
      </c>
      <c r="H46" s="120"/>
    </row>
    <row r="47" spans="2:8">
      <c r="C47" s="114"/>
      <c r="E47" s="127" t="s">
        <v>101</v>
      </c>
      <c r="F47" s="137">
        <f>SUM(F16:F46)</f>
        <v>451829.81286651577</v>
      </c>
      <c r="H47" s="120"/>
    </row>
    <row r="48" spans="2:8">
      <c r="C48" s="114"/>
      <c r="H48" s="120"/>
    </row>
    <row r="49" spans="1:8" ht="13.15">
      <c r="B49" s="119" t="s">
        <v>130</v>
      </c>
      <c r="C49" s="136"/>
      <c r="D49" s="136"/>
      <c r="E49" s="117"/>
      <c r="F49" s="117"/>
      <c r="H49" s="120"/>
    </row>
    <row r="50" spans="1:8" ht="13.15">
      <c r="A50" s="133">
        <f>F47</f>
        <v>451829.81286651577</v>
      </c>
      <c r="B50" s="131">
        <f>C73</f>
        <v>0</v>
      </c>
      <c r="C50" s="131">
        <f>C72</f>
        <v>0.02</v>
      </c>
      <c r="D50" s="131">
        <f>C71</f>
        <v>0.04</v>
      </c>
      <c r="E50" s="131">
        <f>C70</f>
        <v>0.06</v>
      </c>
      <c r="F50" s="131">
        <f>C69</f>
        <v>0.08</v>
      </c>
      <c r="H50" s="120"/>
    </row>
    <row r="51" spans="1:8" ht="13.15">
      <c r="A51" s="143">
        <v>5</v>
      </c>
      <c r="B51" s="123">
        <f t="dataTable" ref="B51:F56" dt2D="1" dtr="1" r1="C11" r2="C12"/>
        <v>294757.8175345526</v>
      </c>
      <c r="C51" s="123">
        <v>304029.09778932447</v>
      </c>
      <c r="D51" s="123">
        <v>313566.36959432089</v>
      </c>
      <c r="E51" s="123">
        <v>323381.30551804398</v>
      </c>
      <c r="F51" s="123">
        <v>333485.93954267877</v>
      </c>
      <c r="H51" s="120"/>
    </row>
    <row r="52" spans="1:8" ht="13.15">
      <c r="A52" s="143">
        <v>10</v>
      </c>
      <c r="B52" s="123">
        <v>303181.07679074019</v>
      </c>
      <c r="C52" s="123">
        <v>321510.31690939749</v>
      </c>
      <c r="D52" s="123">
        <v>341620.67346023262</v>
      </c>
      <c r="E52" s="123">
        <v>363725.30705092638</v>
      </c>
      <c r="F52" s="123">
        <v>388061.21087636997</v>
      </c>
      <c r="H52" s="120"/>
    </row>
    <row r="53" spans="1:8" ht="13.15">
      <c r="A53" s="143">
        <v>15</v>
      </c>
      <c r="B53" s="123">
        <v>305271.76595888828</v>
      </c>
      <c r="C53" s="123">
        <v>334646.03435178101</v>
      </c>
      <c r="D53" s="123">
        <v>368947.31489207054</v>
      </c>
      <c r="E53" s="123">
        <v>409154.45902432024</v>
      </c>
      <c r="F53" s="123">
        <v>456439.84048036946</v>
      </c>
      <c r="H53" s="120"/>
    </row>
    <row r="54" spans="1:8" ht="13.15">
      <c r="A54" s="144">
        <v>20</v>
      </c>
      <c r="B54" s="123">
        <v>303957.95673586661</v>
      </c>
      <c r="C54" s="123">
        <v>344516.45995201886</v>
      </c>
      <c r="D54" s="123">
        <v>394653.05571360677</v>
      </c>
      <c r="E54" s="123">
        <v>457056.13282183616</v>
      </c>
      <c r="F54" s="123">
        <v>535190.57358294923</v>
      </c>
      <c r="H54" s="120"/>
    </row>
    <row r="55" spans="1:8" ht="13.15">
      <c r="A55" s="144">
        <v>25</v>
      </c>
      <c r="B55" s="123">
        <v>301007.39445565315</v>
      </c>
      <c r="C55" s="123">
        <v>351933.2837347443</v>
      </c>
      <c r="D55" s="123">
        <v>418251.41279293416</v>
      </c>
      <c r="E55" s="123">
        <v>505587.47654576774</v>
      </c>
      <c r="F55" s="123">
        <v>621735.10069409781</v>
      </c>
      <c r="H55" s="120"/>
    </row>
    <row r="56" spans="1:8" ht="13.15">
      <c r="A56" s="144">
        <v>30</v>
      </c>
      <c r="B56" s="123">
        <v>297454.06928013661</v>
      </c>
      <c r="C56" s="123">
        <v>357506.42487900006</v>
      </c>
      <c r="D56" s="123">
        <v>439529.78198205412</v>
      </c>
      <c r="E56" s="123">
        <v>553473.32676061383</v>
      </c>
      <c r="F56" s="123">
        <v>714136.03148038499</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14.634858113071347</v>
      </c>
      <c r="D61" s="124">
        <f t="shared" si="4"/>
        <v>15.093947787930817</v>
      </c>
      <c r="E61" s="124">
        <f t="shared" si="4"/>
        <v>15.566403206431939</v>
      </c>
      <c r="F61" s="124">
        <f t="shared" si="4"/>
        <v>16.052803640832188</v>
      </c>
      <c r="H61" s="120"/>
    </row>
    <row r="62" spans="1:8" ht="13.15">
      <c r="A62" s="143">
        <f t="shared" si="3"/>
        <v>10</v>
      </c>
      <c r="B62" s="124">
        <f t="shared" si="4"/>
        <v>14.594037457807008</v>
      </c>
      <c r="C62" s="124">
        <f t="shared" si="4"/>
        <v>15.476340600524106</v>
      </c>
      <c r="D62" s="124">
        <f t="shared" si="4"/>
        <v>16.444380228522771</v>
      </c>
      <c r="E62" s="124">
        <f t="shared" si="4"/>
        <v>17.508417120364619</v>
      </c>
      <c r="F62" s="124">
        <f t="shared" si="4"/>
        <v>18.679859268923408</v>
      </c>
      <c r="H62" s="120"/>
    </row>
    <row r="63" spans="1:8" ht="13.15">
      <c r="A63" s="143">
        <f t="shared" si="3"/>
        <v>15</v>
      </c>
      <c r="B63" s="124">
        <f t="shared" si="4"/>
        <v>14.694675651837979</v>
      </c>
      <c r="C63" s="124">
        <f t="shared" si="4"/>
        <v>16.108646397503744</v>
      </c>
      <c r="D63" s="124">
        <f t="shared" si="4"/>
        <v>17.759785638628777</v>
      </c>
      <c r="E63" s="124">
        <f t="shared" si="4"/>
        <v>19.695211733650211</v>
      </c>
      <c r="F63" s="124">
        <f t="shared" si="4"/>
        <v>21.971358502046915</v>
      </c>
      <c r="H63" s="120"/>
    </row>
    <row r="64" spans="1:8" ht="13.15">
      <c r="A64" s="144">
        <f t="shared" si="3"/>
        <v>20</v>
      </c>
      <c r="B64" s="124">
        <f t="shared" si="4"/>
        <v>14.631433640772675</v>
      </c>
      <c r="C64" s="124">
        <f t="shared" si="4"/>
        <v>16.583772887782008</v>
      </c>
      <c r="D64" s="124">
        <f t="shared" si="4"/>
        <v>18.997166772046651</v>
      </c>
      <c r="E64" s="124">
        <f t="shared" si="4"/>
        <v>22.00102458019246</v>
      </c>
      <c r="F64" s="124">
        <f t="shared" si="4"/>
        <v>25.762133179986556</v>
      </c>
      <c r="H64" s="120"/>
    </row>
    <row r="65" spans="1:8" ht="13.15">
      <c r="A65" s="144">
        <f t="shared" si="3"/>
        <v>25</v>
      </c>
      <c r="B65" s="124">
        <f t="shared" si="4"/>
        <v>14.489404273719702</v>
      </c>
      <c r="C65" s="124">
        <f t="shared" si="4"/>
        <v>16.940791885302616</v>
      </c>
      <c r="D65" s="124">
        <f t="shared" si="4"/>
        <v>20.133106095186253</v>
      </c>
      <c r="E65" s="124">
        <f t="shared" si="4"/>
        <v>24.337147453301789</v>
      </c>
      <c r="F65" s="124">
        <f t="shared" si="4"/>
        <v>29.928072834921089</v>
      </c>
    </row>
    <row r="66" spans="1:8" ht="13.15">
      <c r="A66" s="144">
        <f t="shared" si="3"/>
        <v>30</v>
      </c>
      <c r="B66" s="124">
        <f t="shared" si="4"/>
        <v>14.318360086990827</v>
      </c>
      <c r="C66" s="124">
        <f t="shared" si="4"/>
        <v>17.209062687286252</v>
      </c>
      <c r="D66" s="124">
        <f t="shared" si="4"/>
        <v>21.157369615436895</v>
      </c>
      <c r="E66" s="124">
        <f t="shared" si="4"/>
        <v>26.642198609963373</v>
      </c>
      <c r="F66" s="124">
        <f t="shared" si="4"/>
        <v>34.375918522737756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34.375918522737756</v>
      </c>
      <c r="F69" s="142">
        <f>Scenarios!C58</f>
        <v>0.05</v>
      </c>
    </row>
    <row r="70" spans="1:8">
      <c r="B70" s="127" t="str">
        <f>Scenarios!B36</f>
        <v>Optimistic</v>
      </c>
      <c r="C70" s="142">
        <f>Scenarios!C38</f>
        <v>0.06</v>
      </c>
      <c r="D70" s="145">
        <f>Scenarios!C37</f>
        <v>30</v>
      </c>
      <c r="E70" s="135">
        <f>INDEX(B$60:F$66, MATCH(D70, A$60:A$66, 0), MATCH(C70, B$59:F$59, 0))</f>
        <v>26.642198609963373</v>
      </c>
      <c r="F70" s="142">
        <f>Scenarios!C40*(1-F$69-F$73)</f>
        <v>0.18</v>
      </c>
      <c r="H70" s="120"/>
    </row>
    <row r="71" spans="1:8">
      <c r="B71" s="127" t="str">
        <f>Scenarios!B24</f>
        <v>Base</v>
      </c>
      <c r="C71" s="142">
        <f>Scenarios!C26</f>
        <v>0.04</v>
      </c>
      <c r="D71" s="145">
        <f>Scenarios!C25</f>
        <v>30</v>
      </c>
      <c r="E71" s="135">
        <f>INDEX(B$60:F$66, MATCH(D71, A$60:A$66, 0), MATCH(C71, B$59:F$59, 0))</f>
        <v>21.157369615436895</v>
      </c>
      <c r="F71" s="142">
        <f>Scenarios!C28*(1-F$69-F$73)</f>
        <v>0.53999999999999992</v>
      </c>
      <c r="H71" s="120"/>
    </row>
    <row r="72" spans="1:8">
      <c r="B72" s="127" t="str">
        <f>Scenarios!B30</f>
        <v>Pessimistic</v>
      </c>
      <c r="C72" s="142">
        <f>Scenarios!C32</f>
        <v>0.02</v>
      </c>
      <c r="D72" s="145">
        <f>Scenarios!C31</f>
        <v>30</v>
      </c>
      <c r="E72" s="135">
        <f>INDEX(B$60:F$66, MATCH(D72, A$60:A$66, 0), MATCH(C72, B$59:F$59, 0))</f>
        <v>17.209062687286252</v>
      </c>
      <c r="F72" s="142">
        <f>Scenarios!C34*(1-F$69-F$73)</f>
        <v>0.18</v>
      </c>
      <c r="H72" s="120"/>
    </row>
    <row r="73" spans="1:8">
      <c r="B73" s="127" t="str">
        <f>Scenarios!B48</f>
        <v>Devil's advocate</v>
      </c>
      <c r="C73" s="142">
        <f>Scenarios!C50</f>
        <v>0</v>
      </c>
      <c r="D73" s="145">
        <f>Scenarios!C49</f>
        <v>30</v>
      </c>
      <c r="E73" s="135">
        <f>INDEX(B$60:F$66, MATCH(D73, A$60:A$66, 0), MATCH(C73, B$59:F$59, 0))</f>
        <v>14.318360086990827</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-22.7</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22.812920556327281</v>
      </c>
    </row>
    <row r="7" spans="2:9" ht="12.75" customHeight="1">
      <c r="B7" s="100" t="s">
        <v>276</v>
      </c>
      <c r="C7" s="114">
        <f>Normalized_FCF!G8</f>
        <v>-721</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8"/>
      <c r="H7" s="247">
        <v>4</v>
      </c>
      <c r="I7" s="124" t="str">
        <f t="shared" si="0"/>
        <v/>
      </c>
    </row>
    <row r="8" spans="2:9">
      <c r="B8" s="100" t="s">
        <v>66</v>
      </c>
      <c r="C8" s="114">
        <f>Normalized_FCF!G19</f>
        <v>-206364</v>
      </c>
      <c r="D8" t="str">
        <f>Reporting_currency</f>
        <v>CNY</v>
      </c>
      <c r="E8" s="358"/>
      <c r="F8" s="358"/>
      <c r="H8" s="247">
        <v>5</v>
      </c>
      <c r="I8" s="124" t="str">
        <f t="shared" si="0"/>
        <v/>
      </c>
    </row>
    <row r="9" spans="2:9">
      <c r="B9" s="100" t="s">
        <v>57</v>
      </c>
      <c r="C9" s="114">
        <f>Normalized_FCF!C19</f>
        <v>-540.75</v>
      </c>
      <c r="D9" t="str">
        <f>Reporting_currency</f>
        <v>CNY</v>
      </c>
      <c r="E9" s="358"/>
      <c r="F9" s="358"/>
      <c r="H9" s="247">
        <v>6</v>
      </c>
      <c r="I9" s="124" t="str">
        <f t="shared" si="0"/>
        <v/>
      </c>
    </row>
    <row r="10" spans="2:9">
      <c r="E10" s="358"/>
      <c r="F10" s="358"/>
      <c r="H10" s="247">
        <v>7</v>
      </c>
      <c r="I10" s="124" t="str">
        <f t="shared" si="0"/>
        <v/>
      </c>
    </row>
    <row r="11" spans="2:9" ht="13.15">
      <c r="B11" s="159" t="s">
        <v>455</v>
      </c>
      <c r="E11" s="358"/>
      <c r="F11" s="358"/>
      <c r="H11" s="247">
        <v>8</v>
      </c>
      <c r="I11" s="124" t="str">
        <f t="shared" si="0"/>
        <v/>
      </c>
    </row>
    <row r="12" spans="2:9">
      <c r="B12" s="118" t="s">
        <v>145</v>
      </c>
      <c r="C12" s="158" t="e">
        <f ca="1">(Normalized_FCF!G4/OFFSET(Normalized_FCF!G4, 0, $C$4))^(1/$C$4) - 1</f>
        <v>#VALUE!</v>
      </c>
      <c r="D12" s="158"/>
      <c r="E12" s="358"/>
      <c r="F12" s="358"/>
      <c r="H12" s="247">
        <v>9</v>
      </c>
      <c r="I12" s="124" t="str">
        <f t="shared" si="0"/>
        <v/>
      </c>
    </row>
    <row r="13" spans="2:9">
      <c r="B13" s="148" t="s">
        <v>153</v>
      </c>
      <c r="C13" s="158" t="e">
        <f ca="1">(Normalized_FCF!G8/OFFSET(Normalized_FCF!G8, 0, $C$4))^(1/$C$4) - 1</f>
        <v>#VALUE!</v>
      </c>
      <c r="E13" s="358"/>
      <c r="F13" s="358"/>
      <c r="H13" s="247">
        <v>10</v>
      </c>
      <c r="I13" s="124" t="str">
        <f t="shared" si="0"/>
        <v/>
      </c>
    </row>
    <row r="14" spans="2:9">
      <c r="B14" s="100" t="s">
        <v>66</v>
      </c>
      <c r="C14" s="158" t="e">
        <f ca="1">(Normalized_FCF!G19/OFFSET(Normalized_FCF!G19, 0, $C$4))^(1/$C$4) - 1</f>
        <v>#VALUE!</v>
      </c>
      <c r="E14" s="358"/>
      <c r="F14" s="358"/>
    </row>
    <row r="16" spans="2:9" ht="13.9">
      <c r="B16" s="36" t="s">
        <v>163</v>
      </c>
      <c r="C16" s="37"/>
      <c r="D16" s="37"/>
      <c r="E16" s="37"/>
      <c r="F16" s="37"/>
    </row>
    <row r="17" spans="2:6" ht="13.15">
      <c r="B17" s="109" t="s">
        <v>152</v>
      </c>
      <c r="E17" s="159" t="s">
        <v>332</v>
      </c>
    </row>
    <row r="18" spans="2:6">
      <c r="B18" s="152" t="s">
        <v>134</v>
      </c>
      <c r="C18" s="150">
        <v>30</v>
      </c>
      <c r="E18" s="358" t="s">
        <v>333</v>
      </c>
      <c r="F18" s="359"/>
    </row>
    <row r="19" spans="2:6">
      <c r="E19" s="359"/>
      <c r="F19" s="359"/>
    </row>
    <row r="20" spans="2:6" ht="13.15">
      <c r="B20" s="159" t="s">
        <v>305</v>
      </c>
      <c r="E20" s="359"/>
      <c r="F20" s="359"/>
    </row>
    <row r="21" spans="2:6">
      <c r="B21" s="100" t="s">
        <v>278</v>
      </c>
      <c r="C21" s="160">
        <f>Market_Price</f>
        <v>22.7</v>
      </c>
      <c r="D21" t="str">
        <f>Market_currency</f>
        <v>CNY</v>
      </c>
      <c r="E21" s="359"/>
      <c r="F21" s="359"/>
    </row>
    <row r="22" spans="2:6">
      <c r="B22" s="100" t="s">
        <v>279</v>
      </c>
      <c r="C22" s="160">
        <f>IF(valuation_method="DCF",DCF!C12,DDM!C7)</f>
        <v>13.25</v>
      </c>
      <c r="D22" t="str">
        <f>Market_currency</f>
        <v>CNY</v>
      </c>
      <c r="E22" s="359"/>
      <c r="F22" s="359"/>
    </row>
    <row r="24" spans="2:6" ht="13.15">
      <c r="B24" s="159" t="s">
        <v>116</v>
      </c>
      <c r="E24" s="159" t="s">
        <v>150</v>
      </c>
      <c r="F24" s="159"/>
    </row>
    <row r="25" spans="2:6">
      <c r="B25" s="152" t="s">
        <v>134</v>
      </c>
      <c r="C25" s="166">
        <f>C18</f>
        <v>30</v>
      </c>
      <c r="D25" s="163"/>
      <c r="E25" s="357"/>
      <c r="F25" s="357"/>
    </row>
    <row r="26" spans="2:6">
      <c r="B26" s="118" t="s">
        <v>135</v>
      </c>
      <c r="C26" s="164">
        <v>0.04</v>
      </c>
      <c r="D26" s="164"/>
      <c r="E26" s="357"/>
      <c r="F26" s="357"/>
    </row>
    <row r="27" spans="2:6">
      <c r="B27" s="100" t="s">
        <v>114</v>
      </c>
      <c r="C27" s="160">
        <f>IF(valuation_method="DCF",DCF!E76,DDM!E71)</f>
        <v>21.157369615436895</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0.02</v>
      </c>
      <c r="D32" s="164"/>
      <c r="E32" s="357"/>
      <c r="F32" s="357"/>
    </row>
    <row r="33" spans="2:6">
      <c r="B33" s="100" t="s">
        <v>114</v>
      </c>
      <c r="C33" s="160">
        <f>IF(valuation_method="DCF",DCF!E77,DDM!E72)</f>
        <v>17.209062687286252</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0.06</v>
      </c>
      <c r="D38" s="164"/>
      <c r="E38" s="357"/>
      <c r="F38" s="357"/>
    </row>
    <row r="39" spans="2:6">
      <c r="B39" s="100" t="s">
        <v>114</v>
      </c>
      <c r="C39" s="160">
        <f>IF(valuation_method="DCF",DCF!E75,DDM!E70)</f>
        <v>26.642198609963373</v>
      </c>
      <c r="D39" t="str">
        <f>Market_currency</f>
        <v>CNY</v>
      </c>
      <c r="E39" s="357"/>
      <c r="F39" s="357"/>
    </row>
    <row r="40" spans="2:6">
      <c r="B40" s="100" t="s">
        <v>148</v>
      </c>
      <c r="C40" s="167">
        <f>1-C28-C34</f>
        <v>0.2</v>
      </c>
      <c r="D40" s="165"/>
      <c r="E40" s="357"/>
      <c r="F40" s="357"/>
    </row>
    <row r="42" spans="2:6" ht="13.15">
      <c r="B42" s="100" t="s">
        <v>121</v>
      </c>
      <c r="C42" s="154">
        <f>C27*C28+C33*C34+C39*C40</f>
        <v>21.464674028712061</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14.318360086990827</v>
      </c>
      <c r="D51" t="str">
        <f>Market_currency</f>
        <v>CNY</v>
      </c>
      <c r="E51" s="357"/>
      <c r="F51" s="357"/>
    </row>
    <row r="52" spans="2:6">
      <c r="B52" s="100" t="s">
        <v>148</v>
      </c>
      <c r="C52" s="165">
        <v>0.05</v>
      </c>
      <c r="D52" s="165"/>
      <c r="E52" s="357"/>
      <c r="F52" s="357"/>
    </row>
    <row r="54" spans="2:6" ht="13.15">
      <c r="B54" s="159" t="s">
        <v>318</v>
      </c>
      <c r="E54" s="159" t="s">
        <v>150</v>
      </c>
      <c r="F54" s="159"/>
    </row>
    <row r="55" spans="2:6">
      <c r="B55" s="152" t="s">
        <v>134</v>
      </c>
      <c r="C55" s="166">
        <f>C46</f>
        <v>30</v>
      </c>
      <c r="D55" s="163"/>
      <c r="E55" s="357"/>
      <c r="F55" s="357"/>
    </row>
    <row r="56" spans="2:6">
      <c r="B56" s="118" t="s">
        <v>135</v>
      </c>
      <c r="C56" s="164">
        <v>0.08</v>
      </c>
      <c r="D56" s="164"/>
      <c r="E56" s="357"/>
      <c r="F56" s="357"/>
    </row>
    <row r="57" spans="2:6">
      <c r="B57" s="100" t="s">
        <v>114</v>
      </c>
      <c r="C57" s="160">
        <f>IF(valuation_method="DCF",DCF!E74,DDM!E69)</f>
        <v>34.375918522737756</v>
      </c>
      <c r="D57" t="str">
        <f>Market_currency</f>
        <v>CNY</v>
      </c>
      <c r="E57" s="357"/>
      <c r="F57" s="357"/>
    </row>
    <row r="58" spans="2:6">
      <c r="B58" s="100" t="s">
        <v>148</v>
      </c>
      <c r="C58" s="165">
        <v>0.05</v>
      </c>
      <c r="D58" s="165"/>
      <c r="E58" s="357"/>
      <c r="F58" s="357"/>
    </row>
    <row r="60" spans="2:6" ht="13.15">
      <c r="B60" s="100" t="s">
        <v>121</v>
      </c>
      <c r="C60" s="154">
        <f>C51*C52+C57*C58+C42*(1-C52-C58)</f>
        <v>21.752920556327282</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30</v>
      </c>
      <c r="D64" s="150"/>
      <c r="E64" s="251" t="s">
        <v>399</v>
      </c>
    </row>
    <row r="65" spans="2:6">
      <c r="B65" s="118" t="s">
        <v>135</v>
      </c>
      <c r="C65" s="151">
        <v>4.2510316586672814E-2</v>
      </c>
      <c r="D65" s="151"/>
      <c r="E65" s="251" t="s">
        <v>314</v>
      </c>
    </row>
    <row r="66" spans="2:6">
      <c r="B66" s="100" t="s">
        <v>103</v>
      </c>
      <c r="C66" s="160">
        <f>IF(valuation_method="DCF",DCF!C18,DDM!C13)</f>
        <v>21.74944849239106</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1">
        <f>BS!D89/C60</f>
        <v>0</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1.06</v>
      </c>
      <c r="D77" t="str">
        <f>Market_currency</f>
        <v>CNY</v>
      </c>
    </row>
    <row r="79" spans="2:6" ht="13.15">
      <c r="B79" s="109" t="s">
        <v>303</v>
      </c>
    </row>
    <row r="80" spans="2:6">
      <c r="B80" s="148" t="s">
        <v>301</v>
      </c>
      <c r="C80" s="167">
        <f>Thesis!F29</f>
        <v>0.4</v>
      </c>
    </row>
    <row r="81" spans="2:8">
      <c r="B81" s="100" t="s">
        <v>122</v>
      </c>
      <c r="C81" s="116">
        <f>PV(C80, C76, -C77, 0)</f>
        <v>1.6842565597667636</v>
      </c>
      <c r="D81" s="116"/>
      <c r="E81" s="100"/>
      <c r="F81" s="100"/>
    </row>
    <row r="82" spans="2:8">
      <c r="B82" s="100" t="s">
        <v>123</v>
      </c>
      <c r="C82" s="116">
        <f>C60/(1+C80)^C76</f>
        <v>7.9274491823350175</v>
      </c>
      <c r="D82" s="116"/>
    </row>
    <row r="83" spans="2:8" ht="13.15">
      <c r="B83" s="110" t="s">
        <v>102</v>
      </c>
      <c r="C83" s="111">
        <f>C81+C82</f>
        <v>9.6117057421017815</v>
      </c>
      <c r="D83" t="str">
        <f>Market_currency</f>
        <v>CNY</v>
      </c>
      <c r="E83" s="146" t="s">
        <v>127</v>
      </c>
      <c r="F83" s="291">
        <f>(1-C83/C60)</f>
        <v>0.55814182664745582</v>
      </c>
    </row>
    <row r="84" spans="2:8">
      <c r="E84" s="120"/>
    </row>
    <row r="85" spans="2:8" ht="13.15">
      <c r="B85" s="109" t="s">
        <v>304</v>
      </c>
    </row>
    <row r="86" spans="2:8">
      <c r="B86" s="148" t="s">
        <v>302</v>
      </c>
      <c r="C86" s="116">
        <f>Market_Price</f>
        <v>22.7</v>
      </c>
      <c r="D86" t="str">
        <f>Market_currency</f>
        <v>CNY</v>
      </c>
    </row>
    <row r="87" spans="2:8" ht="13.15">
      <c r="B87" s="100" t="s">
        <v>300</v>
      </c>
      <c r="C87" s="237">
        <f ca="1">IRR(OFFSET($I$3, 0, 0, $C$76 + 1, 1))</f>
        <v>3.3241061492891966E-2</v>
      </c>
    </row>
    <row r="88" spans="2:8">
      <c r="B88" s="100"/>
    </row>
    <row r="89" spans="2:8" ht="13.15">
      <c r="B89" s="109" t="s">
        <v>416</v>
      </c>
    </row>
    <row r="90" spans="2:8">
      <c r="B90" s="148" t="s">
        <v>417</v>
      </c>
      <c r="C90" s="167">
        <f>Thesis!F30</f>
        <v>0.22</v>
      </c>
    </row>
    <row r="91" spans="2:8">
      <c r="B91" s="100" t="s">
        <v>122</v>
      </c>
      <c r="C91" s="116">
        <f>PV(C90, C76, -C77, 0)</f>
        <v>2.1647759063533951</v>
      </c>
      <c r="D91" s="116"/>
      <c r="E91" s="100"/>
      <c r="F91" s="100"/>
    </row>
    <row r="92" spans="2:8">
      <c r="B92" s="100" t="s">
        <v>123</v>
      </c>
      <c r="C92" s="116">
        <f>C60/(1+C90)^C76</f>
        <v>11.97948317057776</v>
      </c>
      <c r="D92" s="116"/>
    </row>
    <row r="93" spans="2:8" ht="13.15">
      <c r="B93" s="110" t="s">
        <v>102</v>
      </c>
      <c r="C93" s="111">
        <f>C91+C92</f>
        <v>14.144259076931155</v>
      </c>
      <c r="D93" t="str">
        <f>Market_currency</f>
        <v>CNY</v>
      </c>
      <c r="E93" s="146" t="s">
        <v>127</v>
      </c>
      <c r="F93" s="291">
        <f>(1-C93/C60)</f>
        <v>0.34977654884061038</v>
      </c>
    </row>
    <row r="95" spans="2:8" ht="13.15">
      <c r="B95" s="109" t="s">
        <v>401</v>
      </c>
      <c r="G95" s="2"/>
      <c r="H95" s="281"/>
    </row>
    <row r="96" spans="2:8">
      <c r="B96" s="148" t="s">
        <v>407</v>
      </c>
      <c r="C96" s="134">
        <f>Thesis!F31</f>
        <v>0.08</v>
      </c>
      <c r="G96" s="2"/>
      <c r="H96" s="281"/>
    </row>
    <row r="97" spans="2:8">
      <c r="B97" s="100" t="s">
        <v>122</v>
      </c>
      <c r="C97" s="116">
        <f>PV(C96, C76, -C77, 0)</f>
        <v>2.731722806482753</v>
      </c>
      <c r="D97" s="116"/>
      <c r="G97" s="2"/>
      <c r="H97" s="281"/>
    </row>
    <row r="98" spans="2:8">
      <c r="B98" s="100" t="s">
        <v>123</v>
      </c>
      <c r="C98" s="116">
        <f>C60/(1+C96)^C76</f>
        <v>17.268169673963001</v>
      </c>
      <c r="D98" s="116"/>
      <c r="G98" s="2"/>
      <c r="H98" s="281"/>
    </row>
    <row r="99" spans="2:8" ht="13.15">
      <c r="B99" s="110" t="s">
        <v>402</v>
      </c>
      <c r="C99" s="111">
        <f>C97+C98</f>
        <v>19.999892480445755</v>
      </c>
      <c r="D99" t="s">
        <v>400</v>
      </c>
      <c r="E99" s="146" t="s">
        <v>127</v>
      </c>
      <c r="F99" s="291">
        <f>(1-C99/C60)</f>
        <v>8.0588170739750331E-2</v>
      </c>
    </row>
    <row r="100" spans="2:8">
      <c r="B100" s="100"/>
    </row>
    <row r="101" spans="2:8" ht="13.15">
      <c r="B101" s="109" t="s">
        <v>426</v>
      </c>
    </row>
    <row r="102" spans="2:8">
      <c r="B102" s="148" t="s">
        <v>425</v>
      </c>
      <c r="C102" s="134">
        <f>Thesis!F32</f>
        <v>0.12</v>
      </c>
    </row>
    <row r="103" spans="2:8">
      <c r="B103" s="100" t="s">
        <v>122</v>
      </c>
      <c r="C103" s="116">
        <f>PV(C102, C76, -C77, 0)</f>
        <v>2.5459411443148712</v>
      </c>
      <c r="D103" s="116"/>
    </row>
    <row r="104" spans="2:8">
      <c r="B104" s="100" t="s">
        <v>123</v>
      </c>
      <c r="C104" s="116">
        <f>C60/(1+C102)^C76</f>
        <v>15.483299184248073</v>
      </c>
      <c r="D104" s="116"/>
    </row>
    <row r="105" spans="2:8" ht="13.15">
      <c r="B105" s="110" t="s">
        <v>402</v>
      </c>
      <c r="C105" s="111">
        <f>C103+C104</f>
        <v>18.029240328562945</v>
      </c>
      <c r="D105" t="s">
        <v>400</v>
      </c>
      <c r="E105" s="146" t="s">
        <v>127</v>
      </c>
      <c r="F105" s="291">
        <f>(1-C105/C66)</f>
        <v>0.17104839072722289</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