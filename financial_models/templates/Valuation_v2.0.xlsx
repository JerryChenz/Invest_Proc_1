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20802F47-1D5C-4D80-A2D1-23D4EC2E0B3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66" i="2"/>
  <c r="C67" i="2"/>
  <c r="C68" i="2"/>
  <c r="C53" i="2"/>
  <c r="C5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34" i="2" l="1"/>
  <c r="C77" i="9"/>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C4" i="2" s="1"/>
  <c r="L4" i="2"/>
  <c r="K4" i="2"/>
  <c r="K38" i="4"/>
  <c r="O4" i="2"/>
  <c r="J38" i="4"/>
  <c r="J43" i="4" s="1"/>
  <c r="J44" i="4" s="1"/>
  <c r="J58" i="4" s="1"/>
  <c r="N62" i="2" s="1"/>
  <c r="N4" i="2"/>
  <c r="I38" i="4"/>
  <c r="I43" i="4" s="1"/>
  <c r="I44" i="4" s="1"/>
  <c r="I58" i="4" s="1"/>
  <c r="M62" i="2" s="1"/>
  <c r="M4" i="2"/>
  <c r="H41" i="4"/>
  <c r="L33" i="2" s="1"/>
  <c r="G38" i="4"/>
  <c r="G43" i="4" s="1"/>
  <c r="G44" i="4" s="1"/>
  <c r="E41" i="4"/>
  <c r="I33" i="2" s="1"/>
  <c r="C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C49" i="2" s="1"/>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C28" i="2" s="1"/>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83" i="2"/>
  <c r="C24" i="2"/>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J48" i="2" s="1"/>
  <c r="J50" i="2" s="1"/>
  <c r="J12" i="2" s="1"/>
  <c r="D66" i="3"/>
  <c r="C8" i="8" s="1"/>
  <c r="C91" i="6" s="1"/>
  <c r="C92" i="6" s="1"/>
  <c r="C73" i="2"/>
  <c r="C41" i="3"/>
  <c r="G48" i="2" l="1"/>
  <c r="G50" i="2" s="1"/>
  <c r="G12" i="2" s="1"/>
  <c r="G43" i="2" s="1"/>
  <c r="H48" i="2"/>
  <c r="H50" i="2" s="1"/>
  <c r="H12" i="2" s="1"/>
  <c r="C40" i="6"/>
  <c r="I48" i="2"/>
  <c r="I50" i="2" s="1"/>
  <c r="I12" i="2" s="1"/>
  <c r="K48" i="2"/>
  <c r="K50" i="2" s="1"/>
  <c r="K12" i="2" s="1"/>
  <c r="K43" i="2" s="1"/>
  <c r="C87" i="3"/>
  <c r="D87" i="3" s="1"/>
  <c r="I80" i="2"/>
  <c r="I43" i="2"/>
  <c r="K80" i="2"/>
  <c r="J80" i="2"/>
  <c r="J43" i="2"/>
  <c r="H80" i="2"/>
  <c r="H43" i="2"/>
  <c r="C31" i="3"/>
  <c r="G80" i="2" l="1"/>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<sst xmlns="http://schemas.openxmlformats.org/spreadsheetml/2006/main" count="581" uniqueCount="411">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</sst>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topLeftCell="A49" zoomScaleNormal="100" workbookViewId="0">
      <selection activeCell="B67" sqref="B6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328</v>
      </c>
      <c r="C5" s="48" t="s">
        <v>368</v>
      </c>
      <c r="D5" s="49" t="s">
        <v>369</v>
      </c>
    </row>
    <row r="6" spans="1:10" x14ac:dyDescent="0.35">
      <c r="B6" s="4" t="s">
        <v>96</v>
      </c>
      <c r="C6" s="50">
        <v>15.4</v>
      </c>
      <c r="D6" s="48" t="s">
        <v>41</v>
      </c>
      <c r="E6" s="48"/>
    </row>
    <row r="7" spans="1:10" x14ac:dyDescent="0.35">
      <c r="B7" s="4" t="s">
        <v>0</v>
      </c>
      <c r="C7" s="51">
        <v>587107850</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9041.4608900000003</v>
      </c>
      <c r="D10" s="32"/>
      <c r="E10" s="5"/>
    </row>
    <row r="11" spans="1:10" x14ac:dyDescent="0.35">
      <c r="D11" s="5"/>
      <c r="E11" s="5"/>
    </row>
    <row r="12" spans="1:10" ht="24.4" customHeight="1" x14ac:dyDescent="0.35">
      <c r="B12" s="339" t="s">
        <v>379</v>
      </c>
      <c r="C12" s="339"/>
      <c r="D12" s="339"/>
      <c r="E12" s="339"/>
      <c r="F12" s="339"/>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370</v>
      </c>
      <c r="E18" s="5"/>
    </row>
    <row r="19" spans="1:6" x14ac:dyDescent="0.35">
      <c r="B19" s="2" t="s">
        <v>280</v>
      </c>
      <c r="C19" s="255">
        <v>0.2</v>
      </c>
      <c r="E19" s="5"/>
    </row>
    <row r="20" spans="1:6" x14ac:dyDescent="0.35">
      <c r="B20" s="2" t="str">
        <f>"Target Buy Price ("&amp;Market_currency&amp;"):"</f>
        <v>Target Buy Price (HKD):</v>
      </c>
      <c r="C20" s="258">
        <f>C129</f>
        <v>16.361242554197645</v>
      </c>
      <c r="D20" s="1" t="s">
        <v>319</v>
      </c>
      <c r="E20" s="336">
        <v>3</v>
      </c>
    </row>
    <row r="21" spans="1:6" x14ac:dyDescent="0.35">
      <c r="B21" s="1" t="s">
        <v>378</v>
      </c>
      <c r="C21" s="286">
        <f ca="1">Scenarios!C87</f>
        <v>0.22622690546409729</v>
      </c>
      <c r="D21" s="5"/>
      <c r="E21" s="5"/>
    </row>
    <row r="22" spans="1:6" x14ac:dyDescent="0.35">
      <c r="D22" s="5"/>
      <c r="E22" s="5"/>
    </row>
    <row r="23" spans="1:6" ht="13.9" x14ac:dyDescent="0.45">
      <c r="A23" s="253" t="s">
        <v>372</v>
      </c>
      <c r="B23" s="36"/>
      <c r="C23" s="36"/>
      <c r="D23" s="36"/>
      <c r="E23" s="36"/>
      <c r="F23" s="36"/>
    </row>
    <row r="25" spans="1:6" ht="24.4" customHeight="1" x14ac:dyDescent="0.35">
      <c r="B25" s="339" t="s">
        <v>380</v>
      </c>
      <c r="C25" s="339"/>
      <c r="D25" s="339"/>
      <c r="E25" s="339"/>
      <c r="F25" s="339"/>
    </row>
    <row r="26" spans="1:6" ht="24.4" customHeight="1" x14ac:dyDescent="0.35">
      <c r="B26" s="341" t="s">
        <v>353</v>
      </c>
      <c r="C26" s="341"/>
      <c r="D26" s="341"/>
      <c r="E26" s="341"/>
      <c r="F26" s="341"/>
    </row>
    <row r="28" spans="1:6" x14ac:dyDescent="0.35">
      <c r="B28" s="240" t="s">
        <v>232</v>
      </c>
      <c r="C28" s="111">
        <f>Data!C3</f>
        <v>1000</v>
      </c>
    </row>
    <row r="29" spans="1:6" ht="24.4" customHeight="1" x14ac:dyDescent="0.35">
      <c r="B29" s="340" t="s">
        <v>233</v>
      </c>
      <c r="C29" s="340"/>
      <c r="D29" s="340"/>
      <c r="E29" s="340"/>
      <c r="F29" s="340"/>
    </row>
    <row r="30" spans="1:6" x14ac:dyDescent="0.35">
      <c r="B30" s="47" t="s">
        <v>234</v>
      </c>
      <c r="C30" s="191">
        <f>Normalized_FCF!C8</f>
        <v>1876773</v>
      </c>
      <c r="D30" s="1" t="str">
        <f>Reporting_currency</f>
        <v>HKD</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463424</v>
      </c>
      <c r="D33" s="1" t="str">
        <f>Reporting_currency</f>
        <v>HKD</v>
      </c>
    </row>
    <row r="34" spans="2:6" x14ac:dyDescent="0.35">
      <c r="B34" s="52" t="s">
        <v>237</v>
      </c>
      <c r="C34" s="191">
        <f>Normalized_FCF!C10</f>
        <v>-676387</v>
      </c>
      <c r="D34" s="1" t="str">
        <f>Reporting_currency</f>
        <v>HKD</v>
      </c>
    </row>
    <row r="36" spans="2:6" x14ac:dyDescent="0.35">
      <c r="B36" s="340" t="s">
        <v>238</v>
      </c>
      <c r="C36" s="340"/>
      <c r="D36" s="340"/>
      <c r="E36" s="340"/>
      <c r="F36" s="340"/>
    </row>
    <row r="37" spans="2:6" x14ac:dyDescent="0.35">
      <c r="B37" s="47" t="s">
        <v>239</v>
      </c>
      <c r="C37" s="191">
        <f>Normalized_FCF!C11</f>
        <v>0</v>
      </c>
      <c r="D37" s="1" t="str">
        <f>Reporting_currency</f>
        <v>HKD</v>
      </c>
    </row>
    <row r="39" spans="2:6" x14ac:dyDescent="0.35">
      <c r="B39" s="340" t="s">
        <v>242</v>
      </c>
      <c r="C39" s="340"/>
      <c r="D39" s="340"/>
      <c r="E39" s="340"/>
      <c r="F39" s="340"/>
    </row>
    <row r="40" spans="2:6" x14ac:dyDescent="0.35">
      <c r="B40" s="47" t="s">
        <v>354</v>
      </c>
      <c r="C40" s="328">
        <f>Normalized_FCF!C48</f>
        <v>17217.595540639435</v>
      </c>
      <c r="D40" s="1" t="str">
        <f>Reporting_currency</f>
        <v>HKD</v>
      </c>
      <c r="E40" s="327"/>
      <c r="F40" s="327"/>
    </row>
    <row r="41" spans="2:6" x14ac:dyDescent="0.35">
      <c r="B41" s="47" t="s">
        <v>355</v>
      </c>
      <c r="C41" s="328">
        <f>Normalized_FCF!C47</f>
        <v>-59596</v>
      </c>
      <c r="D41" s="1" t="str">
        <f>Reporting_currency</f>
        <v>HKD</v>
      </c>
      <c r="E41" s="327"/>
      <c r="F41" s="327"/>
    </row>
    <row r="42" spans="2:6" x14ac:dyDescent="0.35">
      <c r="B42" s="47" t="s">
        <v>240</v>
      </c>
      <c r="C42" s="191">
        <f>Normalized_FCF!C12</f>
        <v>-42378.404459360565</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0" t="s">
        <v>243</v>
      </c>
      <c r="C47" s="340"/>
      <c r="D47" s="340"/>
      <c r="E47" s="340"/>
      <c r="F47" s="340"/>
    </row>
    <row r="48" spans="2:6" x14ac:dyDescent="0.35">
      <c r="B48" s="47" t="s">
        <v>241</v>
      </c>
      <c r="C48" s="191">
        <f>Normalized_FCF!C14</f>
        <v>-458598.64888515987</v>
      </c>
      <c r="D48" s="1" t="str">
        <f>Reporting_currency</f>
        <v>HKD</v>
      </c>
    </row>
    <row r="50" spans="1:6" x14ac:dyDescent="0.35">
      <c r="B50" s="340" t="s">
        <v>352</v>
      </c>
      <c r="C50" s="343"/>
      <c r="D50" s="343"/>
      <c r="E50" s="343"/>
      <c r="F50" s="343"/>
    </row>
    <row r="51" spans="1:6" x14ac:dyDescent="0.35">
      <c r="B51" s="47" t="s">
        <v>244</v>
      </c>
      <c r="C51" s="1">
        <f>Normalized_FCF!C17</f>
        <v>0</v>
      </c>
      <c r="D51" s="1" t="str">
        <f>Reporting_currency</f>
        <v>HKD</v>
      </c>
    </row>
    <row r="53" spans="1:6" ht="24.4" customHeight="1" x14ac:dyDescent="0.35">
      <c r="B53" s="339" t="s">
        <v>357</v>
      </c>
      <c r="C53" s="339"/>
      <c r="D53" s="339"/>
      <c r="E53" s="339"/>
      <c r="F53" s="339"/>
    </row>
    <row r="54" spans="1:6" ht="24.4" customHeight="1" x14ac:dyDescent="0.35">
      <c r="B54" s="339" t="s">
        <v>381</v>
      </c>
      <c r="C54" s="339"/>
      <c r="D54" s="339"/>
      <c r="E54" s="339"/>
      <c r="F54" s="339"/>
    </row>
    <row r="56" spans="1:6" x14ac:dyDescent="0.35">
      <c r="B56" s="47" t="s">
        <v>273</v>
      </c>
      <c r="C56" s="191">
        <f>Normalized_FCF!G19</f>
        <v>1294904.5955406395</v>
      </c>
      <c r="D56" s="1" t="str">
        <f>Reporting_currency</f>
        <v>HKD</v>
      </c>
    </row>
    <row r="57" spans="1:6" x14ac:dyDescent="0.35">
      <c r="B57" s="47" t="s">
        <v>250</v>
      </c>
      <c r="C57" s="191">
        <f>Normalized_FCF!C19</f>
        <v>1162832.9466554797</v>
      </c>
      <c r="D57" s="1" t="str">
        <f>Reporting_currency</f>
        <v>HKD</v>
      </c>
    </row>
    <row r="58" spans="1:6" x14ac:dyDescent="0.35">
      <c r="B58" s="260" t="s">
        <v>410</v>
      </c>
      <c r="C58" s="94">
        <f>Normalized_FCF!C121</f>
        <v>0.12861117918914977</v>
      </c>
    </row>
    <row r="59" spans="1:6" x14ac:dyDescent="0.35">
      <c r="B59" s="260" t="s">
        <v>320</v>
      </c>
      <c r="C59" s="94">
        <f>Normalized_FCF!C93</f>
        <v>8.8311688311688313E-2</v>
      </c>
    </row>
    <row r="61" spans="1:6" ht="13.9" x14ac:dyDescent="0.45">
      <c r="A61" s="253" t="s">
        <v>373</v>
      </c>
      <c r="B61" s="36"/>
      <c r="C61" s="36"/>
      <c r="D61" s="36"/>
      <c r="E61" s="36"/>
      <c r="F61" s="36"/>
    </row>
    <row r="62" spans="1:6" x14ac:dyDescent="0.35">
      <c r="A62" s="239"/>
    </row>
    <row r="63" spans="1:6" ht="24.4" customHeight="1" x14ac:dyDescent="0.35">
      <c r="A63" s="17"/>
      <c r="B63" s="339" t="s">
        <v>382</v>
      </c>
      <c r="C63" s="339"/>
      <c r="D63" s="339"/>
      <c r="E63" s="339"/>
      <c r="F63" s="339"/>
    </row>
    <row r="64" spans="1:6" x14ac:dyDescent="0.35">
      <c r="B64" s="341" t="s">
        <v>254</v>
      </c>
      <c r="C64" s="341"/>
      <c r="D64" s="341"/>
      <c r="E64" s="341"/>
      <c r="F64" s="341"/>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374</v>
      </c>
      <c r="C72" s="125"/>
    </row>
    <row r="73" spans="1:6" ht="24.4" customHeight="1" x14ac:dyDescent="0.35">
      <c r="B73" s="339" t="s">
        <v>383</v>
      </c>
      <c r="C73" s="339"/>
      <c r="D73" s="339"/>
      <c r="E73" s="339"/>
      <c r="F73" s="339"/>
    </row>
    <row r="74" spans="1:6" ht="24.4" customHeight="1" x14ac:dyDescent="0.35">
      <c r="B74" s="339" t="s">
        <v>384</v>
      </c>
      <c r="C74" s="339"/>
      <c r="D74" s="339"/>
      <c r="E74" s="339"/>
      <c r="F74" s="339"/>
    </row>
    <row r="76" spans="1:6" x14ac:dyDescent="0.35">
      <c r="B76" s="47" t="s">
        <v>253</v>
      </c>
      <c r="C76" s="269">
        <v>0</v>
      </c>
    </row>
    <row r="77" spans="1:6" x14ac:dyDescent="0.35">
      <c r="B77" s="47" t="s">
        <v>287</v>
      </c>
      <c r="C77" s="254">
        <f>Valuation_Model!C6*C28*Exchange_Rate/Common_Shares</f>
        <v>24.757651993911335</v>
      </c>
      <c r="D77" s="1" t="str">
        <f>Market_currency</f>
        <v>HKD</v>
      </c>
    </row>
    <row r="79" spans="1:6" ht="13.9" x14ac:dyDescent="0.45">
      <c r="A79" s="253" t="s">
        <v>375</v>
      </c>
      <c r="B79" s="36"/>
      <c r="C79" s="36"/>
      <c r="D79" s="36"/>
      <c r="E79" s="36"/>
      <c r="F79" s="36"/>
    </row>
    <row r="80" spans="1:6" x14ac:dyDescent="0.35">
      <c r="A80" s="239"/>
    </row>
    <row r="81" spans="2:6" x14ac:dyDescent="0.35">
      <c r="B81" s="339" t="s">
        <v>385</v>
      </c>
      <c r="C81" s="339"/>
      <c r="D81" s="339"/>
      <c r="E81" s="339"/>
      <c r="F81" s="339"/>
    </row>
    <row r="82" spans="2:6" x14ac:dyDescent="0.35">
      <c r="B82" s="1" t="s">
        <v>255</v>
      </c>
    </row>
    <row r="84" spans="2:6" x14ac:dyDescent="0.35">
      <c r="B84" s="240" t="s">
        <v>232</v>
      </c>
    </row>
    <row r="85" spans="2:6" ht="24.4" customHeight="1" x14ac:dyDescent="0.35">
      <c r="B85" s="339" t="s">
        <v>358</v>
      </c>
      <c r="C85" s="339"/>
      <c r="D85" s="339"/>
      <c r="E85" s="339"/>
      <c r="F85" s="339"/>
    </row>
    <row r="86" spans="2:6" x14ac:dyDescent="0.35">
      <c r="B86" s="47" t="s">
        <v>257</v>
      </c>
      <c r="C86" s="191">
        <f>Valuation_Model!C7</f>
        <v>2034922</v>
      </c>
      <c r="D86" s="1" t="str">
        <f>Reporting_currency</f>
        <v>HKD</v>
      </c>
    </row>
    <row r="87" spans="2:6" x14ac:dyDescent="0.35">
      <c r="B87" s="47" t="s">
        <v>288</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810914.36033333349</v>
      </c>
      <c r="D91" s="1" t="str">
        <f>Reporting_currency</f>
        <v>HKD</v>
      </c>
    </row>
    <row r="92" spans="2:6" x14ac:dyDescent="0.35">
      <c r="B92" s="47" t="s">
        <v>289</v>
      </c>
      <c r="C92" s="254">
        <f>C91*C28*Exchange_Rate/Common_Shares</f>
        <v>1.3812016997104255</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290</v>
      </c>
      <c r="C96" s="254">
        <f>C95*C28*Exchange_Rate/Common_Shares</f>
        <v>0.15767562978420405</v>
      </c>
      <c r="D96" s="1" t="str">
        <f>Market_currency</f>
        <v>HKD</v>
      </c>
    </row>
    <row r="98" spans="1:6" ht="24.4" customHeight="1" x14ac:dyDescent="0.35">
      <c r="B98" s="339" t="s">
        <v>386</v>
      </c>
      <c r="C98" s="339"/>
      <c r="D98" s="339"/>
      <c r="E98" s="339"/>
      <c r="F98" s="339"/>
    </row>
    <row r="100" spans="1:6" x14ac:dyDescent="0.35">
      <c r="B100" s="47" t="s">
        <v>286</v>
      </c>
      <c r="C100" s="254">
        <f>Valuation_Model!C12</f>
        <v>22.830518776962066</v>
      </c>
      <c r="D100" s="1" t="str">
        <f>Market_currency</f>
        <v>HKD</v>
      </c>
    </row>
    <row r="102" spans="1:6" ht="13.9" x14ac:dyDescent="0.45">
      <c r="A102" s="253" t="s">
        <v>376</v>
      </c>
      <c r="B102" s="36"/>
      <c r="C102" s="36"/>
      <c r="D102" s="36"/>
      <c r="E102" s="36"/>
      <c r="F102" s="36"/>
    </row>
    <row r="104" spans="1:6" ht="24.4" customHeight="1" x14ac:dyDescent="0.35">
      <c r="B104" s="340" t="s">
        <v>387</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28.13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24.87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23.63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20.93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17.72 HKD</v>
      </c>
      <c r="F111" s="252">
        <f>Valuation_Model!F78</f>
        <v>0.02</v>
      </c>
    </row>
    <row r="113" spans="1:6" x14ac:dyDescent="0.35">
      <c r="B113" s="241" t="s">
        <v>260</v>
      </c>
      <c r="C113" s="247">
        <f>Scenarios!C60</f>
        <v>23.321827133653532</v>
      </c>
      <c r="D113" s="242" t="str">
        <f>Market_currency</f>
        <v>HKD</v>
      </c>
    </row>
    <row r="115" spans="1:6" ht="24.4" customHeight="1" x14ac:dyDescent="0.35">
      <c r="B115" s="344" t="s">
        <v>390</v>
      </c>
      <c r="C115" s="344"/>
      <c r="D115" s="344"/>
      <c r="E115" s="344"/>
      <c r="F115" s="344"/>
    </row>
    <row r="117" spans="1:6" ht="13.9" x14ac:dyDescent="0.45">
      <c r="A117" s="253" t="s">
        <v>377</v>
      </c>
      <c r="B117" s="36"/>
      <c r="C117" s="36"/>
      <c r="D117" s="36"/>
      <c r="E117" s="36"/>
      <c r="F117" s="36"/>
    </row>
    <row r="119" spans="1:6" x14ac:dyDescent="0.35">
      <c r="B119" s="342" t="s">
        <v>388</v>
      </c>
      <c r="C119" s="342"/>
      <c r="D119" s="342"/>
      <c r="E119" s="342"/>
      <c r="F119" s="342"/>
    </row>
    <row r="120" spans="1:6" ht="24.4" customHeight="1" x14ac:dyDescent="0.35">
      <c r="B120" s="339" t="s">
        <v>389</v>
      </c>
      <c r="C120" s="339"/>
      <c r="D120" s="339"/>
      <c r="E120" s="339"/>
      <c r="F120" s="339"/>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13.496427739382831</v>
      </c>
    </row>
    <row r="129" spans="1:6" x14ac:dyDescent="0.35">
      <c r="B129" s="82" t="s">
        <v>262</v>
      </c>
      <c r="C129" s="245">
        <f>Scenarios!C83</f>
        <v>16.361242554197645</v>
      </c>
      <c r="D129" s="47" t="str">
        <f>Reporting_currency</f>
        <v>HKD</v>
      </c>
    </row>
    <row r="130" spans="1:6" x14ac:dyDescent="0.35">
      <c r="B130" s="244" t="s">
        <v>264</v>
      </c>
      <c r="C130" s="94">
        <f>Scenarios!F83</f>
        <v>0.29845794412101279</v>
      </c>
    </row>
    <row r="132" spans="1:6" ht="13.9" x14ac:dyDescent="0.45">
      <c r="A132" s="253" t="s">
        <v>394</v>
      </c>
      <c r="B132" s="36"/>
      <c r="C132" s="36"/>
      <c r="D132" s="36"/>
      <c r="E132" s="36"/>
      <c r="F132" s="36"/>
    </row>
    <row r="134" spans="1:6" x14ac:dyDescent="0.35">
      <c r="B134" s="346" t="s">
        <v>396</v>
      </c>
      <c r="C134" s="339"/>
      <c r="D134" s="339"/>
      <c r="E134" s="339"/>
      <c r="F134" s="339"/>
    </row>
    <row r="136" spans="1:6" x14ac:dyDescent="0.35">
      <c r="B136" s="240" t="s">
        <v>395</v>
      </c>
    </row>
    <row r="137" spans="1:6" x14ac:dyDescent="0.35">
      <c r="B137" s="343" t="s">
        <v>400</v>
      </c>
      <c r="C137" s="343"/>
      <c r="D137" s="343"/>
      <c r="E137" s="343"/>
      <c r="F137" s="343"/>
    </row>
    <row r="138" spans="1:6" x14ac:dyDescent="0.35">
      <c r="B138" s="244" t="s">
        <v>397</v>
      </c>
    </row>
    <row r="139" spans="1:6" x14ac:dyDescent="0.35">
      <c r="B139" s="244" t="s">
        <v>398</v>
      </c>
    </row>
    <row r="140" spans="1:6" x14ac:dyDescent="0.35">
      <c r="B140" s="244" t="s">
        <v>399</v>
      </c>
    </row>
    <row r="142" spans="1:6" x14ac:dyDescent="0.35">
      <c r="B142" s="1" t="s">
        <v>404</v>
      </c>
    </row>
    <row r="143" spans="1:6" ht="46.5" customHeight="1" x14ac:dyDescent="0.35">
      <c r="B143" s="340" t="s">
        <v>401</v>
      </c>
      <c r="C143" s="340"/>
      <c r="D143" s="340"/>
      <c r="E143" s="340"/>
      <c r="F143" s="340"/>
    </row>
    <row r="145" spans="2:6" x14ac:dyDescent="0.35">
      <c r="B145" s="1" t="s">
        <v>405</v>
      </c>
    </row>
    <row r="146" spans="2:6" ht="24.4" customHeight="1" x14ac:dyDescent="0.35">
      <c r="B146" s="345" t="s">
        <v>402</v>
      </c>
      <c r="C146" s="345"/>
      <c r="D146" s="345"/>
      <c r="E146" s="345"/>
      <c r="F146" s="345"/>
    </row>
    <row r="147" spans="2:6" ht="24.4" customHeight="1" x14ac:dyDescent="0.35">
      <c r="B147" s="345" t="s">
        <v>403</v>
      </c>
      <c r="C147" s="345"/>
      <c r="D147" s="345"/>
      <c r="E147" s="345"/>
      <c r="F147" s="345"/>
    </row>
    <row r="149" spans="2:6" x14ac:dyDescent="0.35">
      <c r="B149" s="1" t="s">
        <v>409</v>
      </c>
    </row>
    <row r="150" spans="2:6" x14ac:dyDescent="0.35">
      <c r="B150" s="244" t="s">
        <v>406</v>
      </c>
    </row>
    <row r="151" spans="2:6" x14ac:dyDescent="0.35">
      <c r="B151" s="244" t="s">
        <v>407</v>
      </c>
    </row>
    <row r="152" spans="2:6" x14ac:dyDescent="0.35">
      <c r="B152" s="244" t="s">
        <v>408</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c r="E4" s="184"/>
      <c r="F4" s="184"/>
      <c r="G4" s="184"/>
      <c r="H4" s="184"/>
      <c r="I4" s="184"/>
      <c r="J4" s="184"/>
      <c r="K4" s="184"/>
      <c r="L4" s="184"/>
      <c r="M4" s="184"/>
    </row>
    <row r="5" spans="2:13" x14ac:dyDescent="0.35">
      <c r="B5" s="40" t="s">
        <v>44</v>
      </c>
      <c r="C5" s="193">
        <v>11151623</v>
      </c>
      <c r="D5" s="184"/>
      <c r="E5" s="184"/>
      <c r="F5" s="184"/>
      <c r="G5" s="184"/>
      <c r="H5" s="184"/>
      <c r="I5" s="184"/>
      <c r="J5" s="184"/>
      <c r="K5" s="184"/>
      <c r="L5" s="184"/>
      <c r="M5" s="184"/>
    </row>
    <row r="6" spans="2:13" x14ac:dyDescent="0.35">
      <c r="B6" s="40" t="s">
        <v>55</v>
      </c>
      <c r="C6" s="193">
        <v>2297566</v>
      </c>
      <c r="D6" s="184"/>
      <c r="E6" s="184"/>
      <c r="F6" s="184"/>
      <c r="G6" s="184"/>
      <c r="H6" s="184"/>
      <c r="I6" s="184"/>
      <c r="J6" s="184"/>
      <c r="K6" s="184"/>
      <c r="L6" s="184"/>
      <c r="M6" s="184"/>
    </row>
    <row r="7" spans="2:13" x14ac:dyDescent="0.35">
      <c r="B7" s="70" t="s">
        <v>62</v>
      </c>
      <c r="C7" s="194">
        <v>2043459</v>
      </c>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c r="E12" s="184"/>
      <c r="F12" s="184"/>
      <c r="G12" s="184"/>
      <c r="H12" s="184"/>
      <c r="I12" s="184"/>
      <c r="J12" s="184"/>
      <c r="K12" s="184"/>
      <c r="L12" s="184"/>
      <c r="M12" s="184"/>
    </row>
    <row r="13" spans="2:13" x14ac:dyDescent="0.35">
      <c r="B13" s="40" t="s">
        <v>68</v>
      </c>
      <c r="C13" s="193">
        <v>28977</v>
      </c>
      <c r="D13" s="184"/>
      <c r="E13" s="184"/>
      <c r="F13" s="184"/>
      <c r="G13" s="184"/>
      <c r="H13" s="184"/>
      <c r="I13" s="184"/>
      <c r="J13" s="184"/>
      <c r="K13" s="184"/>
      <c r="L13" s="184"/>
      <c r="M13" s="184"/>
    </row>
    <row r="14" spans="2:13" x14ac:dyDescent="0.35">
      <c r="B14" s="40" t="s">
        <v>51</v>
      </c>
      <c r="C14" s="193">
        <v>327166</v>
      </c>
      <c r="D14" s="184"/>
      <c r="E14" s="184"/>
      <c r="F14" s="184"/>
      <c r="G14" s="184"/>
      <c r="H14" s="184"/>
      <c r="I14" s="184"/>
      <c r="J14" s="184"/>
      <c r="K14" s="184"/>
      <c r="L14" s="184"/>
      <c r="M14" s="184"/>
    </row>
    <row r="15" spans="2:13" x14ac:dyDescent="0.35">
      <c r="B15" s="43" t="s">
        <v>43</v>
      </c>
      <c r="C15" s="195">
        <v>1767305</v>
      </c>
      <c r="D15" s="185"/>
      <c r="E15" s="185"/>
      <c r="F15" s="185"/>
      <c r="G15" s="185"/>
      <c r="H15" s="185"/>
      <c r="I15" s="185"/>
      <c r="J15" s="185"/>
      <c r="K15" s="185"/>
      <c r="L15" s="185"/>
      <c r="M15" s="185"/>
    </row>
    <row r="16" spans="2:13" x14ac:dyDescent="0.35">
      <c r="B16" s="28" t="s">
        <v>45</v>
      </c>
      <c r="C16" s="193">
        <v>-9467</v>
      </c>
      <c r="D16" s="184"/>
      <c r="E16" s="184"/>
      <c r="F16" s="184"/>
      <c r="G16" s="184"/>
      <c r="H16" s="184"/>
      <c r="I16" s="184"/>
      <c r="J16" s="184"/>
      <c r="K16" s="184"/>
      <c r="L16" s="184"/>
      <c r="M16" s="184"/>
    </row>
    <row r="18" spans="2:13" x14ac:dyDescent="0.35">
      <c r="B18" s="16" t="s">
        <v>52</v>
      </c>
      <c r="C18" s="9"/>
    </row>
    <row r="19" spans="2:13" x14ac:dyDescent="0.35">
      <c r="B19" s="27" t="s">
        <v>48</v>
      </c>
      <c r="C19" s="184">
        <v>463424</v>
      </c>
      <c r="D19" s="184"/>
      <c r="E19" s="184"/>
      <c r="F19" s="184"/>
      <c r="G19" s="184"/>
      <c r="H19" s="184"/>
      <c r="I19" s="184"/>
      <c r="J19" s="184"/>
      <c r="K19" s="184"/>
      <c r="L19" s="184"/>
      <c r="M19" s="184"/>
    </row>
    <row r="20" spans="2:13" x14ac:dyDescent="0.35">
      <c r="B20" s="27" t="s">
        <v>54</v>
      </c>
      <c r="C20" s="184">
        <v>676387</v>
      </c>
      <c r="D20" s="184"/>
      <c r="E20" s="184"/>
      <c r="F20" s="184"/>
      <c r="G20" s="184"/>
      <c r="H20" s="184"/>
      <c r="I20" s="184"/>
      <c r="J20" s="184"/>
      <c r="K20" s="184"/>
      <c r="L20" s="184"/>
      <c r="M20" s="184"/>
    </row>
    <row r="21" spans="2:13" x14ac:dyDescent="0.35">
      <c r="B21" s="27" t="s">
        <v>53</v>
      </c>
      <c r="C21" s="184">
        <v>626583</v>
      </c>
      <c r="D21" s="184"/>
      <c r="E21" s="184"/>
      <c r="F21" s="184"/>
      <c r="G21" s="184"/>
      <c r="H21" s="184"/>
      <c r="I21" s="184"/>
      <c r="J21" s="184"/>
      <c r="K21" s="184"/>
      <c r="L21" s="184"/>
      <c r="M21" s="184"/>
    </row>
    <row r="22" spans="2:13" x14ac:dyDescent="0.35">
      <c r="B22" s="27" t="s">
        <v>391</v>
      </c>
      <c r="C22" s="184"/>
      <c r="D22" s="184"/>
      <c r="E22" s="184"/>
      <c r="F22" s="184"/>
      <c r="G22" s="184"/>
      <c r="H22" s="184"/>
      <c r="I22" s="184"/>
      <c r="J22" s="184"/>
      <c r="K22" s="184"/>
      <c r="L22" s="184"/>
      <c r="M22" s="184"/>
    </row>
    <row r="23" spans="2:13" x14ac:dyDescent="0.35">
      <c r="B23" s="27" t="s">
        <v>393</v>
      </c>
      <c r="C23" s="184"/>
      <c r="D23" s="184"/>
      <c r="E23" s="184"/>
      <c r="F23" s="184"/>
      <c r="G23" s="184"/>
      <c r="H23" s="184"/>
      <c r="I23" s="184"/>
      <c r="J23" s="184"/>
      <c r="K23" s="184"/>
      <c r="L23" s="184"/>
      <c r="M23" s="184"/>
    </row>
    <row r="24" spans="2:13" x14ac:dyDescent="0.35">
      <c r="B24" s="27" t="s">
        <v>392</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c r="E25" s="39"/>
      <c r="F25" s="39"/>
      <c r="G25" s="39"/>
      <c r="H25" s="39"/>
      <c r="I25" s="39"/>
      <c r="J25" s="39"/>
      <c r="K25" s="39"/>
      <c r="L25" s="39"/>
      <c r="M25" s="39"/>
    </row>
    <row r="27" spans="2:13" x14ac:dyDescent="0.35">
      <c r="B27" s="16" t="s">
        <v>28</v>
      </c>
      <c r="C27" s="9"/>
    </row>
    <row r="28" spans="2:13" x14ac:dyDescent="0.35">
      <c r="B28" s="26" t="s">
        <v>24</v>
      </c>
      <c r="C28" s="186"/>
      <c r="D28" s="184"/>
      <c r="E28" s="184"/>
      <c r="F28" s="184"/>
      <c r="G28" s="184"/>
      <c r="H28" s="184"/>
      <c r="I28" s="184"/>
      <c r="J28" s="184"/>
      <c r="K28" s="184"/>
      <c r="L28" s="184"/>
      <c r="M28" s="184"/>
    </row>
    <row r="29" spans="2:13" x14ac:dyDescent="0.35">
      <c r="B29" s="26" t="s">
        <v>32</v>
      </c>
      <c r="C29" s="186"/>
      <c r="D29" s="184"/>
      <c r="E29" s="184"/>
      <c r="F29" s="184"/>
      <c r="G29" s="184"/>
      <c r="H29" s="184"/>
      <c r="I29" s="184"/>
      <c r="J29" s="184"/>
      <c r="K29" s="184"/>
      <c r="L29" s="184"/>
      <c r="M29" s="184"/>
    </row>
    <row r="30" spans="2:13" x14ac:dyDescent="0.35">
      <c r="B30" s="29" t="s">
        <v>40</v>
      </c>
      <c r="C30" s="185">
        <v>3990166</v>
      </c>
      <c r="D30" s="185"/>
      <c r="E30" s="185"/>
      <c r="F30" s="185"/>
      <c r="G30" s="185"/>
      <c r="H30" s="185"/>
      <c r="I30" s="185"/>
      <c r="J30" s="185"/>
      <c r="K30" s="185"/>
      <c r="L30" s="185"/>
      <c r="M30" s="185"/>
    </row>
    <row r="31" spans="2:13" x14ac:dyDescent="0.35">
      <c r="B31" s="29" t="s">
        <v>30</v>
      </c>
      <c r="C31" s="185">
        <v>12863898</v>
      </c>
      <c r="D31" s="185"/>
      <c r="E31" s="185"/>
      <c r="F31" s="185"/>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t="str">
        <f t="shared" si="1"/>
        <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-11151623</v>
      </c>
      <c r="D37" s="186" t="str">
        <f t="shared" si="2"/>
        <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4174339</v>
      </c>
      <c r="D38" s="187" t="str">
        <f t="shared" ref="D38" si="3">IF(D36="","",D36+D37)</f>
        <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-2297566</v>
      </c>
      <c r="D39" s="186" t="str">
        <f t="shared" si="13"/>
        <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-2043459</v>
      </c>
      <c r="D40" s="188" t="str">
        <f t="shared" si="14"/>
        <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-254107</v>
      </c>
      <c r="D41" s="188" t="str">
        <f t="shared" ref="D41:M41" si="15">IF(D$4="","",D39-D40)</f>
        <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t="str">
        <f t="shared" si="16"/>
        <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1876773</v>
      </c>
      <c r="D43" s="189" t="str">
        <f t="shared" ref="D43:M43" si="17">IF(D$4="","",D38+D39+D42)</f>
        <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248317</v>
      </c>
      <c r="D44" s="190" t="str">
        <f t="shared" si="18"/>
        <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-30619</v>
      </c>
      <c r="D45" s="191" t="str">
        <f t="shared" si="19"/>
        <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-327166</v>
      </c>
      <c r="D46" s="186" t="str">
        <f t="shared" si="20"/>
        <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1767305</v>
      </c>
      <c r="D47" s="189" t="str">
        <f t="shared" si="21"/>
        <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t="str">
        <f t="shared" si="22"/>
        <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-59596</v>
      </c>
      <c r="D51" s="186" t="str">
        <f t="shared" si="23"/>
        <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28977</v>
      </c>
      <c r="D52" s="186" t="str">
        <f t="shared" si="24"/>
        <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t="str">
        <f t="shared" si="25"/>
        <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t="str">
        <f t="shared" si="26"/>
        <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t="str">
        <f t="shared" si="27"/>
        <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247678</v>
      </c>
      <c r="D58" s="191" t="str">
        <f t="shared" ref="D58:M58" si="28">IF(D$4="","",D44-D55-D56-D57)</f>
        <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-463424</v>
      </c>
      <c r="D61" s="186" t="str">
        <f t="shared" si="29"/>
        <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-676387</v>
      </c>
      <c r="D62" s="186" t="str">
        <f t="shared" si="30"/>
        <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-626583</v>
      </c>
      <c r="D63" s="186" t="str">
        <f t="shared" si="31"/>
        <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1.36</v>
      </c>
      <c r="D64" s="75" t="str">
        <f t="shared" si="32"/>
        <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t="str">
        <f t="shared" ref="C67:M67" si="33">IF(D$36="","",C36/D36-1)</f>
        <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t="str">
        <f t="shared" ref="C68:M68" si="34">IF(D$36="","",C37/D37-1)</f>
        <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t="str">
        <f t="shared" ref="C69:M69" si="35">IF(D$36="","",C38/D38-1)</f>
        <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t="str">
        <f t="shared" ref="C70:M70" si="36">IF(D$36="","",C39/D39-1)</f>
        <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str">
        <f>IF(D$36="","",C64/D64-1)</f>
        <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t="str">
        <f t="shared" ref="D75:M75" si="38">IF(D$4="","",D78+D79)</f>
        <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t="str">
        <f t="shared" si="39"/>
        <v/>
      </c>
      <c r="E76" s="74" t="str">
        <f t="shared" si="39"/>
        <v/>
      </c>
      <c r="F76" s="74" t="str">
        <f t="shared" si="39"/>
        <v/>
      </c>
      <c r="G76" s="74" t="str">
        <f t="shared" si="39"/>
        <v/>
      </c>
      <c r="H76" s="74" t="str">
        <f t="shared" si="39"/>
        <v/>
      </c>
      <c r="I76" s="96"/>
      <c r="J76" s="96"/>
      <c r="K76" s="96"/>
      <c r="L76" s="96"/>
      <c r="M76" s="96"/>
    </row>
    <row r="77" spans="2:13" x14ac:dyDescent="0.35">
      <c r="B77" s="95" t="s">
        <v>88</v>
      </c>
      <c r="C77" s="74">
        <f t="shared" si="39"/>
        <v>0</v>
      </c>
      <c r="D77" s="74" t="str">
        <f t="shared" si="39"/>
        <v/>
      </c>
      <c r="E77" s="74" t="str">
        <f t="shared" si="39"/>
        <v/>
      </c>
      <c r="F77" s="74" t="str">
        <f t="shared" si="39"/>
        <v/>
      </c>
      <c r="G77" s="74" t="str">
        <f t="shared" si="39"/>
        <v/>
      </c>
      <c r="H77" s="74" t="str">
        <f t="shared" si="39"/>
        <v/>
      </c>
      <c r="I77" s="96"/>
      <c r="J77" s="96"/>
      <c r="K77" s="96"/>
      <c r="L77" s="96"/>
      <c r="M77" s="96"/>
    </row>
    <row r="78" spans="2:13" x14ac:dyDescent="0.35">
      <c r="B78" s="26" t="s">
        <v>40</v>
      </c>
      <c r="C78" s="58">
        <f t="shared" ref="C78:M78" si="40">IF(C$4="","",C30)</f>
        <v>3990166</v>
      </c>
      <c r="D78" s="58" t="str">
        <f t="shared" si="40"/>
        <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12863898</v>
      </c>
      <c r="D79" s="58" t="str">
        <f t="shared" si="41"/>
        <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1.0842664509772892</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0.13472770763839131</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-2.0915594459950692E-3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1998219</v>
      </c>
      <c r="D66" s="191">
        <f>C66-D75</f>
        <v>810914.36033333349</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-1187304.6396666665</v>
      </c>
      <c r="D73" s="191">
        <f>(Normalized_FCF!C25+Normalized_FCF!C35-Normalized_FCF!C91)/12</f>
        <v>-1187304.6396666665</v>
      </c>
      <c r="F73" s="1" t="s">
        <v>365</v>
      </c>
    </row>
    <row r="74" spans="2:6" ht="15" customHeight="1" x14ac:dyDescent="0.35">
      <c r="B74" s="294" t="s">
        <v>335</v>
      </c>
      <c r="C74" s="295">
        <f>-$C$66/C73</f>
        <v>1.6829876118070222</v>
      </c>
      <c r="D74" s="295">
        <f>-$C$66/D73</f>
        <v>1.6829876118070222</v>
      </c>
      <c r="F74" s="289" t="s">
        <v>332</v>
      </c>
    </row>
    <row r="75" spans="2:6" ht="15" customHeight="1" x14ac:dyDescent="0.35">
      <c r="B75" s="82" t="s">
        <v>333</v>
      </c>
      <c r="C75" s="299"/>
      <c r="D75" s="298">
        <f>MAX(-D73*D76,G5)</f>
        <v>1187304.6396666665</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-2034922</v>
      </c>
      <c r="D86" s="254">
        <f>C86*$H$1/Common_Shares</f>
        <v>-3.4660105464438944</v>
      </c>
      <c r="E86" s="275" t="str">
        <f>Market_currency</f>
        <v>HKD</v>
      </c>
    </row>
    <row r="87" spans="2:8" ht="15" customHeight="1" x14ac:dyDescent="0.35">
      <c r="B87" s="273" t="s">
        <v>298</v>
      </c>
      <c r="C87" s="191">
        <f>Valuation_Model!C8*Exchange_Rate</f>
        <v>810914.36033333349</v>
      </c>
      <c r="D87" s="254">
        <f>C87*$H$1/Common_Shares</f>
        <v>1.3812016997104255</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302</v>
      </c>
      <c r="C89" s="190">
        <f>SUM(C86:C88)</f>
        <v>-1131435.0396666664</v>
      </c>
      <c r="D89" s="277">
        <f>SUM(D86:D88)</f>
        <v>-1.9271332169492648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1" activePane="bottomRight" state="frozen"/>
      <selection pane="topRight" activeCell="C1" sqref="C1"/>
      <selection pane="bottomLeft" activeCell="A2" sqref="A2"/>
      <selection pane="bottomRight" activeCell="C93" sqref="C9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15325962</v>
      </c>
      <c r="D4" s="57"/>
      <c r="E4" s="306"/>
      <c r="F4" s="57"/>
      <c r="G4" s="186">
        <f>Data!C36</f>
        <v>15325962</v>
      </c>
      <c r="H4" s="186" t="str">
        <f>Data!D36</f>
        <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-13195082</v>
      </c>
      <c r="E5" s="308"/>
      <c r="G5" s="186">
        <f t="shared" ref="G5:Q5" si="1">G25</f>
        <v>-13195082</v>
      </c>
      <c r="H5" s="186" t="str">
        <f t="shared" si="1"/>
        <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2130880</v>
      </c>
      <c r="E6" s="308"/>
      <c r="G6" s="187">
        <f>IF(G4="","",G4+G5)</f>
        <v>2130880</v>
      </c>
      <c r="H6" s="187" t="str">
        <f t="shared" ref="H6:Q6" si="2">IF(H4="","",H4+H5)</f>
        <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-254107</v>
      </c>
      <c r="E7" s="308"/>
      <c r="G7" s="197">
        <f t="shared" ref="G7:Q7" si="3">G35</f>
        <v>-254107</v>
      </c>
      <c r="H7" s="197" t="str">
        <f t="shared" si="3"/>
        <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1876773</v>
      </c>
      <c r="D8" s="60"/>
      <c r="E8" s="314"/>
      <c r="F8" s="60"/>
      <c r="G8" s="187">
        <f>IF(G$4="","",G6+G7)</f>
        <v>1876773</v>
      </c>
      <c r="H8" s="187" t="str">
        <f t="shared" ref="H8:Q8" si="4">IF(H$4="","",H6+H7)</f>
        <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t="str">
        <f>IF(Data!D61="","",-Data!D61)</f>
        <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-676387</v>
      </c>
      <c r="E10" s="308"/>
      <c r="G10" s="197">
        <f>Data!C62</f>
        <v>-676387</v>
      </c>
      <c r="H10" s="197" t="str">
        <f>Data!D62</f>
        <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t="str">
        <f t="shared" ref="H11:Q11" si="5">H61</f>
        <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-42378.404459360565</v>
      </c>
      <c r="E12" s="308"/>
      <c r="G12" s="197">
        <f>G50</f>
        <v>-42378.404459360565</v>
      </c>
      <c r="H12" s="197" t="str">
        <f t="shared" ref="H12:Q12" si="6">H50</f>
        <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1621431.5955406395</v>
      </c>
      <c r="E13" s="308"/>
      <c r="G13" s="187">
        <f>IF(G$4="","",SUM(G8:G12))</f>
        <v>1622070.5955406395</v>
      </c>
      <c r="H13" s="187" t="str">
        <f t="shared" ref="H13:Q13" si="7">IF(H$4="","",SUM(H8:H12))</f>
        <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-458598.64888515987</v>
      </c>
      <c r="E14" s="308"/>
      <c r="G14" s="197">
        <f>Data!C46</f>
        <v>-327166</v>
      </c>
      <c r="H14" s="197" t="str">
        <f>Data!D46</f>
        <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t="str">
        <f>Data!D48</f>
        <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1162832.9466554797</v>
      </c>
      <c r="D16" s="62"/>
      <c r="E16" s="316"/>
      <c r="F16" s="62"/>
      <c r="G16" s="187">
        <f>IF(G$4="","",SUM(G13:G15))</f>
        <v>1294904.5955406395</v>
      </c>
      <c r="H16" s="187" t="str">
        <f t="shared" ref="H16:Q16" si="8">IF(H$4="","",SUM(H13:H15))</f>
        <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1162832.9466554797</v>
      </c>
      <c r="D19" s="27"/>
      <c r="E19" s="305"/>
      <c r="F19" s="27"/>
      <c r="G19" s="189">
        <f>IF(G$4="","",G16+G17)</f>
        <v>1294904.5955406395</v>
      </c>
      <c r="H19" s="189" t="str">
        <f t="shared" ref="H19:Q19" si="9">IF(H$4="","",H16+H17)</f>
        <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-11151623</v>
      </c>
      <c r="D23" s="59"/>
      <c r="E23" s="307"/>
      <c r="F23" s="59"/>
      <c r="G23" s="186">
        <f>Data!C37</f>
        <v>-11151623</v>
      </c>
      <c r="H23" s="186" t="str">
        <f>Data!D37</f>
        <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-2043458.9999999998</v>
      </c>
      <c r="D24" s="27"/>
      <c r="E24" s="305"/>
      <c r="F24" s="27"/>
      <c r="G24" s="186">
        <f>Data!C40</f>
        <v>-2043459</v>
      </c>
      <c r="H24" s="186" t="str">
        <f>Data!D40</f>
        <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-13195082</v>
      </c>
      <c r="D25" s="9"/>
      <c r="E25" s="313"/>
      <c r="F25" s="9"/>
      <c r="G25" s="187">
        <f t="shared" ref="G25:Q25" si="10">IF(G$4="","",G23+G24)</f>
        <v>-13195082</v>
      </c>
      <c r="H25" s="187" t="str">
        <f t="shared" si="10"/>
        <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0.72762956087193742</v>
      </c>
      <c r="D28" s="26"/>
      <c r="E28" s="306" t="s">
        <v>347</v>
      </c>
      <c r="F28" s="26"/>
      <c r="G28" s="13">
        <f t="shared" ref="G28:Q28" si="11">IF(G$4="","",ABS(G23/G$4))</f>
        <v>0.72762956087193742</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0.13333316368656009</v>
      </c>
      <c r="D29" s="26"/>
      <c r="E29" s="306" t="s">
        <v>347</v>
      </c>
      <c r="F29" s="26"/>
      <c r="G29" s="13">
        <f t="shared" ref="G29:Q29" si="12">IF(G$4="","",ABS(G24/G$4))</f>
        <v>0.13333316368656009</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0.86096272455849754</v>
      </c>
      <c r="E30" s="308"/>
      <c r="G30" s="30">
        <f t="shared" ref="G30:Q30" si="13">IF(G$4="","",ABS(G25/G$4))</f>
        <v>0.86096272455849754</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-254107</v>
      </c>
      <c r="E33" s="306" t="s">
        <v>347</v>
      </c>
      <c r="G33" s="197">
        <f>Data!C41</f>
        <v>-254107</v>
      </c>
      <c r="H33" s="197" t="str">
        <f>Data!D41</f>
        <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t="str">
        <f>Data!D42</f>
        <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-254107</v>
      </c>
      <c r="D35" s="59"/>
      <c r="E35" s="307"/>
      <c r="F35" s="59"/>
      <c r="G35" s="187">
        <f t="shared" ref="G35:Q35" si="14">IF(G4="","",G33+G34)</f>
        <v>-254107</v>
      </c>
      <c r="H35" s="187" t="str">
        <f t="shared" si="14"/>
        <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1.6580166386945237E-2</v>
      </c>
      <c r="D38" s="27"/>
      <c r="E38" s="305"/>
      <c r="F38" s="27"/>
      <c r="G38" s="13">
        <f t="shared" ref="G38:Q38" si="15">IF(G$4="","",ABS(G33/G$4))</f>
        <v>1.6580166386945237E-2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1.6580166386945237E-2</v>
      </c>
      <c r="E40" s="308"/>
      <c r="G40" s="30">
        <f t="shared" ref="G40:Q40" si="17">IF(G$4="","",ABS(G35/G$4))</f>
        <v>1.6580166386945237E-2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0.17828883394563139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t="str">
        <f>Data!D51</f>
        <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17217.595540639435</v>
      </c>
      <c r="E48" s="308"/>
      <c r="G48" s="334">
        <f>IF(G$4="","",($C$48/$C$49)*G49)</f>
        <v>17217.595540639435</v>
      </c>
      <c r="H48" s="334" t="str">
        <f t="shared" ref="H48:Q48" si="19">IF(H$4="","",($C$48/$C$49)*H49)</f>
        <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28977</v>
      </c>
      <c r="D49" s="331"/>
      <c r="E49" s="332"/>
      <c r="F49" s="331"/>
      <c r="G49" s="330">
        <f>Data!C52</f>
        <v>28977</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-42378.404459360565</v>
      </c>
      <c r="E50" s="308"/>
      <c r="G50" s="187">
        <f>IF(G$4="","",(G47+G48))</f>
        <v>-42378.404459360565</v>
      </c>
      <c r="H50" s="187" t="str">
        <f t="shared" ref="H50:Q50" si="20">IF(H$4="","",(H47+H48))</f>
        <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349</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350</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31.4915933955299</v>
      </c>
      <c r="E55" s="308"/>
      <c r="G55" s="42">
        <f t="shared" ref="G55:Q55" si="21">IF(G4="","",-G8/G47)</f>
        <v>31.4915933955299</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t="str">
        <f>Data!D56</f>
        <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t="str">
        <f>Data!D55</f>
        <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t="str">
        <f>Data!D57</f>
        <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t="str">
        <f t="shared" si="22"/>
        <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247678</v>
      </c>
      <c r="H62" s="197" t="str">
        <f>Data!D58</f>
        <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t="str">
        <f t="shared" si="23"/>
        <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0.86096272455849754</v>
      </c>
      <c r="D73" s="27"/>
      <c r="E73" s="305"/>
      <c r="F73" s="27"/>
      <c r="G73" s="6">
        <f t="shared" ref="G73:Q73" si="24">IF(G$4="","",ABS(G5/G$4))</f>
        <v>0.86096272455849754</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0.13903727544150246</v>
      </c>
      <c r="D74" s="27"/>
      <c r="E74" s="305"/>
      <c r="F74" s="27"/>
      <c r="G74" s="66">
        <f t="shared" ref="G74:Q74" si="25">IF(G$4="","",ABS(G6/G$4))</f>
        <v>0.13903727544150246</v>
      </c>
      <c r="H74" s="66" t="str">
        <f t="shared" si="25"/>
        <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1.6580166386945237E-2</v>
      </c>
      <c r="D75" s="27"/>
      <c r="E75" s="305"/>
      <c r="F75" s="27"/>
      <c r="G75" s="6">
        <f t="shared" ref="G75:Q75" si="26">IF(G$4="","",ABS(G7/G$4))</f>
        <v>1.6580166386945237E-2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0.12245710905455723</v>
      </c>
      <c r="D76" s="27"/>
      <c r="E76" s="305"/>
      <c r="F76" s="27"/>
      <c r="G76" s="66">
        <f t="shared" ref="G76:Q76" si="27">IF(G$4="","",ABS(G8/G$4))</f>
        <v>0.12245710905455723</v>
      </c>
      <c r="H76" s="66" t="str">
        <f t="shared" si="27"/>
        <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3.0237840861147901E-2</v>
      </c>
      <c r="D77" s="27"/>
      <c r="E77" s="305"/>
      <c r="F77" s="27"/>
      <c r="G77" s="6">
        <f t="shared" ref="G77:Q77" si="28">IF(G$4="","",G9/G$4)</f>
        <v>3.0237840861147901E-2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4.413341231043115E-2</v>
      </c>
      <c r="D78" s="27"/>
      <c r="E78" s="306" t="s">
        <v>371</v>
      </c>
      <c r="F78" s="27"/>
      <c r="G78" s="6">
        <f t="shared" ref="G78:Q78" si="29">IF(G$4="","",-G10/G$4)</f>
        <v>4.413341231043115E-2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t="str">
        <f t="shared" si="30"/>
        <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2.7651382966603051E-3</v>
      </c>
      <c r="D80" s="27"/>
      <c r="E80" s="305"/>
      <c r="F80" s="27"/>
      <c r="G80" s="6">
        <f t="shared" ref="G80:Q80" si="31">IF(G$4="","",ABS(G12/G$4))</f>
        <v>2.7651382966603051E-3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0.10579639930861368</v>
      </c>
      <c r="D81" s="27"/>
      <c r="E81" s="305"/>
      <c r="F81" s="27"/>
      <c r="G81" s="66">
        <f t="shared" ref="G81:Q81" si="32">IF(G$4="","",G13/G$4)</f>
        <v>0.10583809326557377</v>
      </c>
      <c r="H81" s="66" t="str">
        <f t="shared" si="32"/>
        <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2.992299268947423E-2</v>
      </c>
      <c r="D82" s="27"/>
      <c r="E82" s="305"/>
      <c r="F82" s="27"/>
      <c r="G82" s="6">
        <f t="shared" ref="G82:Q82" si="33">IF(G$4="","",ABS(G14/G$4))</f>
        <v>2.134717546604905E-2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7.5873406619139452E-2</v>
      </c>
      <c r="D84" s="27"/>
      <c r="E84" s="305"/>
      <c r="F84" s="27"/>
      <c r="G84" s="66">
        <f t="shared" ref="G84:Q84" si="35">IF(G$4="","",ABS(G16/G$4))</f>
        <v>8.4490917799524723E-2</v>
      </c>
      <c r="H84" s="66" t="str">
        <f t="shared" si="35"/>
        <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7.5873406619139452E-2</v>
      </c>
      <c r="D87" s="77"/>
      <c r="E87" s="305"/>
      <c r="F87" s="77"/>
      <c r="G87" s="66">
        <f t="shared" ref="G87:Q87" si="36">IF(G$4="","",ABS(G19/G$4))</f>
        <v>8.4490917799524723E-2</v>
      </c>
      <c r="H87" s="66" t="str">
        <f t="shared" si="36"/>
        <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Data!C64</f>
        <v>1.36</v>
      </c>
      <c r="H90" s="116" t="str">
        <f>Data!D64</f>
        <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t="str">
        <f t="shared" si="37"/>
        <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0.68665639230169417</v>
      </c>
      <c r="E92" s="308"/>
      <c r="G92" s="174">
        <f t="shared" ref="G92:Q92" si="38">IF(G$4="","",G90/(G19*$C$3/Common_Shares))</f>
        <v>0.61662201118888604</v>
      </c>
      <c r="H92" s="174" t="str">
        <f t="shared" si="38"/>
        <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8.8311688311688313E-2</v>
      </c>
      <c r="E93" s="308"/>
      <c r="G93" s="23">
        <f t="shared" ref="G93:Q93" si="39">IF(G$4="","",G90/Market_Price)</f>
        <v>8.8311688311688313E-2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-3.9394093065781011E-4</v>
      </c>
      <c r="D97" s="27"/>
      <c r="E97" s="30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t="str">
        <f t="shared" si="42"/>
        <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t="str">
        <f>IF(G$4="","",Data!D76)</f>
        <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9672256</v>
      </c>
      <c r="D103" s="91"/>
      <c r="E103" s="310"/>
      <c r="F103" s="91"/>
      <c r="G103" s="188" t="str">
        <f>IF(G$4="","",Data!D77)</f>
        <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t="str">
        <f>Data!D78</f>
        <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t="str">
        <f>Data!D79</f>
        <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1.7341358408692387E-2</v>
      </c>
      <c r="D108" s="26"/>
      <c r="E108" s="309"/>
      <c r="F108" s="26"/>
      <c r="G108" s="97" t="e">
        <f t="shared" ref="G108:Q108" si="43">IF(G$4="","",G102/G$4)</f>
        <v>#VALUE!</v>
      </c>
      <c r="H108" s="97" t="str">
        <f t="shared" si="43"/>
        <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0.63110270011109249</v>
      </c>
      <c r="D109" s="26"/>
      <c r="E109" s="309"/>
      <c r="F109" s="26"/>
      <c r="G109" s="97" t="e">
        <f t="shared" ref="G109:Q109" si="44">IF(G$4="","",G103/G$4)</f>
        <v>#VALUE!</v>
      </c>
      <c r="H109" s="97" t="str">
        <f t="shared" si="44"/>
        <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0.10579639930861368</v>
      </c>
      <c r="E113" s="308"/>
      <c r="G113" s="23">
        <f t="shared" ref="G113:Q113" si="45">G81</f>
        <v>0.10583809326557377</v>
      </c>
      <c r="H113" s="23" t="str">
        <f t="shared" si="45"/>
        <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0.90933332162498015</v>
      </c>
      <c r="E114" s="308"/>
      <c r="G114" s="42">
        <f t="shared" ref="G114:Q114" si="46">IF(G4="","",G4/G101)</f>
        <v>0.90933332162498015</v>
      </c>
      <c r="H114" s="42" t="str">
        <f t="shared" si="46"/>
        <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1.3101832741522048</v>
      </c>
      <c r="D115" s="11"/>
      <c r="E115" s="312"/>
      <c r="F115" s="11"/>
      <c r="G115" s="15">
        <f t="shared" ref="G115:Q115" si="47">IF(G$4="","",G101/G105)</f>
        <v>1.3101832741522048</v>
      </c>
      <c r="H115" s="15" t="str">
        <f t="shared" si="47"/>
        <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0.14589458032083277</v>
      </c>
      <c r="D116" s="106"/>
      <c r="E116" s="311"/>
      <c r="F116" s="106"/>
      <c r="G116" s="105">
        <f t="shared" ref="G116:Q116" si="48">IF(G$4="","",G8/G105)</f>
        <v>0.14589458032083277</v>
      </c>
      <c r="H116" s="105" t="str">
        <f t="shared" si="48"/>
        <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1.9806121595129067</v>
      </c>
      <c r="D120" s="27"/>
      <c r="E120" s="305"/>
      <c r="F120" s="27"/>
      <c r="G120" s="181">
        <f t="shared" ref="G120:Q120" si="49">IF(G$4="","",G16*$C$3/Common_Shares*Exchange_Rate)</f>
        <v>2.205565119833842</v>
      </c>
      <c r="H120" s="181" t="str">
        <f t="shared" si="49"/>
        <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0.12861117918914977</v>
      </c>
      <c r="D121" s="27"/>
      <c r="E121" s="305"/>
      <c r="F121" s="27"/>
      <c r="G121" s="79">
        <f t="shared" ref="G121" si="50">IF(G$4="","",G120/Market_Price)</f>
        <v>0.1432185142749248</v>
      </c>
      <c r="H121" s="79" t="str">
        <f t="shared" ref="H121" si="51">IF(H$4="","",H120/Market_Price)</f>
        <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1162832.9466554797</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14535411.833193496</v>
      </c>
      <c r="D6" t="str">
        <f>Reporting_currency</f>
        <v>HKD</v>
      </c>
      <c r="E6" s="347" t="s">
        <v>251</v>
      </c>
      <c r="F6" s="347"/>
      <c r="H6" s="124"/>
    </row>
    <row r="7" spans="2:8" x14ac:dyDescent="0.35">
      <c r="B7" s="152" t="s">
        <v>226</v>
      </c>
      <c r="C7" s="232">
        <f>BS!G31</f>
        <v>2034922</v>
      </c>
      <c r="D7" t="str">
        <f>Reporting_currency</f>
        <v>HKD</v>
      </c>
      <c r="E7" s="347"/>
      <c r="F7" s="347"/>
      <c r="H7" s="124"/>
    </row>
    <row r="8" spans="2:8" x14ac:dyDescent="0.35">
      <c r="B8" s="152" t="s">
        <v>227</v>
      </c>
      <c r="C8" s="207">
        <f>BS!D66</f>
        <v>810914.36033333349</v>
      </c>
      <c r="D8" t="str">
        <f>Reporting_currency</f>
        <v>HKD</v>
      </c>
      <c r="E8" s="347"/>
      <c r="F8" s="347"/>
      <c r="H8" s="124"/>
    </row>
    <row r="9" spans="2:8" x14ac:dyDescent="0.35">
      <c r="B9" s="233" t="s">
        <v>192</v>
      </c>
      <c r="C9" s="235">
        <f>BS!H42</f>
        <v>92572.6</v>
      </c>
      <c r="D9" t="str">
        <f>Reporting_currency</f>
        <v>HKD</v>
      </c>
      <c r="E9" s="347"/>
      <c r="F9" s="347"/>
      <c r="H9" s="124"/>
    </row>
    <row r="10" spans="2:8" ht="13.15" x14ac:dyDescent="0.4">
      <c r="B10" s="153" t="s">
        <v>229</v>
      </c>
      <c r="C10" s="238">
        <f>C6-C7+C8+C9</f>
        <v>13403976.793526828</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22.830518776962066</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23.325699825167451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1170275.8082940446</v>
      </c>
      <c r="D21" s="142">
        <f>IF($C$17&lt;B21,0,Valuation_Model!$C$16)</f>
        <v>6.4006284479398504E-3</v>
      </c>
      <c r="E21" s="128">
        <f t="shared" ref="E21:E50" si="0">IF($C$17&lt;B21,0,1/(1+Equity_Cost)^B21)</f>
        <v>0.92592592592592582</v>
      </c>
      <c r="F21" s="129">
        <f t="shared" ref="F21:F51" si="1">C21*E21</f>
        <v>1083588.7113833744</v>
      </c>
      <c r="H21" s="124"/>
    </row>
    <row r="22" spans="2:8" x14ac:dyDescent="0.35">
      <c r="B22" s="126">
        <v>2</v>
      </c>
      <c r="C22" s="127">
        <f t="shared" ref="C22:C50" si="2">IF(ROW()-ROW($C$21)&lt;$C$17, $C$21*(1+D22)^(ROW()-ROW($C$21)), 0)</f>
        <v>1177766.3089245472</v>
      </c>
      <c r="D22" s="142">
        <f>IF($C$17&lt;B22,0,Valuation_Model!$C$16)</f>
        <v>6.4006284479398504E-3</v>
      </c>
      <c r="E22" s="128">
        <f t="shared" si="0"/>
        <v>0.85733882030178321</v>
      </c>
      <c r="F22" s="129">
        <f t="shared" si="1"/>
        <v>1009744.7778845568</v>
      </c>
      <c r="H22" s="124"/>
    </row>
    <row r="23" spans="2:8" x14ac:dyDescent="0.35">
      <c r="B23" s="126">
        <v>3</v>
      </c>
      <c r="C23" s="127">
        <f t="shared" si="2"/>
        <v>1185304.7534664748</v>
      </c>
      <c r="D23" s="142">
        <f>IF($C$17&lt;B23,0,Valuation_Model!$C$16)</f>
        <v>6.4006284479398504E-3</v>
      </c>
      <c r="E23" s="128">
        <f t="shared" si="0"/>
        <v>0.79383224102016958</v>
      </c>
      <c r="F23" s="129">
        <f t="shared" si="1"/>
        <v>940933.12873615138</v>
      </c>
      <c r="H23" s="124"/>
    </row>
    <row r="24" spans="2:8" x14ac:dyDescent="0.35">
      <c r="B24" s="126">
        <v>4</v>
      </c>
      <c r="C24" s="127">
        <f t="shared" si="2"/>
        <v>1192891.4487909905</v>
      </c>
      <c r="D24" s="142">
        <f>IF($C$17&lt;B24,0,Valuation_Model!$C$16)</f>
        <v>6.4006284479398504E-3</v>
      </c>
      <c r="E24" s="128">
        <f t="shared" si="0"/>
        <v>0.73502985279645328</v>
      </c>
      <c r="F24" s="129">
        <f t="shared" si="1"/>
        <v>876810.82600698969</v>
      </c>
      <c r="H24" s="124"/>
    </row>
    <row r="25" spans="2:8" x14ac:dyDescent="0.35">
      <c r="B25" s="126">
        <v>5</v>
      </c>
      <c r="C25" s="127">
        <f t="shared" si="2"/>
        <v>1200526.7037334265</v>
      </c>
      <c r="D25" s="142">
        <f>IF($C$17&lt;B25,0,Valuation_Model!$C$16)</f>
        <v>6.4006284479398504E-3</v>
      </c>
      <c r="E25" s="128">
        <f t="shared" si="0"/>
        <v>0.68058319703375303</v>
      </c>
      <c r="F25" s="129">
        <f t="shared" si="1"/>
        <v>817058.30215128872</v>
      </c>
      <c r="H25" s="124"/>
    </row>
    <row r="26" spans="2:8" x14ac:dyDescent="0.35">
      <c r="B26" s="126">
        <v>6</v>
      </c>
      <c r="C26" s="127">
        <f t="shared" si="2"/>
        <v>1208210.8291058543</v>
      </c>
      <c r="D26" s="142">
        <f>IF($C$17&lt;B26,0,Valuation_Model!$C$16)</f>
        <v>6.4006284479398504E-3</v>
      </c>
      <c r="E26" s="128">
        <f t="shared" si="0"/>
        <v>0.63016962688310452</v>
      </c>
      <c r="F26" s="129">
        <f t="shared" si="1"/>
        <v>761377.76737376256</v>
      </c>
      <c r="H26" s="124"/>
    </row>
    <row r="27" spans="2:8" x14ac:dyDescent="0.35">
      <c r="B27" s="126">
        <v>7</v>
      </c>
      <c r="C27" s="127">
        <f t="shared" si="2"/>
        <v>1215944.137709738</v>
      </c>
      <c r="D27" s="142">
        <f>IF($C$17&lt;B27,0,Valuation_Model!$C$16)</f>
        <v>6.4006284479398504E-3</v>
      </c>
      <c r="E27" s="128">
        <f t="shared" si="0"/>
        <v>0.58349039526213387</v>
      </c>
      <c r="F27" s="129">
        <f t="shared" si="1"/>
        <v>709491.7255289295</v>
      </c>
      <c r="H27" s="124"/>
    </row>
    <row r="28" spans="2:8" x14ac:dyDescent="0.35">
      <c r="B28" s="126">
        <v>8</v>
      </c>
      <c r="C28" s="127">
        <f t="shared" si="2"/>
        <v>1223726.9443486687</v>
      </c>
      <c r="D28" s="142">
        <f>IF($C$17&lt;B28,0,Valuation_Model!$C$16)</f>
        <v>6.4006284479398504E-3</v>
      </c>
      <c r="E28" s="128">
        <f t="shared" si="0"/>
        <v>0.54026888450197574</v>
      </c>
      <c r="F28" s="129">
        <f t="shared" si="1"/>
        <v>661141.59115826653</v>
      </c>
      <c r="H28" s="124"/>
    </row>
    <row r="29" spans="2:8" x14ac:dyDescent="0.35">
      <c r="B29" s="126">
        <v>9</v>
      </c>
      <c r="C29" s="127">
        <f t="shared" si="2"/>
        <v>1231559.5658411772</v>
      </c>
      <c r="D29" s="142">
        <f>IF($C$17&lt;B29,0,Valuation_Model!$C$16)</f>
        <v>6.4006284479398504E-3</v>
      </c>
      <c r="E29" s="128">
        <f t="shared" si="0"/>
        <v>0.50024896713145905</v>
      </c>
      <c r="F29" s="129">
        <f t="shared" si="1"/>
        <v>616086.40077291708</v>
      </c>
      <c r="H29" s="124"/>
    </row>
    <row r="30" spans="2:8" x14ac:dyDescent="0.35">
      <c r="B30" s="126">
        <v>10</v>
      </c>
      <c r="C30" s="127">
        <f t="shared" si="2"/>
        <v>1239442.3210336328</v>
      </c>
      <c r="D30" s="142">
        <f>IF($C$17&lt;B30,0,Valuation_Model!$C$16)</f>
        <v>6.4006284479398504E-3</v>
      </c>
      <c r="E30" s="128">
        <f t="shared" si="0"/>
        <v>0.46319348808468425</v>
      </c>
      <c r="F30" s="129">
        <f t="shared" si="1"/>
        <v>574101.61195934541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14628447.603675557</v>
      </c>
      <c r="D51" s="143">
        <f>Terminal_Growth</f>
        <v>0</v>
      </c>
      <c r="E51" s="128">
        <f>1/(1+Equity_Cost)^C17</f>
        <v>0.46319348808468425</v>
      </c>
      <c r="F51" s="129">
        <f t="shared" si="1"/>
        <v>6775801.6708105225</v>
      </c>
      <c r="H51" s="124"/>
    </row>
    <row r="52" spans="1:8" x14ac:dyDescent="0.35">
      <c r="C52" s="118"/>
      <c r="E52" s="131" t="s">
        <v>102</v>
      </c>
      <c r="F52" s="141">
        <f>SUM(F21:F51)</f>
        <v>14826136.513766104</v>
      </c>
      <c r="H52" s="124"/>
    </row>
    <row r="53" spans="1:8" x14ac:dyDescent="0.35">
      <c r="C53" s="118"/>
      <c r="H53" s="124"/>
    </row>
    <row r="54" spans="1:8" ht="13.15" x14ac:dyDescent="0.35">
      <c r="B54" s="123" t="s">
        <v>131</v>
      </c>
      <c r="C54" s="140"/>
      <c r="D54" s="140"/>
      <c r="E54" s="121"/>
      <c r="F54" s="121"/>
      <c r="H54" s="124"/>
    </row>
    <row r="55" spans="1:8" ht="13.15" x14ac:dyDescent="0.4">
      <c r="A55" s="137">
        <f>F52</f>
        <v>14826136.513766104</v>
      </c>
      <c r="B55" s="135">
        <f>C78</f>
        <v>-0.08</v>
      </c>
      <c r="C55" s="135">
        <f>C77</f>
        <v>-0.05</v>
      </c>
      <c r="D55" s="135">
        <f>C76</f>
        <v>0.02</v>
      </c>
      <c r="E55" s="135">
        <f>C75</f>
        <v>0.05</v>
      </c>
      <c r="F55" s="135">
        <f>C74</f>
        <v>0.06</v>
      </c>
      <c r="H55" s="124"/>
    </row>
    <row r="56" spans="1:8" ht="13.15" x14ac:dyDescent="0.4">
      <c r="A56" s="147">
        <v>5</v>
      </c>
      <c r="B56" s="127">
        <f t="dataTable" ref="B56:F61" dt2D="1" dtr="1" r1="C16" r2="C17"/>
        <v>12788241.211071908</v>
      </c>
      <c r="C56" s="127">
        <v>13420515.524325915</v>
      </c>
      <c r="D56" s="127">
        <v>15004400.307915099</v>
      </c>
      <c r="E56" s="127">
        <v>15734411.148311835</v>
      </c>
      <c r="F56" s="127">
        <v>15985131.641699184</v>
      </c>
      <c r="H56" s="124"/>
    </row>
    <row r="57" spans="1:8" ht="13.15" x14ac:dyDescent="0.4">
      <c r="A57" s="147">
        <v>10</v>
      </c>
      <c r="B57" s="127">
        <v>11535059.995283656</v>
      </c>
      <c r="C57" s="127">
        <v>12537042.701494243</v>
      </c>
      <c r="D57" s="127">
        <v>15473820.646910066</v>
      </c>
      <c r="E57" s="127">
        <v>17061254.876979411</v>
      </c>
      <c r="F57" s="127">
        <v>17644056.388321832</v>
      </c>
      <c r="H57" s="124"/>
    </row>
    <row r="58" spans="1:8" ht="13.15" x14ac:dyDescent="0.4">
      <c r="A58" s="147">
        <v>15</v>
      </c>
      <c r="B58" s="127">
        <v>10298427.120539103</v>
      </c>
      <c r="C58" s="127">
        <v>11609617.700964648</v>
      </c>
      <c r="D58" s="127">
        <v>16054858.474479713</v>
      </c>
      <c r="E58" s="127">
        <v>18837634.59315075</v>
      </c>
      <c r="F58" s="127">
        <v>19925971.38051375</v>
      </c>
      <c r="H58" s="124"/>
    </row>
    <row r="59" spans="1:8" ht="13.15" x14ac:dyDescent="0.4">
      <c r="A59" s="148">
        <v>20</v>
      </c>
      <c r="B59" s="127">
        <v>9284665.7634038813</v>
      </c>
      <c r="C59" s="127">
        <v>10806670.890222374</v>
      </c>
      <c r="D59" s="127">
        <v>16646842.841164071</v>
      </c>
      <c r="E59" s="127">
        <v>20805216.260669909</v>
      </c>
      <c r="F59" s="127">
        <v>22529016.1300468</v>
      </c>
      <c r="H59" s="124"/>
    </row>
    <row r="60" spans="1:8" ht="13.15" x14ac:dyDescent="0.4">
      <c r="A60" s="148">
        <v>25</v>
      </c>
      <c r="B60" s="127">
        <v>8517506.3067681082</v>
      </c>
      <c r="C60" s="127">
        <v>10169747.747799639</v>
      </c>
      <c r="D60" s="127">
        <v>17197421.151398726</v>
      </c>
      <c r="E60" s="127">
        <v>22803257.715964336</v>
      </c>
      <c r="F60" s="127">
        <v>25256927.882247664</v>
      </c>
      <c r="H60" s="124"/>
    </row>
    <row r="61" spans="1:8" ht="13.15" x14ac:dyDescent="0.4">
      <c r="A61" s="148">
        <v>30</v>
      </c>
      <c r="B61" s="127">
        <v>7960756.9389042351</v>
      </c>
      <c r="C61" s="127">
        <v>9688635.0268338043</v>
      </c>
      <c r="D61" s="127">
        <v>17683107.810972057</v>
      </c>
      <c r="E61" s="127">
        <v>24735455.482912373</v>
      </c>
      <c r="F61" s="127">
        <v>27984492.970261224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22.830518776962066</v>
      </c>
      <c r="C65" s="128">
        <f>C12</f>
        <v>22.830518776962066</v>
      </c>
      <c r="D65" s="128">
        <f>C12</f>
        <v>22.830518776962066</v>
      </c>
      <c r="E65" s="145">
        <f>C12</f>
        <v>22.830518776962066</v>
      </c>
      <c r="F65" s="128">
        <f>C12</f>
        <v>22.830518776962066</v>
      </c>
      <c r="H65" s="124"/>
    </row>
    <row r="66" spans="1:8" ht="13.15" x14ac:dyDescent="0.4">
      <c r="A66" s="147">
        <f t="shared" ref="A66:A71" si="3">A56</f>
        <v>5</v>
      </c>
      <c r="B66" s="128">
        <f t="shared" ref="B66:F71" si="4">(B56-$C$7+$C$8+$C$9)/Common_Shares*$C$3*Exchange_Rate</f>
        <v>19.854624957586992</v>
      </c>
      <c r="C66" s="128">
        <f t="shared" si="4"/>
        <v>20.931555394224837</v>
      </c>
      <c r="D66" s="128">
        <f t="shared" si="4"/>
        <v>23.629330229954228</v>
      </c>
      <c r="E66" s="128">
        <f t="shared" si="4"/>
        <v>24.872731830523417</v>
      </c>
      <c r="F66" s="128">
        <f t="shared" si="4"/>
        <v>25.299775164022275</v>
      </c>
      <c r="H66" s="124"/>
    </row>
    <row r="67" spans="1:8" ht="13.15" x14ac:dyDescent="0.4">
      <c r="A67" s="147">
        <f t="shared" si="3"/>
        <v>10</v>
      </c>
      <c r="B67" s="128">
        <f t="shared" si="4"/>
        <v>17.720125792249224</v>
      </c>
      <c r="C67" s="128">
        <f t="shared" si="4"/>
        <v>19.426767436047015</v>
      </c>
      <c r="D67" s="128">
        <f t="shared" si="4"/>
        <v>24.428877262062496</v>
      </c>
      <c r="E67" s="128">
        <f t="shared" si="4"/>
        <v>27.132697744226626</v>
      </c>
      <c r="F67" s="128">
        <f t="shared" si="4"/>
        <v>28.125362910162355</v>
      </c>
      <c r="H67" s="124"/>
    </row>
    <row r="68" spans="1:8" ht="13.15" x14ac:dyDescent="0.4">
      <c r="A68" s="147">
        <f t="shared" si="3"/>
        <v>15</v>
      </c>
      <c r="B68" s="128">
        <f t="shared" si="4"/>
        <v>15.613812829912655</v>
      </c>
      <c r="C68" s="128">
        <f t="shared" si="4"/>
        <v>17.847117290797563</v>
      </c>
      <c r="D68" s="128">
        <f t="shared" si="4"/>
        <v>25.418538407914397</v>
      </c>
      <c r="E68" s="128">
        <f t="shared" si="4"/>
        <v>30.158342378634668</v>
      </c>
      <c r="F68" s="128">
        <f t="shared" si="4"/>
        <v>32.012067869382236</v>
      </c>
      <c r="H68" s="124"/>
    </row>
    <row r="69" spans="1:8" ht="13.15" x14ac:dyDescent="0.4">
      <c r="A69" s="148">
        <f t="shared" si="3"/>
        <v>20</v>
      </c>
      <c r="B69" s="128">
        <f t="shared" si="4"/>
        <v>13.887109027305996</v>
      </c>
      <c r="C69" s="128">
        <f t="shared" si="4"/>
        <v>16.479486436019734</v>
      </c>
      <c r="D69" s="128">
        <f t="shared" si="4"/>
        <v>26.426844406010588</v>
      </c>
      <c r="E69" s="128">
        <f t="shared" si="4"/>
        <v>33.509654522594523</v>
      </c>
      <c r="F69" s="128">
        <f t="shared" si="4"/>
        <v>36.445741766832334</v>
      </c>
      <c r="H69" s="124"/>
    </row>
    <row r="70" spans="1:8" ht="13.15" x14ac:dyDescent="0.4">
      <c r="A70" s="148">
        <f t="shared" si="3"/>
        <v>25</v>
      </c>
      <c r="B70" s="128">
        <f t="shared" si="4"/>
        <v>12.580433504851692</v>
      </c>
      <c r="C70" s="128">
        <f t="shared" si="4"/>
        <v>15.394637813364223</v>
      </c>
      <c r="D70" s="128">
        <f t="shared" si="4"/>
        <v>27.364624935149575</v>
      </c>
      <c r="E70" s="128">
        <f t="shared" si="4"/>
        <v>36.912847743898624</v>
      </c>
      <c r="F70" s="128">
        <f t="shared" si="4"/>
        <v>41.092097205957991</v>
      </c>
    </row>
    <row r="71" spans="1:8" ht="13.15" x14ac:dyDescent="0.4">
      <c r="A71" s="148">
        <f t="shared" si="3"/>
        <v>30</v>
      </c>
      <c r="B71" s="128">
        <f t="shared" si="4"/>
        <v>11.63214203189</v>
      </c>
      <c r="C71" s="128">
        <f t="shared" si="4"/>
        <v>14.575175561299575</v>
      </c>
      <c r="D71" s="128">
        <f t="shared" si="4"/>
        <v>28.191877814792271</v>
      </c>
      <c r="E71" s="128">
        <f t="shared" si="4"/>
        <v>40.203891743647631</v>
      </c>
      <c r="F71" s="128">
        <f t="shared" si="4"/>
        <v>45.737862184255519</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28.125362910162355</v>
      </c>
      <c r="F74" s="146">
        <f>Scenarios!C58</f>
        <v>0.02</v>
      </c>
    </row>
    <row r="75" spans="1:8" x14ac:dyDescent="0.35">
      <c r="B75" s="131" t="str">
        <f>Scenarios!B36</f>
        <v>Optimistic</v>
      </c>
      <c r="C75" s="146">
        <f>Scenarios!C38</f>
        <v>0.05</v>
      </c>
      <c r="D75" s="149">
        <f>Scenarios!C37</f>
        <v>5</v>
      </c>
      <c r="E75" s="139">
        <f>INDEX(B$65:F$71, MATCH(D75, A$65:A$71, 0), MATCH(C75, B$64:F$64, 0))</f>
        <v>24.872731830523417</v>
      </c>
      <c r="F75" s="146">
        <f>Scenarios!C40*(1-F$74-F$78)</f>
        <v>0.192</v>
      </c>
      <c r="H75" s="124"/>
    </row>
    <row r="76" spans="1:8" x14ac:dyDescent="0.35">
      <c r="B76" s="131" t="str">
        <f>Scenarios!B24</f>
        <v>Base</v>
      </c>
      <c r="C76" s="146">
        <f>Scenarios!C26</f>
        <v>0.02</v>
      </c>
      <c r="D76" s="149">
        <f>Scenarios!C25</f>
        <v>5</v>
      </c>
      <c r="E76" s="139">
        <f>INDEX(B$65:F$71, MATCH(D76, A$65:A$71, 0), MATCH(C76, B$64:F$64, 0))</f>
        <v>23.629330229954228</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20.931555394224837</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17.720125792249224</v>
      </c>
      <c r="F78" s="146">
        <f>Scenarios!C52</f>
        <v>0.02</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-15.4</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285</v>
      </c>
      <c r="F6" s="103"/>
      <c r="H6" s="282">
        <v>3</v>
      </c>
      <c r="I6" s="270">
        <f t="shared" si="0"/>
        <v>24.681827133653531</v>
      </c>
    </row>
    <row r="7" spans="2:9" ht="12.75" customHeight="1" x14ac:dyDescent="0.35">
      <c r="B7" s="103" t="s">
        <v>279</v>
      </c>
      <c r="C7" s="118">
        <f>Normalized_FCF!G8</f>
        <v>1876773</v>
      </c>
      <c r="D7" t="str">
        <f>Reporting_currency</f>
        <v>HKD</v>
      </c>
      <c r="E7" s="349"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9"/>
      <c r="H7" s="282">
        <v>4</v>
      </c>
      <c r="I7" s="270" t="str">
        <f t="shared" si="0"/>
        <v/>
      </c>
    </row>
    <row r="8" spans="2:9" x14ac:dyDescent="0.35">
      <c r="B8" s="103" t="s">
        <v>67</v>
      </c>
      <c r="C8" s="118">
        <f>Normalized_FCF!G19</f>
        <v>1294904.5955406395</v>
      </c>
      <c r="D8" t="str">
        <f>Reporting_currency</f>
        <v>HKD</v>
      </c>
      <c r="E8" s="349"/>
      <c r="F8" s="349"/>
      <c r="H8" s="282">
        <v>5</v>
      </c>
      <c r="I8" s="270" t="str">
        <f t="shared" si="0"/>
        <v/>
      </c>
    </row>
    <row r="9" spans="2:9" x14ac:dyDescent="0.35">
      <c r="B9" s="103" t="s">
        <v>58</v>
      </c>
      <c r="C9" s="207">
        <f>Normalized_FCF!C19</f>
        <v>1162832.9466554797</v>
      </c>
      <c r="D9" t="str">
        <f>Reporting_currency</f>
        <v>HKD</v>
      </c>
      <c r="E9" s="349"/>
      <c r="F9" s="349"/>
      <c r="H9" s="282">
        <v>6</v>
      </c>
      <c r="I9" s="270" t="str">
        <f t="shared" si="0"/>
        <v/>
      </c>
    </row>
    <row r="10" spans="2:9" x14ac:dyDescent="0.35">
      <c r="E10" s="349"/>
      <c r="F10" s="349"/>
      <c r="H10" s="282">
        <v>7</v>
      </c>
      <c r="I10" s="270" t="str">
        <f t="shared" si="0"/>
        <v/>
      </c>
    </row>
    <row r="11" spans="2:9" ht="13.15" x14ac:dyDescent="0.4">
      <c r="B11" s="163" t="s">
        <v>282</v>
      </c>
      <c r="E11" s="349"/>
      <c r="F11" s="349"/>
      <c r="H11" s="282">
        <v>8</v>
      </c>
      <c r="I11" s="270" t="str">
        <f t="shared" si="0"/>
        <v/>
      </c>
    </row>
    <row r="12" spans="2:9" x14ac:dyDescent="0.35">
      <c r="B12" s="122" t="s">
        <v>146</v>
      </c>
      <c r="C12" s="162" t="e">
        <f ca="1">(Normalized_FCF!G4/OFFSET(Normalized_FCF!G4, 0, $C$4))^(1/$C$4) - 1</f>
        <v>#VALUE!</v>
      </c>
      <c r="D12" s="162"/>
      <c r="E12" s="349"/>
      <c r="F12" s="349"/>
      <c r="H12" s="282">
        <v>9</v>
      </c>
      <c r="I12" s="270" t="str">
        <f t="shared" si="0"/>
        <v/>
      </c>
    </row>
    <row r="13" spans="2:9" x14ac:dyDescent="0.35">
      <c r="B13" s="152" t="s">
        <v>154</v>
      </c>
      <c r="C13" s="162" t="e">
        <f ca="1">(Normalized_FCF!G8/OFFSET(Normalized_FCF!G8, 0, $C$4))^(1/$C$4) - 1</f>
        <v>#VALUE!</v>
      </c>
      <c r="E13" s="349"/>
      <c r="F13" s="349"/>
      <c r="H13" s="282">
        <v>10</v>
      </c>
      <c r="I13" s="270" t="str">
        <f t="shared" si="0"/>
        <v/>
      </c>
    </row>
    <row r="14" spans="2:9" x14ac:dyDescent="0.35">
      <c r="B14" s="103" t="s">
        <v>67</v>
      </c>
      <c r="C14" s="162" t="e">
        <f ca="1">(Normalized_FCF!G19/OFFSET(Normalized_FCF!G19, 0, $C$4))^(1/$C$4) - 1</f>
        <v>#VALUE!</v>
      </c>
      <c r="E14" s="349"/>
      <c r="F14" s="349"/>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49" t="s">
        <v>344</v>
      </c>
      <c r="F18" s="350"/>
    </row>
    <row r="19" spans="2:6" x14ac:dyDescent="0.35">
      <c r="E19" s="350"/>
      <c r="F19" s="350"/>
    </row>
    <row r="20" spans="2:6" ht="13.15" x14ac:dyDescent="0.4">
      <c r="B20" s="163" t="s">
        <v>314</v>
      </c>
      <c r="E20" s="350"/>
      <c r="F20" s="350"/>
    </row>
    <row r="21" spans="2:6" x14ac:dyDescent="0.35">
      <c r="B21" s="103" t="s">
        <v>283</v>
      </c>
      <c r="C21" s="164">
        <f>Market_Price</f>
        <v>15.4</v>
      </c>
      <c r="D21" t="str">
        <f>Market_currency</f>
        <v>HKD</v>
      </c>
      <c r="E21" s="350"/>
      <c r="F21" s="350"/>
    </row>
    <row r="22" spans="2:6" x14ac:dyDescent="0.35">
      <c r="B22" s="103" t="s">
        <v>284</v>
      </c>
      <c r="C22" s="164">
        <f>Valuation_Model!C12</f>
        <v>22.830518776962066</v>
      </c>
      <c r="D22" t="str">
        <f>Market_currency</f>
        <v>HKD</v>
      </c>
      <c r="E22" s="350"/>
      <c r="F22" s="350"/>
    </row>
    <row r="24" spans="2:6" ht="13.15" x14ac:dyDescent="0.4">
      <c r="B24" s="163" t="s">
        <v>117</v>
      </c>
      <c r="E24" s="163" t="s">
        <v>151</v>
      </c>
      <c r="F24" s="163"/>
    </row>
    <row r="25" spans="2:6" x14ac:dyDescent="0.35">
      <c r="B25" s="156" t="s">
        <v>135</v>
      </c>
      <c r="C25" s="170">
        <f>C18</f>
        <v>5</v>
      </c>
      <c r="D25" s="167"/>
      <c r="E25" s="348"/>
      <c r="F25" s="348"/>
    </row>
    <row r="26" spans="2:6" x14ac:dyDescent="0.35">
      <c r="B26" s="122" t="s">
        <v>136</v>
      </c>
      <c r="C26" s="168">
        <v>0.02</v>
      </c>
      <c r="D26" s="168"/>
      <c r="E26" s="348"/>
      <c r="F26" s="348"/>
    </row>
    <row r="27" spans="2:6" x14ac:dyDescent="0.35">
      <c r="B27" s="103" t="s">
        <v>115</v>
      </c>
      <c r="C27" s="164">
        <f>Valuation_Model!E76</f>
        <v>23.629330229954228</v>
      </c>
      <c r="D27" s="164" t="str">
        <f>Market_currency</f>
        <v>HKD</v>
      </c>
      <c r="E27" s="348"/>
      <c r="F27" s="348"/>
    </row>
    <row r="28" spans="2:6" x14ac:dyDescent="0.35">
      <c r="B28" s="103" t="s">
        <v>149</v>
      </c>
      <c r="C28" s="169">
        <v>0.6</v>
      </c>
      <c r="D28" s="169"/>
      <c r="E28" s="348"/>
      <c r="F28" s="348"/>
    </row>
    <row r="30" spans="2:6" ht="13.15" x14ac:dyDescent="0.4">
      <c r="B30" s="163" t="s">
        <v>118</v>
      </c>
      <c r="E30" s="163" t="s">
        <v>151</v>
      </c>
      <c r="F30" s="163"/>
    </row>
    <row r="31" spans="2:6" x14ac:dyDescent="0.35">
      <c r="B31" s="156" t="s">
        <v>135</v>
      </c>
      <c r="C31" s="170">
        <f>C18</f>
        <v>5</v>
      </c>
      <c r="D31" s="167"/>
      <c r="E31" s="348"/>
      <c r="F31" s="348"/>
    </row>
    <row r="32" spans="2:6" x14ac:dyDescent="0.35">
      <c r="B32" s="122" t="s">
        <v>136</v>
      </c>
      <c r="C32" s="168">
        <v>-0.05</v>
      </c>
      <c r="D32" s="168"/>
      <c r="E32" s="348"/>
      <c r="F32" s="348"/>
    </row>
    <row r="33" spans="2:6" x14ac:dyDescent="0.35">
      <c r="B33" s="103" t="s">
        <v>115</v>
      </c>
      <c r="C33" s="164">
        <f>Valuation_Model!E77</f>
        <v>20.931555394224837</v>
      </c>
      <c r="D33" t="str">
        <f>Market_currency</f>
        <v>HKD</v>
      </c>
      <c r="E33" s="348"/>
      <c r="F33" s="348"/>
    </row>
    <row r="34" spans="2:6" x14ac:dyDescent="0.35">
      <c r="B34" s="103" t="s">
        <v>149</v>
      </c>
      <c r="C34" s="169">
        <v>0.2</v>
      </c>
      <c r="D34" s="169"/>
      <c r="E34" s="348"/>
      <c r="F34" s="348"/>
    </row>
    <row r="36" spans="2:6" ht="13.15" x14ac:dyDescent="0.4">
      <c r="B36" s="163" t="s">
        <v>116</v>
      </c>
      <c r="E36" s="163" t="s">
        <v>151</v>
      </c>
      <c r="F36" s="163"/>
    </row>
    <row r="37" spans="2:6" x14ac:dyDescent="0.35">
      <c r="B37" s="156" t="s">
        <v>135</v>
      </c>
      <c r="C37" s="170">
        <f>C18</f>
        <v>5</v>
      </c>
      <c r="D37" s="167"/>
      <c r="E37" s="348"/>
      <c r="F37" s="348"/>
    </row>
    <row r="38" spans="2:6" x14ac:dyDescent="0.35">
      <c r="B38" s="122" t="s">
        <v>136</v>
      </c>
      <c r="C38" s="168">
        <v>0.05</v>
      </c>
      <c r="D38" s="168"/>
      <c r="E38" s="348"/>
      <c r="F38" s="348"/>
    </row>
    <row r="39" spans="2:6" x14ac:dyDescent="0.35">
      <c r="B39" s="103" t="s">
        <v>115</v>
      </c>
      <c r="C39" s="164">
        <f>Valuation_Model!E75</f>
        <v>24.872731830523417</v>
      </c>
      <c r="D39" t="str">
        <f>Market_currency</f>
        <v>HKD</v>
      </c>
      <c r="E39" s="348"/>
      <c r="F39" s="348"/>
    </row>
    <row r="40" spans="2:6" x14ac:dyDescent="0.35">
      <c r="B40" s="103" t="s">
        <v>149</v>
      </c>
      <c r="C40" s="171">
        <f>1-C28-C34</f>
        <v>0.2</v>
      </c>
      <c r="D40" s="169"/>
      <c r="E40" s="348"/>
      <c r="F40" s="348"/>
    </row>
    <row r="42" spans="2:6" ht="13.15" x14ac:dyDescent="0.4">
      <c r="B42" s="103" t="s">
        <v>122</v>
      </c>
      <c r="C42" s="158">
        <f>C27*C28+C33*C34+C39*C40</f>
        <v>23.338455582922187</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48"/>
      <c r="F49" s="348"/>
    </row>
    <row r="50" spans="2:6" x14ac:dyDescent="0.35">
      <c r="B50" s="122" t="s">
        <v>136</v>
      </c>
      <c r="C50" s="168">
        <v>-0.08</v>
      </c>
      <c r="D50" s="168"/>
      <c r="E50" s="348"/>
      <c r="F50" s="348"/>
    </row>
    <row r="51" spans="2:6" x14ac:dyDescent="0.35">
      <c r="B51" s="103" t="s">
        <v>115</v>
      </c>
      <c r="C51" s="164">
        <f>Valuation_Model!E78</f>
        <v>17.720125792249224</v>
      </c>
      <c r="D51" t="str">
        <f>Market_currency</f>
        <v>HKD</v>
      </c>
      <c r="E51" s="348"/>
      <c r="F51" s="348"/>
    </row>
    <row r="52" spans="2:6" x14ac:dyDescent="0.35">
      <c r="B52" s="103" t="s">
        <v>149</v>
      </c>
      <c r="C52" s="169">
        <v>0.02</v>
      </c>
      <c r="D52" s="169"/>
      <c r="E52" s="348"/>
      <c r="F52" s="348"/>
    </row>
    <row r="54" spans="2:6" ht="13.15" x14ac:dyDescent="0.4">
      <c r="B54" s="163" t="s">
        <v>329</v>
      </c>
      <c r="E54" s="163" t="s">
        <v>151</v>
      </c>
      <c r="F54" s="163"/>
    </row>
    <row r="55" spans="2:6" x14ac:dyDescent="0.35">
      <c r="B55" s="156" t="s">
        <v>135</v>
      </c>
      <c r="C55" s="170">
        <f>C46</f>
        <v>10</v>
      </c>
      <c r="D55" s="167"/>
      <c r="E55" s="348"/>
      <c r="F55" s="348"/>
    </row>
    <row r="56" spans="2:6" x14ac:dyDescent="0.35">
      <c r="B56" s="122" t="s">
        <v>136</v>
      </c>
      <c r="C56" s="168">
        <v>0.06</v>
      </c>
      <c r="D56" s="168"/>
      <c r="E56" s="348"/>
      <c r="F56" s="348"/>
    </row>
    <row r="57" spans="2:6" x14ac:dyDescent="0.35">
      <c r="B57" s="103" t="s">
        <v>115</v>
      </c>
      <c r="C57" s="164">
        <f>Valuation_Model!E74</f>
        <v>28.125362910162355</v>
      </c>
      <c r="D57" t="str">
        <f>Market_currency</f>
        <v>HKD</v>
      </c>
      <c r="E57" s="348"/>
      <c r="F57" s="348"/>
    </row>
    <row r="58" spans="2:6" x14ac:dyDescent="0.35">
      <c r="B58" s="103" t="s">
        <v>149</v>
      </c>
      <c r="C58" s="169">
        <v>0.02</v>
      </c>
      <c r="D58" s="169"/>
      <c r="E58" s="348"/>
      <c r="F58" s="348"/>
    </row>
    <row r="60" spans="2:6" ht="13.15" x14ac:dyDescent="0.4">
      <c r="B60" s="103" t="s">
        <v>122</v>
      </c>
      <c r="C60" s="158">
        <f>C51*C52+C57*C58+C42*(1-C52-C58)</f>
        <v>23.321827133653532</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6.4006284479398504E-3</v>
      </c>
      <c r="D65" s="155"/>
      <c r="E65" s="287" t="s">
        <v>325</v>
      </c>
    </row>
    <row r="66" spans="2:6" x14ac:dyDescent="0.35">
      <c r="B66" s="103" t="s">
        <v>104</v>
      </c>
      <c r="C66" s="164">
        <f>Valuation_Model!C18</f>
        <v>23.325699825167451</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-8.2632171394856124E-2</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1.36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2.8648148148148147</v>
      </c>
      <c r="D81" s="120"/>
      <c r="E81" s="103"/>
      <c r="F81" s="103"/>
    </row>
    <row r="82" spans="2:8" x14ac:dyDescent="0.35">
      <c r="B82" s="103" t="s">
        <v>124</v>
      </c>
      <c r="C82" s="120">
        <f>C60/(1+C80)^C76</f>
        <v>13.496427739382831</v>
      </c>
      <c r="D82" s="120"/>
    </row>
    <row r="83" spans="2:8" ht="13.15" x14ac:dyDescent="0.4">
      <c r="B83" s="114" t="s">
        <v>103</v>
      </c>
      <c r="C83" s="115">
        <f>C81+C82</f>
        <v>16.361242554197645</v>
      </c>
      <c r="D83" t="str">
        <f>Market_currency</f>
        <v>HKD</v>
      </c>
      <c r="E83" s="150" t="s">
        <v>128</v>
      </c>
      <c r="F83" s="335">
        <f>(1-C83/C60)</f>
        <v>0.29845794412101279</v>
      </c>
    </row>
    <row r="84" spans="2:8" x14ac:dyDescent="0.35">
      <c r="E84" s="124"/>
    </row>
    <row r="85" spans="2:8" ht="13.15" x14ac:dyDescent="0.4">
      <c r="B85" s="112" t="s">
        <v>313</v>
      </c>
    </row>
    <row r="86" spans="2:8" x14ac:dyDescent="0.35">
      <c r="B86" s="152" t="s">
        <v>311</v>
      </c>
      <c r="C86" s="272">
        <f>Market_Price</f>
        <v>15.4</v>
      </c>
      <c r="D86" t="str">
        <f>Market_currency</f>
        <v>HKD</v>
      </c>
    </row>
    <row r="87" spans="2:8" ht="13.15" x14ac:dyDescent="0.4">
      <c r="B87" s="103" t="s">
        <v>309</v>
      </c>
      <c r="C87" s="271">
        <f ca="1">IRR(OFFSET($I$3, 0, 0, $C$76 + 1, 1))</f>
        <v>0.22622690546409729</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2025-04-07T01:15:40Z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