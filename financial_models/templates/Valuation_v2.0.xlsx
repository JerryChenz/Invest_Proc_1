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2F02EB-234B-4E51-BD35-629DC674728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04" i="6" l="1"/>
  <c r="C17" i="12"/>
  <c r="D51" i="8"/>
  <c r="D21" i="4"/>
  <c r="C21" i="4"/>
  <c r="F16" i="8"/>
  <c r="E25" i="4" l="1"/>
  <c r="D25" i="4"/>
  <c r="C25" i="4"/>
  <c r="C29" i="2"/>
  <c r="C4" i="2"/>
  <c r="C19" i="3" l="1"/>
  <c r="C1" i="3" l="1"/>
  <c r="C143" i="6"/>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Q117" i="2"/>
  <c r="Q116" i="2"/>
  <c r="D10" i="8"/>
  <c r="G7" i="8"/>
  <c r="H8" i="8"/>
  <c r="H20" i="8"/>
  <c r="H3" i="2"/>
  <c r="H12" i="3"/>
  <c r="G12" i="3"/>
  <c r="C16" i="8" l="1"/>
  <c r="I9"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81" i="2"/>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s="1"/>
  <c r="C57" i="2" s="1"/>
  <c r="D118" i="6" l="1"/>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11"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4" i="2" s="1"/>
  <c r="C47" i="4"/>
  <c r="C48" i="4"/>
  <c r="G15" i="2" s="1"/>
  <c r="C66" i="3"/>
  <c r="C85"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9"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I35" i="2" l="1"/>
  <c r="I26" i="2"/>
  <c r="G35" i="2"/>
  <c r="C35" i="2" s="1"/>
  <c r="G26" i="2"/>
  <c r="K35" i="2"/>
  <c r="K26" i="2"/>
  <c r="K32" i="2" s="1"/>
  <c r="Q35" i="2"/>
  <c r="Q26" i="2"/>
  <c r="Q5" i="2" s="1"/>
  <c r="P96" i="2" s="1"/>
  <c r="J35" i="2"/>
  <c r="J26" i="2"/>
  <c r="L35" i="2"/>
  <c r="L26" i="2"/>
  <c r="N26" i="2"/>
  <c r="N5" i="2" s="1"/>
  <c r="N35" i="2"/>
  <c r="N7" i="2" s="1"/>
  <c r="N73" i="2" s="1"/>
  <c r="P26" i="2"/>
  <c r="P5" i="2" s="1"/>
  <c r="P35" i="2"/>
  <c r="P7" i="2" s="1"/>
  <c r="P73" i="2" s="1"/>
  <c r="O26" i="2"/>
  <c r="O35" i="2"/>
  <c r="O7" i="2" s="1"/>
  <c r="O73" i="2" s="1"/>
  <c r="M26" i="2"/>
  <c r="M35" i="2"/>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30" i="2"/>
  <c r="O31" i="2"/>
  <c r="O30" i="2"/>
  <c r="O5" i="2"/>
  <c r="O6" i="2" s="1"/>
  <c r="O80" i="2"/>
  <c r="O29" i="2"/>
  <c r="C117"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23"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76" i="2"/>
  <c r="C18" i="8" s="1"/>
  <c r="G118" i="2"/>
  <c r="G117" i="2"/>
  <c r="C69" i="6"/>
  <c r="C69" i="12"/>
  <c r="D69" i="6"/>
  <c r="D69" i="12"/>
  <c r="C55" i="6"/>
  <c r="C55"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38" i="12" s="1"/>
  <c r="L53" i="2"/>
  <c r="P53" i="2"/>
  <c r="P74" i="2"/>
  <c r="C32" i="2"/>
  <c r="C17" i="8" s="1"/>
  <c r="C5" i="2"/>
  <c r="C6" i="2" s="1"/>
  <c r="C8" i="2" s="1"/>
  <c r="C34" i="12" s="1"/>
  <c r="I53" i="2"/>
  <c r="H53" i="2"/>
  <c r="J53" i="2"/>
  <c r="G53" i="2"/>
  <c r="C7" i="9"/>
  <c r="K53" i="2"/>
  <c r="C13" i="9"/>
  <c r="G77" i="2"/>
  <c r="L72" i="2"/>
  <c r="I72" i="2"/>
  <c r="H72" i="2"/>
  <c r="G72" i="2"/>
  <c r="K72" i="2"/>
  <c r="J72" i="2"/>
  <c r="C103" i="2"/>
  <c r="C38" i="6" l="1"/>
  <c r="F17" i="8"/>
  <c r="E51" i="8" s="1"/>
  <c r="E21" i="8"/>
  <c r="D55" i="3"/>
  <c r="G29" i="3"/>
  <c r="D62" i="3" s="1"/>
  <c r="F14" i="8" l="1"/>
  <c r="B39" i="9" s="1"/>
  <c r="B14" i="6" s="1"/>
  <c r="D51" i="3"/>
  <c r="C46" i="3"/>
  <c r="C47" i="3" s="1"/>
  <c r="C62" i="3"/>
  <c r="C81" i="2" s="1"/>
  <c r="F18" i="8" l="1"/>
  <c r="H51" i="8" s="1"/>
  <c r="E15" i="8"/>
  <c r="F15" i="8"/>
  <c r="C15" i="2"/>
  <c r="C49" i="12" s="1"/>
  <c r="G1" i="2"/>
  <c r="A41" i="8" l="1"/>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E29" i="8"/>
  <c r="E26" i="8"/>
  <c r="E27" i="8"/>
  <c r="E30" i="8"/>
  <c r="A29" i="8"/>
  <c r="J29" i="8" s="1"/>
  <c r="E28" i="8"/>
  <c r="A26" i="8"/>
  <c r="J26" i="8" s="1"/>
  <c r="A28" i="8"/>
  <c r="J28" i="8" s="1"/>
  <c r="A30" i="8"/>
  <c r="J30" i="8" s="1"/>
  <c r="A27" i="8"/>
  <c r="J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44" i="6"/>
  <c r="C31" i="3"/>
  <c r="C26" i="8" l="1"/>
  <c r="I78" i="2"/>
  <c r="H78" i="2"/>
  <c r="J78" i="2"/>
  <c r="C84" i="6"/>
  <c r="C86" i="6" s="1"/>
  <c r="C84" i="12"/>
  <c r="C86" i="12" s="1"/>
  <c r="G41" i="2"/>
  <c r="C87" i="3"/>
  <c r="D87" i="3" s="1"/>
  <c r="O78" i="2"/>
  <c r="O13" i="2"/>
  <c r="O119" i="2" s="1"/>
  <c r="O115" i="2" s="1"/>
  <c r="O41" i="2"/>
  <c r="L78" i="2"/>
  <c r="L41" i="2"/>
  <c r="K78" i="2"/>
  <c r="P78" i="2"/>
  <c r="P13" i="2"/>
  <c r="P119" i="2" s="1"/>
  <c r="P115" i="2" s="1"/>
  <c r="P41" i="2"/>
  <c r="M78" i="2"/>
  <c r="M41" i="2"/>
  <c r="J41" i="2"/>
  <c r="H41" i="2"/>
  <c r="I41" i="2"/>
  <c r="N78" i="2"/>
  <c r="N41" i="2"/>
  <c r="G78"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9" i="2"/>
  <c r="O116" i="2" s="1"/>
  <c r="O16" i="2"/>
  <c r="P79" i="2"/>
  <c r="P116" i="2" s="1"/>
  <c r="P16" i="2"/>
  <c r="O96" i="2"/>
  <c r="G52" i="2"/>
  <c r="C92" i="6" l="1"/>
  <c r="C92" i="12"/>
  <c r="C28" i="8"/>
  <c r="C7" i="8"/>
  <c r="C86" i="3"/>
  <c r="D86" i="3" s="1"/>
  <c r="D89" i="3" s="1"/>
  <c r="C78" i="12"/>
  <c r="C79" i="12" s="1"/>
  <c r="C78" i="6"/>
  <c r="C79" i="6" s="1"/>
  <c r="O82" i="2"/>
  <c r="O19" i="2"/>
  <c r="O90" i="2" s="1"/>
  <c r="O123" i="2"/>
  <c r="O124" i="2" s="1"/>
  <c r="P82" i="2"/>
  <c r="P19" i="2"/>
  <c r="P90" i="2" s="1"/>
  <c r="P123" i="2"/>
  <c r="P124" i="2" s="1"/>
  <c r="C45" i="2"/>
  <c r="C45" i="12" s="1"/>
  <c r="C29" i="8" l="1"/>
  <c r="C89" i="3"/>
  <c r="O113" i="2"/>
  <c r="O85" i="2"/>
  <c r="P113" i="2"/>
  <c r="P85" i="2"/>
  <c r="C53" i="2"/>
  <c r="C45" i="6"/>
  <c r="E78" i="8"/>
  <c r="C48" i="2"/>
  <c r="C12" i="2" s="1"/>
  <c r="I8" i="8" s="1"/>
  <c r="I6" i="8" s="1"/>
  <c r="I1" i="2"/>
  <c r="G21" i="8" l="1"/>
  <c r="I21" i="8" s="1"/>
  <c r="G26" i="8"/>
  <c r="I26" i="8" s="1"/>
  <c r="G27" i="8"/>
  <c r="I27" i="8" s="1"/>
  <c r="G28" i="8"/>
  <c r="I28" i="8" s="1"/>
  <c r="E122" i="6"/>
  <c r="E122" i="12"/>
  <c r="E30" i="9"/>
  <c r="G29" i="8"/>
  <c r="I29" i="8" s="1"/>
  <c r="C30" i="8"/>
  <c r="C31" i="8" s="1"/>
  <c r="G23" i="8"/>
  <c r="I23" i="8" s="1"/>
  <c r="G22" i="8"/>
  <c r="G24" i="8"/>
  <c r="I24" i="8" s="1"/>
  <c r="G25" i="8"/>
  <c r="I25" i="8" s="1"/>
  <c r="C46" i="12"/>
  <c r="C13" i="2"/>
  <c r="C14" i="2"/>
  <c r="C46" i="6"/>
  <c r="C78" i="2"/>
  <c r="J1" i="2"/>
  <c r="K1" i="2" s="1"/>
  <c r="L1" i="2" s="1"/>
  <c r="M1" i="2" s="1"/>
  <c r="N1" i="2" s="1"/>
  <c r="O1" i="2" s="1"/>
  <c r="P1" i="2" s="1"/>
  <c r="Q1" i="2" s="1"/>
  <c r="J25" i="8" l="1"/>
  <c r="J24" i="8"/>
  <c r="G31" i="8"/>
  <c r="I31" i="8" s="1"/>
  <c r="C32" i="8"/>
  <c r="G30" i="8"/>
  <c r="I30" i="8" s="1"/>
  <c r="I22" i="8"/>
  <c r="J22" i="8" s="1"/>
  <c r="C52" i="6"/>
  <c r="C52" i="12"/>
  <c r="C68" i="6"/>
  <c r="C68" i="12"/>
  <c r="C119" i="2"/>
  <c r="C16" i="2"/>
  <c r="C19" i="2" s="1"/>
  <c r="J23" i="8" l="1"/>
  <c r="G32" i="8"/>
  <c r="I32" i="8" s="1"/>
  <c r="C33" i="8"/>
  <c r="C90" i="2"/>
  <c r="F63" i="12" s="1"/>
  <c r="C61" i="12"/>
  <c r="C66" i="6"/>
  <c r="C66" i="12"/>
  <c r="C4" i="8"/>
  <c r="J21" i="8" s="1"/>
  <c r="G33" i="8" l="1"/>
  <c r="I33" i="8" s="1"/>
  <c r="C34" i="8"/>
  <c r="F63" i="6"/>
  <c r="G34" i="8" l="1"/>
  <c r="I34" i="8" s="1"/>
  <c r="C35" i="8"/>
  <c r="C36" i="8" s="1"/>
  <c r="C64" i="8"/>
  <c r="G36" i="8" l="1"/>
  <c r="I36" i="8" s="1"/>
  <c r="C37" i="8"/>
  <c r="G35" i="8"/>
  <c r="I35" i="8" s="1"/>
  <c r="E74" i="8"/>
  <c r="E75" i="8"/>
  <c r="E77" i="8"/>
  <c r="E76" i="8"/>
  <c r="E120" i="6" l="1"/>
  <c r="E120" i="12"/>
  <c r="E121" i="6"/>
  <c r="E121" i="12"/>
  <c r="E118" i="12"/>
  <c r="E118" i="6"/>
  <c r="E119" i="12"/>
  <c r="E119" i="6"/>
  <c r="E24" i="9"/>
  <c r="E29" i="9"/>
  <c r="E23" i="9"/>
  <c r="E22" i="9"/>
  <c r="G37" i="8"/>
  <c r="I37" i="8" s="1"/>
  <c r="C38" i="8"/>
  <c r="C36" i="9" l="1"/>
  <c r="C25" i="9"/>
  <c r="F34" i="9" s="1"/>
  <c r="G38" i="8"/>
  <c r="I38" i="8" s="1"/>
  <c r="C39" i="8"/>
  <c r="D62" i="9" l="1"/>
  <c r="D63" i="9"/>
  <c r="D67" i="9"/>
  <c r="D66" i="9"/>
  <c r="G39" i="8"/>
  <c r="I39" i="8" s="1"/>
  <c r="C40" i="8"/>
  <c r="C41" i="8" s="1"/>
  <c r="C125" i="12"/>
  <c r="C18" i="12" s="1"/>
  <c r="C125" i="6"/>
  <c r="C18" i="6" s="1"/>
  <c r="F53" i="9"/>
  <c r="C53" i="9" s="1"/>
  <c r="H74" i="2"/>
  <c r="H13" i="2"/>
  <c r="E8" i="12" l="1"/>
  <c r="C42" i="8"/>
  <c r="G41" i="8"/>
  <c r="I41" i="8" s="1"/>
  <c r="G40" i="8"/>
  <c r="I40" i="8" s="1"/>
  <c r="H119" i="2"/>
  <c r="H115" i="2" s="1"/>
  <c r="E66" i="9"/>
  <c r="D144" i="12"/>
  <c r="E62" i="9"/>
  <c r="D140" i="12"/>
  <c r="D145" i="6"/>
  <c r="D145" i="12"/>
  <c r="D141" i="6"/>
  <c r="D141" i="12"/>
  <c r="D144" i="6"/>
  <c r="D140" i="6"/>
  <c r="E67" i="9"/>
  <c r="E63" i="9"/>
  <c r="E141" i="12" s="1"/>
  <c r="C23" i="12" s="1"/>
  <c r="H16" i="2"/>
  <c r="H19" i="2" s="1"/>
  <c r="H90" i="2" s="1"/>
  <c r="H79" i="2"/>
  <c r="H116" i="2" s="1"/>
  <c r="E9" i="6" l="1"/>
  <c r="G42" i="8"/>
  <c r="I42" i="8" s="1"/>
  <c r="C43" i="8"/>
  <c r="E145" i="6"/>
  <c r="C25" i="6" s="1"/>
  <c r="E145" i="12"/>
  <c r="C25" i="12" s="1"/>
  <c r="G62" i="9"/>
  <c r="E140" i="12"/>
  <c r="C22" i="12" s="1"/>
  <c r="E140" i="6"/>
  <c r="C22" i="6" s="1"/>
  <c r="E144" i="6"/>
  <c r="C24" i="6" s="1"/>
  <c r="E144" i="12"/>
  <c r="C24" i="12" s="1"/>
  <c r="G67" i="9"/>
  <c r="H113" i="2"/>
  <c r="G63" i="9"/>
  <c r="E141" i="6"/>
  <c r="H123" i="2"/>
  <c r="H124" i="2" s="1"/>
  <c r="H82" i="2"/>
  <c r="G74" i="2"/>
  <c r="D54" i="3"/>
  <c r="D50" i="3"/>
  <c r="G13" i="2"/>
  <c r="G43" i="8" l="1"/>
  <c r="I43" i="8" s="1"/>
  <c r="C44" i="8"/>
  <c r="G96" i="2"/>
  <c r="G119" i="2"/>
  <c r="D66" i="12" s="1"/>
  <c r="C23" i="6"/>
  <c r="H85" i="2"/>
  <c r="G16" i="2"/>
  <c r="G19" i="2" s="1"/>
  <c r="G79" i="2"/>
  <c r="G116" i="2" s="1"/>
  <c r="C45" i="8" l="1"/>
  <c r="G44" i="8"/>
  <c r="I44" i="8" s="1"/>
  <c r="D67" i="12"/>
  <c r="G90" i="2"/>
  <c r="C60" i="12"/>
  <c r="G115" i="2"/>
  <c r="D66"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67" i="6"/>
  <c r="I119" i="2"/>
  <c r="I115" i="2" s="1"/>
  <c r="J119" i="2"/>
  <c r="J115" i="2" s="1"/>
  <c r="C8" i="9"/>
  <c r="C60"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82" i="2" l="1"/>
  <c r="K123" i="2"/>
  <c r="K124" i="2" s="1"/>
  <c r="K113" i="2"/>
  <c r="C47" i="8"/>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1" i="6"/>
  <c r="C81" i="12"/>
  <c r="M113" i="2"/>
  <c r="L113" i="2"/>
  <c r="C14" i="9"/>
  <c r="M85" i="2"/>
  <c r="C79" i="2"/>
  <c r="C116" i="2" s="1"/>
  <c r="C96" i="2"/>
  <c r="J85" i="2"/>
  <c r="C80" i="2"/>
  <c r="C49" i="8" l="1"/>
  <c r="G48" i="8"/>
  <c r="I48" i="8" s="1"/>
  <c r="C67" i="12"/>
  <c r="C123" i="2"/>
  <c r="G49" i="8" l="1"/>
  <c r="I49" i="8" s="1"/>
  <c r="C50" i="8"/>
  <c r="C67" i="6"/>
  <c r="C82" i="2"/>
  <c r="C9" i="9"/>
  <c r="G50" i="8" l="1"/>
  <c r="I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<sst xmlns="http://schemas.openxmlformats.org/spreadsheetml/2006/main" count="766" uniqueCount="556">
  <si>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</si>
  <si>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</si>
  <si>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</si>
  <si>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</si>
  <si>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</si>
  <si>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</si>
  <si>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</si>
  <si>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</si>
  <si>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</si>
  <si>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</si>
  <si>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</si>
  <si>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</si>
  <si>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</si>
  <si>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</si>
  <si>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</si>
  <si>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</si>
  <si>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</si>
  <si>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</si>
  <si>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</si>
  <si>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</si>
  <si>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</si>
  <si>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</si>
  <si>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</si>
  <si>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</si>
  <si>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</si>
  <si>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</si>
  <si>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</si>
  <si>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</si>
  <si>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</si>
  <si>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</si>
  <si>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</si>
  <si>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</si>
  <si>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</si>
  <si>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</si>
  <si>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</si>
  <si>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</si>
  <si>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</si>
  <si>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</si>
  <si>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</si>
  <si>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</si>
  <si>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</si>
  <si>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</si>
  <si>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</si>
  <si>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</si>
  <si>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</si>
  <si>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</si>
  <si>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</si>
  <si>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</si>
  <si>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</si>
  <si>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</si>
  <si>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</si>
  <si>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</si>
  <si>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</si>
  <si>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</si>
  <si>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</si>
  <si>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</si>
  <si>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</si>
  <si>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</si>
  <si>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</si>
  <si>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</si>
  <si>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</si>
  <si>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</si>
  <si>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</si>
  <si>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</si>
  <si>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</si>
  <si>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</si>
  <si>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</si>
  <si>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</si>
  <si>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</si>
  <si>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</si>
  <si>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</si>
  <si>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</si>
  <si>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</si>
  <si>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</si>
  <si>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</si>
  <si>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</si>
  <si>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</si>
  <si>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</si>
  <si>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</si>
  <si>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</si>
  <si>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</si>
  <si>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</si>
  <si>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</si>
  <si>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</si>
  <si>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</si>
  <si>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</si>
  <si>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</si>
  <si>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</si>
  <si>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</si>
  <si>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</si>
  <si>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</si>
  <si>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</si>
  <si>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</si>
  <si>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</si>
  <si>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</si>
  <si>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</si>
  <si>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</si>
  <si>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</si>
  <si>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</si>
  <si>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</si>
  <si>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</si>
  <si>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</si>
  <si>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</si>
  <si>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</si>
  <si>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</si>
  <si>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</si>
  <si>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</si>
  <si>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</si>
  <si>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</si>
  <si>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</si>
  <si>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</si>
  <si>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</si>
  <si>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</si>
  <si>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</si>
  <si>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</si>
  <si>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</si>
  <si>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</si>
  <si>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</si>
  <si>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</si>
  <si>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</si>
  <si>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</si>
  <si>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</si>
  <si>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</si>
  <si>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</si>
  <si>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</si>
  <si>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</si>
  <si>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</si>
  <si>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</si>
  <si>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</si>
  <si>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</si>
  <si>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</si>
  <si>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</si>
  <si>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</si>
  <si>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</si>
  <si>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</si>
  <si>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</si>
  <si>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</si>
  <si>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</si>
  <si>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</si>
  <si>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</si>
  <si>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</si>
  <si>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</si>
  <si>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</si>
  <si>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</si>
  <si>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</si>
  <si>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</si>
  <si>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</si>
  <si>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</si>
  <si>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</si>
  <si>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</si>
  <si>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</si>
  <si>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</si>
  <si>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</si>
  <si>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</si>
  <si>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</si>
  <si>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</si>
  <si>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</si>
  <si>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</si>
  <si>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</si>
  <si>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</si>
  <si>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</si>
  <si>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</si>
  <si>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</si>
  <si>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</si>
  <si>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</si>
  <si>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</si>
  <si>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</si>
  <si>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</si>
  <si>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</si>
  <si>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</si>
  <si>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</si>
  <si>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</si>
  <si>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</si>
  <si>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</si>
  <si>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</si>
  <si>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</si>
  <si>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</si>
  <si>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</si>
  <si>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</si>
  <si>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</si>
  <si>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</si>
  <si>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</si>
  <si>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</si>
  <si>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</si>
  <si>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</si>
  <si>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</si>
  <si>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</si>
  <si>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</si>
  <si>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</si>
  <si>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</si>
  <si>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</si>
  <si>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</si>
  <si>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</si>
  <si>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</si>
  <si>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</si>
  <si>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</si>
  <si>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</si>
  <si>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</si>
  <si>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</si>
  <si>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</si>
  <si>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</si>
  <si>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</si>
  <si>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</si>
  <si>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</si>
  <si>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</si>
  <si>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</si>
  <si>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</si>
  <si>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</si>
  <si>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</si>
  <si>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</si>
  <si>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</si>
  <si>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</si>
  <si>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</si>
  <si>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</si>
  <si>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</si>
  <si>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</si>
  <si>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</si>
  <si>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</si>
  <si>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</si>
  <si>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</si>
  <si>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</si>
  <si>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</si>
  <si>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</si>
  <si>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</si>
  <si>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</si>
  <si>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</si>
  <si>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</si>
  <si>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</si>
  <si>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</si>
  <si>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</si>
  <si>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</si>
  <si>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</si>
  <si>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</si>
  <si>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</si>
  <si>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</si>
  <si>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</si>
  <si>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</si>
  <si>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</si>
  <si>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</si>
  <si>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</si>
  <si>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</si>
  <si>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</si>
  <si>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</si>
  <si>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</si>
  <si>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</si>
  <si>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</si>
  <si>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</si>
  <si>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</si>
  <si>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</si>
  <si>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</si>
  <si>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</si>
  <si>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</si>
  <si>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</si>
  <si>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</si>
  <si>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</si>
  <si>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</si>
  <si>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</si>
  <si>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</si>
  <si>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</si>
  <si>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</si>
  <si>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</si>
  <si>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</si>
  <si>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</si>
  <si>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</si>
  <si>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</si>
  <si>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</si>
  <si>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</si>
  <si>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</si>
  <si>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</si>
  <si>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</si>
  <si>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</si>
  <si>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</si>
  <si>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</si>
  <si>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</si>
  <si>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</si>
  <si>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</si>
  <si>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</si>
  <si>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</si>
  <si>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</si>
  <si>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</si>
  <si>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</si>
  <si>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</si>
  <si>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</si>
  <si>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</si>
  <si>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</si>
  <si>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</si>
  <si>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</si>
  <si>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</si>
  <si>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</si>
  <si>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</si>
  <si>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</si>
  <si>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</si>
  <si>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</si>
  <si>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</si>
  <si>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</si>
  <si>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</si>
  <si>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</si>
  <si>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</si>
  <si>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</si>
  <si>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</si>
  <si>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</si>
  <si>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</si>
  <si>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</si>
  <si>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</si>
  <si>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</si>
  <si>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</si>
  <si>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</si>
  <si>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</si>
  <si>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</si>
  <si>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</si>
  <si>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</si>
  <si>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</si>
  <si>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</si>
  <si>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</si>
  <si>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</si>
  <si>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</si>
  <si>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</si>
  <si>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</si>
  <si>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</si>
  <si>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</si>
  <si>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</si>
  <si>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</si>
  <si>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</si>
  <si>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</si>
  <si>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</si>
  <si>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</si>
  <si>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</si>
  <si>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</si>
  <si>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</si>
  <si>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</si>
  <si>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</si>
  <si>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</si>
  <si>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</si>
  <si>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</si>
  <si>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</si>
  <si>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</si>
  <si>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</si>
  <si>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</si>
  <si>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</si>
  <si>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</si>
  <si>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</si>
  <si>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</si>
  <si>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</si>
  <si>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</si>
  <si>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</si>
  <si>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</si>
  <si>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</si>
  <si>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</si>
  <si>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</si>
  <si>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</si>
  <si>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</si>
  <si>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</si>
  <si>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</si>
  <si>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</si>
  <si>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</si>
  <si>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</si>
  <si>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</si>
  <si>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</si>
  <si>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</si>
  <si>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</si>
  <si>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</si>
  <si>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</si>
  <si>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</si>
  <si>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</si>
  <si>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</si>
  <si>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</si>
  <si>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</si>
  <si>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</si>
  <si>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</si>
  <si>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</si>
  <si>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</si>
  <si>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</si>
  <si>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</si>
  <si>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</si>
  <si>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</si>
  <si>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</si>
  <si>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</si>
  <si>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</si>
  <si>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</si>
  <si>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</si>
  <si>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</si>
  <si>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</si>
  <si>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</si>
  <si>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</si>
  <si>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</si>
  <si>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</si>
  <si>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</si>
  <si>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</si>
  <si>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</si>
  <si>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</si>
  <si>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</si>
  <si>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</si>
  <si>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</si>
  <si>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</si>
  <si>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</si>
  <si>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</si>
  <si>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</si>
  <si>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</si>
  <si>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</si>
  <si>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</si>
  <si>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</si>
  <si>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</si>
  <si>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</si>
  <si>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</si>
  <si>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</si>
  <si>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</si>
  <si>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</si>
  <si>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</si>
  <si>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</si>
  <si>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</si>
  <si>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</si>
  <si>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</si>
  <si>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</si>
  <si>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</si>
  <si>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</si>
  <si>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</si>
  <si>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</si>
  <si>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</si>
  <si>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</si>
  <si>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</si>
  <si>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</si>
  <si>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</si>
  <si>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</si>
  <si>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</si>
  <si>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</si>
  <si>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</si>
  <si>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</si>
  <si>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</si>
  <si>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</si>
  <si>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</si>
  <si>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</si>
  <si>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</si>
  <si>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</si>
  <si>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</si>
  <si>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</si>
  <si>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</si>
  <si>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</si>
  <si>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</si>
  <si>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</si>
  <si>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</si>
  <si>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</si>
  <si>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</si>
  <si>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</si>
  <si>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</si>
  <si>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</si>
  <si>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</si>
  <si>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</si>
  <si>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</si>
  <si>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</si>
  <si>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</si>
  <si>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</si>
  <si>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</si>
  <si>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</si>
  <si>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</si>
  <si>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</si>
  <si>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</si>
  <si>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</si>
  <si>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</si>
  <si>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</si>
  <si>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</si>
  <si>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</si>
  <si>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</si>
  <si>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</si>
  <si>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</si>
  <si>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</si>
  <si>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</si>
  <si>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</si>
  <si>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</si>
  <si>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</si>
  <si>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</si>
  <si>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</si>
  <si>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</si>
  <si>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</si>
  <si>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</si>
  <si>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</si>
  <si>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</si>
  <si>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</si>
  <si>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</si>
  <si>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</si>
  <si>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</si>
  <si>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</si>
  <si>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</si>
  <si>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</si>
  <si>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</si>
  <si>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</si>
  <si>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</si>
  <si>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</si>
  <si>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</si>
  <si>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</si>
  <si>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</si>
  <si>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</si>
  <si>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</si>
  <si>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</si>
  <si>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</si>
  <si>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</si>
  <si>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</si>
  <si>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</si>
  <si>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</si>
  <si>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</si>
  <si>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</si>
  <si>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</si>
  <si>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</si>
  <si>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</si>
  <si>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</si>
  <si>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</si>
  <si>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</si>
  <si>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</si>
  <si>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</si>
  <si>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大家乐集团</t>
  </si>
  <si>
    <t>0341.HK</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</si>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</sst>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xf numFmtId="0" fontId="24" fillId="0" borderId="3" xfId="0" applyFont="1" applyBorder="1" applyAlignment="1">
      <alignment horizontal="center"/>
    </xf>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E21" sqref="E21:E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2" spans="1:9" ht="13.9">
      <c r="A2" s="203" t="s">
        <v>225</v>
      </c>
      <c r="B2" s="34"/>
      <c r="C2" s="34"/>
      <c r="D2" s="34"/>
      <c r="E2" s="34"/>
      <c r="F2" s="34"/>
      <c r="G2" s="21"/>
      <c r="H2" s="21"/>
      <c r="I2" s="21"/>
    </row>
    <row r="3" spans="1:9">
      <c r="E3" s="456" t="s">
        <v>551</v>
      </c>
      <c r="F3" s="457">
        <v>45930</v>
      </c>
    </row>
    <row r="4" spans="1:9" ht="12.4">
      <c r="B4" s="449" t="s">
        <v>546</v>
      </c>
      <c r="C4" s="448" t="s">
        <v>508</v>
      </c>
      <c r="E4" s="458" t="s">
        <v>550</v>
      </c>
      <c r="F4" s="459" t="s">
        <v>327</v>
      </c>
    </row>
    <row r="5" spans="1:9">
      <c r="B5" s="1" t="s">
        <v>354</v>
      </c>
      <c r="C5" s="46" t="s">
        <v>509</v>
      </c>
      <c r="E5" s="461" t="s">
        <v>552</v>
      </c>
      <c r="F5" s="460" t="s">
        <v>510</v>
      </c>
    </row>
    <row r="6" spans="1:9">
      <c r="B6" s="2" t="s">
        <v>53</v>
      </c>
      <c r="C6" s="45" t="s">
        <v>409</v>
      </c>
      <c r="D6" s="45"/>
      <c r="E6" s="45"/>
    </row>
    <row r="7" spans="1:9">
      <c r="B7" s="1" t="s">
        <v>356</v>
      </c>
      <c r="C7" s="45" t="s">
        <v>311</v>
      </c>
      <c r="D7" s="45"/>
      <c r="E7" s="45"/>
    </row>
    <row r="8" spans="1:9">
      <c r="B8" s="4" t="s">
        <v>355</v>
      </c>
      <c r="C8" s="47">
        <v>6.46</v>
      </c>
      <c r="E8" s="32"/>
    </row>
    <row r="9" spans="1:9">
      <c r="B9" s="4" t="s">
        <v>351</v>
      </c>
      <c r="C9" s="48">
        <v>580004033</v>
      </c>
      <c r="D9" s="1" t="s">
        <v>541</v>
      </c>
      <c r="E9" s="311">
        <f>Scenarios!F34</f>
        <v>0.12879429732248779</v>
      </c>
    </row>
    <row r="10" spans="1:9">
      <c r="B10" s="4" t="s">
        <v>357</v>
      </c>
      <c r="C10" s="33">
        <f>Thesis!C8*Common_Shares/1000000</f>
        <v>3746.8260531799997</v>
      </c>
    </row>
    <row r="11" spans="1:9">
      <c r="D11" s="5"/>
      <c r="E11" s="5"/>
    </row>
    <row r="12" spans="1:9" ht="24.6" customHeight="1">
      <c r="B12" s="424" t="s">
        <v>360</v>
      </c>
      <c r="C12" s="424"/>
      <c r="D12" s="424"/>
      <c r="E12" s="424"/>
      <c r="F12" s="424"/>
    </row>
    <row r="14" spans="1:9">
      <c r="B14" s="42" t="str">
        <f>Scenarios!B39&amp;" Valuation Conclusion"</f>
        <v>2-stage DCF Valuation Conclusion</v>
      </c>
      <c r="C14" s="43"/>
    </row>
    <row r="15" spans="1:9">
      <c r="B15" s="1" t="s">
        <v>322</v>
      </c>
      <c r="C15" s="445" t="s">
        <v>260</v>
      </c>
      <c r="D15" s="4" t="s">
        <v>358</v>
      </c>
      <c r="E15" s="260" t="str">
        <f>IF(E17=C7,C7,E17&amp;"/"&amp;C7)</f>
        <v>HKD</v>
      </c>
    </row>
    <row r="16" spans="1:9">
      <c r="B16" s="1" t="s">
        <v>323</v>
      </c>
      <c r="C16" s="445" t="s">
        <v>260</v>
      </c>
      <c r="D16" s="4" t="s">
        <v>359</v>
      </c>
      <c r="E16" s="444">
        <v>1</v>
      </c>
    </row>
    <row r="17" spans="1:6">
      <c r="B17" s="1" t="s">
        <v>545</v>
      </c>
      <c r="C17" s="443">
        <v>0</v>
      </c>
      <c r="D17" s="4" t="s">
        <v>276</v>
      </c>
      <c r="E17" s="228" t="s">
        <v>311</v>
      </c>
    </row>
    <row r="18" spans="1:6">
      <c r="B18" s="1" t="str">
        <f>"Expected Equity Value ("&amp;C7&amp;") :"</f>
        <v>Expected Equity Value (HKD) :</v>
      </c>
      <c r="C18" s="259">
        <f>C125</f>
        <v>7.3796628952847572</v>
      </c>
      <c r="D18" s="2" t="s">
        <v>352</v>
      </c>
      <c r="E18" s="446">
        <v>6</v>
      </c>
    </row>
    <row r="19" spans="1:6">
      <c r="B19" s="2" t="s">
        <v>277</v>
      </c>
      <c r="C19" s="31" t="str">
        <f>IF(Scenarios!C50="Y",Scenarios!B50,"")&amp;IF(Scenarios!C51="Y",Scenarios!B51,"")&amp;IF(Scenarios!C52="Y",Scenarios!B52,"")&amp;" "&amp;IF(Scenarios!C53="Y",Scenarios!B53,"")</f>
        <v>Low Growth Asset Play</v>
      </c>
      <c r="D19" s="1" t="s">
        <v>353</v>
      </c>
      <c r="E19" s="447">
        <f>EOMONTH(EDATE(BS!C1,E18+2),0)</f>
        <v>45991</v>
      </c>
    </row>
    <row r="20" spans="1:6">
      <c r="D20" s="5"/>
      <c r="E20" s="5"/>
    </row>
    <row r="21" spans="1:6">
      <c r="B21" s="42" t="s">
        <v>412</v>
      </c>
      <c r="C21" s="261" t="str">
        <f>C138&amp;" ("&amp;Market_currency&amp;")"</f>
        <v xml:space="preserve"> (HKD)</v>
      </c>
      <c r="D21" s="31" t="s">
        <v>319</v>
      </c>
      <c r="E21" s="470">
        <v>2</v>
      </c>
    </row>
    <row r="22" spans="1:6">
      <c r="B22" s="1" t="s">
        <v>315</v>
      </c>
      <c r="C22" s="262">
        <f>E140</f>
        <v>4.5649727820492494</v>
      </c>
      <c r="D22" s="38" t="s">
        <v>415</v>
      </c>
      <c r="E22" s="79">
        <v>0.35</v>
      </c>
    </row>
    <row r="23" spans="1:6">
      <c r="B23" s="1" t="s">
        <v>316</v>
      </c>
      <c r="C23" s="263">
        <f>E141</f>
        <v>5.298984252982244</v>
      </c>
      <c r="D23" s="38" t="s">
        <v>416</v>
      </c>
      <c r="E23" s="471">
        <v>0.25</v>
      </c>
    </row>
    <row r="24" spans="1:6">
      <c r="B24" s="1" t="s">
        <v>318</v>
      </c>
      <c r="C24" s="263">
        <f>E144</f>
        <v>6.5887686093669577</v>
      </c>
      <c r="D24" s="38" t="s">
        <v>417</v>
      </c>
      <c r="E24" s="471">
        <v>0.1174</v>
      </c>
    </row>
    <row r="25" spans="1:6">
      <c r="B25" s="1" t="s">
        <v>317</v>
      </c>
      <c r="C25" s="263">
        <f>E145</f>
        <v>7.1040890386455446</v>
      </c>
      <c r="D25" s="38" t="s">
        <v>418</v>
      </c>
      <c r="E25" s="472">
        <v>7.4999999999999997E-2</v>
      </c>
    </row>
    <row r="26" spans="1:6">
      <c r="D26" s="5"/>
      <c r="E26" s="5"/>
    </row>
    <row r="27" spans="1:6" ht="13.9">
      <c r="A27" s="203" t="s">
        <v>283</v>
      </c>
      <c r="B27" s="34"/>
      <c r="C27" s="34"/>
      <c r="D27" s="34"/>
      <c r="E27" s="34"/>
      <c r="F27" s="34"/>
    </row>
    <row r="29" spans="1:6">
      <c r="B29" s="424" t="s">
        <v>361</v>
      </c>
      <c r="C29" s="424"/>
      <c r="D29" s="424"/>
      <c r="E29" s="424"/>
      <c r="F29" s="424"/>
    </row>
    <row r="30" spans="1:6" ht="24.6" customHeight="1">
      <c r="B30" s="426" t="s">
        <v>268</v>
      </c>
      <c r="C30" s="426"/>
      <c r="D30" s="426"/>
      <c r="E30" s="426"/>
      <c r="F30" s="426"/>
    </row>
    <row r="32" spans="1:6">
      <c r="B32" s="193" t="s">
        <v>195</v>
      </c>
      <c r="C32" s="105">
        <f>scaling_factor</f>
        <v>1000</v>
      </c>
    </row>
    <row r="33" spans="2:6" ht="24.6" customHeight="1">
      <c r="B33" s="425" t="s">
        <v>196</v>
      </c>
      <c r="C33" s="425"/>
      <c r="D33" s="425"/>
      <c r="E33" s="425"/>
      <c r="F33" s="425"/>
    </row>
    <row r="34" spans="2:6">
      <c r="B34" s="44" t="s">
        <v>197</v>
      </c>
      <c r="C34" s="293">
        <f>Normalized_FCF!C8</f>
        <v>399119.96227138769</v>
      </c>
      <c r="D34" s="1" t="str">
        <f>Reporting_currency</f>
        <v>HKD</v>
      </c>
    </row>
    <row r="35" spans="2:6">
      <c r="B35" s="44"/>
      <c r="C35" s="73"/>
    </row>
    <row r="36" spans="2:6" ht="24.6" customHeight="1">
      <c r="B36" s="425" t="s">
        <v>198</v>
      </c>
      <c r="C36" s="425"/>
      <c r="D36" s="425"/>
      <c r="E36" s="425"/>
      <c r="F36" s="425"/>
    </row>
    <row r="37" spans="2:6">
      <c r="B37" s="44" t="s">
        <v>199</v>
      </c>
      <c r="C37" s="293">
        <f>Normalized_FCF!C9</f>
        <v>378473</v>
      </c>
      <c r="D37" s="1" t="str">
        <f>Reporting_currency</f>
        <v>HKD</v>
      </c>
    </row>
    <row r="38" spans="2:6">
      <c r="B38" s="49" t="s">
        <v>200</v>
      </c>
      <c r="C38" s="293">
        <f>Normalized_FCF!C10</f>
        <v>-378473</v>
      </c>
      <c r="D38" s="1" t="str">
        <f>Reporting_currency</f>
        <v>HKD</v>
      </c>
    </row>
    <row r="40" spans="2:6">
      <c r="B40" s="425" t="s">
        <v>201</v>
      </c>
      <c r="C40" s="425"/>
      <c r="D40" s="425"/>
      <c r="E40" s="425"/>
      <c r="F40" s="425"/>
    </row>
    <row r="41" spans="2:6">
      <c r="B41" s="44" t="s">
        <v>202</v>
      </c>
      <c r="C41" s="293">
        <f>Normalized_FCF!C11</f>
        <v>0</v>
      </c>
      <c r="D41" s="1" t="str">
        <f>Reporting_currency</f>
        <v>HKD</v>
      </c>
    </row>
    <row r="43" spans="2:6">
      <c r="B43" s="425" t="s">
        <v>205</v>
      </c>
      <c r="C43" s="425"/>
      <c r="D43" s="425"/>
      <c r="E43" s="425"/>
      <c r="F43" s="425"/>
    </row>
    <row r="44" spans="2:6">
      <c r="B44" s="44" t="s">
        <v>269</v>
      </c>
      <c r="C44" s="294">
        <f>Normalized_FCF!C46</f>
        <v>6692.5186674405113</v>
      </c>
      <c r="D44" s="1" t="str">
        <f>Reporting_currency</f>
        <v>HKD</v>
      </c>
      <c r="E44" s="251"/>
      <c r="F44" s="251"/>
    </row>
    <row r="45" spans="2:6">
      <c r="B45" s="44" t="s">
        <v>270</v>
      </c>
      <c r="C45" s="294">
        <f>Normalized_FCF!C45</f>
        <v>-85372.400000000009</v>
      </c>
      <c r="D45" s="1" t="str">
        <f>Reporting_currency</f>
        <v>HKD</v>
      </c>
      <c r="E45" s="251"/>
      <c r="F45" s="251"/>
    </row>
    <row r="46" spans="2:6">
      <c r="B46" s="44" t="s">
        <v>203</v>
      </c>
      <c r="C46" s="293">
        <f>Normalized_FCF!C12</f>
        <v>-78679.881332559497</v>
      </c>
      <c r="D46" s="1" t="str">
        <f>Reporting_currency</f>
        <v>HKD</v>
      </c>
    </row>
    <row r="48" spans="2:6">
      <c r="B48" s="1" t="s">
        <v>211</v>
      </c>
    </row>
    <row r="49" spans="2:6">
      <c r="B49" s="44" t="s">
        <v>223</v>
      </c>
      <c r="C49" s="293">
        <f>Normalized_FCF!C15</f>
        <v>-2604.2914835892152</v>
      </c>
      <c r="D49" s="1" t="str">
        <f>Reporting_currency</f>
        <v>HKD</v>
      </c>
    </row>
    <row r="51" spans="2:6">
      <c r="B51" s="425" t="s">
        <v>206</v>
      </c>
      <c r="C51" s="425"/>
      <c r="D51" s="425"/>
      <c r="E51" s="425"/>
      <c r="F51" s="425"/>
    </row>
    <row r="52" spans="2:6">
      <c r="B52" s="44" t="s">
        <v>204</v>
      </c>
      <c r="C52" s="293">
        <f>Normalized_FCF!C14</f>
        <v>-52872.613354906651</v>
      </c>
      <c r="D52" s="1" t="str">
        <f>Reporting_currency</f>
        <v>HKD</v>
      </c>
    </row>
    <row r="54" spans="2:6">
      <c r="B54" s="425" t="s">
        <v>267</v>
      </c>
      <c r="C54" s="428"/>
      <c r="D54" s="428"/>
      <c r="E54" s="428"/>
      <c r="F54" s="428"/>
    </row>
    <row r="55" spans="2:6">
      <c r="B55" s="44" t="s">
        <v>207</v>
      </c>
      <c r="C55" s="293">
        <f>Normalized_FCF!C17</f>
        <v>0</v>
      </c>
      <c r="D55" s="1" t="str">
        <f>Reporting_currency</f>
        <v>HKD</v>
      </c>
    </row>
    <row r="57" spans="2:6" ht="24.6" customHeight="1">
      <c r="B57" s="424" t="s">
        <v>272</v>
      </c>
      <c r="C57" s="424"/>
      <c r="D57" s="424"/>
      <c r="E57" s="424"/>
      <c r="F57" s="424"/>
    </row>
    <row r="58" spans="2:6" ht="24.6" customHeight="1">
      <c r="B58" s="424" t="s">
        <v>285</v>
      </c>
      <c r="C58" s="424"/>
      <c r="D58" s="424"/>
      <c r="E58" s="424"/>
      <c r="F58" s="424"/>
    </row>
    <row r="60" spans="2:6">
      <c r="B60" s="44" t="s">
        <v>227</v>
      </c>
      <c r="C60" s="293">
        <f>Normalized_FCF!G19</f>
        <v>362404.65016124537</v>
      </c>
      <c r="D60" s="1" t="str">
        <f>Reporting_currency</f>
        <v>HKD</v>
      </c>
    </row>
    <row r="61" spans="2:6">
      <c r="B61" s="44" t="s">
        <v>213</v>
      </c>
      <c r="C61" s="293">
        <f>Normalized_FCF!C19</f>
        <v>264963.17610033229</v>
      </c>
      <c r="D61" s="1" t="str">
        <f>Reporting_currency</f>
        <v>HKD</v>
      </c>
    </row>
    <row r="62" spans="2:6">
      <c r="B62" s="207" t="s">
        <v>305</v>
      </c>
      <c r="C62" s="89">
        <f>Normalized_FCF!C124</f>
        <v>7.0716700572596158E-2</v>
      </c>
      <c r="F62" s="264"/>
    </row>
    <row r="63" spans="2:6">
      <c r="B63" s="207" t="s">
        <v>335</v>
      </c>
      <c r="C63" s="89">
        <f>Normalized_FCF!C92</f>
        <v>6.1919504643962855E-2</v>
      </c>
      <c r="E63" s="44" t="s">
        <v>325</v>
      </c>
      <c r="F63" s="265">
        <f>Normalized_FCF!C90</f>
        <v>0.87559945730779254</v>
      </c>
    </row>
    <row r="65" spans="1:6">
      <c r="B65" s="193" t="s">
        <v>328</v>
      </c>
      <c r="C65" s="271" t="s">
        <v>330</v>
      </c>
      <c r="D65" s="271" t="s">
        <v>331</v>
      </c>
    </row>
    <row r="66" spans="1:6">
      <c r="B66" s="44" t="s">
        <v>329</v>
      </c>
      <c r="C66" s="89">
        <f>Normalized_FCF!C119</f>
        <v>0.1167471410506614</v>
      </c>
      <c r="D66" s="89">
        <f>Normalized_FCF!G119</f>
        <v>0.14467098116585544</v>
      </c>
    </row>
    <row r="67" spans="1:6">
      <c r="B67" s="233" t="str">
        <f>Normalized_FCF!B116</f>
        <v>Pre-tax Profit/Sales</v>
      </c>
      <c r="C67" s="270">
        <f>Normalized_FCF!C116</f>
        <v>3.9086921133773919E-2</v>
      </c>
      <c r="D67" s="270">
        <f>Normalized_FCF!G116</f>
        <v>4.6343249224001092E-2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488</v>
      </c>
      <c r="B71" s="34"/>
      <c r="C71" s="34"/>
      <c r="D71" s="34"/>
      <c r="E71" s="34"/>
      <c r="F71" s="34"/>
    </row>
    <row r="72" spans="1:6">
      <c r="A72" s="192"/>
    </row>
    <row r="73" spans="1:6">
      <c r="A73" s="192"/>
      <c r="B73" s="424" t="s">
        <v>489</v>
      </c>
      <c r="C73" s="424"/>
      <c r="D73" s="424"/>
      <c r="E73" s="424"/>
      <c r="F73" s="424"/>
    </row>
    <row r="74" spans="1:6">
      <c r="A74" s="192"/>
      <c r="B74" s="1" t="s">
        <v>476</v>
      </c>
    </row>
    <row r="75" spans="1:6">
      <c r="A75" s="192"/>
    </row>
    <row r="76" spans="1:6">
      <c r="A76" s="192"/>
      <c r="B76" s="193" t="s">
        <v>195</v>
      </c>
    </row>
    <row r="77" spans="1:6">
      <c r="A77" s="192"/>
      <c r="B77" s="424" t="s">
        <v>273</v>
      </c>
      <c r="C77" s="424"/>
      <c r="D77" s="424"/>
      <c r="E77" s="424"/>
      <c r="F77" s="424"/>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312</v>
      </c>
      <c r="C80" s="346">
        <f>IF(BS!G31/BS!G27&gt;300%,"nm",BS!G31/BS!G27)</f>
        <v>0.77760119734648436</v>
      </c>
    </row>
    <row r="81" spans="1:6">
      <c r="A81" s="192"/>
      <c r="B81" s="233" t="s">
        <v>314</v>
      </c>
      <c r="C81" s="347">
        <f>IF(BS!C50&gt;30,"nm",BS!C50)</f>
        <v>5.3475400925918697</v>
      </c>
    </row>
    <row r="82" spans="1:6">
      <c r="A82" s="192"/>
    </row>
    <row r="83" spans="1:6">
      <c r="A83" s="192"/>
      <c r="B83" s="1" t="s">
        <v>477</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480</v>
      </c>
      <c r="C92" s="220">
        <f>DCF!F8</f>
        <v>-2.9076464486309033</v>
      </c>
      <c r="D92" s="44" t="str">
        <f>Market_currency</f>
        <v>HKD</v>
      </c>
    </row>
    <row r="94" spans="1:6" ht="13.9">
      <c r="A94" s="203" t="s">
        <v>481</v>
      </c>
      <c r="B94" s="34"/>
      <c r="C94" s="34"/>
      <c r="D94" s="34"/>
      <c r="E94" s="34"/>
      <c r="F94" s="34"/>
    </row>
    <row r="95" spans="1:6">
      <c r="A95" s="192"/>
    </row>
    <row r="96" spans="1:6" ht="11.65" customHeight="1">
      <c r="B96" s="424" t="s">
        <v>496</v>
      </c>
      <c r="C96" s="424"/>
      <c r="D96" s="424"/>
      <c r="E96" s="424"/>
      <c r="F96" s="424"/>
    </row>
    <row r="97" spans="2:6">
      <c r="B97" s="426" t="s">
        <v>495</v>
      </c>
      <c r="C97" s="426"/>
      <c r="D97" s="426"/>
      <c r="E97" s="426"/>
      <c r="F97" s="426"/>
    </row>
    <row r="98" spans="2:6">
      <c r="B98" s="426" t="s">
        <v>494</v>
      </c>
      <c r="C98" s="426"/>
      <c r="D98" s="426"/>
      <c r="E98" s="426"/>
      <c r="F98" s="426"/>
    </row>
    <row r="100" spans="2:6">
      <c r="B100" s="193" t="s">
        <v>195</v>
      </c>
    </row>
    <row r="101" spans="2:6">
      <c r="B101" s="49" t="s">
        <v>478</v>
      </c>
      <c r="C101" s="215">
        <f>E25+C103</f>
        <v>7.4999999999999997E-2</v>
      </c>
    </row>
    <row r="102" spans="2:6">
      <c r="B102" s="233" t="s">
        <v>321</v>
      </c>
      <c r="C102" s="270">
        <f>E25</f>
        <v>7.4999999999999997E-2</v>
      </c>
    </row>
    <row r="103" spans="2:6">
      <c r="B103" s="233" t="s">
        <v>320</v>
      </c>
      <c r="C103" s="270">
        <f>IF(C15="Y",1%,0)+IF(C16="Y",1%,0)</f>
        <v>0</v>
      </c>
    </row>
    <row r="104" spans="2:6">
      <c r="B104" s="44" t="s">
        <v>214</v>
      </c>
      <c r="C104" s="215">
        <f>Terminal_Growth</f>
        <v>0</v>
      </c>
    </row>
    <row r="106" spans="2:6">
      <c r="B106" s="257" t="s">
        <v>284</v>
      </c>
      <c r="C106" s="117"/>
    </row>
    <row r="107" spans="2:6">
      <c r="B107" s="424" t="s">
        <v>286</v>
      </c>
      <c r="C107" s="424"/>
      <c r="D107" s="424"/>
      <c r="E107" s="424"/>
      <c r="F107" s="424"/>
    </row>
    <row r="108" spans="2:6">
      <c r="B108" s="424" t="s">
        <v>287</v>
      </c>
      <c r="C108" s="424"/>
      <c r="D108" s="424"/>
      <c r="E108" s="424"/>
      <c r="F108" s="424"/>
    </row>
    <row r="110" spans="2:6">
      <c r="B110" s="193" t="s">
        <v>498</v>
      </c>
    </row>
    <row r="111" spans="2:6">
      <c r="B111" s="49" t="s">
        <v>479</v>
      </c>
      <c r="C111" s="220">
        <f>BS!D47</f>
        <v>-2.5047246524922007</v>
      </c>
      <c r="D111" s="1" t="str">
        <f>Market_currency</f>
        <v>HKD</v>
      </c>
    </row>
    <row r="112" spans="2:6">
      <c r="B112" s="44" t="s">
        <v>326</v>
      </c>
      <c r="C112" s="220">
        <f>DCF!C11</f>
        <v>3.1834186940220452</v>
      </c>
      <c r="D112" s="1" t="str">
        <f>Market_currency</f>
        <v>HKD</v>
      </c>
    </row>
    <row r="114" spans="2:6" ht="24.6" customHeight="1">
      <c r="B114" s="424" t="s">
        <v>502</v>
      </c>
      <c r="C114" s="424"/>
      <c r="D114" s="424"/>
      <c r="E114" s="424"/>
      <c r="F114" s="424"/>
    </row>
    <row r="116" spans="2:6">
      <c r="B116" s="193" t="s">
        <v>499</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7.84 HKD</v>
      </c>
      <c r="F118" s="212">
        <f>DCF!F74</f>
        <v>0.05</v>
      </c>
    </row>
    <row r="119" spans="2:6">
      <c r="B119" s="199" t="str">
        <f>DCF!B75</f>
        <v>Optimistic</v>
      </c>
      <c r="C119" s="200">
        <f>DCF!C75</f>
        <v>0.03</v>
      </c>
      <c r="D119" s="201">
        <f>DCF!D75</f>
        <v>5</v>
      </c>
      <c r="E119" s="211" t="str">
        <f>ROUND(DCF!E75,2)&amp;" "&amp;Market_currency</f>
        <v>7.61 HKD</v>
      </c>
      <c r="F119" s="202">
        <f>DCF!F75</f>
        <v>0.18</v>
      </c>
    </row>
    <row r="120" spans="2:6">
      <c r="B120" s="199" t="str">
        <f>DCF!B76</f>
        <v>Base</v>
      </c>
      <c r="C120" s="200">
        <f>DCF!C76</f>
        <v>0.02</v>
      </c>
      <c r="D120" s="201">
        <f>DCF!D76</f>
        <v>5</v>
      </c>
      <c r="E120" s="211" t="str">
        <f>ROUND(DCF!E76,2)&amp;" "&amp;Market_currency</f>
        <v>7.38 HKD</v>
      </c>
      <c r="F120" s="202">
        <f>DCF!F76</f>
        <v>0.53999999999999992</v>
      </c>
    </row>
    <row r="121" spans="2:6">
      <c r="B121" s="199" t="str">
        <f>DCF!B77</f>
        <v>Pessimistic</v>
      </c>
      <c r="C121" s="200">
        <f>DCF!C77</f>
        <v>0.01</v>
      </c>
      <c r="D121" s="201">
        <f>DCF!D77</f>
        <v>5</v>
      </c>
      <c r="E121" s="211" t="str">
        <f>ROUND(DCF!E77,2)&amp;" "&amp;Market_currency</f>
        <v>7.15 HKD</v>
      </c>
      <c r="F121" s="202">
        <f>DCF!F77</f>
        <v>0.18</v>
      </c>
    </row>
    <row r="122" spans="2:6">
      <c r="B122" s="199" t="str">
        <f>DCF!B78</f>
        <v>Devil's advocate</v>
      </c>
      <c r="C122" s="200">
        <f>DCF!C78</f>
        <v>0</v>
      </c>
      <c r="D122" s="201">
        <f>DCF!D78</f>
        <v>5</v>
      </c>
      <c r="E122" s="211" t="str">
        <f>ROUND(DCF!E78,2)&amp;" "&amp;Market_currency</f>
        <v>6.93 HKD</v>
      </c>
      <c r="F122" s="202">
        <f>DCF!F78</f>
        <v>0.05</v>
      </c>
    </row>
    <row r="124" spans="2:6">
      <c r="B124" s="425" t="s">
        <v>362</v>
      </c>
      <c r="C124" s="425"/>
      <c r="D124" s="425"/>
      <c r="E124" s="425"/>
      <c r="F124" s="425"/>
    </row>
    <row r="125" spans="2:6">
      <c r="B125" s="194" t="s">
        <v>218</v>
      </c>
      <c r="C125" s="198">
        <f>Scenarios!C36</f>
        <v>7.3796628952847572</v>
      </c>
      <c r="D125" s="195" t="str">
        <f>Market_currency</f>
        <v>HKD</v>
      </c>
    </row>
    <row r="127" spans="2:6" ht="24.6" customHeight="1">
      <c r="B127" s="429" t="s">
        <v>363</v>
      </c>
      <c r="C127" s="429"/>
      <c r="D127" s="429"/>
      <c r="E127" s="429"/>
      <c r="F127" s="429"/>
    </row>
    <row r="129" spans="1:6" ht="13.9">
      <c r="A129" s="203" t="s">
        <v>485</v>
      </c>
      <c r="B129" s="34"/>
      <c r="C129" s="34"/>
      <c r="D129" s="34"/>
      <c r="E129" s="34"/>
      <c r="F129" s="34"/>
    </row>
    <row r="131" spans="1:6">
      <c r="B131" s="427" t="s">
        <v>288</v>
      </c>
      <c r="C131" s="427"/>
      <c r="D131" s="427"/>
      <c r="E131" s="427"/>
      <c r="F131" s="427"/>
    </row>
    <row r="132" spans="1:6">
      <c r="B132" s="424" t="s">
        <v>364</v>
      </c>
      <c r="C132" s="424"/>
      <c r="D132" s="424"/>
      <c r="E132" s="424"/>
      <c r="F132" s="424"/>
    </row>
    <row r="134" spans="1:6">
      <c r="B134" s="193" t="s">
        <v>195</v>
      </c>
    </row>
    <row r="135" spans="1:6">
      <c r="B135" s="1" t="s">
        <v>221</v>
      </c>
      <c r="C135" s="205">
        <f>E21</f>
        <v>2</v>
      </c>
    </row>
    <row r="136" spans="1:6">
      <c r="B136" s="195" t="s">
        <v>220</v>
      </c>
      <c r="C136" s="196">
        <f>Scenarios!C58</f>
        <v>0.4</v>
      </c>
      <c r="D136" s="195" t="str">
        <f>Market_currency</f>
        <v>HKD</v>
      </c>
    </row>
    <row r="138" spans="1:6">
      <c r="B138" s="193" t="s">
        <v>505</v>
      </c>
      <c r="C138" s="218"/>
      <c r="D138" s="219"/>
    </row>
    <row r="139" spans="1:6" ht="12.4">
      <c r="B139" s="349" t="s">
        <v>473</v>
      </c>
      <c r="C139" s="349" t="str">
        <f>"PV("&amp;Holding_Period&amp;" yrs of Dividends)"</f>
        <v>PV(2 yrs of Dividends)</v>
      </c>
      <c r="D139" s="349" t="s">
        <v>482</v>
      </c>
      <c r="E139" s="350" t="str">
        <f>"Buy below ("&amp;Market_currency&amp;")"</f>
        <v>Buy below (HKD)</v>
      </c>
      <c r="F139" s="350" t="s">
        <v>483</v>
      </c>
    </row>
    <row r="140" spans="1:6">
      <c r="B140" s="345" t="s">
        <v>315</v>
      </c>
      <c r="C140" s="342">
        <f>Scenarios!C62</f>
        <v>0.51577503429355298</v>
      </c>
      <c r="D140" s="342">
        <f>Scenarios!D62</f>
        <v>4.049197747755696</v>
      </c>
      <c r="E140" s="343">
        <f>Scenarios!E62</f>
        <v>4.5649727820492494</v>
      </c>
      <c r="F140" s="344">
        <f>E22</f>
        <v>0.35</v>
      </c>
    </row>
    <row r="141" spans="1:6">
      <c r="B141" s="345" t="s">
        <v>316</v>
      </c>
      <c r="C141" s="342">
        <f>Scenarios!C63</f>
        <v>0.57600000000000007</v>
      </c>
      <c r="D141" s="342">
        <f>Scenarios!D63</f>
        <v>4.7229842529822443</v>
      </c>
      <c r="E141" s="343">
        <f>Scenarios!E63</f>
        <v>5.298984252982244</v>
      </c>
      <c r="F141" s="344">
        <f>Scenarios!F63</f>
        <v>0.25</v>
      </c>
    </row>
    <row r="142" spans="1:6">
      <c r="B142" s="195"/>
      <c r="C142" s="195"/>
      <c r="D142" s="195"/>
      <c r="E142" s="195"/>
      <c r="F142" s="195"/>
    </row>
    <row r="143" spans="1:6" ht="12.4">
      <c r="B143" s="349" t="s">
        <v>474</v>
      </c>
      <c r="C143" s="349" t="str">
        <f>"PV("&amp;Holding_Period&amp;" yrs of Dividends)"</f>
        <v>PV(2 yrs of Dividends)</v>
      </c>
      <c r="D143" s="349" t="s">
        <v>482</v>
      </c>
      <c r="E143" s="350" t="str">
        <f>"Sell above ("&amp;Market_currency&amp;")"</f>
        <v>Sell above (HKD)</v>
      </c>
      <c r="F143" s="350" t="s">
        <v>483</v>
      </c>
    </row>
    <row r="144" spans="1:6">
      <c r="B144" s="345" t="s">
        <v>318</v>
      </c>
      <c r="C144" s="342">
        <f>Scenarios!C66</f>
        <v>0.67833709316953872</v>
      </c>
      <c r="D144" s="342">
        <f>Scenarios!D66</f>
        <v>5.910431516197419</v>
      </c>
      <c r="E144" s="343">
        <f>Scenarios!E66</f>
        <v>6.5887686093669577</v>
      </c>
      <c r="F144" s="344">
        <f>E24</f>
        <v>0.1174</v>
      </c>
    </row>
    <row r="145" spans="1:6">
      <c r="B145" s="345" t="s">
        <v>317</v>
      </c>
      <c r="C145" s="342">
        <f>Scenarios!C67</f>
        <v>0.71822606814494294</v>
      </c>
      <c r="D145" s="342">
        <f>Scenarios!D67</f>
        <v>6.385862970500602</v>
      </c>
      <c r="E145" s="343">
        <f>Scenarios!E67</f>
        <v>7.1040890386455446</v>
      </c>
      <c r="F145" s="344">
        <f>Scenarios!F67</f>
        <v>7.4999999999999997E-2</v>
      </c>
    </row>
    <row r="147" spans="1:6" ht="13.9">
      <c r="A147" s="203" t="s">
        <v>486</v>
      </c>
      <c r="B147" s="34"/>
      <c r="C147" s="34"/>
      <c r="D147" s="34"/>
      <c r="E147" s="34"/>
      <c r="F147" s="34"/>
    </row>
    <row r="149" spans="1:6">
      <c r="B149" s="431" t="s">
        <v>365</v>
      </c>
      <c r="C149" s="424"/>
      <c r="D149" s="424"/>
      <c r="E149" s="424"/>
      <c r="F149" s="424"/>
    </row>
    <row r="151" spans="1:6">
      <c r="B151" s="193" t="s">
        <v>292</v>
      </c>
    </row>
    <row r="152" spans="1:6">
      <c r="B152" s="428" t="s">
        <v>296</v>
      </c>
      <c r="C152" s="428"/>
      <c r="D152" s="428"/>
      <c r="E152" s="428"/>
      <c r="F152" s="428"/>
    </row>
    <row r="153" spans="1:6">
      <c r="B153" s="197" t="s">
        <v>293</v>
      </c>
    </row>
    <row r="154" spans="1:6">
      <c r="B154" s="197" t="s">
        <v>294</v>
      </c>
    </row>
    <row r="155" spans="1:6">
      <c r="B155" s="197" t="s">
        <v>295</v>
      </c>
    </row>
    <row r="157" spans="1:6">
      <c r="B157" s="1" t="s">
        <v>299</v>
      </c>
    </row>
    <row r="158" spans="1:6" ht="34.35" customHeight="1">
      <c r="B158" s="425" t="s">
        <v>449</v>
      </c>
      <c r="C158" s="425"/>
      <c r="D158" s="425"/>
      <c r="E158" s="425"/>
      <c r="F158" s="425"/>
    </row>
    <row r="160" spans="1:6">
      <c r="B160" s="1" t="s">
        <v>300</v>
      </c>
    </row>
    <row r="161" spans="2:6" ht="24.6" customHeight="1">
      <c r="B161" s="430" t="s">
        <v>297</v>
      </c>
      <c r="C161" s="430"/>
      <c r="D161" s="430"/>
      <c r="E161" s="430"/>
      <c r="F161" s="430"/>
    </row>
    <row r="162" spans="2:6" ht="24.6" customHeight="1">
      <c r="B162" s="430" t="s">
        <v>298</v>
      </c>
      <c r="C162" s="430"/>
      <c r="D162" s="430"/>
      <c r="E162" s="430"/>
      <c r="F162" s="430"/>
    </row>
    <row r="164" spans="2:6">
      <c r="B164" s="1" t="s">
        <v>304</v>
      </c>
    </row>
    <row r="165" spans="2:6">
      <c r="B165" s="197" t="s">
        <v>301</v>
      </c>
    </row>
    <row r="166" spans="2:6">
      <c r="B166" s="197" t="s">
        <v>302</v>
      </c>
    </row>
    <row r="167" spans="2:6">
      <c r="B167" s="197" t="s">
        <v>303</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67" zoomScaleNormal="100" workbookViewId="0">
      <pane xSplit="2" ySplit="1" topLeftCell="C2" activePane="bottomRight" state="frozen"/>
      <selection pane="topRight" activeCell="C1" sqref="C1"/>
      <selection pane="bottomLeft" activeCell="A2" sqref="A2"/>
      <selection pane="bottomRight" activeCell="D32" sqref="D3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289</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291</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290</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188</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 t="shared" ref="C46:M46" si="20">IF(C$4="","",-C14)</f>
        <v>-32312</v>
      </c>
      <c r="D46" s="278">
        <f t="shared" si="20"/>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 t="shared" ref="C52:M52" si="24">IF(C$4="","",C13)</f>
        <v>46652</v>
      </c>
      <c r="D52" s="278">
        <f t="shared" si="24"/>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7" zoomScaleNormal="100" workbookViewId="0">
      <selection activeCell="D20" sqref="D20"/>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410</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Normalized_FCF!C11/G40</f>
        <v>0</v>
      </c>
      <c r="D55" s="89">
        <f>Normalized_FCF!G11/G40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Normalized_FCF!G9/BS!$G$39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280</v>
      </c>
    </row>
    <row r="74" spans="2:6" ht="15" customHeight="1">
      <c r="B74" s="231" t="s">
        <v>261</v>
      </c>
      <c r="C74" s="232">
        <f>-$C$66/C73</f>
        <v>1.5048036572106489</v>
      </c>
      <c r="D74" s="232">
        <f>-$C$66/D73</f>
        <v>1.5743445066892159</v>
      </c>
      <c r="F74" s="227" t="s">
        <v>258</v>
      </c>
    </row>
    <row r="75" spans="2:6" ht="15" customHeight="1">
      <c r="B75" s="77" t="s">
        <v>259</v>
      </c>
      <c r="C75" s="268"/>
      <c r="D75" s="269">
        <f>MAX(-D73*D76,G5)</f>
        <v>669251.86674405111</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2" activePane="bottomRight" state="frozen"/>
      <selection activeCell="C17" sqref="C17"/>
      <selection pane="topRight" activeCell="C17" sqref="C17"/>
      <selection pane="bottomLeft" activeCell="C17" sqref="C17"/>
      <selection pane="bottomRight" activeCell="E70" sqref="E7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398</v>
      </c>
      <c r="C3" s="104">
        <f>scaling_factor</f>
        <v>1000</v>
      </c>
      <c r="D3" s="9"/>
      <c r="E3" s="242"/>
      <c r="F3" s="9"/>
      <c r="G3" s="16" t="s">
        <v>419</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 t="s">
        <v>62</v>
      </c>
      <c r="C9" s="274">
        <f>BS!$G$39*BS!D58</f>
        <v>378473</v>
      </c>
      <c r="E9" s="242"/>
      <c r="G9" s="274">
        <f>IF(Data!C61="","",-Data!C61)</f>
        <v>378473</v>
      </c>
      <c r="H9" s="274">
        <f>IF(Data!D61="","",-Data!D61)</f>
        <v>394190</v>
      </c>
      <c r="I9" s="274">
        <f>IF(Data!E61="","",-Data!E61)</f>
        <v>0</v>
      </c>
      <c r="J9" s="274">
        <f>IF(Data!F61="","",-Data!F61)</f>
        <v>0</v>
      </c>
      <c r="K9" s="274">
        <f>IF(Data!G61="","",-Data!G61)</f>
        <v>0</v>
      </c>
      <c r="L9" s="274">
        <f>IF(Data!H61="","",-Data!H61)</f>
        <v>0</v>
      </c>
      <c r="M9" s="274">
        <f>IF(Data!I61="","",-Data!I61)</f>
        <v>0</v>
      </c>
      <c r="N9" s="274">
        <f>IF(Data!J61="","",-Data!J61)</f>
        <v>0</v>
      </c>
      <c r="O9" s="274">
        <f>IF(Data!K61="","",-Data!K61)</f>
        <v>0</v>
      </c>
      <c r="P9" s="274">
        <f>IF(Data!L61="","",-Data!L61)</f>
        <v>0</v>
      </c>
      <c r="Q9" s="274" t="str">
        <f>IF(Data!M61="","",-Data!M61)</f>
        <v/>
      </c>
    </row>
    <row r="10" spans="1:17" ht="15.75" customHeight="1">
      <c r="A10" s="10"/>
      <c r="B10" s="2" t="s">
        <v>404</v>
      </c>
      <c r="C10" s="274">
        <f>-C4*C76</f>
        <v>-378473</v>
      </c>
      <c r="E10" s="242"/>
      <c r="G10" s="274">
        <f>Data!C62</f>
        <v>-305069</v>
      </c>
      <c r="H10" s="274">
        <f>Data!D62</f>
        <v>-316358</v>
      </c>
      <c r="I10" s="274">
        <f>Data!E62</f>
        <v>0</v>
      </c>
      <c r="J10" s="274">
        <f>Data!F62</f>
        <v>0</v>
      </c>
      <c r="K10" s="274">
        <f>Data!G62</f>
        <v>0</v>
      </c>
      <c r="L10" s="274">
        <f>Data!H62</f>
        <v>0</v>
      </c>
      <c r="M10" s="274">
        <f>Data!I62</f>
        <v>0</v>
      </c>
      <c r="N10" s="274">
        <f>Data!J62</f>
        <v>0</v>
      </c>
      <c r="O10" s="274">
        <f>Data!K62</f>
        <v>0</v>
      </c>
      <c r="P10" s="274">
        <f>Data!L62</f>
        <v>0</v>
      </c>
      <c r="Q10" s="274" t="str">
        <f>Data!M62</f>
        <v/>
      </c>
    </row>
    <row r="11" spans="1:17" ht="15.75" customHeight="1">
      <c r="A11" s="10"/>
      <c r="B11" s="26" t="s">
        <v>424</v>
      </c>
      <c r="C11" s="308">
        <f>C61</f>
        <v>0</v>
      </c>
      <c r="D11" s="55"/>
      <c r="E11" s="241"/>
      <c r="F11" s="55"/>
      <c r="G11" s="278">
        <f>G59</f>
        <v>0</v>
      </c>
      <c r="H11" s="278">
        <f t="shared" ref="H11:Q11" si="5">H59</f>
        <v>0</v>
      </c>
      <c r="I11" s="278">
        <f t="shared" si="5"/>
        <v>0</v>
      </c>
      <c r="J11" s="278">
        <f t="shared" si="5"/>
        <v>0</v>
      </c>
      <c r="K11" s="278">
        <f t="shared" si="5"/>
        <v>0</v>
      </c>
      <c r="L11" s="278">
        <f t="shared" si="5"/>
        <v>0</v>
      </c>
      <c r="M11" s="278">
        <f t="shared" si="5"/>
        <v>0</v>
      </c>
      <c r="N11" s="278">
        <f t="shared" si="5"/>
        <v>0</v>
      </c>
      <c r="O11" s="278">
        <f t="shared" si="5"/>
        <v>0</v>
      </c>
      <c r="P11" s="278">
        <f t="shared" si="5"/>
        <v>0</v>
      </c>
      <c r="Q11" s="278" t="str">
        <f t="shared" si="5"/>
        <v/>
      </c>
    </row>
    <row r="12" spans="1:17" ht="15.75" customHeight="1">
      <c r="A12" s="10"/>
      <c r="B12" s="2" t="s">
        <v>65</v>
      </c>
      <c r="C12" s="274">
        <f>C48</f>
        <v>-78679.881332559497</v>
      </c>
      <c r="E12" s="242"/>
      <c r="G12" s="274">
        <f>G48</f>
        <v>-74482.349838754599</v>
      </c>
      <c r="H12" s="274">
        <f t="shared" ref="H12:Q12" si="6">H48</f>
        <v>-79815.579205498987</v>
      </c>
      <c r="I12" s="274">
        <f t="shared" si="6"/>
        <v>-73832.968687003769</v>
      </c>
      <c r="J12" s="274">
        <f t="shared" si="6"/>
        <v>-83179.118160315134</v>
      </c>
      <c r="K12" s="274">
        <f t="shared" si="6"/>
        <v>0</v>
      </c>
      <c r="L12" s="274">
        <f t="shared" si="6"/>
        <v>0</v>
      </c>
      <c r="M12" s="274">
        <f t="shared" si="6"/>
        <v>0</v>
      </c>
      <c r="N12" s="274">
        <f t="shared" si="6"/>
        <v>0</v>
      </c>
      <c r="O12" s="274">
        <f t="shared" si="6"/>
        <v>0</v>
      </c>
      <c r="P12" s="274">
        <f t="shared" si="6"/>
        <v>0</v>
      </c>
      <c r="Q12" s="274" t="str">
        <f t="shared" si="6"/>
        <v/>
      </c>
    </row>
    <row r="13" spans="1:17" ht="15.75" customHeight="1">
      <c r="A13" s="10"/>
      <c r="B13" s="67" t="s">
        <v>137</v>
      </c>
      <c r="C13" s="275">
        <f>SUM(C8:C12)</f>
        <v>320440.08093882818</v>
      </c>
      <c r="E13" s="242"/>
      <c r="G13" s="275">
        <f>IF(G$4="","",SUM(G8:G12))</f>
        <v>397083.65016124537</v>
      </c>
      <c r="H13" s="275">
        <f t="shared" ref="H13:Q13" si="7">IF(H$4="","",SUM(H8:H12))</f>
        <v>484089.42079450103</v>
      </c>
      <c r="I13" s="275">
        <f t="shared" si="7"/>
        <v>142737.03131299623</v>
      </c>
      <c r="J13" s="275">
        <f t="shared" si="7"/>
        <v>5698.8818396848656</v>
      </c>
      <c r="K13" s="275">
        <f t="shared" si="7"/>
        <v>-87431</v>
      </c>
      <c r="L13" s="275">
        <f t="shared" si="7"/>
        <v>249238</v>
      </c>
      <c r="M13" s="275">
        <f t="shared" si="7"/>
        <v>689430</v>
      </c>
      <c r="N13" s="275">
        <f t="shared" si="7"/>
        <v>583289</v>
      </c>
      <c r="O13" s="275">
        <f t="shared" si="7"/>
        <v>626211</v>
      </c>
      <c r="P13" s="275">
        <f t="shared" si="7"/>
        <v>614633</v>
      </c>
      <c r="Q13" s="275" t="str">
        <f t="shared" si="7"/>
        <v/>
      </c>
    </row>
    <row r="14" spans="1:17" ht="15.75" customHeight="1">
      <c r="A14" s="10"/>
      <c r="B14" s="2" t="s">
        <v>60</v>
      </c>
      <c r="C14" s="274">
        <f>-SUM(C8+C11,C12)*C41</f>
        <v>-52872.613354906651</v>
      </c>
      <c r="E14" s="242"/>
      <c r="G14" s="274">
        <f>Data!C46</f>
        <v>-32312</v>
      </c>
      <c r="H14" s="274">
        <f>Data!D46</f>
        <v>-56313</v>
      </c>
      <c r="I14" s="274">
        <f>Data!E46</f>
        <v>-32989</v>
      </c>
      <c r="J14" s="274">
        <f>Data!F46</f>
        <v>-27939</v>
      </c>
      <c r="K14" s="274">
        <f>Data!G46</f>
        <v>-29996</v>
      </c>
      <c r="L14" s="274">
        <f>Data!H46</f>
        <v>-39872</v>
      </c>
      <c r="M14" s="274">
        <f>Data!I46</f>
        <v>-129810</v>
      </c>
      <c r="N14" s="274">
        <f>Data!J46</f>
        <v>-121949</v>
      </c>
      <c r="O14" s="274">
        <f>Data!K46</f>
        <v>-108832</v>
      </c>
      <c r="P14" s="274">
        <f>Data!L46</f>
        <v>-110223</v>
      </c>
      <c r="Q14" s="274" t="str">
        <f>Data!M46</f>
        <v/>
      </c>
    </row>
    <row r="15" spans="1:17" ht="15.75" customHeight="1">
      <c r="A15" s="10"/>
      <c r="B15" s="38" t="s">
        <v>208</v>
      </c>
      <c r="C15" s="274">
        <f>-C4*C81</f>
        <v>-2604.2914835892152</v>
      </c>
      <c r="D15" s="57"/>
      <c r="E15" s="249"/>
      <c r="F15" s="57"/>
      <c r="G15" s="278">
        <f>Data!C48</f>
        <v>-2367</v>
      </c>
      <c r="H15" s="278">
        <f>Data!D48</f>
        <v>-2761</v>
      </c>
      <c r="I15" s="278">
        <f>Data!E48</f>
        <v>-834</v>
      </c>
      <c r="J15" s="278">
        <f>Data!F48</f>
        <v>-1636</v>
      </c>
      <c r="K15" s="278">
        <f>Data!G48</f>
        <v>-1420</v>
      </c>
      <c r="L15" s="278">
        <f>Data!H48</f>
        <v>-752</v>
      </c>
      <c r="M15" s="278">
        <f>Data!I48</f>
        <v>-1825</v>
      </c>
      <c r="N15" s="278">
        <f>Data!J48</f>
        <v>-1240</v>
      </c>
      <c r="O15" s="278">
        <f>Data!K48</f>
        <v>-23</v>
      </c>
      <c r="P15" s="278">
        <f>Data!L48</f>
        <v>0</v>
      </c>
      <c r="Q15" s="278" t="str">
        <f>Data!M48</f>
        <v/>
      </c>
    </row>
    <row r="16" spans="1:17" ht="15.75" customHeight="1">
      <c r="A16" s="10"/>
      <c r="B16" s="39" t="s">
        <v>129</v>
      </c>
      <c r="C16" s="277">
        <f>SUM(C13:C15)</f>
        <v>264963.17610033229</v>
      </c>
      <c r="D16" s="58"/>
      <c r="E16" s="250"/>
      <c r="F16" s="58"/>
      <c r="G16" s="275">
        <f>IF(G$4="","",SUM(G13:G15))</f>
        <v>362404.65016124537</v>
      </c>
      <c r="H16" s="275">
        <f t="shared" ref="H16:Q16" si="8">IF(H$4="","",SUM(H13:H15))</f>
        <v>425015.42079450103</v>
      </c>
      <c r="I16" s="275">
        <f t="shared" si="8"/>
        <v>108914.03131299623</v>
      </c>
      <c r="J16" s="275">
        <f t="shared" si="8"/>
        <v>-23876.118160315134</v>
      </c>
      <c r="K16" s="275">
        <f t="shared" si="8"/>
        <v>-118847</v>
      </c>
      <c r="L16" s="275">
        <f t="shared" si="8"/>
        <v>208614</v>
      </c>
      <c r="M16" s="275">
        <f t="shared" si="8"/>
        <v>557795</v>
      </c>
      <c r="N16" s="275">
        <f t="shared" si="8"/>
        <v>460100</v>
      </c>
      <c r="O16" s="275">
        <f t="shared" si="8"/>
        <v>517356</v>
      </c>
      <c r="P16" s="275">
        <f t="shared" si="8"/>
        <v>504410</v>
      </c>
      <c r="Q16" s="275" t="str">
        <f t="shared" si="8"/>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C16+C17</f>
        <v>264963.17610033229</v>
      </c>
      <c r="D19" s="26"/>
      <c r="E19" s="239"/>
      <c r="F19" s="26"/>
      <c r="G19" s="279">
        <f>IF(G$4="","",G16+G17)</f>
        <v>362404.65016124537</v>
      </c>
      <c r="H19" s="279">
        <f t="shared" ref="H19:Q19" si="9">IF(H$4="","",H16+H17)</f>
        <v>425015.42079450103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402</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402</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411</v>
      </c>
      <c r="F41" s="26"/>
      <c r="G41" s="6">
        <f t="shared" ref="G41:Q41" si="16">IF(G$4="","",-G14/SUM(G8+G11,G12))</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274</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271</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266</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ABS(C5/C$4)</f>
        <v>0.89099809462634716</v>
      </c>
      <c r="D71" s="26"/>
      <c r="E71" s="239"/>
      <c r="F71" s="26"/>
      <c r="G71" s="6">
        <f t="shared" ref="G71:Q71" si="22">IF(G$4="","",ABS(G5/G$4))</f>
        <v>0.89581909726262465</v>
      </c>
      <c r="H71" s="6">
        <f t="shared" si="22"/>
        <v>0.88617709199006978</v>
      </c>
      <c r="I71" s="6">
        <f t="shared" si="22"/>
        <v>0.9124320604423406</v>
      </c>
      <c r="J71" s="6">
        <f t="shared" si="22"/>
        <v>0.92705566423612551</v>
      </c>
      <c r="K71" s="6">
        <f t="shared" si="22"/>
        <v>0.94412068055204934</v>
      </c>
      <c r="L71" s="6">
        <f t="shared" si="22"/>
        <v>0.90824524679279939</v>
      </c>
      <c r="M71" s="6">
        <f t="shared" si="22"/>
        <v>0.86611329588599228</v>
      </c>
      <c r="N71" s="6">
        <f t="shared" si="22"/>
        <v>0.87634286687980478</v>
      </c>
      <c r="O71" s="6">
        <f t="shared" si="22"/>
        <v>0.86614503736544779</v>
      </c>
      <c r="P71" s="6">
        <f t="shared" si="22"/>
        <v>0.86194691388174405</v>
      </c>
      <c r="Q71" s="6" t="str">
        <f t="shared" si="22"/>
        <v/>
      </c>
    </row>
    <row r="72" spans="1:17" ht="15.75" customHeight="1">
      <c r="A72" s="10"/>
      <c r="B72" s="30" t="s">
        <v>45</v>
      </c>
      <c r="C72" s="75">
        <f>ABS(C6/C$4)</f>
        <v>0.10900190537365288</v>
      </c>
      <c r="D72" s="26"/>
      <c r="E72" s="239"/>
      <c r="F72" s="26"/>
      <c r="G72" s="62">
        <f t="shared" ref="G72:Q72" si="23">IF(G$4="","",ABS(G6/G$4))</f>
        <v>0.10418090273737537</v>
      </c>
      <c r="H72" s="62">
        <f t="shared" si="23"/>
        <v>0.11382290800993022</v>
      </c>
      <c r="I72" s="62">
        <f t="shared" si="23"/>
        <v>8.7567939557659458E-2</v>
      </c>
      <c r="J72" s="62">
        <f t="shared" si="23"/>
        <v>7.2944335763874504E-2</v>
      </c>
      <c r="K72" s="62">
        <f t="shared" si="23"/>
        <v>5.5879319447950666E-2</v>
      </c>
      <c r="L72" s="62">
        <f t="shared" si="23"/>
        <v>9.1754753207200668E-2</v>
      </c>
      <c r="M72" s="62">
        <f t="shared" si="23"/>
        <v>0.13388670411400769</v>
      </c>
      <c r="N72" s="62">
        <f t="shared" si="23"/>
        <v>0.12365713312019522</v>
      </c>
      <c r="O72" s="62">
        <f t="shared" si="23"/>
        <v>0.13385496263455221</v>
      </c>
      <c r="P72" s="62">
        <f t="shared" si="23"/>
        <v>0.13805308611825601</v>
      </c>
      <c r="Q72" s="62" t="str">
        <f t="shared" si="23"/>
        <v/>
      </c>
    </row>
    <row r="73" spans="1:17" ht="15.75" customHeight="1">
      <c r="A73" s="10"/>
      <c r="B73" s="8" t="s">
        <v>42</v>
      </c>
      <c r="C73" s="74">
        <f>ABS(C7/C$4)</f>
        <v>6.0317700693294389E-2</v>
      </c>
      <c r="D73" s="26"/>
      <c r="E73" s="239"/>
      <c r="F73" s="26"/>
      <c r="G73" s="6">
        <f t="shared" ref="G73:Q73" si="24">IF(G$4="","",ABS(G7/G$4))</f>
        <v>5.7711800345388718E-2</v>
      </c>
      <c r="H73" s="6">
        <f t="shared" si="24"/>
        <v>5.7897480615717818E-2</v>
      </c>
      <c r="I73" s="6">
        <f t="shared" si="24"/>
        <v>6.0577808396863227E-2</v>
      </c>
      <c r="J73" s="6">
        <f t="shared" si="24"/>
        <v>6.1107749848743197E-2</v>
      </c>
      <c r="K73" s="6">
        <f t="shared" si="24"/>
        <v>6.8901017313164309E-2</v>
      </c>
      <c r="L73" s="6">
        <f t="shared" si="24"/>
        <v>6.0455624237655277E-2</v>
      </c>
      <c r="M73" s="6">
        <f t="shared" si="24"/>
        <v>5.2718880163524738E-2</v>
      </c>
      <c r="N73" s="6">
        <f t="shared" si="24"/>
        <v>5.444372575690317E-2</v>
      </c>
      <c r="O73" s="6">
        <f t="shared" si="24"/>
        <v>5.4540178653982606E-2</v>
      </c>
      <c r="P73" s="6">
        <f t="shared" si="24"/>
        <v>5.6829522664729883E-2</v>
      </c>
      <c r="Q73" s="6" t="str">
        <f t="shared" si="24"/>
        <v/>
      </c>
    </row>
    <row r="74" spans="1:17" ht="15.75" customHeight="1">
      <c r="A74" s="10"/>
      <c r="B74" s="28" t="s">
        <v>127</v>
      </c>
      <c r="C74" s="75">
        <f>ABS(C8/C$4)</f>
        <v>4.8684204680358494E-2</v>
      </c>
      <c r="D74" s="26"/>
      <c r="E74" s="239"/>
      <c r="F74" s="26"/>
      <c r="G74" s="62">
        <f t="shared" ref="G74:Q74" si="25">IF(G$4="","",ABS(G8/G$4))</f>
        <v>4.6469102391986664E-2</v>
      </c>
      <c r="H74" s="62">
        <f t="shared" si="25"/>
        <v>5.5925427394212406E-2</v>
      </c>
      <c r="I74" s="62">
        <f t="shared" si="25"/>
        <v>2.6990131160796228E-2</v>
      </c>
      <c r="J74" s="62">
        <f t="shared" si="25"/>
        <v>1.1836585915131315E-2</v>
      </c>
      <c r="K74" s="62">
        <f t="shared" si="25"/>
        <v>1.3021697865213639E-2</v>
      </c>
      <c r="L74" s="62">
        <f t="shared" si="25"/>
        <v>3.1299128969545391E-2</v>
      </c>
      <c r="M74" s="62">
        <f t="shared" si="25"/>
        <v>8.1167823950482956E-2</v>
      </c>
      <c r="N74" s="62">
        <f t="shared" si="25"/>
        <v>6.921340736329204E-2</v>
      </c>
      <c r="O74" s="62">
        <f t="shared" si="25"/>
        <v>7.9314783980569611E-2</v>
      </c>
      <c r="P74" s="62">
        <f t="shared" si="25"/>
        <v>8.1223563453526118E-2</v>
      </c>
      <c r="Q74" s="62" t="str">
        <f t="shared" si="25"/>
        <v/>
      </c>
    </row>
    <row r="75" spans="1:17" ht="15.75" customHeight="1">
      <c r="A75" s="10"/>
      <c r="B75" s="2" t="s">
        <v>62</v>
      </c>
      <c r="C75" s="74">
        <f>ABS(C9/C$4)</f>
        <v>4.6165711414505782E-2</v>
      </c>
      <c r="D75" s="26"/>
      <c r="E75" s="239"/>
      <c r="F75" s="26"/>
      <c r="G75" s="6">
        <f t="shared" ref="G75:Q75" si="26">IF(G$4="","",G9/G$4)</f>
        <v>4.4171218221734795E-2</v>
      </c>
      <c r="H75" s="6">
        <f t="shared" si="26"/>
        <v>4.5353772426208791E-2</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77</v>
      </c>
      <c r="C76" s="85">
        <f>MAX(AVERAGE(G76:J76),C75)</f>
        <v>4.6165711414505782E-2</v>
      </c>
      <c r="D76" s="26"/>
      <c r="E76" s="240" t="s">
        <v>282</v>
      </c>
      <c r="F76" s="26"/>
      <c r="G76" s="6">
        <f t="shared" ref="G76:Q76" si="27">IF(G$4="","",-G10/G$4)</f>
        <v>3.5604308290647979E-2</v>
      </c>
      <c r="H76" s="6">
        <f t="shared" si="27"/>
        <v>3.639876388850697E-2</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0" t="s">
        <v>128</v>
      </c>
      <c r="C77" s="75">
        <f>ABS(C11/C$4)</f>
        <v>0</v>
      </c>
      <c r="D77" s="26"/>
      <c r="E77" s="239"/>
      <c r="F77" s="26"/>
      <c r="G77" s="62">
        <f t="shared" ref="G77:Q77" si="28">IF(G$4="","",G11/G$4)</f>
        <v>0</v>
      </c>
      <c r="H77" s="62">
        <f t="shared" si="28"/>
        <v>0</v>
      </c>
      <c r="I77" s="62">
        <f t="shared" si="28"/>
        <v>0</v>
      </c>
      <c r="J77" s="62">
        <f t="shared" si="28"/>
        <v>0</v>
      </c>
      <c r="K77" s="62">
        <f t="shared" si="28"/>
        <v>0</v>
      </c>
      <c r="L77" s="62">
        <f t="shared" si="28"/>
        <v>0</v>
      </c>
      <c r="M77" s="62">
        <f t="shared" si="28"/>
        <v>0</v>
      </c>
      <c r="N77" s="62">
        <f t="shared" si="28"/>
        <v>0</v>
      </c>
      <c r="O77" s="62">
        <f t="shared" si="28"/>
        <v>0</v>
      </c>
      <c r="P77" s="62">
        <f t="shared" si="28"/>
        <v>0</v>
      </c>
      <c r="Q77" s="62" t="str">
        <f t="shared" si="28"/>
        <v/>
      </c>
    </row>
    <row r="78" spans="1:17" ht="15.75" customHeight="1">
      <c r="A78" s="10"/>
      <c r="B78" s="2" t="s">
        <v>65</v>
      </c>
      <c r="C78" s="74">
        <f>ABS(C12/C$4)</f>
        <v>9.5972835465845709E-3</v>
      </c>
      <c r="D78" s="26"/>
      <c r="E78" s="239"/>
      <c r="F78" s="26"/>
      <c r="G78" s="6">
        <f t="shared" ref="G78:Q78" si="29">IF(G$4="","",ABS(G12/G$4))</f>
        <v>8.6927630990723849E-3</v>
      </c>
      <c r="H78" s="6">
        <f t="shared" si="29"/>
        <v>9.1832304608240791E-3</v>
      </c>
      <c r="I78" s="6">
        <f t="shared" si="29"/>
        <v>9.2014660795733134E-3</v>
      </c>
      <c r="J78" s="6">
        <f t="shared" si="29"/>
        <v>1.1077620766099928E-2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67" t="s">
        <v>137</v>
      </c>
      <c r="C79" s="75">
        <f>C13/C4</f>
        <v>3.9086921133773919E-2</v>
      </c>
      <c r="D79" s="26"/>
      <c r="E79" s="239"/>
      <c r="F79" s="26"/>
      <c r="G79" s="62">
        <f t="shared" ref="G79:Q79" si="30">IF(G$4="","",G13/G$4)</f>
        <v>4.6343249224001092E-2</v>
      </c>
      <c r="H79" s="62">
        <f t="shared" si="30"/>
        <v>5.5697205471090153E-2</v>
      </c>
      <c r="I79" s="62">
        <f t="shared" si="30"/>
        <v>1.7788665081222912E-2</v>
      </c>
      <c r="J79" s="62">
        <f t="shared" si="30"/>
        <v>7.5896514903138587E-4</v>
      </c>
      <c r="K79" s="62">
        <f t="shared" si="30"/>
        <v>-1.3021697865213639E-2</v>
      </c>
      <c r="L79" s="62">
        <f t="shared" si="30"/>
        <v>3.1299128969545391E-2</v>
      </c>
      <c r="M79" s="62">
        <f t="shared" si="30"/>
        <v>8.1167823950482956E-2</v>
      </c>
      <c r="N79" s="62">
        <f t="shared" si="30"/>
        <v>6.921340736329204E-2</v>
      </c>
      <c r="O79" s="62">
        <f t="shared" si="30"/>
        <v>7.9314783980569611E-2</v>
      </c>
      <c r="P79" s="62">
        <f t="shared" si="30"/>
        <v>8.1223563453526118E-2</v>
      </c>
      <c r="Q79" s="62" t="str">
        <f t="shared" si="30"/>
        <v/>
      </c>
    </row>
    <row r="80" spans="1:17" ht="15.75" customHeight="1">
      <c r="A80" s="10"/>
      <c r="B80" s="2" t="s">
        <v>60</v>
      </c>
      <c r="C80" s="74">
        <f>ABS(C14/C$4)</f>
        <v>6.4493419870726969E-3</v>
      </c>
      <c r="D80" s="26"/>
      <c r="E80" s="239"/>
      <c r="F80" s="26"/>
      <c r="G80" s="6">
        <f t="shared" ref="G80:Q80" si="31">IF(G$4="","",ABS(G14/G$4))</f>
        <v>3.7711023063222333E-3</v>
      </c>
      <c r="H80" s="6">
        <f t="shared" si="31"/>
        <v>6.4791267831175213E-3</v>
      </c>
      <c r="I80" s="6">
        <f t="shared" si="31"/>
        <v>4.1112685822759691E-3</v>
      </c>
      <c r="J80" s="6">
        <f t="shared" si="31"/>
        <v>3.7208575112272304E-3</v>
      </c>
      <c r="K80" s="6">
        <f t="shared" si="31"/>
        <v>4.4675097981831191E-3</v>
      </c>
      <c r="L80" s="6">
        <f t="shared" si="31"/>
        <v>5.0070971130955705E-3</v>
      </c>
      <c r="M80" s="6">
        <f t="shared" si="31"/>
        <v>1.5282762901254939E-2</v>
      </c>
      <c r="N80" s="6">
        <f t="shared" si="31"/>
        <v>1.4470538300132698E-2</v>
      </c>
      <c r="O80" s="6">
        <f t="shared" si="31"/>
        <v>1.3784469723740643E-2</v>
      </c>
      <c r="P80" s="6">
        <f t="shared" si="31"/>
        <v>1.4565935825993739E-2</v>
      </c>
      <c r="Q80" s="6" t="str">
        <f t="shared" si="31"/>
        <v/>
      </c>
    </row>
    <row r="81" spans="1:17" ht="15.75" customHeight="1">
      <c r="A81" s="10"/>
      <c r="B81" s="38" t="str">
        <f>B15</f>
        <v>NCI’s Share of Profits</v>
      </c>
      <c r="C81" s="238">
        <f>MIN(BS!C62,MAX(G81:K81))</f>
        <v>3.176685498586024E-4</v>
      </c>
      <c r="D81" s="26"/>
      <c r="E81" s="239"/>
      <c r="F81" s="26"/>
      <c r="G81" s="6">
        <f t="shared" ref="G81:Q81" si="32">IF(G$4="","",-G15/G$4)</f>
        <v>2.7625028345706632E-4</v>
      </c>
      <c r="H81" s="6">
        <f t="shared" si="32"/>
        <v>3.176685498586024E-4</v>
      </c>
      <c r="I81" s="6">
        <f t="shared" si="32"/>
        <v>1.0393761549662489E-4</v>
      </c>
      <c r="J81" s="6">
        <f t="shared" si="32"/>
        <v>2.1787905395210096E-4</v>
      </c>
      <c r="K81" s="6">
        <f t="shared" si="32"/>
        <v>2.1149032915788871E-4</v>
      </c>
      <c r="L81" s="6">
        <f t="shared" si="32"/>
        <v>9.4435619709266379E-5</v>
      </c>
      <c r="M81" s="6">
        <f t="shared" si="32"/>
        <v>2.1486050608420201E-4</v>
      </c>
      <c r="N81" s="6">
        <f t="shared" si="32"/>
        <v>1.4713911136757617E-4</v>
      </c>
      <c r="O81" s="6">
        <f t="shared" si="32"/>
        <v>2.9131395512903816E-6</v>
      </c>
      <c r="P81" s="6">
        <f t="shared" si="32"/>
        <v>0</v>
      </c>
      <c r="Q81" s="6" t="str">
        <f t="shared" si="32"/>
        <v/>
      </c>
    </row>
    <row r="82" spans="1:17" ht="15.75" customHeight="1">
      <c r="A82" s="10"/>
      <c r="B82" s="39" t="s">
        <v>129</v>
      </c>
      <c r="C82" s="75">
        <f>ABS(C16/C$4)</f>
        <v>3.2319910596842617E-2</v>
      </c>
      <c r="D82" s="26"/>
      <c r="E82" s="239"/>
      <c r="F82" s="26"/>
      <c r="G82" s="62">
        <f t="shared" ref="G82:Q82" si="33">IF(G$4="","",ABS(G16/G$4))</f>
        <v>4.2295896634221793E-2</v>
      </c>
      <c r="H82" s="62">
        <f t="shared" si="33"/>
        <v>4.8900410138114025E-2</v>
      </c>
      <c r="I82" s="62">
        <f t="shared" si="33"/>
        <v>1.3573458883450318E-2</v>
      </c>
      <c r="J82" s="62">
        <f t="shared" si="33"/>
        <v>3.1797714161479456E-3</v>
      </c>
      <c r="K82" s="62">
        <f t="shared" si="33"/>
        <v>1.7700697992554647E-2</v>
      </c>
      <c r="L82" s="62">
        <f t="shared" si="33"/>
        <v>2.6197596236740554E-2</v>
      </c>
      <c r="M82" s="62">
        <f t="shared" si="33"/>
        <v>6.567020054314382E-2</v>
      </c>
      <c r="N82" s="62">
        <f t="shared" si="33"/>
        <v>5.4595729951791766E-2</v>
      </c>
      <c r="O82" s="62">
        <f t="shared" si="33"/>
        <v>6.5527401117277673E-2</v>
      </c>
      <c r="P82" s="62">
        <f t="shared" si="33"/>
        <v>6.6657627627532384E-2</v>
      </c>
      <c r="Q82" s="62" t="str">
        <f t="shared" si="33"/>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3.2319910596842617E-2</v>
      </c>
      <c r="D85" s="72"/>
      <c r="E85" s="239"/>
      <c r="F85" s="72"/>
      <c r="G85" s="62">
        <f t="shared" ref="G85:Q85" si="34">IF(G$4="","",ABS(G19/G$4))</f>
        <v>4.2295896634221793E-2</v>
      </c>
      <c r="H85" s="62">
        <f t="shared" si="34"/>
        <v>4.8900410138114025E-2</v>
      </c>
      <c r="I85" s="62">
        <f t="shared" si="34"/>
        <v>1.3573458883450318E-2</v>
      </c>
      <c r="J85" s="62">
        <f t="shared" si="34"/>
        <v>3.1797714161479456E-3</v>
      </c>
      <c r="K85" s="62">
        <f t="shared" si="34"/>
        <v>1.7700697992554647E-2</v>
      </c>
      <c r="L85" s="62">
        <f t="shared" si="34"/>
        <v>2.6197596236740554E-2</v>
      </c>
      <c r="M85" s="62">
        <f t="shared" si="34"/>
        <v>6.567020054314382E-2</v>
      </c>
      <c r="N85" s="62">
        <f t="shared" si="34"/>
        <v>5.4595729951791766E-2</v>
      </c>
      <c r="O85" s="62">
        <f t="shared" si="34"/>
        <v>6.5527401117277673E-2</v>
      </c>
      <c r="P85" s="62">
        <f t="shared" si="34"/>
        <v>6.6657627627532384E-2</v>
      </c>
      <c r="Q85" s="62" t="str">
        <f t="shared" si="34"/>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5">IF(G$4="","",G88*Common_Shares/scaling_factor)</f>
        <v>232001.61320000002</v>
      </c>
      <c r="H89" s="71">
        <f t="shared" si="35"/>
        <v>330602.29880999995</v>
      </c>
      <c r="I89" s="71">
        <f t="shared" si="35"/>
        <v>220401.53253999999</v>
      </c>
      <c r="J89" s="71">
        <f t="shared" si="35"/>
        <v>220401.53253999999</v>
      </c>
      <c r="K89" s="71">
        <f t="shared" si="35"/>
        <v>0</v>
      </c>
      <c r="L89" s="71">
        <f t="shared" si="35"/>
        <v>0</v>
      </c>
      <c r="M89" s="71">
        <f t="shared" si="35"/>
        <v>0</v>
      </c>
      <c r="N89" s="71">
        <f t="shared" si="35"/>
        <v>0</v>
      </c>
      <c r="O89" s="71">
        <f t="shared" si="35"/>
        <v>0</v>
      </c>
      <c r="P89" s="71">
        <f t="shared" si="35"/>
        <v>0</v>
      </c>
      <c r="Q89" s="71" t="str">
        <f t="shared" si="35"/>
        <v/>
      </c>
    </row>
    <row r="90" spans="1:17" ht="15.75" customHeight="1">
      <c r="A90" s="10"/>
      <c r="B90" s="2" t="s">
        <v>182</v>
      </c>
      <c r="C90" s="22">
        <f>C88/(C19*scaling_factor/Common_Shares)</f>
        <v>0.87559945730779254</v>
      </c>
      <c r="E90" s="242"/>
      <c r="G90" s="153">
        <f t="shared" ref="G90:Q90" si="36">IF(G$4="","",G88/(G19*scaling_factor/Common_Shares))</f>
        <v>0.64017283745331399</v>
      </c>
      <c r="H90" s="153">
        <f t="shared" si="36"/>
        <v>0.77785953787744866</v>
      </c>
      <c r="I90" s="153">
        <f t="shared" si="36"/>
        <v>2.0236284515684848</v>
      </c>
      <c r="J90" s="153">
        <f t="shared" si="36"/>
        <v>-9.2310454764934455</v>
      </c>
      <c r="K90" s="153">
        <f t="shared" si="36"/>
        <v>0</v>
      </c>
      <c r="L90" s="153">
        <f t="shared" si="36"/>
        <v>0</v>
      </c>
      <c r="M90" s="153">
        <f t="shared" si="36"/>
        <v>0</v>
      </c>
      <c r="N90" s="153">
        <f t="shared" si="36"/>
        <v>0</v>
      </c>
      <c r="O90" s="153">
        <f t="shared" si="36"/>
        <v>0</v>
      </c>
      <c r="P90" s="153">
        <f t="shared" si="36"/>
        <v>0</v>
      </c>
      <c r="Q90" s="153" t="str">
        <f t="shared" si="36"/>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6.1919504643962855E-2</v>
      </c>
      <c r="E92" s="242"/>
      <c r="G92" s="22">
        <f t="shared" ref="G92:Q92" si="37">IF(G$4="","",(G88*(1-dividend_tax_rate))/Market_Price)</f>
        <v>6.1919504643962855E-2</v>
      </c>
      <c r="H92" s="22">
        <f t="shared" si="37"/>
        <v>8.8235294117647051E-2</v>
      </c>
      <c r="I92" s="22">
        <f t="shared" si="37"/>
        <v>5.8823529411764705E-2</v>
      </c>
      <c r="J92" s="22">
        <f t="shared" si="37"/>
        <v>5.8823529411764705E-2</v>
      </c>
      <c r="K92" s="22">
        <f t="shared" si="37"/>
        <v>0</v>
      </c>
      <c r="L92" s="22">
        <f t="shared" si="37"/>
        <v>0</v>
      </c>
      <c r="M92" s="22">
        <f t="shared" si="37"/>
        <v>0</v>
      </c>
      <c r="N92" s="22">
        <f t="shared" si="37"/>
        <v>0</v>
      </c>
      <c r="O92" s="22">
        <f t="shared" si="37"/>
        <v>0</v>
      </c>
      <c r="P92" s="22">
        <f t="shared" si="37"/>
        <v>0</v>
      </c>
      <c r="Q92" s="22" t="str">
        <f t="shared" si="37"/>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8">IF(H4="","",G4/H4-1)</f>
        <v>-1.4167027845414459E-2</v>
      </c>
      <c r="H95" s="6">
        <f t="shared" si="38"/>
        <v>8.3175640612140223E-2</v>
      </c>
      <c r="I95" s="6">
        <f t="shared" si="38"/>
        <v>6.862537627752574E-2</v>
      </c>
      <c r="J95" s="6">
        <f t="shared" si="38"/>
        <v>0.11833003065865078</v>
      </c>
      <c r="K95" s="6">
        <f t="shared" si="38"/>
        <v>-0.15682868110233994</v>
      </c>
      <c r="L95" s="6">
        <f t="shared" si="38"/>
        <v>-6.2490382784881726E-2</v>
      </c>
      <c r="M95" s="6">
        <f t="shared" si="38"/>
        <v>7.8890295807758637E-3</v>
      </c>
      <c r="N95" s="6">
        <f t="shared" si="38"/>
        <v>6.7399536582826602E-2</v>
      </c>
      <c r="O95" s="6">
        <f t="shared" si="38"/>
        <v>4.335646481593658E-2</v>
      </c>
      <c r="P95" s="6" t="str">
        <f t="shared" si="38"/>
        <v/>
      </c>
      <c r="Q95" s="6" t="str">
        <f t="shared" si="38"/>
        <v/>
      </c>
    </row>
    <row r="96" spans="1:17" ht="15.75" customHeight="1">
      <c r="A96" s="10"/>
      <c r="B96" s="67" t="s">
        <v>137</v>
      </c>
      <c r="C96" s="74">
        <f>C13/G13-1</f>
        <v>-0.19301617981826813</v>
      </c>
      <c r="D96" s="26"/>
      <c r="E96" s="239"/>
      <c r="F96" s="26"/>
      <c r="G96" s="6">
        <f t="shared" ref="G96:Q96" si="39">IF(H5="","",G13/H13-1)</f>
        <v>-0.17973078298315082</v>
      </c>
      <c r="H96" s="6">
        <f t="shared" si="39"/>
        <v>2.3914774347028516</v>
      </c>
      <c r="I96" s="6">
        <f t="shared" si="39"/>
        <v>24.04649777418253</v>
      </c>
      <c r="J96" s="6">
        <f t="shared" si="39"/>
        <v>-1.0651814784193805</v>
      </c>
      <c r="K96" s="6">
        <f t="shared" si="39"/>
        <v>-1.3507932177276338</v>
      </c>
      <c r="L96" s="6">
        <f t="shared" si="39"/>
        <v>-0.63848686596173643</v>
      </c>
      <c r="M96" s="6">
        <f t="shared" si="39"/>
        <v>0.18196982970705777</v>
      </c>
      <c r="N96" s="6">
        <f t="shared" si="39"/>
        <v>-6.8542392260755536E-2</v>
      </c>
      <c r="O96" s="6">
        <f t="shared" si="39"/>
        <v>1.8837257355202253E-2</v>
      </c>
      <c r="P96" s="6" t="str">
        <f t="shared" si="39"/>
        <v/>
      </c>
      <c r="Q96" s="6" t="str">
        <f t="shared" si="39"/>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0">IF(G$4="","",G104+G103)</f>
        <v>5980230</v>
      </c>
      <c r="H100" s="278">
        <f t="shared" si="40"/>
        <v>6513924</v>
      </c>
      <c r="I100" s="278">
        <f t="shared" si="40"/>
        <v>7175340</v>
      </c>
      <c r="J100" s="278">
        <f t="shared" si="40"/>
        <v>6871846</v>
      </c>
      <c r="K100" s="278">
        <f t="shared" si="40"/>
        <v>7154673</v>
      </c>
      <c r="L100" s="278">
        <f t="shared" si="40"/>
        <v>6220758</v>
      </c>
      <c r="M100" s="278">
        <f t="shared" si="40"/>
        <v>4494090</v>
      </c>
      <c r="N100" s="278">
        <f t="shared" si="40"/>
        <v>4616329</v>
      </c>
      <c r="O100" s="278">
        <f t="shared" si="40"/>
        <v>4436810</v>
      </c>
      <c r="P100" s="278">
        <f t="shared" si="40"/>
        <v>4445187</v>
      </c>
      <c r="Q100" s="278" t="str">
        <f t="shared" si="40"/>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1">IF(G$4="","",G101/G$4)</f>
        <v>1.0437288909829083E-2</v>
      </c>
      <c r="H107" s="91">
        <f t="shared" si="41"/>
        <v>8.7290393120870863E-3</v>
      </c>
      <c r="I107" s="91">
        <f t="shared" si="41"/>
        <v>6.3567697285807504E-3</v>
      </c>
      <c r="J107" s="91">
        <f t="shared" si="41"/>
        <v>4.9709985133350367E-3</v>
      </c>
      <c r="K107" s="91">
        <f t="shared" si="41"/>
        <v>7.4739490829585711E-3</v>
      </c>
      <c r="L107" s="91">
        <f t="shared" si="41"/>
        <v>0</v>
      </c>
      <c r="M107" s="91">
        <f t="shared" si="41"/>
        <v>0</v>
      </c>
      <c r="N107" s="91">
        <f t="shared" si="41"/>
        <v>0</v>
      </c>
      <c r="O107" s="91">
        <f t="shared" si="41"/>
        <v>0</v>
      </c>
      <c r="P107" s="91">
        <f t="shared" si="41"/>
        <v>0</v>
      </c>
      <c r="Q107" s="91" t="str">
        <f t="shared" si="41"/>
        <v/>
      </c>
    </row>
    <row r="108" spans="1:17" ht="15.75" customHeight="1">
      <c r="A108" s="10"/>
      <c r="B108" s="25" t="s">
        <v>187</v>
      </c>
      <c r="C108" s="91">
        <f>C102/C$4</f>
        <v>2.691305342616861E-2</v>
      </c>
      <c r="D108" s="25"/>
      <c r="E108" s="243"/>
      <c r="F108" s="25"/>
      <c r="G108" s="91">
        <f t="shared" ref="G108:Q108" si="42">IF(G$4="","",G102/G$4)</f>
        <v>2.6876690019755338E-2</v>
      </c>
      <c r="H108" s="91">
        <f t="shared" si="42"/>
        <v>3.0862863027787426E-2</v>
      </c>
      <c r="I108" s="91">
        <f t="shared" si="42"/>
        <v>3.7829054775871118E-2</v>
      </c>
      <c r="J108" s="91">
        <f t="shared" si="42"/>
        <v>3.1286686351249003E-2</v>
      </c>
      <c r="K108" s="91">
        <f t="shared" si="42"/>
        <v>3.8816815864157674E-2</v>
      </c>
      <c r="L108" s="91">
        <f t="shared" si="42"/>
        <v>0</v>
      </c>
      <c r="M108" s="91">
        <f t="shared" si="42"/>
        <v>0</v>
      </c>
      <c r="N108" s="91">
        <f t="shared" si="42"/>
        <v>0</v>
      </c>
      <c r="O108" s="91">
        <f t="shared" si="42"/>
        <v>0</v>
      </c>
      <c r="P108" s="91">
        <f t="shared" si="42"/>
        <v>0</v>
      </c>
      <c r="Q108" s="91" t="str">
        <f t="shared" si="42"/>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307</v>
      </c>
      <c r="C113" s="152"/>
      <c r="E113" s="242"/>
      <c r="G113" s="258">
        <f>IF(G$4="","",Data!C$22/G19)</f>
        <v>4.1693697896197204</v>
      </c>
      <c r="H113" s="258">
        <f>IF(H$4="","",Data!D$22/H19)</f>
        <v>3.9131615433882119</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C79</f>
        <v>3.9086921133773919E-2</v>
      </c>
      <c r="E116" s="242"/>
      <c r="G116" s="22">
        <f>IF(G4="","",G79)</f>
        <v>4.6343249224001092E-2</v>
      </c>
      <c r="H116" s="22">
        <f t="shared" ref="H116:Q116" si="43">IF(H4="","",H79)</f>
        <v>5.5697205471090153E-2</v>
      </c>
      <c r="I116" s="22">
        <f t="shared" si="43"/>
        <v>1.7788665081222912E-2</v>
      </c>
      <c r="J116" s="22">
        <f t="shared" si="43"/>
        <v>7.5896514903138587E-4</v>
      </c>
      <c r="K116" s="22">
        <f t="shared" si="43"/>
        <v>-1.3021697865213639E-2</v>
      </c>
      <c r="L116" s="22">
        <f t="shared" si="43"/>
        <v>3.1299128969545391E-2</v>
      </c>
      <c r="M116" s="22">
        <f t="shared" si="43"/>
        <v>8.1167823950482956E-2</v>
      </c>
      <c r="N116" s="22">
        <f t="shared" si="43"/>
        <v>6.921340736329204E-2</v>
      </c>
      <c r="O116" s="22">
        <f t="shared" si="43"/>
        <v>7.9314783980569611E-2</v>
      </c>
      <c r="P116" s="22">
        <f t="shared" si="43"/>
        <v>8.1223563453526118E-2</v>
      </c>
      <c r="Q116" s="22" t="str">
        <f t="shared" si="43"/>
        <v/>
      </c>
    </row>
    <row r="117" spans="1:17" ht="15.75" customHeight="1">
      <c r="B117" s="7" t="s">
        <v>80</v>
      </c>
      <c r="C117" s="40">
        <f>C4/C100</f>
        <v>1.3708738209065539</v>
      </c>
      <c r="E117" s="242"/>
      <c r="G117" s="40">
        <f>IF(G4="","",G4/G100)</f>
        <v>1.4327738230803833</v>
      </c>
      <c r="H117" s="40">
        <f t="shared" ref="H117:Q117" si="44">IF(H4="","",H4/H100)</f>
        <v>1.3342877503636825</v>
      </c>
      <c r="I117" s="40">
        <f t="shared" si="44"/>
        <v>1.1182806668394807</v>
      </c>
      <c r="J117" s="40">
        <f t="shared" si="44"/>
        <v>1.0926835380187507</v>
      </c>
      <c r="K117" s="40">
        <f t="shared" si="44"/>
        <v>0.93844330831052658</v>
      </c>
      <c r="L117" s="40">
        <f t="shared" si="44"/>
        <v>1.2800846777836399</v>
      </c>
      <c r="M117" s="40">
        <f t="shared" si="44"/>
        <v>1.8900117710148217</v>
      </c>
      <c r="N117" s="40">
        <f t="shared" si="44"/>
        <v>1.8255629094026877</v>
      </c>
      <c r="O117" s="40">
        <f t="shared" si="44"/>
        <v>1.7794906700985618</v>
      </c>
      <c r="P117" s="40">
        <f t="shared" si="44"/>
        <v>1.7023301831846445</v>
      </c>
      <c r="Q117" s="40" t="str">
        <f t="shared" si="44"/>
        <v/>
      </c>
    </row>
    <row r="118" spans="1:17" ht="15.75" customHeight="1">
      <c r="B118" s="7" t="s">
        <v>88</v>
      </c>
      <c r="C118" s="15">
        <f>C100/C104</f>
        <v>2.1787997096988563</v>
      </c>
      <c r="D118" s="11"/>
      <c r="E118" s="246"/>
      <c r="F118" s="11"/>
      <c r="G118" s="15">
        <f t="shared" ref="G118:Q118" si="45">IF(G$4="","",G100/G104)</f>
        <v>2.1787997096988563</v>
      </c>
      <c r="H118" s="15">
        <f t="shared" si="45"/>
        <v>2.2380673097835331</v>
      </c>
      <c r="I118" s="15">
        <f t="shared" si="45"/>
        <v>2.5699061948100743</v>
      </c>
      <c r="J118" s="15">
        <f t="shared" si="45"/>
        <v>2.4313276082163164</v>
      </c>
      <c r="K118" s="15">
        <f t="shared" si="45"/>
        <v>2.3575155296694779</v>
      </c>
      <c r="L118" s="15">
        <f t="shared" si="45"/>
        <v>2.3287276065094606</v>
      </c>
      <c r="M118" s="15">
        <f t="shared" si="45"/>
        <v>1.3133893475560752</v>
      </c>
      <c r="N118" s="15">
        <f t="shared" si="45"/>
        <v>1.2918228627396111</v>
      </c>
      <c r="O118" s="15">
        <f t="shared" si="45"/>
        <v>1.2708844153165746</v>
      </c>
      <c r="P118" s="15">
        <f t="shared" si="45"/>
        <v>1.2549945694476872</v>
      </c>
      <c r="Q118" s="15" t="str">
        <f t="shared" si="45"/>
        <v/>
      </c>
    </row>
    <row r="119" spans="1:17" ht="15.75" customHeight="1">
      <c r="A119" s="10"/>
      <c r="B119" s="67" t="s">
        <v>191</v>
      </c>
      <c r="C119" s="99">
        <f>C13/C104</f>
        <v>0.1167471410506614</v>
      </c>
      <c r="D119" s="100"/>
      <c r="E119" s="245"/>
      <c r="F119" s="100"/>
      <c r="G119" s="99">
        <f t="shared" ref="G119:Q119" si="46">IF(G$4="","",G13/G104)</f>
        <v>0.14467098116585544</v>
      </c>
      <c r="H119" s="99">
        <f t="shared" si="46"/>
        <v>0.16632443173918174</v>
      </c>
      <c r="I119" s="99">
        <f t="shared" si="46"/>
        <v>5.1122425000079234E-2</v>
      </c>
      <c r="J119" s="99">
        <f t="shared" si="46"/>
        <v>2.0163211970682122E-3</v>
      </c>
      <c r="K119" s="99">
        <f t="shared" si="46"/>
        <v>-2.880913499114944E-2</v>
      </c>
      <c r="L119" s="99">
        <f t="shared" si="46"/>
        <v>9.3301718406535811E-2</v>
      </c>
      <c r="M119" s="99">
        <f t="shared" si="46"/>
        <v>0.20148462044275589</v>
      </c>
      <c r="N119" s="99">
        <f t="shared" si="46"/>
        <v>0.1632262487757101</v>
      </c>
      <c r="O119" s="99">
        <f t="shared" si="46"/>
        <v>0.17937252228511194</v>
      </c>
      <c r="P119" s="99">
        <f t="shared" si="46"/>
        <v>0.1735272503054068</v>
      </c>
      <c r="Q119" s="99" t="str">
        <f t="shared" si="46"/>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C16*$C$3/Common_Shares*Exchange_Rate</f>
        <v>0.45682988569897115</v>
      </c>
      <c r="D123" s="26"/>
      <c r="E123" s="239"/>
      <c r="F123" s="26"/>
      <c r="G123" s="160">
        <f t="shared" ref="G123:Q123" si="47">IF(G$4="","",G16*$C$3/Common_Shares*Exchange_Rate)</f>
        <v>0.62483125899444447</v>
      </c>
      <c r="H123" s="160">
        <f t="shared" si="47"/>
        <v>0.73278011291776834</v>
      </c>
      <c r="I123" s="160">
        <f t="shared" si="47"/>
        <v>0.18778150687961892</v>
      </c>
      <c r="J123" s="160">
        <f t="shared" si="47"/>
        <v>-4.1165434724339464E-2</v>
      </c>
      <c r="K123" s="160">
        <f t="shared" si="47"/>
        <v>-0.20490719587806727</v>
      </c>
      <c r="L123" s="160">
        <f t="shared" si="47"/>
        <v>0.35967680935073776</v>
      </c>
      <c r="M123" s="160">
        <f t="shared" si="47"/>
        <v>0.96170883004877317</v>
      </c>
      <c r="N123" s="160">
        <f t="shared" si="47"/>
        <v>0.79327034610464509</v>
      </c>
      <c r="O123" s="160">
        <f t="shared" si="47"/>
        <v>0.89198690106349654</v>
      </c>
      <c r="P123" s="160">
        <f t="shared" si="47"/>
        <v>0.869666366613006</v>
      </c>
      <c r="Q123" s="160" t="str">
        <f t="shared" si="47"/>
        <v/>
      </c>
    </row>
    <row r="124" spans="1:17" ht="15.75" customHeight="1">
      <c r="A124" s="10"/>
      <c r="B124" s="26" t="s">
        <v>226</v>
      </c>
      <c r="C124" s="74">
        <f>C19*Exchange_Rate*$C$3/(Market_Price*Common_Shares)</f>
        <v>7.0716700572596158E-2</v>
      </c>
      <c r="D124" s="26"/>
      <c r="E124" s="239"/>
      <c r="F124" s="26"/>
      <c r="G124" s="74">
        <f t="shared" ref="G124" si="48">IF(G$4="","",G123/Market_Price)</f>
        <v>9.6723105107499138E-2</v>
      </c>
      <c r="H124" s="74">
        <f t="shared" ref="H124" si="49">IF(H$4="","",H123/Market_Price)</f>
        <v>0.11343345401203844</v>
      </c>
      <c r="I124" s="74">
        <f t="shared" ref="I124" si="50">IF(I$4="","",I123/Market_Price)</f>
        <v>2.9068344718207264E-2</v>
      </c>
      <c r="J124" s="74">
        <f t="shared" ref="J124" si="51">IF(J$4="","",J123/Market_Price)</f>
        <v>-6.3723583164612173E-3</v>
      </c>
      <c r="K124" s="74">
        <f t="shared" ref="K124" si="52">IF(K$4="","",K123/Market_Price)</f>
        <v>-3.1719380166883478E-2</v>
      </c>
      <c r="L124" s="74">
        <f t="shared" ref="L124" si="53">IF(L$4="","",L123/Market_Price)</f>
        <v>5.567752466729687E-2</v>
      </c>
      <c r="M124" s="74">
        <f t="shared" ref="M124" si="54">IF(M$4="","",M123/Market_Price)</f>
        <v>0.14887133592086271</v>
      </c>
      <c r="N124" s="74">
        <f t="shared" ref="N124" si="55">IF(N$4="","",N123/Market_Price)</f>
        <v>0.12279726719886147</v>
      </c>
      <c r="O124" s="74">
        <f t="shared" ref="O124" si="56">IF(O$4="","",O123/Market_Price)</f>
        <v>0.138078467656888</v>
      </c>
      <c r="P124" s="74">
        <f t="shared" ref="P124" si="57">IF(P$4="","",P123/Market_Price)</f>
        <v>0.13462327656548082</v>
      </c>
      <c r="Q124" s="74" t="str">
        <f t="shared" ref="Q124" si="58">IF(Q$4="","",Q123/Market_Price)</f>
        <v/>
      </c>
    </row>
    <row r="125" spans="1:17" ht="15.75" customHeight="1">
      <c r="B125" s="2" t="s">
        <v>309</v>
      </c>
      <c r="C125" s="152"/>
      <c r="G125" s="22">
        <f>IF(G$4="","",(Data!C47*$C$3)/(Market_Price*Common_Shares))</f>
        <v>6.2749376849362146E-2</v>
      </c>
      <c r="H125" s="22">
        <f>IF(H$4="","",(Data!D47*$C$3)/(Market_Price*Common_Shares))</f>
        <v>8.8932604628708167E-2</v>
      </c>
      <c r="I125" s="22">
        <f>IF(I$4="","",(Data!E47*$C$3)/(Market_Price*Common_Shares))</f>
        <v>2.9674983151575334E-2</v>
      </c>
      <c r="J125" s="22">
        <f>IF(J$4="","",(Data!F47*$C$3)/(Market_Price*Common_Shares))</f>
        <v>6.0984950130275693E-3</v>
      </c>
      <c r="K125" s="22">
        <f>IF(K$4="","",(Data!G47*$C$3)/(Market_Price*Common_Shares))</f>
        <v>9.6228112776677907E-2</v>
      </c>
      <c r="L125" s="22">
        <f>IF(L$4="","",(Data!H47*$C$3)/(Market_Price*Common_Shares))</f>
        <v>1.9853070023591633E-2</v>
      </c>
      <c r="M125" s="22">
        <f>IF(M$4="","",(Data!I47*$C$3)/(Market_Price*Common_Shares))</f>
        <v>0.15802975414283388</v>
      </c>
      <c r="N125" s="22">
        <f>IF(N$4="","",(Data!J47*$C$3)/(Market_Price*Common_Shares))</f>
        <v>0.1225824186874616</v>
      </c>
      <c r="O125" s="22">
        <f>IF(O$4="","",(Data!K47*$C$3)/(Market_Price*Common_Shares))</f>
        <v>0.1344738167314635</v>
      </c>
      <c r="P125" s="22">
        <f>IF(P$4="","",(Data!L47*$C$3)/(Market_Price*Common_Shares))</f>
        <v>0.13821298150750361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B73" sqref="B73:D73"/>
    </sheetView>
  </sheetViews>
  <sheetFormatPr defaultColWidth="8.86328125" defaultRowHeight="12.75"/>
  <cols>
    <col min="1" max="1" width="6.1328125" customWidth="1"/>
    <col min="2" max="9" width="20.73046875" customWidth="1"/>
    <col min="10" max="11" width="11.19921875" customWidth="1"/>
    <col min="12" max="12" width="20.73046875" customWidth="1"/>
    <col min="13" max="13" width="5.73046875" customWidth="1"/>
  </cols>
  <sheetData>
    <row r="2" spans="2:15" ht="13.9">
      <c r="B2" s="34" t="s">
        <v>52</v>
      </c>
      <c r="C2" s="35"/>
      <c r="D2" s="35"/>
      <c r="E2" s="35"/>
      <c r="F2" s="35"/>
      <c r="G2" s="35"/>
      <c r="H2" s="35"/>
      <c r="I2" s="35"/>
      <c r="J2" s="35"/>
      <c r="K2" s="35"/>
      <c r="L2" s="35"/>
    </row>
    <row r="3" spans="2:15" ht="13.15">
      <c r="B3" s="106" t="s">
        <v>136</v>
      </c>
      <c r="C3" s="104">
        <f>scaling_factor</f>
        <v>1000</v>
      </c>
      <c r="E3" s="106" t="s">
        <v>435</v>
      </c>
      <c r="H3" s="106" t="s">
        <v>423</v>
      </c>
    </row>
    <row r="4" spans="2:15">
      <c r="B4" s="97" t="s">
        <v>398</v>
      </c>
      <c r="C4" s="283">
        <f>Normalized_FCF!C19</f>
        <v>264963.17610033229</v>
      </c>
      <c r="D4" t="str">
        <f>Reporting_currency</f>
        <v>HKD</v>
      </c>
      <c r="E4" s="136" t="s">
        <v>442</v>
      </c>
      <c r="F4" s="283">
        <f>-BS!G31</f>
        <v>-2134310</v>
      </c>
      <c r="G4" t="str">
        <f>Reporting_currency</f>
        <v>HKD</v>
      </c>
      <c r="H4" s="316" t="s">
        <v>399</v>
      </c>
      <c r="I4" s="313">
        <f>Normalized_FCF!C4</f>
        <v>8198140.75</v>
      </c>
      <c r="J4" s="313"/>
    </row>
    <row r="5" spans="2:15">
      <c r="B5" s="188" t="s">
        <v>105</v>
      </c>
      <c r="C5" s="189">
        <f>Equity_Cost</f>
        <v>7.4999999999999997E-2</v>
      </c>
      <c r="E5" s="136" t="s">
        <v>443</v>
      </c>
      <c r="F5" s="283">
        <f>BS!D66</f>
        <v>384381.13325594889</v>
      </c>
      <c r="G5" t="str">
        <f>Reporting_currency</f>
        <v>HKD</v>
      </c>
      <c r="H5" s="316" t="s">
        <v>401</v>
      </c>
      <c r="I5" s="313">
        <f>Normalized_FCF!C7</f>
        <v>-494493</v>
      </c>
      <c r="J5" s="313"/>
    </row>
    <row r="6" spans="2:15" ht="13.35" customHeight="1">
      <c r="B6" s="137" t="s">
        <v>194</v>
      </c>
      <c r="C6" s="291">
        <f>(C4*(1+Terminal_Growth))/(Equity_Cost-Terminal_Growth)</f>
        <v>3532842.3480044305</v>
      </c>
      <c r="D6" t="str">
        <f>Reporting_currency</f>
        <v>HKD</v>
      </c>
      <c r="E6" s="188" t="s">
        <v>444</v>
      </c>
      <c r="F6" s="292">
        <f>BS!H42</f>
        <v>63482.2</v>
      </c>
      <c r="G6" t="str">
        <f>Reporting_currency</f>
        <v>HKD</v>
      </c>
      <c r="H6" s="316" t="s">
        <v>425</v>
      </c>
      <c r="I6" s="313">
        <f>I7+I8</f>
        <v>-78679.881332559497</v>
      </c>
      <c r="J6" s="313"/>
      <c r="N6" s="136"/>
    </row>
    <row r="7" spans="2:15" ht="12.75" customHeight="1">
      <c r="B7" s="326" t="s">
        <v>441</v>
      </c>
      <c r="C7" s="283">
        <f>F7</f>
        <v>-1686446.6667440513</v>
      </c>
      <c r="E7" s="141" t="s">
        <v>435</v>
      </c>
      <c r="F7" s="291">
        <f>SUM(F4:F6)</f>
        <v>-1686446.6667440513</v>
      </c>
      <c r="G7" t="str">
        <f>Reporting_currency</f>
        <v>HKD</v>
      </c>
      <c r="H7" s="320" t="s">
        <v>426</v>
      </c>
      <c r="I7" s="321">
        <f>Normalized_FCF!C11</f>
        <v>0</v>
      </c>
      <c r="J7" s="321"/>
      <c r="N7" s="312"/>
      <c r="O7" s="312"/>
    </row>
    <row r="8" spans="2:15" ht="13.15">
      <c r="B8" s="137" t="s">
        <v>437</v>
      </c>
      <c r="C8" s="291">
        <f>C6+C7</f>
        <v>1846395.6812603793</v>
      </c>
      <c r="D8" t="str">
        <f>Reporting_currency</f>
        <v>HKD</v>
      </c>
      <c r="E8" s="141" t="s">
        <v>475</v>
      </c>
      <c r="F8" s="108">
        <f>FV_adjustments*scaling_factor/Common_Shares*Exchange_Rate</f>
        <v>-2.9076464486309033</v>
      </c>
      <c r="G8" s="302" t="str">
        <f>Market_currency</f>
        <v>HKD</v>
      </c>
      <c r="H8" s="322" t="str">
        <f>Normalized_FCF!B12</f>
        <v>Net Interest Income</v>
      </c>
      <c r="I8" s="321">
        <f>Normalized_FCF!C12</f>
        <v>-78679.881332559497</v>
      </c>
      <c r="J8" s="321"/>
      <c r="N8" s="312"/>
      <c r="O8" s="312"/>
    </row>
    <row r="9" spans="2:15" ht="13.15" thickBot="1">
      <c r="B9" s="190" t="str">
        <f>"*"&amp;Thesis!E15</f>
        <v>*HKD</v>
      </c>
      <c r="C9" s="191">
        <f>Exchange_Rate</f>
        <v>1</v>
      </c>
      <c r="D9" t="str">
        <f>Thesis!E15</f>
        <v>HKD</v>
      </c>
      <c r="F9" s="331"/>
      <c r="H9" s="316" t="s">
        <v>403</v>
      </c>
      <c r="I9" s="314">
        <f>Normalized_FCF!C41</f>
        <v>0.16500000000000001</v>
      </c>
      <c r="J9" s="314"/>
      <c r="N9" s="312"/>
      <c r="O9" s="312"/>
    </row>
    <row r="10" spans="2:15" ht="13.5" thickTop="1">
      <c r="B10" s="107" t="s">
        <v>438</v>
      </c>
      <c r="C10" s="291">
        <f>C8*Exchange_Rate</f>
        <v>1846395.6812603793</v>
      </c>
      <c r="D10" t="str">
        <f>Market_currency</f>
        <v>HKD</v>
      </c>
      <c r="N10" s="312"/>
      <c r="O10" s="312"/>
    </row>
    <row r="11" spans="2:15" ht="13.15">
      <c r="B11" s="137" t="s">
        <v>436</v>
      </c>
      <c r="C11" s="108">
        <f>(C10*scaling_factor)/Common_Shares</f>
        <v>3.1834186940220452</v>
      </c>
      <c r="D11" t="str">
        <f>Market_currency</f>
        <v>HKD</v>
      </c>
      <c r="E11" s="315" t="s">
        <v>414</v>
      </c>
      <c r="I11" s="315"/>
      <c r="J11" s="315"/>
    </row>
    <row r="13" spans="2:15" ht="13.9">
      <c r="B13" s="34" t="s">
        <v>439</v>
      </c>
      <c r="C13" s="35"/>
      <c r="D13" s="35"/>
      <c r="E13" s="35"/>
      <c r="F13" s="35"/>
      <c r="G13" s="35"/>
      <c r="H13" s="35"/>
      <c r="I13" s="35"/>
      <c r="J13" s="35"/>
      <c r="K13" s="35"/>
      <c r="L13" s="35"/>
    </row>
    <row r="14" spans="2:15" ht="13.15">
      <c r="B14" s="106" t="s">
        <v>405</v>
      </c>
      <c r="C14" s="317" t="s">
        <v>413</v>
      </c>
      <c r="E14" s="106" t="s">
        <v>405</v>
      </c>
      <c r="F14" s="317" t="str">
        <f>IF(F17=C17,"I","II")</f>
        <v>II</v>
      </c>
      <c r="H14" s="106" t="s">
        <v>422</v>
      </c>
    </row>
    <row r="15" spans="2:15">
      <c r="B15" s="140" t="s">
        <v>432</v>
      </c>
      <c r="C15" s="149">
        <f>Scenarios!C45</f>
        <v>5</v>
      </c>
      <c r="E15" s="316" t="str">
        <f>IF(F14="II","Change year","Terminal Year")</f>
        <v>Change year</v>
      </c>
      <c r="F15" s="318">
        <f>IF(F14="II",_xlfn.CEILING.MATH(C15/2),C15+1)</f>
        <v>3</v>
      </c>
      <c r="H15" s="97" t="s">
        <v>440</v>
      </c>
      <c r="I15" s="127">
        <f>Terminal_Growth</f>
        <v>0</v>
      </c>
      <c r="J15" s="127"/>
    </row>
    <row r="16" spans="2:15" ht="13.35" customHeight="1">
      <c r="B16" s="114" t="s">
        <v>433</v>
      </c>
      <c r="C16" s="148">
        <f>Scenarios!C46</f>
        <v>2.0194760895005222E-2</v>
      </c>
      <c r="E16" s="316" t="s">
        <v>406</v>
      </c>
      <c r="F16" s="319">
        <f>Scenarios!C41</f>
        <v>0.02</v>
      </c>
    </row>
    <row r="17" spans="1:21" ht="13.35" customHeight="1">
      <c r="B17" s="316" t="s">
        <v>400</v>
      </c>
      <c r="C17" s="314">
        <f>Normalized_FCF!C32</f>
        <v>0.89099809462634716</v>
      </c>
      <c r="E17" s="316" t="s">
        <v>407</v>
      </c>
      <c r="F17" s="319">
        <f>Scenarios!C40</f>
        <v>0.86799999999999999</v>
      </c>
      <c r="H17" s="106" t="s">
        <v>421</v>
      </c>
    </row>
    <row r="18" spans="1:21" ht="13.35" customHeight="1">
      <c r="B18" s="316" t="s">
        <v>434</v>
      </c>
      <c r="C18" s="314">
        <f>Normalized_FCF!C75-Normalized_FCF!C76</f>
        <v>0</v>
      </c>
      <c r="E18" s="316" t="s">
        <v>434</v>
      </c>
      <c r="F18" s="145">
        <f>IF(F14="II",C18/2,C18)</f>
        <v>0</v>
      </c>
      <c r="H18" s="141" t="s">
        <v>97</v>
      </c>
      <c r="I18" s="130">
        <f>(L52+FV_adjustments)*Exchange_Rate/Common_Shares*scaling_factor</f>
        <v>7.3832422893238983</v>
      </c>
      <c r="J18" t="str">
        <f>Market_currency</f>
        <v>HKD</v>
      </c>
    </row>
    <row r="19" spans="1:21">
      <c r="L19" s="283"/>
    </row>
    <row r="20" spans="1:21" ht="13.15">
      <c r="A20" s="122" t="s">
        <v>405</v>
      </c>
      <c r="B20" s="122" t="s">
        <v>98</v>
      </c>
      <c r="C20" s="122" t="s">
        <v>399</v>
      </c>
      <c r="D20" s="122" t="s">
        <v>102</v>
      </c>
      <c r="E20" s="122" t="s">
        <v>400</v>
      </c>
      <c r="F20" s="122" t="s">
        <v>401</v>
      </c>
      <c r="G20" s="122" t="s">
        <v>427</v>
      </c>
      <c r="H20" s="122" t="str">
        <f>B18</f>
        <v>D&amp;A - maint. Capx</v>
      </c>
      <c r="I20" s="122" t="s">
        <v>429</v>
      </c>
      <c r="J20" s="122" t="s">
        <v>543</v>
      </c>
      <c r="K20" s="122" t="s">
        <v>544</v>
      </c>
      <c r="L20" s="123" t="s">
        <v>430</v>
      </c>
    </row>
    <row r="21" spans="1:21">
      <c r="A21" s="310" t="str">
        <f t="shared" ref="A21:A50" si="0">IF($C$15&lt;B21,"",IF(B21&gt;=$F$15,"II","I"))</f>
        <v>I</v>
      </c>
      <c r="B21" s="118">
        <v>1</v>
      </c>
      <c r="C21" s="285">
        <f>I4*(1+D21)</f>
        <v>8363700.2422298491</v>
      </c>
      <c r="D21" s="307">
        <f t="shared" ref="D21:D50" si="1">IF(A21="",0,IF(A21="I",$C$16,$F$16))</f>
        <v>2.0194760895005222E-2</v>
      </c>
      <c r="E21" s="307">
        <f>$C$17</f>
        <v>0.89099809462634716</v>
      </c>
      <c r="F21" s="285">
        <f>I5*(1+D21)</f>
        <v>-504479.16789925384</v>
      </c>
      <c r="G21" s="285">
        <f>C21*(1-E21)+F21+$I$6</f>
        <v>328500.21314532199</v>
      </c>
      <c r="H21" s="307">
        <f t="shared" ref="H21:H50" si="2">IF(A21="",0%,IF(A21="I",$C$18,$F$18))</f>
        <v>0</v>
      </c>
      <c r="I21" s="285">
        <f>(G21+C21*H21)*(1-$I$9)</f>
        <v>274297.67797634384</v>
      </c>
      <c r="J21" s="307">
        <f>I21/C4-1</f>
        <v>3.5229430796364314E-2</v>
      </c>
      <c r="K21" s="120">
        <f t="shared" ref="K21:K50" si="3">IF($C$15&lt;B21,0,1/(1+Equity_Cost)^B21)</f>
        <v>0.93023255813953487</v>
      </c>
      <c r="L21" s="285">
        <f t="shared" ref="L21:L50" si="4">I21*K21</f>
        <v>255160.63067566868</v>
      </c>
    </row>
    <row r="22" spans="1:21">
      <c r="A22" s="310" t="str">
        <f t="shared" si="0"/>
        <v>I</v>
      </c>
      <c r="B22" s="118">
        <v>2</v>
      </c>
      <c r="C22" s="285">
        <f t="shared" ref="C22:C50" si="5">IF(A22="",0,C21*(1+D22))</f>
        <v>8532603.1688191779</v>
      </c>
      <c r="D22" s="307">
        <f t="shared" si="1"/>
        <v>2.0194760895005222E-2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 t="shared" ref="I22:I50" si="9">IF(A22="", 0,(G22+C22*H22)*(1-$I$9))</f>
        <v>281163.80335841444</v>
      </c>
      <c r="J22" s="307">
        <f>IF(A22="", 0,I22/I21-1)</f>
        <v>2.5031656967445359E-2</v>
      </c>
      <c r="K22" s="120">
        <f t="shared" si="3"/>
        <v>0.86533261222282321</v>
      </c>
      <c r="L22" s="285">
        <f t="shared" si="4"/>
        <v>243300.20842264095</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si="9"/>
        <v>455233.20341221918</v>
      </c>
      <c r="J23" s="307">
        <f t="shared" ref="J23:J50" si="10">IF(A23="", 0,I23/I22-1)</f>
        <v>0.61910316326141457</v>
      </c>
      <c r="K23" s="120">
        <f t="shared" si="3"/>
        <v>0.80496056950960304</v>
      </c>
      <c r="L23" s="285">
        <f t="shared" si="4"/>
        <v>366444.77867838094</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465651.8214987173</v>
      </c>
      <c r="J24" s="307">
        <f t="shared" si="10"/>
        <v>2.2886331683200867E-2</v>
      </c>
      <c r="K24" s="120">
        <f t="shared" si="3"/>
        <v>0.7488005297763749</v>
      </c>
      <c r="L24" s="285">
        <f t="shared" si="4"/>
        <v>348680.33062957349</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476278.81194694544</v>
      </c>
      <c r="J25" s="307">
        <f t="shared" si="10"/>
        <v>2.282175212807025E-2</v>
      </c>
      <c r="K25" s="120">
        <f t="shared" si="3"/>
        <v>0.69655863235011617</v>
      </c>
      <c r="L25" s="285">
        <f t="shared" si="4"/>
        <v>331756.1178671025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428</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(G51+C51*H51)*(1-$I$9)/Equity_Cost</f>
        <v>6350384.1592926057</v>
      </c>
      <c r="J51" s="442">
        <f>(G51+C51*H51)*(1-$I$9)/VLOOKUP(C15,B21:I50,8,FALSE)-1</f>
        <v>0</v>
      </c>
      <c r="K51" s="120">
        <f>1/(1+Equity_Cost)^C15</f>
        <v>0.69655863235011617</v>
      </c>
      <c r="L51" s="285">
        <f>I51*K51</f>
        <v>4423414.9048946993</v>
      </c>
    </row>
    <row r="52" spans="1:21" ht="13.15">
      <c r="G52" s="111"/>
      <c r="H52" s="111"/>
      <c r="I52" s="111"/>
      <c r="J52" s="441" t="s">
        <v>431</v>
      </c>
      <c r="K52" s="441"/>
      <c r="L52" s="325">
        <f>SUM(L21:L51)</f>
        <v>5968756.9711680654</v>
      </c>
    </row>
    <row r="53" spans="1:21">
      <c r="C53" s="111"/>
    </row>
    <row r="54" spans="1:21" ht="13.15">
      <c r="B54" s="115" t="s">
        <v>108</v>
      </c>
      <c r="C54" s="129"/>
      <c r="D54" s="129"/>
      <c r="E54" s="113"/>
      <c r="F54" s="113"/>
      <c r="G54" s="113"/>
      <c r="H54" s="113"/>
      <c r="I54" s="113"/>
      <c r="J54" s="113"/>
      <c r="K54" s="113"/>
      <c r="L54" s="113"/>
    </row>
    <row r="55" spans="1:21" ht="13.15">
      <c r="A55" s="126">
        <f>L52</f>
        <v>5968756.9711680654</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5706592.9650296271</v>
      </c>
      <c r="C56" s="119">
        <v>5835771.3249580022</v>
      </c>
      <c r="D56" s="119">
        <v>5966204.1945264461</v>
      </c>
      <c r="E56" s="119">
        <v>6097891.5737349428</v>
      </c>
      <c r="F56" s="119">
        <v>6230833.4625835046</v>
      </c>
      <c r="G56" s="303"/>
      <c r="H56" s="303"/>
      <c r="I56" s="303"/>
      <c r="J56" s="303"/>
      <c r="K56" s="303"/>
      <c r="L56" s="303"/>
    </row>
    <row r="57" spans="1:21" ht="13.15">
      <c r="A57" s="132">
        <v>10</v>
      </c>
      <c r="B57" s="119">
        <v>5657007.0154802334</v>
      </c>
      <c r="C57" s="119">
        <v>5904107.384358367</v>
      </c>
      <c r="D57" s="119">
        <v>6158364.3578833435</v>
      </c>
      <c r="E57" s="119">
        <v>6419917.5770003796</v>
      </c>
      <c r="F57" s="119">
        <v>6688908.04256952</v>
      </c>
      <c r="G57" s="303"/>
      <c r="H57" s="303"/>
      <c r="I57" s="303"/>
      <c r="J57" s="303"/>
      <c r="K57" s="303"/>
      <c r="L57" s="303"/>
    </row>
    <row r="58" spans="1:21" ht="13.15">
      <c r="A58" s="132">
        <v>15</v>
      </c>
      <c r="B58" s="119">
        <v>5361646.5326971374</v>
      </c>
      <c r="C58" s="285">
        <v>5751042.4838047065</v>
      </c>
      <c r="D58" s="119">
        <v>6162749.2708606413</v>
      </c>
      <c r="E58" s="119">
        <v>6597857.80189123</v>
      </c>
      <c r="F58" s="119">
        <v>7057501.8004495548</v>
      </c>
      <c r="G58" s="303"/>
      <c r="H58" s="303"/>
      <c r="I58" s="303"/>
      <c r="J58" s="303"/>
      <c r="K58" s="303"/>
      <c r="L58" s="303"/>
      <c r="M58" s="283"/>
      <c r="N58" s="283"/>
      <c r="O58" s="283"/>
      <c r="P58" s="283"/>
      <c r="Q58" s="283"/>
      <c r="R58" s="283"/>
      <c r="S58" s="283"/>
      <c r="T58" s="283"/>
      <c r="U58" s="283"/>
    </row>
    <row r="59" spans="1:21" ht="13.15">
      <c r="A59" s="133">
        <v>20</v>
      </c>
      <c r="B59" s="119">
        <v>5247789.8461047579</v>
      </c>
      <c r="C59" s="285">
        <v>5720876.4436985534</v>
      </c>
      <c r="D59" s="119">
        <v>6229853.4324367419</v>
      </c>
      <c r="E59" s="119">
        <v>6777182.2380387522</v>
      </c>
      <c r="F59" s="119">
        <v>7365469.9562814292</v>
      </c>
      <c r="G59" s="303"/>
      <c r="H59" s="303"/>
      <c r="I59" s="303"/>
      <c r="J59" s="303"/>
      <c r="K59" s="303"/>
      <c r="L59" s="303"/>
      <c r="M59" s="283"/>
      <c r="N59" s="283"/>
      <c r="O59" s="283"/>
      <c r="P59" s="283"/>
      <c r="Q59" s="283"/>
      <c r="R59" s="283"/>
      <c r="S59" s="283"/>
      <c r="T59" s="283"/>
      <c r="U59" s="283"/>
    </row>
    <row r="60" spans="1:21" ht="13.15">
      <c r="A60" s="133">
        <v>25</v>
      </c>
      <c r="B60" s="119">
        <v>4980164.8811299782</v>
      </c>
      <c r="C60" s="285">
        <v>5546530.9904946871</v>
      </c>
      <c r="D60" s="119">
        <v>6171179.7295454256</v>
      </c>
      <c r="E60" s="119">
        <v>6859829.0864592055</v>
      </c>
      <c r="F60" s="119">
        <v>7618708.2840237636</v>
      </c>
      <c r="G60" s="303"/>
      <c r="H60" s="303"/>
      <c r="I60" s="303"/>
      <c r="J60" s="303"/>
      <c r="K60" s="303"/>
      <c r="L60" s="303"/>
      <c r="M60" s="283"/>
      <c r="N60" s="283"/>
      <c r="O60" s="283"/>
      <c r="P60" s="283"/>
      <c r="Q60" s="283"/>
      <c r="R60" s="283"/>
      <c r="S60" s="283"/>
      <c r="T60" s="283"/>
      <c r="U60" s="283"/>
    </row>
    <row r="61" spans="1:21" ht="13.15">
      <c r="A61" s="133">
        <v>30</v>
      </c>
      <c r="B61" s="119">
        <v>4858367.3489946714</v>
      </c>
      <c r="C61" s="285">
        <v>5479295.8718834938</v>
      </c>
      <c r="D61" s="119">
        <v>6175069.7818890531</v>
      </c>
      <c r="E61" s="119">
        <v>6954510.4006559821</v>
      </c>
      <c r="F61" s="119">
        <v>7827407.8182470696</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3.1834186940220452</v>
      </c>
      <c r="C65" s="120">
        <f>C11</f>
        <v>3.1834186940220452</v>
      </c>
      <c r="D65" s="120">
        <f>C11</f>
        <v>3.1834186940220452</v>
      </c>
      <c r="E65" s="120">
        <f>C11</f>
        <v>3.1834186940220452</v>
      </c>
      <c r="F65" s="120">
        <f>C11</f>
        <v>3.1834186940220452</v>
      </c>
      <c r="G65" s="304"/>
      <c r="H65" s="304"/>
      <c r="I65" s="304"/>
      <c r="J65" s="304"/>
      <c r="K65" s="304"/>
      <c r="L65" s="304"/>
    </row>
    <row r="66" spans="1:12" ht="13.15">
      <c r="A66" s="132">
        <f t="shared" ref="A66:A71" si="11">A56</f>
        <v>5</v>
      </c>
      <c r="B66" s="120">
        <f t="shared" ref="B66:F71" si="12">(B56+FV_adjustments)/Common_Shares*scaling_factor*Exchange_Rate</f>
        <v>6.9312385251734545</v>
      </c>
      <c r="C66" s="120">
        <f t="shared" si="12"/>
        <v>7.1539582867244489</v>
      </c>
      <c r="D66" s="120">
        <f t="shared" si="12"/>
        <v>7.3788409808908941</v>
      </c>
      <c r="E66" s="120">
        <f t="shared" si="12"/>
        <v>7.6058866076727627</v>
      </c>
      <c r="F66" s="120">
        <f t="shared" si="12"/>
        <v>7.8350951670700768</v>
      </c>
      <c r="G66" s="304"/>
      <c r="H66" s="304"/>
      <c r="I66" s="304"/>
      <c r="J66" s="304"/>
      <c r="K66" s="304"/>
      <c r="L66" s="304"/>
    </row>
    <row r="67" spans="1:12" ht="13.15">
      <c r="A67" s="132">
        <f t="shared" si="11"/>
        <v>10</v>
      </c>
      <c r="B67" s="120">
        <f t="shared" si="12"/>
        <v>6.8457461031761166</v>
      </c>
      <c r="C67" s="120">
        <f t="shared" si="12"/>
        <v>7.2717782595389568</v>
      </c>
      <c r="D67" s="120">
        <f t="shared" si="12"/>
        <v>7.7101493036330186</v>
      </c>
      <c r="E67" s="120">
        <f t="shared" si="12"/>
        <v>8.1610999940345739</v>
      </c>
      <c r="F67" s="120">
        <f t="shared" si="12"/>
        <v>8.6248734339843267</v>
      </c>
      <c r="G67" s="304"/>
      <c r="H67" s="304"/>
      <c r="I67" s="304"/>
      <c r="J67" s="304"/>
      <c r="K67" s="304"/>
      <c r="L67" s="304"/>
    </row>
    <row r="68" spans="1:12" ht="13.15">
      <c r="A68" s="132">
        <f t="shared" si="11"/>
        <v>15</v>
      </c>
      <c r="B68" s="120">
        <f t="shared" si="12"/>
        <v>6.336507432445881</v>
      </c>
      <c r="C68" s="120">
        <f t="shared" si="12"/>
        <v>7.0078750936213838</v>
      </c>
      <c r="D68" s="120">
        <f t="shared" si="12"/>
        <v>7.717709445852404</v>
      </c>
      <c r="E68" s="120">
        <f t="shared" si="12"/>
        <v>8.4678913519678556</v>
      </c>
      <c r="F68" s="120">
        <f t="shared" si="12"/>
        <v>9.2603754941571292</v>
      </c>
      <c r="G68" s="304"/>
      <c r="H68" s="304"/>
      <c r="I68" s="304"/>
      <c r="J68" s="304"/>
      <c r="K68" s="304"/>
      <c r="L68" s="304"/>
    </row>
    <row r="69" spans="1:12" ht="13.15">
      <c r="A69" s="133">
        <f t="shared" si="11"/>
        <v>20</v>
      </c>
      <c r="B69" s="120">
        <f t="shared" si="12"/>
        <v>6.1402041653746675</v>
      </c>
      <c r="C69" s="120">
        <f t="shared" si="12"/>
        <v>6.9558650412944667</v>
      </c>
      <c r="D69" s="120">
        <f t="shared" si="12"/>
        <v>7.8334054716696944</v>
      </c>
      <c r="E69" s="120">
        <f t="shared" si="12"/>
        <v>8.7770692644385484</v>
      </c>
      <c r="F69" s="120">
        <f t="shared" si="12"/>
        <v>9.7913513810642385</v>
      </c>
      <c r="G69" s="304"/>
      <c r="H69" s="304"/>
      <c r="I69" s="304"/>
      <c r="J69" s="304"/>
      <c r="K69" s="304"/>
      <c r="L69" s="304"/>
    </row>
    <row r="70" spans="1:12" ht="13.15">
      <c r="A70" s="133">
        <f t="shared" si="11"/>
        <v>25</v>
      </c>
      <c r="B70" s="120">
        <f t="shared" si="12"/>
        <v>5.6787850204240335</v>
      </c>
      <c r="C70" s="120">
        <f t="shared" si="12"/>
        <v>6.6552715224837682</v>
      </c>
      <c r="D70" s="120">
        <f t="shared" si="12"/>
        <v>7.7322446183772904</v>
      </c>
      <c r="E70" s="120">
        <f t="shared" si="12"/>
        <v>8.919562839859001</v>
      </c>
      <c r="F70" s="120">
        <f t="shared" si="12"/>
        <v>10.227966151538315</v>
      </c>
      <c r="G70" s="304"/>
      <c r="H70" s="304"/>
      <c r="I70" s="304"/>
      <c r="J70" s="304"/>
      <c r="K70" s="304"/>
      <c r="L70" s="304"/>
    </row>
    <row r="71" spans="1:12" ht="13.15">
      <c r="A71" s="133">
        <f t="shared" si="11"/>
        <v>30</v>
      </c>
      <c r="B71" s="120">
        <f t="shared" si="12"/>
        <v>5.4687907355475573</v>
      </c>
      <c r="C71" s="120">
        <f t="shared" si="12"/>
        <v>6.5393497102449327</v>
      </c>
      <c r="D71" s="120">
        <f t="shared" si="12"/>
        <v>7.7389515585402862</v>
      </c>
      <c r="E71" s="120">
        <f t="shared" si="12"/>
        <v>9.0828053499275079</v>
      </c>
      <c r="F71" s="120">
        <f t="shared" si="12"/>
        <v>10.58779043266242</v>
      </c>
      <c r="G71" s="304"/>
      <c r="H71" s="304"/>
      <c r="I71" s="304"/>
      <c r="J71" s="304"/>
      <c r="K71" s="304"/>
      <c r="L71" s="304"/>
    </row>
    <row r="73" spans="1:12" ht="13.15">
      <c r="B73" s="154" t="s">
        <v>101</v>
      </c>
      <c r="C73" s="154" t="s">
        <v>110</v>
      </c>
      <c r="D73" s="154" t="s">
        <v>99</v>
      </c>
      <c r="E73" s="155" t="s">
        <v>100</v>
      </c>
      <c r="F73" s="155" t="s">
        <v>468</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7.8350951670700768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7.6058866076727627</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7.3788409808908941</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7.1539582867244489</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6.9312385251734545</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41" zoomScaleNormal="100" workbookViewId="0">
      <selection activeCell="E55" sqref="E55"/>
    </sheetView>
  </sheetViews>
  <sheetFormatPr defaultColWidth="8.86328125" defaultRowHeight="12.75"/>
  <cols>
    <col min="1" max="1" width="2.73046875" customWidth="1"/>
    <col min="2" max="2" width="22.73046875" customWidth="1"/>
    <col min="3" max="7" width="20.7304687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32"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32"/>
      <c r="G4" s="432"/>
    </row>
    <row r="5" spans="2:7">
      <c r="E5" s="432"/>
      <c r="F5" s="432"/>
      <c r="G5" s="432"/>
    </row>
    <row r="6" spans="2:7" ht="13.15">
      <c r="B6" s="146" t="s">
        <v>91</v>
      </c>
      <c r="C6" s="104">
        <f>DCF!C3</f>
        <v>1000</v>
      </c>
      <c r="E6" s="432"/>
      <c r="F6" s="432"/>
      <c r="G6" s="432"/>
    </row>
    <row r="7" spans="2:7" ht="12.75" customHeight="1">
      <c r="B7" s="97" t="s">
        <v>232</v>
      </c>
      <c r="C7" s="283">
        <f>Normalized_FCF!G8</f>
        <v>398162</v>
      </c>
      <c r="D7" t="str">
        <f>Reporting_currency</f>
        <v>HKD</v>
      </c>
      <c r="E7" s="432"/>
      <c r="F7" s="432"/>
      <c r="G7" s="432"/>
    </row>
    <row r="8" spans="2:7">
      <c r="B8" s="97" t="s">
        <v>63</v>
      </c>
      <c r="C8" s="283">
        <f>Normalized_FCF!G19</f>
        <v>362404.65016124537</v>
      </c>
      <c r="D8" t="str">
        <f>Reporting_currency</f>
        <v>HKD</v>
      </c>
      <c r="E8" s="432"/>
      <c r="F8" s="432"/>
      <c r="G8" s="432"/>
    </row>
    <row r="9" spans="2:7">
      <c r="B9" s="97" t="s">
        <v>54</v>
      </c>
      <c r="C9" s="283">
        <f>Normalized_FCF!C19</f>
        <v>264963.17610033229</v>
      </c>
      <c r="D9" t="str">
        <f>Reporting_currency</f>
        <v>HKD</v>
      </c>
      <c r="E9" s="432"/>
      <c r="F9" s="432"/>
      <c r="G9" s="432"/>
    </row>
    <row r="10" spans="2:7">
      <c r="E10" s="432"/>
      <c r="F10" s="432"/>
      <c r="G10" s="432"/>
    </row>
    <row r="11" spans="2:7" ht="13.15">
      <c r="B11" s="146" t="s">
        <v>324</v>
      </c>
      <c r="E11" s="432"/>
      <c r="F11" s="432"/>
      <c r="G11" s="432"/>
    </row>
    <row r="12" spans="2:7">
      <c r="B12" s="114" t="s">
        <v>121</v>
      </c>
      <c r="C12" s="145">
        <f ca="1">(Normalized_FCF!G4/OFFSET(Normalized_FCF!G4, 0, $C$4))^(1/$C$4) - 1</f>
        <v>3.3358728201447585E-2</v>
      </c>
      <c r="D12" s="145"/>
      <c r="E12" s="432"/>
      <c r="F12" s="432"/>
      <c r="G12" s="432"/>
    </row>
    <row r="13" spans="2:7">
      <c r="B13" s="136" t="s">
        <v>127</v>
      </c>
      <c r="C13" s="145">
        <f ca="1">(Normalized_FCF!G8/OFFSET(Normalized_FCF!G8, 0, $C$4))^(1/$C$4) - 1</f>
        <v>0.35590966478967423</v>
      </c>
      <c r="E13" s="432"/>
      <c r="F13" s="432"/>
      <c r="G13" s="432"/>
    </row>
    <row r="14" spans="2:7">
      <c r="B14" s="97" t="s">
        <v>63</v>
      </c>
      <c r="C14" s="145">
        <f ca="1">(Normalized_FCF!G19/OFFSET(Normalized_FCF!G19, 0, $C$4))^(1/$C$4) - 1</f>
        <v>0.82412654882629588</v>
      </c>
      <c r="E14" s="432"/>
      <c r="F14" s="432"/>
      <c r="G14" s="432"/>
    </row>
    <row r="16" spans="2:7" ht="13.9">
      <c r="B16" s="34" t="s">
        <v>464</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461</v>
      </c>
      <c r="E20" s="328"/>
      <c r="F20" s="328"/>
    </row>
    <row r="21" spans="2:7" ht="13.15">
      <c r="B21" s="154" t="s">
        <v>447</v>
      </c>
      <c r="C21" s="154" t="s">
        <v>384</v>
      </c>
      <c r="D21" s="154" t="s">
        <v>459</v>
      </c>
      <c r="E21" s="155" t="str">
        <f>"Value per share ("&amp;Market_currency&amp;")"</f>
        <v>Value per share (HKD)</v>
      </c>
      <c r="F21" s="155" t="s">
        <v>460</v>
      </c>
      <c r="G21" s="155" t="s">
        <v>468</v>
      </c>
    </row>
    <row r="22" spans="2:7">
      <c r="B22" s="310" t="s">
        <v>456</v>
      </c>
      <c r="C22" s="333">
        <v>0.03</v>
      </c>
      <c r="D22" s="334">
        <f>C18</f>
        <v>5</v>
      </c>
      <c r="E22" s="335">
        <f>DCF!E75</f>
        <v>7.6058866076727627</v>
      </c>
      <c r="F22" s="337">
        <f>1-F23-F24</f>
        <v>0.2</v>
      </c>
      <c r="G22" s="337">
        <f>F22*(1-F$29-F$30)</f>
        <v>0.18</v>
      </c>
    </row>
    <row r="23" spans="2:7">
      <c r="B23" s="310" t="s">
        <v>448</v>
      </c>
      <c r="C23" s="333">
        <v>0.02</v>
      </c>
      <c r="D23" s="334">
        <f>C18</f>
        <v>5</v>
      </c>
      <c r="E23" s="335">
        <f>DCF!E76</f>
        <v>7.3788409808908941</v>
      </c>
      <c r="F23" s="336">
        <v>0.6</v>
      </c>
      <c r="G23" s="337">
        <f t="shared" ref="G23:G24" si="0">F23*(1-F$29-F$30)</f>
        <v>0.53999999999999992</v>
      </c>
    </row>
    <row r="24" spans="2:7">
      <c r="B24" s="310" t="s">
        <v>457</v>
      </c>
      <c r="C24" s="333">
        <v>0.01</v>
      </c>
      <c r="D24" s="334">
        <f>C18</f>
        <v>5</v>
      </c>
      <c r="E24" s="335">
        <f>DCF!E77</f>
        <v>7.1539582867244489</v>
      </c>
      <c r="F24" s="336">
        <v>0.2</v>
      </c>
      <c r="G24" s="337">
        <f t="shared" si="0"/>
        <v>0.18</v>
      </c>
    </row>
    <row r="25" spans="2:7">
      <c r="B25" s="142" t="s">
        <v>462</v>
      </c>
      <c r="C25" s="469">
        <f>E23*F23+E24*F24+E22*F22</f>
        <v>7.3792735674139784</v>
      </c>
      <c r="D25" s="142" t="str">
        <f>Market_currency</f>
        <v>HKD</v>
      </c>
      <c r="G25" s="150"/>
    </row>
    <row r="27" spans="2:7" ht="13.15">
      <c r="B27" s="106" t="s">
        <v>463</v>
      </c>
    </row>
    <row r="28" spans="2:7" ht="13.15">
      <c r="B28" s="154" t="s">
        <v>447</v>
      </c>
      <c r="C28" s="154" t="s">
        <v>384</v>
      </c>
      <c r="D28" s="154" t="s">
        <v>459</v>
      </c>
      <c r="E28" s="155" t="str">
        <f>"Value per share ("&amp;Market_currency&amp;")"</f>
        <v>Value per share (HKD)</v>
      </c>
      <c r="F28" s="155" t="s">
        <v>460</v>
      </c>
      <c r="G28" s="155" t="s">
        <v>468</v>
      </c>
    </row>
    <row r="29" spans="2:7">
      <c r="B29" s="310" t="s">
        <v>455</v>
      </c>
      <c r="C29" s="333">
        <v>0.04</v>
      </c>
      <c r="D29" s="334">
        <f>C18</f>
        <v>5</v>
      </c>
      <c r="E29" s="335">
        <f>DCF!E74</f>
        <v>7.8350951670700768</v>
      </c>
      <c r="F29" s="336">
        <v>0.05</v>
      </c>
      <c r="G29" s="337">
        <f>F29</f>
        <v>0.05</v>
      </c>
    </row>
    <row r="30" spans="2:7">
      <c r="B30" s="323" t="s">
        <v>458</v>
      </c>
      <c r="C30" s="333">
        <v>0</v>
      </c>
      <c r="D30" s="334">
        <f>C18</f>
        <v>5</v>
      </c>
      <c r="E30" s="335">
        <f>DCF!E78</f>
        <v>6.9312385251734545</v>
      </c>
      <c r="F30" s="336">
        <v>0.05</v>
      </c>
      <c r="G30" s="337">
        <f>F30</f>
        <v>0.05</v>
      </c>
    </row>
    <row r="31" spans="2:7">
      <c r="E31" s="338"/>
      <c r="F31" s="338"/>
    </row>
    <row r="32" spans="2:7" ht="13.15">
      <c r="B32" s="146" t="s">
        <v>467</v>
      </c>
    </row>
    <row r="33" spans="2:7">
      <c r="B33" s="97" t="s">
        <v>469</v>
      </c>
      <c r="C33" s="156">
        <f>Normalized_FCF!C88*(1-dividend_tax_rate)</f>
        <v>0.4</v>
      </c>
      <c r="D33" t="str">
        <f>Market_currency</f>
        <v>HKD</v>
      </c>
      <c r="E33" s="97" t="s">
        <v>466</v>
      </c>
      <c r="F33" s="223">
        <f>Holding_Period</f>
        <v>2</v>
      </c>
    </row>
    <row r="34" spans="2:7">
      <c r="B34" s="97" t="s">
        <v>233</v>
      </c>
      <c r="C34" s="147">
        <f>Market_Price</f>
        <v>6.46</v>
      </c>
      <c r="D34" t="str">
        <f>Market_currency</f>
        <v>HKD</v>
      </c>
      <c r="E34" s="97" t="s">
        <v>465</v>
      </c>
      <c r="F34" s="339">
        <f>RATE(Holding_Period,$C$33,-C34,$C$36)</f>
        <v>0.12879429732248779</v>
      </c>
    </row>
    <row r="35" spans="2:7">
      <c r="B35" s="97" t="s">
        <v>445</v>
      </c>
      <c r="C35" s="329">
        <f>DCF!C11</f>
        <v>3.1834186940220452</v>
      </c>
      <c r="D35" s="97" t="str">
        <f>Market_currency</f>
        <v>HKD</v>
      </c>
      <c r="E35" s="97" t="s">
        <v>465</v>
      </c>
      <c r="F35" s="339">
        <f>RATE(Holding_Period,$C$33,-C35,$C$36)</f>
        <v>0.62735571881907415</v>
      </c>
    </row>
    <row r="36" spans="2:7">
      <c r="B36" s="97" t="s">
        <v>446</v>
      </c>
      <c r="C36" s="330">
        <f>E22*G22+E23*G23+E24*G24+E30*G30+E29*G29</f>
        <v>7.3796628952847572</v>
      </c>
      <c r="D36" t="str">
        <f>Market_currency</f>
        <v>HKD</v>
      </c>
      <c r="E36" s="97" t="s">
        <v>471</v>
      </c>
      <c r="F36" s="340" t="s">
        <v>470</v>
      </c>
    </row>
    <row r="38" spans="2:7" ht="13.9">
      <c r="B38" s="34" t="s">
        <v>420</v>
      </c>
      <c r="C38" s="35"/>
      <c r="D38" s="35"/>
      <c r="E38" s="35"/>
      <c r="F38" s="35"/>
      <c r="G38" s="35"/>
    </row>
    <row r="39" spans="2:7" ht="13.15">
      <c r="B39" s="423" t="str">
        <f>IF(DCF!F14="II","2","1")&amp;"-stage DCF"</f>
        <v>2-stage DCF</v>
      </c>
      <c r="E39" s="226" t="s">
        <v>252</v>
      </c>
    </row>
    <row r="40" spans="2:7">
      <c r="B40" t="s">
        <v>407</v>
      </c>
      <c r="C40" s="139">
        <v>0.86799999999999999</v>
      </c>
      <c r="E40" s="97" t="s">
        <v>408</v>
      </c>
    </row>
    <row r="41" spans="2:7">
      <c r="B41" s="97" t="s">
        <v>406</v>
      </c>
      <c r="C41" s="139">
        <v>0.02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2.0194760895005222E-2</v>
      </c>
      <c r="D46" s="139"/>
      <c r="E46" s="225" t="s">
        <v>253</v>
      </c>
    </row>
    <row r="47" spans="2:7">
      <c r="B47" s="97" t="s">
        <v>96</v>
      </c>
      <c r="C47" s="147">
        <f>DCF!I18</f>
        <v>7.3832422893238983</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275</v>
      </c>
      <c r="F53" s="256">
        <f>BS!D89/C36</f>
        <v>0.60327850944527739</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0.4</v>
      </c>
      <c r="D58" t="str">
        <f>Market_currency</f>
        <v>HKD</v>
      </c>
    </row>
    <row r="60" spans="2:7" ht="13.15">
      <c r="B60" s="106" t="s">
        <v>484</v>
      </c>
      <c r="E60" s="422"/>
    </row>
    <row r="61" spans="2:7" ht="13.15">
      <c r="B61" s="154" t="s">
        <v>473</v>
      </c>
      <c r="C61" s="154" t="s">
        <v>103</v>
      </c>
      <c r="D61" s="154" t="s">
        <v>104</v>
      </c>
      <c r="E61" s="155" t="str">
        <f>"Buy below ("&amp;Market_currency&amp;")"</f>
        <v>Buy below (HKD)</v>
      </c>
      <c r="F61" s="155" t="s">
        <v>465</v>
      </c>
      <c r="G61" s="155" t="s">
        <v>472</v>
      </c>
    </row>
    <row r="62" spans="2:7" ht="13.15">
      <c r="B62" s="310" t="s">
        <v>315</v>
      </c>
      <c r="C62" s="120">
        <f>PV(F62, Holding_Period, -C58, 0)</f>
        <v>0.51577503429355298</v>
      </c>
      <c r="D62" s="120">
        <f>C36/(1+F62)^Holding_Period</f>
        <v>4.049197747755696</v>
      </c>
      <c r="E62" s="341">
        <f>C62+D62</f>
        <v>4.5649727820492494</v>
      </c>
      <c r="F62" s="309">
        <f>Thesis!E22</f>
        <v>0.35</v>
      </c>
      <c r="G62" s="468">
        <f>(1-E62/C36)</f>
        <v>0.38141174646797982</v>
      </c>
    </row>
    <row r="63" spans="2:7" ht="13.15">
      <c r="B63" s="310" t="s">
        <v>316</v>
      </c>
      <c r="C63" s="120">
        <f>PV(F63, Holding_Period, -C58, 0)</f>
        <v>0.57600000000000007</v>
      </c>
      <c r="D63" s="120">
        <f>C36/(1+F63)^Holding_Period</f>
        <v>4.7229842529822443</v>
      </c>
      <c r="E63" s="341">
        <f>C63+D63</f>
        <v>5.298984252982244</v>
      </c>
      <c r="F63" s="309">
        <f>Thesis!E23</f>
        <v>0.25</v>
      </c>
      <c r="G63" s="468">
        <f>(1-E63/C36)</f>
        <v>0.28194765422577295</v>
      </c>
    </row>
    <row r="65" spans="2:7" ht="13.15">
      <c r="B65" s="154" t="s">
        <v>474</v>
      </c>
      <c r="C65" s="154" t="s">
        <v>103</v>
      </c>
      <c r="D65" s="154" t="s">
        <v>104</v>
      </c>
      <c r="E65" s="155" t="str">
        <f>"Sell above ("&amp;Market_currency&amp;")"</f>
        <v>Sell above (HKD)</v>
      </c>
      <c r="F65" s="155" t="s">
        <v>465</v>
      </c>
      <c r="G65" s="155" t="s">
        <v>472</v>
      </c>
    </row>
    <row r="66" spans="2:7" ht="13.15">
      <c r="B66" s="310" t="s">
        <v>318</v>
      </c>
      <c r="C66" s="120">
        <f>PV(F66, Holding_Period, -C58, 0)</f>
        <v>0.67833709316953872</v>
      </c>
      <c r="D66" s="120">
        <f>C36/(1+F66)^Holding_Period</f>
        <v>5.910431516197419</v>
      </c>
      <c r="E66" s="341">
        <f>C66+D66</f>
        <v>6.5887686093669577</v>
      </c>
      <c r="F66" s="309">
        <f>Thesis!E24</f>
        <v>0.1174</v>
      </c>
      <c r="G66" s="468">
        <f>(1-E66/C47)</f>
        <v>0.10760498556382769</v>
      </c>
    </row>
    <row r="67" spans="2:7" ht="13.15">
      <c r="B67" s="310" t="s">
        <v>317</v>
      </c>
      <c r="C67" s="120">
        <f>PV(F67, Holding_Period, -C58, 0)</f>
        <v>0.71822606814494294</v>
      </c>
      <c r="D67" s="120">
        <f>C36/(1+F67)^Holding_Period</f>
        <v>6.385862970500602</v>
      </c>
      <c r="E67" s="341">
        <f>C67+D67</f>
        <v>7.1040890386455446</v>
      </c>
      <c r="F67" s="309">
        <f>Thesis!E25</f>
        <v>7.4999999999999997E-2</v>
      </c>
      <c r="G67" s="468">
        <f>(1-E67/C36)</f>
        <v>3.734233670961995E-2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RowHeight="12.75"/>
  <cols>
    <col min="1" max="1" width="2.59765625" customWidth="1"/>
    <col min="2" max="2" width="22.73046875" customWidth="1"/>
    <col min="3" max="5" width="20.7304687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73046875" style="352" customWidth="1"/>
    <col min="2" max="2" width="32.73046875" style="352" customWidth="1"/>
    <col min="3" max="4" width="25.73046875" style="352" customWidth="1"/>
    <col min="5" max="6" width="15.73046875" style="352" customWidth="1"/>
    <col min="7" max="16384" width="9" style="352"/>
  </cols>
  <sheetData>
    <row r="2" spans="1:10" ht="13.9">
      <c r="A2" s="354" t="s">
        <v>338</v>
      </c>
      <c r="B2" s="354"/>
      <c r="C2" s="354"/>
      <c r="D2" s="354"/>
      <c r="E2" s="354"/>
      <c r="F2" s="354"/>
      <c r="G2" s="355"/>
      <c r="H2" s="355"/>
      <c r="I2" s="355"/>
      <c r="J2" s="355"/>
    </row>
    <row r="3" spans="1:10">
      <c r="E3" s="463" t="s">
        <v>555</v>
      </c>
      <c r="F3" s="464">
        <f>Thesis!F3</f>
        <v>45930</v>
      </c>
    </row>
    <row r="4" spans="1:10">
      <c r="B4" s="450" t="s">
        <v>547</v>
      </c>
      <c r="C4" s="451" t="str">
        <f>Thesis!C4</f>
        <v>大家乐集团</v>
      </c>
      <c r="D4" s="358"/>
      <c r="E4" s="462" t="s">
        <v>553</v>
      </c>
      <c r="F4" s="465" t="str">
        <f>Thesis!F4</f>
        <v>INT</v>
      </c>
    </row>
    <row r="5" spans="1:10">
      <c r="B5" s="352" t="s">
        <v>369</v>
      </c>
      <c r="C5" s="364" t="str">
        <f>Thesis!C5</f>
        <v>0341.HK</v>
      </c>
      <c r="E5" s="466" t="s">
        <v>554</v>
      </c>
      <c r="F5" s="467" t="str">
        <f>Thesis!F5</f>
        <v>Y</v>
      </c>
    </row>
    <row r="6" spans="1:10">
      <c r="B6" s="359" t="s">
        <v>340</v>
      </c>
      <c r="C6" s="361" t="str">
        <f>Thesis!C6</f>
        <v>CNS_01</v>
      </c>
      <c r="E6" s="363"/>
    </row>
    <row r="7" spans="1:10">
      <c r="B7" s="352" t="s">
        <v>371</v>
      </c>
      <c r="C7" s="361" t="str">
        <f>Market_currency</f>
        <v>HKD</v>
      </c>
      <c r="D7" s="363"/>
      <c r="E7" s="363"/>
    </row>
    <row r="8" spans="1:10">
      <c r="B8" s="360" t="s">
        <v>370</v>
      </c>
      <c r="C8" s="365">
        <f>Market_Price</f>
        <v>6.46</v>
      </c>
      <c r="D8" s="352" t="s">
        <v>542</v>
      </c>
      <c r="E8" s="369">
        <f>Scenarios!F34</f>
        <v>0.12879429732248779</v>
      </c>
    </row>
    <row r="9" spans="1:10">
      <c r="B9" s="360" t="s">
        <v>366</v>
      </c>
      <c r="C9" s="362">
        <f>Common_Shares</f>
        <v>580004033</v>
      </c>
    </row>
    <row r="10" spans="1:10">
      <c r="B10" s="360" t="s">
        <v>372</v>
      </c>
      <c r="C10" s="366">
        <f>投资主题!C8*Common_Shares/1000000</f>
        <v>3746.8260531799997</v>
      </c>
      <c r="E10" s="362"/>
    </row>
    <row r="11" spans="1:10">
      <c r="D11" s="358"/>
      <c r="E11" s="358"/>
    </row>
    <row r="12" spans="1:10" ht="24.6" customHeight="1">
      <c r="B12" s="434" t="s">
        <v>511</v>
      </c>
      <c r="C12" s="434"/>
      <c r="D12" s="434"/>
      <c r="E12" s="434"/>
      <c r="F12" s="434"/>
    </row>
    <row r="14" spans="1:10">
      <c r="B14" s="356" t="s">
        <v>375</v>
      </c>
      <c r="C14" s="357"/>
      <c r="D14" s="358"/>
    </row>
    <row r="15" spans="1:10">
      <c r="B15" s="352" t="s">
        <v>341</v>
      </c>
      <c r="C15" s="367" t="str">
        <f>Thesis!C15</f>
        <v>N</v>
      </c>
      <c r="D15" s="360" t="s">
        <v>373</v>
      </c>
      <c r="E15" s="353" t="str">
        <f>IF(E17=C7,C7,E17&amp;"/"&amp;C7)</f>
        <v>HKD</v>
      </c>
    </row>
    <row r="16" spans="1:10">
      <c r="B16" s="352" t="s">
        <v>342</v>
      </c>
      <c r="C16" s="367" t="str">
        <f>Thesis!C16</f>
        <v>N</v>
      </c>
      <c r="D16" s="360" t="s">
        <v>374</v>
      </c>
      <c r="E16" s="453">
        <f>Exchange_Rate</f>
        <v>1</v>
      </c>
    </row>
    <row r="17" spans="1:6">
      <c r="B17" s="352" t="s">
        <v>548</v>
      </c>
      <c r="C17" s="452">
        <f>Terminal_Growth</f>
        <v>0</v>
      </c>
      <c r="D17" s="360" t="s">
        <v>343</v>
      </c>
      <c r="E17" s="353" t="str">
        <f>Reporting_currency</f>
        <v>HKD</v>
      </c>
    </row>
    <row r="18" spans="1:6">
      <c r="B18" s="352" t="str">
        <f>"预期股权价值 ("&amp;C7&amp;") :"</f>
        <v>预期股权价值 (HKD) :</v>
      </c>
      <c r="C18" s="368">
        <f>C125</f>
        <v>7.3796628952847572</v>
      </c>
      <c r="D18" s="359" t="s">
        <v>367</v>
      </c>
      <c r="E18" s="454">
        <f>Thesis!E18</f>
        <v>6</v>
      </c>
    </row>
    <row r="19" spans="1:6">
      <c r="B19" s="359" t="s">
        <v>339</v>
      </c>
      <c r="C19" s="361" t="str">
        <f>IF(Scenarios!C50="Y",Scenarios!B50,"")&amp;IF(Scenarios!C51="Y",Scenarios!B51,"")&amp;IF(Scenarios!C52="Y",Scenarios!B52,"")&amp;" "&amp;IF(Scenarios!C53="Y",Scenarios!B53,"")</f>
        <v>Low Growth Asset Play</v>
      </c>
      <c r="D19" s="352" t="s">
        <v>368</v>
      </c>
      <c r="E19" s="455">
        <f>EOMONTH(EDATE(BS!C1,E18+2),0)</f>
        <v>45991</v>
      </c>
    </row>
    <row r="20" spans="1:6">
      <c r="D20" s="358"/>
      <c r="E20" s="358"/>
    </row>
    <row r="21" spans="1:6">
      <c r="B21" s="356" t="s">
        <v>344</v>
      </c>
      <c r="C21" s="370" t="str">
        <f>C138&amp;" ("&amp;Market_currency&amp;")"</f>
        <v xml:space="preserve"> (HKD)</v>
      </c>
      <c r="D21" s="371" t="s">
        <v>349</v>
      </c>
      <c r="E21" s="372">
        <f>Holding_Period</f>
        <v>2</v>
      </c>
    </row>
    <row r="22" spans="1:6">
      <c r="B22" s="352" t="s">
        <v>345</v>
      </c>
      <c r="C22" s="373">
        <f>E140</f>
        <v>4.5649727820492494</v>
      </c>
      <c r="D22" s="374" t="s">
        <v>451</v>
      </c>
      <c r="E22" s="375">
        <f>Thesis!E22</f>
        <v>0.35</v>
      </c>
    </row>
    <row r="23" spans="1:6">
      <c r="B23" s="352" t="s">
        <v>346</v>
      </c>
      <c r="C23" s="376">
        <f>E141</f>
        <v>5.298984252982244</v>
      </c>
      <c r="D23" s="374" t="s">
        <v>452</v>
      </c>
      <c r="E23" s="377">
        <f>Thesis!E23</f>
        <v>0.25</v>
      </c>
    </row>
    <row r="24" spans="1:6">
      <c r="B24" s="352" t="s">
        <v>348</v>
      </c>
      <c r="C24" s="376">
        <f>E144</f>
        <v>6.5887686093669577</v>
      </c>
      <c r="D24" s="374" t="s">
        <v>454</v>
      </c>
      <c r="E24" s="377">
        <f>Thesis!E24</f>
        <v>0.1174</v>
      </c>
    </row>
    <row r="25" spans="1:6">
      <c r="B25" s="352" t="s">
        <v>347</v>
      </c>
      <c r="C25" s="376">
        <f>E145</f>
        <v>7.1040890386455446</v>
      </c>
      <c r="D25" s="374" t="s">
        <v>453</v>
      </c>
      <c r="E25" s="377">
        <f>Thesis!E25</f>
        <v>7.4999999999999997E-2</v>
      </c>
    </row>
    <row r="27" spans="1:6" ht="13.9">
      <c r="A27" s="354" t="s">
        <v>350</v>
      </c>
      <c r="B27" s="354"/>
      <c r="C27" s="354"/>
      <c r="D27" s="354"/>
      <c r="E27" s="354"/>
      <c r="F27" s="354"/>
    </row>
    <row r="29" spans="1:6">
      <c r="B29" s="434" t="s">
        <v>512</v>
      </c>
      <c r="C29" s="434"/>
      <c r="D29" s="434"/>
      <c r="E29" s="434"/>
      <c r="F29" s="434"/>
    </row>
    <row r="30" spans="1:6" ht="24.6" customHeight="1">
      <c r="B30" s="435" t="s">
        <v>513</v>
      </c>
      <c r="C30" s="435"/>
      <c r="D30" s="435"/>
      <c r="E30" s="435"/>
      <c r="F30" s="435"/>
    </row>
    <row r="32" spans="1:6">
      <c r="B32" s="378" t="s">
        <v>376</v>
      </c>
      <c r="C32" s="379">
        <f>scaling_factor</f>
        <v>1000</v>
      </c>
    </row>
    <row r="33" spans="2:6">
      <c r="B33" s="433" t="s">
        <v>514</v>
      </c>
      <c r="C33" s="433"/>
      <c r="D33" s="433"/>
      <c r="E33" s="433"/>
      <c r="F33" s="433"/>
    </row>
    <row r="34" spans="2:6">
      <c r="B34" s="381" t="s">
        <v>197</v>
      </c>
      <c r="C34" s="382">
        <f>Normalized_FCF!C8</f>
        <v>399119.96227138769</v>
      </c>
      <c r="D34" s="352" t="str">
        <f>Reporting_currency</f>
        <v>HKD</v>
      </c>
    </row>
    <row r="35" spans="2:6">
      <c r="B35" s="381"/>
      <c r="C35" s="383"/>
    </row>
    <row r="36" spans="2:6" ht="24.6" customHeight="1">
      <c r="B36" s="433" t="s">
        <v>515</v>
      </c>
      <c r="C36" s="433"/>
      <c r="D36" s="433"/>
      <c r="E36" s="433"/>
      <c r="F36" s="433"/>
    </row>
    <row r="37" spans="2:6">
      <c r="B37" s="381" t="s">
        <v>199</v>
      </c>
      <c r="C37" s="382">
        <f>Normalized_FCF!C9</f>
        <v>378473</v>
      </c>
      <c r="D37" s="352" t="str">
        <f>Reporting_currency</f>
        <v>HKD</v>
      </c>
    </row>
    <row r="38" spans="2:6">
      <c r="B38" s="384" t="s">
        <v>200</v>
      </c>
      <c r="C38" s="382">
        <f>Normalized_FCF!C10</f>
        <v>-378473</v>
      </c>
      <c r="D38" s="352" t="str">
        <f>Reporting_currency</f>
        <v>HKD</v>
      </c>
    </row>
    <row r="40" spans="2:6">
      <c r="B40" s="433" t="s">
        <v>516</v>
      </c>
      <c r="C40" s="433"/>
      <c r="D40" s="433"/>
      <c r="E40" s="433"/>
      <c r="F40" s="433"/>
    </row>
    <row r="41" spans="2:6">
      <c r="B41" s="381" t="s">
        <v>202</v>
      </c>
      <c r="C41" s="382">
        <f>Normalized_FCF!C11</f>
        <v>0</v>
      </c>
      <c r="D41" s="352" t="str">
        <f>Reporting_currency</f>
        <v>HKD</v>
      </c>
    </row>
    <row r="43" spans="2:6">
      <c r="B43" s="433" t="s">
        <v>517</v>
      </c>
      <c r="C43" s="433"/>
      <c r="D43" s="433"/>
      <c r="E43" s="433"/>
      <c r="F43" s="433"/>
    </row>
    <row r="44" spans="2:6">
      <c r="B44" s="381" t="s">
        <v>269</v>
      </c>
      <c r="C44" s="385">
        <f>Normalized_FCF!C46</f>
        <v>6692.5186674405113</v>
      </c>
      <c r="D44" s="352" t="str">
        <f>Reporting_currency</f>
        <v>HKD</v>
      </c>
      <c r="E44" s="380"/>
      <c r="F44" s="380"/>
    </row>
    <row r="45" spans="2:6">
      <c r="B45" s="381" t="s">
        <v>270</v>
      </c>
      <c r="C45" s="385">
        <f>Normalized_FCF!C45</f>
        <v>-85372.400000000009</v>
      </c>
      <c r="D45" s="352" t="str">
        <f>Reporting_currency</f>
        <v>HKD</v>
      </c>
      <c r="E45" s="380"/>
      <c r="F45" s="380"/>
    </row>
    <row r="46" spans="2:6">
      <c r="B46" s="381" t="s">
        <v>203</v>
      </c>
      <c r="C46" s="382">
        <f>Normalized_FCF!C12</f>
        <v>-78679.881332559497</v>
      </c>
      <c r="D46" s="352" t="str">
        <f>Reporting_currency</f>
        <v>HKD</v>
      </c>
    </row>
    <row r="48" spans="2:6">
      <c r="B48" s="352" t="s">
        <v>518</v>
      </c>
    </row>
    <row r="49" spans="2:6">
      <c r="B49" s="381" t="s">
        <v>223</v>
      </c>
      <c r="C49" s="382">
        <f>Normalized_FCF!C15</f>
        <v>-2604.2914835892152</v>
      </c>
      <c r="D49" s="352" t="str">
        <f>Reporting_currency</f>
        <v>HKD</v>
      </c>
    </row>
    <row r="51" spans="2:6">
      <c r="B51" s="433" t="s">
        <v>519</v>
      </c>
      <c r="C51" s="433"/>
      <c r="D51" s="433"/>
      <c r="E51" s="433"/>
      <c r="F51" s="433"/>
    </row>
    <row r="52" spans="2:6">
      <c r="B52" s="381" t="s">
        <v>507</v>
      </c>
      <c r="C52" s="382">
        <f>Normalized_FCF!C14</f>
        <v>-52872.613354906651</v>
      </c>
      <c r="D52" s="352" t="str">
        <f>Reporting_currency</f>
        <v>HKD</v>
      </c>
    </row>
    <row r="54" spans="2:6">
      <c r="B54" s="433" t="s">
        <v>520</v>
      </c>
      <c r="C54" s="436"/>
      <c r="D54" s="436"/>
      <c r="E54" s="436"/>
      <c r="F54" s="436"/>
    </row>
    <row r="55" spans="2:6">
      <c r="B55" s="381" t="s">
        <v>207</v>
      </c>
      <c r="C55" s="382">
        <f>Normalized_FCF!C17</f>
        <v>0</v>
      </c>
      <c r="D55" s="352" t="str">
        <f>Reporting_currency</f>
        <v>HKD</v>
      </c>
    </row>
    <row r="57" spans="2:6">
      <c r="B57" s="434" t="s">
        <v>521</v>
      </c>
      <c r="C57" s="434"/>
      <c r="D57" s="434"/>
      <c r="E57" s="434"/>
      <c r="F57" s="434"/>
    </row>
    <row r="58" spans="2:6">
      <c r="B58" s="434" t="s">
        <v>522</v>
      </c>
      <c r="C58" s="434"/>
      <c r="D58" s="434"/>
      <c r="E58" s="434"/>
      <c r="F58" s="434"/>
    </row>
    <row r="60" spans="2:6">
      <c r="B60" s="381" t="s">
        <v>377</v>
      </c>
      <c r="C60" s="382">
        <f>Normalized_FCF!G19</f>
        <v>362404.65016124537</v>
      </c>
      <c r="D60" s="352" t="str">
        <f>Reporting_currency</f>
        <v>HKD</v>
      </c>
    </row>
    <row r="61" spans="2:6">
      <c r="B61" s="381" t="s">
        <v>213</v>
      </c>
      <c r="C61" s="382">
        <f>Normalized_FCF!C19</f>
        <v>264963.17610033229</v>
      </c>
      <c r="D61" s="352" t="str">
        <f>Reporting_currency</f>
        <v>HKD</v>
      </c>
    </row>
    <row r="62" spans="2:6">
      <c r="B62" s="386" t="s">
        <v>305</v>
      </c>
      <c r="C62" s="387">
        <f>Normalized_FCF!C124</f>
        <v>7.0716700572596158E-2</v>
      </c>
      <c r="F62" s="388"/>
    </row>
    <row r="63" spans="2:6">
      <c r="B63" s="386" t="s">
        <v>335</v>
      </c>
      <c r="C63" s="387">
        <f>Normalized_FCF!C92</f>
        <v>6.1919504643962855E-2</v>
      </c>
      <c r="E63" s="381" t="s">
        <v>378</v>
      </c>
      <c r="F63" s="389">
        <f>Normalized_FCF!C90</f>
        <v>0.87559945730779254</v>
      </c>
    </row>
    <row r="65" spans="1:6">
      <c r="B65" s="378" t="s">
        <v>381</v>
      </c>
      <c r="C65" s="390" t="s">
        <v>330</v>
      </c>
      <c r="D65" s="390" t="s">
        <v>379</v>
      </c>
    </row>
    <row r="66" spans="1:6">
      <c r="B66" s="381" t="s">
        <v>329</v>
      </c>
      <c r="C66" s="387">
        <f>Normalized_FCF!C119</f>
        <v>0.1167471410506614</v>
      </c>
      <c r="D66" s="387">
        <f>Normalized_FCF!G119</f>
        <v>0.14467098116585544</v>
      </c>
    </row>
    <row r="67" spans="1:6">
      <c r="B67" s="391" t="str">
        <f>Normalized_FCF!B116</f>
        <v>Pre-tax Profit/Sales</v>
      </c>
      <c r="C67" s="392">
        <f>Normalized_FCF!C116</f>
        <v>3.9086921133773919E-2</v>
      </c>
      <c r="D67" s="392">
        <f>Normalized_FCF!G116</f>
        <v>4.6343249224001092E-2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487</v>
      </c>
      <c r="B71" s="354"/>
      <c r="C71" s="354"/>
      <c r="D71" s="354"/>
      <c r="E71" s="354"/>
      <c r="F71" s="354"/>
    </row>
    <row r="72" spans="1:6">
      <c r="A72" s="394"/>
    </row>
    <row r="73" spans="1:6">
      <c r="A73" s="395"/>
      <c r="B73" s="434" t="s">
        <v>523</v>
      </c>
      <c r="C73" s="434"/>
      <c r="D73" s="434"/>
      <c r="E73" s="434"/>
      <c r="F73" s="434"/>
    </row>
    <row r="74" spans="1:6">
      <c r="B74" s="435" t="s">
        <v>490</v>
      </c>
      <c r="C74" s="435"/>
      <c r="D74" s="435"/>
      <c r="E74" s="435"/>
      <c r="F74" s="435"/>
    </row>
    <row r="76" spans="1:6">
      <c r="B76" s="378" t="s">
        <v>376</v>
      </c>
    </row>
    <row r="77" spans="1:6">
      <c r="B77" s="434" t="s">
        <v>524</v>
      </c>
      <c r="C77" s="434"/>
      <c r="D77" s="434"/>
      <c r="E77" s="434"/>
      <c r="F77" s="434"/>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312</v>
      </c>
      <c r="C80" s="397">
        <f>IF(BS!G31/BS!G27&gt;300%,"nm",BS!G31/BS!G27)</f>
        <v>0.77760119734648436</v>
      </c>
    </row>
    <row r="81" spans="1:6">
      <c r="B81" s="391" t="s">
        <v>314</v>
      </c>
      <c r="C81" s="398">
        <f>IF(BS!C50&gt;30,"nm",BS!C50)</f>
        <v>5.3475400925918697</v>
      </c>
    </row>
    <row r="83" spans="1:6">
      <c r="B83" s="352" t="s">
        <v>525</v>
      </c>
    </row>
    <row r="84" spans="1:6">
      <c r="B84" s="352" t="s">
        <v>224</v>
      </c>
      <c r="C84" s="382">
        <f>DCF!F5</f>
        <v>384381.13325594889</v>
      </c>
      <c r="D84" s="352" t="str">
        <f>Reporting_currency</f>
        <v>HKD</v>
      </c>
    </row>
    <row r="85" spans="1:6">
      <c r="B85" s="391" t="s">
        <v>492</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526</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491</v>
      </c>
      <c r="C92" s="396">
        <f>DCF!F8</f>
        <v>-2.9076464486309033</v>
      </c>
      <c r="D92" s="352" t="str">
        <f>Market_currency</f>
        <v>HKD</v>
      </c>
    </row>
    <row r="94" spans="1:6" ht="13.9">
      <c r="A94" s="354" t="s">
        <v>493</v>
      </c>
      <c r="B94" s="354"/>
      <c r="C94" s="354"/>
      <c r="D94" s="354"/>
      <c r="E94" s="354"/>
      <c r="F94" s="354"/>
    </row>
    <row r="95" spans="1:6">
      <c r="A95" s="394"/>
    </row>
    <row r="96" spans="1:6">
      <c r="A96" s="394"/>
      <c r="B96" s="434" t="s">
        <v>527</v>
      </c>
      <c r="C96" s="434"/>
      <c r="D96" s="434"/>
      <c r="E96" s="434"/>
      <c r="F96" s="434"/>
    </row>
    <row r="97" spans="1:6">
      <c r="A97" s="394"/>
      <c r="B97" s="435" t="s">
        <v>528</v>
      </c>
      <c r="C97" s="435"/>
      <c r="D97" s="435"/>
      <c r="E97" s="435"/>
      <c r="F97" s="435"/>
    </row>
    <row r="98" spans="1:6">
      <c r="A98" s="394"/>
      <c r="B98" s="435" t="s">
        <v>529</v>
      </c>
      <c r="C98" s="435"/>
      <c r="D98" s="435"/>
      <c r="E98" s="435"/>
      <c r="F98" s="435"/>
    </row>
    <row r="99" spans="1:6">
      <c r="A99" s="394"/>
    </row>
    <row r="100" spans="1:6">
      <c r="A100" s="394"/>
      <c r="B100" s="378" t="s">
        <v>376</v>
      </c>
    </row>
    <row r="101" spans="1:6">
      <c r="A101" s="394"/>
      <c r="B101" s="381" t="s">
        <v>212</v>
      </c>
      <c r="C101" s="377">
        <f>E25+C103</f>
        <v>7.4999999999999997E-2</v>
      </c>
    </row>
    <row r="102" spans="1:6">
      <c r="A102" s="394"/>
      <c r="B102" s="391" t="s">
        <v>321</v>
      </c>
      <c r="C102" s="392">
        <f>E25</f>
        <v>7.4999999999999997E-2</v>
      </c>
    </row>
    <row r="103" spans="1:6">
      <c r="A103" s="394"/>
      <c r="B103" s="391" t="s">
        <v>320</v>
      </c>
      <c r="C103" s="392">
        <f>IF(C15="Y",1%,0)+IF(C16="Y",1%,0)</f>
        <v>0</v>
      </c>
    </row>
    <row r="104" spans="1:6">
      <c r="A104" s="394"/>
      <c r="B104" s="381" t="s">
        <v>548</v>
      </c>
      <c r="C104" s="377">
        <v>0</v>
      </c>
    </row>
    <row r="105" spans="1:6">
      <c r="A105" s="394"/>
      <c r="C105" s="401"/>
    </row>
    <row r="106" spans="1:6">
      <c r="A106" s="394"/>
      <c r="B106" s="402" t="s">
        <v>380</v>
      </c>
      <c r="C106" s="401"/>
    </row>
    <row r="107" spans="1:6">
      <c r="A107" s="394"/>
      <c r="B107" s="434" t="s">
        <v>530</v>
      </c>
      <c r="C107" s="434"/>
      <c r="D107" s="434"/>
      <c r="E107" s="434"/>
      <c r="F107" s="434"/>
    </row>
    <row r="108" spans="1:6">
      <c r="A108" s="394"/>
      <c r="B108" s="434" t="s">
        <v>549</v>
      </c>
      <c r="C108" s="434"/>
      <c r="D108" s="434"/>
      <c r="E108" s="434"/>
      <c r="F108" s="434"/>
    </row>
    <row r="109" spans="1:6">
      <c r="A109" s="394"/>
    </row>
    <row r="110" spans="1:6">
      <c r="A110" s="394"/>
      <c r="B110" s="378" t="s">
        <v>500</v>
      </c>
    </row>
    <row r="111" spans="1:6">
      <c r="A111" s="394"/>
      <c r="B111" s="384" t="s">
        <v>497</v>
      </c>
      <c r="C111" s="403">
        <f>BS!D47</f>
        <v>-2.5047246524922007</v>
      </c>
      <c r="D111" s="352" t="str">
        <f>Market_currency</f>
        <v>HKD</v>
      </c>
    </row>
    <row r="112" spans="1:6">
      <c r="A112" s="394"/>
      <c r="B112" s="381" t="s">
        <v>382</v>
      </c>
      <c r="C112" s="403">
        <f>DCF!C11</f>
        <v>3.1834186940220452</v>
      </c>
      <c r="D112" s="352" t="str">
        <f>Market_currency</f>
        <v>HKD</v>
      </c>
    </row>
    <row r="113" spans="1:6">
      <c r="A113" s="394"/>
    </row>
    <row r="114" spans="1:6">
      <c r="A114" s="394"/>
      <c r="B114" s="434" t="s">
        <v>531</v>
      </c>
      <c r="C114" s="434"/>
      <c r="D114" s="434"/>
      <c r="E114" s="434"/>
      <c r="F114" s="434"/>
    </row>
    <row r="115" spans="1:6">
      <c r="A115" s="394"/>
    </row>
    <row r="116" spans="1:6">
      <c r="A116" s="394"/>
      <c r="B116" s="378" t="s">
        <v>501</v>
      </c>
    </row>
    <row r="117" spans="1:6">
      <c r="A117" s="394"/>
      <c r="B117" s="351" t="s">
        <v>383</v>
      </c>
      <c r="C117" s="351" t="s">
        <v>384</v>
      </c>
      <c r="D117" s="351" t="s">
        <v>99</v>
      </c>
      <c r="E117" s="351" t="s">
        <v>385</v>
      </c>
      <c r="F117" s="351" t="s">
        <v>386</v>
      </c>
    </row>
    <row r="118" spans="1:6">
      <c r="A118" s="394"/>
      <c r="B118" s="404" t="str">
        <f>DCF!B74</f>
        <v>Snowball Scenario</v>
      </c>
      <c r="C118" s="405">
        <f>DCF!C74</f>
        <v>0.04</v>
      </c>
      <c r="D118" s="406">
        <f>DCF!D74</f>
        <v>5</v>
      </c>
      <c r="E118" s="407" t="str">
        <f>ROUND(DCF!E74,2)&amp;" "&amp;Market_currency</f>
        <v>7.84 HKD</v>
      </c>
      <c r="F118" s="408">
        <f>DCF!F74</f>
        <v>0.05</v>
      </c>
    </row>
    <row r="119" spans="1:6">
      <c r="A119" s="394"/>
      <c r="B119" s="409" t="str">
        <f>DCF!B75</f>
        <v>Optimistic</v>
      </c>
      <c r="C119" s="410">
        <f>DCF!C75</f>
        <v>0.03</v>
      </c>
      <c r="D119" s="411">
        <f>DCF!D75</f>
        <v>5</v>
      </c>
      <c r="E119" s="407" t="str">
        <f>ROUND(DCF!E75,2)&amp;" "&amp;Market_currency</f>
        <v>7.61 HKD</v>
      </c>
      <c r="F119" s="412">
        <f>DCF!F75</f>
        <v>0.18</v>
      </c>
    </row>
    <row r="120" spans="1:6">
      <c r="B120" s="409" t="str">
        <f>DCF!B76</f>
        <v>Base</v>
      </c>
      <c r="C120" s="410">
        <f>DCF!C76</f>
        <v>0.02</v>
      </c>
      <c r="D120" s="411">
        <f>DCF!D76</f>
        <v>5</v>
      </c>
      <c r="E120" s="407" t="str">
        <f>ROUND(DCF!E76,2)&amp;" "&amp;Market_currency</f>
        <v>7.38 HKD</v>
      </c>
      <c r="F120" s="412">
        <f>DCF!F76</f>
        <v>0.53999999999999992</v>
      </c>
    </row>
    <row r="121" spans="1:6">
      <c r="B121" s="409" t="str">
        <f>DCF!B77</f>
        <v>Pessimistic</v>
      </c>
      <c r="C121" s="410">
        <f>DCF!C77</f>
        <v>0.01</v>
      </c>
      <c r="D121" s="411">
        <f>DCF!D77</f>
        <v>5</v>
      </c>
      <c r="E121" s="407" t="str">
        <f>ROUND(DCF!E77,2)&amp;" "&amp;Market_currency</f>
        <v>7.15 HKD</v>
      </c>
      <c r="F121" s="412">
        <f>DCF!F77</f>
        <v>0.18</v>
      </c>
    </row>
    <row r="122" spans="1:6">
      <c r="B122" s="409" t="str">
        <f>DCF!B78</f>
        <v>Devil's advocate</v>
      </c>
      <c r="C122" s="410">
        <f>DCF!C78</f>
        <v>0</v>
      </c>
      <c r="D122" s="411">
        <f>DCF!D78</f>
        <v>5</v>
      </c>
      <c r="E122" s="407" t="str">
        <f>ROUND(DCF!E78,2)&amp;" "&amp;Market_currency</f>
        <v>6.93 HKD</v>
      </c>
      <c r="F122" s="412">
        <f>DCF!F78</f>
        <v>0.05</v>
      </c>
    </row>
    <row r="124" spans="1:6">
      <c r="B124" s="433" t="s">
        <v>532</v>
      </c>
      <c r="C124" s="433"/>
      <c r="D124" s="433"/>
      <c r="E124" s="433"/>
      <c r="F124" s="433"/>
    </row>
    <row r="125" spans="1:6">
      <c r="B125" s="381" t="s">
        <v>218</v>
      </c>
      <c r="C125" s="413">
        <f>Scenarios!C36</f>
        <v>7.3796628952847572</v>
      </c>
      <c r="D125" s="352" t="str">
        <f>Market_currency</f>
        <v>HKD</v>
      </c>
    </row>
    <row r="127" spans="1:6">
      <c r="B127" s="438" t="s">
        <v>533</v>
      </c>
      <c r="C127" s="438"/>
      <c r="D127" s="438"/>
      <c r="E127" s="438"/>
      <c r="F127" s="438"/>
    </row>
    <row r="129" spans="1:6" ht="13.9">
      <c r="A129" s="354" t="s">
        <v>503</v>
      </c>
      <c r="B129" s="354"/>
      <c r="C129" s="354"/>
      <c r="D129" s="354"/>
      <c r="E129" s="354"/>
      <c r="F129" s="354"/>
    </row>
    <row r="131" spans="1:6">
      <c r="B131" s="439" t="s">
        <v>534</v>
      </c>
      <c r="C131" s="439"/>
      <c r="D131" s="439"/>
      <c r="E131" s="439"/>
      <c r="F131" s="439"/>
    </row>
    <row r="132" spans="1:6" ht="24.6" customHeight="1">
      <c r="B132" s="434" t="s">
        <v>535</v>
      </c>
      <c r="C132" s="434"/>
      <c r="D132" s="434"/>
      <c r="E132" s="434"/>
      <c r="F132" s="434"/>
    </row>
    <row r="134" spans="1:6">
      <c r="B134" s="378" t="s">
        <v>376</v>
      </c>
    </row>
    <row r="135" spans="1:6">
      <c r="B135" s="352" t="s">
        <v>387</v>
      </c>
      <c r="C135" s="414">
        <f>E21</f>
        <v>2</v>
      </c>
    </row>
    <row r="136" spans="1:6">
      <c r="B136" s="352" t="s">
        <v>388</v>
      </c>
      <c r="C136" s="415">
        <f>Scenarios!C58</f>
        <v>0.4</v>
      </c>
      <c r="D136" s="352" t="str">
        <f>Market_currency</f>
        <v>HKD</v>
      </c>
    </row>
    <row r="138" spans="1:6">
      <c r="B138" s="378" t="s">
        <v>504</v>
      </c>
      <c r="C138" s="416"/>
      <c r="D138" s="416"/>
    </row>
    <row r="139" spans="1:6">
      <c r="B139" s="349" t="s">
        <v>473</v>
      </c>
      <c r="C139" s="349" t="str">
        <f>"PV("&amp;Holding_Period&amp;" yrs of Dividends)"</f>
        <v>PV(2 yrs of Dividends)</v>
      </c>
      <c r="D139" s="349" t="s">
        <v>482</v>
      </c>
      <c r="E139" s="350" t="str">
        <f>"Buy below ("&amp;Market_currency&amp;")"</f>
        <v>Buy below (HKD)</v>
      </c>
      <c r="F139" s="350" t="s">
        <v>506</v>
      </c>
    </row>
    <row r="140" spans="1:6">
      <c r="B140" s="417" t="s">
        <v>315</v>
      </c>
      <c r="C140" s="418">
        <f>Scenarios!C62</f>
        <v>0.51577503429355298</v>
      </c>
      <c r="D140" s="418">
        <f>Scenarios!D62</f>
        <v>4.049197747755696</v>
      </c>
      <c r="E140" s="419">
        <f>Scenarios!E62</f>
        <v>4.5649727820492494</v>
      </c>
      <c r="F140" s="420">
        <f>E22</f>
        <v>0.35</v>
      </c>
    </row>
    <row r="141" spans="1:6">
      <c r="B141" s="417" t="s">
        <v>316</v>
      </c>
      <c r="C141" s="418">
        <f>Scenarios!C63</f>
        <v>0.57600000000000007</v>
      </c>
      <c r="D141" s="418">
        <f>Scenarios!D63</f>
        <v>4.7229842529822443</v>
      </c>
      <c r="E141" s="419">
        <f>Scenarios!E63</f>
        <v>5.298984252982244</v>
      </c>
      <c r="F141" s="420">
        <f>Scenarios!F63</f>
        <v>0.25</v>
      </c>
    </row>
    <row r="143" spans="1:6">
      <c r="B143" s="349" t="s">
        <v>474</v>
      </c>
      <c r="C143" s="349" t="str">
        <f>"PV("&amp;Holding_Period&amp;" yrs of Dividends)"</f>
        <v>PV(2 yrs of Dividends)</v>
      </c>
      <c r="D143" s="349" t="s">
        <v>482</v>
      </c>
      <c r="E143" s="350" t="str">
        <f>"Sell above ("&amp;Market_currency&amp;")"</f>
        <v>Sell above (HKD)</v>
      </c>
      <c r="F143" s="350" t="s">
        <v>506</v>
      </c>
    </row>
    <row r="144" spans="1:6">
      <c r="B144" s="417" t="s">
        <v>318</v>
      </c>
      <c r="C144" s="418">
        <f>Scenarios!C66</f>
        <v>0.67833709316953872</v>
      </c>
      <c r="D144" s="418">
        <f>Scenarios!D66</f>
        <v>5.910431516197419</v>
      </c>
      <c r="E144" s="419">
        <f>Scenarios!E66</f>
        <v>6.5887686093669577</v>
      </c>
      <c r="F144" s="420">
        <f>E24</f>
        <v>0.1174</v>
      </c>
    </row>
    <row r="145" spans="1:6">
      <c r="B145" s="417" t="s">
        <v>317</v>
      </c>
      <c r="C145" s="418">
        <f>Scenarios!C67</f>
        <v>0.71822606814494294</v>
      </c>
      <c r="D145" s="418">
        <f>Scenarios!D67</f>
        <v>6.385862970500602</v>
      </c>
      <c r="E145" s="419">
        <f>Scenarios!E67</f>
        <v>7.1040890386455446</v>
      </c>
      <c r="F145" s="420">
        <f>Scenarios!F67</f>
        <v>7.4999999999999997E-2</v>
      </c>
    </row>
    <row r="147" spans="1:6" ht="13.9">
      <c r="A147" s="354" t="s">
        <v>486</v>
      </c>
      <c r="B147" s="354"/>
      <c r="C147" s="354"/>
      <c r="D147" s="354"/>
      <c r="E147" s="354"/>
      <c r="F147" s="354"/>
    </row>
    <row r="149" spans="1:6">
      <c r="B149" s="440" t="s">
        <v>536</v>
      </c>
      <c r="C149" s="434"/>
      <c r="D149" s="434"/>
      <c r="E149" s="434"/>
      <c r="F149" s="434"/>
    </row>
    <row r="151" spans="1:6">
      <c r="B151" s="378" t="s">
        <v>389</v>
      </c>
    </row>
    <row r="152" spans="1:6">
      <c r="B152" s="436" t="s">
        <v>537</v>
      </c>
      <c r="C152" s="436"/>
      <c r="D152" s="436"/>
      <c r="E152" s="436"/>
      <c r="F152" s="436"/>
    </row>
    <row r="153" spans="1:6">
      <c r="B153" s="421" t="s">
        <v>390</v>
      </c>
    </row>
    <row r="154" spans="1:6">
      <c r="B154" s="421" t="s">
        <v>391</v>
      </c>
    </row>
    <row r="155" spans="1:6">
      <c r="B155" s="421" t="s">
        <v>392</v>
      </c>
    </row>
    <row r="157" spans="1:6">
      <c r="B157" s="352" t="s">
        <v>538</v>
      </c>
    </row>
    <row r="158" spans="1:6" ht="24.6" customHeight="1">
      <c r="B158" s="433" t="s">
        <v>450</v>
      </c>
      <c r="C158" s="433"/>
      <c r="D158" s="433"/>
      <c r="E158" s="433"/>
      <c r="F158" s="433"/>
    </row>
    <row r="160" spans="1:6">
      <c r="B160" s="352" t="s">
        <v>539</v>
      </c>
    </row>
    <row r="161" spans="2:6">
      <c r="B161" s="437" t="s">
        <v>393</v>
      </c>
      <c r="C161" s="437"/>
      <c r="D161" s="437"/>
      <c r="E161" s="437"/>
      <c r="F161" s="437"/>
    </row>
    <row r="162" spans="2:6">
      <c r="B162" s="437" t="s">
        <v>394</v>
      </c>
      <c r="C162" s="437"/>
      <c r="D162" s="437"/>
      <c r="E162" s="437"/>
      <c r="F162" s="437"/>
    </row>
    <row r="164" spans="2:6">
      <c r="B164" s="352" t="s">
        <v>540</v>
      </c>
    </row>
    <row r="165" spans="2:6">
      <c r="B165" s="421" t="s">
        <v>395</v>
      </c>
    </row>
    <row r="166" spans="2:6">
      <c r="B166" s="421" t="s">
        <v>396</v>
      </c>
    </row>
    <row r="167" spans="2:6">
      <c r="B167" s="421" t="s">
        <v>397</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2025-10-01T03:46:06Z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