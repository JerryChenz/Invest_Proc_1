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570723DC-9199-4867-B246-8F0872B47CAB}"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 name="投资主题" sheetId="12" r:id="rId9"/>
  </sheets>
  <definedNames>
    <definedName name="_xlnm._FilterDatabase" localSheetId="4" hidden="1">DCF!$B$73:$M$73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54" i="2" l="1"/>
  <c r="C53" i="2"/>
  <c r="C30" i="3"/>
  <c r="C27" i="3"/>
  <c r="G17" i="3"/>
  <c r="G15" i="3"/>
  <c r="G7" i="3"/>
  <c r="G4" i="3"/>
  <c r="C23" i="3"/>
  <c r="C19" i="3"/>
  <c r="J18" i="8" l="1"/>
  <c r="J17" i="8"/>
  <c r="D18" i="8"/>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F72" i="10"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B128" i="6" l="1"/>
  <c r="B128" i="12"/>
  <c r="B130" i="6"/>
  <c r="B130" i="12"/>
  <c r="C88" i="3"/>
  <c r="D88" i="3" s="1"/>
  <c r="C113" i="12"/>
  <c r="C114" i="12" s="1"/>
  <c r="B129" i="6"/>
  <c r="B129" i="12"/>
  <c r="B126" i="6"/>
  <c r="B126" i="12"/>
  <c r="B127" i="6"/>
  <c r="B127" i="12"/>
  <c r="F75" i="8"/>
  <c r="F70" i="10"/>
  <c r="D74" i="8"/>
  <c r="D69" i="10"/>
  <c r="F55" i="8"/>
  <c r="F64" i="8" s="1"/>
  <c r="C126" i="6"/>
  <c r="C113" i="6"/>
  <c r="C114" i="6" s="1"/>
  <c r="G67" i="2"/>
  <c r="C67" i="2" s="1"/>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I6" i="8"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M94" i="2" l="1"/>
  <c r="H94" i="2"/>
  <c r="N94" i="2"/>
  <c r="I94" i="2"/>
  <c r="C44" i="6"/>
  <c r="C44" i="12"/>
  <c r="P94" i="2"/>
  <c r="O94" i="2"/>
  <c r="Q92" i="2"/>
  <c r="Q94" i="2"/>
  <c r="K94" i="2"/>
  <c r="J94" i="2"/>
  <c r="L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31" i="4"/>
  <c r="C80" i="4" s="1"/>
  <c r="C76" i="4" s="1"/>
  <c r="G114" i="2"/>
  <c r="G127" i="2"/>
  <c r="H114" i="2"/>
  <c r="H127" i="2"/>
  <c r="J114" i="2"/>
  <c r="J127" i="2"/>
  <c r="I114" i="2"/>
  <c r="I127" i="2"/>
  <c r="K114" i="2"/>
  <c r="M114" i="2"/>
  <c r="L114" i="2"/>
  <c r="N114" i="2"/>
  <c r="P114" i="2"/>
  <c r="C33" i="2"/>
  <c r="O114" i="2"/>
  <c r="Q114" i="2"/>
  <c r="Q115" i="2"/>
  <c r="C4"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8" i="2"/>
  <c r="C23" i="2" s="1"/>
  <c r="C49" i="2"/>
  <c r="C29" i="2"/>
  <c r="C24" i="2" s="1"/>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D76" i="6" l="1"/>
  <c r="D76" i="12"/>
  <c r="C62" i="6"/>
  <c r="C62" i="12"/>
  <c r="C76" i="6"/>
  <c r="C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O121" i="2" l="1"/>
  <c r="O117" i="2" s="1"/>
  <c r="O118" i="2"/>
  <c r="P121" i="2"/>
  <c r="P117" i="2" s="1"/>
  <c r="P118" i="2"/>
  <c r="C104" i="6"/>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6" s="1"/>
  <c r="C68" i="12"/>
  <c r="C73" i="6"/>
  <c r="C73" i="12"/>
  <c r="C16" i="10"/>
  <c r="C46" i="10" s="1"/>
  <c r="C6" i="10"/>
  <c r="C7" i="10" s="1"/>
  <c r="C118" i="12" s="1"/>
  <c r="C4" i="8"/>
  <c r="F70" i="12" l="1"/>
  <c r="I4" i="8"/>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l="1"/>
  <c r="H117" i="2" s="1"/>
  <c r="H118" i="2"/>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J121" i="2" l="1"/>
  <c r="J117" i="2" s="1"/>
  <c r="J118" i="2"/>
  <c r="I121" i="2"/>
  <c r="I117" i="2" s="1"/>
  <c r="I118" i="2"/>
  <c r="M118" i="2"/>
  <c r="M121" i="2"/>
  <c r="M117" i="2" s="1"/>
  <c r="N98" i="2"/>
  <c r="N118" i="2"/>
  <c r="N121" i="2"/>
  <c r="N117" i="2" s="1"/>
  <c r="K16" i="2"/>
  <c r="K19" i="2" s="1"/>
  <c r="K92" i="2" s="1"/>
  <c r="K121" i="2"/>
  <c r="K117" i="2" s="1"/>
  <c r="K118" i="2"/>
  <c r="L118" i="2"/>
  <c r="L121" i="2"/>
  <c r="L117" i="2" s="1"/>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74" i="6" s="1"/>
  <c r="C98" i="2"/>
  <c r="J87" i="2"/>
  <c r="C82" i="2"/>
  <c r="C125" i="2" l="1"/>
  <c r="C84" i="2" l="1"/>
  <c r="C9" i="9"/>
  <c r="C68" i="6" l="1"/>
  <c r="C126" i="2"/>
  <c r="C87" i="2"/>
  <c r="C69" i="6" l="1"/>
  <c r="C69" i="12"/>
  <c r="C6" i="8"/>
  <c r="C21" i="8"/>
  <c r="H21" i="8" s="1"/>
  <c r="K21" i="8" s="1"/>
  <c r="L21" i="8" s="1"/>
  <c r="I21" i="8" l="1"/>
  <c r="J21" i="8" s="1"/>
  <c r="C93" i="6"/>
  <c r="C93" i="12"/>
  <c r="C46" i="8"/>
  <c r="H46" i="8" s="1"/>
  <c r="C49" i="8"/>
  <c r="H49" i="8" s="1"/>
  <c r="C43" i="8"/>
  <c r="H43" i="8" s="1"/>
  <c r="C47" i="8"/>
  <c r="H47" i="8" s="1"/>
  <c r="C44" i="8"/>
  <c r="H44" i="8" s="1"/>
  <c r="C45" i="8"/>
  <c r="H45" i="8" s="1"/>
  <c r="C50" i="8"/>
  <c r="H50" i="8" s="1"/>
  <c r="C48" i="8"/>
  <c r="H48" i="8" s="1"/>
  <c r="C41" i="8"/>
  <c r="H41" i="8" s="1"/>
  <c r="C42" i="8"/>
  <c r="H42" i="8" s="1"/>
  <c r="C36" i="8"/>
  <c r="H36" i="8" s="1"/>
  <c r="C39" i="8"/>
  <c r="H39" i="8" s="1"/>
  <c r="C40" i="8"/>
  <c r="H40" i="8" s="1"/>
  <c r="C38" i="8"/>
  <c r="H38" i="8" s="1"/>
  <c r="C37" i="8"/>
  <c r="H37" i="8" s="1"/>
  <c r="C10" i="8"/>
  <c r="C12" i="8" s="1"/>
  <c r="C24" i="8"/>
  <c r="H24" i="8" s="1"/>
  <c r="C30" i="8"/>
  <c r="H30" i="8" s="1"/>
  <c r="C35" i="8"/>
  <c r="H35" i="8" s="1"/>
  <c r="C51" i="8"/>
  <c r="C28" i="8"/>
  <c r="H28" i="8" s="1"/>
  <c r="C31" i="8"/>
  <c r="H31" i="8" s="1"/>
  <c r="C29" i="8"/>
  <c r="H29" i="8" s="1"/>
  <c r="F21" i="8"/>
  <c r="C23" i="8"/>
  <c r="H23" i="8" s="1"/>
  <c r="C32" i="8"/>
  <c r="H32" i="8" s="1"/>
  <c r="C34" i="8"/>
  <c r="H34" i="8" s="1"/>
  <c r="C25" i="8"/>
  <c r="H25" i="8" s="1"/>
  <c r="H51" i="8" s="1"/>
  <c r="C26" i="8"/>
  <c r="H26" i="8" s="1"/>
  <c r="C27" i="8"/>
  <c r="H27" i="8" s="1"/>
  <c r="C33" i="8"/>
  <c r="H33" i="8" s="1"/>
  <c r="C22" i="8"/>
  <c r="H22" i="8" s="1"/>
  <c r="I40" i="8" l="1"/>
  <c r="I47" i="8"/>
  <c r="I43" i="8"/>
  <c r="I32" i="8"/>
  <c r="I30" i="8"/>
  <c r="I42" i="8"/>
  <c r="I49" i="8"/>
  <c r="I44" i="8"/>
  <c r="I39" i="8"/>
  <c r="I36" i="8"/>
  <c r="I41" i="8"/>
  <c r="I48" i="8"/>
  <c r="I28" i="8"/>
  <c r="I34" i="8"/>
  <c r="I46" i="8"/>
  <c r="I33" i="8"/>
  <c r="I29" i="8"/>
  <c r="I37" i="8"/>
  <c r="I50" i="8"/>
  <c r="I26" i="8"/>
  <c r="I35" i="8"/>
  <c r="I27" i="8"/>
  <c r="I31" i="8"/>
  <c r="I38" i="8"/>
  <c r="I45" i="8"/>
  <c r="K22" i="8"/>
  <c r="L22" i="8" s="1"/>
  <c r="I24" i="8"/>
  <c r="I51" i="8"/>
  <c r="I25" i="8"/>
  <c r="I23" i="8"/>
  <c r="I22" i="8"/>
  <c r="J22" i="8" s="1"/>
  <c r="K23" i="8" s="1"/>
  <c r="L23" i="8" s="1"/>
  <c r="F51" i="8"/>
  <c r="F35" i="8"/>
  <c r="F30" i="8"/>
  <c r="F42" i="8"/>
  <c r="F27" i="8"/>
  <c r="F31" i="8"/>
  <c r="F38" i="8"/>
  <c r="F45" i="8"/>
  <c r="F26" i="8"/>
  <c r="F28" i="8"/>
  <c r="F40" i="8"/>
  <c r="F44" i="8"/>
  <c r="F39" i="8"/>
  <c r="F34" i="8"/>
  <c r="F32" i="8"/>
  <c r="F49" i="8"/>
  <c r="F23" i="8"/>
  <c r="F24" i="8"/>
  <c r="F41" i="8"/>
  <c r="F46" i="8"/>
  <c r="F25" i="8"/>
  <c r="F43" i="8"/>
  <c r="F22" i="8"/>
  <c r="F48" i="8"/>
  <c r="F47" i="8"/>
  <c r="F36" i="8"/>
  <c r="F33" i="8"/>
  <c r="F29" i="8"/>
  <c r="F37" i="8"/>
  <c r="F50" i="8"/>
  <c r="C118" i="6"/>
  <c r="C22" i="9"/>
  <c r="C69" i="9" s="1"/>
  <c r="E65" i="8"/>
  <c r="F65" i="8"/>
  <c r="C65" i="8"/>
  <c r="B65" i="8"/>
  <c r="D65" i="8"/>
  <c r="J23" i="8" l="1"/>
  <c r="F52" i="8"/>
  <c r="C18" i="8" s="1"/>
  <c r="C66" i="9" s="1"/>
  <c r="F105" i="9" s="1"/>
  <c r="C70" i="9"/>
  <c r="C21" i="6" s="1"/>
  <c r="J24" i="8" l="1"/>
  <c r="K24" i="8"/>
  <c r="L24" i="8" s="1"/>
  <c r="A55" i="8"/>
  <c r="C175" i="6"/>
  <c r="C175" i="12"/>
  <c r="C21" i="12"/>
  <c r="J25" i="8" l="1"/>
  <c r="K25" i="8"/>
  <c r="L25" i="8" s="1"/>
  <c r="J26" i="8" l="1"/>
  <c r="K26" i="8"/>
  <c r="L26" i="8" s="1"/>
  <c r="J27" i="8" l="1"/>
  <c r="K27" i="8"/>
  <c r="L27" i="8" s="1"/>
  <c r="J28" i="8" l="1"/>
  <c r="K28" i="8"/>
  <c r="L28" i="8" s="1"/>
  <c r="J29" i="8" l="1"/>
  <c r="K29" i="8"/>
  <c r="L29" i="8" s="1"/>
  <c r="J30" i="8" l="1"/>
  <c r="K30" i="8"/>
  <c r="L30" i="8" s="1"/>
  <c r="J31" i="8" l="1"/>
  <c r="K31" i="8"/>
  <c r="L31" i="8" s="1"/>
  <c r="J32" i="8" l="1"/>
  <c r="K32" i="8"/>
  <c r="L32" i="8" s="1"/>
  <c r="J33" i="8" l="1"/>
  <c r="K33" i="8"/>
  <c r="L33" i="8" s="1"/>
  <c r="J34" i="8" l="1"/>
  <c r="K34" i="8"/>
  <c r="L34" i="8" s="1"/>
  <c r="J35" i="8" l="1"/>
  <c r="K35" i="8"/>
  <c r="L35" i="8" s="1"/>
  <c r="J36" i="8" l="1"/>
  <c r="K36" i="8"/>
  <c r="L36" i="8" s="1"/>
  <c r="J37" i="8" l="1"/>
  <c r="K37" i="8"/>
  <c r="L37" i="8" s="1"/>
  <c r="J38" i="8" l="1"/>
  <c r="K38" i="8"/>
  <c r="L38" i="8" s="1"/>
  <c r="J39" i="8" l="1"/>
  <c r="K39" i="8"/>
  <c r="L39" i="8" s="1"/>
  <c r="J40" i="8" l="1"/>
  <c r="K40" i="8"/>
  <c r="L40" i="8" s="1"/>
  <c r="J41" i="8" l="1"/>
  <c r="K41" i="8"/>
  <c r="L41" i="8" s="1"/>
  <c r="J42" i="8" l="1"/>
  <c r="K42" i="8"/>
  <c r="L42" i="8" s="1"/>
  <c r="J43" i="8" l="1"/>
  <c r="K43" i="8"/>
  <c r="L43" i="8" s="1"/>
  <c r="J44" i="8" l="1"/>
  <c r="K44" i="8"/>
  <c r="L44" i="8" s="1"/>
  <c r="J45" i="8" l="1"/>
  <c r="K45" i="8"/>
  <c r="L45" i="8" s="1"/>
  <c r="J46" i="8" l="1"/>
  <c r="K46" i="8"/>
  <c r="L46" i="8" s="1"/>
  <c r="J47" i="8" l="1"/>
  <c r="K47" i="8"/>
  <c r="L47" i="8" s="1"/>
  <c r="J48" i="8" l="1"/>
  <c r="K48" i="8"/>
  <c r="L48" i="8" s="1"/>
  <c r="J49" i="8" l="1"/>
  <c r="K49" i="8"/>
  <c r="L49" i="8" s="1"/>
  <c r="J50" i="8" l="1"/>
  <c r="K50" i="8"/>
  <c r="L50" i="8" s="1"/>
  <c r="K51" i="8" l="1"/>
  <c r="L51" i="8" s="1"/>
  <c r="L52" i="8" s="1"/>
  <c r="I17" i="8" s="1"/>
  <c r="I18" i="8" s="1"/>
  <c r="J51" i="8"/>
</calcChain>
</file>

<file path=xl/sharedStrings.xml><?xml version="1.0" encoding="utf-8"?>
<sst xmlns="http://schemas.openxmlformats.org/spreadsheetml/2006/main" count="848" uniqueCount="571">
  <si>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</si>
  <si>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</si>
  <si>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</si>
  <si>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</si>
  <si>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</si>
  <si>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</si>
  <si>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</si>
  <si>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</si>
  <si>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</si>
  <si>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</si>
  <si>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</si>
  <si>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</si>
  <si>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</si>
  <si>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</si>
  <si>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</si>
  <si>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</si>
  <si>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</si>
  <si>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</si>
  <si>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</si>
  <si>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</si>
  <si>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</si>
  <si>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</si>
  <si>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</si>
  <si>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</si>
  <si>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</si>
  <si>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</si>
  <si>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</si>
  <si>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</si>
  <si>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</si>
  <si>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</si>
  <si>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</si>
  <si>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</si>
  <si>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</si>
  <si>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</si>
  <si>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</si>
  <si>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</si>
  <si>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</si>
  <si>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</si>
  <si>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</si>
  <si>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</si>
  <si>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</si>
  <si>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</si>
  <si>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</si>
  <si>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</si>
  <si>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</si>
  <si>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</si>
  <si>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</si>
  <si>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</si>
  <si>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</si>
  <si>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</si>
  <si>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</si>
  <si>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</si>
  <si>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</si>
  <si>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</si>
  <si>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</si>
  <si>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</si>
  <si>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</si>
  <si>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</si>
  <si>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</si>
  <si>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</si>
  <si>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</si>
  <si>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</si>
  <si>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</si>
  <si>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</si>
  <si>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</si>
  <si>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</si>
  <si>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</si>
  <si>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</si>
  <si>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</si>
  <si>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</si>
  <si>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</si>
  <si>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</si>
  <si>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</si>
  <si>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</si>
  <si>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</si>
  <si>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</si>
  <si>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</si>
  <si>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</si>
  <si>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</si>
  <si>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</si>
  <si>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</si>
  <si>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</si>
  <si>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</si>
  <si>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</si>
  <si>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</si>
  <si>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</si>
  <si>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</si>
  <si>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</si>
  <si>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</si>
  <si>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</si>
  <si>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</si>
  <si>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</si>
  <si>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</si>
  <si>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</si>
  <si>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</si>
  <si>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</si>
  <si>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</si>
  <si>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</si>
  <si>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</si>
  <si>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</si>
  <si>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</si>
  <si>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</si>
  <si>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</si>
  <si>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</si>
  <si>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</si>
  <si>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</si>
  <si>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</si>
  <si>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</si>
  <si>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</si>
  <si>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</si>
  <si>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</si>
  <si>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</si>
  <si>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</si>
  <si>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</si>
  <si>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</si>
  <si>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</si>
  <si>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</si>
  <si>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</si>
  <si>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</si>
  <si>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</si>
  <si>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</si>
  <si>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</si>
  <si>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</si>
  <si>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</si>
  <si>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</si>
  <si>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</si>
  <si>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</si>
  <si>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</si>
  <si>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</si>
  <si>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</si>
  <si>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</si>
  <si>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</si>
  <si>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</si>
  <si>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</si>
  <si>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</si>
  <si>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</si>
  <si>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</si>
  <si>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</si>
  <si>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</si>
  <si>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</si>
  <si>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</si>
  <si>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</si>
  <si>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</si>
  <si>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</si>
  <si>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</si>
  <si>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</si>
  <si>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</si>
  <si>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</si>
  <si>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</si>
  <si>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</si>
  <si>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</si>
  <si>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</si>
  <si>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</si>
  <si>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</si>
  <si>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</si>
  <si>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</si>
  <si>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</si>
  <si>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</si>
  <si>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</si>
  <si>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</si>
  <si>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</si>
  <si>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</si>
  <si>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</si>
  <si>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</si>
  <si>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</si>
  <si>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</si>
  <si>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</si>
  <si>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</si>
  <si>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</si>
  <si>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</si>
  <si>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</si>
  <si>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</si>
  <si>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</si>
  <si>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</si>
  <si>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</si>
  <si>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</si>
  <si>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</si>
  <si>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</si>
  <si>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</si>
  <si>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</si>
  <si>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</si>
  <si>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</si>
  <si>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</si>
  <si>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</si>
  <si>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</si>
  <si>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</si>
  <si>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</si>
  <si>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</si>
  <si>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</si>
  <si>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</si>
  <si>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</si>
  <si>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</si>
  <si>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</si>
  <si>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</si>
  <si>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</si>
  <si>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</si>
  <si>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</si>
  <si>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</si>
  <si>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</si>
  <si>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</si>
  <si>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</si>
  <si>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</si>
  <si>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</si>
  <si>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</si>
  <si>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</si>
  <si>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</si>
  <si>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</si>
  <si>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</si>
  <si>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</si>
  <si>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</si>
  <si>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</si>
  <si>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</si>
  <si>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</si>
  <si>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</si>
  <si>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</si>
  <si>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</si>
  <si>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</si>
  <si>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</si>
  <si>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</si>
  <si>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</si>
  <si>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</si>
  <si>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</si>
  <si>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</si>
  <si>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</si>
  <si>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</si>
  <si>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</si>
  <si>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</si>
  <si>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</si>
  <si>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</si>
  <si>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</si>
  <si>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</si>
  <si>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</si>
  <si>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</si>
  <si>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</si>
  <si>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</si>
  <si>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</si>
  <si>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</si>
  <si>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</si>
  <si>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</si>
  <si>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</si>
  <si>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</si>
  <si>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</si>
  <si>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</si>
  <si>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</si>
  <si>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</si>
  <si>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</si>
  <si>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</si>
  <si>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</si>
  <si>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</si>
  <si>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</si>
  <si>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</si>
  <si>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</si>
  <si>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</si>
  <si>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</si>
  <si>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</si>
  <si>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</si>
  <si>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</si>
  <si>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</si>
  <si>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</si>
  <si>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</si>
  <si>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</si>
  <si>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</si>
  <si>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</si>
  <si>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</si>
  <si>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</si>
  <si>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</si>
  <si>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</si>
  <si>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</si>
  <si>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</si>
  <si>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</si>
  <si>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</si>
  <si>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</si>
  <si>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</si>
  <si>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</si>
  <si>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</si>
  <si>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</si>
  <si>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</si>
  <si>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</si>
  <si>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</si>
  <si>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</si>
  <si>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</si>
  <si>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</si>
  <si>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</si>
  <si>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</si>
  <si>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</si>
  <si>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</si>
  <si>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</si>
  <si>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</si>
  <si>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</si>
  <si>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</si>
  <si>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</si>
  <si>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</si>
  <si>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</si>
  <si>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</si>
  <si>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</si>
  <si>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</si>
  <si>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</si>
  <si>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</si>
  <si>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</si>
  <si>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</si>
  <si>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</si>
  <si>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</si>
  <si>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</si>
  <si>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</si>
  <si>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</si>
  <si>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</si>
  <si>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</si>
  <si>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</si>
  <si>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</si>
  <si>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</si>
  <si>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</si>
  <si>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</si>
  <si>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</si>
  <si>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</si>
  <si>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</si>
  <si>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</si>
  <si>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</si>
  <si>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</si>
  <si>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</si>
  <si>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</si>
  <si>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</si>
  <si>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</si>
  <si>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</si>
  <si>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</si>
  <si>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</si>
  <si>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</si>
  <si>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</si>
  <si>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</si>
  <si>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</si>
  <si>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</si>
  <si>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</si>
  <si>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</si>
  <si>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</si>
  <si>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</si>
  <si>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</si>
  <si>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</si>
  <si>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</si>
  <si>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</si>
  <si>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</si>
  <si>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</si>
  <si>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</si>
  <si>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</si>
  <si>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</si>
  <si>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</si>
  <si>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</si>
  <si>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</si>
  <si>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</si>
  <si>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</si>
  <si>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</si>
  <si>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</si>
  <si>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</si>
  <si>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</si>
  <si>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</si>
  <si>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</si>
  <si>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</si>
  <si>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</si>
  <si>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</si>
  <si>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</si>
  <si>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</si>
  <si>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</si>
  <si>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</si>
  <si>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</si>
  <si>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</si>
  <si>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</si>
  <si>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</si>
  <si>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</si>
  <si>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</si>
  <si>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</si>
  <si>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</si>
  <si>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</si>
  <si>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</si>
  <si>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</si>
  <si>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</si>
  <si>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</si>
  <si>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</si>
  <si>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</si>
  <si>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</si>
  <si>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</si>
  <si>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</si>
  <si>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</si>
  <si>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</si>
  <si>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</si>
  <si>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</si>
  <si>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</si>
  <si>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</si>
  <si>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</si>
  <si>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</si>
  <si>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</si>
  <si>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</si>
  <si>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</si>
  <si>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</si>
  <si>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</si>
  <si>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</si>
  <si>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</si>
  <si>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</si>
  <si>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</si>
  <si>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</si>
  <si>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</si>
  <si>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</si>
  <si>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</si>
  <si>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</si>
  <si>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</si>
  <si>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</si>
  <si>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</si>
  <si>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</si>
  <si>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</si>
  <si>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</si>
  <si>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</si>
  <si>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</si>
  <si>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</si>
  <si>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</si>
  <si>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</si>
  <si>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</si>
  <si>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</si>
  <si>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</si>
  <si>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</si>
  <si>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</si>
  <si>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</si>
  <si>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</si>
  <si>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</si>
  <si>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</si>
  <si>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</si>
  <si>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</si>
  <si>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</si>
  <si>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</si>
  <si>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</si>
  <si>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</si>
  <si>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</si>
  <si>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</si>
  <si>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</si>
  <si>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</si>
  <si>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</si>
  <si>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</si>
  <si>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</si>
  <si>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</si>
  <si>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</si>
  <si>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</si>
  <si>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</si>
  <si>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</si>
  <si>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</si>
  <si>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</si>
  <si>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</si>
  <si>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</si>
  <si>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</si>
  <si>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</si>
  <si>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</si>
  <si>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</si>
  <si>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</si>
  <si>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</si>
  <si>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</si>
  <si>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</si>
  <si>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</si>
  <si>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</si>
  <si>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</si>
  <si>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</si>
  <si>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</si>
  <si>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</si>
  <si>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</si>
  <si>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</si>
  <si>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</si>
  <si>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</si>
  <si>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</si>
  <si>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</si>
  <si>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</si>
  <si>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</si>
  <si>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</si>
  <si>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</si>
  <si>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</si>
  <si>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</si>
  <si>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</si>
  <si>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</si>
  <si>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</si>
  <si>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</si>
  <si>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</si>
  <si>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</si>
  <si>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</si>
  <si>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</si>
  <si>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</si>
  <si>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</si>
  <si>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</si>
  <si>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</si>
  <si>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</si>
  <si>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</si>
  <si>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</si>
  <si>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</si>
  <si>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</si>
  <si>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</si>
  <si>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</si>
  <si>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</si>
  <si>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</si>
  <si>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</si>
  <si>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</si>
  <si>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</si>
  <si>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</si>
  <si>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</si>
  <si>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</si>
  <si>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</si>
  <si>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</si>
  <si>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</si>
  <si>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</si>
  <si>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</si>
  <si>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</si>
  <si>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</si>
  <si>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</si>
  <si>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</si>
  <si>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</si>
  <si>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</si>
  <si>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</si>
  <si>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</si>
  <si>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</si>
  <si>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</si>
  <si>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</si>
  <si>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</si>
  <si>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</si>
  <si>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</si>
  <si>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</si>
  <si>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</si>
  <si>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</si>
  <si>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</si>
  <si>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</si>
  <si>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</si>
  <si>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</si>
  <si>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</si>
  <si>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</si>
  <si>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</si>
  <si>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</si>
  <si>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</si>
  <si>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</si>
  <si>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</si>
  <si>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</si>
  <si>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</si>
  <si>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</si>
  <si>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</si>
  <si>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</si>
  <si>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</si>
  <si>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</si>
  <si>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</si>
  <si>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</si>
  <si>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</si>
  <si>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</si>
  <si>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</si>
  <si>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</si>
  <si>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</si>
  <si>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</si>
  <si>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</si>
  <si>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</si>
  <si>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</si>
  <si>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</si>
  <si>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</si>
  <si>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</si>
  <si>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</si>
  <si>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</si>
  <si>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</si>
  <si>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</si>
  <si>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</si>
  <si>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</si>
  <si>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</si>
  <si>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</si>
  <si>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Payout Ratio</t>
  </si>
  <si>
    <t>BPS</t>
  </si>
  <si>
    <t>DPS</t>
  </si>
  <si>
    <t>EPS</t>
  </si>
  <si>
    <t>BPS_t-1</t>
  </si>
  <si>
    <t>Residual Earnings Model</t>
  </si>
  <si>
    <t>No-Growth DCF Model</t>
  </si>
  <si>
    <t>PV of RE</t>
  </si>
  <si>
    <t>Residual Earnings (RE)</t>
  </si>
  <si>
    <t>RE Projection</t>
  </si>
  <si>
    <t>Clean surplus (CSR) identity:</t>
  </si>
  <si>
    <t>BPS_t = BPS_t-1 + EPS_t -DPS_t</t>
  </si>
  <si>
    <t>High Growth Rate (HGR)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</si>
</sst>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 numFmtId="182" formatCode="#,##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9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4" fontId="0" fillId="0" borderId="3" xfId="0" applyNumberFormat="1" applyBorder="1"/>
    <xf numFmtId="182" fontId="0" fillId="0" borderId="3" xfId="0" applyNumberFormat="1" applyBorder="1"/>
    <xf numFmtId="4" fontId="0" fillId="0" borderId="0" xfId="0" applyNumberFormat="1"/>
    <xf numFmtId="168" fontId="9" fillId="0" borderId="1" xfId="0" applyNumberFormat="1" applyFont="1" applyBorder="1" applyAlignment="1">
      <alignment horizontal="center"/>
    </xf>
    <xf numFmtId="0" fontId="27" fillId="0" borderId="0" xfId="0" applyFont="1" applyAlignment="1">
      <alignment horizontal="center"/>
    </xf>
    <xf numFmtId="0" fontId="27" fillId="0" borderId="1" xfId="0" applyFont="1" applyBorder="1" applyAlignment="1">
      <alignment horizontal="center"/>
    </xf>
    <xf numFmtId="170" fontId="0" fillId="0" borderId="1" xfId="0" applyNumberFormat="1" applyBorder="1"/>
    <xf numFmtId="170" fontId="0" fillId="0" borderId="1" xfId="0" applyNumberFormat="1" applyBorder="1" applyAlignment="1">
      <alignment horizontal="right"/>
    </xf>
    <xf numFmtId="0" fontId="24" fillId="0" borderId="3" xfId="0" applyFont="1" applyBorder="1" applyAlignment="1">
      <alignment horizontal="right"/>
    </xf>
    <xf numFmtId="4" fontId="0" fillId="0" borderId="3" xfId="0" applyNumberFormat="1" applyBorder="1" applyAlignment="1">
      <alignment horizontal="right"/>
    </xf>
    <xf numFmtId="0" fontId="1" fillId="0" borderId="0" xfId="0" quotePrefix="1"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104" zoomScaleNormal="100" workbookViewId="0">
      <selection activeCell="D12" sqref="D1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39</v>
      </c>
      <c r="C1" s="44">
        <v>45797</v>
      </c>
      <c r="D1" s="316" t="s">
        <v>433</v>
      </c>
      <c r="E1" s="292" t="s">
        <v>345</v>
      </c>
      <c r="F1" s="254" t="s">
        <v>278</v>
      </c>
    </row>
    <row r="2" spans="1:10" ht="13.9">
      <c r="A2" s="222" t="s">
        <v>262</v>
      </c>
      <c r="B2" s="36"/>
      <c r="C2" s="36"/>
      <c r="D2" s="36"/>
      <c r="E2" s="36"/>
      <c r="F2" s="36"/>
      <c r="G2" s="22"/>
      <c r="H2" s="22"/>
      <c r="I2" s="22"/>
      <c r="J2" s="22"/>
    </row>
    <row r="4" spans="1:10">
      <c r="B4" s="45" t="s">
        <v>397</v>
      </c>
      <c r="C4" s="46"/>
      <c r="D4" s="5"/>
      <c r="E4" s="2"/>
      <c r="F4" s="2"/>
    </row>
    <row r="5" spans="1:10" ht="12.4">
      <c r="B5" s="4" t="s">
        <v>465</v>
      </c>
      <c r="C5" s="294" t="s">
        <v>419</v>
      </c>
    </row>
    <row r="6" spans="1:10">
      <c r="B6" s="4" t="s">
        <v>466</v>
      </c>
      <c r="C6" s="51">
        <v>20774311267</v>
      </c>
      <c r="E6" s="48"/>
    </row>
    <row r="7" spans="1:10">
      <c r="B7" s="2" t="s">
        <v>467</v>
      </c>
      <c r="C7" s="250">
        <v>6</v>
      </c>
      <c r="D7" s="48"/>
      <c r="E7" s="48"/>
    </row>
    <row r="8" spans="1:10">
      <c r="B8" s="1" t="s">
        <v>468</v>
      </c>
      <c r="C8" s="33">
        <f>EOMONTH(EDATE(BS!C1,C7+2),0)</f>
        <v>45900</v>
      </c>
      <c r="E8" s="48"/>
    </row>
    <row r="9" spans="1:10">
      <c r="E9" s="34"/>
    </row>
    <row r="10" spans="1:10">
      <c r="B10" s="45" t="s">
        <v>399</v>
      </c>
      <c r="C10" s="46"/>
      <c r="E10" s="34"/>
    </row>
    <row r="11" spans="1:10">
      <c r="B11" s="1" t="s">
        <v>469</v>
      </c>
      <c r="C11" s="49" t="s">
        <v>420</v>
      </c>
      <c r="D11" s="49"/>
      <c r="E11" s="34"/>
    </row>
    <row r="12" spans="1:10">
      <c r="B12" s="4" t="s">
        <v>470</v>
      </c>
      <c r="C12" s="50">
        <v>21.81</v>
      </c>
      <c r="D12" s="50"/>
      <c r="E12" s="48"/>
    </row>
    <row r="13" spans="1:10">
      <c r="B13" s="1" t="s">
        <v>471</v>
      </c>
      <c r="C13" s="48" t="s">
        <v>396</v>
      </c>
      <c r="D13" s="48"/>
      <c r="E13" s="5"/>
    </row>
    <row r="14" spans="1:10">
      <c r="B14" s="4" t="s">
        <v>472</v>
      </c>
      <c r="C14" s="35">
        <f>Thesis!C12*Common_Shares/1000000</f>
        <v>453087.72873326996</v>
      </c>
      <c r="D14" s="35" t="str">
        <f>IF(D11="","",Thesis!D12*Common_Shares/1000000)</f>
        <v/>
      </c>
      <c r="E14" s="5"/>
    </row>
    <row r="15" spans="1:10">
      <c r="B15" s="4" t="s">
        <v>473</v>
      </c>
      <c r="C15" s="32" t="str">
        <f>IF(C25=C13,C13,C25&amp;"/"&amp;C13)</f>
        <v>CNY</v>
      </c>
      <c r="D15" s="32" t="str">
        <f>IF(D11="","",IF(C25=D13,D13,C25&amp;"/"&amp;D13))</f>
        <v/>
      </c>
      <c r="E15" s="5"/>
    </row>
    <row r="16" spans="1:10">
      <c r="B16" s="4" t="s">
        <v>474</v>
      </c>
      <c r="C16" s="50">
        <v>1</v>
      </c>
      <c r="D16" s="50"/>
      <c r="E16" s="5"/>
    </row>
    <row r="17" spans="2:6">
      <c r="D17" s="5"/>
      <c r="E17" s="5"/>
    </row>
    <row r="18" spans="2:6" ht="24.5" customHeight="1">
      <c r="B18" s="381" t="s">
        <v>475</v>
      </c>
      <c r="C18" s="381"/>
      <c r="D18" s="381"/>
      <c r="E18" s="381"/>
      <c r="F18" s="381"/>
    </row>
    <row r="20" spans="2:6">
      <c r="B20" s="45" t="s">
        <v>301</v>
      </c>
      <c r="C20" s="46"/>
      <c r="D20" s="5"/>
    </row>
    <row r="21" spans="2:6">
      <c r="B21" s="2" t="s">
        <v>340</v>
      </c>
      <c r="C21" s="32" t="str">
        <f>IF(Scenarios!C69="Y",Scenarios!B69,"")&amp;IF(Scenarios!C70="Y",Scenarios!B70,"")&amp;IF(Scenarios!C71="Y",Scenarios!B71,"")&amp;" "&amp;IF(Scenarios!C72="Y",Scenarios!B72,"")</f>
        <v xml:space="preserve">Low Growth </v>
      </c>
      <c r="D21" s="1" t="s">
        <v>418</v>
      </c>
      <c r="E21" s="308" t="s">
        <v>422</v>
      </c>
    </row>
    <row r="22" spans="2:6">
      <c r="B22" s="2" t="s">
        <v>53</v>
      </c>
      <c r="C22" s="48" t="s">
        <v>421</v>
      </c>
      <c r="D22" s="1" t="str">
        <f>IF(valuation_method="DDM","Terminal Value Discount Rate","")</f>
        <v>Terminal Value Discount Rate</v>
      </c>
      <c r="E22" s="313">
        <v>0.02</v>
      </c>
    </row>
    <row r="23" spans="2:6">
      <c r="B23" s="1" t="s">
        <v>413</v>
      </c>
      <c r="C23" s="262" t="s">
        <v>312</v>
      </c>
    </row>
    <row r="24" spans="2:6">
      <c r="B24" s="1" t="s">
        <v>414</v>
      </c>
      <c r="C24" s="262" t="s">
        <v>312</v>
      </c>
    </row>
    <row r="25" spans="2:6">
      <c r="B25" s="4" t="s">
        <v>339</v>
      </c>
      <c r="C25" s="48" t="s">
        <v>396</v>
      </c>
      <c r="D25" s="32" t="str">
        <f>IF(D11="","",Market_currency&amp;"/"&amp;D13&amp;":")</f>
        <v/>
      </c>
      <c r="E25" s="299" t="str">
        <f>IF(D11="","",1/Exchange_Rate*D16)</f>
        <v/>
      </c>
    </row>
    <row r="26" spans="2:6">
      <c r="B26" s="1" t="str">
        <f>"Expected Equity Value ("&amp;C13&amp;") :"</f>
        <v>Expected Equity Value (CNY) :</v>
      </c>
      <c r="C26" s="304">
        <f>C132</f>
        <v>20.440937245163916</v>
      </c>
      <c r="D26" s="1" t="s">
        <v>382</v>
      </c>
      <c r="E26" s="301">
        <f ca="1">Scenarios!C87</f>
        <v>2.8257760882916427E-2</v>
      </c>
    </row>
    <row r="27" spans="2:6">
      <c r="D27" s="5"/>
      <c r="E27" s="5"/>
    </row>
    <row r="28" spans="2:6">
      <c r="B28" s="45" t="s">
        <v>412</v>
      </c>
      <c r="C28" s="309" t="str">
        <f>C145&amp;" ("&amp;Market_currency&amp;")"</f>
        <v>601166.SS (CNY)</v>
      </c>
      <c r="D28" s="309" t="str">
        <f>IF(D11="","",D145&amp;" ("&amp;D13&amp;")")</f>
        <v/>
      </c>
      <c r="E28" s="305" t="s">
        <v>408</v>
      </c>
      <c r="F28" s="303">
        <v>3</v>
      </c>
    </row>
    <row r="29" spans="2:6">
      <c r="B29" s="1" t="s">
        <v>404</v>
      </c>
      <c r="C29" s="310">
        <f>C149</f>
        <v>8.287863297441934</v>
      </c>
      <c r="D29" s="310" t="str">
        <f>D149</f>
        <v/>
      </c>
      <c r="E29" s="306" t="s">
        <v>403</v>
      </c>
      <c r="F29" s="302">
        <v>0.45</v>
      </c>
    </row>
    <row r="30" spans="2:6">
      <c r="B30" s="1" t="s">
        <v>405</v>
      </c>
      <c r="C30" s="311">
        <f>C157</f>
        <v>11.229102068804695</v>
      </c>
      <c r="D30" s="311" t="str">
        <f>D157</f>
        <v/>
      </c>
      <c r="E30" s="307" t="s">
        <v>416</v>
      </c>
      <c r="F30" s="312">
        <v>0.3</v>
      </c>
    </row>
    <row r="31" spans="2:6">
      <c r="B31" s="1" t="s">
        <v>406</v>
      </c>
      <c r="C31" s="311">
        <f>C165</f>
        <v>19.210705770441479</v>
      </c>
      <c r="D31" s="311" t="str">
        <f>D165</f>
        <v/>
      </c>
      <c r="E31" s="307" t="s">
        <v>415</v>
      </c>
      <c r="F31" s="312">
        <v>7.4999999999999997E-2</v>
      </c>
    </row>
    <row r="32" spans="2:6">
      <c r="B32" s="1" t="s">
        <v>407</v>
      </c>
      <c r="C32" s="311">
        <f>C173</f>
        <v>18.612786102807618</v>
      </c>
      <c r="D32" s="311" t="str">
        <f>D173</f>
        <v/>
      </c>
      <c r="E32" s="307" t="s">
        <v>417</v>
      </c>
      <c r="F32" s="312">
        <v>8.6999999999999994E-2</v>
      </c>
    </row>
    <row r="33" spans="1:6">
      <c r="D33" s="5"/>
      <c r="E33" s="5"/>
    </row>
    <row r="34" spans="1:6" ht="13.9">
      <c r="A34" s="222" t="s">
        <v>347</v>
      </c>
      <c r="B34" s="36"/>
      <c r="C34" s="36"/>
      <c r="D34" s="36"/>
      <c r="E34" s="36"/>
      <c r="F34" s="36"/>
    </row>
    <row r="36" spans="1:6">
      <c r="B36" s="381" t="s">
        <v>476</v>
      </c>
      <c r="C36" s="381"/>
      <c r="D36" s="381"/>
      <c r="E36" s="381"/>
      <c r="F36" s="381"/>
    </row>
    <row r="37" spans="1:6" ht="24.5" customHeight="1">
      <c r="B37" s="383" t="s">
        <v>331</v>
      </c>
      <c r="C37" s="383"/>
      <c r="D37" s="383"/>
      <c r="E37" s="383"/>
      <c r="F37" s="383"/>
    </row>
    <row r="39" spans="1:6">
      <c r="B39" s="210" t="s">
        <v>225</v>
      </c>
      <c r="C39" s="108">
        <f>scaling_factor</f>
        <v>1000000</v>
      </c>
    </row>
    <row r="40" spans="1:6" ht="24.5" customHeight="1">
      <c r="B40" s="382" t="s">
        <v>226</v>
      </c>
      <c r="C40" s="382"/>
      <c r="D40" s="382"/>
      <c r="E40" s="382"/>
      <c r="F40" s="382"/>
    </row>
    <row r="41" spans="1:6">
      <c r="B41" s="47" t="s">
        <v>227</v>
      </c>
      <c r="C41" s="348">
        <f>Normalized_FCF!C8</f>
        <v>6033.25</v>
      </c>
      <c r="D41" s="1" t="str">
        <f>Reporting_currency</f>
        <v>CNY</v>
      </c>
    </row>
    <row r="42" spans="1:6">
      <c r="B42" s="47"/>
      <c r="C42" s="76"/>
    </row>
    <row r="43" spans="1:6" ht="24.5" customHeight="1">
      <c r="B43" s="382" t="s">
        <v>228</v>
      </c>
      <c r="C43" s="382"/>
      <c r="D43" s="382"/>
      <c r="E43" s="382"/>
      <c r="F43" s="382"/>
    </row>
    <row r="44" spans="1:6">
      <c r="B44" s="47" t="s">
        <v>229</v>
      </c>
      <c r="C44" s="348">
        <f>Normalized_FCF!C9</f>
        <v>0</v>
      </c>
      <c r="D44" s="1" t="str">
        <f>Reporting_currency</f>
        <v>CNY</v>
      </c>
    </row>
    <row r="45" spans="1:6">
      <c r="B45" s="52" t="s">
        <v>230</v>
      </c>
      <c r="C45" s="348">
        <f>Normalized_FCF!C10</f>
        <v>0</v>
      </c>
      <c r="D45" s="1" t="str">
        <f>Reporting_currency</f>
        <v>CNY</v>
      </c>
    </row>
    <row r="47" spans="1:6">
      <c r="B47" s="382" t="s">
        <v>231</v>
      </c>
      <c r="C47" s="382"/>
      <c r="D47" s="382"/>
      <c r="E47" s="382"/>
      <c r="F47" s="382"/>
    </row>
    <row r="48" spans="1:6">
      <c r="B48" s="47" t="s">
        <v>232</v>
      </c>
      <c r="C48" s="348">
        <f>Normalized_FCF!C11</f>
        <v>0</v>
      </c>
      <c r="D48" s="1" t="str">
        <f>Reporting_currency</f>
        <v>CNY</v>
      </c>
    </row>
    <row r="50" spans="2:6">
      <c r="B50" s="382" t="s">
        <v>235</v>
      </c>
      <c r="C50" s="382"/>
      <c r="D50" s="382"/>
      <c r="E50" s="382"/>
      <c r="F50" s="382"/>
    </row>
    <row r="51" spans="2:6">
      <c r="B51" s="47" t="s">
        <v>332</v>
      </c>
      <c r="C51" s="349">
        <f>Normalized_FCF!C48</f>
        <v>343835</v>
      </c>
      <c r="D51" s="1" t="str">
        <f>Reporting_currency</f>
        <v>CNY</v>
      </c>
      <c r="E51" s="286"/>
      <c r="F51" s="286"/>
    </row>
    <row r="52" spans="2:6">
      <c r="B52" s="47" t="s">
        <v>333</v>
      </c>
      <c r="C52" s="349">
        <f>Normalized_FCF!C47</f>
        <v>-195728</v>
      </c>
      <c r="D52" s="1" t="str">
        <f>Reporting_currency</f>
        <v>CNY</v>
      </c>
      <c r="E52" s="286"/>
      <c r="F52" s="286"/>
    </row>
    <row r="53" spans="2:6">
      <c r="B53" s="47" t="s">
        <v>233</v>
      </c>
      <c r="C53" s="348">
        <f>Normalized_FCF!C12</f>
        <v>148107</v>
      </c>
      <c r="D53" s="1" t="str">
        <f>Reporting_currency</f>
        <v>CNY</v>
      </c>
    </row>
    <row r="55" spans="2:6">
      <c r="B55" s="1" t="s">
        <v>241</v>
      </c>
    </row>
    <row r="56" spans="2:6">
      <c r="B56" s="47" t="s">
        <v>260</v>
      </c>
      <c r="C56" s="348">
        <f>Normalized_FCF!C15</f>
        <v>-902.60509486250271</v>
      </c>
      <c r="D56" s="1" t="str">
        <f>Reporting_currency</f>
        <v>CNY</v>
      </c>
    </row>
    <row r="58" spans="2:6">
      <c r="B58" s="382" t="s">
        <v>236</v>
      </c>
      <c r="C58" s="382"/>
      <c r="D58" s="382"/>
      <c r="E58" s="382"/>
      <c r="F58" s="382"/>
    </row>
    <row r="59" spans="2:6">
      <c r="B59" s="47" t="s">
        <v>234</v>
      </c>
      <c r="C59" s="348">
        <f>Normalized_FCF!C14</f>
        <v>-38535.0625</v>
      </c>
      <c r="D59" s="1" t="str">
        <f>Reporting_currency</f>
        <v>CNY</v>
      </c>
    </row>
    <row r="61" spans="2:6">
      <c r="B61" s="382" t="s">
        <v>330</v>
      </c>
      <c r="C61" s="385"/>
      <c r="D61" s="385"/>
      <c r="E61" s="385"/>
      <c r="F61" s="385"/>
    </row>
    <row r="62" spans="2:6">
      <c r="B62" s="47" t="s">
        <v>237</v>
      </c>
      <c r="C62" s="348">
        <f>Normalized_FCF!C17</f>
        <v>0</v>
      </c>
      <c r="D62" s="1" t="str">
        <f>Reporting_currency</f>
        <v>CNY</v>
      </c>
    </row>
    <row r="64" spans="2:6" ht="24.5" customHeight="1">
      <c r="B64" s="381" t="s">
        <v>335</v>
      </c>
      <c r="C64" s="381"/>
      <c r="D64" s="381"/>
      <c r="E64" s="381"/>
      <c r="F64" s="381"/>
    </row>
    <row r="65" spans="1:6" ht="24.5" customHeight="1">
      <c r="B65" s="381" t="s">
        <v>350</v>
      </c>
      <c r="C65" s="381"/>
      <c r="D65" s="381"/>
      <c r="E65" s="381"/>
      <c r="F65" s="381"/>
    </row>
    <row r="67" spans="1:6">
      <c r="B67" s="47" t="s">
        <v>264</v>
      </c>
      <c r="C67" s="348">
        <f>Normalized_FCF!G19</f>
        <v>137471</v>
      </c>
      <c r="D67" s="1" t="str">
        <f>Reporting_currency</f>
        <v>CNY</v>
      </c>
    </row>
    <row r="68" spans="1:6">
      <c r="B68" s="47" t="s">
        <v>243</v>
      </c>
      <c r="C68" s="348">
        <f>Normalized_FCF!C19</f>
        <v>114702.58240513749</v>
      </c>
      <c r="D68" s="1" t="str">
        <f>Reporting_currency</f>
        <v>CNY</v>
      </c>
    </row>
    <row r="69" spans="1:6">
      <c r="B69" s="227" t="s">
        <v>373</v>
      </c>
      <c r="C69" s="92">
        <f>Normalized_FCF!C126</f>
        <v>0.25315755676239515</v>
      </c>
      <c r="F69" s="314"/>
    </row>
    <row r="70" spans="1:6">
      <c r="B70" s="227" t="s">
        <v>441</v>
      </c>
      <c r="C70" s="92">
        <f>Normalized_FCF!C94</f>
        <v>4.8601558917927563E-2</v>
      </c>
      <c r="E70" s="47" t="s">
        <v>431</v>
      </c>
      <c r="F70" s="315">
        <f>Normalized_FCF!C92</f>
        <v>0.19198146616473824</v>
      </c>
    </row>
    <row r="72" spans="1:6">
      <c r="B72" s="210" t="s">
        <v>434</v>
      </c>
      <c r="C72" s="323" t="s">
        <v>436</v>
      </c>
      <c r="D72" s="323" t="s">
        <v>437</v>
      </c>
    </row>
    <row r="73" spans="1:6">
      <c r="B73" s="47" t="s">
        <v>435</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477</v>
      </c>
      <c r="B78" s="36"/>
      <c r="C78" s="36"/>
      <c r="D78" s="36"/>
      <c r="E78" s="36"/>
      <c r="F78" s="36"/>
    </row>
    <row r="79" spans="1:6">
      <c r="A79" s="209"/>
    </row>
    <row r="80" spans="1:6">
      <c r="A80" s="17"/>
      <c r="B80" s="381" t="s">
        <v>478</v>
      </c>
      <c r="C80" s="381"/>
      <c r="D80" s="381"/>
      <c r="E80" s="381"/>
      <c r="F80" s="381"/>
    </row>
    <row r="81" spans="1:6">
      <c r="B81" s="383" t="s">
        <v>247</v>
      </c>
      <c r="C81" s="383"/>
      <c r="D81" s="383"/>
      <c r="E81" s="383"/>
      <c r="F81" s="383"/>
    </row>
    <row r="83" spans="1:6">
      <c r="B83" s="210" t="s">
        <v>225</v>
      </c>
    </row>
    <row r="84" spans="1:6">
      <c r="B84" s="1" t="s">
        <v>410</v>
      </c>
      <c r="C84" s="92">
        <f>F31</f>
        <v>7.4999999999999997E-2</v>
      </c>
    </row>
    <row r="85" spans="1:6">
      <c r="B85" s="1" t="s">
        <v>409</v>
      </c>
      <c r="C85" s="92">
        <f>IF(C23="Y",1%,0)+IF(C24="Y",1%,0)</f>
        <v>0</v>
      </c>
    </row>
    <row r="86" spans="1:6">
      <c r="B86" s="80" t="s">
        <v>242</v>
      </c>
      <c r="C86" s="236">
        <f>F31+C85</f>
        <v>7.4999999999999997E-2</v>
      </c>
    </row>
    <row r="87" spans="1:6">
      <c r="C87" s="121"/>
    </row>
    <row r="88" spans="1:6">
      <c r="B88" s="293" t="s">
        <v>348</v>
      </c>
      <c r="C88" s="121"/>
    </row>
    <row r="89" spans="1:6" ht="24.5" customHeight="1">
      <c r="B89" s="381" t="s">
        <v>351</v>
      </c>
      <c r="C89" s="381"/>
      <c r="D89" s="381"/>
      <c r="E89" s="381"/>
      <c r="F89" s="381"/>
    </row>
    <row r="90" spans="1:6" ht="24.5" customHeight="1">
      <c r="B90" s="381" t="s">
        <v>352</v>
      </c>
      <c r="C90" s="381"/>
      <c r="D90" s="381"/>
      <c r="E90" s="381"/>
      <c r="F90" s="381"/>
    </row>
    <row r="92" spans="1:6">
      <c r="B92" s="47" t="s">
        <v>246</v>
      </c>
      <c r="C92" s="236">
        <v>0</v>
      </c>
    </row>
    <row r="93" spans="1:6">
      <c r="B93" s="47" t="s">
        <v>274</v>
      </c>
      <c r="C93" s="223">
        <f>DCF!C6*scaling_factor*Exchange_Rate/Common_Shares</f>
        <v>73.618217506504507</v>
      </c>
      <c r="D93" s="1" t="str">
        <f>Market_currency</f>
        <v>CNY</v>
      </c>
    </row>
    <row r="95" spans="1:6" ht="13.9">
      <c r="A95" s="222" t="s">
        <v>349</v>
      </c>
      <c r="B95" s="36"/>
      <c r="C95" s="36"/>
      <c r="D95" s="36"/>
      <c r="E95" s="36"/>
      <c r="F95" s="36"/>
    </row>
    <row r="96" spans="1:6">
      <c r="A96" s="209"/>
    </row>
    <row r="97" spans="2:6">
      <c r="B97" s="381" t="s">
        <v>353</v>
      </c>
      <c r="C97" s="381"/>
      <c r="D97" s="381"/>
      <c r="E97" s="381"/>
      <c r="F97" s="381"/>
    </row>
    <row r="98" spans="2:6">
      <c r="B98" s="1" t="s">
        <v>248</v>
      </c>
    </row>
    <row r="100" spans="2:6">
      <c r="B100" s="210" t="s">
        <v>225</v>
      </c>
    </row>
    <row r="101" spans="2:6" ht="24.5" customHeight="1">
      <c r="B101" s="381" t="s">
        <v>336</v>
      </c>
      <c r="C101" s="381"/>
      <c r="D101" s="381"/>
      <c r="E101" s="381"/>
      <c r="F101" s="381"/>
    </row>
    <row r="102" spans="2:6">
      <c r="B102" s="47" t="s">
        <v>250</v>
      </c>
      <c r="C102" s="348">
        <f>DCF!C7</f>
        <v>9516669</v>
      </c>
      <c r="D102" s="1" t="str">
        <f>Reporting_currency</f>
        <v>CNY</v>
      </c>
    </row>
    <row r="103" spans="2:6">
      <c r="B103" s="47" t="s">
        <v>275</v>
      </c>
      <c r="C103" s="223">
        <f>C102*scaling_factor*Exchange_Rate/Common_Shares</f>
        <v>458.09793054931413</v>
      </c>
      <c r="D103" s="1" t="str">
        <f>Market_currency</f>
        <v>CNY</v>
      </c>
    </row>
    <row r="104" spans="2:6">
      <c r="B104" s="296" t="s">
        <v>386</v>
      </c>
      <c r="C104" s="325" t="str">
        <f>IF(BS!G31/BS!G27&gt;300%,"nm",BS!G31/BS!G27)</f>
        <v>nm</v>
      </c>
    </row>
    <row r="105" spans="2:6">
      <c r="B105" s="296" t="s">
        <v>388</v>
      </c>
      <c r="C105" s="326" t="str">
        <f>IF(BS!C50&gt;30,"nm",BS!C50)</f>
        <v>nm</v>
      </c>
    </row>
    <row r="107" spans="2:6">
      <c r="B107" s="1" t="s">
        <v>249</v>
      </c>
    </row>
    <row r="108" spans="2:6">
      <c r="B108" s="47" t="s">
        <v>259</v>
      </c>
      <c r="C108" s="348">
        <f>BS!C66</f>
        <v>6736706</v>
      </c>
      <c r="D108" s="1" t="str">
        <f>Reporting_currency</f>
        <v>CNY</v>
      </c>
    </row>
    <row r="109" spans="2:6">
      <c r="B109" s="47" t="s">
        <v>261</v>
      </c>
      <c r="C109" s="348">
        <f>DCF!C8</f>
        <v>0</v>
      </c>
      <c r="D109" s="1" t="str">
        <f>Reporting_currency</f>
        <v>CNY</v>
      </c>
    </row>
    <row r="110" spans="2:6">
      <c r="B110" s="47" t="s">
        <v>276</v>
      </c>
      <c r="C110" s="223">
        <f>C109*scaling_factor*Exchange_Rate/Common_Shares</f>
        <v>0</v>
      </c>
      <c r="D110" s="1" t="str">
        <f>Market_currency</f>
        <v>CNY</v>
      </c>
    </row>
    <row r="112" spans="2:6">
      <c r="B112" s="1" t="s">
        <v>251</v>
      </c>
    </row>
    <row r="113" spans="1:6">
      <c r="B113" s="47" t="s">
        <v>252</v>
      </c>
      <c r="C113" s="348">
        <f>DCF!C9</f>
        <v>2145886.1</v>
      </c>
      <c r="D113" s="1" t="str">
        <f>Reporting_currency</f>
        <v>CNY</v>
      </c>
    </row>
    <row r="114" spans="1:6">
      <c r="B114" s="47" t="s">
        <v>277</v>
      </c>
      <c r="C114" s="223">
        <f>C113*scaling_factor*Exchange_Rate/Common_Shares</f>
        <v>103.2951741417652</v>
      </c>
      <c r="D114" s="1" t="str">
        <f>Market_currency</f>
        <v>CNY</v>
      </c>
    </row>
    <row r="116" spans="1:6" ht="24.5" customHeight="1">
      <c r="B116" s="381" t="s">
        <v>354</v>
      </c>
      <c r="C116" s="381"/>
      <c r="D116" s="381"/>
      <c r="E116" s="381"/>
      <c r="F116" s="381"/>
    </row>
    <row r="118" spans="1:6">
      <c r="B118" s="47" t="s">
        <v>432</v>
      </c>
      <c r="C118" s="223">
        <f>IF(valuation_method="DCF",DCF!C12,DDM!C7)</f>
        <v>14.133333333333335</v>
      </c>
      <c r="D118" s="1" t="str">
        <f>Market_currency</f>
        <v>CNY</v>
      </c>
    </row>
    <row r="119" spans="1:6">
      <c r="B119" s="296" t="s">
        <v>556</v>
      </c>
      <c r="C119" s="223">
        <f>BS!D47</f>
        <v>-92.956751979911445</v>
      </c>
      <c r="D119" s="1" t="str">
        <f>Market_currency</f>
        <v>CNY</v>
      </c>
    </row>
    <row r="121" spans="1:6" ht="13.9">
      <c r="A121" s="222" t="s">
        <v>479</v>
      </c>
      <c r="B121" s="36"/>
      <c r="C121" s="36"/>
      <c r="D121" s="36"/>
      <c r="E121" s="36"/>
      <c r="F121" s="36"/>
    </row>
    <row r="123" spans="1:6">
      <c r="B123" s="382" t="s">
        <v>480</v>
      </c>
      <c r="C123" s="382"/>
      <c r="D123" s="382"/>
      <c r="E123" s="382"/>
      <c r="F123" s="382"/>
    </row>
    <row r="125" spans="1:6" ht="12.4">
      <c r="B125" s="233" t="s">
        <v>112</v>
      </c>
      <c r="C125" s="233" t="s">
        <v>127</v>
      </c>
      <c r="D125" s="233" t="s">
        <v>107</v>
      </c>
      <c r="E125" s="233" t="s">
        <v>254</v>
      </c>
      <c r="F125" s="233" t="s">
        <v>142</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0.188</v>
      </c>
    </row>
    <row r="128" spans="1:6">
      <c r="B128" s="218" t="str">
        <f>DCF!B76</f>
        <v>Base</v>
      </c>
      <c r="C128" s="219">
        <f>DCF!C76</f>
        <v>0.03</v>
      </c>
      <c r="D128" s="220">
        <f>DCF!D76</f>
        <v>30</v>
      </c>
      <c r="E128" s="231" t="str">
        <f>ROUND(IF(valuation_method="DCF",DCF!E76,DDM!E71),2)&amp;" "&amp;Market_currency</f>
        <v>20.55 CNY</v>
      </c>
      <c r="F128" s="221">
        <f>DCF!F76</f>
        <v>0.56399999999999995</v>
      </c>
    </row>
    <row r="129" spans="1:6">
      <c r="B129" s="218" t="str">
        <f>DCF!B77</f>
        <v>Pessimistic</v>
      </c>
      <c r="C129" s="219">
        <f>DCF!C77</f>
        <v>0.02</v>
      </c>
      <c r="D129" s="220">
        <f>DCF!D77</f>
        <v>30</v>
      </c>
      <c r="E129" s="231" t="str">
        <f>ROUND(IF(valuation_method="DCF",DCF!E77,DDM!E72),2)&amp;" "&amp;Market_currency</f>
        <v>18.57 CNY</v>
      </c>
      <c r="F129" s="221">
        <f>DCF!F77</f>
        <v>0.188</v>
      </c>
    </row>
    <row r="130" spans="1:6">
      <c r="B130" s="218" t="str">
        <f>DCF!B78</f>
        <v>Devil's advocate</v>
      </c>
      <c r="C130" s="219">
        <f>DCF!C78</f>
        <v>0</v>
      </c>
      <c r="D130" s="220">
        <f>DCF!D78</f>
        <v>30</v>
      </c>
      <c r="E130" s="231" t="str">
        <f>ROUND(IF(valuation_method="DCF",DCF!E78,DDM!E73),2)&amp;" "&amp;Market_currency</f>
        <v>15.44 CNY</v>
      </c>
      <c r="F130" s="221">
        <f>DCF!F78</f>
        <v>0.05</v>
      </c>
    </row>
    <row r="132" spans="1:6">
      <c r="B132" s="211" t="s">
        <v>253</v>
      </c>
      <c r="C132" s="217">
        <f>Scenarios!C60</f>
        <v>20.440937245163916</v>
      </c>
      <c r="D132" s="212" t="str">
        <f>Market_currency</f>
        <v>CNY</v>
      </c>
    </row>
    <row r="134" spans="1:6" ht="24.5" customHeight="1">
      <c r="B134" s="386" t="s">
        <v>481</v>
      </c>
      <c r="C134" s="386"/>
      <c r="D134" s="386"/>
      <c r="E134" s="386"/>
      <c r="F134" s="386"/>
    </row>
    <row r="136" spans="1:6" ht="13.9">
      <c r="A136" s="222" t="s">
        <v>482</v>
      </c>
      <c r="B136" s="36"/>
      <c r="C136" s="36"/>
      <c r="D136" s="36"/>
      <c r="E136" s="36"/>
      <c r="F136" s="36"/>
    </row>
    <row r="138" spans="1:6">
      <c r="B138" s="384" t="s">
        <v>355</v>
      </c>
      <c r="C138" s="384"/>
      <c r="D138" s="384"/>
      <c r="E138" s="384"/>
      <c r="F138" s="384"/>
    </row>
    <row r="139" spans="1:6">
      <c r="B139" s="381" t="s">
        <v>483</v>
      </c>
      <c r="C139" s="381"/>
      <c r="D139" s="381"/>
      <c r="E139" s="381"/>
      <c r="F139" s="381"/>
    </row>
    <row r="140" spans="1:6">
      <c r="B140" s="210" t="s">
        <v>225</v>
      </c>
    </row>
    <row r="141" spans="1:6">
      <c r="B141" s="1" t="s">
        <v>258</v>
      </c>
      <c r="C141" s="225">
        <f>F28</f>
        <v>3</v>
      </c>
    </row>
    <row r="142" spans="1:6">
      <c r="B142" s="1" t="s">
        <v>270</v>
      </c>
      <c r="C142" s="224">
        <f>F29</f>
        <v>0.45</v>
      </c>
    </row>
    <row r="143" spans="1:6">
      <c r="B143" s="212" t="s">
        <v>256</v>
      </c>
      <c r="C143" s="213">
        <f>Scenarios!C77</f>
        <v>1.06</v>
      </c>
      <c r="D143" s="212" t="str">
        <f>Market_currency</f>
        <v>CNY</v>
      </c>
    </row>
    <row r="145" spans="2:4">
      <c r="B145" s="210" t="s">
        <v>390</v>
      </c>
      <c r="C145" s="241" t="str">
        <f>C11</f>
        <v>601166.SS</v>
      </c>
      <c r="D145" s="241" t="str">
        <f>IF(D11="","",D11)</f>
        <v/>
      </c>
    </row>
    <row r="146" spans="2:4">
      <c r="B146" s="1" t="s">
        <v>389</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6.7049693698516268</v>
      </c>
    </row>
    <row r="149" spans="2:4">
      <c r="B149" s="80" t="s">
        <v>255</v>
      </c>
      <c r="C149" s="215">
        <f>Scenarios!C83</f>
        <v>8.287863297441934</v>
      </c>
      <c r="D149" s="300" t="str">
        <f>IF($D$11="","",C149*$E$25)</f>
        <v/>
      </c>
    </row>
    <row r="150" spans="2:4">
      <c r="B150" s="259" t="s">
        <v>398</v>
      </c>
      <c r="C150" s="298" t="str">
        <f>Market_currency</f>
        <v>CNY</v>
      </c>
      <c r="D150" s="298" t="str">
        <f>IF($D$11="","",D$13)</f>
        <v/>
      </c>
    </row>
    <row r="151" spans="2:4">
      <c r="B151" s="214" t="s">
        <v>257</v>
      </c>
      <c r="C151" s="92">
        <f>Scenarios!F83</f>
        <v>0.59454582742272521</v>
      </c>
    </row>
    <row r="153" spans="2:4">
      <c r="B153" s="210" t="s">
        <v>393</v>
      </c>
    </row>
    <row r="154" spans="2:4">
      <c r="B154" s="1" t="s">
        <v>392</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9.3040224147309569</v>
      </c>
    </row>
    <row r="157" spans="2:4">
      <c r="B157" s="80" t="s">
        <v>255</v>
      </c>
      <c r="C157" s="215">
        <f>Scenarios!C93</f>
        <v>11.229102068804695</v>
      </c>
      <c r="D157" s="300" t="str">
        <f>IF($D$11="","",C157*$E$25)</f>
        <v/>
      </c>
    </row>
    <row r="158" spans="2:4">
      <c r="B158" s="259" t="s">
        <v>398</v>
      </c>
      <c r="C158" s="298" t="str">
        <f>Market_currency</f>
        <v>CNY</v>
      </c>
      <c r="D158" s="298" t="str">
        <f>IF($D$11="","",D$13)</f>
        <v/>
      </c>
    </row>
    <row r="159" spans="2:4">
      <c r="B159" s="214" t="s">
        <v>257</v>
      </c>
      <c r="C159" s="92">
        <f>Scenarios!F93</f>
        <v>0.45065620357200753</v>
      </c>
    </row>
    <row r="161" spans="2:4">
      <c r="B161" s="210" t="s">
        <v>383</v>
      </c>
    </row>
    <row r="162" spans="2:4">
      <c r="B162" s="1" t="s">
        <v>391</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16.4541484861772</v>
      </c>
    </row>
    <row r="165" spans="2:4">
      <c r="B165" s="80" t="s">
        <v>384</v>
      </c>
      <c r="C165" s="215">
        <f>Scenarios!C99</f>
        <v>19.210705770441479</v>
      </c>
      <c r="D165" s="300" t="str">
        <f>IF($D$11="","",C165*$E$25)</f>
        <v/>
      </c>
    </row>
    <row r="166" spans="2:4">
      <c r="B166" s="259" t="s">
        <v>398</v>
      </c>
      <c r="C166" s="298" t="str">
        <f>Market_currency</f>
        <v>CNY</v>
      </c>
      <c r="D166" s="298" t="str">
        <f>IF($D$11="","",D$13)</f>
        <v/>
      </c>
    </row>
    <row r="167" spans="2:4">
      <c r="B167" s="214" t="s">
        <v>257</v>
      </c>
      <c r="C167" s="92">
        <f>Scenarios!F99</f>
        <v>6.0184690162066623E-2</v>
      </c>
    </row>
    <row r="169" spans="2:4">
      <c r="B169" s="210" t="s">
        <v>411</v>
      </c>
    </row>
    <row r="170" spans="2:4">
      <c r="B170" s="1" t="s">
        <v>402</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15.915202640851307</v>
      </c>
    </row>
    <row r="173" spans="2:4">
      <c r="B173" s="80" t="s">
        <v>384</v>
      </c>
      <c r="C173" s="215">
        <f>Scenarios!C105</f>
        <v>18.612786102807618</v>
      </c>
      <c r="D173" s="300" t="str">
        <f>IF($D$11="","",C173*$E$25)</f>
        <v/>
      </c>
    </row>
    <row r="174" spans="2:4">
      <c r="B174" s="259" t="s">
        <v>398</v>
      </c>
      <c r="C174" s="298" t="str">
        <f>Market_currency</f>
        <v>CNY</v>
      </c>
      <c r="D174" s="298" t="str">
        <f>IF($D$11="","",D$13)</f>
        <v/>
      </c>
    </row>
    <row r="175" spans="2:4">
      <c r="B175" s="214" t="s">
        <v>257</v>
      </c>
      <c r="C175" s="92">
        <f>Scenarios!F105</f>
        <v>8.9394331038061381E-2</v>
      </c>
    </row>
    <row r="177" spans="1:6" ht="13.9">
      <c r="A177" s="222" t="s">
        <v>359</v>
      </c>
      <c r="B177" s="36"/>
      <c r="C177" s="36"/>
      <c r="D177" s="36"/>
      <c r="E177" s="36"/>
      <c r="F177" s="36"/>
    </row>
    <row r="179" spans="1:6">
      <c r="B179" s="388" t="s">
        <v>484</v>
      </c>
      <c r="C179" s="381"/>
      <c r="D179" s="381"/>
      <c r="E179" s="381"/>
      <c r="F179" s="381"/>
    </row>
    <row r="181" spans="1:6">
      <c r="B181" s="210" t="s">
        <v>360</v>
      </c>
    </row>
    <row r="182" spans="1:6">
      <c r="B182" s="385" t="s">
        <v>364</v>
      </c>
      <c r="C182" s="385"/>
      <c r="D182" s="385"/>
      <c r="E182" s="385"/>
      <c r="F182" s="385"/>
    </row>
    <row r="183" spans="1:6">
      <c r="B183" s="214" t="s">
        <v>361</v>
      </c>
    </row>
    <row r="184" spans="1:6">
      <c r="B184" s="214" t="s">
        <v>362</v>
      </c>
    </row>
    <row r="185" spans="1:6">
      <c r="B185" s="214" t="s">
        <v>363</v>
      </c>
    </row>
    <row r="187" spans="1:6">
      <c r="B187" s="1" t="s">
        <v>367</v>
      </c>
    </row>
    <row r="188" spans="1:6" ht="34.25" customHeight="1">
      <c r="B188" s="382" t="s">
        <v>485</v>
      </c>
      <c r="C188" s="382"/>
      <c r="D188" s="382"/>
      <c r="E188" s="382"/>
      <c r="F188" s="382"/>
    </row>
    <row r="190" spans="1:6">
      <c r="B190" s="1" t="s">
        <v>368</v>
      </c>
    </row>
    <row r="191" spans="1:6" ht="24.5" customHeight="1">
      <c r="B191" s="387" t="s">
        <v>365</v>
      </c>
      <c r="C191" s="387"/>
      <c r="D191" s="387"/>
      <c r="E191" s="387"/>
      <c r="F191" s="387"/>
    </row>
    <row r="192" spans="1:6" ht="24.5" customHeight="1">
      <c r="B192" s="387" t="s">
        <v>366</v>
      </c>
      <c r="C192" s="387"/>
      <c r="D192" s="387"/>
      <c r="E192" s="387"/>
      <c r="F192" s="387"/>
    </row>
    <row r="194" spans="2:2">
      <c r="B194" s="1" t="s">
        <v>372</v>
      </c>
    </row>
    <row r="195" spans="2:2">
      <c r="B195" s="214" t="s">
        <v>369</v>
      </c>
    </row>
    <row r="196" spans="2:2">
      <c r="B196" s="214" t="s">
        <v>370</v>
      </c>
    </row>
    <row r="197" spans="2:2">
      <c r="B197" s="214" t="s">
        <v>371</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6" zoomScaleNormal="100" workbookViewId="0">
      <pane xSplit="2" ySplit="1" topLeftCell="C17" activePane="bottomRight" state="frozen"/>
      <selection pane="topRight" activeCell="C1" sqref="C1"/>
      <selection pane="bottomLeft" activeCell="A2" sqref="A2"/>
      <selection pane="bottomRight" activeCell="C31" sqref="C3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93</v>
      </c>
      <c r="C2" s="37"/>
      <c r="D2" s="37"/>
      <c r="E2" s="37"/>
      <c r="F2" s="37"/>
      <c r="G2" s="37"/>
      <c r="H2" s="37"/>
      <c r="I2" s="37"/>
      <c r="J2" s="37"/>
      <c r="K2" s="37"/>
      <c r="L2" s="37"/>
      <c r="M2" s="37"/>
    </row>
    <row r="3" spans="2:13">
      <c r="B3" s="16" t="s">
        <v>25</v>
      </c>
      <c r="C3" s="106">
        <v>1000000</v>
      </c>
    </row>
    <row r="4" spans="2:13">
      <c r="B4" s="32" t="s">
        <v>0</v>
      </c>
      <c r="C4" s="350">
        <v>61890</v>
      </c>
      <c r="D4" s="350">
        <v>62009</v>
      </c>
      <c r="E4" s="350">
        <v>74823</v>
      </c>
      <c r="F4" s="350">
        <v>73350</v>
      </c>
      <c r="G4" s="350">
        <v>57536</v>
      </c>
      <c r="H4" s="350">
        <v>76564</v>
      </c>
      <c r="I4" s="350">
        <v>61222</v>
      </c>
      <c r="J4" s="350">
        <v>50549</v>
      </c>
      <c r="K4" s="350">
        <v>39074</v>
      </c>
      <c r="L4" s="350">
        <v>21559</v>
      </c>
      <c r="M4" s="350"/>
    </row>
    <row r="5" spans="2:13">
      <c r="B5" s="40" t="s">
        <v>41</v>
      </c>
      <c r="C5" s="350">
        <v>0</v>
      </c>
      <c r="D5" s="350">
        <v>0</v>
      </c>
      <c r="E5" s="350">
        <v>0</v>
      </c>
      <c r="F5" s="350">
        <v>0</v>
      </c>
      <c r="G5" s="350">
        <v>0</v>
      </c>
      <c r="H5" s="350">
        <v>0</v>
      </c>
      <c r="I5" s="350">
        <v>0</v>
      </c>
      <c r="J5" s="350">
        <v>0</v>
      </c>
      <c r="K5" s="350">
        <v>0</v>
      </c>
      <c r="L5" s="350">
        <v>0</v>
      </c>
      <c r="M5" s="350"/>
    </row>
    <row r="6" spans="2:13">
      <c r="B6" s="40" t="s">
        <v>52</v>
      </c>
      <c r="C6" s="350">
        <v>62611</v>
      </c>
      <c r="D6" s="350">
        <v>63194</v>
      </c>
      <c r="E6" s="350">
        <v>65314</v>
      </c>
      <c r="F6" s="350">
        <v>56820</v>
      </c>
      <c r="G6" s="350">
        <v>49077</v>
      </c>
      <c r="H6" s="350">
        <v>47190</v>
      </c>
      <c r="I6" s="350">
        <v>42561</v>
      </c>
      <c r="J6" s="350">
        <v>38680</v>
      </c>
      <c r="K6" s="350">
        <v>36735</v>
      </c>
      <c r="L6" s="350">
        <v>33323</v>
      </c>
      <c r="M6" s="350"/>
    </row>
    <row r="7" spans="2:13">
      <c r="B7" s="69" t="s">
        <v>58</v>
      </c>
      <c r="C7" s="351">
        <v>0</v>
      </c>
      <c r="D7" s="351">
        <v>0</v>
      </c>
      <c r="E7" s="351">
        <v>0</v>
      </c>
      <c r="F7" s="351">
        <v>0</v>
      </c>
      <c r="G7" s="351">
        <v>0</v>
      </c>
      <c r="H7" s="351">
        <v>0</v>
      </c>
      <c r="I7" s="351">
        <v>0</v>
      </c>
      <c r="J7" s="351">
        <v>0</v>
      </c>
      <c r="K7" s="351">
        <v>0</v>
      </c>
      <c r="L7" s="351">
        <v>0</v>
      </c>
      <c r="M7" s="351"/>
    </row>
    <row r="8" spans="2:13">
      <c r="B8" s="40" t="s">
        <v>47</v>
      </c>
      <c r="C8" s="350">
        <v>0</v>
      </c>
      <c r="D8" s="350">
        <v>0</v>
      </c>
      <c r="E8" s="350">
        <v>0</v>
      </c>
      <c r="F8" s="350">
        <v>0</v>
      </c>
      <c r="G8" s="350">
        <v>0</v>
      </c>
      <c r="H8" s="350">
        <v>0</v>
      </c>
      <c r="I8" s="350">
        <v>0</v>
      </c>
      <c r="J8" s="350">
        <v>0</v>
      </c>
      <c r="K8" s="350">
        <v>0</v>
      </c>
      <c r="L8" s="350">
        <v>0</v>
      </c>
      <c r="M8" s="350"/>
    </row>
    <row r="9" spans="2:13">
      <c r="B9" s="40" t="s">
        <v>154</v>
      </c>
      <c r="C9" s="350"/>
      <c r="D9" s="350"/>
      <c r="E9" s="350"/>
      <c r="F9" s="350"/>
      <c r="G9" s="350"/>
      <c r="H9" s="350"/>
      <c r="I9" s="350"/>
      <c r="J9" s="350"/>
      <c r="K9" s="350"/>
      <c r="L9" s="350"/>
      <c r="M9" s="350"/>
    </row>
    <row r="10" spans="2:13">
      <c r="B10" s="40" t="s">
        <v>162</v>
      </c>
      <c r="C10" s="350"/>
      <c r="D10" s="350"/>
      <c r="E10" s="350"/>
      <c r="F10" s="350"/>
      <c r="G10" s="350"/>
      <c r="H10" s="350"/>
      <c r="I10" s="350"/>
      <c r="J10" s="350"/>
      <c r="K10" s="350"/>
      <c r="L10" s="350"/>
      <c r="M10" s="350"/>
    </row>
    <row r="11" spans="2:13">
      <c r="B11" s="40" t="s">
        <v>153</v>
      </c>
      <c r="C11" s="350"/>
      <c r="D11" s="350"/>
      <c r="E11" s="350"/>
      <c r="F11" s="350"/>
      <c r="G11" s="350"/>
      <c r="H11" s="350"/>
      <c r="I11" s="350"/>
      <c r="J11" s="350"/>
      <c r="K11" s="350"/>
      <c r="L11" s="350"/>
      <c r="M11" s="350"/>
    </row>
    <row r="12" spans="2:13">
      <c r="B12" s="40" t="s">
        <v>37</v>
      </c>
      <c r="C12" s="350">
        <v>195728</v>
      </c>
      <c r="D12" s="350">
        <v>202576</v>
      </c>
      <c r="E12" s="350">
        <v>183473</v>
      </c>
      <c r="F12" s="350">
        <v>169479</v>
      </c>
      <c r="G12" s="350">
        <v>159963</v>
      </c>
      <c r="H12" s="350">
        <v>166689</v>
      </c>
      <c r="I12" s="350">
        <v>174921</v>
      </c>
      <c r="J12" s="350">
        <v>164193</v>
      </c>
      <c r="K12" s="350">
        <v>123960</v>
      </c>
      <c r="L12" s="350">
        <v>136138</v>
      </c>
      <c r="M12" s="350"/>
    </row>
    <row r="13" spans="2:13">
      <c r="B13" s="40" t="s">
        <v>64</v>
      </c>
      <c r="C13" s="350">
        <v>343835</v>
      </c>
      <c r="D13" s="350">
        <v>349079</v>
      </c>
      <c r="E13" s="350">
        <v>328746</v>
      </c>
      <c r="F13" s="350">
        <v>315158</v>
      </c>
      <c r="G13" s="350">
        <v>303478</v>
      </c>
      <c r="H13" s="350">
        <v>269677</v>
      </c>
      <c r="I13" s="350">
        <v>270578</v>
      </c>
      <c r="J13" s="350">
        <v>252644</v>
      </c>
      <c r="K13" s="350">
        <v>236279</v>
      </c>
      <c r="L13" s="350">
        <v>255972</v>
      </c>
      <c r="M13" s="350"/>
    </row>
    <row r="14" spans="2:13">
      <c r="B14" s="40" t="s">
        <v>48</v>
      </c>
      <c r="C14" s="350">
        <v>9629</v>
      </c>
      <c r="D14" s="350">
        <v>6675</v>
      </c>
      <c r="E14" s="350">
        <v>13807</v>
      </c>
      <c r="F14" s="350">
        <v>11494</v>
      </c>
      <c r="G14" s="350">
        <v>8956</v>
      </c>
      <c r="H14" s="350">
        <v>7801</v>
      </c>
      <c r="I14" s="350">
        <v>6832</v>
      </c>
      <c r="J14" s="350">
        <v>7018</v>
      </c>
      <c r="K14" s="350">
        <v>9598</v>
      </c>
      <c r="L14" s="350">
        <v>12594</v>
      </c>
      <c r="M14" s="350"/>
    </row>
    <row r="15" spans="2:13">
      <c r="B15" s="43" t="s">
        <v>40</v>
      </c>
      <c r="C15" s="352">
        <v>77491</v>
      </c>
      <c r="D15" s="352">
        <v>77654</v>
      </c>
      <c r="E15" s="352">
        <v>92414</v>
      </c>
      <c r="F15" s="352">
        <v>83816</v>
      </c>
      <c r="G15" s="352">
        <v>67681</v>
      </c>
      <c r="H15" s="352">
        <v>66702</v>
      </c>
      <c r="I15" s="352">
        <v>61245</v>
      </c>
      <c r="J15" s="352">
        <v>57735</v>
      </c>
      <c r="K15" s="352">
        <v>54327</v>
      </c>
      <c r="L15" s="352">
        <v>50650</v>
      </c>
      <c r="M15" s="352"/>
    </row>
    <row r="16" spans="2:13">
      <c r="B16" s="28" t="s">
        <v>42</v>
      </c>
      <c r="C16" s="350">
        <v>286</v>
      </c>
      <c r="D16" s="350">
        <v>538</v>
      </c>
      <c r="E16" s="350">
        <v>1037</v>
      </c>
      <c r="F16" s="350">
        <v>1136</v>
      </c>
      <c r="G16" s="350">
        <v>1055</v>
      </c>
      <c r="H16" s="350">
        <v>834</v>
      </c>
      <c r="I16" s="350">
        <v>625</v>
      </c>
      <c r="J16" s="350">
        <v>535</v>
      </c>
      <c r="K16" s="350">
        <v>477</v>
      </c>
      <c r="L16" s="350">
        <v>443</v>
      </c>
      <c r="M16" s="350"/>
    </row>
    <row r="18" spans="2:13">
      <c r="B18" s="16" t="s">
        <v>49</v>
      </c>
      <c r="C18" s="9"/>
    </row>
    <row r="19" spans="2:13">
      <c r="B19" s="27" t="s">
        <v>45</v>
      </c>
      <c r="C19" s="350"/>
      <c r="D19" s="350"/>
      <c r="E19" s="350"/>
      <c r="F19" s="350"/>
      <c r="G19" s="350"/>
      <c r="H19" s="350"/>
      <c r="I19" s="350"/>
      <c r="J19" s="350"/>
      <c r="K19" s="350"/>
      <c r="L19" s="350"/>
      <c r="M19" s="350"/>
    </row>
    <row r="20" spans="2:13">
      <c r="B20" s="27" t="s">
        <v>51</v>
      </c>
      <c r="C20" s="350"/>
      <c r="D20" s="350"/>
      <c r="E20" s="350"/>
      <c r="F20" s="350"/>
      <c r="G20" s="350"/>
      <c r="H20" s="350"/>
      <c r="I20" s="350"/>
      <c r="J20" s="350"/>
      <c r="K20" s="350"/>
      <c r="L20" s="350"/>
      <c r="M20" s="350"/>
    </row>
    <row r="21" spans="2:13">
      <c r="B21" s="27" t="s">
        <v>50</v>
      </c>
      <c r="C21" s="350"/>
      <c r="D21" s="350"/>
      <c r="E21" s="350"/>
      <c r="F21" s="350"/>
      <c r="G21" s="350"/>
      <c r="H21" s="350"/>
      <c r="I21" s="350"/>
      <c r="J21" s="350"/>
      <c r="K21" s="350"/>
      <c r="L21" s="350"/>
      <c r="M21" s="350"/>
    </row>
    <row r="22" spans="2:13">
      <c r="B22" s="27" t="s">
        <v>356</v>
      </c>
      <c r="C22" s="350">
        <v>-237258</v>
      </c>
      <c r="D22" s="350">
        <v>433617</v>
      </c>
      <c r="E22" s="350">
        <v>-344587</v>
      </c>
      <c r="F22" s="350">
        <v>-389771</v>
      </c>
      <c r="G22" s="350">
        <v>-34228</v>
      </c>
      <c r="H22" s="350">
        <v>-588009</v>
      </c>
      <c r="I22" s="350">
        <v>-356099</v>
      </c>
      <c r="J22" s="350">
        <v>-162642</v>
      </c>
      <c r="K22" s="350">
        <v>203017</v>
      </c>
      <c r="L22" s="350">
        <v>818693</v>
      </c>
      <c r="M22" s="350"/>
    </row>
    <row r="23" spans="2:13">
      <c r="B23" s="27" t="s">
        <v>358</v>
      </c>
      <c r="C23" s="350">
        <v>23438</v>
      </c>
      <c r="D23" s="350">
        <v>-116901</v>
      </c>
      <c r="E23" s="350">
        <v>-2059</v>
      </c>
      <c r="F23" s="350">
        <v>79654</v>
      </c>
      <c r="G23" s="350">
        <v>234002</v>
      </c>
      <c r="H23" s="350">
        <v>602337</v>
      </c>
      <c r="I23" s="350">
        <v>422390</v>
      </c>
      <c r="J23" s="350">
        <v>268261</v>
      </c>
      <c r="K23" s="350">
        <v>-366131</v>
      </c>
      <c r="L23" s="350">
        <v>-1078507</v>
      </c>
      <c r="M23" s="350"/>
    </row>
    <row r="24" spans="2:13">
      <c r="B24" s="27" t="s">
        <v>357</v>
      </c>
      <c r="C24" s="350">
        <v>194894</v>
      </c>
      <c r="D24" s="350">
        <v>-190955</v>
      </c>
      <c r="E24" s="350">
        <v>-22248</v>
      </c>
      <c r="F24" s="350">
        <v>124588</v>
      </c>
      <c r="G24" s="350">
        <v>29636</v>
      </c>
      <c r="H24" s="350">
        <v>166667</v>
      </c>
      <c r="I24" s="350">
        <v>10436</v>
      </c>
      <c r="J24" s="350">
        <v>-67067</v>
      </c>
      <c r="K24" s="350">
        <v>282268</v>
      </c>
      <c r="L24" s="350">
        <v>213791</v>
      </c>
      <c r="M24" s="350"/>
    </row>
    <row r="25" spans="2:13">
      <c r="B25" s="24" t="str">
        <f>"Dividend per share ("&amp;Market_currency&amp;")"</f>
        <v>Dividend per share (CNY)</v>
      </c>
      <c r="C25" s="39">
        <v>1.06</v>
      </c>
      <c r="D25" s="39"/>
      <c r="E25" s="39"/>
      <c r="F25" s="39"/>
      <c r="G25" s="39"/>
      <c r="H25" s="39"/>
      <c r="I25" s="39"/>
      <c r="J25" s="39"/>
      <c r="K25" s="39"/>
      <c r="L25" s="39"/>
      <c r="M25" s="39"/>
    </row>
    <row r="27" spans="2:13">
      <c r="B27" s="16" t="s">
        <v>26</v>
      </c>
      <c r="C27" s="97" t="s">
        <v>214</v>
      </c>
    </row>
    <row r="28" spans="2:13">
      <c r="B28" s="26" t="s">
        <v>22</v>
      </c>
      <c r="C28" s="333">
        <f>BS!C4</f>
        <v>0</v>
      </c>
      <c r="D28" s="350"/>
      <c r="E28" s="350"/>
      <c r="F28" s="350"/>
      <c r="G28" s="350"/>
      <c r="H28" s="350"/>
      <c r="I28" s="350"/>
      <c r="J28" s="350"/>
      <c r="K28" s="350"/>
      <c r="L28" s="350"/>
      <c r="M28" s="350"/>
    </row>
    <row r="29" spans="2:13">
      <c r="B29" s="26" t="s">
        <v>30</v>
      </c>
      <c r="C29" s="333">
        <f>BS!C6</f>
        <v>0</v>
      </c>
      <c r="D29" s="350"/>
      <c r="E29" s="350"/>
      <c r="F29" s="350"/>
      <c r="G29" s="350"/>
      <c r="H29" s="350"/>
      <c r="I29" s="350"/>
      <c r="J29" s="350"/>
      <c r="K29" s="350"/>
      <c r="L29" s="350"/>
      <c r="M29" s="350"/>
    </row>
    <row r="30" spans="2:13">
      <c r="B30" s="29" t="s">
        <v>38</v>
      </c>
      <c r="C30" s="334">
        <f>BS!C33+BS!C42</f>
        <v>9614287</v>
      </c>
      <c r="D30" s="352">
        <v>9350607</v>
      </c>
      <c r="E30" s="352">
        <v>8509373</v>
      </c>
      <c r="F30" s="352">
        <v>7908726</v>
      </c>
      <c r="G30" s="352">
        <v>7269197</v>
      </c>
      <c r="H30" s="352">
        <v>6596029</v>
      </c>
      <c r="I30" s="352">
        <v>6239073</v>
      </c>
      <c r="J30" s="352">
        <v>5994090</v>
      </c>
      <c r="K30" s="352">
        <v>5731485</v>
      </c>
      <c r="L30" s="352">
        <v>4981503</v>
      </c>
      <c r="M30" s="352"/>
    </row>
    <row r="31" spans="2:13">
      <c r="B31" s="29" t="s">
        <v>28</v>
      </c>
      <c r="C31" s="334">
        <f>BS!G27</f>
        <v>893611</v>
      </c>
      <c r="D31" s="352">
        <v>807719</v>
      </c>
      <c r="E31" s="352">
        <v>757298</v>
      </c>
      <c r="F31" s="352">
        <v>694298</v>
      </c>
      <c r="G31" s="352">
        <v>624803</v>
      </c>
      <c r="H31" s="352">
        <v>549652</v>
      </c>
      <c r="I31" s="352">
        <v>472584</v>
      </c>
      <c r="J31" s="352">
        <v>422752</v>
      </c>
      <c r="K31" s="352">
        <v>354410</v>
      </c>
      <c r="L31" s="352">
        <v>317377</v>
      </c>
      <c r="M31" s="352"/>
    </row>
    <row r="32" spans="2:13">
      <c r="B32" s="26" t="s">
        <v>167</v>
      </c>
      <c r="C32" s="333">
        <f>BS!G28</f>
        <v>11703</v>
      </c>
      <c r="D32" s="350">
        <v>11495</v>
      </c>
      <c r="E32" s="350">
        <v>11111</v>
      </c>
      <c r="F32" s="350">
        <v>10187</v>
      </c>
      <c r="G32" s="350">
        <v>9217</v>
      </c>
      <c r="H32" s="350">
        <v>8292</v>
      </c>
      <c r="I32" s="350">
        <v>6631</v>
      </c>
      <c r="J32" s="350">
        <v>5857</v>
      </c>
      <c r="K32" s="350">
        <v>4281</v>
      </c>
      <c r="L32" s="350">
        <v>3729</v>
      </c>
      <c r="M32" s="350"/>
    </row>
    <row r="34" spans="2:13" ht="13.9">
      <c r="B34" s="36" t="s">
        <v>78</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55</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58</v>
      </c>
      <c r="C40" s="345">
        <f t="shared" ref="C40:M40" si="14">IF(C$4="","",-C7)</f>
        <v>0</v>
      </c>
      <c r="D40" s="345">
        <f t="shared" si="14"/>
        <v>0</v>
      </c>
      <c r="E40" s="345">
        <f t="shared" si="14"/>
        <v>0</v>
      </c>
      <c r="F40" s="345">
        <f t="shared" si="14"/>
        <v>0</v>
      </c>
      <c r="G40" s="345">
        <f t="shared" si="14"/>
        <v>0</v>
      </c>
      <c r="H40" s="345">
        <f t="shared" si="14"/>
        <v>0</v>
      </c>
      <c r="I40" s="345">
        <f t="shared" si="14"/>
        <v>0</v>
      </c>
      <c r="J40" s="345">
        <f t="shared" si="14"/>
        <v>0</v>
      </c>
      <c r="K40" s="345">
        <f t="shared" si="14"/>
        <v>0</v>
      </c>
      <c r="L40" s="345">
        <f t="shared" si="14"/>
        <v>0</v>
      </c>
      <c r="M40" s="345" t="str">
        <f t="shared" si="14"/>
        <v/>
      </c>
    </row>
    <row r="41" spans="2:13">
      <c r="B41" s="69" t="s">
        <v>61</v>
      </c>
      <c r="C41" s="345">
        <f>IF(C$4="","",C39-C40)</f>
        <v>-62611</v>
      </c>
      <c r="D41" s="345">
        <f t="shared" ref="D41:M41" si="15">IF(D$4="","",D39-D40)</f>
        <v>-63194</v>
      </c>
      <c r="E41" s="345">
        <f t="shared" si="15"/>
        <v>-65314</v>
      </c>
      <c r="F41" s="345">
        <f t="shared" si="15"/>
        <v>-56820</v>
      </c>
      <c r="G41" s="345">
        <f t="shared" si="15"/>
        <v>-49077</v>
      </c>
      <c r="H41" s="345">
        <f t="shared" si="15"/>
        <v>-47190</v>
      </c>
      <c r="I41" s="345">
        <f t="shared" si="15"/>
        <v>-42561</v>
      </c>
      <c r="J41" s="345">
        <f t="shared" si="15"/>
        <v>-38680</v>
      </c>
      <c r="K41" s="345">
        <f t="shared" si="15"/>
        <v>-36735</v>
      </c>
      <c r="L41" s="345">
        <f t="shared" si="15"/>
        <v>-33323</v>
      </c>
      <c r="M41" s="345"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147</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163</v>
      </c>
      <c r="C44" s="353">
        <f t="shared" ref="C44:M44" si="18">IF(C$4="","",C47-C46-C45-C43)</f>
        <v>-60266</v>
      </c>
      <c r="D44" s="353">
        <f t="shared" si="18"/>
        <v>-60989</v>
      </c>
      <c r="E44" s="353">
        <f t="shared" si="18"/>
        <v>-48561</v>
      </c>
      <c r="F44" s="353">
        <f t="shared" si="18"/>
        <v>-66899</v>
      </c>
      <c r="G44" s="353">
        <f t="shared" si="18"/>
        <v>-75337</v>
      </c>
      <c r="H44" s="353">
        <f t="shared" si="18"/>
        <v>-57859</v>
      </c>
      <c r="I44" s="353">
        <f t="shared" si="18"/>
        <v>-46241</v>
      </c>
      <c r="J44" s="353">
        <f t="shared" si="18"/>
        <v>-35567</v>
      </c>
      <c r="K44" s="353">
        <f t="shared" si="18"/>
        <v>-50733</v>
      </c>
      <c r="L44" s="353">
        <f t="shared" si="18"/>
        <v>-44826</v>
      </c>
      <c r="M44" s="353" t="str">
        <f t="shared" si="18"/>
        <v/>
      </c>
    </row>
    <row r="45" spans="2:13">
      <c r="B45" s="40" t="s">
        <v>65</v>
      </c>
      <c r="C45" s="348">
        <f t="shared" ref="C45:M45" si="19">IF(C$4="","",C51+C52)</f>
        <v>148107</v>
      </c>
      <c r="D45" s="348">
        <f t="shared" si="19"/>
        <v>146503</v>
      </c>
      <c r="E45" s="348">
        <f t="shared" si="19"/>
        <v>145273</v>
      </c>
      <c r="F45" s="348">
        <f t="shared" si="19"/>
        <v>145679</v>
      </c>
      <c r="G45" s="348">
        <f t="shared" si="19"/>
        <v>143515</v>
      </c>
      <c r="H45" s="348">
        <f t="shared" si="19"/>
        <v>102988</v>
      </c>
      <c r="I45" s="348">
        <f t="shared" si="19"/>
        <v>95657</v>
      </c>
      <c r="J45" s="348">
        <f t="shared" si="19"/>
        <v>88451</v>
      </c>
      <c r="K45" s="348">
        <f t="shared" si="19"/>
        <v>112319</v>
      </c>
      <c r="L45" s="348">
        <f t="shared" si="19"/>
        <v>119834</v>
      </c>
      <c r="M45" s="348"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65</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64</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163</v>
      </c>
    </row>
    <row r="55" spans="2:13">
      <c r="B55" s="40" t="s">
        <v>154</v>
      </c>
      <c r="C55" s="348">
        <f t="shared" ref="C55:M55" si="25">IF(C$4="","",C9)</f>
        <v>0</v>
      </c>
      <c r="D55" s="348">
        <f t="shared" si="25"/>
        <v>0</v>
      </c>
      <c r="E55" s="348">
        <f t="shared" si="25"/>
        <v>0</v>
      </c>
      <c r="F55" s="348">
        <f t="shared" si="25"/>
        <v>0</v>
      </c>
      <c r="G55" s="348">
        <f t="shared" si="25"/>
        <v>0</v>
      </c>
      <c r="H55" s="348">
        <f t="shared" si="25"/>
        <v>0</v>
      </c>
      <c r="I55" s="348">
        <f t="shared" si="25"/>
        <v>0</v>
      </c>
      <c r="J55" s="348">
        <f t="shared" si="25"/>
        <v>0</v>
      </c>
      <c r="K55" s="348">
        <f t="shared" si="25"/>
        <v>0</v>
      </c>
      <c r="L55" s="348">
        <f t="shared" si="25"/>
        <v>0</v>
      </c>
      <c r="M55" s="348" t="str">
        <f t="shared" si="25"/>
        <v/>
      </c>
    </row>
    <row r="56" spans="2:13">
      <c r="B56" s="40" t="s">
        <v>162</v>
      </c>
      <c r="C56" s="348">
        <f t="shared" ref="C56:M56" si="26">IF(C$4="","",C10)</f>
        <v>0</v>
      </c>
      <c r="D56" s="348">
        <f t="shared" si="26"/>
        <v>0</v>
      </c>
      <c r="E56" s="348">
        <f t="shared" si="26"/>
        <v>0</v>
      </c>
      <c r="F56" s="348">
        <f t="shared" si="26"/>
        <v>0</v>
      </c>
      <c r="G56" s="348">
        <f t="shared" si="26"/>
        <v>0</v>
      </c>
      <c r="H56" s="348">
        <f t="shared" si="26"/>
        <v>0</v>
      </c>
      <c r="I56" s="348">
        <f t="shared" si="26"/>
        <v>0</v>
      </c>
      <c r="J56" s="348">
        <f t="shared" si="26"/>
        <v>0</v>
      </c>
      <c r="K56" s="348">
        <f t="shared" si="26"/>
        <v>0</v>
      </c>
      <c r="L56" s="348">
        <f t="shared" si="26"/>
        <v>0</v>
      </c>
      <c r="M56" s="348" t="str">
        <f t="shared" si="26"/>
        <v/>
      </c>
    </row>
    <row r="57" spans="2:13">
      <c r="B57" s="40" t="s">
        <v>153</v>
      </c>
      <c r="C57" s="348">
        <f t="shared" ref="C57:M57" si="27">IF(C$4="","",C11)</f>
        <v>0</v>
      </c>
      <c r="D57" s="348">
        <f t="shared" si="27"/>
        <v>0</v>
      </c>
      <c r="E57" s="348">
        <f t="shared" si="27"/>
        <v>0</v>
      </c>
      <c r="F57" s="348">
        <f t="shared" si="27"/>
        <v>0</v>
      </c>
      <c r="G57" s="348">
        <f t="shared" si="27"/>
        <v>0</v>
      </c>
      <c r="H57" s="348">
        <f t="shared" si="27"/>
        <v>0</v>
      </c>
      <c r="I57" s="348">
        <f t="shared" si="27"/>
        <v>0</v>
      </c>
      <c r="J57" s="348">
        <f t="shared" si="27"/>
        <v>0</v>
      </c>
      <c r="K57" s="348">
        <f t="shared" si="27"/>
        <v>0</v>
      </c>
      <c r="L57" s="348">
        <f t="shared" si="27"/>
        <v>0</v>
      </c>
      <c r="M57" s="348" t="str">
        <f t="shared" si="27"/>
        <v/>
      </c>
    </row>
    <row r="58" spans="2:13">
      <c r="B58" s="40" t="s">
        <v>155</v>
      </c>
      <c r="C58" s="348">
        <f>IF(C$4="","",C44-C55-C56-C57)</f>
        <v>-60266</v>
      </c>
      <c r="D58" s="348">
        <f t="shared" ref="D58:M58" si="28">IF(D$4="","",D44-D55-D56-D57)</f>
        <v>-60989</v>
      </c>
      <c r="E58" s="348">
        <f t="shared" si="28"/>
        <v>-48561</v>
      </c>
      <c r="F58" s="348">
        <f t="shared" si="28"/>
        <v>-66899</v>
      </c>
      <c r="G58" s="348">
        <f t="shared" si="28"/>
        <v>-75337</v>
      </c>
      <c r="H58" s="348">
        <f t="shared" si="28"/>
        <v>-57859</v>
      </c>
      <c r="I58" s="348">
        <f t="shared" si="28"/>
        <v>-46241</v>
      </c>
      <c r="J58" s="348">
        <f t="shared" si="28"/>
        <v>-35567</v>
      </c>
      <c r="K58" s="348">
        <f t="shared" si="28"/>
        <v>-50733</v>
      </c>
      <c r="L58" s="348">
        <f t="shared" si="28"/>
        <v>-44826</v>
      </c>
      <c r="M58" s="348"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376</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81</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55</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163</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79</v>
      </c>
      <c r="C74" s="37"/>
      <c r="D74" s="37"/>
      <c r="E74" s="37"/>
      <c r="F74" s="37"/>
      <c r="G74" s="37"/>
      <c r="H74" s="37"/>
      <c r="I74" s="37"/>
      <c r="J74" s="37"/>
      <c r="K74" s="37"/>
      <c r="L74" s="37"/>
      <c r="M74" s="37"/>
    </row>
    <row r="75" spans="2:13">
      <c r="B75" s="16" t="s">
        <v>26</v>
      </c>
      <c r="C75" s="9"/>
    </row>
    <row r="76" spans="2:13">
      <c r="B76" s="26" t="s">
        <v>1</v>
      </c>
      <c r="C76" s="76">
        <f>IF(C$4="","",C79+C80)</f>
        <v>10507898</v>
      </c>
      <c r="D76" s="348">
        <f t="shared" ref="D76:M76" si="39">IF(D$4="","",D79+D80)</f>
        <v>10158326</v>
      </c>
      <c r="E76" s="348">
        <f t="shared" si="39"/>
        <v>9266671</v>
      </c>
      <c r="F76" s="348">
        <f t="shared" si="39"/>
        <v>8603024</v>
      </c>
      <c r="G76" s="348">
        <f t="shared" si="39"/>
        <v>7894000</v>
      </c>
      <c r="H76" s="348">
        <f t="shared" si="39"/>
        <v>7145681</v>
      </c>
      <c r="I76" s="348">
        <f t="shared" si="39"/>
        <v>6711657</v>
      </c>
      <c r="J76" s="348">
        <f t="shared" si="39"/>
        <v>6416842</v>
      </c>
      <c r="K76" s="348">
        <f t="shared" si="39"/>
        <v>6085895</v>
      </c>
      <c r="L76" s="348">
        <f t="shared" si="39"/>
        <v>5298880</v>
      </c>
      <c r="M76" s="348" t="str">
        <f t="shared" si="39"/>
        <v/>
      </c>
    </row>
    <row r="77" spans="2:13">
      <c r="B77" s="93" t="s">
        <v>82</v>
      </c>
      <c r="C77" s="318">
        <f t="shared" ref="C77:H78" si="40">IF(C$4="","",C28)</f>
        <v>0</v>
      </c>
      <c r="D77" s="345">
        <f t="shared" si="40"/>
        <v>0</v>
      </c>
      <c r="E77" s="345">
        <f t="shared" si="40"/>
        <v>0</v>
      </c>
      <c r="F77" s="345">
        <f t="shared" si="40"/>
        <v>0</v>
      </c>
      <c r="G77" s="345">
        <f t="shared" si="40"/>
        <v>0</v>
      </c>
      <c r="H77" s="345">
        <f t="shared" si="40"/>
        <v>0</v>
      </c>
      <c r="I77" s="354"/>
      <c r="J77" s="354"/>
      <c r="K77" s="354"/>
      <c r="L77" s="354"/>
      <c r="M77" s="354"/>
    </row>
    <row r="78" spans="2:13">
      <c r="B78" s="93" t="s">
        <v>83</v>
      </c>
      <c r="C78" s="318">
        <f t="shared" si="40"/>
        <v>0</v>
      </c>
      <c r="D78" s="345">
        <f t="shared" si="40"/>
        <v>0</v>
      </c>
      <c r="E78" s="345">
        <f t="shared" si="40"/>
        <v>0</v>
      </c>
      <c r="F78" s="345">
        <f t="shared" si="40"/>
        <v>0</v>
      </c>
      <c r="G78" s="345">
        <f t="shared" si="40"/>
        <v>0</v>
      </c>
      <c r="H78" s="345">
        <f t="shared" si="40"/>
        <v>0</v>
      </c>
      <c r="I78" s="354"/>
      <c r="J78" s="354"/>
      <c r="K78" s="354"/>
      <c r="L78" s="354"/>
      <c r="M78" s="354"/>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10" sqref="C1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35</v>
      </c>
      <c r="C1" s="99">
        <v>45657</v>
      </c>
      <c r="F1" s="86" t="str">
        <f>IF(MONTH(C1)=MONTH(Normalized_FCF!G1),"FY","Quarter")&amp;" Report"</f>
        <v>FY Report</v>
      </c>
      <c r="H1" s="107">
        <f>scaling_factor</f>
        <v>1000000</v>
      </c>
    </row>
    <row r="2" spans="2:8" ht="15" customHeight="1">
      <c r="B2" s="79" t="s">
        <v>151</v>
      </c>
      <c r="C2" s="37"/>
      <c r="D2" s="37"/>
      <c r="E2" s="37"/>
      <c r="F2" s="37"/>
      <c r="G2" s="37"/>
      <c r="H2" s="37"/>
    </row>
    <row r="3" spans="2:8" ht="15" customHeight="1">
      <c r="B3" s="16" t="s">
        <v>179</v>
      </c>
      <c r="C3" s="182" t="s">
        <v>131</v>
      </c>
      <c r="D3" s="183" t="s">
        <v>33</v>
      </c>
      <c r="F3" s="16" t="s">
        <v>180</v>
      </c>
      <c r="G3" s="182" t="s">
        <v>131</v>
      </c>
      <c r="H3" s="183" t="s">
        <v>33</v>
      </c>
    </row>
    <row r="4" spans="2:8" ht="15" customHeight="1">
      <c r="B4" s="4" t="s">
        <v>22</v>
      </c>
      <c r="C4" s="19">
        <v>0</v>
      </c>
      <c r="D4" s="261">
        <v>0.6</v>
      </c>
      <c r="E4" s="25"/>
      <c r="F4" s="4" t="s">
        <v>74</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172</v>
      </c>
      <c r="G6" s="19">
        <v>0</v>
      </c>
      <c r="H6" s="261">
        <v>0.6</v>
      </c>
    </row>
    <row r="7" spans="2:8" ht="15" customHeight="1">
      <c r="B7" s="1" t="s">
        <v>66</v>
      </c>
      <c r="C7" s="19">
        <v>0</v>
      </c>
      <c r="D7" s="261">
        <v>0.6</v>
      </c>
      <c r="E7" s="25"/>
      <c r="F7" s="4" t="s">
        <v>173</v>
      </c>
      <c r="G7" s="19">
        <f>6731</f>
        <v>6731</v>
      </c>
      <c r="H7" s="261">
        <v>0.6</v>
      </c>
    </row>
    <row r="8" spans="2:8" ht="15" customHeight="1">
      <c r="B8" s="1" t="s">
        <v>168</v>
      </c>
      <c r="C8" s="19">
        <v>0</v>
      </c>
      <c r="D8" s="261">
        <v>0.6</v>
      </c>
      <c r="E8" s="25"/>
      <c r="F8" s="1" t="s">
        <v>174</v>
      </c>
      <c r="G8" s="19">
        <v>0</v>
      </c>
      <c r="H8" s="261">
        <v>0.6</v>
      </c>
    </row>
    <row r="9" spans="2:8" ht="15" customHeight="1">
      <c r="B9" s="4" t="s">
        <v>23</v>
      </c>
      <c r="C9" s="19">
        <v>0</v>
      </c>
      <c r="D9" s="261">
        <v>0.1</v>
      </c>
      <c r="E9" s="25"/>
      <c r="F9" s="4" t="s">
        <v>175</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69</v>
      </c>
      <c r="C12" s="81">
        <f>SUM(C4:C11)</f>
        <v>0</v>
      </c>
      <c r="D12" s="20">
        <f>C4*D4+C5*D5+C9*D9+C6*D6+C8*D8+C7*D7+C10*D10+C11*D11</f>
        <v>0</v>
      </c>
      <c r="F12" s="80" t="s">
        <v>67</v>
      </c>
      <c r="G12" s="81">
        <f>SUM(G4:G9)</f>
        <v>957060</v>
      </c>
      <c r="H12" s="20">
        <f>G4*H4+G5*H5+G6*H6+G7*H7+G8*H8+G9*H9</f>
        <v>859334.7</v>
      </c>
    </row>
    <row r="13" spans="2:8" ht="15" customHeight="1">
      <c r="F13" s="80"/>
      <c r="G13" s="81"/>
      <c r="H13" s="20"/>
    </row>
    <row r="14" spans="2:8" ht="15" customHeight="1">
      <c r="B14" s="16" t="s">
        <v>178</v>
      </c>
      <c r="C14" s="182" t="s">
        <v>131</v>
      </c>
      <c r="D14" s="183" t="s">
        <v>33</v>
      </c>
      <c r="F14" s="16" t="s">
        <v>181</v>
      </c>
      <c r="G14" s="182" t="s">
        <v>131</v>
      </c>
      <c r="H14" s="183" t="s">
        <v>33</v>
      </c>
    </row>
    <row r="15" spans="2:8" ht="15" customHeight="1">
      <c r="B15" s="4" t="s">
        <v>438</v>
      </c>
      <c r="C15" s="19">
        <v>0</v>
      </c>
      <c r="D15" s="261">
        <v>0.4</v>
      </c>
      <c r="F15" s="4" t="s">
        <v>75</v>
      </c>
      <c r="G15" s="19">
        <f>177518+5608859</f>
        <v>5786377</v>
      </c>
      <c r="H15" s="261">
        <v>0.8</v>
      </c>
    </row>
    <row r="16" spans="2:8" ht="15" customHeight="1">
      <c r="B16" s="1" t="s">
        <v>32</v>
      </c>
      <c r="C16" s="19">
        <v>0</v>
      </c>
      <c r="D16" s="261">
        <v>0.5</v>
      </c>
      <c r="F16" s="4" t="s">
        <v>172</v>
      </c>
      <c r="G16" s="19">
        <v>0</v>
      </c>
      <c r="H16" s="261">
        <v>0.6</v>
      </c>
    </row>
    <row r="17" spans="2:8" ht="15" customHeight="1">
      <c r="B17" s="1" t="s">
        <v>66</v>
      </c>
      <c r="C17" s="19">
        <v>0</v>
      </c>
      <c r="D17" s="261">
        <v>0.6</v>
      </c>
      <c r="F17" s="4" t="s">
        <v>173</v>
      </c>
      <c r="G17" s="19">
        <f>923189+1896064+630916+4011+114913</f>
        <v>3569093</v>
      </c>
      <c r="H17" s="261">
        <v>0.6</v>
      </c>
    </row>
    <row r="18" spans="2:8" ht="15" customHeight="1">
      <c r="B18" s="4" t="s">
        <v>168</v>
      </c>
      <c r="C18" s="19">
        <v>0</v>
      </c>
      <c r="D18" s="261">
        <v>0.6</v>
      </c>
      <c r="F18" s="4" t="s">
        <v>176</v>
      </c>
      <c r="G18" s="19">
        <v>0</v>
      </c>
      <c r="H18" s="261">
        <v>0.1</v>
      </c>
    </row>
    <row r="19" spans="2:8" ht="15" customHeight="1">
      <c r="B19" s="4" t="s">
        <v>24</v>
      </c>
      <c r="C19" s="19">
        <f>28869+1862+9314</f>
        <v>40045</v>
      </c>
      <c r="D19" s="261">
        <v>0.1</v>
      </c>
      <c r="F19" s="4" t="s">
        <v>177</v>
      </c>
      <c r="G19" s="19">
        <v>3917</v>
      </c>
      <c r="H19" s="261">
        <v>0.1</v>
      </c>
    </row>
    <row r="20" spans="2:8" ht="15" customHeight="1">
      <c r="B20" s="4" t="s">
        <v>16</v>
      </c>
      <c r="C20" s="19">
        <v>0</v>
      </c>
      <c r="D20" s="261">
        <v>0.05</v>
      </c>
      <c r="F20" s="4" t="s">
        <v>174</v>
      </c>
      <c r="G20" s="19">
        <v>0</v>
      </c>
      <c r="H20" s="261">
        <v>0.2</v>
      </c>
    </row>
    <row r="21" spans="2:8" ht="15" customHeight="1">
      <c r="B21" s="4" t="s">
        <v>17</v>
      </c>
      <c r="C21" s="19">
        <v>1122</v>
      </c>
      <c r="D21" s="261">
        <v>0.05</v>
      </c>
      <c r="F21" s="1" t="s">
        <v>175</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70</v>
      </c>
      <c r="C24" s="81">
        <f>SUM(C15:C23)</f>
        <v>191451</v>
      </c>
      <c r="D24" s="20">
        <f>C15*D15+C16*D16+C18*D18+C17*D17+C19*D19+C20*D20+C21*D21+C22*D22+C23*D23</f>
        <v>64593.7</v>
      </c>
      <c r="F24" s="80" t="s">
        <v>68</v>
      </c>
      <c r="G24" s="81">
        <f>SUM(G15:G21)</f>
        <v>9359387</v>
      </c>
      <c r="H24" s="20">
        <f>G15*H15+G16*H16+G17*H17+G18*H18+G19*H19+G20*H20+G21*H21</f>
        <v>6770949.1000000006</v>
      </c>
    </row>
    <row r="26" spans="2:8" ht="15" customHeight="1">
      <c r="B26" s="16" t="s">
        <v>195</v>
      </c>
      <c r="C26" s="182" t="s">
        <v>131</v>
      </c>
      <c r="F26" s="184" t="s">
        <v>191</v>
      </c>
      <c r="G26" s="185" t="s">
        <v>131</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239</v>
      </c>
      <c r="G28" s="12">
        <v>11703</v>
      </c>
      <c r="H28" s="188"/>
    </row>
    <row r="29" spans="2:8" ht="15" customHeight="1">
      <c r="B29" s="4" t="s">
        <v>5</v>
      </c>
      <c r="C29" s="19">
        <v>0</v>
      </c>
      <c r="F29" s="190" t="s">
        <v>72</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198</v>
      </c>
      <c r="C31" s="81">
        <f>SUM(C27:C30)</f>
        <v>9516669</v>
      </c>
      <c r="F31" s="190" t="s">
        <v>73</v>
      </c>
      <c r="G31" s="191">
        <f>C31+C40</f>
        <v>9516669</v>
      </c>
      <c r="H31" s="188"/>
    </row>
    <row r="32" spans="2:8" ht="15" customHeight="1">
      <c r="B32" s="4" t="s">
        <v>7</v>
      </c>
      <c r="C32" s="21">
        <f>C33-C31</f>
        <v>97618</v>
      </c>
      <c r="F32" s="192" t="s">
        <v>71</v>
      </c>
      <c r="G32" s="193">
        <f>G35+G40</f>
        <v>10507898</v>
      </c>
      <c r="H32" s="188">
        <f>H35+H40</f>
        <v>7694877.5000000009</v>
      </c>
    </row>
    <row r="33" spans="2:8" ht="15" customHeight="1">
      <c r="B33" s="83" t="s">
        <v>2</v>
      </c>
      <c r="C33" s="84">
        <v>9614287</v>
      </c>
      <c r="F33" s="194"/>
      <c r="G33" s="2"/>
      <c r="H33" s="195"/>
    </row>
    <row r="34" spans="2:8" ht="15" customHeight="1">
      <c r="B34" s="83"/>
      <c r="C34" s="84"/>
      <c r="F34" s="196" t="s">
        <v>197</v>
      </c>
      <c r="G34" s="197" t="s">
        <v>131</v>
      </c>
      <c r="H34" s="198" t="s">
        <v>33</v>
      </c>
    </row>
    <row r="35" spans="2:8" ht="15" customHeight="1">
      <c r="B35" s="16" t="s">
        <v>196</v>
      </c>
      <c r="C35" s="182" t="s">
        <v>131</v>
      </c>
      <c r="F35" s="199" t="s">
        <v>29</v>
      </c>
      <c r="G35" s="193">
        <f>C12+C24</f>
        <v>191451</v>
      </c>
      <c r="H35" s="200">
        <f>D12+D24</f>
        <v>64593.7</v>
      </c>
    </row>
    <row r="36" spans="2:8" ht="15" customHeight="1">
      <c r="B36" s="4" t="s">
        <v>11</v>
      </c>
      <c r="C36" s="19">
        <v>0</v>
      </c>
      <c r="F36" s="190" t="s">
        <v>192</v>
      </c>
      <c r="G36" s="191">
        <f>C4+C15</f>
        <v>0</v>
      </c>
      <c r="H36" s="195"/>
    </row>
    <row r="37" spans="2:8" ht="15" customHeight="1">
      <c r="B37" s="4" t="s">
        <v>12</v>
      </c>
      <c r="C37" s="19">
        <v>0</v>
      </c>
      <c r="F37" s="190" t="s">
        <v>193</v>
      </c>
      <c r="G37" s="191">
        <f>C6</f>
        <v>0</v>
      </c>
      <c r="H37" s="195"/>
    </row>
    <row r="38" spans="2:8" ht="15" customHeight="1">
      <c r="B38" s="4" t="s">
        <v>13</v>
      </c>
      <c r="C38" s="19">
        <v>0</v>
      </c>
      <c r="F38" s="190" t="s">
        <v>194</v>
      </c>
      <c r="G38" s="191">
        <f>C7+C17</f>
        <v>0</v>
      </c>
      <c r="H38" s="195"/>
    </row>
    <row r="39" spans="2:8" ht="15" customHeight="1">
      <c r="B39" s="2" t="s">
        <v>14</v>
      </c>
      <c r="C39" s="19">
        <v>0</v>
      </c>
      <c r="F39" s="190" t="s">
        <v>76</v>
      </c>
      <c r="G39" s="191">
        <f>C7+C17+C19+C20</f>
        <v>40045</v>
      </c>
      <c r="H39" s="188">
        <f>C7*D7+C17*D17+C19*D19+C20*D20</f>
        <v>4004.5</v>
      </c>
    </row>
    <row r="40" spans="2:8" ht="15" customHeight="1">
      <c r="B40" s="80" t="s">
        <v>199</v>
      </c>
      <c r="C40" s="81">
        <f>SUM(C36:C39)</f>
        <v>0</v>
      </c>
      <c r="F40" s="199" t="s">
        <v>133</v>
      </c>
      <c r="G40" s="193">
        <f>G12+G24</f>
        <v>10316447</v>
      </c>
      <c r="H40" s="200">
        <f>H12+H24</f>
        <v>7630283.8000000007</v>
      </c>
    </row>
    <row r="41" spans="2:8" ht="15" customHeight="1">
      <c r="B41" s="4" t="s">
        <v>15</v>
      </c>
      <c r="C41" s="21">
        <f>C42-C40</f>
        <v>0</v>
      </c>
      <c r="F41" s="190" t="s">
        <v>186</v>
      </c>
      <c r="G41" s="191">
        <f>C70</f>
        <v>6736706</v>
      </c>
      <c r="H41" s="200">
        <f>H40-H42</f>
        <v>5484397.7000000011</v>
      </c>
    </row>
    <row r="42" spans="2:8" ht="15" customHeight="1">
      <c r="B42" s="83" t="s">
        <v>20</v>
      </c>
      <c r="C42" s="84">
        <v>0</v>
      </c>
      <c r="F42" s="201" t="s">
        <v>187</v>
      </c>
      <c r="G42" s="202">
        <f>C82</f>
        <v>3579741</v>
      </c>
      <c r="H42" s="203">
        <f>D82</f>
        <v>2145886.1</v>
      </c>
    </row>
    <row r="44" spans="2:8" ht="15" customHeight="1">
      <c r="B44" s="79" t="s">
        <v>92</v>
      </c>
      <c r="C44" s="37"/>
      <c r="D44" s="37"/>
      <c r="E44" s="37"/>
      <c r="F44" s="37"/>
      <c r="G44" s="37"/>
      <c r="H44" s="37"/>
    </row>
    <row r="45" spans="2:8" ht="15" customHeight="1">
      <c r="B45" s="16" t="s">
        <v>265</v>
      </c>
      <c r="C45" s="234" t="s">
        <v>131</v>
      </c>
      <c r="D45" s="182" t="s">
        <v>387</v>
      </c>
      <c r="F45" s="256" t="s">
        <v>56</v>
      </c>
    </row>
    <row r="46" spans="2:8" ht="15" customHeight="1">
      <c r="B46" s="1" t="s">
        <v>267</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138</v>
      </c>
      <c r="C49" s="235" t="s">
        <v>54</v>
      </c>
      <c r="D49" s="197" t="s">
        <v>91</v>
      </c>
      <c r="E49" s="2"/>
      <c r="F49" s="253"/>
    </row>
    <row r="50" spans="2:8" ht="15" customHeight="1">
      <c r="B50" s="8" t="s">
        <v>90</v>
      </c>
      <c r="C50" s="95">
        <f>G31/Normalized_FCF!C8</f>
        <v>1577.3702399204408</v>
      </c>
      <c r="D50" s="95">
        <f>G31/Normalized_FCF!G8</f>
        <v>-13199.263522884881</v>
      </c>
      <c r="F50" s="253"/>
    </row>
    <row r="51" spans="2:8" ht="15" customHeight="1">
      <c r="B51" s="1" t="s">
        <v>171</v>
      </c>
      <c r="C51" s="181"/>
      <c r="D51" s="92">
        <f>G29/G32</f>
        <v>8.3928108171586746E-2</v>
      </c>
      <c r="F51" s="253"/>
    </row>
    <row r="52" spans="2:8" ht="15" customHeight="1">
      <c r="F52" s="253"/>
    </row>
    <row r="53" spans="2:8" ht="15" customHeight="1">
      <c r="B53" s="157" t="s">
        <v>137</v>
      </c>
      <c r="C53" s="235" t="s">
        <v>54</v>
      </c>
      <c r="D53" s="197" t="s">
        <v>91</v>
      </c>
      <c r="F53" s="253"/>
    </row>
    <row r="54" spans="2:8" ht="15" customHeight="1">
      <c r="B54" s="1" t="s">
        <v>134</v>
      </c>
      <c r="C54" s="92">
        <f>Normalized_FCF!C8/G35</f>
        <v>3.1513285383727427E-2</v>
      </c>
      <c r="D54" s="92">
        <f>Normalized_FCF!G8/G35</f>
        <v>-3.7659766728823565E-3</v>
      </c>
      <c r="F54" s="253"/>
    </row>
    <row r="55" spans="2:8" ht="15" customHeight="1">
      <c r="B55" s="1" t="s">
        <v>136</v>
      </c>
      <c r="C55" s="92">
        <f>Normalized_FCF!C11/G40</f>
        <v>0</v>
      </c>
      <c r="D55" s="92">
        <f>Normalized_FCF!G11/G40</f>
        <v>0</v>
      </c>
      <c r="F55" s="253"/>
    </row>
    <row r="56" spans="2:8" ht="15" customHeight="1">
      <c r="F56" s="253"/>
    </row>
    <row r="57" spans="2:8" ht="15" customHeight="1">
      <c r="B57" s="157" t="s">
        <v>170</v>
      </c>
      <c r="C57" s="235" t="s">
        <v>54</v>
      </c>
      <c r="D57" s="197" t="s">
        <v>91</v>
      </c>
      <c r="F57" s="253"/>
    </row>
    <row r="58" spans="2:8" ht="15" customHeight="1">
      <c r="B58" s="2" t="s">
        <v>86</v>
      </c>
      <c r="C58" s="98"/>
      <c r="D58" s="23">
        <f>Normalized_FCF!G9/BS!$G$39</f>
        <v>0</v>
      </c>
      <c r="F58" s="5"/>
    </row>
    <row r="59" spans="2:8" ht="15" customHeight="1">
      <c r="B59" s="1" t="s">
        <v>89</v>
      </c>
      <c r="C59" s="98"/>
      <c r="D59" s="92">
        <f>G39/G32</f>
        <v>3.810942968803085E-3</v>
      </c>
      <c r="F59" s="253"/>
    </row>
    <row r="60" spans="2:8" ht="15" customHeight="1">
      <c r="F60" s="253"/>
    </row>
    <row r="61" spans="2:8" ht="15" customHeight="1">
      <c r="B61" s="157" t="s">
        <v>268</v>
      </c>
      <c r="C61" s="235" t="s">
        <v>132</v>
      </c>
      <c r="D61" s="197" t="s">
        <v>91</v>
      </c>
      <c r="F61" s="253"/>
    </row>
    <row r="62" spans="2:8" ht="15" customHeight="1">
      <c r="B62" s="1" t="s">
        <v>240</v>
      </c>
      <c r="C62" s="92">
        <f>IF(G28&lt;=0,0,G28/G29)</f>
        <v>1.3270091664890215E-2</v>
      </c>
      <c r="D62" s="92">
        <f>G28/G29</f>
        <v>1.3270091664890215E-2</v>
      </c>
      <c r="F62" s="253" t="s">
        <v>266</v>
      </c>
    </row>
    <row r="64" spans="2:8" ht="15" customHeight="1">
      <c r="B64" s="79" t="s">
        <v>188</v>
      </c>
      <c r="C64" s="37"/>
      <c r="D64" s="37"/>
      <c r="E64" s="37"/>
      <c r="F64" s="37"/>
      <c r="G64" s="37"/>
      <c r="H64" s="37"/>
    </row>
    <row r="65" spans="2:6" ht="15" customHeight="1">
      <c r="B65" s="16" t="s">
        <v>183</v>
      </c>
      <c r="C65" s="234" t="s">
        <v>131</v>
      </c>
      <c r="D65" s="183" t="s">
        <v>280</v>
      </c>
      <c r="F65" s="256" t="s">
        <v>56</v>
      </c>
    </row>
    <row r="66" spans="2:6" ht="15" customHeight="1">
      <c r="B66" s="105" t="s">
        <v>182</v>
      </c>
      <c r="C66" s="20">
        <f>G4+G5+G15</f>
        <v>6736706</v>
      </c>
      <c r="D66" s="76">
        <f>C66-D75</f>
        <v>0</v>
      </c>
      <c r="F66" s="5" t="s">
        <v>221</v>
      </c>
    </row>
    <row r="67" spans="2:6" ht="15" customHeight="1">
      <c r="B67" s="105" t="s">
        <v>172</v>
      </c>
      <c r="C67" s="20">
        <f>G6+G16</f>
        <v>0</v>
      </c>
      <c r="F67" s="253"/>
    </row>
    <row r="68" spans="2:6" ht="15" customHeight="1">
      <c r="B68" s="105" t="s">
        <v>176</v>
      </c>
      <c r="C68" s="20">
        <f>G18</f>
        <v>0</v>
      </c>
      <c r="F68" s="253"/>
    </row>
    <row r="69" spans="2:6" ht="15" customHeight="1">
      <c r="B69" s="105" t="s">
        <v>174</v>
      </c>
      <c r="C69" s="20">
        <f>G8+G20</f>
        <v>0</v>
      </c>
      <c r="F69" s="253"/>
    </row>
    <row r="70" spans="2:6" ht="15" customHeight="1">
      <c r="B70" s="80" t="s">
        <v>183</v>
      </c>
      <c r="C70" s="81">
        <f>SUM(C66:C69)</f>
        <v>6736706</v>
      </c>
      <c r="F70" s="253"/>
    </row>
    <row r="71" spans="2:6" ht="15" customHeight="1">
      <c r="F71" s="253"/>
    </row>
    <row r="72" spans="2:6" ht="15" customHeight="1">
      <c r="B72" s="255" t="s">
        <v>309</v>
      </c>
      <c r="C72" s="234" t="s">
        <v>91</v>
      </c>
      <c r="D72" s="182" t="s">
        <v>54</v>
      </c>
      <c r="F72" s="253"/>
    </row>
    <row r="73" spans="2:6" ht="15" customHeight="1">
      <c r="B73" s="105" t="s">
        <v>308</v>
      </c>
      <c r="C73" s="348">
        <f>(Normalized_FCF!G25+Normalized_FCF!G35-Normalized_FCF!G91)/12</f>
        <v>-7052.6474952516664</v>
      </c>
      <c r="D73" s="348">
        <f>(Normalized_FCF!C25+Normalized_FCF!C35-Normalized_FCF!C91)/12</f>
        <v>-7000.4599952516664</v>
      </c>
      <c r="F73" s="1" t="s">
        <v>343</v>
      </c>
    </row>
    <row r="74" spans="2:6" ht="15" customHeight="1">
      <c r="B74" s="257" t="s">
        <v>313</v>
      </c>
      <c r="C74" s="258">
        <f>-$C$66/C73</f>
        <v>955.20242639882679</v>
      </c>
      <c r="D74" s="258">
        <f>-$C$66/D73</f>
        <v>962.32333369084779</v>
      </c>
      <c r="F74" s="253" t="s">
        <v>310</v>
      </c>
    </row>
    <row r="75" spans="2:6" ht="15" customHeight="1">
      <c r="B75" s="80" t="s">
        <v>311</v>
      </c>
      <c r="C75" s="320"/>
      <c r="D75" s="321">
        <f>MAX(-D73*D76,G5)</f>
        <v>6736706</v>
      </c>
      <c r="F75" s="253" t="s">
        <v>344</v>
      </c>
    </row>
    <row r="76" spans="2:6" ht="15" customHeight="1">
      <c r="B76" s="259" t="s">
        <v>314</v>
      </c>
      <c r="C76" s="260"/>
      <c r="D76" s="290">
        <f>IF(valuation_method="DCF",IF(D74&lt;=3,1,IF(D74&gt;18,6,2)),-C66/D73)</f>
        <v>962.32333369084779</v>
      </c>
      <c r="F76" s="253" t="s">
        <v>315</v>
      </c>
    </row>
    <row r="77" spans="2:6" ht="15" customHeight="1">
      <c r="F77" s="253"/>
    </row>
    <row r="78" spans="2:6" ht="15" customHeight="1">
      <c r="B78" s="16" t="s">
        <v>184</v>
      </c>
      <c r="C78" s="234" t="s">
        <v>131</v>
      </c>
      <c r="D78" s="183" t="s">
        <v>33</v>
      </c>
      <c r="F78" s="253"/>
    </row>
    <row r="79" spans="2:6" ht="15" customHeight="1">
      <c r="B79" s="105" t="s">
        <v>173</v>
      </c>
      <c r="C79" s="20">
        <f>G7+G17</f>
        <v>3575824</v>
      </c>
      <c r="D79" s="76">
        <f>G7*H7+G17*H17</f>
        <v>2145494.4</v>
      </c>
      <c r="F79" s="253"/>
    </row>
    <row r="80" spans="2:6" ht="15" customHeight="1">
      <c r="B80" s="105" t="s">
        <v>177</v>
      </c>
      <c r="C80" s="20">
        <f>G19</f>
        <v>3917</v>
      </c>
      <c r="D80" s="76">
        <f>G19*H19</f>
        <v>391.70000000000005</v>
      </c>
      <c r="F80" s="253"/>
    </row>
    <row r="81" spans="2:8" ht="15" customHeight="1">
      <c r="B81" s="105" t="s">
        <v>175</v>
      </c>
      <c r="C81" s="20">
        <f>G9+G21</f>
        <v>0</v>
      </c>
      <c r="D81" s="76">
        <f>G9*H9+G21*H21</f>
        <v>0</v>
      </c>
      <c r="F81" s="253"/>
    </row>
    <row r="82" spans="2:8" ht="15" customHeight="1">
      <c r="B82" s="80" t="s">
        <v>184</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184</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74" zoomScaleNormal="90" workbookViewId="0">
      <pane xSplit="2" ySplit="1" topLeftCell="C2" activePane="bottomRight" state="frozen"/>
      <selection activeCell="C17" sqref="C17"/>
      <selection pane="topRight" activeCell="C17" sqref="C17"/>
      <selection pane="bottomLeft" activeCell="C17" sqref="C17"/>
      <selection pane="bottomRight" activeCell="C53" sqref="C53:C5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54</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95</v>
      </c>
      <c r="C2" s="54"/>
      <c r="D2" s="56"/>
      <c r="E2" s="66" t="s">
        <v>56</v>
      </c>
      <c r="F2" s="56"/>
      <c r="G2" s="37"/>
      <c r="H2" s="37"/>
      <c r="I2" s="37"/>
      <c r="J2" s="37"/>
      <c r="K2" s="37"/>
      <c r="L2" s="37"/>
      <c r="M2" s="37"/>
      <c r="N2" s="37"/>
      <c r="O2" s="37"/>
      <c r="P2" s="37"/>
      <c r="Q2" s="37"/>
    </row>
    <row r="3" spans="1:17" ht="15.75" customHeight="1">
      <c r="A3" s="10"/>
      <c r="B3" s="16" t="s">
        <v>63</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147</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62</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77</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189</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65</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159</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60</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238</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149</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323</v>
      </c>
      <c r="F17" s="58"/>
      <c r="G17" s="335"/>
      <c r="H17" s="335"/>
      <c r="I17" s="335"/>
      <c r="J17" s="335"/>
      <c r="K17" s="335"/>
      <c r="L17" s="335"/>
      <c r="M17" s="335"/>
      <c r="N17" s="335"/>
      <c r="O17" s="335"/>
      <c r="P17" s="335"/>
      <c r="Q17" s="335"/>
    </row>
    <row r="18" spans="1:17" ht="15.75" customHeight="1">
      <c r="A18" s="10"/>
      <c r="B18" s="27" t="s">
        <v>94</v>
      </c>
      <c r="C18" s="328">
        <v>0</v>
      </c>
      <c r="D18" s="58"/>
      <c r="E18" s="267" t="s">
        <v>324</v>
      </c>
      <c r="F18" s="58"/>
      <c r="G18" s="336"/>
      <c r="H18" s="336"/>
      <c r="I18" s="336"/>
      <c r="J18" s="336"/>
      <c r="K18" s="336"/>
      <c r="L18" s="336"/>
      <c r="M18" s="336"/>
      <c r="N18" s="336"/>
      <c r="O18" s="336"/>
      <c r="P18" s="336"/>
      <c r="Q18" s="336"/>
    </row>
    <row r="19" spans="1:17" ht="15.75" customHeight="1">
      <c r="A19" s="10"/>
      <c r="B19" s="31" t="s">
        <v>63</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200</v>
      </c>
      <c r="C21" s="54"/>
      <c r="D21" s="56"/>
      <c r="E21" s="66" t="s">
        <v>56</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59</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201</v>
      </c>
      <c r="E27" s="268"/>
    </row>
    <row r="28" spans="1:17" ht="15.75" customHeight="1">
      <c r="A28" s="10"/>
      <c r="B28" s="26" t="s">
        <v>41</v>
      </c>
      <c r="C28" s="63">
        <f>AVERAGE(G28:J28)</f>
        <v>0</v>
      </c>
      <c r="D28" s="26"/>
      <c r="E28" s="266" t="s">
        <v>325</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325</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169</v>
      </c>
      <c r="C33" s="339">
        <f>AVERAGE(G33:J33)</f>
        <v>-61984.75</v>
      </c>
      <c r="E33" s="266" t="s">
        <v>325</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39">
        <f>AVERAGE(G34:J34)</f>
        <v>0</v>
      </c>
      <c r="D34" s="58"/>
      <c r="E34" s="266" t="s">
        <v>325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202</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203</v>
      </c>
      <c r="E42" s="268"/>
    </row>
    <row r="43" spans="1:17" ht="15.75" customHeight="1">
      <c r="A43" s="10"/>
      <c r="B43" s="27" t="s">
        <v>166</v>
      </c>
      <c r="C43" s="263">
        <v>0.25</v>
      </c>
      <c r="D43" s="27"/>
      <c r="E43" s="265" t="s">
        <v>326</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204</v>
      </c>
      <c r="C45" s="54"/>
      <c r="D45" s="56"/>
      <c r="E45" s="66" t="s">
        <v>56</v>
      </c>
      <c r="F45" s="56"/>
      <c r="G45" s="37"/>
      <c r="H45" s="37"/>
      <c r="I45" s="37"/>
      <c r="J45" s="37"/>
      <c r="K45" s="37"/>
      <c r="L45" s="37"/>
      <c r="M45" s="37"/>
      <c r="N45" s="37"/>
      <c r="O45" s="37"/>
      <c r="P45" s="37"/>
      <c r="Q45" s="37"/>
    </row>
    <row r="46" spans="1:17" ht="15.75" customHeight="1">
      <c r="A46" s="10"/>
      <c r="B46" s="64" t="s">
        <v>57</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337</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334</v>
      </c>
      <c r="C49" s="341">
        <f>BS!$C$66*C53</f>
        <v>343835</v>
      </c>
      <c r="D49" s="288"/>
      <c r="E49" s="289"/>
      <c r="F49" s="288"/>
      <c r="G49" s="341">
        <f>Data!C52</f>
        <v>343835</v>
      </c>
      <c r="H49" s="341">
        <f>Data!D52</f>
        <v>349079</v>
      </c>
      <c r="I49" s="341">
        <f>Data!E52</f>
        <v>328746</v>
      </c>
      <c r="J49" s="341">
        <f>Data!F52</f>
        <v>315158</v>
      </c>
      <c r="K49" s="341">
        <f>Data!G52</f>
        <v>303478</v>
      </c>
      <c r="L49" s="341">
        <f>Data!H52</f>
        <v>269677</v>
      </c>
      <c r="M49" s="341">
        <f>Data!I52</f>
        <v>270578</v>
      </c>
      <c r="N49" s="341">
        <f>Data!J52</f>
        <v>252644</v>
      </c>
      <c r="O49" s="341">
        <f>Data!K52</f>
        <v>236279</v>
      </c>
      <c r="P49" s="341">
        <f>Data!L52</f>
        <v>255972</v>
      </c>
      <c r="Q49" s="341" t="str">
        <f>Data!M52</f>
        <v/>
      </c>
    </row>
    <row r="50" spans="1:17" ht="15.75" customHeight="1">
      <c r="A50" s="10"/>
      <c r="B50" s="70" t="s">
        <v>65</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150</v>
      </c>
      <c r="E52" s="268"/>
      <c r="G52" s="97" t="s">
        <v>214</v>
      </c>
    </row>
    <row r="53" spans="1:17" ht="15.75" customHeight="1">
      <c r="A53" s="10"/>
      <c r="B53" s="8" t="s">
        <v>85</v>
      </c>
      <c r="C53" s="87">
        <f>G53</f>
        <v>5.1039038960584003E-2</v>
      </c>
      <c r="E53" s="265" t="s">
        <v>327</v>
      </c>
      <c r="G53" s="6">
        <f>IF(Normalized_FCF!G4="","",Normalized_FCF!G49/BS!$C$66)</f>
        <v>5.1039038960584003E-2</v>
      </c>
      <c r="H53" s="169"/>
      <c r="I53" s="169"/>
      <c r="J53" s="169"/>
      <c r="K53" s="169"/>
      <c r="L53" s="169"/>
      <c r="M53" s="169"/>
      <c r="N53" s="169"/>
      <c r="O53" s="169"/>
      <c r="P53" s="169"/>
      <c r="Q53" s="169"/>
    </row>
    <row r="54" spans="1:17" ht="15.75" customHeight="1">
      <c r="A54" s="10"/>
      <c r="B54" s="8" t="s">
        <v>84</v>
      </c>
      <c r="C54" s="82">
        <f>G54</f>
        <v>2.0566860106198924E-2</v>
      </c>
      <c r="E54" s="265" t="s">
        <v>328</v>
      </c>
      <c r="G54" s="23">
        <f>IFERROR(ABS(Normalized_FCF!G47/BS!$G$31),0)</f>
        <v>2.0566860106198924E-2</v>
      </c>
      <c r="H54" s="169"/>
      <c r="I54" s="169"/>
      <c r="J54" s="169"/>
      <c r="K54" s="169"/>
      <c r="L54" s="169"/>
      <c r="M54" s="169"/>
      <c r="N54" s="169"/>
      <c r="O54" s="169"/>
      <c r="P54" s="169"/>
      <c r="Q54" s="169"/>
    </row>
    <row r="55" spans="1:17" ht="15.75" customHeight="1">
      <c r="A55" s="10"/>
      <c r="B55" s="26" t="s">
        <v>87</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163</v>
      </c>
      <c r="E57" s="268"/>
      <c r="G57" s="97" t="s">
        <v>214</v>
      </c>
    </row>
    <row r="58" spans="1:17" ht="15.75" customHeight="1">
      <c r="A58" s="10"/>
      <c r="B58" s="40" t="s">
        <v>162</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154</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153</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189</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155</v>
      </c>
      <c r="C62" s="342">
        <v>0</v>
      </c>
      <c r="E62" s="266" t="s">
        <v>329</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190</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164</v>
      </c>
      <c r="E65" s="268"/>
      <c r="G65" s="97" t="s">
        <v>214</v>
      </c>
    </row>
    <row r="66" spans="1:17" ht="15.75" customHeight="1">
      <c r="A66" s="10"/>
      <c r="B66" s="40" t="s">
        <v>162</v>
      </c>
      <c r="C66" s="176">
        <f>G66</f>
        <v>0</v>
      </c>
      <c r="E66" s="268"/>
      <c r="G66" s="23">
        <f>IFERROR(G58/BS!$C$67,0)</f>
        <v>0</v>
      </c>
      <c r="H66" s="175"/>
      <c r="I66" s="175"/>
      <c r="J66" s="175"/>
      <c r="K66" s="175"/>
      <c r="L66" s="175"/>
      <c r="M66" s="175"/>
      <c r="N66" s="175"/>
      <c r="O66" s="175"/>
      <c r="P66" s="175"/>
      <c r="Q66" s="175"/>
    </row>
    <row r="67" spans="1:17" ht="15.75" customHeight="1">
      <c r="A67" s="10"/>
      <c r="B67" s="105" t="s">
        <v>152</v>
      </c>
      <c r="C67" s="176">
        <f>G67</f>
        <v>0</v>
      </c>
      <c r="E67" s="268"/>
      <c r="G67" s="23">
        <f>IFERROR(G59/BS!$C$68,0)</f>
        <v>0</v>
      </c>
      <c r="H67" s="175"/>
      <c r="I67" s="175"/>
      <c r="J67" s="175"/>
      <c r="K67" s="175"/>
      <c r="L67" s="175"/>
      <c r="M67" s="175"/>
      <c r="N67" s="175"/>
      <c r="O67" s="175"/>
      <c r="P67" s="175"/>
      <c r="Q67" s="175"/>
    </row>
    <row r="68" spans="1:17" ht="15.75" customHeight="1">
      <c r="A68" s="10"/>
      <c r="B68" s="105" t="s">
        <v>153</v>
      </c>
      <c r="C68" s="176">
        <f>G68</f>
        <v>0</v>
      </c>
      <c r="E68" s="268"/>
      <c r="G68" s="23">
        <f>IFERROR(G60/BS!$C$69,0)</f>
        <v>0</v>
      </c>
      <c r="H68" s="175"/>
      <c r="I68" s="175"/>
      <c r="J68" s="175"/>
      <c r="K68" s="175"/>
      <c r="L68" s="175"/>
      <c r="M68" s="175"/>
      <c r="N68" s="175"/>
      <c r="O68" s="175"/>
      <c r="P68" s="175"/>
      <c r="Q68" s="175"/>
    </row>
    <row r="69" spans="1:17" ht="15.75" customHeight="1">
      <c r="A69" s="10"/>
      <c r="B69" s="31" t="s">
        <v>189</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207</v>
      </c>
      <c r="C71" s="54"/>
      <c r="D71" s="56"/>
      <c r="E71" s="66" t="s">
        <v>56</v>
      </c>
      <c r="F71" s="56"/>
      <c r="G71" s="37"/>
      <c r="H71" s="37"/>
      <c r="I71" s="37"/>
      <c r="J71" s="37"/>
      <c r="K71" s="37"/>
      <c r="L71" s="37"/>
      <c r="M71" s="37"/>
      <c r="N71" s="37"/>
      <c r="O71" s="37"/>
      <c r="P71" s="37"/>
      <c r="Q71" s="37"/>
    </row>
    <row r="72" spans="1:17" ht="15.75" customHeight="1">
      <c r="A72" s="10"/>
      <c r="B72" s="72" t="s">
        <v>211</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147</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62</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77</v>
      </c>
      <c r="C78" s="88">
        <f>MAX(AVERAGE(G78:J78),C77)</f>
        <v>0</v>
      </c>
      <c r="D78" s="27"/>
      <c r="E78" s="266" t="s">
        <v>346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148</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65</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159</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60</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149</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94</v>
      </c>
      <c r="C86" s="77">
        <v>0</v>
      </c>
      <c r="E86" s="267" t="str">
        <f>E18</f>
        <v>Net borrowing is excluded</v>
      </c>
      <c r="G86" s="169"/>
      <c r="H86" s="169"/>
      <c r="I86" s="169"/>
      <c r="J86" s="169"/>
      <c r="K86" s="169"/>
      <c r="L86" s="169"/>
      <c r="M86" s="169"/>
      <c r="N86" s="169"/>
      <c r="O86" s="169"/>
      <c r="P86" s="169"/>
      <c r="Q86" s="169"/>
    </row>
    <row r="87" spans="1:17" ht="15.75" customHeight="1">
      <c r="A87" s="10"/>
      <c r="B87" s="31" t="s">
        <v>135</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209</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208</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440</v>
      </c>
      <c r="C93" s="355">
        <v>0</v>
      </c>
      <c r="E93" s="268"/>
      <c r="G93" s="356"/>
      <c r="H93" s="356"/>
      <c r="I93" s="356"/>
      <c r="J93" s="356"/>
      <c r="K93" s="356"/>
      <c r="L93" s="356"/>
      <c r="M93" s="356"/>
      <c r="N93" s="356"/>
      <c r="O93" s="356"/>
      <c r="P93" s="356"/>
      <c r="Q93" s="356"/>
    </row>
    <row r="94" spans="1:17" ht="15.75" customHeight="1">
      <c r="A94" s="10"/>
      <c r="B94" s="2" t="s">
        <v>439</v>
      </c>
      <c r="C94" s="23">
        <f>(C90*(1-dividend_tax_rate))/Market_Price</f>
        <v>4.8601558917927563E-2</v>
      </c>
      <c r="E94" s="268"/>
      <c r="G94" s="23">
        <f t="shared" ref="G94:Q94" si="39">IF(G$4="","",(G90*(1-dividend_tax_rate))/Market_Price)</f>
        <v>4.8601558917927563E-2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81</v>
      </c>
      <c r="C96" s="62"/>
      <c r="D96" s="27"/>
      <c r="E96" s="265"/>
      <c r="F96" s="27"/>
      <c r="G96" s="12"/>
      <c r="H96" s="12"/>
      <c r="I96" s="12"/>
      <c r="J96" s="12"/>
      <c r="K96" s="12"/>
      <c r="L96" s="12"/>
      <c r="M96" s="12"/>
      <c r="N96" s="12"/>
      <c r="O96" s="12"/>
      <c r="P96" s="12"/>
      <c r="Q96" s="12"/>
    </row>
    <row r="97" spans="1:17" ht="15.75" customHeight="1">
      <c r="A97" s="10"/>
      <c r="B97" s="27" t="s">
        <v>139</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159</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210</v>
      </c>
      <c r="C100" s="54"/>
      <c r="D100" s="56"/>
      <c r="E100" s="66" t="s">
        <v>56</v>
      </c>
      <c r="F100" s="56"/>
      <c r="G100" s="37"/>
      <c r="H100" s="37"/>
      <c r="I100" s="37"/>
      <c r="J100" s="37"/>
      <c r="K100" s="37"/>
      <c r="L100" s="37"/>
      <c r="M100" s="37"/>
      <c r="N100" s="37"/>
      <c r="O100" s="37"/>
      <c r="P100" s="37"/>
      <c r="Q100" s="37"/>
    </row>
    <row r="101" spans="1:17" ht="15.75" customHeight="1">
      <c r="A101" s="10"/>
      <c r="B101" s="64" t="s">
        <v>26</v>
      </c>
      <c r="E101" s="268"/>
      <c r="G101" s="97" t="s">
        <v>214</v>
      </c>
    </row>
    <row r="102" spans="1:17" ht="15.75" customHeight="1">
      <c r="A102" s="10"/>
      <c r="B102" s="26" t="s">
        <v>1</v>
      </c>
      <c r="C102" s="343">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205</v>
      </c>
      <c r="C103" s="344">
        <f>BS!C4</f>
        <v>0</v>
      </c>
      <c r="D103" s="89"/>
      <c r="E103" s="270"/>
      <c r="F103" s="89"/>
      <c r="G103" s="345">
        <f>IF(G$4="","",Data!D77)</f>
        <v>0</v>
      </c>
      <c r="H103" s="345">
        <f>IF(H$4="","",Data!E77)</f>
        <v>0</v>
      </c>
      <c r="I103" s="345">
        <f>IF(I$4="","",Data!F77)</f>
        <v>0</v>
      </c>
      <c r="J103" s="345">
        <f>IF(J$4="","",Data!G77)</f>
        <v>0</v>
      </c>
      <c r="K103" s="345">
        <f>IF(K$4="","",Data!H77)</f>
        <v>0</v>
      </c>
      <c r="L103" s="345">
        <f>IF(L$4="","",Data!I77)</f>
        <v>0</v>
      </c>
      <c r="M103" s="345">
        <f>IF(M$4="","",Data!J77)</f>
        <v>0</v>
      </c>
      <c r="N103" s="345">
        <f>IF(N$4="","",Data!K77)</f>
        <v>0</v>
      </c>
      <c r="O103" s="345">
        <f>IF(O$4="","",Data!L77)</f>
        <v>0</v>
      </c>
      <c r="P103" s="345">
        <f>IF(P$4="","",Data!M77)</f>
        <v>0</v>
      </c>
      <c r="Q103" s="345" t="str">
        <f>IF(Q$4="","",Data!N77)</f>
        <v/>
      </c>
    </row>
    <row r="104" spans="1:17" ht="15.75" customHeight="1">
      <c r="A104" s="10"/>
      <c r="B104" s="93" t="s">
        <v>206</v>
      </c>
      <c r="C104" s="344">
        <f>BS!C6+BS!C7</f>
        <v>0</v>
      </c>
      <c r="D104" s="89"/>
      <c r="E104" s="270"/>
      <c r="F104" s="89"/>
      <c r="G104" s="345">
        <f>IF(G$4="","",Data!D78)</f>
        <v>0</v>
      </c>
      <c r="H104" s="345">
        <f>IF(H$4="","",Data!E78)</f>
        <v>0</v>
      </c>
      <c r="I104" s="345">
        <f>IF(I$4="","",Data!F78)</f>
        <v>0</v>
      </c>
      <c r="J104" s="345">
        <f>IF(J$4="","",Data!G78)</f>
        <v>0</v>
      </c>
      <c r="K104" s="345">
        <f>IF(K$4="","",Data!H78)</f>
        <v>0</v>
      </c>
      <c r="L104" s="345">
        <f>IF(L$4="","",Data!I78)</f>
        <v>0</v>
      </c>
      <c r="M104" s="345">
        <f>IF(M$4="","",Data!J78)</f>
        <v>0</v>
      </c>
      <c r="N104" s="345">
        <f>IF(N$4="","",Data!K78)</f>
        <v>0</v>
      </c>
      <c r="O104" s="345">
        <f>IF(O$4="","",Data!L78)</f>
        <v>0</v>
      </c>
      <c r="P104" s="345">
        <f>IF(P$4="","",Data!M78)</f>
        <v>0</v>
      </c>
      <c r="Q104" s="345" t="str">
        <f>IF(Q$4="","",Data!N78)</f>
        <v/>
      </c>
    </row>
    <row r="105" spans="1:17" ht="15.75" customHeight="1">
      <c r="A105" s="10"/>
      <c r="B105" s="26" t="s">
        <v>38</v>
      </c>
      <c r="C105" s="343">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3">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215</v>
      </c>
      <c r="C108" s="26"/>
      <c r="D108" s="26"/>
      <c r="E108" s="269"/>
      <c r="F108" s="26"/>
      <c r="G108" s="97" t="s">
        <v>214</v>
      </c>
      <c r="H108" s="12"/>
      <c r="I108" s="12"/>
      <c r="J108" s="12"/>
      <c r="K108" s="12"/>
      <c r="L108" s="12"/>
      <c r="M108" s="12"/>
      <c r="N108" s="12"/>
      <c r="O108" s="12"/>
      <c r="P108" s="12"/>
      <c r="Q108" s="12"/>
    </row>
    <row r="109" spans="1:17" ht="15.75" customHeight="1">
      <c r="A109" s="10"/>
      <c r="B109" s="26" t="s">
        <v>212</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213</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66</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374</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375</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216</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80</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88</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217</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218</v>
      </c>
      <c r="C123" s="54"/>
      <c r="D123" s="56"/>
      <c r="E123" s="66" t="s">
        <v>56</v>
      </c>
      <c r="F123" s="56"/>
      <c r="G123" s="37"/>
      <c r="H123" s="37"/>
      <c r="I123" s="37"/>
      <c r="J123" s="37"/>
      <c r="K123" s="37"/>
      <c r="L123" s="37"/>
      <c r="M123" s="37"/>
      <c r="N123" s="37"/>
      <c r="O123" s="37"/>
      <c r="P123" s="37"/>
      <c r="Q123" s="37"/>
    </row>
    <row r="124" spans="1:17" ht="15.75" customHeight="1">
      <c r="A124" s="10"/>
      <c r="B124" s="178" t="s">
        <v>165</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263</v>
      </c>
      <c r="C126" s="77">
        <f>C19*Exchange_Rate*$C$3/(Market_Price*Common_Shares)</f>
        <v>0.25315755676239515</v>
      </c>
      <c r="D126" s="27"/>
      <c r="E126" s="265"/>
      <c r="F126" s="27"/>
      <c r="G126" s="77">
        <f t="shared" ref="G126" si="50">IF(G$4="","",G125/Market_Price)</f>
        <v>0.30340923243350154</v>
      </c>
      <c r="H126" s="77">
        <f t="shared" ref="H126" si="51">IF(H$4="","",H125/Market_Price)</f>
        <v>0.30480851994405167</v>
      </c>
      <c r="I126" s="77">
        <f t="shared" ref="I126" si="52">IF(I$4="","",I125/Market_Price)</f>
        <v>0.30885409408732994</v>
      </c>
      <c r="J126" s="77">
        <f t="shared" ref="J126" si="53">IF(J$4="","",J125/Market_Price)</f>
        <v>0.33013253397568015</v>
      </c>
      <c r="K126" s="77">
        <f t="shared" ref="K126" si="54">IF(K$4="","",K125/Market_Price)</f>
        <v>0.31332342722433948</v>
      </c>
      <c r="L126" s="77">
        <f t="shared" ref="L126" si="55">IF(L$4="","",L125/Market_Price)</f>
        <v>0.27307515113223763</v>
      </c>
      <c r="M126" s="77">
        <f t="shared" ref="M126" si="56">IF(M$4="","",M125/Market_Price)</f>
        <v>0.23585057202665585</v>
      </c>
      <c r="N126" s="77">
        <f t="shared" ref="N126" si="57">IF(N$4="","",N125/Market_Price)</f>
        <v>0.20474401339306936</v>
      </c>
      <c r="O126" s="77">
        <f t="shared" ref="O126" si="58">IF(O$4="","",O125/Market_Price)</f>
        <v>0.23082284813228165</v>
      </c>
      <c r="P126" s="77">
        <f t="shared" ref="P126" si="59">IF(P$4="","",P125/Market_Price)</f>
        <v>0.20974525235033534</v>
      </c>
      <c r="Q126" s="77" t="str">
        <f t="shared" ref="Q126" si="60">IF(Q$4="","",Q125/Market_Price)</f>
        <v/>
      </c>
    </row>
    <row r="127" spans="1:17" ht="15.75" customHeight="1">
      <c r="B127" s="2" t="s">
        <v>377</v>
      </c>
      <c r="C127" s="169"/>
      <c r="G127" s="23">
        <f>IF(G$4="","",(Data!C47*$C$3)/(Market_Price*Common_Shares))</f>
        <v>0.17102868845432467</v>
      </c>
      <c r="H127" s="23">
        <f>IF(H$4="","",(Data!D47*$C$3)/(Market_Price*Common_Shares))</f>
        <v>0.17138844218337779</v>
      </c>
      <c r="I127" s="23">
        <f>IF(I$4="","",(Data!E47*$C$3)/(Market_Price*Common_Shares))</f>
        <v>0.20396491482646967</v>
      </c>
      <c r="J127" s="23">
        <f>IF(J$4="","",(Data!F47*$C$3)/(Market_Price*Common_Shares))</f>
        <v>0.18498845738844094</v>
      </c>
      <c r="K127" s="23">
        <f>IF(K$4="","",(Data!G47*$C$3)/(Market_Price*Common_Shares))</f>
        <v>0.14937725236836727</v>
      </c>
      <c r="L127" s="23">
        <f>IF(L$4="","",(Data!H47*$C$3)/(Market_Price*Common_Shares))</f>
        <v>0.14721652291595624</v>
      </c>
      <c r="M127" s="23">
        <f>IF(M$4="","",(Data!I47*$C$3)/(Market_Price*Common_Shares))</f>
        <v>0.13517249776600013</v>
      </c>
      <c r="N127" s="23">
        <f>IF(N$4="","",(Data!J47*$C$3)/(Market_Price*Common_Shares))</f>
        <v>0.12742565366185021</v>
      </c>
      <c r="O127" s="23">
        <f>IF(O$4="","",(Data!K47*$C$3)/(Market_Price*Common_Shares))</f>
        <v>0.11990393152312007</v>
      </c>
      <c r="P127" s="23">
        <f>IF(P$4="","",(Data!L47*$C$3)/(Market_Price*Common_Shares))</f>
        <v>0.11178850537754766</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V105"/>
  <sheetViews>
    <sheetView showGridLines="0" tabSelected="1" zoomScale="60" zoomScaleNormal="85" workbookViewId="0">
      <selection activeCell="J50" sqref="J50"/>
    </sheetView>
  </sheetViews>
  <sheetFormatPr defaultColWidth="8.796875" defaultRowHeight="12.75"/>
  <cols>
    <col min="1" max="1" width="6.1328125" customWidth="1"/>
    <col min="2" max="2" width="24.6640625" customWidth="1"/>
    <col min="3" max="6" width="20.6640625" customWidth="1"/>
    <col min="7" max="7" width="2.796875" customWidth="1"/>
    <col min="8" max="12" width="20.6640625" customWidth="1"/>
    <col min="13" max="13" width="5.6640625" customWidth="1"/>
  </cols>
  <sheetData>
    <row r="2" spans="2:12" ht="13.9">
      <c r="B2" s="36" t="s">
        <v>564</v>
      </c>
      <c r="C2" s="37"/>
      <c r="D2" s="37"/>
      <c r="E2" s="37"/>
      <c r="F2" s="37"/>
      <c r="G2" s="373"/>
      <c r="H2" s="36" t="s">
        <v>563</v>
      </c>
      <c r="I2" s="37"/>
      <c r="J2" s="37"/>
      <c r="K2" s="37"/>
      <c r="L2" s="37"/>
    </row>
    <row r="3" spans="2:12" ht="13.15">
      <c r="B3" s="109" t="s">
        <v>158</v>
      </c>
      <c r="C3" s="107">
        <f>scaling_factor</f>
        <v>1000000</v>
      </c>
      <c r="E3" s="109" t="s">
        <v>119</v>
      </c>
    </row>
    <row r="4" spans="2:12">
      <c r="B4" s="100" t="s">
        <v>123</v>
      </c>
      <c r="C4" s="338">
        <f>Normalized_FCF!C19</f>
        <v>114702.58240513749</v>
      </c>
      <c r="D4" t="str">
        <f>Reporting_currency</f>
        <v>CNY</v>
      </c>
      <c r="E4" s="100" t="s">
        <v>245</v>
      </c>
      <c r="F4" s="134">
        <f>Terminal_Growth</f>
        <v>0</v>
      </c>
      <c r="G4" s="134"/>
      <c r="H4" s="100" t="s">
        <v>558</v>
      </c>
      <c r="I4" s="134">
        <f>Normalized_FCF!C92</f>
        <v>0.19198146616473824</v>
      </c>
      <c r="J4" s="134"/>
      <c r="K4" s="134"/>
      <c r="L4" s="134"/>
    </row>
    <row r="5" spans="2:12">
      <c r="B5" s="205" t="s">
        <v>118</v>
      </c>
      <c r="C5" s="206">
        <f>Equity_Cost</f>
        <v>7.4999999999999997E-2</v>
      </c>
      <c r="E5" s="148"/>
    </row>
    <row r="6" spans="2:12" ht="13.25" customHeight="1">
      <c r="B6" s="149" t="s">
        <v>223</v>
      </c>
      <c r="C6" s="346">
        <f>(C4*(1+Terminal_Growth))/(Equity_Cost-Terminal_Growth)</f>
        <v>1529367.7654018332</v>
      </c>
      <c r="D6" t="str">
        <f>Reporting_currency</f>
        <v>CNY</v>
      </c>
      <c r="E6" s="389" t="s">
        <v>244</v>
      </c>
      <c r="F6" s="389"/>
      <c r="G6" s="366"/>
      <c r="H6" s="100" t="s">
        <v>562</v>
      </c>
      <c r="I6" s="372">
        <f>(BS!G27*scaling_factor)/Common_Shares</f>
        <v>43.015192586408453</v>
      </c>
      <c r="J6" s="366"/>
      <c r="K6" s="366"/>
      <c r="L6" s="366"/>
    </row>
    <row r="7" spans="2:12">
      <c r="B7" s="148" t="s">
        <v>219</v>
      </c>
      <c r="C7" s="338">
        <f>BS!G31</f>
        <v>9516669</v>
      </c>
      <c r="D7" t="str">
        <f>Reporting_currency</f>
        <v>CNY</v>
      </c>
      <c r="E7" s="389"/>
      <c r="F7" s="389"/>
      <c r="G7" s="366"/>
      <c r="H7" s="366"/>
      <c r="I7" s="366"/>
      <c r="J7" s="366"/>
      <c r="K7" s="366"/>
      <c r="L7" s="366"/>
    </row>
    <row r="8" spans="2:12" ht="13.15">
      <c r="B8" s="148" t="s">
        <v>220</v>
      </c>
      <c r="C8" s="338">
        <f>BS!D66</f>
        <v>0</v>
      </c>
      <c r="D8" t="str">
        <f>Reporting_currency</f>
        <v>CNY</v>
      </c>
      <c r="E8" s="389"/>
      <c r="F8" s="389"/>
      <c r="G8" s="366"/>
      <c r="H8" s="130" t="s">
        <v>568</v>
      </c>
      <c r="I8" s="366"/>
      <c r="J8" s="366"/>
      <c r="K8" s="366"/>
      <c r="L8" s="366"/>
    </row>
    <row r="9" spans="2:12">
      <c r="B9" s="205" t="s">
        <v>185</v>
      </c>
      <c r="C9" s="347">
        <f>BS!H42</f>
        <v>2145886.1</v>
      </c>
      <c r="D9" t="str">
        <f>Reporting_currency</f>
        <v>CNY</v>
      </c>
      <c r="E9" s="389"/>
      <c r="F9" s="389"/>
      <c r="G9" s="366"/>
      <c r="H9" s="380" t="s">
        <v>569</v>
      </c>
      <c r="I9" s="380"/>
      <c r="J9" s="366"/>
      <c r="K9" s="366"/>
      <c r="L9" s="366"/>
    </row>
    <row r="10" spans="2:12" ht="13.15">
      <c r="B10" s="149" t="s">
        <v>222</v>
      </c>
      <c r="C10" s="346">
        <f>C6-C7+C8+C9</f>
        <v>-5841415.1345981676</v>
      </c>
      <c r="D10" t="str">
        <f>Reporting_currency</f>
        <v>CNY</v>
      </c>
    </row>
    <row r="11" spans="2:12" ht="13.15" thickBot="1">
      <c r="B11" s="207" t="s">
        <v>161</v>
      </c>
      <c r="C11" s="208">
        <f>Exchange_Rate</f>
        <v>1</v>
      </c>
      <c r="D11" t="str">
        <f>Thesis!C15</f>
        <v>CNY</v>
      </c>
      <c r="G11" s="134"/>
      <c r="H11" s="134"/>
    </row>
    <row r="12" spans="2:12" ht="13.5" thickTop="1">
      <c r="B12" s="149" t="s">
        <v>98</v>
      </c>
      <c r="C12" s="111">
        <f>(C10*scaling_factor)/Common_Shares*Exchange_Rate</f>
        <v>-281.18453890104445</v>
      </c>
      <c r="D12" t="str">
        <f>Market_currency</f>
        <v>CNY</v>
      </c>
    </row>
    <row r="14" spans="2:12" ht="13.9">
      <c r="B14" s="36" t="s">
        <v>224</v>
      </c>
      <c r="C14" s="37"/>
      <c r="D14" s="37"/>
      <c r="E14" s="37"/>
      <c r="F14" s="37"/>
      <c r="G14" s="373"/>
      <c r="H14" s="37"/>
      <c r="I14" s="37"/>
      <c r="J14" s="37"/>
      <c r="K14" s="37"/>
      <c r="L14" s="37"/>
    </row>
    <row r="15" spans="2:12" ht="13.15">
      <c r="B15" s="119" t="s">
        <v>130</v>
      </c>
      <c r="H15" s="119" t="s">
        <v>567</v>
      </c>
    </row>
    <row r="16" spans="2:12" ht="13.25" customHeight="1">
      <c r="B16" s="152" t="s">
        <v>128</v>
      </c>
      <c r="C16" s="161">
        <f>Scenarios!C65</f>
        <v>2.9494929468058501E-2</v>
      </c>
      <c r="G16" s="372"/>
    </row>
    <row r="17" spans="2:22" ht="13.25" customHeight="1">
      <c r="B17" s="118" t="s">
        <v>570</v>
      </c>
      <c r="C17" s="162">
        <f>Scenarios!C64</f>
        <v>30</v>
      </c>
      <c r="H17" s="153" t="s">
        <v>102</v>
      </c>
      <c r="I17" s="372">
        <f>I6+L52</f>
        <v>45.602453752534331</v>
      </c>
      <c r="J17" t="str">
        <f>Reporting_currency</f>
        <v>CNY</v>
      </c>
    </row>
    <row r="18" spans="2:22" ht="13.25" customHeight="1">
      <c r="B18" s="153" t="s">
        <v>102</v>
      </c>
      <c r="C18" s="140">
        <f>(F52-C7+C8+C9)*Exchange_Rate/Common_Shares*scaling_factor</f>
        <v>-255.35787580577403</v>
      </c>
      <c r="D18" t="str">
        <f>Market_currency</f>
        <v>CNY</v>
      </c>
      <c r="H18" s="153" t="s">
        <v>102</v>
      </c>
      <c r="I18" s="372">
        <f>I17*Exchange_Rate</f>
        <v>45.602453752534331</v>
      </c>
      <c r="J18" t="str">
        <f>Market_currency</f>
        <v>CNY</v>
      </c>
    </row>
    <row r="20" spans="2:22" ht="13.15">
      <c r="B20" s="128" t="s">
        <v>103</v>
      </c>
      <c r="C20" s="128" t="s">
        <v>104</v>
      </c>
      <c r="D20" s="128" t="s">
        <v>113</v>
      </c>
      <c r="E20" s="128" t="s">
        <v>105</v>
      </c>
      <c r="F20" s="128" t="s">
        <v>106</v>
      </c>
      <c r="G20" s="374"/>
      <c r="H20" s="128" t="s">
        <v>561</v>
      </c>
      <c r="I20" s="128" t="s">
        <v>560</v>
      </c>
      <c r="J20" s="128" t="s">
        <v>559</v>
      </c>
      <c r="K20" s="128" t="s">
        <v>566</v>
      </c>
      <c r="L20" s="128" t="s">
        <v>565</v>
      </c>
    </row>
    <row r="21" spans="2:22">
      <c r="B21" s="122">
        <v>1</v>
      </c>
      <c r="C21" s="123">
        <f>C4*(1+D21)</f>
        <v>118085.72698298118</v>
      </c>
      <c r="D21" s="138">
        <f>IF($C$17&lt;B21,0,DCF!$C$16)</f>
        <v>2.9494929468058501E-2</v>
      </c>
      <c r="E21" s="124">
        <f>IF($C$17&lt;B21,0,1/(1+Equity_Cost)^B21)</f>
        <v>0.93023255813953487</v>
      </c>
      <c r="F21" s="125">
        <f t="shared" ref="F21:F51" si="0">C21*E21</f>
        <v>109847.18789114528</v>
      </c>
      <c r="G21" s="376"/>
      <c r="H21" s="370">
        <f t="shared" ref="H21:H50" si="1">(C21*scaling_factor)/Common_Shares</f>
        <v>5.6842186229567284</v>
      </c>
      <c r="I21" s="371">
        <f t="shared" ref="I21:I51" si="2">H21*$I$4</f>
        <v>1.0912646252361422</v>
      </c>
      <c r="J21" s="370">
        <f>I6+H21-I21</f>
        <v>47.608146584129038</v>
      </c>
      <c r="K21" s="370">
        <f>H21-Equity_Cost*I6</f>
        <v>2.4580791789760945</v>
      </c>
      <c r="L21" s="370">
        <f>K21*E21</f>
        <v>2.2865852827684598</v>
      </c>
    </row>
    <row r="22" spans="2:22">
      <c r="B22" s="122">
        <v>2</v>
      </c>
      <c r="C22" s="123">
        <f>IF(ROW()-ROW($C$21)&lt;$C$17, $C$21*(1+D22)^(ROW()-ROW($C$21)), 0)</f>
        <v>121568.65717152861</v>
      </c>
      <c r="D22" s="138">
        <f>IF($C$17&lt;B22,0,DCF!$C$16)</f>
        <v>2.9494929468058501E-2</v>
      </c>
      <c r="E22" s="124">
        <f>IF($C$17&lt;B22,0,1/(1+Equity_Cost)^B22)</f>
        <v>0.86533261222282321</v>
      </c>
      <c r="F22" s="125">
        <f t="shared" si="0"/>
        <v>105197.32367465971</v>
      </c>
      <c r="G22" s="376"/>
      <c r="H22" s="370">
        <f t="shared" si="1"/>
        <v>5.8518742503218606</v>
      </c>
      <c r="I22" s="371">
        <f t="shared" si="2"/>
        <v>1.1234513983884693</v>
      </c>
      <c r="J22" s="370">
        <f>J21+H22-I22</f>
        <v>52.336569436062433</v>
      </c>
      <c r="K22" s="370">
        <f>IF(ROW()-ROW($C$21)&lt;$C$17, H22-Equity_Cost*J21, 0)</f>
        <v>2.2812632565121826</v>
      </c>
      <c r="L22" s="370">
        <f t="shared" ref="L22:L51" si="3">K22*E22</f>
        <v>1.9740514929256314</v>
      </c>
    </row>
    <row r="23" spans="2:22">
      <c r="B23" s="122">
        <v>3</v>
      </c>
      <c r="C23" s="123">
        <f>IF(ROW()-ROW($C$21)&lt;$C$17, $C$21*(1+D23)^(ROW()-ROW($C$21)), 0)</f>
        <v>125154.31614032944</v>
      </c>
      <c r="D23" s="138">
        <f>IF($C$17&lt;B23,0,DCF!$C$16)</f>
        <v>2.9494929468058501E-2</v>
      </c>
      <c r="E23" s="124">
        <f>IF($C$17&lt;B23,0,1/(1+Equity_Cost)^B23)</f>
        <v>0.80496056950960304</v>
      </c>
      <c r="F23" s="125">
        <f t="shared" si="0"/>
        <v>100744.28959690449</v>
      </c>
      <c r="G23" s="376"/>
      <c r="H23" s="370">
        <f t="shared" si="1"/>
        <v>6.0244748685910521</v>
      </c>
      <c r="I23" s="371">
        <f t="shared" si="2"/>
        <v>1.1565875181447289</v>
      </c>
      <c r="J23" s="370">
        <f t="shared" ref="J23:J51" si="4">J22+H23-I23</f>
        <v>57.204456786508757</v>
      </c>
      <c r="K23" s="370">
        <f>IF(ROW()-ROW($C$21)&lt;$C$17, H23-Equity_Cost*J22, 0)</f>
        <v>2.0992321608863698</v>
      </c>
      <c r="L23" s="370">
        <f t="shared" si="3"/>
        <v>1.6897991157599668</v>
      </c>
      <c r="M23" s="338"/>
      <c r="N23" s="338"/>
      <c r="O23" s="338"/>
      <c r="P23" s="338"/>
      <c r="Q23" s="338"/>
      <c r="R23" s="338"/>
      <c r="S23" s="338"/>
      <c r="T23" s="338"/>
      <c r="U23" s="338"/>
      <c r="V23" s="338"/>
    </row>
    <row r="24" spans="2:22">
      <c r="B24" s="122">
        <v>4</v>
      </c>
      <c r="C24" s="123">
        <f>IF(ROW()-ROW($C$21)&lt;$C$17, $C$21*(1+D24)^(ROW()-ROW($C$21)), 0)</f>
        <v>128845.73386751152</v>
      </c>
      <c r="D24" s="138">
        <f>IF($C$17&lt;B24,0,DCF!$C$16)</f>
        <v>2.9494929468058501E-2</v>
      </c>
      <c r="E24" s="124">
        <f>IF($C$17&lt;B24,0,1/(1+Equity_Cost)^B24)</f>
        <v>0.7488005297763749</v>
      </c>
      <c r="F24" s="125">
        <f t="shared" si="0"/>
        <v>96479.753779418432</v>
      </c>
      <c r="G24" s="376"/>
      <c r="H24" s="370">
        <f t="shared" si="1"/>
        <v>6.2021663299222345</v>
      </c>
      <c r="I24" s="371">
        <f t="shared" si="2"/>
        <v>1.1907009854160442</v>
      </c>
      <c r="J24" s="370">
        <f t="shared" si="4"/>
        <v>62.215922131014949</v>
      </c>
      <c r="K24" s="370">
        <f>IF(ROW()-ROW($C$21)&lt;$C$17, H24-Equity_Cost*J23, 0)</f>
        <v>1.9118320709340777</v>
      </c>
      <c r="L24" s="370">
        <f t="shared" si="3"/>
        <v>1.4315808675589012</v>
      </c>
      <c r="M24" s="338"/>
      <c r="N24" s="338"/>
      <c r="O24" s="338"/>
      <c r="P24" s="338"/>
      <c r="Q24" s="338"/>
      <c r="R24" s="338"/>
      <c r="S24" s="338"/>
      <c r="T24" s="338"/>
      <c r="U24" s="338"/>
      <c r="V24" s="338"/>
    </row>
    <row r="25" spans="2:22">
      <c r="B25" s="122">
        <v>5</v>
      </c>
      <c r="C25" s="123">
        <f>IF(ROW()-ROW($C$21)&lt;$C$17, $C$21*(1+D25)^(ROW()-ROW($C$21)), 0)</f>
        <v>132646.02970019402</v>
      </c>
      <c r="D25" s="138">
        <f>IF($C$17&lt;B25,0,DCF!$C$16)</f>
        <v>2.9494929468058501E-2</v>
      </c>
      <c r="E25" s="124">
        <f>IF($C$17&lt;B25,0,1/(1+Equity_Cost)^B25)</f>
        <v>0.69655863235011617</v>
      </c>
      <c r="F25" s="125">
        <f t="shared" si="0"/>
        <v>92395.737034640042</v>
      </c>
      <c r="G25" s="376"/>
      <c r="H25" s="370">
        <f t="shared" si="1"/>
        <v>6.385098788372459</v>
      </c>
      <c r="I25" s="371">
        <f t="shared" si="2"/>
        <v>1.2258206269984384</v>
      </c>
      <c r="J25" s="370">
        <f t="shared" si="4"/>
        <v>67.375200292388968</v>
      </c>
      <c r="K25" s="370">
        <f>IF(ROW()-ROW($C$21)&lt;$C$17, H25-Equity_Cost*J24, 0)</f>
        <v>1.7189046285463379</v>
      </c>
      <c r="L25" s="370">
        <f t="shared" si="3"/>
        <v>1.1973178572005216</v>
      </c>
      <c r="M25" s="338"/>
      <c r="N25" s="338"/>
      <c r="O25" s="338"/>
      <c r="P25" s="338"/>
      <c r="Q25" s="338"/>
      <c r="R25" s="338"/>
      <c r="S25" s="338"/>
      <c r="T25" s="338"/>
      <c r="U25" s="338"/>
      <c r="V25" s="338"/>
    </row>
    <row r="26" spans="2:22">
      <c r="B26" s="122">
        <v>6</v>
      </c>
      <c r="C26" s="123">
        <f>IF(ROW()-ROW($C$21)&lt;$C$17, $C$21*(1+D26)^(ROW()-ROW($C$21)), 0)</f>
        <v>136558.41499041923</v>
      </c>
      <c r="D26" s="138">
        <f>IF($C$17&lt;B26,0,DCF!$C$16)</f>
        <v>2.9494929468058501E-2</v>
      </c>
      <c r="E26" s="124">
        <f>IF($C$17&lt;B26,0,1/(1+Equity_Cost)^B26)</f>
        <v>0.64796151846522443</v>
      </c>
      <c r="F26" s="125">
        <f t="shared" si="0"/>
        <v>88484.597936396312</v>
      </c>
      <c r="G26" s="376"/>
      <c r="H26" s="370">
        <f t="shared" si="1"/>
        <v>6.5734268267820903</v>
      </c>
      <c r="I26" s="371">
        <f t="shared" si="2"/>
        <v>1.2619761199322486</v>
      </c>
      <c r="J26" s="370">
        <f t="shared" si="4"/>
        <v>72.686650999238822</v>
      </c>
      <c r="K26" s="370">
        <f>IF(ROW()-ROW($C$21)&lt;$C$17, H26-Equity_Cost*J25, 0)</f>
        <v>1.5202868048529181</v>
      </c>
      <c r="L26" s="370">
        <f t="shared" si="3"/>
        <v>0.98508734657514119</v>
      </c>
    </row>
    <row r="27" spans="2:22">
      <c r="B27" s="122">
        <v>7</v>
      </c>
      <c r="C27" s="123">
        <f>IF(ROW()-ROW($C$21)&lt;$C$17, $C$21*(1+D27)^(ROW()-ROW($C$21)), 0)</f>
        <v>140586.19580883149</v>
      </c>
      <c r="D27" s="138">
        <f>IF($C$17&lt;B27,0,DCF!$C$16)</f>
        <v>2.9494929468058501E-2</v>
      </c>
      <c r="E27" s="124">
        <f>IF($C$17&lt;B27,0,1/(1+Equity_Cost)^B27)</f>
        <v>0.60275490089788319</v>
      </c>
      <c r="F27" s="125">
        <f t="shared" si="0"/>
        <v>84739.018522362618</v>
      </c>
      <c r="G27" s="376"/>
      <c r="H27" s="370">
        <f t="shared" si="1"/>
        <v>6.7673095874014697</v>
      </c>
      <c r="I27" s="371">
        <f t="shared" si="2"/>
        <v>1.2991980165800239</v>
      </c>
      <c r="J27" s="370">
        <f t="shared" si="4"/>
        <v>78.154762570060271</v>
      </c>
      <c r="K27" s="370">
        <f>IF(ROW()-ROW($C$21)&lt;$C$17, H27-Equity_Cost*J26, 0)</f>
        <v>1.3158107624585584</v>
      </c>
      <c r="L27" s="370">
        <f t="shared" si="3"/>
        <v>0.79311138572607653</v>
      </c>
    </row>
    <row r="28" spans="2:22">
      <c r="B28" s="122">
        <v>8</v>
      </c>
      <c r="C28" s="123">
        <f>IF(ROW()-ROW($C$21)&lt;$C$17, $C$21*(1+D28)^(ROW()-ROW($C$21)), 0)</f>
        <v>144732.77573839561</v>
      </c>
      <c r="D28" s="138">
        <f>IF($C$17&lt;B28,0,DCF!$C$16)</f>
        <v>2.9494929468058501E-2</v>
      </c>
      <c r="E28" s="124">
        <f>IF($C$17&lt;B28,0,1/(1+Equity_Cost)^B28)</f>
        <v>0.56070223339337966</v>
      </c>
      <c r="F28" s="125">
        <f t="shared" si="0"/>
        <v>81151.990601741563</v>
      </c>
      <c r="G28" s="376"/>
      <c r="H28" s="370">
        <f t="shared" si="1"/>
        <v>6.9669109063703916</v>
      </c>
      <c r="I28" s="371">
        <f t="shared" si="2"/>
        <v>1.3375177704440933</v>
      </c>
      <c r="J28" s="370">
        <f t="shared" si="4"/>
        <v>83.784155705986564</v>
      </c>
      <c r="K28" s="370">
        <f>IF(ROW()-ROW($C$21)&lt;$C$17, H28-Equity_Cost*J27, 0)</f>
        <v>1.1053037136158714</v>
      </c>
      <c r="L28" s="370">
        <f t="shared" si="3"/>
        <v>0.61974626080241557</v>
      </c>
    </row>
    <row r="29" spans="2:22">
      <c r="B29" s="122">
        <v>9</v>
      </c>
      <c r="C29" s="123">
        <f>IF(ROW()-ROW($C$21)&lt;$C$17, $C$21*(1+D29)^(ROW()-ROW($C$21)), 0)</f>
        <v>149001.6587505159</v>
      </c>
      <c r="D29" s="138">
        <f>IF($C$17&lt;B29,0,DCF!$C$16)</f>
        <v>2.9494929468058501E-2</v>
      </c>
      <c r="E29" s="124">
        <f>IF($C$17&lt;B29,0,1/(1+Equity_Cost)^B29)</f>
        <v>0.52158347292407414</v>
      </c>
      <c r="F29" s="125">
        <f t="shared" si="0"/>
        <v>77716.80264254185</v>
      </c>
      <c r="G29" s="376"/>
      <c r="H29" s="370">
        <f t="shared" si="1"/>
        <v>7.1723994521640329</v>
      </c>
      <c r="I29" s="371">
        <f t="shared" si="2"/>
        <v>1.3769677627456163</v>
      </c>
      <c r="J29" s="370">
        <f t="shared" si="4"/>
        <v>89.579587395404971</v>
      </c>
      <c r="K29" s="370">
        <f>IF(ROW()-ROW($C$21)&lt;$C$17, H29-Equity_Cost*J28, 0)</f>
        <v>0.88858777421504076</v>
      </c>
      <c r="L29" s="370">
        <f t="shared" si="3"/>
        <v>0.46347269727295404</v>
      </c>
    </row>
    <row r="30" spans="2:22">
      <c r="B30" s="122">
        <v>10</v>
      </c>
      <c r="C30" s="123">
        <f>IF(ROW()-ROW($C$21)&lt;$C$17, $C$21*(1+D30)^(ROW()-ROW($C$21)), 0)</f>
        <v>153396.45216598606</v>
      </c>
      <c r="D30" s="138">
        <f>IF($C$17&lt;B30,0,DCF!$C$16)</f>
        <v>2.9494929468058501E-2</v>
      </c>
      <c r="E30" s="124">
        <f>IF($C$17&lt;B30,0,1/(1+Equity_Cost)^B30)</f>
        <v>0.48519392830146441</v>
      </c>
      <c r="F30" s="125">
        <f t="shared" si="0"/>
        <v>74427.027213922454</v>
      </c>
      <c r="G30" s="376"/>
      <c r="H30" s="370">
        <f t="shared" si="1"/>
        <v>7.3839488681223511</v>
      </c>
      <c r="I30" s="371">
        <f t="shared" si="2"/>
        <v>1.4175813297875883</v>
      </c>
      <c r="J30" s="370">
        <f t="shared" si="4"/>
        <v>95.545954933739722</v>
      </c>
      <c r="K30" s="370">
        <f>IF(ROW()-ROW($C$21)&lt;$C$17, H30-Equity_Cost*J29, 0)</f>
        <v>0.6654798134669786</v>
      </c>
      <c r="L30" s="370">
        <f t="shared" si="3"/>
        <v>0.32288676490136914</v>
      </c>
    </row>
    <row r="31" spans="2:22">
      <c r="B31" s="122">
        <v>11</v>
      </c>
      <c r="C31" s="123">
        <f>IF(ROW()-ROW($C$21)&lt;$C$17, $C$21*(1+D31)^(ROW()-ROW($C$21)), 0)</f>
        <v>157920.86970327221</v>
      </c>
      <c r="D31" s="138">
        <f>IF($C$17&lt;B31,0,DCF!$C$16)</f>
        <v>2.9494929468058501E-2</v>
      </c>
      <c r="E31" s="124">
        <f>IF($C$17&lt;B31,0,1/(1+Equity_Cost)^B31)</f>
        <v>0.45134318911764126</v>
      </c>
      <c r="F31" s="125">
        <f t="shared" si="0"/>
        <v>71276.508960106381</v>
      </c>
      <c r="G31" s="376"/>
      <c r="H31" s="370">
        <f t="shared" si="1"/>
        <v>7.6017379191833703</v>
      </c>
      <c r="I31" s="371">
        <f t="shared" si="2"/>
        <v>1.4593927911249098</v>
      </c>
      <c r="J31" s="370">
        <f t="shared" si="4"/>
        <v>101.68830006179817</v>
      </c>
      <c r="K31" s="370">
        <f>IF(ROW()-ROW($C$21)&lt;$C$17, H31-Equity_Cost*J30, 0)</f>
        <v>0.43579129915289094</v>
      </c>
      <c r="L31" s="370">
        <f t="shared" si="3"/>
        <v>0.19669143474938583</v>
      </c>
    </row>
    <row r="32" spans="2:22">
      <c r="B32" s="122">
        <v>12</v>
      </c>
      <c r="C32" s="123">
        <f>IF(ROW()-ROW($C$21)&lt;$C$17, $C$21*(1+D32)^(ROW()-ROW($C$21)), 0)</f>
        <v>162578.73461670469</v>
      </c>
      <c r="D32" s="138">
        <f>IF($C$17&lt;B32,0,DCF!$C$16)</f>
        <v>2.9494929468058501E-2</v>
      </c>
      <c r="E32" s="124">
        <f>IF($C$17&lt;B32,0,1/(1+Equity_Cost)^B32)</f>
        <v>0.41985412941175931</v>
      </c>
      <c r="F32" s="125">
        <f t="shared" si="0"/>
        <v>68259.353083362003</v>
      </c>
      <c r="G32" s="376"/>
      <c r="H32" s="370">
        <f t="shared" si="1"/>
        <v>7.8259506429443491</v>
      </c>
      <c r="I32" s="371">
        <f t="shared" si="2"/>
        <v>1.5024374785653321</v>
      </c>
      <c r="J32" s="370">
        <f t="shared" si="4"/>
        <v>108.0118132261772</v>
      </c>
      <c r="K32" s="370">
        <f>IF(ROW()-ROW($C$21)&lt;$C$17, H32-Equity_Cost*J31, 0)</f>
        <v>0.19932813830948604</v>
      </c>
      <c r="L32" s="370">
        <f t="shared" si="3"/>
        <v>8.3688741977196016E-2</v>
      </c>
    </row>
    <row r="33" spans="2:22">
      <c r="B33" s="122">
        <v>13</v>
      </c>
      <c r="C33" s="340">
        <f>IF(ROW()-ROW($C$21)&lt;$C$17, $C$21*(1+D33)^(ROW()-ROW($C$21)), 0)</f>
        <v>167373.98292723059</v>
      </c>
      <c r="D33" s="138">
        <f>IF($C$17&lt;B33,0,DCF!$C$16)</f>
        <v>2.9494929468058501E-2</v>
      </c>
      <c r="E33" s="124">
        <f>IF($C$17&lt;B33,0,1/(1+Equity_Cost)^B33)</f>
        <v>0.39056198084814819</v>
      </c>
      <c r="F33" s="125">
        <f t="shared" si="0"/>
        <v>65369.914314503316</v>
      </c>
      <c r="G33" s="376"/>
      <c r="H33" s="370">
        <f t="shared" si="1"/>
        <v>8.0567765051784992</v>
      </c>
      <c r="I33" s="371">
        <f t="shared" si="2"/>
        <v>1.5467517660257841</v>
      </c>
      <c r="J33" s="370">
        <f t="shared" si="4"/>
        <v>114.52183796532992</v>
      </c>
      <c r="K33" s="370">
        <f>IF(ROW()-ROW($C$21)&lt;$C$17, H33-Equity_Cost*J32, 0)</f>
        <v>-4.4109486784790874E-2</v>
      </c>
      <c r="L33" s="370">
        <f t="shared" si="3"/>
        <v>-1.7227488532863138E-2</v>
      </c>
      <c r="M33" s="338"/>
      <c r="N33" s="338"/>
      <c r="O33" s="338"/>
      <c r="P33" s="338"/>
      <c r="Q33" s="338"/>
      <c r="R33" s="338"/>
      <c r="S33" s="338"/>
      <c r="T33" s="338"/>
      <c r="U33" s="338"/>
      <c r="V33" s="338"/>
    </row>
    <row r="34" spans="2:22">
      <c r="B34" s="122">
        <v>14</v>
      </c>
      <c r="C34" s="340">
        <f>IF(ROW()-ROW($C$21)&lt;$C$17, $C$21*(1+D34)^(ROW()-ROW($C$21)), 0)</f>
        <v>172310.6667484573</v>
      </c>
      <c r="D34" s="138">
        <f>IF($C$17&lt;B34,0,DCF!$C$16)</f>
        <v>2.9494929468058501E-2</v>
      </c>
      <c r="E34" s="124">
        <f>IF($C$17&lt;B34,0,1/(1+Equity_Cost)^B34)</f>
        <v>0.36331347055641694</v>
      </c>
      <c r="F34" s="125">
        <f t="shared" si="0"/>
        <v>62602.78635027221</v>
      </c>
      <c r="G34" s="376"/>
      <c r="H34" s="370">
        <f t="shared" si="1"/>
        <v>8.2944105599386511</v>
      </c>
      <c r="I34" s="371">
        <f t="shared" si="2"/>
        <v>1.5923731002693098</v>
      </c>
      <c r="J34" s="370">
        <f t="shared" si="4"/>
        <v>121.22387542499926</v>
      </c>
      <c r="K34" s="370">
        <f>IF(ROW()-ROW($C$21)&lt;$C$17, H34-Equity_Cost*J33, 0)</f>
        <v>-0.29472728746109311</v>
      </c>
      <c r="L34" s="370">
        <f t="shared" si="3"/>
        <v>-0.10707839367516848</v>
      </c>
      <c r="M34" s="338"/>
      <c r="N34" s="338"/>
      <c r="O34" s="338"/>
      <c r="P34" s="338"/>
      <c r="Q34" s="338"/>
      <c r="R34" s="338"/>
      <c r="S34" s="338"/>
      <c r="T34" s="338"/>
      <c r="U34" s="338"/>
      <c r="V34" s="338"/>
    </row>
    <row r="35" spans="2:22">
      <c r="B35" s="122">
        <v>15</v>
      </c>
      <c r="C35" s="340">
        <f>IF(ROW()-ROW($C$21)&lt;$C$17, $C$21*(1+D35)^(ROW()-ROW($C$21)), 0)</f>
        <v>177392.95771079714</v>
      </c>
      <c r="D35" s="138">
        <f>IF($C$17&lt;B35,0,DCF!$C$16)</f>
        <v>2.9494929468058501E-2</v>
      </c>
      <c r="E35" s="124">
        <f>IF($C$17&lt;B35,0,1/(1+Equity_Cost)^B35)</f>
        <v>0.33796601912224833</v>
      </c>
      <c r="F35" s="125">
        <f t="shared" si="0"/>
        <v>59952.791737839456</v>
      </c>
      <c r="G35" s="376"/>
      <c r="H35" s="370">
        <f t="shared" si="1"/>
        <v>8.5390536143831604</v>
      </c>
      <c r="I35" s="371">
        <f t="shared" si="2"/>
        <v>1.6393400325485865</v>
      </c>
      <c r="J35" s="370">
        <f t="shared" si="4"/>
        <v>128.12358900683384</v>
      </c>
      <c r="K35" s="370">
        <f>IF(ROW()-ROW($C$21)&lt;$C$17, H35-Equity_Cost*J34, 0)</f>
        <v>-0.55273704249178479</v>
      </c>
      <c r="L35" s="370">
        <f t="shared" si="3"/>
        <v>-0.18680633787235354</v>
      </c>
      <c r="M35" s="338"/>
      <c r="N35" s="338"/>
      <c r="O35" s="338"/>
      <c r="P35" s="338"/>
      <c r="Q35" s="338"/>
      <c r="R35" s="338"/>
      <c r="S35" s="338"/>
      <c r="T35" s="338"/>
      <c r="U35" s="338"/>
      <c r="V35" s="338"/>
    </row>
    <row r="36" spans="2:22">
      <c r="B36" s="122">
        <v>16</v>
      </c>
      <c r="C36" s="123">
        <f>IF(ROW()-ROW($C$21)&lt;$C$17, $C$21*(1+D36)^(ROW()-ROW($C$21)), 0)</f>
        <v>182625.15048660737</v>
      </c>
      <c r="D36" s="138">
        <f>IF($C$17&lt;B36,0,DCF!$C$16)</f>
        <v>2.9494929468058501E-2</v>
      </c>
      <c r="E36" s="124">
        <f>IF($C$17&lt;B36,0,1/(1+Equity_Cost)^B36)</f>
        <v>0.31438699453232405</v>
      </c>
      <c r="F36" s="125">
        <f t="shared" si="0"/>
        <v>57414.972187497886</v>
      </c>
      <c r="G36" s="376"/>
      <c r="H36" s="370">
        <f t="shared" si="1"/>
        <v>8.7909123984633588</v>
      </c>
      <c r="I36" s="371">
        <f t="shared" si="2"/>
        <v>1.6876922511827712</v>
      </c>
      <c r="J36" s="370">
        <f t="shared" si="4"/>
        <v>135.22680915411442</v>
      </c>
      <c r="K36" s="370">
        <f>IF(ROW()-ROW($C$21)&lt;$C$17, H36-Equity_Cost*J35, 0)</f>
        <v>-0.81835677704917842</v>
      </c>
      <c r="L36" s="370">
        <f t="shared" si="3"/>
        <v>-0.25728072759165038</v>
      </c>
    </row>
    <row r="37" spans="2:22">
      <c r="B37" s="122">
        <v>17</v>
      </c>
      <c r="C37" s="123">
        <f>IF(ROW()-ROW($C$21)&lt;$C$17, $C$21*(1+D37)^(ROW()-ROW($C$21)), 0)</f>
        <v>188011.66641930342</v>
      </c>
      <c r="D37" s="138">
        <f>IF($C$17&lt;B37,0,DCF!$C$16)</f>
        <v>2.9494929468058501E-2</v>
      </c>
      <c r="E37" s="124">
        <f>IF($C$17&lt;B37,0,1/(1+Equity_Cost)^B37)</f>
        <v>0.29245301816960378</v>
      </c>
      <c r="F37" s="125">
        <f t="shared" si="0"/>
        <v>54984.579295422031</v>
      </c>
      <c r="G37" s="376"/>
      <c r="H37" s="370">
        <f t="shared" si="1"/>
        <v>9.0501997396159179</v>
      </c>
      <c r="I37" s="371">
        <f t="shared" si="2"/>
        <v>1.7374706150951962</v>
      </c>
      <c r="J37" s="370">
        <f t="shared" si="4"/>
        <v>142.53953827863515</v>
      </c>
      <c r="K37" s="370">
        <f>IF(ROW()-ROW($C$21)&lt;$C$17, H37-Equity_Cost*J36, 0)</f>
        <v>-1.0918109469426636</v>
      </c>
      <c r="L37" s="370">
        <f t="shared" si="3"/>
        <v>-0.3193034067039951</v>
      </c>
    </row>
    <row r="38" spans="2:22">
      <c r="B38" s="122">
        <v>18</v>
      </c>
      <c r="C38" s="123">
        <f>IF(ROW()-ROW($C$21)&lt;$C$17, $C$21*(1+D38)^(ROW()-ROW($C$21)), 0)</f>
        <v>193557.05725951289</v>
      </c>
      <c r="D38" s="138">
        <f>IF($C$17&lt;B38,0,DCF!$C$16)</f>
        <v>2.9494929468058501E-2</v>
      </c>
      <c r="E38" s="124">
        <f>IF($C$17&lt;B38,0,1/(1+Equity_Cost)^B38)</f>
        <v>0.27204931922753844</v>
      </c>
      <c r="F38" s="125">
        <f t="shared" si="0"/>
        <v>52657.065659136162</v>
      </c>
      <c r="G38" s="376"/>
      <c r="H38" s="370">
        <f t="shared" si="1"/>
        <v>9.3171347426077293</v>
      </c>
      <c r="I38" s="371">
        <f t="shared" si="2"/>
        <v>1.7887171883402528</v>
      </c>
      <c r="J38" s="370">
        <f t="shared" si="4"/>
        <v>150.06795583290261</v>
      </c>
      <c r="K38" s="370">
        <f>IF(ROW()-ROW($C$21)&lt;$C$17, H38-Equity_Cost*J37, 0)</f>
        <v>-1.3733306282899065</v>
      </c>
      <c r="L38" s="370">
        <f t="shared" si="3"/>
        <v>-0.37361366250059669</v>
      </c>
    </row>
    <row r="39" spans="2:22">
      <c r="B39" s="122">
        <v>19</v>
      </c>
      <c r="C39" s="123">
        <f>IF(ROW()-ROW($C$21)&lt;$C$17, $C$21*(1+D39)^(ROW()-ROW($C$21)), 0)</f>
        <v>199266.00901142717</v>
      </c>
      <c r="D39" s="138">
        <f>IF($C$17&lt;B39,0,DCF!$C$16)</f>
        <v>2.9494929468058501E-2</v>
      </c>
      <c r="E39" s="124">
        <f>IF($C$17&lt;B39,0,1/(1+Equity_Cost)^B39)</f>
        <v>0.25306913416515198</v>
      </c>
      <c r="F39" s="125">
        <f t="shared" si="0"/>
        <v>50428.076369067247</v>
      </c>
      <c r="G39" s="376"/>
      <c r="H39" s="370">
        <f t="shared" si="1"/>
        <v>9.5919429746853417</v>
      </c>
      <c r="I39" s="371">
        <f t="shared" si="2"/>
        <v>1.8414752756486525</v>
      </c>
      <c r="J39" s="370">
        <f t="shared" si="4"/>
        <v>157.81842353193929</v>
      </c>
      <c r="K39" s="370">
        <f>IF(ROW()-ROW($C$21)&lt;$C$17, H39-Equity_Cost*J38, 0)</f>
        <v>-1.6631537127823535</v>
      </c>
      <c r="L39" s="370">
        <f t="shared" si="3"/>
        <v>-0.42089287007738807</v>
      </c>
    </row>
    <row r="40" spans="2:22">
      <c r="B40" s="122">
        <v>20</v>
      </c>
      <c r="C40" s="123">
        <f>IF(ROW()-ROW($C$21)&lt;$C$17, $C$21*(1+D40)^(ROW()-ROW($C$21)), 0)</f>
        <v>205143.34589260069</v>
      </c>
      <c r="D40" s="138">
        <f>IF($C$17&lt;B40,0,DCF!$C$16)</f>
        <v>2.9494929468058501E-2</v>
      </c>
      <c r="E40" s="124">
        <f>IF($C$17&lt;B40,0,1/(1+Equity_Cost)^B40)</f>
        <v>0.23541314806060654</v>
      </c>
      <c r="F40" s="125">
        <f t="shared" si="0"/>
        <v>48293.440860263028</v>
      </c>
      <c r="G40" s="376"/>
      <c r="H40" s="370">
        <f t="shared" si="1"/>
        <v>9.8748566561853224</v>
      </c>
      <c r="I40" s="371">
        <f t="shared" si="2"/>
        <v>1.8957894590210826</v>
      </c>
      <c r="J40" s="370">
        <f t="shared" si="4"/>
        <v>165.79749072910354</v>
      </c>
      <c r="K40" s="370">
        <f>IF(ROW()-ROW($C$21)&lt;$C$17, H40-Equity_Cost*J39, 0)</f>
        <v>-1.9615251087101235</v>
      </c>
      <c r="L40" s="370">
        <f t="shared" si="3"/>
        <v>-0.46176880084137362</v>
      </c>
    </row>
    <row r="41" spans="2:22">
      <c r="B41" s="122">
        <v>21</v>
      </c>
      <c r="C41" s="123">
        <f>IF(ROW()-ROW($C$21)&lt;$C$17, $C$21*(1+D41)^(ROW()-ROW($C$21)), 0)</f>
        <v>211194.0344105445</v>
      </c>
      <c r="D41" s="138">
        <f>IF($C$17&lt;B41,0,DCF!$C$16)</f>
        <v>2.9494929468058501E-2</v>
      </c>
      <c r="E41" s="124">
        <f>IF($C$17&lt;B41,0,1/(1+Equity_Cost)^B41)</f>
        <v>0.21898897494009908</v>
      </c>
      <c r="F41" s="125">
        <f t="shared" si="0"/>
        <v>46249.165109029156</v>
      </c>
      <c r="G41" s="376"/>
      <c r="H41" s="370">
        <f t="shared" si="1"/>
        <v>10.166114856766697</v>
      </c>
      <c r="I41" s="371">
        <f t="shared" si="2"/>
        <v>1.9517056354011983</v>
      </c>
      <c r="J41" s="370">
        <f t="shared" si="4"/>
        <v>174.01189995046906</v>
      </c>
      <c r="K41" s="370">
        <f>IF(ROW()-ROW($C$21)&lt;$C$17, H41-Equity_Cost*J40, 0)</f>
        <v>-2.2686969479160677</v>
      </c>
      <c r="L41" s="370">
        <f t="shared" si="3"/>
        <v>-0.49681961907387101</v>
      </c>
    </row>
    <row r="42" spans="2:22">
      <c r="B42" s="122">
        <v>22</v>
      </c>
      <c r="C42" s="123">
        <f>IF(ROW()-ROW($C$21)&lt;$C$17, $C$21*(1+D42)^(ROW()-ROW($C$21)), 0)</f>
        <v>217423.18755955822</v>
      </c>
      <c r="D42" s="138">
        <f>IF($C$17&lt;B42,0,DCF!$C$16)</f>
        <v>2.9494929468058501E-2</v>
      </c>
      <c r="E42" s="124">
        <f>IF($C$17&lt;B42,0,1/(1+Equity_Cost)^B42)</f>
        <v>0.20371067436288287</v>
      </c>
      <c r="F42" s="125">
        <f t="shared" si="0"/>
        <v>44291.424159885173</v>
      </c>
      <c r="G42" s="376"/>
      <c r="H42" s="370">
        <f t="shared" si="1"/>
        <v>10.465963697431214</v>
      </c>
      <c r="I42" s="371">
        <f t="shared" si="2"/>
        <v>2.0092710554597693</v>
      </c>
      <c r="J42" s="370">
        <f t="shared" si="4"/>
        <v>182.4685925924405</v>
      </c>
      <c r="K42" s="370">
        <f>IF(ROW()-ROW($C$21)&lt;$C$17, H42-Equity_Cost*J41, 0)</f>
        <v>-2.5849287988539658</v>
      </c>
      <c r="L42" s="370">
        <f t="shared" si="3"/>
        <v>-0.52657758879457817</v>
      </c>
    </row>
    <row r="43" spans="2:22">
      <c r="B43" s="122">
        <v>23</v>
      </c>
      <c r="C43" s="123">
        <f>IF(ROW()-ROW($C$21)&lt;$C$17, $C$21*(1+D43)^(ROW()-ROW($C$21)), 0)</f>
        <v>223836.06914134778</v>
      </c>
      <c r="D43" s="138">
        <f>IF($C$17&lt;B43,0,DCF!$C$16)</f>
        <v>2.9494929468058501E-2</v>
      </c>
      <c r="E43" s="124">
        <f>IF($C$17&lt;B43,0,1/(1+Equity_Cost)^B43)</f>
        <v>0.18949830173291429</v>
      </c>
      <c r="F43" s="125">
        <f t="shared" si="0"/>
        <v>42416.554968856588</v>
      </c>
      <c r="G43" s="376"/>
      <c r="H43" s="370">
        <f t="shared" si="1"/>
        <v>10.774656558502205</v>
      </c>
      <c r="I43" s="371">
        <f t="shared" si="2"/>
        <v>2.0685343635227662</v>
      </c>
      <c r="J43" s="370">
        <f t="shared" si="4"/>
        <v>191.17471478741996</v>
      </c>
      <c r="K43" s="370">
        <f>IF(ROW()-ROW($C$21)&lt;$C$17, H43-Equity_Cost*J42, 0)</f>
        <v>-2.9104878859308325</v>
      </c>
      <c r="L43" s="370">
        <f t="shared" si="3"/>
        <v>-0.55153251159811278</v>
      </c>
    </row>
    <row r="44" spans="2:22">
      <c r="B44" s="122">
        <v>24</v>
      </c>
      <c r="C44" s="123">
        <f>IF(ROW()-ROW($C$21)&lt;$C$17, $C$21*(1+D44)^(ROW()-ROW($C$21)), 0)</f>
        <v>230438.09821307927</v>
      </c>
      <c r="D44" s="138">
        <f>IF($C$17&lt;B44,0,DCF!$C$16)</f>
        <v>2.9494929468058501E-2</v>
      </c>
      <c r="E44" s="124">
        <f>IF($C$17&lt;B44,0,1/(1+Equity_Cost)^B44)</f>
        <v>0.17627748998410636</v>
      </c>
      <c r="F44" s="125">
        <f t="shared" si="0"/>
        <v>40621.049549712596</v>
      </c>
      <c r="G44" s="376"/>
      <c r="H44" s="370">
        <f t="shared" si="1"/>
        <v>11.092454293737779</v>
      </c>
      <c r="I44" s="371">
        <f t="shared" si="2"/>
        <v>2.1295456386771248</v>
      </c>
      <c r="J44" s="370">
        <f t="shared" si="4"/>
        <v>200.13762344248062</v>
      </c>
      <c r="K44" s="370">
        <f>IF(ROW()-ROW($C$21)&lt;$C$17, H44-Equity_Cost*J43, 0)</f>
        <v>-3.2456493153187171</v>
      </c>
      <c r="L44" s="370">
        <f t="shared" si="3"/>
        <v>-0.5721349146730168</v>
      </c>
    </row>
    <row r="45" spans="2:22">
      <c r="B45" s="122">
        <v>25</v>
      </c>
      <c r="C45" s="123">
        <f>IF(ROW()-ROW($C$21)&lt;$C$17, $C$21*(1+D45)^(ROW()-ROW($C$21)), 0)</f>
        <v>237234.85366662758</v>
      </c>
      <c r="D45" s="138">
        <f>IF($C$17&lt;B45,0,DCF!$C$16)</f>
        <v>2.9494929468058501E-2</v>
      </c>
      <c r="E45" s="124">
        <f>IF($C$17&lt;B45,0,1/(1+Equity_Cost)^B45)</f>
        <v>0.16397906045033148</v>
      </c>
      <c r="F45" s="125">
        <f t="shared" si="0"/>
        <v>38901.548410325464</v>
      </c>
      <c r="G45" s="376"/>
      <c r="H45" s="370">
        <f t="shared" si="1"/>
        <v>11.419625450759236</v>
      </c>
      <c r="I45" s="371">
        <f t="shared" si="2"/>
        <v>2.1923564370889181</v>
      </c>
      <c r="J45" s="370">
        <f t="shared" si="4"/>
        <v>209.36489245615093</v>
      </c>
      <c r="K45" s="370">
        <f>IF(ROW()-ROW($C$21)&lt;$C$17, H45-Equity_Cost*J44, 0)</f>
        <v>-3.5906963074268088</v>
      </c>
      <c r="L45" s="370">
        <f t="shared" si="3"/>
        <v>-0.58879900685432274</v>
      </c>
    </row>
    <row r="46" spans="2:22">
      <c r="B46" s="122">
        <v>26</v>
      </c>
      <c r="C46" s="123">
        <f>IF(ROW()-ROW($C$21)&lt;$C$17, $C$21*(1+D46)^(ROW()-ROW($C$21)), 0)</f>
        <v>244232.07894288987</v>
      </c>
      <c r="D46" s="138">
        <f>IF($C$17&lt;B46,0,DCF!$C$16)</f>
        <v>2.9494929468058501E-2</v>
      </c>
      <c r="E46" s="124">
        <f>IF($C$17&lt;B46,0,1/(1+Equity_Cost)^B46)</f>
        <v>0.15253866088402931</v>
      </c>
      <c r="F46" s="125">
        <f t="shared" si="0"/>
        <v>37254.834266870952</v>
      </c>
      <c r="G46" s="376"/>
      <c r="H46" s="370">
        <f t="shared" si="1"/>
        <v>11.756446497981024</v>
      </c>
      <c r="I46" s="371">
        <f t="shared" si="2"/>
        <v>2.2570198355696993</v>
      </c>
      <c r="J46" s="370">
        <f t="shared" si="4"/>
        <v>218.86431911856224</v>
      </c>
      <c r="K46" s="370">
        <f>IF(ROW()-ROW($C$21)&lt;$C$17, H46-Equity_Cost*J45, 0)</f>
        <v>-3.9459204362302955</v>
      </c>
      <c r="L46" s="370">
        <f t="shared" si="3"/>
        <v>-0.60190541929749408</v>
      </c>
    </row>
    <row r="47" spans="2:22">
      <c r="B47" s="122">
        <v>27</v>
      </c>
      <c r="C47" s="340">
        <f>IF(ROW()-ROW($C$21)&lt;$C$17, $C$21*(1+D47)^(ROW()-ROW($C$21)), 0)</f>
        <v>251435.6868851477</v>
      </c>
      <c r="D47" s="138">
        <f>IF($C$17&lt;B47,0,DCF!$C$16)</f>
        <v>2.9494929468058501E-2</v>
      </c>
      <c r="E47" s="124">
        <f>IF($C$17&lt;B47,0,1/(1+Equity_Cost)^B47)</f>
        <v>0.14189642872932959</v>
      </c>
      <c r="F47" s="125">
        <f t="shared" si="0"/>
        <v>35677.826024108392</v>
      </c>
      <c r="G47" s="376"/>
      <c r="H47" s="370">
        <f t="shared" si="1"/>
        <v>12.103202058233977</v>
      </c>
      <c r="I47" s="371">
        <f t="shared" si="2"/>
        <v>2.3235904764278366</v>
      </c>
      <c r="J47" s="370">
        <f t="shared" si="4"/>
        <v>228.6439307003684</v>
      </c>
      <c r="K47" s="370">
        <f>IF(ROW()-ROW($C$21)&lt;$C$17, H47-Equity_Cost*J46, 0)</f>
        <v>-4.3116218756581883</v>
      </c>
      <c r="L47" s="370">
        <f t="shared" si="3"/>
        <v>-0.6118037461871505</v>
      </c>
      <c r="M47" s="338"/>
      <c r="N47" s="338"/>
      <c r="O47" s="338"/>
      <c r="P47" s="338"/>
      <c r="Q47" s="338"/>
      <c r="R47" s="338"/>
      <c r="S47" s="338"/>
      <c r="T47" s="338"/>
      <c r="U47" s="338"/>
      <c r="V47" s="338"/>
    </row>
    <row r="48" spans="2:22">
      <c r="B48" s="122">
        <v>28</v>
      </c>
      <c r="C48" s="340">
        <f>IF(ROW()-ROW($C$21)&lt;$C$17, $C$21*(1+D48)^(ROW()-ROW($C$21)), 0)</f>
        <v>258851.76473557798</v>
      </c>
      <c r="D48" s="138">
        <f>IF($C$17&lt;B48,0,DCF!$C$16)</f>
        <v>2.9494929468058501E-2</v>
      </c>
      <c r="E48" s="124">
        <f>IF($C$17&lt;B48,0,1/(1+Equity_Cost)^B48)</f>
        <v>0.13199667788774846</v>
      </c>
      <c r="F48" s="125">
        <f t="shared" si="0"/>
        <v>34167.573010477332</v>
      </c>
      <c r="G48" s="376"/>
      <c r="H48" s="370">
        <f t="shared" si="1"/>
        <v>12.460185149279249</v>
      </c>
      <c r="I48" s="371">
        <f t="shared" si="2"/>
        <v>2.3921246136427281</v>
      </c>
      <c r="J48" s="370">
        <f t="shared" si="4"/>
        <v>238.71199123600493</v>
      </c>
      <c r="K48" s="370">
        <f>IF(ROW()-ROW($C$21)&lt;$C$17, H48-Equity_Cost*J47, 0)</f>
        <v>-4.6881096532483806</v>
      </c>
      <c r="L48" s="370">
        <f t="shared" si="3"/>
        <v>-0.61881489980227067</v>
      </c>
      <c r="M48" s="338"/>
      <c r="N48" s="338"/>
      <c r="O48" s="338"/>
      <c r="P48" s="338"/>
      <c r="Q48" s="338"/>
      <c r="R48" s="338"/>
      <c r="S48" s="338"/>
      <c r="T48" s="338"/>
      <c r="U48" s="338"/>
      <c r="V48" s="338"/>
    </row>
    <row r="49" spans="1:22">
      <c r="B49" s="122">
        <v>29</v>
      </c>
      <c r="C49" s="340">
        <f>IF(ROW()-ROW($C$21)&lt;$C$17, $C$21*(1+D49)^(ROW()-ROW($C$21)), 0)</f>
        <v>266486.57927913632</v>
      </c>
      <c r="D49" s="138">
        <f>IF($C$17&lt;B49,0,DCF!$C$16)</f>
        <v>2.9494929468058501E-2</v>
      </c>
      <c r="E49" s="124">
        <f>IF($C$17&lt;B49,0,1/(1+Equity_Cost)^B49)</f>
        <v>0.1227876073374404</v>
      </c>
      <c r="F49" s="125">
        <f t="shared" si="0"/>
        <v>32721.249457224272</v>
      </c>
      <c r="G49" s="376"/>
      <c r="H49" s="370">
        <f t="shared" si="1"/>
        <v>12.82769743141619</v>
      </c>
      <c r="I49" s="371">
        <f t="shared" si="2"/>
        <v>2.462680160400927</v>
      </c>
      <c r="J49" s="370">
        <f t="shared" si="4"/>
        <v>249.0770085070202</v>
      </c>
      <c r="K49" s="370">
        <f>IF(ROW()-ROW($C$21)&lt;$C$17, H49-Equity_Cost*J48, 0)</f>
        <v>-5.0757019112841775</v>
      </c>
      <c r="L49" s="370">
        <f t="shared" si="3"/>
        <v>-0.62323329324465737</v>
      </c>
      <c r="M49" s="338"/>
      <c r="N49" s="338"/>
      <c r="O49" s="338"/>
      <c r="P49" s="338"/>
      <c r="Q49" s="338"/>
      <c r="R49" s="338"/>
      <c r="S49" s="338"/>
      <c r="T49" s="338"/>
      <c r="U49" s="338"/>
      <c r="V49" s="338"/>
    </row>
    <row r="50" spans="1:22">
      <c r="B50" s="122">
        <v>30</v>
      </c>
      <c r="C50" s="340">
        <f>IF(ROW()-ROW($C$21)&lt;$C$17, $C$21*(1+D50)^(ROW()-ROW($C$21)), 0)</f>
        <v>274346.58213915862</v>
      </c>
      <c r="D50" s="138">
        <f>IF($C$17&lt;B50,0,DCF!$C$16)</f>
        <v>2.9494929468058501E-2</v>
      </c>
      <c r="E50" s="124">
        <f>IF($C$17&lt;B50,0,1/(1+Equity_Cost)^B50)</f>
        <v>0.11422103008133992</v>
      </c>
      <c r="F50" s="125">
        <f t="shared" si="0"/>
        <v>31336.149211229629</v>
      </c>
      <c r="G50" s="376"/>
      <c r="H50" s="370">
        <f t="shared" si="1"/>
        <v>13.206049462393405</v>
      </c>
      <c r="I50" s="371">
        <f t="shared" si="2"/>
        <v>2.5353167380343393</v>
      </c>
      <c r="J50" s="370">
        <f t="shared" si="4"/>
        <v>259.74774123137928</v>
      </c>
      <c r="K50" s="370">
        <f>IF(ROW()-ROW($C$21)&lt;$C$17, H50-Equity_Cost*J49, 0)</f>
        <v>-5.4747261756331085</v>
      </c>
      <c r="L50" s="370">
        <f t="shared" si="3"/>
        <v>-0.62532886319408831</v>
      </c>
      <c r="M50" s="338"/>
      <c r="N50" s="338"/>
      <c r="O50" s="338"/>
      <c r="P50" s="338"/>
      <c r="Q50" s="338"/>
      <c r="R50" s="338"/>
      <c r="S50" s="338"/>
      <c r="T50" s="338"/>
      <c r="U50" s="338"/>
      <c r="V50" s="338"/>
    </row>
    <row r="51" spans="1:22">
      <c r="B51" s="126" t="s">
        <v>126</v>
      </c>
      <c r="C51" s="123">
        <f>C$21*(1+Terminal_Growth)^$C$17/Equity_Cost</f>
        <v>1574476.3597730824</v>
      </c>
      <c r="D51" s="139">
        <f>Terminal_Growth</f>
        <v>0</v>
      </c>
      <c r="E51" s="124">
        <f>1/(1+Equity_Cost)^C17</f>
        <v>0.11422103008133992</v>
      </c>
      <c r="F51" s="125">
        <f t="shared" si="0"/>
        <v>179838.31165199983</v>
      </c>
      <c r="G51" s="376"/>
      <c r="H51" s="370">
        <f>H25*(1+F4)</f>
        <v>6.385098788372459</v>
      </c>
      <c r="I51" s="371">
        <f t="shared" si="2"/>
        <v>1.2258206269984384</v>
      </c>
      <c r="J51" s="370">
        <f t="shared" si="4"/>
        <v>264.90701939275328</v>
      </c>
      <c r="K51" s="370">
        <f>H51-Equity_Cost*J50</f>
        <v>-13.095981803980987</v>
      </c>
      <c r="L51" s="370">
        <f t="shared" si="3"/>
        <v>-1.4958365315771927</v>
      </c>
    </row>
    <row r="52" spans="1:22" ht="13.15">
      <c r="C52" s="114"/>
      <c r="E52" s="378" t="s">
        <v>96</v>
      </c>
      <c r="F52" s="137">
        <f>SUM(F21:F51)</f>
        <v>2065898.9035309213</v>
      </c>
      <c r="G52" s="377"/>
      <c r="H52" s="377"/>
      <c r="I52" s="377"/>
      <c r="J52" s="377"/>
      <c r="K52" s="378" t="s">
        <v>96</v>
      </c>
      <c r="L52" s="379">
        <f>SUM(L21:L51)</f>
        <v>2.5872611661258764</v>
      </c>
    </row>
    <row r="53" spans="1:22">
      <c r="C53" s="114"/>
    </row>
    <row r="54" spans="1:22" ht="13.15">
      <c r="B54" s="119" t="s">
        <v>124</v>
      </c>
      <c r="C54" s="136"/>
      <c r="D54" s="136"/>
      <c r="E54" s="117"/>
      <c r="F54" s="117"/>
      <c r="G54" s="117"/>
      <c r="H54" s="117"/>
      <c r="I54" s="117"/>
      <c r="J54" s="117"/>
      <c r="K54" s="117"/>
      <c r="L54" s="117"/>
    </row>
    <row r="55" spans="1:22" ht="13.15">
      <c r="A55" s="133">
        <f>F52</f>
        <v>2065898.9035309213</v>
      </c>
      <c r="B55" s="131">
        <f>C78</f>
        <v>0</v>
      </c>
      <c r="C55" s="131">
        <f>C77</f>
        <v>0.02</v>
      </c>
      <c r="D55" s="131">
        <f>C76</f>
        <v>0.03</v>
      </c>
      <c r="E55" s="131">
        <f>C75</f>
        <v>0.04</v>
      </c>
      <c r="F55" s="131">
        <f>C74</f>
        <v>0.06</v>
      </c>
      <c r="G55" s="131"/>
      <c r="H55" s="131"/>
      <c r="I55" s="131"/>
      <c r="J55" s="131"/>
      <c r="K55" s="131"/>
      <c r="L55" s="131"/>
    </row>
    <row r="56" spans="1:22" ht="13.15">
      <c r="A56" s="143">
        <v>5</v>
      </c>
      <c r="B56" s="123">
        <f t="dataTable" ref="B56:F61" dt2D="1" dtr="1" r1="C16" r2="C17"/>
        <v>1529367.7654018335</v>
      </c>
      <c r="C56" s="123">
        <v>1577864.7869969984</v>
      </c>
      <c r="D56" s="123">
        <v>1602639.2656802249</v>
      </c>
      <c r="E56" s="123">
        <v>1627774.6214795262</v>
      </c>
      <c r="F56" s="123">
        <v>1679159.3762006571</v>
      </c>
      <c r="G56" s="367"/>
      <c r="H56" s="367"/>
      <c r="I56" s="367"/>
      <c r="J56" s="367"/>
      <c r="K56" s="367"/>
      <c r="L56" s="367"/>
    </row>
    <row r="57" spans="1:22" ht="13.15">
      <c r="A57" s="143">
        <v>10</v>
      </c>
      <c r="B57" s="123">
        <v>1529367.7654018337</v>
      </c>
      <c r="C57" s="123">
        <v>1625955.8069168786</v>
      </c>
      <c r="D57" s="123">
        <v>1677787.7537416357</v>
      </c>
      <c r="E57" s="123">
        <v>1732163.1071096794</v>
      </c>
      <c r="F57" s="123">
        <v>1849144.634076274</v>
      </c>
      <c r="G57" s="367"/>
      <c r="H57" s="367"/>
      <c r="I57" s="367"/>
      <c r="J57" s="367"/>
      <c r="K57" s="367"/>
      <c r="L57" s="367"/>
    </row>
    <row r="58" spans="1:22" ht="13.15">
      <c r="A58" s="143">
        <v>15</v>
      </c>
      <c r="B58" s="123">
        <v>1529367.7654018337</v>
      </c>
      <c r="C58" s="340">
        <v>1686844.6699016364</v>
      </c>
      <c r="D58" s="123">
        <v>1775409.2722894626</v>
      </c>
      <c r="E58" s="123">
        <v>1871363.321711286</v>
      </c>
      <c r="F58" s="123">
        <v>2088323.0080886288</v>
      </c>
      <c r="G58" s="367"/>
      <c r="H58" s="367"/>
      <c r="I58" s="367"/>
      <c r="J58" s="367"/>
      <c r="K58" s="367"/>
      <c r="L58" s="367"/>
      <c r="M58" s="338"/>
      <c r="N58" s="338"/>
      <c r="O58" s="338"/>
      <c r="P58" s="338"/>
      <c r="Q58" s="338"/>
      <c r="R58" s="338"/>
      <c r="S58" s="338"/>
      <c r="T58" s="338"/>
      <c r="U58" s="338"/>
      <c r="V58" s="338"/>
    </row>
    <row r="59" spans="1:22" ht="13.15">
      <c r="A59" s="144">
        <v>20</v>
      </c>
      <c r="B59" s="123">
        <v>1529367.7654018339</v>
      </c>
      <c r="C59" s="340">
        <v>1750322.3029370341</v>
      </c>
      <c r="D59" s="123">
        <v>1879969.0145700923</v>
      </c>
      <c r="E59" s="123">
        <v>2024670.6115870625</v>
      </c>
      <c r="F59" s="123">
        <v>2367504.2619460779</v>
      </c>
      <c r="G59" s="367"/>
      <c r="H59" s="367"/>
      <c r="I59" s="367"/>
      <c r="J59" s="367"/>
      <c r="K59" s="367"/>
      <c r="L59" s="367"/>
      <c r="M59" s="338"/>
      <c r="N59" s="338"/>
      <c r="O59" s="338"/>
      <c r="P59" s="338"/>
      <c r="Q59" s="338"/>
      <c r="R59" s="338"/>
      <c r="S59" s="338"/>
      <c r="T59" s="338"/>
      <c r="U59" s="338"/>
      <c r="V59" s="338"/>
    </row>
    <row r="60" spans="1:22" ht="13.15">
      <c r="A60" s="144">
        <v>25</v>
      </c>
      <c r="B60" s="123">
        <v>1529367.7654018342</v>
      </c>
      <c r="C60" s="340">
        <v>1810738.3590534206</v>
      </c>
      <c r="D60" s="123">
        <v>1982323.8014684785</v>
      </c>
      <c r="E60" s="123">
        <v>2179209.8284802479</v>
      </c>
      <c r="F60" s="123">
        <v>2666911.6387364082</v>
      </c>
      <c r="G60" s="367"/>
      <c r="H60" s="367"/>
      <c r="I60" s="367"/>
      <c r="J60" s="367"/>
      <c r="K60" s="367"/>
      <c r="L60" s="367"/>
      <c r="M60" s="338"/>
      <c r="N60" s="338"/>
      <c r="O60" s="338"/>
      <c r="P60" s="338"/>
      <c r="Q60" s="338"/>
      <c r="R60" s="338"/>
      <c r="S60" s="338"/>
      <c r="T60" s="338"/>
      <c r="U60" s="338"/>
      <c r="V60" s="338"/>
    </row>
    <row r="61" spans="1:22" ht="13.15">
      <c r="A61" s="144">
        <v>30</v>
      </c>
      <c r="B61" s="123">
        <v>1529367.7654018344</v>
      </c>
      <c r="C61" s="340">
        <v>1865280.5333572214</v>
      </c>
      <c r="D61" s="123">
        <v>2077459.6392501646</v>
      </c>
      <c r="E61" s="123">
        <v>2327323.591763041</v>
      </c>
      <c r="F61" s="123">
        <v>2973287.7018133528</v>
      </c>
      <c r="G61" s="367"/>
      <c r="H61" s="367"/>
      <c r="I61" s="367"/>
      <c r="J61" s="367"/>
      <c r="K61" s="367"/>
      <c r="L61" s="367"/>
      <c r="M61" s="338"/>
      <c r="N61" s="338"/>
      <c r="O61" s="338"/>
      <c r="P61" s="338"/>
      <c r="Q61" s="338"/>
      <c r="R61" s="338"/>
      <c r="S61" s="338"/>
      <c r="T61" s="338"/>
      <c r="U61" s="338"/>
      <c r="V61" s="338"/>
    </row>
    <row r="62" spans="1:22">
      <c r="C62" s="338"/>
      <c r="D62" s="114"/>
      <c r="E62" s="114"/>
      <c r="F62" s="114"/>
      <c r="G62" s="114"/>
      <c r="H62" s="114"/>
      <c r="I62" s="114"/>
      <c r="J62" s="114"/>
      <c r="K62" s="114"/>
      <c r="L62" s="114"/>
      <c r="M62" s="338"/>
      <c r="N62" s="338"/>
      <c r="O62" s="338"/>
      <c r="P62" s="338"/>
      <c r="Q62" s="338"/>
      <c r="R62" s="338"/>
      <c r="S62" s="338"/>
      <c r="T62" s="338"/>
      <c r="U62" s="338"/>
      <c r="V62" s="338"/>
    </row>
    <row r="63" spans="1:22" ht="13.15">
      <c r="B63" s="119" t="s">
        <v>125</v>
      </c>
      <c r="C63" s="338"/>
      <c r="D63" s="114"/>
      <c r="E63" s="114"/>
      <c r="F63" s="114"/>
      <c r="G63" s="114"/>
      <c r="H63" s="114"/>
      <c r="I63" s="114"/>
      <c r="J63" s="114"/>
      <c r="K63" s="114"/>
      <c r="L63" s="114"/>
      <c r="M63" s="338"/>
      <c r="N63" s="338"/>
      <c r="O63" s="338"/>
      <c r="P63" s="338"/>
      <c r="Q63" s="338"/>
      <c r="R63" s="338"/>
      <c r="S63" s="338"/>
      <c r="T63" s="338"/>
      <c r="U63" s="338"/>
      <c r="V63" s="338"/>
    </row>
    <row r="64" spans="1:22" ht="13.15">
      <c r="B64" s="132">
        <f>B55</f>
        <v>0</v>
      </c>
      <c r="C64" s="132">
        <f>C55</f>
        <v>0.02</v>
      </c>
      <c r="D64" s="132">
        <f>D55</f>
        <v>0.03</v>
      </c>
      <c r="E64" s="132">
        <f>E55</f>
        <v>0.04</v>
      </c>
      <c r="F64" s="132">
        <f>F55</f>
        <v>0.06</v>
      </c>
      <c r="G64" s="132"/>
      <c r="H64" s="132"/>
      <c r="I64" s="132"/>
      <c r="J64" s="132"/>
      <c r="K64" s="132"/>
      <c r="L64" s="132"/>
    </row>
    <row r="65" spans="1:12" ht="13.15">
      <c r="A65" s="143">
        <v>0</v>
      </c>
      <c r="B65" s="124">
        <f>C12</f>
        <v>-281.18453890104445</v>
      </c>
      <c r="C65" s="124">
        <f>C12</f>
        <v>-281.18453890104445</v>
      </c>
      <c r="D65" s="124">
        <f>C12</f>
        <v>-281.18453890104445</v>
      </c>
      <c r="E65" s="141">
        <f>C12</f>
        <v>-281.18453890104445</v>
      </c>
      <c r="F65" s="124">
        <f>C12</f>
        <v>-281.18453890104445</v>
      </c>
      <c r="G65" s="368"/>
      <c r="H65" s="368"/>
      <c r="I65" s="368"/>
      <c r="J65" s="368"/>
      <c r="K65" s="368"/>
      <c r="L65" s="368"/>
    </row>
    <row r="66" spans="1:12" ht="13.15">
      <c r="A66" s="143">
        <f t="shared" ref="A66:A71" si="5">A56</f>
        <v>5</v>
      </c>
      <c r="B66" s="124">
        <f t="shared" ref="B66:F71" si="6">(B56-$C$7+$C$8+$C$9)/Common_Shares*$C$3*Exchange_Rate</f>
        <v>-281.18453890104439</v>
      </c>
      <c r="C66" s="124">
        <f t="shared" si="6"/>
        <v>-278.85006817073423</v>
      </c>
      <c r="D66" s="124">
        <f t="shared" si="6"/>
        <v>-277.65751461914761</v>
      </c>
      <c r="E66" s="124">
        <f t="shared" si="6"/>
        <v>-276.44758975202438</v>
      </c>
      <c r="F66" s="124">
        <f t="shared" si="6"/>
        <v>-273.97411402227755</v>
      </c>
      <c r="G66" s="368"/>
      <c r="H66" s="368"/>
      <c r="I66" s="368"/>
      <c r="J66" s="368"/>
      <c r="K66" s="368"/>
      <c r="L66" s="368"/>
    </row>
    <row r="67" spans="1:12" ht="13.15">
      <c r="A67" s="143">
        <f t="shared" si="5"/>
        <v>10</v>
      </c>
      <c r="B67" s="124">
        <f t="shared" si="6"/>
        <v>-281.18453890104439</v>
      </c>
      <c r="C67" s="124">
        <f t="shared" si="6"/>
        <v>-276.53514088858293</v>
      </c>
      <c r="D67" s="124">
        <f t="shared" si="6"/>
        <v>-274.04013895284646</v>
      </c>
      <c r="E67" s="124">
        <f t="shared" si="6"/>
        <v>-271.42270665055793</v>
      </c>
      <c r="F67" s="124">
        <f t="shared" si="6"/>
        <v>-265.79164021167094</v>
      </c>
      <c r="G67" s="368"/>
      <c r="H67" s="368"/>
      <c r="I67" s="368"/>
      <c r="J67" s="368"/>
      <c r="K67" s="368"/>
      <c r="L67" s="368"/>
    </row>
    <row r="68" spans="1:12" ht="13.15">
      <c r="A68" s="143">
        <f t="shared" si="5"/>
        <v>15</v>
      </c>
      <c r="B68" s="124">
        <f t="shared" si="6"/>
        <v>-281.18453890104439</v>
      </c>
      <c r="C68" s="124">
        <f t="shared" si="6"/>
        <v>-273.60417185658042</v>
      </c>
      <c r="D68" s="124">
        <f t="shared" si="6"/>
        <v>-269.3409931042475</v>
      </c>
      <c r="E68" s="124">
        <f t="shared" si="6"/>
        <v>-264.7221131717875</v>
      </c>
      <c r="F68" s="124">
        <f t="shared" si="6"/>
        <v>-254.2784607402393</v>
      </c>
      <c r="G68" s="368"/>
      <c r="H68" s="368"/>
      <c r="I68" s="368"/>
      <c r="J68" s="368"/>
      <c r="K68" s="368"/>
      <c r="L68" s="368"/>
    </row>
    <row r="69" spans="1:12" ht="13.15">
      <c r="A69" s="144">
        <f t="shared" si="5"/>
        <v>20</v>
      </c>
      <c r="B69" s="124">
        <f t="shared" si="6"/>
        <v>-281.18453890104439</v>
      </c>
      <c r="C69" s="124">
        <f t="shared" si="6"/>
        <v>-270.54858882330649</v>
      </c>
      <c r="D69" s="124">
        <f t="shared" si="6"/>
        <v>-264.30786632874162</v>
      </c>
      <c r="E69" s="124">
        <f t="shared" si="6"/>
        <v>-257.34245625294153</v>
      </c>
      <c r="F69" s="124">
        <f t="shared" si="6"/>
        <v>-240.83968771574303</v>
      </c>
      <c r="G69" s="368"/>
      <c r="H69" s="368"/>
      <c r="I69" s="368"/>
      <c r="J69" s="368"/>
      <c r="K69" s="368"/>
      <c r="L69" s="368"/>
    </row>
    <row r="70" spans="1:12" ht="13.15">
      <c r="A70" s="144">
        <f t="shared" si="5"/>
        <v>25</v>
      </c>
      <c r="B70" s="124">
        <f t="shared" si="6"/>
        <v>-281.18453890104439</v>
      </c>
      <c r="C70" s="124">
        <f t="shared" si="6"/>
        <v>-267.6403789991686</v>
      </c>
      <c r="D70" s="124">
        <f t="shared" si="6"/>
        <v>-259.38087810839204</v>
      </c>
      <c r="E70" s="124">
        <f t="shared" si="6"/>
        <v>-249.90349883543763</v>
      </c>
      <c r="F70" s="124">
        <f t="shared" si="6"/>
        <v>-226.42730248947859</v>
      </c>
      <c r="G70" s="368"/>
      <c r="H70" s="368"/>
      <c r="I70" s="368"/>
      <c r="J70" s="368"/>
      <c r="K70" s="368"/>
      <c r="L70" s="368"/>
    </row>
    <row r="71" spans="1:12" ht="13.15">
      <c r="A71" s="144">
        <f t="shared" si="5"/>
        <v>30</v>
      </c>
      <c r="B71" s="124">
        <f t="shared" si="6"/>
        <v>-281.18453890104439</v>
      </c>
      <c r="C71" s="124">
        <f t="shared" si="6"/>
        <v>-265.01491654205984</v>
      </c>
      <c r="D71" s="124">
        <f t="shared" si="6"/>
        <v>-254.80138391679353</v>
      </c>
      <c r="E71" s="124">
        <f t="shared" si="6"/>
        <v>-242.77383945086521</v>
      </c>
      <c r="F71" s="124">
        <f t="shared" si="6"/>
        <v>-211.67946997944861</v>
      </c>
      <c r="G71" s="368"/>
      <c r="H71" s="368"/>
      <c r="I71" s="368"/>
      <c r="J71" s="368"/>
      <c r="K71" s="368"/>
      <c r="L71" s="368"/>
    </row>
    <row r="73" spans="1:12" ht="13.15">
      <c r="B73" s="171" t="s">
        <v>112</v>
      </c>
      <c r="C73" s="171" t="s">
        <v>127</v>
      </c>
      <c r="D73" s="171" t="s">
        <v>107</v>
      </c>
      <c r="E73" s="172" t="s">
        <v>108</v>
      </c>
      <c r="F73" s="172" t="s">
        <v>114</v>
      </c>
      <c r="G73" s="375"/>
      <c r="H73" s="172"/>
      <c r="I73" s="172"/>
      <c r="J73" s="172"/>
      <c r="K73" s="172"/>
      <c r="L73" s="172"/>
    </row>
    <row r="74" spans="1:12">
      <c r="B74" s="127" t="str">
        <f>Scenarios!B54</f>
        <v>Snowball Scenario</v>
      </c>
      <c r="C74" s="142">
        <f>Scenarios!C56</f>
        <v>0.06</v>
      </c>
      <c r="D74" s="145">
        <f>Scenarios!C55</f>
        <v>30</v>
      </c>
      <c r="E74" s="135">
        <f>INDEX(B$65:F$71, MATCH(D74, A$65:A$71, 0), MATCH(C74, B$64:F$64, 0))</f>
        <v>-211.67946997944861</v>
      </c>
      <c r="F74" s="142">
        <f>Scenarios!C58</f>
        <v>0.01</v>
      </c>
      <c r="G74" s="369"/>
      <c r="H74" s="369"/>
      <c r="I74" s="369"/>
      <c r="J74" s="369"/>
      <c r="K74" s="369"/>
      <c r="L74" s="369"/>
    </row>
    <row r="75" spans="1:12">
      <c r="B75" s="127" t="str">
        <f>Scenarios!B36</f>
        <v>Optimistic</v>
      </c>
      <c r="C75" s="142">
        <f>Scenarios!C38</f>
        <v>0.04</v>
      </c>
      <c r="D75" s="145">
        <f>Scenarios!C37</f>
        <v>30</v>
      </c>
      <c r="E75" s="135">
        <f>INDEX(B$65:F$71, MATCH(D75, A$65:A$71, 0), MATCH(C75, B$64:F$64, 0))</f>
        <v>-242.77383945086521</v>
      </c>
      <c r="F75" s="142">
        <f>Scenarios!C40*(1-F$74-F$78)</f>
        <v>0.188</v>
      </c>
      <c r="G75" s="369"/>
      <c r="H75" s="369"/>
      <c r="I75" s="369"/>
      <c r="J75" s="369"/>
      <c r="K75" s="369"/>
      <c r="L75" s="369"/>
    </row>
    <row r="76" spans="1:12">
      <c r="B76" s="127" t="str">
        <f>Scenarios!B24</f>
        <v>Base</v>
      </c>
      <c r="C76" s="142">
        <f>Scenarios!C26</f>
        <v>0.03</v>
      </c>
      <c r="D76" s="145">
        <f>Scenarios!C25</f>
        <v>30</v>
      </c>
      <c r="E76" s="135">
        <f>INDEX(B$65:F$71, MATCH(D76, A$65:A$71, 0), MATCH(C76, B$64:F$64, 0))</f>
        <v>-254.80138391679353</v>
      </c>
      <c r="F76" s="142">
        <f>Scenarios!C28*(1-F$74-F$78)</f>
        <v>0.56399999999999995</v>
      </c>
      <c r="G76" s="369"/>
      <c r="H76" s="369"/>
      <c r="I76" s="369"/>
      <c r="J76" s="369"/>
      <c r="K76" s="369"/>
      <c r="L76" s="369"/>
    </row>
    <row r="77" spans="1:12">
      <c r="B77" s="127" t="str">
        <f>Scenarios!B30</f>
        <v>Pessimistic</v>
      </c>
      <c r="C77" s="142">
        <f>Scenarios!C32</f>
        <v>0.02</v>
      </c>
      <c r="D77" s="145">
        <f>Scenarios!C31</f>
        <v>30</v>
      </c>
      <c r="E77" s="135">
        <f>INDEX(B$65:F$71, MATCH(D77, A$65:A$71, 0), MATCH(C77, B$64:F$64, 0))</f>
        <v>-265.01491654205984</v>
      </c>
      <c r="F77" s="142">
        <f>Scenarios!C34*(1-F$74-F$78)</f>
        <v>0.188</v>
      </c>
      <c r="G77" s="369"/>
      <c r="H77" s="369"/>
      <c r="I77" s="369"/>
      <c r="J77" s="369"/>
      <c r="K77" s="369"/>
      <c r="L77" s="369"/>
    </row>
    <row r="78" spans="1:12">
      <c r="B78" s="127" t="str">
        <f>Scenarios!B48</f>
        <v>Devil's advocate</v>
      </c>
      <c r="C78" s="142">
        <f>Scenarios!C50</f>
        <v>0</v>
      </c>
      <c r="D78" s="145">
        <f>Scenarios!C49</f>
        <v>30</v>
      </c>
      <c r="E78" s="135">
        <f>INDEX(B$65:F$71, MATCH(D78, A$65:A$71, 0), MATCH(C78, B$64:F$64, 0))</f>
        <v>-281.18453890104439</v>
      </c>
      <c r="F78" s="142">
        <f>Scenarios!C52</f>
        <v>0.05</v>
      </c>
      <c r="G78" s="369"/>
      <c r="H78" s="369"/>
      <c r="I78" s="369"/>
      <c r="J78" s="369"/>
      <c r="K78" s="369"/>
      <c r="L78" s="369"/>
    </row>
    <row r="79" spans="1:12">
      <c r="B79" s="155"/>
      <c r="C79" s="155"/>
      <c r="D79" s="155"/>
      <c r="E79" s="155"/>
      <c r="F79" s="156"/>
      <c r="G79" s="156"/>
      <c r="H79" s="156"/>
      <c r="I79" s="156"/>
      <c r="J79" s="156"/>
      <c r="K79" s="156"/>
      <c r="L79" s="156"/>
    </row>
    <row r="80" spans="1:12">
      <c r="B80" s="155" t="s">
        <v>302</v>
      </c>
      <c r="C80" s="155" t="s">
        <v>101</v>
      </c>
    </row>
    <row r="81" spans="3:3">
      <c r="C81" s="155" t="s">
        <v>100</v>
      </c>
    </row>
    <row r="82" spans="3:3">
      <c r="C82" s="155" t="s">
        <v>99</v>
      </c>
    </row>
    <row r="92" spans="3:3">
      <c r="C92" s="115"/>
    </row>
    <row r="93" spans="3:3">
      <c r="C93" s="115"/>
    </row>
    <row r="94" spans="3:3">
      <c r="C94" s="115"/>
    </row>
    <row r="101" spans="3:22">
      <c r="C101" s="338"/>
      <c r="M101" s="338"/>
      <c r="N101" s="338"/>
      <c r="O101" s="338"/>
      <c r="P101" s="338"/>
      <c r="Q101" s="338"/>
      <c r="R101" s="338"/>
      <c r="S101" s="338"/>
      <c r="T101" s="338"/>
      <c r="U101" s="338"/>
      <c r="V101" s="338"/>
    </row>
    <row r="102" spans="3:22">
      <c r="C102" s="338"/>
      <c r="M102" s="338"/>
      <c r="N102" s="338"/>
      <c r="O102" s="338"/>
      <c r="P102" s="338"/>
      <c r="Q102" s="338"/>
      <c r="R102" s="338"/>
      <c r="S102" s="338"/>
      <c r="T102" s="338"/>
      <c r="U102" s="338"/>
      <c r="V102" s="338"/>
    </row>
    <row r="103" spans="3:22">
      <c r="C103" s="338"/>
      <c r="M103" s="338"/>
      <c r="N103" s="338"/>
      <c r="O103" s="338"/>
      <c r="P103" s="338"/>
      <c r="Q103" s="338"/>
      <c r="R103" s="338"/>
      <c r="S103" s="338"/>
      <c r="T103" s="338"/>
      <c r="U103" s="338"/>
      <c r="V103" s="338"/>
    </row>
    <row r="104" spans="3:22">
      <c r="C104" s="338"/>
      <c r="M104" s="338"/>
      <c r="N104" s="338"/>
      <c r="O104" s="338"/>
      <c r="P104" s="338"/>
      <c r="Q104" s="338"/>
      <c r="R104" s="338"/>
      <c r="S104" s="338"/>
      <c r="T104" s="338"/>
      <c r="U104" s="338"/>
      <c r="V104" s="338"/>
    </row>
    <row r="105" spans="3:22">
      <c r="C105" s="338"/>
      <c r="M105" s="338"/>
      <c r="N105" s="338"/>
      <c r="O105" s="338"/>
      <c r="P105" s="338"/>
      <c r="Q105" s="338"/>
      <c r="R105" s="338"/>
      <c r="S105" s="338"/>
      <c r="T105" s="338"/>
      <c r="U105" s="338"/>
      <c r="V105" s="338"/>
    </row>
  </sheetData>
  <mergeCells count="1">
    <mergeCell ref="E6:F9"/>
  </mergeCells>
  <phoneticPr fontId="2" type="noConversion"/>
  <conditionalFormatting sqref="C21:F50 H21:L51">
    <cfRule type="cellIs" dxfId="3" priority="3" operator="equal">
      <formula>0</formula>
    </cfRule>
  </conditionalFormatting>
  <conditionalFormatting sqref="E65 B66:L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94" zoomScaleNormal="85" workbookViewId="0">
      <selection activeCell="C11" sqref="C11"/>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426</v>
      </c>
      <c r="C2" s="37"/>
      <c r="D2" s="37"/>
      <c r="E2" s="37"/>
      <c r="F2" s="37"/>
      <c r="H2" s="130" t="s">
        <v>56</v>
      </c>
    </row>
    <row r="3" spans="2:8" ht="13.15">
      <c r="B3" s="109" t="s">
        <v>425</v>
      </c>
      <c r="C3" s="107">
        <f>scaling_factor</f>
        <v>1000000</v>
      </c>
      <c r="E3" s="109" t="s">
        <v>119</v>
      </c>
      <c r="H3" s="120"/>
    </row>
    <row r="4" spans="2:8">
      <c r="B4" s="100" t="s">
        <v>423</v>
      </c>
      <c r="C4" s="114">
        <f>Normalized_FCF!C91*(1-dividend_tax_rate)</f>
        <v>22020.769943020001</v>
      </c>
      <c r="D4" t="str">
        <f>Market_currency</f>
        <v>CNY</v>
      </c>
      <c r="E4" s="100" t="s">
        <v>245</v>
      </c>
      <c r="F4" s="134">
        <f>Thesis!E22</f>
        <v>0.02</v>
      </c>
      <c r="H4" s="120"/>
    </row>
    <row r="5" spans="2:8">
      <c r="B5" s="205" t="s">
        <v>118</v>
      </c>
      <c r="C5" s="206">
        <f>Equity_Cost</f>
        <v>7.4999999999999997E-2</v>
      </c>
      <c r="E5" s="148"/>
      <c r="H5" s="120"/>
    </row>
    <row r="6" spans="2:8" ht="13.25" customHeight="1">
      <c r="B6" s="149" t="s">
        <v>424</v>
      </c>
      <c r="C6" s="319">
        <f>(C4*(1+Terminal_Growth))/(Equity_Cost-Terminal_Growth)</f>
        <v>293610.26590693335</v>
      </c>
      <c r="D6" t="str">
        <f>Reporting_currency</f>
        <v>CNY</v>
      </c>
      <c r="E6" s="389"/>
      <c r="F6" s="389"/>
      <c r="H6" s="120"/>
    </row>
    <row r="7" spans="2:8" ht="13.15">
      <c r="B7" s="149" t="s">
        <v>427</v>
      </c>
      <c r="C7" s="111">
        <f>(C6*scaling_factor)/Common_Shares*Exchange_Rate</f>
        <v>14.133333333333335</v>
      </c>
      <c r="D7" t="str">
        <f>Market_currency</f>
        <v>CNY</v>
      </c>
      <c r="H7" s="120"/>
    </row>
    <row r="8" spans="2:8">
      <c r="H8" s="120"/>
    </row>
    <row r="9" spans="2:8" ht="13.9">
      <c r="B9" s="36" t="s">
        <v>224</v>
      </c>
      <c r="C9" s="37"/>
      <c r="D9" s="37"/>
      <c r="E9" s="37"/>
      <c r="F9" s="37"/>
      <c r="H9" s="120"/>
    </row>
    <row r="10" spans="2:8" ht="13.15">
      <c r="B10" s="119" t="s">
        <v>130</v>
      </c>
      <c r="H10" s="120"/>
    </row>
    <row r="11" spans="2:8" ht="13.25" customHeight="1">
      <c r="B11" s="152" t="s">
        <v>128</v>
      </c>
      <c r="C11" s="161">
        <f>Scenarios!C65</f>
        <v>2.9494929468058501E-2</v>
      </c>
      <c r="H11" s="120"/>
    </row>
    <row r="12" spans="2:8" ht="13.25" customHeight="1">
      <c r="B12" s="118" t="s">
        <v>129</v>
      </c>
      <c r="C12" s="162">
        <f>Scenarios!C64</f>
        <v>30</v>
      </c>
      <c r="H12" s="120"/>
    </row>
    <row r="13" spans="2:8" ht="13.25" customHeight="1">
      <c r="B13" s="153" t="s">
        <v>102</v>
      </c>
      <c r="C13" s="140">
        <f>F47/Common_Shares*scaling_factor</f>
        <v>20.440006840749849</v>
      </c>
      <c r="D13" t="str">
        <f>Market_currency</f>
        <v>CNY</v>
      </c>
      <c r="H13" s="120"/>
    </row>
    <row r="14" spans="2:8">
      <c r="H14" s="120"/>
    </row>
    <row r="15" spans="2:8" ht="13.15">
      <c r="B15" s="128" t="s">
        <v>103</v>
      </c>
      <c r="C15" s="128" t="s">
        <v>429</v>
      </c>
      <c r="D15" s="128" t="s">
        <v>113</v>
      </c>
      <c r="E15" s="128" t="s">
        <v>105</v>
      </c>
      <c r="F15" s="129" t="s">
        <v>428</v>
      </c>
      <c r="H15" s="120"/>
    </row>
    <row r="16" spans="2:8">
      <c r="B16" s="122">
        <v>1</v>
      </c>
      <c r="C16" s="123">
        <f>C4*(1+D16)</f>
        <v>22670.270999321718</v>
      </c>
      <c r="D16" s="138">
        <f>IF($C$12&lt;B16,0,DDM!$C$11)</f>
        <v>2.9494929468058501E-2</v>
      </c>
      <c r="E16" s="124">
        <f t="shared" ref="E16:E45" si="0">IF($C$12&lt;B16,0,1/(1+Equity_Cost)^B16)</f>
        <v>0.93023255813953487</v>
      </c>
      <c r="F16" s="125">
        <f t="shared" ref="F16:F46" si="1">C16*E16</f>
        <v>21088.624185415552</v>
      </c>
      <c r="H16" s="120"/>
    </row>
    <row r="17" spans="2:8">
      <c r="B17" s="122">
        <v>2</v>
      </c>
      <c r="C17" s="123">
        <f t="shared" ref="C17:C45" si="2">IF(ROW()-ROW($C$16)&lt;$C$12, $C$16*(1+D17)^(ROW()-ROW($C$16)), 0)</f>
        <v>23338.929043468481</v>
      </c>
      <c r="D17" s="138">
        <f>IF($C$12&lt;B17,0,DDM!$C$11)</f>
        <v>2.9494929468058501E-2</v>
      </c>
      <c r="E17" s="124">
        <f t="shared" si="0"/>
        <v>0.86533261222282321</v>
      </c>
      <c r="F17" s="125">
        <f t="shared" si="1"/>
        <v>20195.936435667696</v>
      </c>
      <c r="H17" s="120"/>
    </row>
    <row r="18" spans="2:8">
      <c r="B18" s="122">
        <v>3</v>
      </c>
      <c r="C18" s="123">
        <f t="shared" si="2"/>
        <v>24027.309109465605</v>
      </c>
      <c r="D18" s="138">
        <f>IF($C$12&lt;B18,0,DDM!$C$11)</f>
        <v>2.9494929468058501E-2</v>
      </c>
      <c r="E18" s="124">
        <f t="shared" si="0"/>
        <v>0.80496056950960304</v>
      </c>
      <c r="F18" s="125">
        <f t="shared" si="1"/>
        <v>19341.036424538706</v>
      </c>
      <c r="H18" s="120"/>
    </row>
    <row r="19" spans="2:8">
      <c r="B19" s="122">
        <v>4</v>
      </c>
      <c r="C19" s="123">
        <f t="shared" si="2"/>
        <v>24735.99289695653</v>
      </c>
      <c r="D19" s="138">
        <f>IF($C$12&lt;B19,0,DDM!$C$11)</f>
        <v>2.9494929468058501E-2</v>
      </c>
      <c r="E19" s="124">
        <f t="shared" si="0"/>
        <v>0.7488005297763749</v>
      </c>
      <c r="F19" s="125">
        <f t="shared" si="1"/>
        <v>18522.324585785696</v>
      </c>
      <c r="H19" s="120"/>
    </row>
    <row r="20" spans="2:8">
      <c r="B20" s="122">
        <v>5</v>
      </c>
      <c r="C20" s="123">
        <f t="shared" si="2"/>
        <v>25465.57926277466</v>
      </c>
      <c r="D20" s="138">
        <f>IF($C$12&lt;B20,0,DDM!$C$11)</f>
        <v>2.9494929468058501E-2</v>
      </c>
      <c r="E20" s="124">
        <f t="shared" si="0"/>
        <v>0.69655863235011617</v>
      </c>
      <c r="F20" s="125">
        <f t="shared" si="1"/>
        <v>17738.269063281798</v>
      </c>
      <c r="H20" s="120"/>
    </row>
    <row r="21" spans="2:8">
      <c r="B21" s="122">
        <v>6</v>
      </c>
      <c r="C21" s="123">
        <f t="shared" si="2"/>
        <v>26216.684726993451</v>
      </c>
      <c r="D21" s="138">
        <f>IF($C$12&lt;B21,0,DDM!$C$11)</f>
        <v>2.9494929468058501E-2</v>
      </c>
      <c r="E21" s="124">
        <f t="shared" si="0"/>
        <v>0.64796151846522443</v>
      </c>
      <c r="F21" s="125">
        <f t="shared" si="1"/>
        <v>16987.402844826735</v>
      </c>
      <c r="H21" s="120"/>
    </row>
    <row r="22" spans="2:8">
      <c r="B22" s="122">
        <v>7</v>
      </c>
      <c r="C22" s="123">
        <f t="shared" si="2"/>
        <v>26989.943993902445</v>
      </c>
      <c r="D22" s="138">
        <f>IF($C$12&lt;B22,0,DDM!$C$11)</f>
        <v>2.9494929468058501E-2</v>
      </c>
      <c r="E22" s="124">
        <f t="shared" si="0"/>
        <v>0.60275490089788319</v>
      </c>
      <c r="F22" s="125">
        <f t="shared" si="1"/>
        <v>16268.321017284086</v>
      </c>
      <c r="H22" s="120"/>
    </row>
    <row r="23" spans="2:8">
      <c r="B23" s="122">
        <v>8</v>
      </c>
      <c r="C23" s="123">
        <f t="shared" si="2"/>
        <v>27786.010488349442</v>
      </c>
      <c r="D23" s="138">
        <f>IF($C$12&lt;B23,0,DDM!$C$11)</f>
        <v>2.9494929468058501E-2</v>
      </c>
      <c r="E23" s="124">
        <f t="shared" si="0"/>
        <v>0.56070223339337966</v>
      </c>
      <c r="F23" s="125">
        <f t="shared" si="1"/>
        <v>15579.678137909405</v>
      </c>
      <c r="H23" s="120"/>
    </row>
    <row r="24" spans="2:8">
      <c r="B24" s="122">
        <v>9</v>
      </c>
      <c r="C24" s="123">
        <f t="shared" si="2"/>
        <v>28605.556907902039</v>
      </c>
      <c r="D24" s="138">
        <f>IF($C$12&lt;B24,0,DDM!$C$11)</f>
        <v>2.9494929468058501E-2</v>
      </c>
      <c r="E24" s="124">
        <f t="shared" si="0"/>
        <v>0.52158347292407414</v>
      </c>
      <c r="F24" s="125">
        <f t="shared" si="1"/>
        <v>14920.185716950786</v>
      </c>
      <c r="H24" s="120"/>
    </row>
    <row r="25" spans="2:8">
      <c r="B25" s="122">
        <v>10</v>
      </c>
      <c r="C25" s="123">
        <f t="shared" si="2"/>
        <v>29449.275791295142</v>
      </c>
      <c r="D25" s="138">
        <f>IF($C$12&lt;B25,0,DDM!$C$11)</f>
        <v>2.9494929468058501E-2</v>
      </c>
      <c r="E25" s="124">
        <f t="shared" si="0"/>
        <v>0.48519392830146441</v>
      </c>
      <c r="F25" s="125">
        <f t="shared" si="1"/>
        <v>14288.609806811706</v>
      </c>
      <c r="H25" s="120"/>
    </row>
    <row r="26" spans="2:8">
      <c r="B26" s="122">
        <v>11</v>
      </c>
      <c r="C26" s="123">
        <f t="shared" si="2"/>
        <v>30317.880103644791</v>
      </c>
      <c r="D26" s="138">
        <f>IF($C$12&lt;B26,0,DDM!$C$11)</f>
        <v>2.9494929468058501E-2</v>
      </c>
      <c r="E26" s="124">
        <f t="shared" si="0"/>
        <v>0.45134318911764126</v>
      </c>
      <c r="F26" s="125">
        <f t="shared" si="1"/>
        <v>13683.768693265325</v>
      </c>
      <c r="H26" s="120"/>
    </row>
    <row r="27" spans="2:8">
      <c r="B27" s="122">
        <v>12</v>
      </c>
      <c r="C27" s="123">
        <f t="shared" si="2"/>
        <v>31212.103838922845</v>
      </c>
      <c r="D27" s="138">
        <f>IF($C$12&lt;B27,0,DDM!$C$11)</f>
        <v>2.9494929468058501E-2</v>
      </c>
      <c r="E27" s="124">
        <f t="shared" si="0"/>
        <v>0.41985412941175931</v>
      </c>
      <c r="F27" s="125">
        <f t="shared" si="1"/>
        <v>13104.530684400383</v>
      </c>
      <c r="H27" s="120"/>
    </row>
    <row r="28" spans="2:8">
      <c r="B28" s="122">
        <v>13</v>
      </c>
      <c r="C28" s="123">
        <f t="shared" si="2"/>
        <v>32132.702640201594</v>
      </c>
      <c r="D28" s="138">
        <f>IF($C$12&lt;B28,0,DDM!$C$11)</f>
        <v>2.9494929468058501E-2</v>
      </c>
      <c r="E28" s="124">
        <f t="shared" si="0"/>
        <v>0.39056198084814819</v>
      </c>
      <c r="F28" s="125">
        <f t="shared" si="1"/>
        <v>12549.811993161657</v>
      </c>
      <c r="H28" s="120"/>
    </row>
    <row r="29" spans="2:8">
      <c r="B29" s="122">
        <v>14</v>
      </c>
      <c r="C29" s="123">
        <f t="shared" si="2"/>
        <v>33080.454438192435</v>
      </c>
      <c r="D29" s="138">
        <f>IF($C$12&lt;B29,0,DDM!$C$11)</f>
        <v>2.9494929468058501E-2</v>
      </c>
      <c r="E29" s="124">
        <f t="shared" si="0"/>
        <v>0.36331347055641694</v>
      </c>
      <c r="F29" s="125">
        <f t="shared" si="1"/>
        <v>12018.57470952312</v>
      </c>
      <c r="H29" s="120"/>
    </row>
    <row r="30" spans="2:8">
      <c r="B30" s="122">
        <v>15</v>
      </c>
      <c r="C30" s="123">
        <f t="shared" si="2"/>
        <v>34056.160108618235</v>
      </c>
      <c r="D30" s="138">
        <f>IF($C$12&lt;B30,0,DDM!$C$11)</f>
        <v>2.9494929468058501E-2</v>
      </c>
      <c r="E30" s="124">
        <f t="shared" si="0"/>
        <v>0.33796601912224833</v>
      </c>
      <c r="F30" s="125">
        <f t="shared" si="1"/>
        <v>11509.824858499622</v>
      </c>
      <c r="H30" s="120"/>
    </row>
    <row r="31" spans="2:8">
      <c r="B31" s="122">
        <v>16</v>
      </c>
      <c r="C31" s="123">
        <f t="shared" si="2"/>
        <v>35060.644148974839</v>
      </c>
      <c r="D31" s="138">
        <f>IF($C$12&lt;B31,0,DDM!$C$11)</f>
        <v>2.9494929468058501E-2</v>
      </c>
      <c r="E31" s="124">
        <f t="shared" si="0"/>
        <v>0.31438699453232405</v>
      </c>
      <c r="F31" s="125">
        <f t="shared" si="1"/>
        <v>11022.610540363512</v>
      </c>
      <c r="H31" s="120"/>
    </row>
    <row r="32" spans="2:8">
      <c r="B32" s="122">
        <v>17</v>
      </c>
      <c r="C32" s="123">
        <f t="shared" si="2"/>
        <v>36094.755375253546</v>
      </c>
      <c r="D32" s="138">
        <f>IF($C$12&lt;B32,0,DDM!$C$11)</f>
        <v>2.9494929468058501E-2</v>
      </c>
      <c r="E32" s="124">
        <f t="shared" si="0"/>
        <v>0.29245301816960378</v>
      </c>
      <c r="F32" s="125">
        <f t="shared" si="1"/>
        <v>10556.020149586429</v>
      </c>
      <c r="H32" s="120"/>
    </row>
    <row r="33" spans="2:8">
      <c r="B33" s="122">
        <v>18</v>
      </c>
      <c r="C33" s="123">
        <f t="shared" si="2"/>
        <v>37159.367639213473</v>
      </c>
      <c r="D33" s="138">
        <f>IF($C$12&lt;B33,0,DDM!$C$11)</f>
        <v>2.9494929468058501E-2</v>
      </c>
      <c r="E33" s="124">
        <f t="shared" si="0"/>
        <v>0.27204931922753844</v>
      </c>
      <c r="F33" s="125">
        <f t="shared" si="1"/>
        <v>10109.180669173847</v>
      </c>
      <c r="H33" s="120"/>
    </row>
    <row r="34" spans="2:8">
      <c r="B34" s="122">
        <v>19</v>
      </c>
      <c r="C34" s="123">
        <f t="shared" si="2"/>
        <v>38255.380566809727</v>
      </c>
      <c r="D34" s="138">
        <f>IF($C$12&lt;B34,0,DDM!$C$11)</f>
        <v>2.9494929468058501E-2</v>
      </c>
      <c r="E34" s="124">
        <f t="shared" si="0"/>
        <v>0.25306913416515198</v>
      </c>
      <c r="F34" s="125">
        <f t="shared" si="1"/>
        <v>9681.2560372009175</v>
      </c>
      <c r="H34" s="120"/>
    </row>
    <row r="35" spans="2:8">
      <c r="B35" s="122">
        <v>20</v>
      </c>
      <c r="C35" s="123">
        <f t="shared" si="2"/>
        <v>39383.720318401509</v>
      </c>
      <c r="D35" s="138">
        <f>IF($C$12&lt;B35,0,DDM!$C$11)</f>
        <v>2.9494929468058501E-2</v>
      </c>
      <c r="E35" s="124">
        <f t="shared" si="0"/>
        <v>0.23541314806060654</v>
      </c>
      <c r="F35" s="125">
        <f t="shared" si="1"/>
        <v>9271.4455824933721</v>
      </c>
      <c r="H35" s="120"/>
    </row>
    <row r="36" spans="2:8">
      <c r="B36" s="122">
        <v>21</v>
      </c>
      <c r="C36" s="123">
        <f t="shared" si="2"/>
        <v>40545.34037138251</v>
      </c>
      <c r="D36" s="138">
        <f>IF($C$12&lt;B36,0,DDM!$C$11)</f>
        <v>2.9494929468058501E-2</v>
      </c>
      <c r="E36" s="124">
        <f t="shared" si="0"/>
        <v>0.21898897494009908</v>
      </c>
      <c r="F36" s="125">
        <f t="shared" si="1"/>
        <v>8878.9825265264717</v>
      </c>
      <c r="H36" s="120"/>
    </row>
    <row r="37" spans="2:8">
      <c r="B37" s="122">
        <v>22</v>
      </c>
      <c r="C37" s="123">
        <f t="shared" si="2"/>
        <v>41741.222325894858</v>
      </c>
      <c r="D37" s="138">
        <f>IF($C$12&lt;B37,0,DDM!$C$11)</f>
        <v>2.9494929468058501E-2</v>
      </c>
      <c r="E37" s="124">
        <f t="shared" si="0"/>
        <v>0.20371067436288287</v>
      </c>
      <c r="F37" s="125">
        <f t="shared" si="1"/>
        <v>8503.1325487390641</v>
      </c>
      <c r="H37" s="120"/>
    </row>
    <row r="38" spans="2:8">
      <c r="B38" s="122">
        <v>23</v>
      </c>
      <c r="C38" s="123">
        <f t="shared" si="2"/>
        <v>42972.376734307669</v>
      </c>
      <c r="D38" s="138">
        <f>IF($C$12&lt;B38,0,DDM!$C$11)</f>
        <v>2.9494929468058501E-2</v>
      </c>
      <c r="E38" s="124">
        <f t="shared" si="0"/>
        <v>0.18949830173291429</v>
      </c>
      <c r="F38" s="125">
        <f t="shared" si="1"/>
        <v>8143.1924125783007</v>
      </c>
      <c r="H38" s="120"/>
    </row>
    <row r="39" spans="2:8">
      <c r="B39" s="122">
        <v>24</v>
      </c>
      <c r="C39" s="123">
        <f t="shared" si="2"/>
        <v>44239.843955160904</v>
      </c>
      <c r="D39" s="138">
        <f>IF($C$12&lt;B39,0,DDM!$C$11)</f>
        <v>2.9494929468058501E-2</v>
      </c>
      <c r="E39" s="124">
        <f t="shared" si="0"/>
        <v>0.17627748998410636</v>
      </c>
      <c r="F39" s="125">
        <f t="shared" si="1"/>
        <v>7798.4886497043044</v>
      </c>
      <c r="H39" s="120"/>
    </row>
    <row r="40" spans="2:8">
      <c r="B40" s="122">
        <v>25</v>
      </c>
      <c r="C40" s="123">
        <f t="shared" si="2"/>
        <v>45544.69503229628</v>
      </c>
      <c r="D40" s="138">
        <f>IF($C$12&lt;B40,0,DDM!$C$11)</f>
        <v>2.9494929468058501E-2</v>
      </c>
      <c r="E40" s="124">
        <f t="shared" si="0"/>
        <v>0.16397906045033148</v>
      </c>
      <c r="F40" s="125">
        <f t="shared" si="1"/>
        <v>7468.3762998928232</v>
      </c>
      <c r="H40" s="120"/>
    </row>
    <row r="41" spans="2:8">
      <c r="B41" s="122">
        <v>26</v>
      </c>
      <c r="C41" s="123">
        <f t="shared" si="2"/>
        <v>46888.032599918086</v>
      </c>
      <c r="D41" s="138">
        <f>IF($C$12&lt;B41,0,DDM!$C$11)</f>
        <v>2.9494929468058501E-2</v>
      </c>
      <c r="E41" s="124">
        <f t="shared" si="0"/>
        <v>0.15253866088402931</v>
      </c>
      <c r="F41" s="125">
        <f t="shared" si="1"/>
        <v>7152.2377042782164</v>
      </c>
      <c r="H41" s="120"/>
    </row>
    <row r="42" spans="2:8">
      <c r="B42" s="122">
        <v>27</v>
      </c>
      <c r="C42" s="123">
        <f t="shared" si="2"/>
        <v>48270.991814348701</v>
      </c>
      <c r="D42" s="138">
        <f>IF($C$12&lt;B42,0,DDM!$C$11)</f>
        <v>2.9494929468058501E-2</v>
      </c>
      <c r="E42" s="124">
        <f t="shared" si="0"/>
        <v>0.14189642872932959</v>
      </c>
      <c r="F42" s="125">
        <f t="shared" si="1"/>
        <v>6849.481349678782</v>
      </c>
      <c r="H42" s="120"/>
    </row>
    <row r="43" spans="2:8">
      <c r="B43" s="122">
        <v>28</v>
      </c>
      <c r="C43" s="123">
        <f t="shared" si="2"/>
        <v>49694.741313266146</v>
      </c>
      <c r="D43" s="138">
        <f>IF($C$12&lt;B43,0,DDM!$C$11)</f>
        <v>2.9494929468058501E-2</v>
      </c>
      <c r="E43" s="124">
        <f t="shared" si="0"/>
        <v>0.13199667788774846</v>
      </c>
      <c r="F43" s="125">
        <f t="shared" si="1"/>
        <v>6559.5407618421777</v>
      </c>
      <c r="H43" s="120"/>
    </row>
    <row r="44" spans="2:8">
      <c r="B44" s="122">
        <v>29</v>
      </c>
      <c r="C44" s="123">
        <f t="shared" si="2"/>
        <v>51160.484203234337</v>
      </c>
      <c r="D44" s="138">
        <f>IF($C$12&lt;B44,0,DDM!$C$11)</f>
        <v>2.9494929468058501E-2</v>
      </c>
      <c r="E44" s="124">
        <f t="shared" si="0"/>
        <v>0.1227876073374404</v>
      </c>
      <c r="F44" s="125">
        <f t="shared" si="1"/>
        <v>6281.8734455400599</v>
      </c>
      <c r="H44" s="120"/>
    </row>
    <row r="45" spans="2:8">
      <c r="B45" s="122">
        <v>30</v>
      </c>
      <c r="C45" s="123">
        <f t="shared" si="2"/>
        <v>52669.459076360457</v>
      </c>
      <c r="D45" s="138">
        <f>IF($C$12&lt;B45,0,DDM!$C$11)</f>
        <v>2.9494929468058501E-2</v>
      </c>
      <c r="E45" s="124">
        <f t="shared" si="0"/>
        <v>0.11422103008133992</v>
      </c>
      <c r="F45" s="125">
        <f t="shared" si="1"/>
        <v>6015.9598695288696</v>
      </c>
      <c r="H45" s="120"/>
    </row>
    <row r="46" spans="2:8">
      <c r="B46" s="126" t="s">
        <v>126</v>
      </c>
      <c r="C46" s="123">
        <f>C$16*(1+F4)^$C$12/Equity_Cost</f>
        <v>547520.77319178265</v>
      </c>
      <c r="D46" s="139">
        <f>Terminal_Growth</f>
        <v>0</v>
      </c>
      <c r="E46" s="124">
        <f>1/(1+Equity_Cost)^C12</f>
        <v>0.11422103008133992</v>
      </c>
      <c r="F46" s="125">
        <f t="shared" si="1"/>
        <v>62538.386704897101</v>
      </c>
      <c r="H46" s="120"/>
    </row>
    <row r="47" spans="2:8">
      <c r="C47" s="114"/>
      <c r="E47" s="127" t="s">
        <v>96</v>
      </c>
      <c r="F47" s="137">
        <f>SUM(F16:F46)</f>
        <v>424627.06440934661</v>
      </c>
      <c r="H47" s="120"/>
    </row>
    <row r="48" spans="2:8">
      <c r="C48" s="114"/>
      <c r="H48" s="120"/>
    </row>
    <row r="49" spans="1:8" ht="13.15">
      <c r="B49" s="119" t="s">
        <v>124</v>
      </c>
      <c r="C49" s="136"/>
      <c r="D49" s="136"/>
      <c r="E49" s="117"/>
      <c r="F49" s="117"/>
      <c r="H49" s="120"/>
    </row>
    <row r="50" spans="1:8" ht="13.15">
      <c r="A50" s="133">
        <f>F47</f>
        <v>424627.06440934661</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125</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112</v>
      </c>
      <c r="C68" s="171" t="s">
        <v>127</v>
      </c>
      <c r="D68" s="171" t="s">
        <v>107</v>
      </c>
      <c r="E68" s="172" t="s">
        <v>108</v>
      </c>
      <c r="F68" s="172" t="s">
        <v>114</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0.188</v>
      </c>
      <c r="H70" s="120"/>
    </row>
    <row r="71" spans="1:8">
      <c r="B71" s="127" t="str">
        <f>Scenarios!B24</f>
        <v>Base</v>
      </c>
      <c r="C71" s="142">
        <f>Scenarios!C26</f>
        <v>0.03</v>
      </c>
      <c r="D71" s="145">
        <f>Scenarios!C25</f>
        <v>30</v>
      </c>
      <c r="E71" s="135">
        <f>INDEX(B$60:F$66, MATCH(D71, A$60:A$66, 0), MATCH(C71, B$59:F$59, 0))</f>
        <v>20.547504511084881</v>
      </c>
      <c r="F71" s="142">
        <f>Scenarios!C28*(1-F$69-F$73)</f>
        <v>0.56399999999999995</v>
      </c>
      <c r="H71" s="120"/>
    </row>
    <row r="72" spans="1:8">
      <c r="B72" s="127" t="str">
        <f>Scenarios!B30</f>
        <v>Pessimistic</v>
      </c>
      <c r="C72" s="142">
        <f>Scenarios!C32</f>
        <v>0.02</v>
      </c>
      <c r="D72" s="145">
        <f>Scenarios!C31</f>
        <v>30</v>
      </c>
      <c r="E72" s="135">
        <f>INDEX(B$60:F$66, MATCH(D72, A$60:A$66, 0), MATCH(C72, B$59:F$59, 0))</f>
        <v>18.573597539063663</v>
      </c>
      <c r="F72" s="142">
        <f>Scenarios!C34*(1-F$69-F$73)</f>
        <v>0.188</v>
      </c>
      <c r="H72" s="120"/>
    </row>
    <row r="73" spans="1:8">
      <c r="B73" s="127" t="str">
        <f>Scenarios!B48</f>
        <v>Devil's advocate</v>
      </c>
      <c r="C73" s="142">
        <f>Scenarios!C50</f>
        <v>0</v>
      </c>
      <c r="D73" s="145">
        <f>Scenarios!C49</f>
        <v>30</v>
      </c>
      <c r="E73" s="135">
        <f>INDEX(B$60:F$66, MATCH(D73, A$60:A$66, 0), MATCH(C73, B$59:F$59, 0))</f>
        <v>15.443133723453277</v>
      </c>
      <c r="F73" s="142">
        <f>Scenarios!C52</f>
        <v>0.05</v>
      </c>
    </row>
    <row r="74" spans="1:8">
      <c r="B74" s="155"/>
      <c r="C74" s="155"/>
      <c r="D74" s="155"/>
      <c r="E74" s="155"/>
      <c r="F74" s="156"/>
    </row>
    <row r="75" spans="1:8">
      <c r="B75" s="155" t="s">
        <v>302</v>
      </c>
      <c r="C75" s="155" t="s">
        <v>101</v>
      </c>
    </row>
    <row r="76" spans="1:8">
      <c r="C76" s="155" t="s">
        <v>100</v>
      </c>
    </row>
    <row r="77" spans="1:8">
      <c r="C77" s="155" t="s">
        <v>99</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2" zoomScale="75" zoomScaleNormal="100" workbookViewId="0">
      <selection activeCell="C66" sqref="C66"/>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140</v>
      </c>
      <c r="C2" s="37"/>
      <c r="D2" s="37"/>
      <c r="E2" s="37"/>
      <c r="F2" s="37"/>
      <c r="H2" s="248" t="s">
        <v>290</v>
      </c>
      <c r="I2" s="249"/>
    </row>
    <row r="3" spans="2:9" ht="13.15">
      <c r="B3" s="159" t="s">
        <v>143</v>
      </c>
      <c r="H3" s="247">
        <v>0</v>
      </c>
      <c r="I3" s="124">
        <f>-Market_Price</f>
        <v>-21.81</v>
      </c>
    </row>
    <row r="4" spans="2:9">
      <c r="B4" s="152" t="s">
        <v>141</v>
      </c>
      <c r="C4" s="120">
        <v>3</v>
      </c>
      <c r="D4" s="120"/>
      <c r="E4" s="155" t="s">
        <v>145</v>
      </c>
      <c r="F4" s="155"/>
      <c r="H4" s="247">
        <v>1</v>
      </c>
      <c r="I4" s="124">
        <f t="shared" ref="I4:I13" si="0">IF(ROW()-3 &lt; $C$76, $C$77, IF(ROW()-3 = $C$76, $C$77 + $C$60, ""))</f>
        <v>1.06</v>
      </c>
    </row>
    <row r="5" spans="2:9">
      <c r="H5" s="247">
        <v>2</v>
      </c>
      <c r="I5" s="124">
        <f t="shared" si="0"/>
        <v>1.06</v>
      </c>
    </row>
    <row r="6" spans="2:9" ht="13.15">
      <c r="B6" s="159" t="s">
        <v>91</v>
      </c>
      <c r="C6" s="107">
        <f>DCF!C3</f>
        <v>1000000</v>
      </c>
      <c r="E6" s="100" t="s">
        <v>273</v>
      </c>
      <c r="F6" s="100"/>
      <c r="H6" s="247">
        <v>3</v>
      </c>
      <c r="I6" s="124">
        <f t="shared" si="0"/>
        <v>21.500937245163914</v>
      </c>
    </row>
    <row r="7" spans="2:9" ht="12.75" customHeight="1">
      <c r="B7" s="100" t="s">
        <v>269</v>
      </c>
      <c r="C7" s="338">
        <f>Normalized_FCF!G8</f>
        <v>-721</v>
      </c>
      <c r="D7" t="str">
        <f>Reporting_currency</f>
        <v>CNY</v>
      </c>
      <c r="E7" s="39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91"/>
      <c r="H7" s="247">
        <v>4</v>
      </c>
      <c r="I7" s="124" t="str">
        <f t="shared" si="0"/>
        <v/>
      </c>
    </row>
    <row r="8" spans="2:9">
      <c r="B8" s="100" t="s">
        <v>63</v>
      </c>
      <c r="C8" s="338">
        <f>Normalized_FCF!G19</f>
        <v>137471</v>
      </c>
      <c r="D8" t="str">
        <f>Reporting_currency</f>
        <v>CNY</v>
      </c>
      <c r="E8" s="391"/>
      <c r="F8" s="391"/>
      <c r="H8" s="247">
        <v>5</v>
      </c>
      <c r="I8" s="124" t="str">
        <f t="shared" si="0"/>
        <v/>
      </c>
    </row>
    <row r="9" spans="2:9">
      <c r="B9" s="100" t="s">
        <v>54</v>
      </c>
      <c r="C9" s="338">
        <f>Normalized_FCF!C19</f>
        <v>114702.58240513749</v>
      </c>
      <c r="D9" t="str">
        <f>Reporting_currency</f>
        <v>CNY</v>
      </c>
      <c r="E9" s="391"/>
      <c r="F9" s="391"/>
      <c r="H9" s="247">
        <v>6</v>
      </c>
      <c r="I9" s="124" t="str">
        <f t="shared" si="0"/>
        <v/>
      </c>
    </row>
    <row r="10" spans="2:9">
      <c r="E10" s="391"/>
      <c r="F10" s="391"/>
      <c r="H10" s="247">
        <v>7</v>
      </c>
      <c r="I10" s="124" t="str">
        <f t="shared" si="0"/>
        <v/>
      </c>
    </row>
    <row r="11" spans="2:9" ht="13.15">
      <c r="B11" s="159" t="s">
        <v>430</v>
      </c>
      <c r="E11" s="391"/>
      <c r="F11" s="391"/>
      <c r="H11" s="247">
        <v>8</v>
      </c>
      <c r="I11" s="124" t="str">
        <f t="shared" si="0"/>
        <v/>
      </c>
    </row>
    <row r="12" spans="2:9">
      <c r="B12" s="118" t="s">
        <v>139</v>
      </c>
      <c r="C12" s="158">
        <f ca="1">(Normalized_FCF!G4/OFFSET(Normalized_FCF!G4, 0, $C$4))^(1/$C$4) - 1</f>
        <v>-5.5054441259114184E-2</v>
      </c>
      <c r="D12" s="158"/>
      <c r="E12" s="391"/>
      <c r="F12" s="391"/>
      <c r="H12" s="247">
        <v>9</v>
      </c>
      <c r="I12" s="124" t="str">
        <f t="shared" si="0"/>
        <v/>
      </c>
    </row>
    <row r="13" spans="2:9">
      <c r="B13" s="148" t="s">
        <v>147</v>
      </c>
      <c r="C13" s="158">
        <f ca="1">(Normalized_FCF!G8/OFFSET(Normalized_FCF!G8, 0, $C$4))^(1/$C$4) - 1</f>
        <v>-1.3520092995664894</v>
      </c>
      <c r="E13" s="391"/>
      <c r="F13" s="391"/>
      <c r="H13" s="247">
        <v>10</v>
      </c>
      <c r="I13" s="124" t="str">
        <f t="shared" si="0"/>
        <v/>
      </c>
    </row>
    <row r="14" spans="2:9">
      <c r="B14" s="100" t="s">
        <v>63</v>
      </c>
      <c r="C14" s="158">
        <f ca="1">(Normalized_FCF!G19/OFFSET(Normalized_FCF!G19, 0, $C$4))^(1/$C$4) - 1</f>
        <v>-2.7745066708446342E-2</v>
      </c>
      <c r="E14" s="391"/>
      <c r="F14" s="391"/>
    </row>
    <row r="16" spans="2:9" ht="13.9">
      <c r="B16" s="36" t="s">
        <v>157</v>
      </c>
      <c r="C16" s="37"/>
      <c r="D16" s="37"/>
      <c r="E16" s="37"/>
      <c r="F16" s="37"/>
    </row>
    <row r="17" spans="2:6" ht="13.15">
      <c r="B17" s="109" t="s">
        <v>146</v>
      </c>
      <c r="E17" s="159" t="s">
        <v>321</v>
      </c>
    </row>
    <row r="18" spans="2:6">
      <c r="B18" s="152" t="s">
        <v>128</v>
      </c>
      <c r="C18" s="150">
        <v>30</v>
      </c>
      <c r="E18" s="391" t="s">
        <v>322</v>
      </c>
      <c r="F18" s="392"/>
    </row>
    <row r="19" spans="2:6">
      <c r="E19" s="392"/>
      <c r="F19" s="392"/>
    </row>
    <row r="20" spans="2:6" ht="13.15">
      <c r="B20" s="159" t="s">
        <v>298</v>
      </c>
      <c r="E20" s="392"/>
      <c r="F20" s="392"/>
    </row>
    <row r="21" spans="2:6">
      <c r="B21" s="100" t="s">
        <v>271</v>
      </c>
      <c r="C21" s="160">
        <f>Market_Price</f>
        <v>21.81</v>
      </c>
      <c r="D21" t="str">
        <f>Market_currency</f>
        <v>CNY</v>
      </c>
      <c r="E21" s="392"/>
      <c r="F21" s="392"/>
    </row>
    <row r="22" spans="2:6">
      <c r="B22" s="100" t="s">
        <v>272</v>
      </c>
      <c r="C22" s="160">
        <f>IF(valuation_method="DCF",DCF!C12,DDM!C7)</f>
        <v>14.133333333333335</v>
      </c>
      <c r="D22" t="str">
        <f>Market_currency</f>
        <v>CNY</v>
      </c>
      <c r="E22" s="392"/>
      <c r="F22" s="392"/>
    </row>
    <row r="24" spans="2:6" ht="13.15">
      <c r="B24" s="159" t="s">
        <v>110</v>
      </c>
      <c r="E24" s="159" t="s">
        <v>144</v>
      </c>
      <c r="F24" s="159"/>
    </row>
    <row r="25" spans="2:6">
      <c r="B25" s="152" t="s">
        <v>128</v>
      </c>
      <c r="C25" s="166">
        <f>C18</f>
        <v>30</v>
      </c>
      <c r="D25" s="163"/>
      <c r="E25" s="390"/>
      <c r="F25" s="390"/>
    </row>
    <row r="26" spans="2:6">
      <c r="B26" s="118" t="s">
        <v>129</v>
      </c>
      <c r="C26" s="164">
        <v>0.03</v>
      </c>
      <c r="D26" s="164"/>
      <c r="E26" s="390"/>
      <c r="F26" s="390"/>
    </row>
    <row r="27" spans="2:6">
      <c r="B27" s="100" t="s">
        <v>108</v>
      </c>
      <c r="C27" s="160">
        <f>IF(valuation_method="DCF",DCF!E76,DDM!E71)</f>
        <v>20.547504511084881</v>
      </c>
      <c r="D27" s="160" t="str">
        <f>Market_currency</f>
        <v>CNY</v>
      </c>
      <c r="E27" s="390"/>
      <c r="F27" s="390"/>
    </row>
    <row r="28" spans="2:6">
      <c r="B28" s="100" t="s">
        <v>142</v>
      </c>
      <c r="C28" s="165">
        <v>0.6</v>
      </c>
      <c r="D28" s="165"/>
      <c r="E28" s="390"/>
      <c r="F28" s="390"/>
    </row>
    <row r="30" spans="2:6" ht="13.15">
      <c r="B30" s="159" t="s">
        <v>111</v>
      </c>
      <c r="E30" s="159" t="s">
        <v>144</v>
      </c>
      <c r="F30" s="159"/>
    </row>
    <row r="31" spans="2:6">
      <c r="B31" s="152" t="s">
        <v>128</v>
      </c>
      <c r="C31" s="166">
        <f>C18</f>
        <v>30</v>
      </c>
      <c r="D31" s="163"/>
      <c r="E31" s="390"/>
      <c r="F31" s="390"/>
    </row>
    <row r="32" spans="2:6">
      <c r="B32" s="118" t="s">
        <v>129</v>
      </c>
      <c r="C32" s="164">
        <v>0.02</v>
      </c>
      <c r="D32" s="164"/>
      <c r="E32" s="390"/>
      <c r="F32" s="390"/>
    </row>
    <row r="33" spans="2:6">
      <c r="B33" s="100" t="s">
        <v>108</v>
      </c>
      <c r="C33" s="160">
        <f>IF(valuation_method="DCF",DCF!E77,DDM!E72)</f>
        <v>18.573597539063663</v>
      </c>
      <c r="D33" t="str">
        <f>Market_currency</f>
        <v>CNY</v>
      </c>
      <c r="E33" s="390"/>
      <c r="F33" s="390"/>
    </row>
    <row r="34" spans="2:6">
      <c r="B34" s="100" t="s">
        <v>142</v>
      </c>
      <c r="C34" s="165">
        <v>0.2</v>
      </c>
      <c r="D34" s="165"/>
      <c r="E34" s="390"/>
      <c r="F34" s="390"/>
    </row>
    <row r="36" spans="2:6" ht="13.15">
      <c r="B36" s="159" t="s">
        <v>109</v>
      </c>
      <c r="E36" s="159" t="s">
        <v>144</v>
      </c>
      <c r="F36" s="159"/>
    </row>
    <row r="37" spans="2:6">
      <c r="B37" s="152" t="s">
        <v>128</v>
      </c>
      <c r="C37" s="166">
        <f>C18</f>
        <v>30</v>
      </c>
      <c r="D37" s="163"/>
      <c r="E37" s="390"/>
      <c r="F37" s="390"/>
    </row>
    <row r="38" spans="2:6">
      <c r="B38" s="118" t="s">
        <v>129</v>
      </c>
      <c r="C38" s="164">
        <v>0.04</v>
      </c>
      <c r="D38" s="164"/>
      <c r="E38" s="390"/>
      <c r="F38" s="390"/>
    </row>
    <row r="39" spans="2:6">
      <c r="B39" s="100" t="s">
        <v>108</v>
      </c>
      <c r="C39" s="160">
        <f>IF(valuation_method="DCF",DCF!E75,DDM!E70)</f>
        <v>22.869668135916577</v>
      </c>
      <c r="D39" t="str">
        <f>Market_currency</f>
        <v>CNY</v>
      </c>
      <c r="E39" s="390"/>
      <c r="F39" s="390"/>
    </row>
    <row r="40" spans="2:6">
      <c r="B40" s="100" t="s">
        <v>142</v>
      </c>
      <c r="C40" s="167">
        <f>1-C28-C34</f>
        <v>0.2</v>
      </c>
      <c r="D40" s="165"/>
      <c r="E40" s="390"/>
      <c r="F40" s="390"/>
    </row>
    <row r="42" spans="2:6" ht="13.15">
      <c r="B42" s="100" t="s">
        <v>115</v>
      </c>
      <c r="C42" s="154">
        <f>C27*C28+C33*C34+C39*C40</f>
        <v>20.617155841646976</v>
      </c>
      <c r="D42" t="str">
        <f>Market_currency</f>
        <v>CNY</v>
      </c>
    </row>
    <row r="44" spans="2:6" ht="13.9">
      <c r="B44" s="36" t="s">
        <v>156</v>
      </c>
      <c r="C44" s="37"/>
      <c r="D44" s="37"/>
      <c r="E44" s="37"/>
      <c r="F44" s="37"/>
    </row>
    <row r="45" spans="2:6" ht="13.15">
      <c r="B45" s="109" t="s">
        <v>146</v>
      </c>
    </row>
    <row r="46" spans="2:6">
      <c r="B46" s="152" t="s">
        <v>128</v>
      </c>
      <c r="C46" s="150">
        <v>30</v>
      </c>
      <c r="E46" s="100"/>
      <c r="F46" s="100"/>
    </row>
    <row r="47" spans="2:6" ht="13.15">
      <c r="B47" s="159"/>
      <c r="E47" s="159"/>
      <c r="F47" s="159"/>
    </row>
    <row r="48" spans="2:6" ht="13.15">
      <c r="B48" s="159" t="s">
        <v>160</v>
      </c>
      <c r="E48" s="159" t="s">
        <v>144</v>
      </c>
      <c r="F48" s="159"/>
    </row>
    <row r="49" spans="2:6" ht="12.75" customHeight="1">
      <c r="B49" s="152" t="s">
        <v>128</v>
      </c>
      <c r="C49" s="166">
        <f>C46</f>
        <v>30</v>
      </c>
      <c r="D49" s="163"/>
      <c r="E49" s="390"/>
      <c r="F49" s="390"/>
    </row>
    <row r="50" spans="2:6">
      <c r="B50" s="118" t="s">
        <v>129</v>
      </c>
      <c r="C50" s="164">
        <v>0</v>
      </c>
      <c r="D50" s="164"/>
      <c r="E50" s="390"/>
      <c r="F50" s="390"/>
    </row>
    <row r="51" spans="2:6">
      <c r="B51" s="100" t="s">
        <v>108</v>
      </c>
      <c r="C51" s="160">
        <f>IF(valuation_method="DCF",DCF!E78,DDM!E73)</f>
        <v>15.443133723453277</v>
      </c>
      <c r="D51" t="str">
        <f>Market_currency</f>
        <v>CNY</v>
      </c>
      <c r="E51" s="390"/>
      <c r="F51" s="390"/>
    </row>
    <row r="52" spans="2:6">
      <c r="B52" s="100" t="s">
        <v>142</v>
      </c>
      <c r="C52" s="165">
        <v>0.05</v>
      </c>
      <c r="D52" s="165"/>
      <c r="E52" s="390"/>
      <c r="F52" s="390"/>
    </row>
    <row r="54" spans="2:6" ht="13.15">
      <c r="B54" s="159" t="s">
        <v>307</v>
      </c>
      <c r="E54" s="159" t="s">
        <v>144</v>
      </c>
      <c r="F54" s="159"/>
    </row>
    <row r="55" spans="2:6">
      <c r="B55" s="152" t="s">
        <v>128</v>
      </c>
      <c r="C55" s="166">
        <f>C46</f>
        <v>30</v>
      </c>
      <c r="D55" s="163"/>
      <c r="E55" s="390"/>
      <c r="F55" s="390"/>
    </row>
    <row r="56" spans="2:6">
      <c r="B56" s="118" t="s">
        <v>129</v>
      </c>
      <c r="C56" s="164">
        <v>0.06</v>
      </c>
      <c r="D56" s="164"/>
      <c r="E56" s="390"/>
      <c r="F56" s="390"/>
    </row>
    <row r="57" spans="2:6">
      <c r="B57" s="100" t="s">
        <v>108</v>
      </c>
      <c r="C57" s="160">
        <f>IF(valuation_method="DCF",DCF!E74,DDM!E69)</f>
        <v>28.86540678430962</v>
      </c>
      <c r="D57" t="str">
        <f>Market_currency</f>
        <v>CNY</v>
      </c>
      <c r="E57" s="390"/>
      <c r="F57" s="390"/>
    </row>
    <row r="58" spans="2:6">
      <c r="B58" s="100" t="s">
        <v>142</v>
      </c>
      <c r="C58" s="165">
        <v>0.01</v>
      </c>
      <c r="D58" s="165"/>
      <c r="E58" s="390"/>
      <c r="F58" s="390"/>
    </row>
    <row r="60" spans="2:6" ht="13.15">
      <c r="B60" s="100" t="s">
        <v>115</v>
      </c>
      <c r="C60" s="154">
        <f>C51*C52+C57*C58+C42*(1-C52-C58)</f>
        <v>20.440937245163916</v>
      </c>
      <c r="D60" t="str">
        <f>Market_currency</f>
        <v>CNY</v>
      </c>
      <c r="E60" s="100" t="s">
        <v>291</v>
      </c>
      <c r="F60" s="277">
        <f>Thesis!F28</f>
        <v>3</v>
      </c>
    </row>
    <row r="62" spans="2:6" ht="13.9">
      <c r="B62" s="36" t="s">
        <v>341</v>
      </c>
      <c r="C62" s="37"/>
      <c r="D62" s="37"/>
      <c r="E62" s="37"/>
      <c r="F62" s="37"/>
    </row>
    <row r="63" spans="2:6" ht="13.15">
      <c r="B63" s="109" t="s">
        <v>299</v>
      </c>
      <c r="E63" s="252" t="s">
        <v>303</v>
      </c>
    </row>
    <row r="64" spans="2:6">
      <c r="B64" s="152" t="s">
        <v>128</v>
      </c>
      <c r="C64" s="166">
        <f>C18</f>
        <v>30</v>
      </c>
      <c r="D64" s="150"/>
      <c r="E64" s="251" t="s">
        <v>378</v>
      </c>
    </row>
    <row r="65" spans="2:6">
      <c r="B65" s="118" t="s">
        <v>129</v>
      </c>
      <c r="C65" s="151">
        <v>2.9494929468058501E-2</v>
      </c>
      <c r="D65" s="151"/>
      <c r="E65" s="251" t="s">
        <v>304</v>
      </c>
    </row>
    <row r="66" spans="2:6">
      <c r="B66" s="100" t="s">
        <v>98</v>
      </c>
      <c r="C66" s="160">
        <f>IF(valuation_method="DCF",DCF!C18,DDM!C13)</f>
        <v>20.440006840749849</v>
      </c>
      <c r="D66" s="160" t="str">
        <f>Market_currency</f>
        <v>CNY</v>
      </c>
      <c r="E66" s="251" t="s">
        <v>305</v>
      </c>
    </row>
    <row r="68" spans="2:6" ht="13.15">
      <c r="B68" s="109" t="s">
        <v>342</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338</v>
      </c>
      <c r="F72" s="291">
        <f>BS!D89/C60</f>
        <v>-17.357460284336575</v>
      </c>
    </row>
    <row r="74" spans="2:6" ht="13.9">
      <c r="B74" s="36" t="s">
        <v>122</v>
      </c>
      <c r="C74" s="37"/>
      <c r="D74" s="37"/>
      <c r="E74" s="37"/>
      <c r="F74" s="37"/>
    </row>
    <row r="75" spans="2:6" ht="13.15">
      <c r="B75" s="109" t="s">
        <v>120</v>
      </c>
    </row>
    <row r="76" spans="2:6">
      <c r="B76" s="246" t="s">
        <v>292</v>
      </c>
      <c r="C76" s="245">
        <f>F60</f>
        <v>3</v>
      </c>
      <c r="D76" s="134"/>
    </row>
    <row r="77" spans="2:6">
      <c r="B77" s="100" t="s">
        <v>442</v>
      </c>
      <c r="C77" s="173">
        <f>Normalized_FCF!C90*(1-dividend_tax_rate)</f>
        <v>1.06</v>
      </c>
      <c r="D77" t="str">
        <f>Market_currency</f>
        <v>CNY</v>
      </c>
    </row>
    <row r="79" spans="2:6" ht="13.15">
      <c r="B79" s="109" t="s">
        <v>296</v>
      </c>
    </row>
    <row r="80" spans="2:6">
      <c r="B80" s="148" t="s">
        <v>294</v>
      </c>
      <c r="C80" s="167">
        <f>Thesis!F29</f>
        <v>0.45</v>
      </c>
    </row>
    <row r="81" spans="2:8">
      <c r="B81" s="100" t="s">
        <v>116</v>
      </c>
      <c r="C81" s="116">
        <f>PV(C80, C76, -C77, 0)</f>
        <v>1.5828939275903069</v>
      </c>
      <c r="D81" s="116"/>
      <c r="E81" s="100"/>
      <c r="F81" s="100"/>
    </row>
    <row r="82" spans="2:8">
      <c r="B82" s="100" t="s">
        <v>117</v>
      </c>
      <c r="C82" s="116">
        <f>C60/(1+C80)^C76</f>
        <v>6.7049693698516268</v>
      </c>
      <c r="D82" s="116"/>
    </row>
    <row r="83" spans="2:8" ht="13.15">
      <c r="B83" s="110" t="s">
        <v>97</v>
      </c>
      <c r="C83" s="111">
        <f>C81+C82</f>
        <v>8.287863297441934</v>
      </c>
      <c r="D83" t="str">
        <f>Market_currency</f>
        <v>CNY</v>
      </c>
      <c r="E83" s="146" t="s">
        <v>121</v>
      </c>
      <c r="F83" s="291">
        <f>(1-C83/C60)</f>
        <v>0.59454582742272521</v>
      </c>
    </row>
    <row r="84" spans="2:8">
      <c r="E84" s="120"/>
    </row>
    <row r="85" spans="2:8" ht="13.15">
      <c r="B85" s="109" t="s">
        <v>297</v>
      </c>
    </row>
    <row r="86" spans="2:8">
      <c r="B86" s="148" t="s">
        <v>295</v>
      </c>
      <c r="C86" s="116">
        <f>Market_Price</f>
        <v>21.81</v>
      </c>
      <c r="D86" t="str">
        <f>Market_currency</f>
        <v>CNY</v>
      </c>
    </row>
    <row r="87" spans="2:8" ht="13.15">
      <c r="B87" s="100" t="s">
        <v>293</v>
      </c>
      <c r="C87" s="237">
        <f ca="1">IRR(OFFSET($I$3, 0, 0, $C$76 + 1, 1))</f>
        <v>2.8257760882916427E-2</v>
      </c>
    </row>
    <row r="88" spans="2:8">
      <c r="B88" s="100"/>
    </row>
    <row r="89" spans="2:8" ht="13.15">
      <c r="B89" s="109" t="s">
        <v>394</v>
      </c>
    </row>
    <row r="90" spans="2:8">
      <c r="B90" s="148" t="s">
        <v>395</v>
      </c>
      <c r="C90" s="167">
        <f>Thesis!F30</f>
        <v>0.3</v>
      </c>
    </row>
    <row r="91" spans="2:8">
      <c r="B91" s="100" t="s">
        <v>116</v>
      </c>
      <c r="C91" s="116">
        <f>PV(C90, C76, -C77, 0)</f>
        <v>1.9250796540737376</v>
      </c>
      <c r="D91" s="116"/>
      <c r="E91" s="100"/>
      <c r="F91" s="100"/>
    </row>
    <row r="92" spans="2:8">
      <c r="B92" s="100" t="s">
        <v>117</v>
      </c>
      <c r="C92" s="116">
        <f>C60/(1+C90)^C76</f>
        <v>9.3040224147309569</v>
      </c>
      <c r="D92" s="116"/>
    </row>
    <row r="93" spans="2:8" ht="13.15">
      <c r="B93" s="110" t="s">
        <v>97</v>
      </c>
      <c r="C93" s="111">
        <f>C91+C92</f>
        <v>11.229102068804695</v>
      </c>
      <c r="D93" t="str">
        <f>Market_currency</f>
        <v>CNY</v>
      </c>
      <c r="E93" s="146" t="s">
        <v>121</v>
      </c>
      <c r="F93" s="291">
        <f>(1-C93/C60)</f>
        <v>0.45065620357200753</v>
      </c>
    </row>
    <row r="95" spans="2:8" ht="13.15">
      <c r="B95" s="109" t="s">
        <v>380</v>
      </c>
      <c r="G95" s="2"/>
      <c r="H95" s="281"/>
    </row>
    <row r="96" spans="2:8">
      <c r="B96" s="148" t="s">
        <v>385</v>
      </c>
      <c r="C96" s="134">
        <f>Thesis!F31</f>
        <v>7.4999999999999997E-2</v>
      </c>
      <c r="G96" s="2"/>
      <c r="H96" s="281"/>
    </row>
    <row r="97" spans="2:8">
      <c r="B97" s="100" t="s">
        <v>116</v>
      </c>
      <c r="C97" s="116">
        <f>PV(C96, C76, -C77, 0)</f>
        <v>2.7565572842642774</v>
      </c>
      <c r="D97" s="116"/>
      <c r="G97" s="2"/>
      <c r="H97" s="281"/>
    </row>
    <row r="98" spans="2:8">
      <c r="B98" s="100" t="s">
        <v>117</v>
      </c>
      <c r="C98" s="116">
        <f>C60/(1+C96)^C76</f>
        <v>16.4541484861772</v>
      </c>
      <c r="D98" s="116"/>
      <c r="G98" s="2"/>
      <c r="H98" s="281"/>
    </row>
    <row r="99" spans="2:8" ht="13.15">
      <c r="B99" s="110" t="s">
        <v>381</v>
      </c>
      <c r="C99" s="111">
        <f>C97+C98</f>
        <v>19.210705770441479</v>
      </c>
      <c r="D99" t="s">
        <v>379</v>
      </c>
      <c r="E99" s="146" t="s">
        <v>121</v>
      </c>
      <c r="F99" s="291">
        <f>(1-C99/C60)</f>
        <v>6.0184690162066623E-2</v>
      </c>
    </row>
    <row r="100" spans="2:8">
      <c r="B100" s="100"/>
    </row>
    <row r="101" spans="2:8" ht="13.15">
      <c r="B101" s="109" t="s">
        <v>401</v>
      </c>
    </row>
    <row r="102" spans="2:8">
      <c r="B102" s="148" t="s">
        <v>400</v>
      </c>
      <c r="C102" s="134">
        <f>Thesis!F32</f>
        <v>8.6999999999999994E-2</v>
      </c>
    </row>
    <row r="103" spans="2:8">
      <c r="B103" s="100" t="s">
        <v>116</v>
      </c>
      <c r="C103" s="116">
        <f>PV(C102, C76, -C77, 0)</f>
        <v>2.6975834619563113</v>
      </c>
      <c r="D103" s="116"/>
    </row>
    <row r="104" spans="2:8">
      <c r="B104" s="100" t="s">
        <v>117</v>
      </c>
      <c r="C104" s="116">
        <f>C60/(1+C102)^C76</f>
        <v>15.915202640851307</v>
      </c>
      <c r="D104" s="116"/>
    </row>
    <row r="105" spans="2:8" ht="13.15">
      <c r="B105" s="110" t="s">
        <v>381</v>
      </c>
      <c r="C105" s="111">
        <f>C103+C104</f>
        <v>18.612786102807618</v>
      </c>
      <c r="D105" t="s">
        <v>379</v>
      </c>
      <c r="E105" s="146" t="s">
        <v>121</v>
      </c>
      <c r="F105" s="291">
        <f>(1-C105/C66)</f>
        <v>8.9394331038061381E-2</v>
      </c>
    </row>
    <row r="106" spans="2:8">
      <c r="B106" s="100"/>
    </row>
    <row r="107" spans="2:8" ht="14.65">
      <c r="E107" s="285" t="s">
        <v>316</v>
      </c>
      <c r="F107" s="282"/>
    </row>
    <row r="108" spans="2:8" ht="13.9">
      <c r="E108" s="278" t="s">
        <v>317</v>
      </c>
      <c r="F108" s="283" t="s">
        <v>318</v>
      </c>
    </row>
    <row r="109" spans="2:8" ht="13.9">
      <c r="E109" s="279" t="s">
        <v>317</v>
      </c>
      <c r="F109" s="283" t="s">
        <v>319</v>
      </c>
    </row>
    <row r="110" spans="2:8" ht="13.9">
      <c r="E110" s="280" t="s">
        <v>317</v>
      </c>
      <c r="F110" s="284" t="s">
        <v>320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E34" sqref="E34"/>
    </sheetView>
  </sheetViews>
  <sheetFormatPr defaultColWidth="8.796875" defaultRowHeight="12.75"/>
  <cols>
    <col min="1" max="1" width="2.6640625" customWidth="1"/>
    <col min="2" max="2" width="22.6640625" customWidth="1"/>
    <col min="3" max="5" width="20.6640625" customWidth="1"/>
  </cols>
  <sheetData>
    <row r="2" spans="2:5" ht="13.9">
      <c r="B2" s="36" t="s">
        <v>443</v>
      </c>
      <c r="C2" s="37"/>
      <c r="D2" s="37"/>
      <c r="E2" s="37"/>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140" zoomScaleNormal="100" workbookViewId="0">
      <selection activeCell="D17" sqref="D1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444</v>
      </c>
      <c r="C1" s="33">
        <f>Thesis!C1</f>
        <v>45797</v>
      </c>
      <c r="D1" s="357" t="str">
        <f>Thesis!D1</f>
        <v>INT</v>
      </c>
      <c r="E1" s="292" t="s">
        <v>345</v>
      </c>
      <c r="F1" s="307" t="str">
        <f>Thesis!F1</f>
        <v>Y</v>
      </c>
    </row>
    <row r="2" spans="1:10" ht="13.9">
      <c r="A2" s="222" t="s">
        <v>445</v>
      </c>
      <c r="B2" s="36"/>
      <c r="C2" s="36"/>
      <c r="D2" s="36"/>
      <c r="E2" s="36"/>
      <c r="F2" s="36"/>
      <c r="G2" s="22"/>
      <c r="H2" s="22"/>
      <c r="I2" s="22"/>
      <c r="J2" s="22"/>
    </row>
    <row r="4" spans="1:10">
      <c r="B4" s="45" t="s">
        <v>446</v>
      </c>
      <c r="C4" s="46"/>
      <c r="D4" s="5"/>
      <c r="E4" s="2"/>
      <c r="F4" s="2"/>
    </row>
    <row r="5" spans="1:10" ht="12.4">
      <c r="B5" s="4" t="s">
        <v>486</v>
      </c>
      <c r="C5" s="358" t="str">
        <f>Thesis!C5</f>
        <v>兴业银行</v>
      </c>
    </row>
    <row r="6" spans="1:10">
      <c r="B6" s="4" t="s">
        <v>487</v>
      </c>
      <c r="C6" s="34">
        <f>Common_Shares</f>
        <v>20774311267</v>
      </c>
      <c r="E6" s="48"/>
    </row>
    <row r="7" spans="1:10">
      <c r="B7" s="2" t="s">
        <v>488</v>
      </c>
      <c r="C7" s="359">
        <f>Thesis!C7</f>
        <v>6</v>
      </c>
      <c r="D7" s="48"/>
      <c r="E7" s="48"/>
    </row>
    <row r="8" spans="1:10">
      <c r="B8" s="1" t="s">
        <v>489</v>
      </c>
      <c r="C8" s="33">
        <f>EOMONTH(EDATE(BS!C1,C7+2),0)</f>
        <v>45900</v>
      </c>
      <c r="E8" s="48"/>
    </row>
    <row r="9" spans="1:10">
      <c r="E9" s="34"/>
    </row>
    <row r="10" spans="1:10">
      <c r="B10" s="45" t="s">
        <v>447</v>
      </c>
      <c r="C10" s="46"/>
      <c r="E10" s="34"/>
    </row>
    <row r="11" spans="1:10">
      <c r="B11" s="1" t="s">
        <v>490</v>
      </c>
      <c r="C11" s="364" t="str">
        <f>Thesis!C11</f>
        <v>601166.SS</v>
      </c>
      <c r="D11" s="49"/>
      <c r="E11" s="34"/>
    </row>
    <row r="12" spans="1:10">
      <c r="B12" s="4" t="s">
        <v>491</v>
      </c>
      <c r="C12" s="365">
        <f>Market_Price</f>
        <v>21.81</v>
      </c>
      <c r="D12" s="50"/>
      <c r="E12" s="48"/>
    </row>
    <row r="13" spans="1:10">
      <c r="B13" s="1" t="s">
        <v>492</v>
      </c>
      <c r="C13" s="32" t="str">
        <f>Market_currency</f>
        <v>CNY</v>
      </c>
      <c r="D13" s="48"/>
      <c r="E13" s="5"/>
    </row>
    <row r="14" spans="1:10">
      <c r="B14" s="4" t="s">
        <v>493</v>
      </c>
      <c r="C14" s="35">
        <f>投资主题!C12*Common_Shares/1000000</f>
        <v>453087.72873326996</v>
      </c>
      <c r="D14" s="35" t="str">
        <f>IF(D11="","",投资主题!D12*Common_Shares/1000000)</f>
        <v/>
      </c>
      <c r="E14" s="5"/>
    </row>
    <row r="15" spans="1:10">
      <c r="B15" s="4" t="s">
        <v>494</v>
      </c>
      <c r="C15" s="32" t="str">
        <f>IF(C25=C13,C13,C25&amp;"/"&amp;C13)</f>
        <v>CNY</v>
      </c>
      <c r="D15" s="32" t="str">
        <f>IF(D11="","",IF(C25=D13,D13,C25&amp;"/"&amp;D13))</f>
        <v/>
      </c>
      <c r="E15" s="5"/>
    </row>
    <row r="16" spans="1:10">
      <c r="B16" s="4" t="s">
        <v>495</v>
      </c>
      <c r="C16" s="365">
        <f>Exchange_Rate</f>
        <v>1</v>
      </c>
      <c r="D16" s="50"/>
      <c r="E16" s="5"/>
    </row>
    <row r="17" spans="2:6">
      <c r="D17" s="5"/>
      <c r="E17" s="5"/>
    </row>
    <row r="18" spans="2:6" ht="24.5" customHeight="1">
      <c r="B18" s="381" t="s">
        <v>496</v>
      </c>
      <c r="C18" s="381"/>
      <c r="D18" s="381"/>
      <c r="E18" s="381"/>
      <c r="F18" s="381"/>
    </row>
    <row r="20" spans="2:6">
      <c r="B20" s="45" t="s">
        <v>497</v>
      </c>
      <c r="C20" s="46"/>
      <c r="D20" s="5"/>
    </row>
    <row r="21" spans="2:6">
      <c r="B21" s="2" t="s">
        <v>448</v>
      </c>
      <c r="C21" s="32" t="str">
        <f>IF(Scenarios!C69="Y",Scenarios!B69,"")&amp;IF(Scenarios!C70="Y",Scenarios!B70,"")&amp;IF(Scenarios!C71="Y",Scenarios!B71,"")&amp;" "&amp;IF(Scenarios!C72="Y",Scenarios!B72,"")</f>
        <v xml:space="preserve">Low Growth </v>
      </c>
      <c r="D21" s="1" t="s">
        <v>454</v>
      </c>
      <c r="E21" s="362" t="str">
        <f>valuation_method</f>
        <v>DDM</v>
      </c>
    </row>
    <row r="22" spans="2:6">
      <c r="B22" s="2" t="s">
        <v>449</v>
      </c>
      <c r="C22" s="32" t="str">
        <f>Thesis!C22</f>
        <v>FIN_01</v>
      </c>
      <c r="D22" s="1" t="str">
        <f>IF(valuation_method="DDM","终值贴现率","")</f>
        <v>终值贴现率</v>
      </c>
      <c r="E22" s="363">
        <f>Thesis!E22</f>
        <v>0.02</v>
      </c>
    </row>
    <row r="23" spans="2:6">
      <c r="B23" s="1" t="s">
        <v>450</v>
      </c>
      <c r="C23" s="253" t="str">
        <f>Thesis!C23</f>
        <v>N</v>
      </c>
    </row>
    <row r="24" spans="2:6">
      <c r="B24" s="1" t="s">
        <v>451</v>
      </c>
      <c r="C24" s="253" t="str">
        <f>Thesis!C24</f>
        <v>N</v>
      </c>
    </row>
    <row r="25" spans="2:6">
      <c r="B25" s="4" t="s">
        <v>452</v>
      </c>
      <c r="C25" s="32" t="str">
        <f>Reporting_currency</f>
        <v>CNY</v>
      </c>
      <c r="D25" s="32" t="str">
        <f>IF(D11="","",Market_currency&amp;"/"&amp;D13&amp;":")</f>
        <v/>
      </c>
      <c r="E25" s="299" t="str">
        <f>IF(D11="","",1/Exchange_Rate*D16)</f>
        <v/>
      </c>
    </row>
    <row r="26" spans="2:6">
      <c r="B26" s="1" t="str">
        <f>"预期股权价值 ("&amp;C13&amp;") :"</f>
        <v>预期股权价值 (CNY) :</v>
      </c>
      <c r="C26" s="304">
        <f>C132</f>
        <v>20.440937245163916</v>
      </c>
      <c r="D26" s="1" t="s">
        <v>453</v>
      </c>
      <c r="E26" s="301">
        <f ca="1">Scenarios!C87</f>
        <v>2.8257760882916427E-2</v>
      </c>
    </row>
    <row r="27" spans="2:6">
      <c r="D27" s="5"/>
      <c r="E27" s="5"/>
    </row>
    <row r="28" spans="2:6">
      <c r="B28" s="45" t="s">
        <v>455</v>
      </c>
      <c r="C28" s="309" t="str">
        <f>C145&amp;" ("&amp;Market_currency&amp;")"</f>
        <v>601166.SS (CNY)</v>
      </c>
      <c r="D28" s="309" t="str">
        <f>IF(D11="","",D145&amp;" ("&amp;D13&amp;")")</f>
        <v/>
      </c>
      <c r="E28" s="305" t="s">
        <v>460</v>
      </c>
      <c r="F28" s="360">
        <f>Thesis!F28</f>
        <v>3</v>
      </c>
    </row>
    <row r="29" spans="2:6">
      <c r="B29" s="1" t="s">
        <v>456</v>
      </c>
      <c r="C29" s="310">
        <f>C149</f>
        <v>8.287863297441934</v>
      </c>
      <c r="D29" s="310" t="str">
        <f>D149</f>
        <v/>
      </c>
      <c r="E29" s="306" t="s">
        <v>462</v>
      </c>
      <c r="F29" s="361">
        <f>Thesis!F29</f>
        <v>0.45</v>
      </c>
    </row>
    <row r="30" spans="2:6">
      <c r="B30" s="1" t="s">
        <v>457</v>
      </c>
      <c r="C30" s="311">
        <f>C157</f>
        <v>11.229102068804695</v>
      </c>
      <c r="D30" s="311" t="str">
        <f>D157</f>
        <v/>
      </c>
      <c r="E30" s="307" t="s">
        <v>461</v>
      </c>
      <c r="F30" s="224">
        <f>Thesis!F30</f>
        <v>0.3</v>
      </c>
    </row>
    <row r="31" spans="2:6">
      <c r="B31" s="1" t="s">
        <v>458</v>
      </c>
      <c r="C31" s="311">
        <f>C165</f>
        <v>19.210705770441479</v>
      </c>
      <c r="D31" s="311" t="str">
        <f>D165</f>
        <v/>
      </c>
      <c r="E31" s="307" t="s">
        <v>498</v>
      </c>
      <c r="F31" s="224">
        <f>Thesis!F31</f>
        <v>7.4999999999999997E-2</v>
      </c>
    </row>
    <row r="32" spans="2:6">
      <c r="B32" s="1" t="s">
        <v>459</v>
      </c>
      <c r="C32" s="311">
        <f>C173</f>
        <v>18.612786102807618</v>
      </c>
      <c r="D32" s="311" t="str">
        <f>D173</f>
        <v/>
      </c>
      <c r="E32" s="307" t="s">
        <v>463</v>
      </c>
      <c r="F32" s="224">
        <f>Thesis!F32</f>
        <v>8.6999999999999994E-2</v>
      </c>
    </row>
    <row r="33" spans="1:6">
      <c r="D33" s="5"/>
      <c r="E33" s="5"/>
    </row>
    <row r="34" spans="1:6" ht="13.9">
      <c r="A34" s="222" t="s">
        <v>464</v>
      </c>
      <c r="B34" s="36"/>
      <c r="C34" s="36"/>
      <c r="D34" s="36"/>
      <c r="E34" s="36"/>
      <c r="F34" s="36"/>
    </row>
    <row r="36" spans="1:6" ht="24.5" customHeight="1">
      <c r="B36" s="381" t="s">
        <v>499</v>
      </c>
      <c r="C36" s="381"/>
      <c r="D36" s="381"/>
      <c r="E36" s="381"/>
      <c r="F36" s="381"/>
    </row>
    <row r="37" spans="1:6" ht="24.5" customHeight="1">
      <c r="B37" s="383" t="s">
        <v>331</v>
      </c>
      <c r="C37" s="383"/>
      <c r="D37" s="383"/>
      <c r="E37" s="383"/>
      <c r="F37" s="383"/>
    </row>
    <row r="39" spans="1:6">
      <c r="B39" s="210" t="s">
        <v>500</v>
      </c>
      <c r="C39" s="108">
        <f>scaling_factor</f>
        <v>1000000</v>
      </c>
    </row>
    <row r="40" spans="1:6">
      <c r="B40" s="382" t="s">
        <v>501</v>
      </c>
      <c r="C40" s="382"/>
      <c r="D40" s="382"/>
      <c r="E40" s="382"/>
      <c r="F40" s="382"/>
    </row>
    <row r="41" spans="1:6">
      <c r="B41" s="47" t="s">
        <v>227</v>
      </c>
      <c r="C41" s="348">
        <f>Normalized_FCF!C8</f>
        <v>6033.25</v>
      </c>
      <c r="D41" s="1" t="str">
        <f>Reporting_currency</f>
        <v>CNY</v>
      </c>
    </row>
    <row r="42" spans="1:6">
      <c r="B42" s="47"/>
      <c r="C42" s="76"/>
    </row>
    <row r="43" spans="1:6" ht="24.5" customHeight="1">
      <c r="B43" s="382" t="s">
        <v>502</v>
      </c>
      <c r="C43" s="382"/>
      <c r="D43" s="382"/>
      <c r="E43" s="382"/>
      <c r="F43" s="382"/>
    </row>
    <row r="44" spans="1:6">
      <c r="B44" s="47" t="s">
        <v>229</v>
      </c>
      <c r="C44" s="348">
        <f>Normalized_FCF!C9</f>
        <v>0</v>
      </c>
      <c r="D44" s="1" t="str">
        <f>Reporting_currency</f>
        <v>CNY</v>
      </c>
    </row>
    <row r="45" spans="1:6">
      <c r="B45" s="52" t="s">
        <v>230</v>
      </c>
      <c r="C45" s="348">
        <f>Normalized_FCF!C10</f>
        <v>0</v>
      </c>
      <c r="D45" s="1" t="str">
        <f>Reporting_currency</f>
        <v>CNY</v>
      </c>
    </row>
    <row r="47" spans="1:6">
      <c r="B47" s="382" t="s">
        <v>503</v>
      </c>
      <c r="C47" s="382"/>
      <c r="D47" s="382"/>
      <c r="E47" s="382"/>
      <c r="F47" s="382"/>
    </row>
    <row r="48" spans="1:6">
      <c r="B48" s="47" t="s">
        <v>232</v>
      </c>
      <c r="C48" s="348">
        <f>Normalized_FCF!C11</f>
        <v>0</v>
      </c>
      <c r="D48" s="1" t="str">
        <f>Reporting_currency</f>
        <v>CNY</v>
      </c>
    </row>
    <row r="50" spans="2:6">
      <c r="B50" s="382" t="s">
        <v>504</v>
      </c>
      <c r="C50" s="382"/>
      <c r="D50" s="382"/>
      <c r="E50" s="382"/>
      <c r="F50" s="382"/>
    </row>
    <row r="51" spans="2:6">
      <c r="B51" s="47" t="s">
        <v>332</v>
      </c>
      <c r="C51" s="349">
        <f>Normalized_FCF!C48</f>
        <v>343835</v>
      </c>
      <c r="D51" s="1" t="str">
        <f>Reporting_currency</f>
        <v>CNY</v>
      </c>
      <c r="E51" s="286"/>
      <c r="F51" s="286"/>
    </row>
    <row r="52" spans="2:6">
      <c r="B52" s="47" t="s">
        <v>333</v>
      </c>
      <c r="C52" s="349">
        <f>Normalized_FCF!C47</f>
        <v>-195728</v>
      </c>
      <c r="D52" s="1" t="str">
        <f>Reporting_currency</f>
        <v>CNY</v>
      </c>
      <c r="E52" s="286"/>
      <c r="F52" s="286"/>
    </row>
    <row r="53" spans="2:6">
      <c r="B53" s="47" t="s">
        <v>233</v>
      </c>
      <c r="C53" s="348">
        <f>Normalized_FCF!C12</f>
        <v>148107</v>
      </c>
      <c r="D53" s="1" t="str">
        <f>Reporting_currency</f>
        <v>CNY</v>
      </c>
    </row>
    <row r="55" spans="2:6">
      <c r="B55" s="1" t="s">
        <v>505</v>
      </c>
    </row>
    <row r="56" spans="2:6">
      <c r="B56" s="47" t="s">
        <v>260</v>
      </c>
      <c r="C56" s="348">
        <f>Normalized_FCF!C15</f>
        <v>-902.60509486250271</v>
      </c>
      <c r="D56" s="1" t="str">
        <f>Reporting_currency</f>
        <v>CNY</v>
      </c>
    </row>
    <row r="58" spans="2:6">
      <c r="B58" s="382" t="s">
        <v>236</v>
      </c>
      <c r="C58" s="382"/>
      <c r="D58" s="382"/>
      <c r="E58" s="382"/>
      <c r="F58" s="382"/>
    </row>
    <row r="59" spans="2:6">
      <c r="B59" s="47" t="s">
        <v>234</v>
      </c>
      <c r="C59" s="348">
        <f>Normalized_FCF!C14</f>
        <v>-38535.0625</v>
      </c>
      <c r="D59" s="1" t="str">
        <f>Reporting_currency</f>
        <v>CNY</v>
      </c>
    </row>
    <row r="61" spans="2:6">
      <c r="B61" s="382" t="s">
        <v>506</v>
      </c>
      <c r="C61" s="385"/>
      <c r="D61" s="385"/>
      <c r="E61" s="385"/>
      <c r="F61" s="385"/>
    </row>
    <row r="62" spans="2:6">
      <c r="B62" s="47" t="s">
        <v>237</v>
      </c>
      <c r="C62" s="348">
        <f>Normalized_FCF!C17</f>
        <v>0</v>
      </c>
      <c r="D62" s="1" t="str">
        <f>Reporting_currency</f>
        <v>CNY</v>
      </c>
    </row>
    <row r="64" spans="2:6">
      <c r="B64" s="381" t="s">
        <v>507</v>
      </c>
      <c r="C64" s="381"/>
      <c r="D64" s="381"/>
      <c r="E64" s="381"/>
      <c r="F64" s="381"/>
    </row>
    <row r="65" spans="1:6">
      <c r="B65" s="381" t="s">
        <v>508</v>
      </c>
      <c r="C65" s="381"/>
      <c r="D65" s="381"/>
      <c r="E65" s="381"/>
      <c r="F65" s="381"/>
    </row>
    <row r="67" spans="1:6">
      <c r="B67" s="47" t="s">
        <v>509</v>
      </c>
      <c r="C67" s="348">
        <f>Normalized_FCF!G19</f>
        <v>137471</v>
      </c>
      <c r="D67" s="1" t="str">
        <f>Reporting_currency</f>
        <v>CNY</v>
      </c>
    </row>
    <row r="68" spans="1:6">
      <c r="B68" s="47" t="s">
        <v>243</v>
      </c>
      <c r="C68" s="348">
        <f>Normalized_FCF!C19</f>
        <v>114702.58240513749</v>
      </c>
      <c r="D68" s="1" t="str">
        <f>Reporting_currency</f>
        <v>CNY</v>
      </c>
    </row>
    <row r="69" spans="1:6">
      <c r="B69" s="227" t="s">
        <v>373</v>
      </c>
      <c r="C69" s="92">
        <f>Normalized_FCF!C126</f>
        <v>0.25315755676239515</v>
      </c>
      <c r="F69" s="314"/>
    </row>
    <row r="70" spans="1:6">
      <c r="B70" s="227" t="s">
        <v>441</v>
      </c>
      <c r="C70" s="92">
        <f>Normalized_FCF!C94</f>
        <v>4.8601558917927563E-2</v>
      </c>
      <c r="E70" s="47" t="s">
        <v>510</v>
      </c>
      <c r="F70" s="315">
        <f>Normalized_FCF!C92</f>
        <v>0.19198146616473824</v>
      </c>
    </row>
    <row r="72" spans="1:6">
      <c r="B72" s="210" t="s">
        <v>520</v>
      </c>
      <c r="C72" s="323" t="s">
        <v>436</v>
      </c>
      <c r="D72" s="323" t="s">
        <v>511</v>
      </c>
    </row>
    <row r="73" spans="1:6">
      <c r="B73" s="47" t="s">
        <v>435</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512</v>
      </c>
      <c r="B78" s="36"/>
      <c r="C78" s="36"/>
      <c r="D78" s="36"/>
      <c r="E78" s="36"/>
      <c r="F78" s="36"/>
    </row>
    <row r="79" spans="1:6">
      <c r="A79" s="209"/>
    </row>
    <row r="80" spans="1:6">
      <c r="A80" s="17"/>
      <c r="B80" s="381" t="s">
        <v>513</v>
      </c>
      <c r="C80" s="381"/>
      <c r="D80" s="381"/>
      <c r="E80" s="381"/>
      <c r="F80" s="381"/>
    </row>
    <row r="81" spans="1:6">
      <c r="B81" s="383" t="s">
        <v>247</v>
      </c>
      <c r="C81" s="383"/>
      <c r="D81" s="383"/>
      <c r="E81" s="383"/>
      <c r="F81" s="383"/>
    </row>
    <row r="83" spans="1:6">
      <c r="B83" s="210" t="s">
        <v>500</v>
      </c>
    </row>
    <row r="84" spans="1:6">
      <c r="B84" s="1" t="s">
        <v>410</v>
      </c>
      <c r="C84" s="92">
        <f>F31</f>
        <v>7.4999999999999997E-2</v>
      </c>
    </row>
    <row r="85" spans="1:6">
      <c r="B85" s="1" t="s">
        <v>409</v>
      </c>
      <c r="C85" s="92">
        <f>IF(C23="Y",1%,0)+IF(C24="Y",1%,0)</f>
        <v>0</v>
      </c>
    </row>
    <row r="86" spans="1:6">
      <c r="B86" s="80" t="s">
        <v>242</v>
      </c>
      <c r="C86" s="236">
        <f>F31+C85</f>
        <v>7.4999999999999997E-2</v>
      </c>
    </row>
    <row r="87" spans="1:6">
      <c r="C87" s="121"/>
    </row>
    <row r="88" spans="1:6">
      <c r="B88" s="293" t="s">
        <v>519</v>
      </c>
      <c r="C88" s="121"/>
    </row>
    <row r="89" spans="1:6">
      <c r="B89" s="381" t="s">
        <v>514</v>
      </c>
      <c r="C89" s="381"/>
      <c r="D89" s="381"/>
      <c r="E89" s="381"/>
      <c r="F89" s="381"/>
    </row>
    <row r="90" spans="1:6">
      <c r="B90" s="381" t="s">
        <v>515</v>
      </c>
      <c r="C90" s="381"/>
      <c r="D90" s="381"/>
      <c r="E90" s="381"/>
      <c r="F90" s="381"/>
    </row>
    <row r="92" spans="1:6">
      <c r="B92" s="47" t="s">
        <v>246</v>
      </c>
      <c r="C92" s="236">
        <v>0</v>
      </c>
    </row>
    <row r="93" spans="1:6">
      <c r="B93" s="47" t="s">
        <v>274</v>
      </c>
      <c r="C93" s="223">
        <f>DCF!C6*scaling_factor*Exchange_Rate/Common_Shares</f>
        <v>73.618217506504507</v>
      </c>
      <c r="D93" s="1" t="str">
        <f>Market_currency</f>
        <v>CNY</v>
      </c>
    </row>
    <row r="95" spans="1:6" ht="13.9">
      <c r="A95" s="222" t="s">
        <v>516</v>
      </c>
      <c r="B95" s="36"/>
      <c r="C95" s="36"/>
      <c r="D95" s="36"/>
      <c r="E95" s="36"/>
      <c r="F95" s="36"/>
    </row>
    <row r="96" spans="1:6">
      <c r="A96" s="209"/>
    </row>
    <row r="97" spans="2:6">
      <c r="B97" s="381" t="s">
        <v>517</v>
      </c>
      <c r="C97" s="381"/>
      <c r="D97" s="381"/>
      <c r="E97" s="381"/>
      <c r="F97" s="381"/>
    </row>
    <row r="98" spans="2:6">
      <c r="B98" s="1" t="s">
        <v>248</v>
      </c>
    </row>
    <row r="100" spans="2:6">
      <c r="B100" s="210" t="s">
        <v>500</v>
      </c>
    </row>
    <row r="101" spans="2:6">
      <c r="B101" s="381" t="s">
        <v>518</v>
      </c>
      <c r="C101" s="381"/>
      <c r="D101" s="381"/>
      <c r="E101" s="381"/>
      <c r="F101" s="381"/>
    </row>
    <row r="102" spans="2:6">
      <c r="B102" s="47" t="s">
        <v>250</v>
      </c>
      <c r="C102" s="348">
        <f>DCF!C7</f>
        <v>9516669</v>
      </c>
      <c r="D102" s="1" t="str">
        <f>Reporting_currency</f>
        <v>CNY</v>
      </c>
    </row>
    <row r="103" spans="2:6">
      <c r="B103" s="47" t="s">
        <v>275</v>
      </c>
      <c r="C103" s="223">
        <f>C102*scaling_factor*Exchange_Rate/Common_Shares</f>
        <v>458.09793054931413</v>
      </c>
      <c r="D103" s="1" t="str">
        <f>Market_currency</f>
        <v>CNY</v>
      </c>
    </row>
    <row r="104" spans="2:6">
      <c r="B104" s="296" t="s">
        <v>386</v>
      </c>
      <c r="C104" s="325" t="str">
        <f>IF(BS!G31/BS!G27&gt;300%,"nm",BS!G31/BS!G27)</f>
        <v>nm</v>
      </c>
    </row>
    <row r="105" spans="2:6">
      <c r="B105" s="296" t="s">
        <v>388</v>
      </c>
      <c r="C105" s="326" t="str">
        <f>IF(BS!C50&gt;30,"nm",BS!C50)</f>
        <v>nm</v>
      </c>
    </row>
    <row r="107" spans="2:6">
      <c r="B107" s="1" t="s">
        <v>521</v>
      </c>
    </row>
    <row r="108" spans="2:6">
      <c r="B108" s="47" t="s">
        <v>259</v>
      </c>
      <c r="C108" s="348">
        <f>BS!C66</f>
        <v>6736706</v>
      </c>
      <c r="D108" s="1" t="str">
        <f>Reporting_currency</f>
        <v>CNY</v>
      </c>
    </row>
    <row r="109" spans="2:6">
      <c r="B109" s="47" t="s">
        <v>261</v>
      </c>
      <c r="C109" s="348">
        <f>DCF!C8</f>
        <v>0</v>
      </c>
      <c r="D109" s="1" t="str">
        <f>Reporting_currency</f>
        <v>CNY</v>
      </c>
    </row>
    <row r="110" spans="2:6">
      <c r="B110" s="47" t="s">
        <v>276</v>
      </c>
      <c r="C110" s="223">
        <f>C109*scaling_factor*Exchange_Rate/Common_Shares</f>
        <v>0</v>
      </c>
      <c r="D110" s="1" t="str">
        <f>Market_currency</f>
        <v>CNY</v>
      </c>
    </row>
    <row r="112" spans="2:6">
      <c r="B112" s="1" t="s">
        <v>522</v>
      </c>
    </row>
    <row r="113" spans="1:6">
      <c r="B113" s="47" t="s">
        <v>252</v>
      </c>
      <c r="C113" s="348">
        <f>DCF!C9</f>
        <v>2145886.1</v>
      </c>
      <c r="D113" s="1" t="str">
        <f>Reporting_currency</f>
        <v>CNY</v>
      </c>
    </row>
    <row r="114" spans="1:6">
      <c r="B114" s="47" t="s">
        <v>277</v>
      </c>
      <c r="C114" s="223">
        <f>C113*scaling_factor*Exchange_Rate/Common_Shares</f>
        <v>103.2951741417652</v>
      </c>
      <c r="D114" s="1" t="str">
        <f>Market_currency</f>
        <v>CNY</v>
      </c>
    </row>
    <row r="116" spans="1:6">
      <c r="B116" s="381" t="s">
        <v>523</v>
      </c>
      <c r="C116" s="381"/>
      <c r="D116" s="381"/>
      <c r="E116" s="381"/>
      <c r="F116" s="381"/>
    </row>
    <row r="118" spans="1:6">
      <c r="B118" s="47" t="s">
        <v>524</v>
      </c>
      <c r="C118" s="223">
        <f>IF(valuation_method="DCF",DCF!C12,DDM!C7)</f>
        <v>14.133333333333335</v>
      </c>
      <c r="D118" s="1" t="str">
        <f>Market_currency</f>
        <v>CNY</v>
      </c>
    </row>
    <row r="119" spans="1:6">
      <c r="B119" s="296" t="s">
        <v>557</v>
      </c>
      <c r="C119" s="223">
        <f>BS!D47</f>
        <v>-92.956751979911445</v>
      </c>
      <c r="D119" s="1" t="str">
        <f>Market_currency</f>
        <v>CNY</v>
      </c>
    </row>
    <row r="121" spans="1:6" ht="13.9">
      <c r="A121" s="222" t="s">
        <v>525</v>
      </c>
      <c r="B121" s="36"/>
      <c r="C121" s="36"/>
      <c r="D121" s="36"/>
      <c r="E121" s="36"/>
      <c r="F121" s="36"/>
    </row>
    <row r="123" spans="1:6">
      <c r="B123" s="382" t="s">
        <v>526</v>
      </c>
      <c r="C123" s="382"/>
      <c r="D123" s="382"/>
      <c r="E123" s="382"/>
      <c r="F123" s="382"/>
    </row>
    <row r="125" spans="1:6" ht="12.4">
      <c r="B125" s="233" t="s">
        <v>527</v>
      </c>
      <c r="C125" s="233" t="s">
        <v>528</v>
      </c>
      <c r="D125" s="233" t="s">
        <v>107</v>
      </c>
      <c r="E125" s="233" t="s">
        <v>529</v>
      </c>
      <c r="F125" s="233" t="s">
        <v>530</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0.188</v>
      </c>
    </row>
    <row r="128" spans="1:6">
      <c r="B128" s="218" t="str">
        <f>DCF!B76</f>
        <v>Base</v>
      </c>
      <c r="C128" s="219">
        <f>DCF!C76</f>
        <v>0.03</v>
      </c>
      <c r="D128" s="220">
        <f>DCF!D76</f>
        <v>30</v>
      </c>
      <c r="E128" s="231" t="str">
        <f>ROUND(IF(valuation_method="DCF",DCF!E76,DDM!E71),2)&amp;" "&amp;Market_currency</f>
        <v>20.55 CNY</v>
      </c>
      <c r="F128" s="221">
        <f>DCF!F76</f>
        <v>0.56399999999999995</v>
      </c>
    </row>
    <row r="129" spans="1:6">
      <c r="B129" s="218" t="str">
        <f>DCF!B77</f>
        <v>Pessimistic</v>
      </c>
      <c r="C129" s="219">
        <f>DCF!C77</f>
        <v>0.02</v>
      </c>
      <c r="D129" s="220">
        <f>DCF!D77</f>
        <v>30</v>
      </c>
      <c r="E129" s="231" t="str">
        <f>ROUND(IF(valuation_method="DCF",DCF!E77,DDM!E72),2)&amp;" "&amp;Market_currency</f>
        <v>18.57 CNY</v>
      </c>
      <c r="F129" s="221">
        <f>DCF!F77</f>
        <v>0.188</v>
      </c>
    </row>
    <row r="130" spans="1:6">
      <c r="B130" s="218" t="str">
        <f>DCF!B78</f>
        <v>Devil's advocate</v>
      </c>
      <c r="C130" s="219">
        <f>DCF!C78</f>
        <v>0</v>
      </c>
      <c r="D130" s="220">
        <f>DCF!D78</f>
        <v>30</v>
      </c>
      <c r="E130" s="231" t="str">
        <f>ROUND(IF(valuation_method="DCF",DCF!E78,DDM!E73),2)&amp;" "&amp;Market_currency</f>
        <v>15.44 CNY</v>
      </c>
      <c r="F130" s="221">
        <f>DCF!F78</f>
        <v>0.05</v>
      </c>
    </row>
    <row r="132" spans="1:6">
      <c r="B132" s="211" t="s">
        <v>253</v>
      </c>
      <c r="C132" s="217">
        <f>Scenarios!C60</f>
        <v>20.440937245163916</v>
      </c>
      <c r="D132" s="212" t="str">
        <f>Market_currency</f>
        <v>CNY</v>
      </c>
    </row>
    <row r="134" spans="1:6">
      <c r="B134" s="386" t="s">
        <v>531</v>
      </c>
      <c r="C134" s="386"/>
      <c r="D134" s="386"/>
      <c r="E134" s="386"/>
      <c r="F134" s="386"/>
    </row>
    <row r="136" spans="1:6" ht="13.9">
      <c r="A136" s="222" t="s">
        <v>532</v>
      </c>
      <c r="B136" s="36"/>
      <c r="C136" s="36"/>
      <c r="D136" s="36"/>
      <c r="E136" s="36"/>
      <c r="F136" s="36"/>
    </row>
    <row r="138" spans="1:6">
      <c r="B138" s="384" t="s">
        <v>533</v>
      </c>
      <c r="C138" s="384"/>
      <c r="D138" s="384"/>
      <c r="E138" s="384"/>
      <c r="F138" s="384"/>
    </row>
    <row r="139" spans="1:6" ht="24.5" customHeight="1">
      <c r="B139" s="381" t="s">
        <v>534</v>
      </c>
      <c r="C139" s="381"/>
      <c r="D139" s="381"/>
      <c r="E139" s="381"/>
      <c r="F139" s="381"/>
    </row>
    <row r="140" spans="1:6">
      <c r="B140" s="210" t="s">
        <v>500</v>
      </c>
    </row>
    <row r="141" spans="1:6">
      <c r="B141" s="1" t="s">
        <v>535</v>
      </c>
      <c r="C141" s="225">
        <f>F28</f>
        <v>3</v>
      </c>
    </row>
    <row r="142" spans="1:6">
      <c r="B142" s="1" t="s">
        <v>536</v>
      </c>
      <c r="C142" s="224">
        <f>F29</f>
        <v>0.45</v>
      </c>
    </row>
    <row r="143" spans="1:6">
      <c r="B143" s="212" t="s">
        <v>537</v>
      </c>
      <c r="C143" s="213">
        <f>Scenarios!C77</f>
        <v>1.06</v>
      </c>
      <c r="D143" s="212" t="str">
        <f>Market_currency</f>
        <v>CNY</v>
      </c>
    </row>
    <row r="145" spans="2:4">
      <c r="B145" s="210" t="s">
        <v>538</v>
      </c>
      <c r="C145" s="241" t="str">
        <f>C11</f>
        <v>601166.SS</v>
      </c>
      <c r="D145" s="241" t="str">
        <f>IF(D11="","",D11)</f>
        <v/>
      </c>
    </row>
    <row r="146" spans="2:4">
      <c r="B146" s="1" t="s">
        <v>389</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6.7049693698516268</v>
      </c>
    </row>
    <row r="149" spans="2:4">
      <c r="B149" s="80" t="s">
        <v>255</v>
      </c>
      <c r="C149" s="215">
        <f>Scenarios!C83</f>
        <v>8.287863297441934</v>
      </c>
      <c r="D149" s="300" t="str">
        <f>IF($D$11="","",C149*$E$25)</f>
        <v/>
      </c>
    </row>
    <row r="150" spans="2:4">
      <c r="B150" s="259" t="s">
        <v>539</v>
      </c>
      <c r="C150" s="298" t="str">
        <f>Market_currency</f>
        <v>CNY</v>
      </c>
      <c r="D150" s="298" t="str">
        <f>IF($D$11="","",D$13)</f>
        <v/>
      </c>
    </row>
    <row r="151" spans="2:4">
      <c r="B151" s="214" t="s">
        <v>540</v>
      </c>
      <c r="C151" s="92">
        <f>Scenarios!F83</f>
        <v>0.59454582742272521</v>
      </c>
    </row>
    <row r="153" spans="2:4">
      <c r="B153" s="210" t="s">
        <v>393</v>
      </c>
    </row>
    <row r="154" spans="2:4">
      <c r="B154" s="1" t="s">
        <v>392</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9.3040224147309569</v>
      </c>
    </row>
    <row r="157" spans="2:4">
      <c r="B157" s="80" t="s">
        <v>255</v>
      </c>
      <c r="C157" s="215">
        <f>Scenarios!C93</f>
        <v>11.229102068804695</v>
      </c>
      <c r="D157" s="300" t="str">
        <f>IF($D$11="","",C157*$E$25)</f>
        <v/>
      </c>
    </row>
    <row r="158" spans="2:4">
      <c r="B158" s="259" t="s">
        <v>539</v>
      </c>
      <c r="C158" s="298" t="str">
        <f>Market_currency</f>
        <v>CNY</v>
      </c>
      <c r="D158" s="298" t="str">
        <f>IF($D$11="","",D$13)</f>
        <v/>
      </c>
    </row>
    <row r="159" spans="2:4">
      <c r="B159" s="214" t="s">
        <v>540</v>
      </c>
      <c r="C159" s="92">
        <f>Scenarios!F93</f>
        <v>0.45065620357200753</v>
      </c>
    </row>
    <row r="161" spans="2:4">
      <c r="B161" s="210" t="s">
        <v>383</v>
      </c>
    </row>
    <row r="162" spans="2:4">
      <c r="B162" s="1" t="s">
        <v>391</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16.4541484861772</v>
      </c>
    </row>
    <row r="165" spans="2:4">
      <c r="B165" s="80" t="s">
        <v>384</v>
      </c>
      <c r="C165" s="215">
        <f>Scenarios!C99</f>
        <v>19.210705770441479</v>
      </c>
      <c r="D165" s="300" t="str">
        <f>IF($D$11="","",C165*$E$25)</f>
        <v/>
      </c>
    </row>
    <row r="166" spans="2:4">
      <c r="B166" s="259" t="s">
        <v>539</v>
      </c>
      <c r="C166" s="298" t="str">
        <f>Market_currency</f>
        <v>CNY</v>
      </c>
      <c r="D166" s="298" t="str">
        <f>IF($D$11="","",D$13)</f>
        <v/>
      </c>
    </row>
    <row r="167" spans="2:4">
      <c r="B167" s="214" t="s">
        <v>540</v>
      </c>
      <c r="C167" s="92">
        <f>Scenarios!F99</f>
        <v>6.0184690162066623E-2</v>
      </c>
    </row>
    <row r="169" spans="2:4">
      <c r="B169" s="210" t="s">
        <v>411</v>
      </c>
    </row>
    <row r="170" spans="2:4">
      <c r="B170" s="1" t="s">
        <v>402</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15.915202640851307</v>
      </c>
    </row>
    <row r="173" spans="2:4">
      <c r="B173" s="80" t="s">
        <v>384</v>
      </c>
      <c r="C173" s="215">
        <f>Scenarios!C105</f>
        <v>18.612786102807618</v>
      </c>
      <c r="D173" s="300" t="str">
        <f>IF($D$11="","",C173*$E$25)</f>
        <v/>
      </c>
    </row>
    <row r="174" spans="2:4">
      <c r="B174" s="259" t="s">
        <v>539</v>
      </c>
      <c r="C174" s="298" t="str">
        <f>Market_currency</f>
        <v>CNY</v>
      </c>
      <c r="D174" s="298" t="str">
        <f>IF($D$11="","",D$13)</f>
        <v/>
      </c>
    </row>
    <row r="175" spans="2:4">
      <c r="B175" s="214" t="s">
        <v>540</v>
      </c>
      <c r="C175" s="92">
        <f>Scenarios!F105</f>
        <v>8.9394331038061381E-2</v>
      </c>
    </row>
    <row r="177" spans="1:6" ht="13.9">
      <c r="A177" s="222" t="s">
        <v>359</v>
      </c>
      <c r="B177" s="36"/>
      <c r="C177" s="36"/>
      <c r="D177" s="36"/>
      <c r="E177" s="36"/>
      <c r="F177" s="36"/>
    </row>
    <row r="179" spans="1:6">
      <c r="B179" s="388" t="s">
        <v>541</v>
      </c>
      <c r="C179" s="381"/>
      <c r="D179" s="381"/>
      <c r="E179" s="381"/>
      <c r="F179" s="381"/>
    </row>
    <row r="181" spans="1:6">
      <c r="B181" s="210" t="s">
        <v>542</v>
      </c>
    </row>
    <row r="182" spans="1:6">
      <c r="B182" s="385" t="s">
        <v>543</v>
      </c>
      <c r="C182" s="385"/>
      <c r="D182" s="385"/>
      <c r="E182" s="385"/>
      <c r="F182" s="385"/>
    </row>
    <row r="183" spans="1:6">
      <c r="B183" s="214" t="s">
        <v>544</v>
      </c>
    </row>
    <row r="184" spans="1:6">
      <c r="B184" s="214" t="s">
        <v>545</v>
      </c>
    </row>
    <row r="185" spans="1:6">
      <c r="B185" s="214" t="s">
        <v>546</v>
      </c>
    </row>
    <row r="187" spans="1:6">
      <c r="B187" s="1" t="s">
        <v>547</v>
      </c>
    </row>
    <row r="188" spans="1:6" ht="24.5" customHeight="1">
      <c r="B188" s="382" t="s">
        <v>548</v>
      </c>
      <c r="C188" s="382"/>
      <c r="D188" s="382"/>
      <c r="E188" s="382"/>
      <c r="F188" s="382"/>
    </row>
    <row r="190" spans="1:6">
      <c r="B190" s="1" t="s">
        <v>549</v>
      </c>
    </row>
    <row r="191" spans="1:6">
      <c r="B191" s="387" t="s">
        <v>550</v>
      </c>
      <c r="C191" s="387"/>
      <c r="D191" s="387"/>
      <c r="E191" s="387"/>
      <c r="F191" s="387"/>
    </row>
    <row r="192" spans="1:6">
      <c r="B192" s="387" t="s">
        <v>551</v>
      </c>
      <c r="C192" s="387"/>
      <c r="D192" s="387"/>
      <c r="E192" s="387"/>
      <c r="F192" s="387"/>
    </row>
    <row r="194" spans="2:2">
      <c r="B194" s="1" t="s">
        <v>552</v>
      </c>
    </row>
    <row r="195" spans="2:2">
      <c r="B195" s="214" t="s">
        <v>553</v>
      </c>
    </row>
    <row r="196" spans="2:2">
      <c r="B196" s="214" t="s">
        <v>554</v>
      </c>
    </row>
    <row r="197" spans="2:2">
      <c r="B197" s="214" t="s">
        <v>555</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Breakdown</vt:lpstr>
      <vt:lpstr>投资主题</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2025-09-13T14:26:16Z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