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4A95C26A-0880-4391-9364-3827DD46553E}"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86" i="3" l="1"/>
  <c r="C4" i="2"/>
  <c r="E83" i="2"/>
  <c r="E84" i="2"/>
  <c r="C88" i="2"/>
  <c r="C79" i="2"/>
  <c r="C64" i="2"/>
  <c r="C65" i="2"/>
  <c r="C66" i="2"/>
  <c r="C35" i="2"/>
  <c r="C29" i="2"/>
  <c r="C30" i="2"/>
  <c r="G17" i="3"/>
  <c r="C19" i="3"/>
  <c r="C23" i="3"/>
  <c r="G4" i="3"/>
  <c r="C4" i="3"/>
  <c r="C28" i="4" s="1"/>
  <c r="C25" i="4"/>
  <c r="D25" i="4"/>
  <c r="E25"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12" l="1"/>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<sst xmlns="http://schemas.openxmlformats.org/spreadsheetml/2006/main" count="766" uniqueCount="556">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</sst>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2.79</v>
      </c>
      <c r="E8" s="32"/>
    </row>
    <row r="9" spans="1:9">
      <c r="B9" s="4" t="s">
        <v>346</v>
      </c>
      <c r="C9" s="48">
        <v>5091065770</v>
      </c>
    </row>
    <row r="10" spans="1:9">
      <c r="B10" s="4" t="s">
        <v>352</v>
      </c>
      <c r="C10" s="33">
        <f>Thesis!C8*Common_Shares/1000000</f>
        <v>14204.073498299998</v>
      </c>
      <c r="D10" s="1" t="s">
        <v>531</v>
      </c>
      <c r="E10" s="307">
        <f>Scenarios!F34</f>
        <v>0.22702475317126444</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4.1464286049821002</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2.4048565177073828</v>
      </c>
      <c r="D22" s="38" t="s">
        <v>408</v>
      </c>
      <c r="E22" s="79">
        <v>0.29465259038036606</v>
      </c>
    </row>
    <row r="23" spans="1:6">
      <c r="B23" s="1" t="s">
        <v>313</v>
      </c>
      <c r="C23" s="259">
        <f>E141</f>
        <v>2.9631300794707243</v>
      </c>
      <c r="D23" s="38" t="s">
        <v>409</v>
      </c>
      <c r="E23" s="448">
        <v>0.20075184365903009</v>
      </c>
    </row>
    <row r="24" spans="1:6">
      <c r="B24" s="1" t="s">
        <v>315</v>
      </c>
      <c r="C24" s="259">
        <f>E144</f>
        <v>3.623398640518225</v>
      </c>
      <c r="D24" s="38" t="s">
        <v>410</v>
      </c>
      <c r="E24" s="448">
        <v>0.1174</v>
      </c>
    </row>
    <row r="25" spans="1:6">
      <c r="B25" s="1" t="s">
        <v>314</v>
      </c>
      <c r="C25" s="259">
        <f>E145</f>
        <v>4.0664479320737961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1900909.5266851489</v>
      </c>
      <c r="D34" s="1" t="str">
        <f>Reporting_currency</f>
        <v>HKD</v>
      </c>
    </row>
    <row r="35" spans="2:6">
      <c r="B35" s="44"/>
      <c r="C35" s="73"/>
    </row>
    <row r="36" spans="2:6" ht="24.5" customHeight="1">
      <c r="B36" s="459" t="s">
        <v>198</v>
      </c>
      <c r="C36" s="459"/>
      <c r="D36" s="459"/>
      <c r="E36" s="459"/>
      <c r="F36" s="459"/>
    </row>
    <row r="37" spans="2:6">
      <c r="B37" s="44" t="s">
        <v>199</v>
      </c>
      <c r="C37" s="289">
        <f>Normalized_FCF!C15</f>
        <v>0</v>
      </c>
      <c r="D37" s="1" t="str">
        <f>Reporting_currency</f>
        <v>HKD</v>
      </c>
    </row>
    <row r="38" spans="2:6">
      <c r="B38" s="49" t="s">
        <v>200</v>
      </c>
      <c r="C38" s="289">
        <f>Normalized_FCF!C16</f>
        <v>0</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12533.130612944555</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9912.5106129445558</v>
      </c>
      <c r="D46" s="1" t="str">
        <f>Reporting_currency</f>
        <v>HKD</v>
      </c>
    </row>
    <row r="48" spans="2:6">
      <c r="B48" s="1" t="s">
        <v>211</v>
      </c>
    </row>
    <row r="49" spans="2:6">
      <c r="B49" s="44" t="s">
        <v>223</v>
      </c>
      <c r="C49" s="289">
        <f>Normalized_FCF!C13</f>
        <v>-335976.39690562984</v>
      </c>
      <c r="D49" s="1" t="str">
        <f>Reporting_currency</f>
        <v>HKD</v>
      </c>
    </row>
    <row r="51" spans="2:6">
      <c r="B51" s="459" t="s">
        <v>206</v>
      </c>
      <c r="C51" s="459"/>
      <c r="D51" s="459"/>
      <c r="E51" s="459"/>
      <c r="F51" s="459"/>
    </row>
    <row r="52" spans="2:6">
      <c r="B52" s="44" t="s">
        <v>204</v>
      </c>
      <c r="C52" s="289">
        <f>Normalized_FCF!C12</f>
        <v>-477705.50932452339</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1274304.985390021</v>
      </c>
      <c r="D60" s="1" t="str">
        <f>Reporting_currency</f>
        <v>HKD</v>
      </c>
    </row>
    <row r="61" spans="2:6">
      <c r="B61" s="44" t="s">
        <v>213</v>
      </c>
      <c r="C61" s="289">
        <f>Normalized_FCF!C19</f>
        <v>1097140.1310679403</v>
      </c>
      <c r="D61" s="1" t="str">
        <f>Reporting_currency</f>
        <v>HKD</v>
      </c>
    </row>
    <row r="62" spans="2:6">
      <c r="B62" s="204" t="s">
        <v>302</v>
      </c>
      <c r="C62" s="89">
        <f>Normalized_FCF!C124</f>
        <v>7.7241231622692627E-2</v>
      </c>
      <c r="F62" s="260"/>
    </row>
    <row r="63" spans="2:6">
      <c r="B63" s="204" t="s">
        <v>332</v>
      </c>
      <c r="C63" s="89">
        <f>Normalized_FCF!C92</f>
        <v>9.6774193548387108E-2</v>
      </c>
      <c r="E63" s="44" t="s">
        <v>322</v>
      </c>
      <c r="F63" s="261">
        <f>Normalized_FCF!C90</f>
        <v>1.3920917554199108</v>
      </c>
    </row>
    <row r="65" spans="1:6">
      <c r="B65" s="192" t="s">
        <v>325</v>
      </c>
      <c r="C65" s="267" t="s">
        <v>327</v>
      </c>
      <c r="D65" s="267" t="s">
        <v>328</v>
      </c>
    </row>
    <row r="66" spans="1:6">
      <c r="B66" s="44" t="s">
        <v>326</v>
      </c>
      <c r="C66" s="89">
        <f>Normalized_FCF!C119</f>
        <v>0.10109497147719294</v>
      </c>
      <c r="D66" s="89">
        <f>Normalized_FCF!G119</f>
        <v>0.12200966239388317</v>
      </c>
    </row>
    <row r="67" spans="1:6">
      <c r="B67" s="229" t="str">
        <f>Normalized_FCF!B116</f>
        <v>Pre-tax Profit/Sales</v>
      </c>
      <c r="C67" s="266">
        <f>Normalized_FCF!C116</f>
        <v>0.41984093276604345</v>
      </c>
      <c r="D67" s="266">
        <f>Normalized_FCF!G116</f>
        <v>0.45602847249159995</v>
      </c>
    </row>
    <row r="68" spans="1:6">
      <c r="B68" s="229" t="str">
        <f>Normalized_FCF!B117</f>
        <v>Sales/Total Assets</v>
      </c>
      <c r="C68" s="268">
        <f>Normalized_FCF!C117</f>
        <v>0.19832389661116825</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2.2976895736939666E-2</v>
      </c>
    </row>
    <row r="82" spans="1:6">
      <c r="A82" s="191"/>
    </row>
    <row r="83" spans="1:6">
      <c r="A83" s="191"/>
      <c r="B83" s="1" t="s">
        <v>469</v>
      </c>
    </row>
    <row r="84" spans="1:6">
      <c r="A84" s="191"/>
      <c r="B84" s="1" t="s">
        <v>224</v>
      </c>
      <c r="C84" s="289">
        <f>DCF!F5</f>
        <v>8029573.8978425749</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1.5771891899645554</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1.6203697753137798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0.79833937207218564</v>
      </c>
      <c r="D111" s="1" t="str">
        <f>Market_currency</f>
        <v>HKD</v>
      </c>
    </row>
    <row r="112" spans="2:6">
      <c r="B112" s="44" t="s">
        <v>323</v>
      </c>
      <c r="C112" s="216">
        <f>DCF!C11</f>
        <v>4.5928254474146408</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2.75 HKD</v>
      </c>
      <c r="E118" s="208">
        <f>DCF!F90</f>
        <v>0.15</v>
      </c>
      <c r="F118" s="208">
        <f>RATE(Holding_Period,Scenarios!C$58,-DCF!E90,C$18)</f>
        <v>0.23313798623136373</v>
      </c>
    </row>
    <row r="119" spans="2:6">
      <c r="B119" s="205" t="str">
        <f>DCF!B91&amp;" ("&amp;DCF!D91&amp;"yrs)"</f>
        <v>Optimistic (3yrs)</v>
      </c>
      <c r="C119" s="198">
        <f>DCF!C91</f>
        <v>0.02</v>
      </c>
      <c r="D119" s="207" t="str">
        <f>ROUND(DCF!E91,2)&amp;" "&amp;Market_currency</f>
        <v>4.76 HKD</v>
      </c>
      <c r="E119" s="199">
        <f>DCF!F91</f>
        <v>0.15999999999999995</v>
      </c>
      <c r="F119" s="208">
        <f>RATE(Holding_Period,Scenarios!C$58,-DCF!E91,C$18)</f>
        <v>1.4259049790749859E-2</v>
      </c>
    </row>
    <row r="120" spans="2:6">
      <c r="B120" s="205" t="str">
        <f>DCF!B92&amp;" ("&amp;DCF!D92&amp;"yrs)"</f>
        <v>Base (3yrs)</v>
      </c>
      <c r="C120" s="198">
        <f>DCF!C92</f>
        <v>0</v>
      </c>
      <c r="D120" s="207" t="str">
        <f>ROUND(DCF!E92,2)&amp;" "&amp;Market_currency</f>
        <v>4.59 HKD</v>
      </c>
      <c r="E120" s="199">
        <f>DCF!F92</f>
        <v>0.44</v>
      </c>
      <c r="F120" s="208">
        <f>RATE(Holding_Period,Scenarios!C$58,-DCF!E92,C$18)</f>
        <v>2.7256442157135689E-2</v>
      </c>
    </row>
    <row r="121" spans="2:6">
      <c r="B121" s="205" t="str">
        <f>DCF!B93&amp;" ("&amp;DCF!D93&amp;"yrs)"</f>
        <v>Pessimistic (3yrs)</v>
      </c>
      <c r="C121" s="198">
        <f>DCF!C93</f>
        <v>-0.15</v>
      </c>
      <c r="D121" s="207" t="str">
        <f>ROUND(DCF!E93,2)&amp;" "&amp;Market_currency</f>
        <v>3.52 HKD</v>
      </c>
      <c r="E121" s="199">
        <f>DCF!F93</f>
        <v>0.19999999999999998</v>
      </c>
      <c r="F121" s="208">
        <f>RATE(Holding_Period,Scenarios!C$58,-DCF!E93,C$18)</f>
        <v>0.12889461463525786</v>
      </c>
    </row>
    <row r="122" spans="2:6">
      <c r="B122" s="205" t="str">
        <f>DCF!B94&amp;" ("&amp;DCF!D94&amp;"yrs)"</f>
        <v>Devil's advocate (3yrs)</v>
      </c>
      <c r="C122" s="198">
        <f>DCF!C94</f>
        <v>0.04</v>
      </c>
      <c r="D122" s="207" t="str">
        <f>ROUND(DCF!E94,2)&amp;" "&amp;Market_currency</f>
        <v>4.94 HKD</v>
      </c>
      <c r="E122" s="199">
        <f>DCF!F94</f>
        <v>0.05</v>
      </c>
      <c r="F122" s="208">
        <f>RATE(Holding_Period,Scenarios!C$58,-DCF!E94,C$18)</f>
        <v>1.4231493560865186E-3</v>
      </c>
    </row>
    <row r="124" spans="2:6">
      <c r="B124" s="459" t="s">
        <v>357</v>
      </c>
      <c r="C124" s="459"/>
      <c r="D124" s="459"/>
      <c r="E124" s="459"/>
      <c r="F124" s="459"/>
    </row>
    <row r="125" spans="2:6">
      <c r="B125" s="193" t="s">
        <v>218</v>
      </c>
      <c r="C125" s="197">
        <f>Scenarios!C36</f>
        <v>4.1464286049821002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1.9107965921576504</v>
      </c>
      <c r="E140" s="338">
        <f>Scenarios!E62</f>
        <v>2.4048565177073828</v>
      </c>
      <c r="F140" s="339">
        <f>E22</f>
        <v>0.29465259038036606</v>
      </c>
    </row>
    <row r="141" spans="1:6">
      <c r="B141" s="340" t="s">
        <v>313</v>
      </c>
      <c r="C141" s="337">
        <f>Scenarios!C63</f>
        <v>0.56808106576265116</v>
      </c>
      <c r="D141" s="337">
        <f>Scenarios!D63</f>
        <v>2.3950490137080731</v>
      </c>
      <c r="E141" s="338">
        <f>Scenarios!E63</f>
        <v>2.9631300794707243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2.9719957965147898</v>
      </c>
      <c r="E144" s="338">
        <f>Scenarios!E66</f>
        <v>3.623398640518225</v>
      </c>
      <c r="F144" s="339">
        <f>E24</f>
        <v>0.1174</v>
      </c>
    </row>
    <row r="145" spans="1:6">
      <c r="B145" s="340" t="s">
        <v>314</v>
      </c>
      <c r="C145" s="337">
        <f>Scenarios!C67</f>
        <v>0.7053413113367144</v>
      </c>
      <c r="D145" s="337">
        <f>Scenarios!D67</f>
        <v>3.3611066207370817</v>
      </c>
      <c r="E145" s="338">
        <f>Scenarios!E67</f>
        <v>4.0664479320737961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2.2976895736939666E-2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0.15340793892678486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8029573.8978425749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-348142.51702623762</v>
      </c>
      <c r="F73" s="1" t="s">
        <v>278</v>
      </c>
    </row>
    <row r="74" spans="2:6" ht="15" customHeight="1">
      <c r="B74" s="227" t="s">
        <v>259</v>
      </c>
      <c r="C74" s="228">
        <f>-$C$66/C73</f>
        <v>28.139337192930078</v>
      </c>
      <c r="D74" s="228">
        <f>-$C$66/D73</f>
        <v>29.064042755908002</v>
      </c>
      <c r="F74" s="223" t="s">
        <v>257</v>
      </c>
    </row>
    <row r="75" spans="2:6" ht="15" customHeight="1">
      <c r="B75" s="77" t="s">
        <v>258</v>
      </c>
      <c r="C75" s="264"/>
      <c r="D75" s="265">
        <f>MAX(-D73*D76,G5)</f>
        <v>2088855.1021574256</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8029573.8978425749</v>
      </c>
      <c r="D87" s="201">
        <f>C87*scaling_factor/Common_Shares</f>
        <v>1.5771891899645554</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8249409.0978425751</v>
      </c>
      <c r="D89" s="216">
        <f>SUM(D86:D88)</f>
        <v>1.6203697753137798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G4*0.9</f>
        <v>4551300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-2441491.4733148511</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2109808.5266851489</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1900909.5266851489</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9912.5106129445558</v>
      </c>
      <c r="E10" s="238"/>
      <c r="G10" s="270">
        <f>G48</f>
        <v>36812.98539002092</v>
      </c>
      <c r="H10" s="270">
        <f t="shared" ref="H10:Q10" si="6">H48</f>
        <v>32924.942312626903</v>
      </c>
      <c r="I10" s="270">
        <f t="shared" si="6"/>
        <v>20742.981522397313</v>
      </c>
      <c r="J10" s="270">
        <f t="shared" si="6"/>
        <v>13088.727837385564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1910822.0372980935</v>
      </c>
      <c r="E11" s="238"/>
      <c r="G11" s="271">
        <f t="shared" ref="G11:Q11" si="7">IF(G$4="","",SUM(G8:G10))</f>
        <v>2306135.985390021</v>
      </c>
      <c r="H11" s="271">
        <f t="shared" si="7"/>
        <v>3083094.9423126271</v>
      </c>
      <c r="I11" s="271">
        <f t="shared" si="7"/>
        <v>4754012.9815223971</v>
      </c>
      <c r="J11" s="271">
        <f t="shared" si="7"/>
        <v>3930018.7278373856</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-477705.50932452339</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-335976.39690562984</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1097140.1310679403</v>
      </c>
      <c r="D14" s="58"/>
      <c r="E14" s="246"/>
      <c r="F14" s="58"/>
      <c r="G14" s="271">
        <f t="shared" ref="G14:Q14" si="8">IF(G$4="","",SUM(G11:G13))</f>
        <v>1274304.985390021</v>
      </c>
      <c r="H14" s="271">
        <f t="shared" si="8"/>
        <v>1753424.9423126271</v>
      </c>
      <c r="I14" s="271">
        <f t="shared" si="8"/>
        <v>2843493.9815223971</v>
      </c>
      <c r="J14" s="271">
        <f t="shared" si="8"/>
        <v>2336354.7278373856</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1097140.1310679403</v>
      </c>
      <c r="D19" s="26"/>
      <c r="E19" s="235"/>
      <c r="F19" s="26"/>
      <c r="G19" s="275">
        <f t="shared" ref="G19:Q19" si="9">IF(G$4="","",G14+G17)</f>
        <v>1274304.985390021</v>
      </c>
      <c r="H19" s="275">
        <f t="shared" si="9"/>
        <v>1753424.9423126271</v>
      </c>
      <c r="I19" s="275">
        <f t="shared" si="9"/>
        <v>2843493.9815223971</v>
      </c>
      <c r="J19" s="275">
        <f t="shared" si="9"/>
        <v>2336354.7278373856</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-2283631.1830188613</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-157860.29029598978</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-2441491.4733148511</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4.5898754202096104E-2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0.30827410200607341</v>
      </c>
      <c r="H41" s="6">
        <f t="shared" si="16"/>
        <v>0.29774593944597266</v>
      </c>
      <c r="I41" s="6">
        <f t="shared" si="16"/>
        <v>0.27718435038391825</v>
      </c>
      <c r="J41" s="6">
        <f t="shared" si="16"/>
        <v>0.27260124548809245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12533.130612944555</v>
      </c>
      <c r="E46" s="238"/>
      <c r="G46" s="278">
        <f t="shared" ref="G46:Q46" si="17">IFERROR(IF(G$4="","",($C$46/$C$47)*G47),0)</f>
        <v>38558.98539002092</v>
      </c>
      <c r="H46" s="278">
        <f t="shared" si="17"/>
        <v>35845.942312626903</v>
      </c>
      <c r="I46" s="278">
        <f t="shared" si="17"/>
        <v>22102.981522397313</v>
      </c>
      <c r="J46" s="278">
        <f t="shared" si="17"/>
        <v>14363.727837385564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9912.5106129445558</v>
      </c>
      <c r="E48" s="238"/>
      <c r="G48" s="271">
        <f>IF(G$4="","",(G45+G46))</f>
        <v>36812.98539002092</v>
      </c>
      <c r="H48" s="271">
        <f t="shared" ref="H48:Q48" si="18">IF(H$4="","",(H45+H46))</f>
        <v>32924.942312626903</v>
      </c>
      <c r="I48" s="271">
        <f t="shared" si="18"/>
        <v>20742.981522397313</v>
      </c>
      <c r="J48" s="271">
        <f t="shared" si="18"/>
        <v>13088.727837385564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725.36633570878223</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4.5898754202096104E-2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0.41766298127681079</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2.1779514892326492E-3</v>
      </c>
      <c r="D76" s="26"/>
      <c r="E76" s="235"/>
      <c r="F76" s="26"/>
      <c r="G76" s="6">
        <f t="shared" ref="G76:Q76" si="28">IF(G$4="","",ABS(G10/G$4))</f>
        <v>7.2796095293693732E-3</v>
      </c>
      <c r="H76" s="6">
        <f t="shared" si="28"/>
        <v>5.5889598138447738E-3</v>
      </c>
      <c r="I76" s="6">
        <f t="shared" si="28"/>
        <v>2.5250993396605912E-3</v>
      </c>
      <c r="J76" s="6">
        <f t="shared" si="28"/>
        <v>1.849782998571411E-3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0.41984093276604345</v>
      </c>
      <c r="D77" s="26"/>
      <c r="E77" s="235"/>
      <c r="F77" s="26"/>
      <c r="G77" s="62">
        <f t="shared" ref="G77:Q77" si="29">IF(G$4="","",G11/G$4)</f>
        <v>0.45602847249159995</v>
      </c>
      <c r="H77" s="62">
        <f t="shared" si="29"/>
        <v>0.52335076463429497</v>
      </c>
      <c r="I77" s="62">
        <f t="shared" si="29"/>
        <v>0.5787188802833545</v>
      </c>
      <c r="J77" s="62">
        <f t="shared" si="29"/>
        <v>0.55541546261328167</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0.10496023319151086</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0.24106082461449263</v>
      </c>
      <c r="D80" s="26"/>
      <c r="E80" s="235"/>
      <c r="F80" s="26"/>
      <c r="G80" s="62">
        <f t="shared" ref="G80:Q80" si="32">IF(G$4="","",ABS(G14/G$4))</f>
        <v>0.25198833011469668</v>
      </c>
      <c r="H80" s="62">
        <f t="shared" si="32"/>
        <v>0.29764126679790948</v>
      </c>
      <c r="I80" s="62">
        <f t="shared" si="32"/>
        <v>0.34614622624613173</v>
      </c>
      <c r="J80" s="62">
        <f t="shared" si="32"/>
        <v>0.33018864078151611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0.24106082461449263</v>
      </c>
      <c r="D85" s="72"/>
      <c r="E85" s="235"/>
      <c r="F85" s="72"/>
      <c r="G85" s="62">
        <f t="shared" ref="G85:Q85" si="35">IF(G$4="","",ABS(G19/G$4))</f>
        <v>0.25198833011469668</v>
      </c>
      <c r="H85" s="62">
        <f t="shared" si="35"/>
        <v>0.29764126679790948</v>
      </c>
      <c r="I85" s="62">
        <f t="shared" si="35"/>
        <v>0.34614622624613173</v>
      </c>
      <c r="J85" s="62">
        <f t="shared" si="35"/>
        <v>0.33018864078151611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1.3920917554199108</v>
      </c>
      <c r="E90" s="238"/>
      <c r="G90" s="152">
        <f t="shared" ref="G90:Q90" si="37">IF(G$4="","",G88/(G19*scaling_factor/Common_Shares))</f>
        <v>1.1985511698618521</v>
      </c>
      <c r="H90" s="152">
        <f t="shared" si="37"/>
        <v>0.81297943310871468</v>
      </c>
      <c r="I90" s="152">
        <f t="shared" si="37"/>
        <v>0.7698832124581928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9.6774193548387108E-2</v>
      </c>
      <c r="E92" s="238"/>
      <c r="G92" s="22">
        <f t="shared" ref="G92:Q92" si="38">IF(G$4="","",(G88*(1-dividend_tax_rate))/Market_Price)</f>
        <v>9.6774193548387108E-2</v>
      </c>
      <c r="H92" s="22">
        <f t="shared" si="38"/>
        <v>9.0322580645161313E-2</v>
      </c>
      <c r="I92" s="22">
        <f t="shared" si="38"/>
        <v>0.13870967741935486</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-9.9999999999999978E-2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-0.17141831643768857</v>
      </c>
      <c r="D96" s="26"/>
      <c r="E96" s="235"/>
      <c r="F96" s="26"/>
      <c r="G96" s="6">
        <f t="shared" ref="G96:Q96" si="40">IF(H5="","",G11/H11-1)</f>
        <v>-0.25200617284260785</v>
      </c>
      <c r="H96" s="6">
        <f t="shared" si="40"/>
        <v>-0.35147527903356401</v>
      </c>
      <c r="I96" s="6">
        <f t="shared" si="40"/>
        <v>0.20966674989318435</v>
      </c>
      <c r="J96" s="6">
        <f t="shared" si="40"/>
        <v>1.8671471932640498</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0.11818689165732868</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3.0241469470261243E-2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1.8597384669845445</v>
      </c>
      <c r="H113" s="254">
        <f>IF(H$4="","",Data!D$22/H19)</f>
        <v>2.5909355401367407</v>
      </c>
      <c r="I113" s="254">
        <f>IF(I$4="","",Data!E$22/I19)</f>
        <v>1.3531120603744082</v>
      </c>
      <c r="J113" s="254">
        <f>IF(J$4="","",Data!F$22/J19)</f>
        <v>1.6513284365731511</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0.41984093276604345</v>
      </c>
      <c r="E116" s="238"/>
      <c r="G116" s="22">
        <f t="shared" ref="G116:Q116" si="44">IF(G4="","",G77)</f>
        <v>0.45602847249159995</v>
      </c>
      <c r="H116" s="22">
        <f t="shared" si="44"/>
        <v>0.52335076463429497</v>
      </c>
      <c r="I116" s="22">
        <f t="shared" si="44"/>
        <v>0.5787188802833545</v>
      </c>
      <c r="J116" s="22">
        <f t="shared" si="44"/>
        <v>0.55541546261328167</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0.19832389661116825</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0.10109497147719294</v>
      </c>
      <c r="D119" s="100"/>
      <c r="E119" s="241"/>
      <c r="F119" s="100"/>
      <c r="G119" s="99">
        <f t="shared" ref="G119:Q119" si="47">IF(G$4="","",G11/G104)</f>
        <v>0.12200966239388317</v>
      </c>
      <c r="H119" s="99">
        <f t="shared" si="47"/>
        <v>0.1669197876482201</v>
      </c>
      <c r="I119" s="99">
        <f t="shared" si="47"/>
        <v>0.25453537710953633</v>
      </c>
      <c r="J119" s="99">
        <f t="shared" si="47"/>
        <v>0.20524200883013685</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0.21550303622731243</v>
      </c>
      <c r="D123" s="26"/>
      <c r="E123" s="235"/>
      <c r="F123" s="26"/>
      <c r="G123" s="159">
        <f t="shared" ref="G123:Q123" si="48">IF(G$4="","",G14*$C$3/Common_Shares*Exchange_Rate)</f>
        <v>0.25030220448124774</v>
      </c>
      <c r="H123" s="159">
        <f t="shared" si="48"/>
        <v>0.34441215681105353</v>
      </c>
      <c r="I123" s="159">
        <f t="shared" si="48"/>
        <v>0.5585262713120277</v>
      </c>
      <c r="J123" s="159">
        <f t="shared" si="48"/>
        <v>0.45891269792756689</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7.7241231622692627E-2</v>
      </c>
      <c r="D124" s="26"/>
      <c r="E124" s="235"/>
      <c r="F124" s="26"/>
      <c r="G124" s="74">
        <f t="shared" ref="G124" si="49">IF(G$4="","",G123/Market_Price)</f>
        <v>8.9714051785393448E-2</v>
      </c>
      <c r="H124" s="74">
        <f t="shared" ref="H124" si="50">IF(H$4="","",H123/Market_Price)</f>
        <v>0.12344521749500126</v>
      </c>
      <c r="I124" s="74">
        <f t="shared" ref="I124" si="51">IF(I$4="","",I123/Market_Price)</f>
        <v>0.20018862771040419</v>
      </c>
      <c r="J124" s="74">
        <f t="shared" ref="J124" si="52">IF(J$4="","",J123/Market_Price)</f>
        <v>0.16448483796686986</v>
      </c>
      <c r="K124" s="74">
        <f t="shared" ref="K124" si="53">IF(K$4="","",K123/Market_Price)</f>
        <v>5.9006594136556047E-2</v>
      </c>
      <c r="L124" s="74">
        <f t="shared" ref="L124" si="54">IF(L$4="","",L123/Market_Price)</f>
        <v>7.4908018472823565E-2</v>
      </c>
      <c r="M124" s="74">
        <f t="shared" ref="M124" si="55">IF(M$4="","",M123/Market_Price)</f>
        <v>6.669558560883132E-2</v>
      </c>
      <c r="N124" s="74">
        <f t="shared" ref="N124" si="56">IF(N$4="","",N123/Market_Price)</f>
        <v>6.3345419897164509E-2</v>
      </c>
      <c r="O124" s="74">
        <f t="shared" ref="O124" si="57">IF(O$4="","",O123/Market_Price)</f>
        <v>1.1213402973383852E-2</v>
      </c>
      <c r="P124" s="74">
        <f t="shared" ref="P124" si="58">IF(P$4="","",P123/Market_Price)</f>
        <v>4.8576205979402988E-3</v>
      </c>
      <c r="Q124" s="74" t="str">
        <f t="shared" ref="Q124" si="59">IF(Q$4="","",Q123/Market_Price)</f>
        <v/>
      </c>
    </row>
    <row r="125" spans="1:17" ht="15.75" customHeight="1">
      <c r="B125" s="2" t="s">
        <v>306</v>
      </c>
      <c r="C125" s="151"/>
      <c r="G125" s="22">
        <f>IF(G$4="","",(Data!C47*$C$3)/(Market_Price*Common_Shares))</f>
        <v>0.12777848553214144</v>
      </c>
      <c r="H125" s="22">
        <f>IF(H$4="","",(Data!D47*$C$3)/(Market_Price*Common_Shares))</f>
        <v>0.16199141748142781</v>
      </c>
      <c r="I125" s="22">
        <f>IF(I$4="","",(Data!E47*$C$3)/(Market_Price*Common_Shares))</f>
        <v>0.23290185033159208</v>
      </c>
      <c r="J125" s="22">
        <f>IF(J$4="","",(Data!F47*$C$3)/(Market_Price*Common_Shares))</f>
        <v>0.21548966219911017</v>
      </c>
      <c r="K125" s="22">
        <f>IF(K$4="","",(Data!G47*$C$3)/(Market_Price*Common_Shares))</f>
        <v>8.3587500454858868E-2</v>
      </c>
      <c r="L125" s="22">
        <f>IF(L$4="","",(Data!H47*$C$3)/(Market_Price*Common_Shares))</f>
        <v>8.2803077591844715E-2</v>
      </c>
      <c r="M125" s="22">
        <f>IF(M$4="","",(Data!I47*$C$3)/(Market_Price*Common_Shares))</f>
        <v>8.1098425753560577E-2</v>
      </c>
      <c r="N125" s="22">
        <f>IF(N$4="","",(Data!J47*$C$3)/(Market_Price*Common_Shares))</f>
        <v>8.3256679863106628E-2</v>
      </c>
      <c r="O125" s="22">
        <f>IF(O$4="","",(Data!K47*$C$3)/(Market_Price*Common_Shares))</f>
        <v>4.7631406587763251E-3</v>
      </c>
      <c r="P125" s="22">
        <f>IF(P$4="","",(Data!L47*$C$3)/(Market_Price*Common_Shares))</f>
        <v>-5.0089504259827451E-2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1097140.1310679403</v>
      </c>
      <c r="D4" t="str">
        <f>Reporting_currency</f>
        <v>HKD</v>
      </c>
      <c r="E4" s="135" t="s">
        <v>434</v>
      </c>
      <c r="F4" s="279">
        <f>-BS!G31</f>
        <v>-43677</v>
      </c>
      <c r="G4" t="str">
        <f>Reporting_currency</f>
        <v>HKD</v>
      </c>
      <c r="H4" s="312" t="s">
        <v>394</v>
      </c>
      <c r="I4" s="309">
        <f>Normalized_FCF!C4</f>
        <v>4551300</v>
      </c>
      <c r="J4" s="309"/>
    </row>
    <row r="5" spans="2:15">
      <c r="B5" s="187" t="s">
        <v>105</v>
      </c>
      <c r="C5" s="188">
        <f>Equity_Cost</f>
        <v>7.2499999999999995E-2</v>
      </c>
      <c r="E5" s="135" t="s">
        <v>435</v>
      </c>
      <c r="F5" s="279">
        <f>BS!D66</f>
        <v>8029573.8978425749</v>
      </c>
      <c r="G5" t="str">
        <f>Reporting_currency</f>
        <v>HKD</v>
      </c>
      <c r="H5" s="312" t="s">
        <v>396</v>
      </c>
      <c r="I5" s="309">
        <f>Normalized_FCF!C7</f>
        <v>-208899</v>
      </c>
      <c r="J5" s="309"/>
    </row>
    <row r="6" spans="2:15" ht="13.25" customHeight="1">
      <c r="B6" s="136" t="s">
        <v>194</v>
      </c>
      <c r="C6" s="287">
        <f>(C4*(1+Terminal_Growth))/(Equity_Cost-Terminal_Growth)</f>
        <v>15132967.32507504</v>
      </c>
      <c r="D6" t="str">
        <f>Reporting_currency</f>
        <v>HKD</v>
      </c>
      <c r="E6" s="187" t="s">
        <v>436</v>
      </c>
      <c r="F6" s="288">
        <f>BS!H42</f>
        <v>263512.2</v>
      </c>
      <c r="G6" t="str">
        <f>Reporting_currency</f>
        <v>HKD</v>
      </c>
      <c r="H6" s="312" t="s">
        <v>418</v>
      </c>
      <c r="I6" s="309">
        <f>I7+I8</f>
        <v>9912.5106129445558</v>
      </c>
      <c r="J6" s="309"/>
      <c r="N6" s="135"/>
    </row>
    <row r="7" spans="2:15" ht="12.75" customHeight="1">
      <c r="B7" s="322" t="s">
        <v>433</v>
      </c>
      <c r="C7" s="279">
        <f>F7</f>
        <v>8249409.0978425751</v>
      </c>
      <c r="E7" s="140" t="s">
        <v>427</v>
      </c>
      <c r="F7" s="287">
        <f>SUM(F4:F6)</f>
        <v>8249409.0978425751</v>
      </c>
      <c r="G7" t="str">
        <f>Reporting_currency</f>
        <v>HKD</v>
      </c>
      <c r="H7" s="316" t="s">
        <v>419</v>
      </c>
      <c r="I7" s="317">
        <f>Normalized_FCF!C9</f>
        <v>0</v>
      </c>
      <c r="J7" s="317"/>
      <c r="N7" s="308"/>
      <c r="O7" s="308"/>
    </row>
    <row r="8" spans="2:15" ht="13.15">
      <c r="B8" s="136" t="s">
        <v>429</v>
      </c>
      <c r="C8" s="287">
        <f>C6+C7</f>
        <v>23382376.422917616</v>
      </c>
      <c r="D8" t="str">
        <f>Reporting_currency</f>
        <v>HKD</v>
      </c>
      <c r="E8" s="140" t="s">
        <v>467</v>
      </c>
      <c r="F8" s="108">
        <f>FV_adjustments*scaling_factor/Common_Shares*Exchange_Rate</f>
        <v>1.6203697753137798</v>
      </c>
      <c r="G8" s="298" t="str">
        <f>Market_currency</f>
        <v>HKD</v>
      </c>
      <c r="H8" s="318" t="str">
        <f>Normalized_FCF!B10</f>
        <v>Net Interest Income</v>
      </c>
      <c r="I8" s="317">
        <f>Normalized_FCF!C10</f>
        <v>9912.5106129445558</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23382376.422917616</v>
      </c>
      <c r="D10" t="str">
        <f>Market_currency</f>
        <v>HKD</v>
      </c>
      <c r="H10" s="312" t="s">
        <v>398</v>
      </c>
      <c r="I10" s="310">
        <f>Normalized_FCF!C41</f>
        <v>0.25</v>
      </c>
      <c r="N10" s="308"/>
      <c r="O10" s="308"/>
    </row>
    <row r="11" spans="2:15" ht="13.15">
      <c r="B11" s="136" t="s">
        <v>428</v>
      </c>
      <c r="C11" s="108">
        <f>(C10*scaling_factor)/Common_Shares</f>
        <v>4.5928254474146408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4.603592005597374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4557216.6900000004</v>
      </c>
      <c r="D21" s="303">
        <f t="shared" ref="D21:D50" si="1">IF(A21="",0,IF(A21="I",$C$16,$F$16))</f>
        <v>1.2999999999999999E-3</v>
      </c>
      <c r="E21" s="303">
        <f>$C$17</f>
        <v>0.53643826452109311</v>
      </c>
      <c r="F21" s="281">
        <f>I5*(1+D21)</f>
        <v>-209170.5687</v>
      </c>
      <c r="G21" s="281">
        <f>C21*(1-E21)+F21+$I$6</f>
        <v>1913293.2196827845</v>
      </c>
      <c r="H21" s="303">
        <f t="shared" ref="H21:H50" si="2">IF(A21="",0%,IF(A21="I",$C$18,$F$18))</f>
        <v>0</v>
      </c>
      <c r="I21" s="281">
        <f>(G21*(1-$I$10)+C21*(H21-$I$9))</f>
        <v>1098556.7485404811</v>
      </c>
      <c r="J21" s="303">
        <f>I21/C4-1</f>
        <v>1.2911910087201051E-3</v>
      </c>
      <c r="K21" s="119">
        <f t="shared" ref="K21:K50" si="3">IF($C$15&lt;B21,0,1/(1+Equity_Cost)^B21)</f>
        <v>0.93240093240093236</v>
      </c>
      <c r="L21" s="281">
        <f t="shared" ref="L21:L50" si="4">I21*K21</f>
        <v>1024295.3366344812</v>
      </c>
    </row>
    <row r="22" spans="1:21">
      <c r="A22" s="306" t="str">
        <f t="shared" si="0"/>
        <v>I</v>
      </c>
      <c r="B22" s="117">
        <v>2</v>
      </c>
      <c r="C22" s="281">
        <f t="shared" ref="C22:C50" si="5">IF(A22="",0,C21*(1+D22))</f>
        <v>4563141.0716970004</v>
      </c>
      <c r="D22" s="303">
        <f t="shared" si="1"/>
        <v>1.2999999999999999E-3</v>
      </c>
      <c r="E22" s="303">
        <f t="shared" ref="E22:E50" si="6">IF($C$15&lt;B22,0,IF(B22&gt;=$F$15,$F$17,$C$17))</f>
        <v>0.53643826452109311</v>
      </c>
      <c r="F22" s="281">
        <f t="shared" ref="F22:F50" si="7">IF(A22="",0,F21*(1+D22))</f>
        <v>-209442.49043931003</v>
      </c>
      <c r="G22" s="281">
        <f t="shared" ref="G22:G50" si="8">IF(A22="", 0,C22*(1-E22)+F22+$I$6)</f>
        <v>1915767.6146045753</v>
      </c>
      <c r="H22" s="303">
        <f t="shared" si="2"/>
        <v>0</v>
      </c>
      <c r="I22" s="281">
        <f>IF(A22="", 0,G22*(1-$I$10)+C22*(H22-$I$9))</f>
        <v>1099975.2076157362</v>
      </c>
      <c r="J22" s="303">
        <f>IF(A22="", 0,I22/I21-1)</f>
        <v>1.2912023681430629E-3</v>
      </c>
      <c r="K22" s="119">
        <f t="shared" si="3"/>
        <v>0.86937149874212816</v>
      </c>
      <c r="L22" s="281">
        <f t="shared" si="4"/>
        <v>956287.09482407616</v>
      </c>
    </row>
    <row r="23" spans="1:21">
      <c r="A23" s="306" t="str">
        <f t="shared" si="0"/>
        <v>I</v>
      </c>
      <c r="B23" s="117">
        <v>3</v>
      </c>
      <c r="C23" s="281">
        <f t="shared" si="5"/>
        <v>4569073.1550902072</v>
      </c>
      <c r="D23" s="303">
        <f t="shared" si="1"/>
        <v>1.2999999999999999E-3</v>
      </c>
      <c r="E23" s="303">
        <f t="shared" si="6"/>
        <v>0.53643826452109311</v>
      </c>
      <c r="F23" s="281">
        <f t="shared" si="7"/>
        <v>-209714.76567688116</v>
      </c>
      <c r="G23" s="281">
        <f t="shared" si="8"/>
        <v>1918245.2262397646</v>
      </c>
      <c r="H23" s="303">
        <f t="shared" si="2"/>
        <v>0</v>
      </c>
      <c r="I23" s="281">
        <f t="shared" ref="I23:I50" si="9">IF(A23="", 0,G23*(1-$I$10)+C23*(H23-$I$9))</f>
        <v>1101395.5106877889</v>
      </c>
      <c r="J23" s="303">
        <f t="shared" ref="J23:J50" si="10">IF(A23="", 0,I23/I22-1)</f>
        <v>1.2912137130176582E-3</v>
      </c>
      <c r="K23" s="119">
        <f t="shared" si="3"/>
        <v>0.81060279602995633</v>
      </c>
      <c r="L23" s="281">
        <f t="shared" si="4"/>
        <v>892794.28049836343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4569073.1550902072</v>
      </c>
      <c r="D51" s="305">
        <f>Terminal_Growth</f>
        <v>0</v>
      </c>
      <c r="E51" s="305">
        <f>F17</f>
        <v>0.53643826452109311</v>
      </c>
      <c r="F51" s="281">
        <f>VLOOKUP(C15,B21:F50,5,FALSE)*(1+Terminal_Growth)</f>
        <v>-209714.76567688116</v>
      </c>
      <c r="G51" s="281">
        <f>C51*(1-E51)+F51+$I$6</f>
        <v>1918245.2262397646</v>
      </c>
      <c r="H51" s="303">
        <f>F18</f>
        <v>0</v>
      </c>
      <c r="I51" s="281">
        <f>(G51*(1-$I$10)+C51*(H51-$I$9))/Equity_Cost</f>
        <v>15191662.216383297</v>
      </c>
      <c r="J51" s="419">
        <f>(G51*(1-$I$10)+C51*(H51-$I$9))/VLOOKUP(C15,B21:I50,8,FALSE)-1</f>
        <v>0</v>
      </c>
      <c r="K51" s="119">
        <f>1/(1+Equity_Cost)^C15</f>
        <v>0.81060279602995633</v>
      </c>
      <c r="L51" s="281">
        <f>I51*K51</f>
        <v>12314403.868942944</v>
      </c>
    </row>
    <row r="52" spans="1:21" ht="13.15">
      <c r="G52" s="111"/>
      <c r="H52" s="111"/>
      <c r="I52" s="111"/>
      <c r="J52" s="464" t="s">
        <v>423</v>
      </c>
      <c r="K52" s="464"/>
      <c r="L52" s="321">
        <f>SUM(L21:L51)</f>
        <v>15187780.580899864</v>
      </c>
    </row>
    <row r="53" spans="1:21">
      <c r="C53" s="111"/>
    </row>
    <row r="54" spans="1:21" ht="13.15">
      <c r="B54" s="115" t="s">
        <v>108</v>
      </c>
      <c r="C54" s="128"/>
      <c r="D54" s="128"/>
      <c r="E54" s="113"/>
      <c r="F54" s="113"/>
      <c r="G54" s="113"/>
      <c r="H54" s="113"/>
      <c r="I54" s="113"/>
      <c r="J54" s="113"/>
      <c r="K54" s="113"/>
      <c r="L54" s="113"/>
    </row>
    <row r="55" spans="1:21" ht="13.15">
      <c r="A55" s="125">
        <f>L52</f>
        <v>15187780.580899864</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15734184.289548548</v>
      </c>
      <c r="C56" s="118">
        <v>12878403.708299385</v>
      </c>
      <c r="D56" s="118">
        <v>15132967.32507504</v>
      </c>
      <c r="E56" s="118">
        <v>15433575.807311796</v>
      </c>
      <c r="F56" s="118">
        <v>10623840.091523737</v>
      </c>
      <c r="G56" s="299"/>
      <c r="H56" s="299"/>
      <c r="I56" s="299"/>
      <c r="J56" s="299"/>
      <c r="K56" s="299"/>
      <c r="L56" s="299"/>
    </row>
    <row r="57" spans="1:21" ht="13.15">
      <c r="A57" s="131">
        <v>2</v>
      </c>
      <c r="B57" s="118">
        <v>16317182.558128916</v>
      </c>
      <c r="C57" s="118">
        <v>11091570.072626375</v>
      </c>
      <c r="D57" s="118">
        <v>15132967.32507504</v>
      </c>
      <c r="E57" s="118">
        <v>15719469.189019479</v>
      </c>
      <c r="F57" s="118">
        <v>7680819.9857093636</v>
      </c>
      <c r="G57" s="299"/>
      <c r="H57" s="299"/>
      <c r="I57" s="299"/>
      <c r="J57" s="299"/>
      <c r="K57" s="299"/>
      <c r="L57" s="299"/>
    </row>
    <row r="58" spans="1:21" ht="13.15">
      <c r="A58" s="131">
        <v>3</v>
      </c>
      <c r="B58" s="118">
        <v>16882514.212509885</v>
      </c>
      <c r="C58" s="118">
        <v>9675431.5268715397</v>
      </c>
      <c r="D58" s="118">
        <v>15132967.325075042</v>
      </c>
      <c r="E58" s="118">
        <v>15991367.78980441</v>
      </c>
      <c r="F58" s="118">
        <v>5759967.7021941571</v>
      </c>
      <c r="G58" s="299"/>
      <c r="H58" s="299"/>
      <c r="I58" s="299"/>
      <c r="J58" s="299"/>
      <c r="K58" s="299"/>
      <c r="L58" s="299"/>
    </row>
    <row r="59" spans="1:21" ht="13.15">
      <c r="A59" s="131">
        <v>4</v>
      </c>
      <c r="B59" s="118">
        <v>17430714.604636878</v>
      </c>
      <c r="C59" s="118">
        <v>8553083.9614714384</v>
      </c>
      <c r="D59" s="118">
        <v>15132967.325075038</v>
      </c>
      <c r="E59" s="118">
        <v>16249956.668872584</v>
      </c>
      <c r="F59" s="118">
        <v>4506264.5800863281</v>
      </c>
      <c r="G59" s="299"/>
      <c r="H59" s="299"/>
      <c r="I59" s="299"/>
      <c r="J59" s="299"/>
      <c r="K59" s="299"/>
      <c r="L59" s="299"/>
    </row>
    <row r="60" spans="1:21" ht="13.15">
      <c r="A60" s="131">
        <v>5</v>
      </c>
      <c r="B60" s="118">
        <v>17962302.86366912</v>
      </c>
      <c r="C60" s="118">
        <v>7663577.7324830145</v>
      </c>
      <c r="D60" s="118">
        <v>15132967.325075038</v>
      </c>
      <c r="E60" s="118">
        <v>16495887.351063311</v>
      </c>
      <c r="F60" s="118">
        <v>3687996.8080812194</v>
      </c>
      <c r="G60" s="299"/>
      <c r="H60" s="299"/>
      <c r="I60" s="299"/>
      <c r="J60" s="299"/>
      <c r="K60" s="299"/>
      <c r="L60" s="299"/>
    </row>
    <row r="61" spans="1:21" ht="13.15">
      <c r="A61" s="131">
        <v>6</v>
      </c>
      <c r="B61" s="118">
        <v>18477782.387579173</v>
      </c>
      <c r="C61" s="118">
        <v>6958607.7607905567</v>
      </c>
      <c r="D61" s="118">
        <v>15132967.32507504</v>
      </c>
      <c r="E61" s="118">
        <v>16729779.468391545</v>
      </c>
      <c r="F61" s="118">
        <v>3153929.2645813813</v>
      </c>
      <c r="G61" s="299"/>
      <c r="H61" s="299"/>
      <c r="I61" s="299"/>
      <c r="J61" s="299"/>
      <c r="K61" s="299"/>
      <c r="L61" s="299"/>
    </row>
    <row r="62" spans="1:21" ht="13.15">
      <c r="A62" s="131">
        <v>7</v>
      </c>
      <c r="B62" s="118">
        <v>18977641.319855586</v>
      </c>
      <c r="C62" s="118">
        <v>6399890.3007079549</v>
      </c>
      <c r="D62" s="118">
        <v>15132967.325075042</v>
      </c>
      <c r="E62" s="118">
        <v>16952222.321235184</v>
      </c>
      <c r="F62" s="118">
        <v>2805353.7117143543</v>
      </c>
      <c r="G62" s="299"/>
      <c r="H62" s="299"/>
      <c r="I62" s="299"/>
      <c r="J62" s="299"/>
      <c r="K62" s="299"/>
      <c r="L62" s="299"/>
    </row>
    <row r="63" spans="1:21" ht="13.15">
      <c r="A63" s="131">
        <v>8</v>
      </c>
      <c r="B63" s="118">
        <v>19462353.011759989</v>
      </c>
      <c r="C63" s="118">
        <v>5957083.9220877113</v>
      </c>
      <c r="D63" s="118">
        <v>15132967.325075042</v>
      </c>
      <c r="E63" s="118">
        <v>17163776.363100462</v>
      </c>
      <c r="F63" s="118">
        <v>2577845.1923605837</v>
      </c>
      <c r="G63" s="299"/>
      <c r="H63" s="299"/>
      <c r="I63" s="299"/>
      <c r="J63" s="299"/>
      <c r="K63" s="299"/>
      <c r="L63" s="299"/>
    </row>
    <row r="64" spans="1:21" ht="13.15">
      <c r="A64" s="131">
        <v>9</v>
      </c>
      <c r="B64" s="118">
        <v>19932376.470576372</v>
      </c>
      <c r="C64" s="118">
        <v>5606141.8038339056</v>
      </c>
      <c r="D64" s="118">
        <v>15132967.325075038</v>
      </c>
      <c r="E64" s="118">
        <v>17364974.612706598</v>
      </c>
      <c r="F64" s="118">
        <v>2429354.7834583558</v>
      </c>
      <c r="G64" s="299"/>
      <c r="H64" s="299"/>
      <c r="I64" s="299"/>
      <c r="J64" s="299"/>
      <c r="K64" s="299"/>
      <c r="L64" s="299"/>
    </row>
    <row r="65" spans="1:21" ht="13.15">
      <c r="A65" s="131">
        <v>10</v>
      </c>
      <c r="B65" s="118">
        <v>20388156.794277117</v>
      </c>
      <c r="C65" s="118">
        <v>5328005.8592970893</v>
      </c>
      <c r="D65" s="118">
        <v>15132967.32507504</v>
      </c>
      <c r="E65" s="118">
        <v>17556323.996947404</v>
      </c>
      <c r="F65" s="118">
        <v>2332437.9664592328</v>
      </c>
      <c r="G65" s="299"/>
      <c r="H65" s="299"/>
      <c r="I65" s="299"/>
      <c r="J65" s="299"/>
      <c r="K65" s="299"/>
      <c r="L65" s="299"/>
    </row>
    <row r="66" spans="1:21" ht="13.15">
      <c r="A66" s="131">
        <v>15</v>
      </c>
      <c r="B66" s="118">
        <v>22468068.21247901</v>
      </c>
      <c r="C66" s="281">
        <v>4597705.7581713889</v>
      </c>
      <c r="D66" s="118">
        <v>15132967.325075038</v>
      </c>
      <c r="E66" s="118">
        <v>18381409.738217153</v>
      </c>
      <c r="F66" s="118">
        <v>2171883.6189953303</v>
      </c>
      <c r="G66" s="299"/>
      <c r="H66" s="299"/>
      <c r="I66" s="299"/>
      <c r="J66" s="299"/>
      <c r="K66" s="299"/>
      <c r="L66" s="299"/>
      <c r="M66" s="279"/>
      <c r="N66" s="279"/>
      <c r="O66" s="279"/>
      <c r="P66" s="279"/>
      <c r="Q66" s="279"/>
      <c r="R66" s="279"/>
      <c r="S66" s="279"/>
      <c r="T66" s="279"/>
      <c r="U66" s="279"/>
    </row>
    <row r="67" spans="1:21" ht="13.15">
      <c r="A67" s="132">
        <v>20</v>
      </c>
      <c r="B67" s="118">
        <v>24251370.765441209</v>
      </c>
      <c r="C67" s="281">
        <v>4369351.3051026044</v>
      </c>
      <c r="D67" s="118">
        <v>15132967.325075036</v>
      </c>
      <c r="E67" s="118">
        <v>19023377.820977144</v>
      </c>
      <c r="F67" s="118">
        <v>2152867.3301423029</v>
      </c>
      <c r="G67" s="299"/>
      <c r="H67" s="299"/>
      <c r="I67" s="299"/>
      <c r="J67" s="299"/>
      <c r="K67" s="299"/>
      <c r="L67" s="299"/>
      <c r="M67" s="279"/>
      <c r="N67" s="279"/>
      <c r="O67" s="279"/>
      <c r="P67" s="279"/>
      <c r="Q67" s="279"/>
      <c r="R67" s="279"/>
      <c r="S67" s="279"/>
      <c r="T67" s="279"/>
      <c r="U67" s="279"/>
    </row>
    <row r="68" spans="1:21" ht="13.15">
      <c r="A68" s="132">
        <v>25</v>
      </c>
      <c r="B68" s="118">
        <v>25780362.802107267</v>
      </c>
      <c r="C68" s="281">
        <v>4297948.1159808105</v>
      </c>
      <c r="D68" s="118">
        <v>15132967.325075034</v>
      </c>
      <c r="E68" s="118">
        <v>19522868.963132028</v>
      </c>
      <c r="F68" s="118">
        <v>2150615.0134193124</v>
      </c>
      <c r="G68" s="299"/>
      <c r="H68" s="299"/>
      <c r="I68" s="299"/>
      <c r="J68" s="299"/>
      <c r="K68" s="299"/>
      <c r="L68" s="299"/>
      <c r="M68" s="279"/>
      <c r="N68" s="279"/>
      <c r="O68" s="279"/>
      <c r="P68" s="279"/>
      <c r="Q68" s="279"/>
      <c r="R68" s="279"/>
      <c r="S68" s="279"/>
      <c r="T68" s="279"/>
      <c r="U68" s="279"/>
    </row>
    <row r="69" spans="1:21" ht="13.15">
      <c r="A69" s="132">
        <v>30</v>
      </c>
      <c r="B69" s="118">
        <v>27091310.652378067</v>
      </c>
      <c r="C69" s="281">
        <v>4275621.3544561425</v>
      </c>
      <c r="D69" s="118">
        <v>15132967.325075034</v>
      </c>
      <c r="E69" s="118">
        <v>19911504.173808798</v>
      </c>
      <c r="F69" s="118">
        <v>2150348.245772908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4.5928254474146408</v>
      </c>
      <c r="C73" s="119">
        <f>C11</f>
        <v>4.5928254474146408</v>
      </c>
      <c r="D73" s="119">
        <f>C11</f>
        <v>4.5928254474146408</v>
      </c>
      <c r="E73" s="119">
        <f>C11</f>
        <v>4.5928254474146408</v>
      </c>
      <c r="F73" s="119">
        <f>C11</f>
        <v>4.5928254474146408</v>
      </c>
      <c r="G73" s="300"/>
      <c r="H73" s="300"/>
      <c r="I73" s="300"/>
      <c r="J73" s="300"/>
      <c r="K73" s="300"/>
      <c r="L73" s="300"/>
    </row>
    <row r="74" spans="1:21" ht="13.15">
      <c r="A74" s="131">
        <v>1</v>
      </c>
      <c r="B74" s="119">
        <f t="shared" ref="B74:F87" si="11">(B56+FV_adjustments)/Common_Shares*scaling_factor*Exchange_Rate</f>
        <v>4.7109180024187989</v>
      </c>
      <c r="C74" s="119">
        <f t="shared" si="11"/>
        <v>4.1499783661490515</v>
      </c>
      <c r="D74" s="119">
        <f t="shared" si="11"/>
        <v>4.5928254474146408</v>
      </c>
      <c r="E74" s="119">
        <f t="shared" si="11"/>
        <v>4.6518717249167194</v>
      </c>
      <c r="F74" s="119">
        <f t="shared" si="11"/>
        <v>3.7071312848834617</v>
      </c>
      <c r="G74" s="300"/>
      <c r="H74" s="300"/>
      <c r="I74" s="300"/>
      <c r="J74" s="300"/>
      <c r="K74" s="300"/>
      <c r="L74" s="300"/>
    </row>
    <row r="75" spans="1:21" ht="13.15">
      <c r="A75" s="131">
        <v>2</v>
      </c>
      <c r="B75" s="119">
        <f t="shared" si="11"/>
        <v>4.8254319951501019</v>
      </c>
      <c r="C75" s="119">
        <f t="shared" si="11"/>
        <v>3.7990039893884435</v>
      </c>
      <c r="D75" s="119">
        <f t="shared" si="11"/>
        <v>4.5928254474146408</v>
      </c>
      <c r="E75" s="119">
        <f t="shared" si="11"/>
        <v>4.708027625198417</v>
      </c>
      <c r="F75" s="119">
        <f t="shared" si="11"/>
        <v>3.1290558408071671</v>
      </c>
      <c r="G75" s="300"/>
      <c r="H75" s="300"/>
      <c r="I75" s="300"/>
      <c r="J75" s="300"/>
      <c r="K75" s="300"/>
      <c r="L75" s="300"/>
    </row>
    <row r="76" spans="1:21" ht="13.15">
      <c r="A76" s="131">
        <v>3</v>
      </c>
      <c r="B76" s="119">
        <f t="shared" si="11"/>
        <v>4.9364758668895492</v>
      </c>
      <c r="C76" s="119">
        <f t="shared" si="11"/>
        <v>3.5208424786690813</v>
      </c>
      <c r="D76" s="119">
        <f t="shared" si="11"/>
        <v>4.5928254474146408</v>
      </c>
      <c r="E76" s="119">
        <f t="shared" si="11"/>
        <v>4.7614346352565358</v>
      </c>
      <c r="F76" s="119">
        <f t="shared" si="11"/>
        <v>2.7517571826687934</v>
      </c>
      <c r="G76" s="300"/>
      <c r="H76" s="300"/>
      <c r="I76" s="300"/>
      <c r="J76" s="300"/>
      <c r="K76" s="300"/>
      <c r="L76" s="300"/>
    </row>
    <row r="77" spans="1:21" ht="13.15">
      <c r="A77" s="131">
        <v>4</v>
      </c>
      <c r="B77" s="119">
        <f t="shared" si="11"/>
        <v>5.0441547728187075</v>
      </c>
      <c r="C77" s="119">
        <f t="shared" si="11"/>
        <v>3.3003881345092139</v>
      </c>
      <c r="D77" s="119">
        <f t="shared" si="11"/>
        <v>4.5928254474146408</v>
      </c>
      <c r="E77" s="119">
        <f t="shared" si="11"/>
        <v>4.8122273161509668</v>
      </c>
      <c r="F77" s="119">
        <f t="shared" si="11"/>
        <v>2.5055016482195049</v>
      </c>
      <c r="G77" s="300"/>
      <c r="H77" s="300"/>
      <c r="I77" s="300"/>
      <c r="J77" s="300"/>
      <c r="K77" s="300"/>
      <c r="L77" s="300"/>
    </row>
    <row r="78" spans="1:21" ht="13.15">
      <c r="A78" s="131">
        <v>5</v>
      </c>
      <c r="B78" s="119">
        <f t="shared" si="11"/>
        <v>5.1485706815985006</v>
      </c>
      <c r="C78" s="119">
        <f t="shared" si="11"/>
        <v>3.1256690738696919</v>
      </c>
      <c r="D78" s="119">
        <f t="shared" si="11"/>
        <v>4.5928254474146408</v>
      </c>
      <c r="E78" s="119">
        <f t="shared" si="11"/>
        <v>4.8605336420365841</v>
      </c>
      <c r="F78" s="119">
        <f t="shared" si="11"/>
        <v>2.3447754252689208</v>
      </c>
      <c r="G78" s="300"/>
      <c r="H78" s="300"/>
      <c r="I78" s="300"/>
      <c r="J78" s="300"/>
      <c r="K78" s="300"/>
      <c r="L78" s="300"/>
    </row>
    <row r="79" spans="1:21" ht="13.15">
      <c r="A79" s="131">
        <v>6</v>
      </c>
      <c r="B79" s="119">
        <f t="shared" si="11"/>
        <v>5.2498224719304192</v>
      </c>
      <c r="C79" s="119">
        <f t="shared" si="11"/>
        <v>2.9871970910784622</v>
      </c>
      <c r="D79" s="119">
        <f t="shared" si="11"/>
        <v>4.5928254474146408</v>
      </c>
      <c r="E79" s="119">
        <f t="shared" si="11"/>
        <v>4.9064753225991264</v>
      </c>
      <c r="F79" s="119">
        <f t="shared" si="11"/>
        <v>2.2398725291706372</v>
      </c>
      <c r="G79" s="300"/>
      <c r="H79" s="300"/>
      <c r="I79" s="300"/>
      <c r="J79" s="300"/>
      <c r="K79" s="300"/>
      <c r="L79" s="300"/>
    </row>
    <row r="80" spans="1:21" ht="13.15">
      <c r="A80" s="131">
        <f t="shared" ref="A80" si="12">A62</f>
        <v>7</v>
      </c>
      <c r="B80" s="119">
        <f t="shared" si="11"/>
        <v>5.3480060261916753</v>
      </c>
      <c r="C80" s="119">
        <f t="shared" si="11"/>
        <v>2.8774523960924059</v>
      </c>
      <c r="D80" s="119">
        <f t="shared" si="11"/>
        <v>4.5928254474146408</v>
      </c>
      <c r="E80" s="119">
        <f t="shared" si="11"/>
        <v>4.9501681097075583</v>
      </c>
      <c r="F80" s="119">
        <f t="shared" si="11"/>
        <v>2.1714044384771189</v>
      </c>
      <c r="G80" s="300"/>
      <c r="H80" s="300"/>
      <c r="I80" s="300"/>
      <c r="J80" s="300"/>
      <c r="K80" s="300"/>
      <c r="L80" s="300"/>
    </row>
    <row r="81" spans="1:12" ht="13.15">
      <c r="A81" s="131">
        <v>8</v>
      </c>
      <c r="B81" s="119">
        <f t="shared" si="11"/>
        <v>5.4432143212328929</v>
      </c>
      <c r="C81" s="119">
        <f t="shared" si="11"/>
        <v>2.7904752485510094</v>
      </c>
      <c r="D81" s="119">
        <f t="shared" si="11"/>
        <v>4.5928254474146408</v>
      </c>
      <c r="E81" s="119">
        <f t="shared" si="11"/>
        <v>4.9917220890554388</v>
      </c>
      <c r="F81" s="119">
        <f t="shared" si="11"/>
        <v>2.1267166403554745</v>
      </c>
      <c r="G81" s="300"/>
      <c r="H81" s="300"/>
      <c r="I81" s="300"/>
      <c r="J81" s="300"/>
      <c r="K81" s="300"/>
      <c r="L81" s="300"/>
    </row>
    <row r="82" spans="1:12" ht="13.15">
      <c r="A82" s="131">
        <f t="shared" ref="A82" si="13">A64</f>
        <v>9</v>
      </c>
      <c r="B82" s="119">
        <f t="shared" si="11"/>
        <v>5.535537516424375</v>
      </c>
      <c r="C82" s="119">
        <f t="shared" si="11"/>
        <v>2.7215423111056136</v>
      </c>
      <c r="D82" s="119">
        <f t="shared" si="11"/>
        <v>4.5928254474146408</v>
      </c>
      <c r="E82" s="119">
        <f t="shared" si="11"/>
        <v>5.0312419575261496</v>
      </c>
      <c r="F82" s="119">
        <f t="shared" si="11"/>
        <v>2.097549779110579</v>
      </c>
      <c r="G82" s="300"/>
      <c r="H82" s="300"/>
      <c r="I82" s="300"/>
      <c r="J82" s="300"/>
      <c r="K82" s="300"/>
      <c r="L82" s="300"/>
    </row>
    <row r="83" spans="1:12" ht="13.15">
      <c r="A83" s="131">
        <f t="shared" ref="A83:A87" si="14">A65</f>
        <v>10</v>
      </c>
      <c r="B83" s="119">
        <f t="shared" si="11"/>
        <v>5.6250630390342984</v>
      </c>
      <c r="C83" s="119">
        <f t="shared" si="11"/>
        <v>2.6669101462304745</v>
      </c>
      <c r="D83" s="119">
        <f t="shared" si="11"/>
        <v>4.5928254474146408</v>
      </c>
      <c r="E83" s="119">
        <f t="shared" si="11"/>
        <v>5.0688272869808122</v>
      </c>
      <c r="F83" s="119">
        <f t="shared" si="11"/>
        <v>2.0785131330766147</v>
      </c>
      <c r="G83" s="300"/>
      <c r="H83" s="300"/>
      <c r="I83" s="300"/>
      <c r="J83" s="300"/>
      <c r="K83" s="300"/>
      <c r="L83" s="300"/>
    </row>
    <row r="84" spans="1:12" ht="13.15">
      <c r="A84" s="131">
        <f t="shared" si="14"/>
        <v>15</v>
      </c>
      <c r="B84" s="119">
        <f t="shared" si="11"/>
        <v>6.0336044942357097</v>
      </c>
      <c r="C84" s="119">
        <f t="shared" si="11"/>
        <v>2.5234627554249736</v>
      </c>
      <c r="D84" s="119">
        <f t="shared" si="11"/>
        <v>4.5928254474146408</v>
      </c>
      <c r="E84" s="119">
        <f t="shared" si="11"/>
        <v>5.2308927126784557</v>
      </c>
      <c r="F84" s="119">
        <f t="shared" si="11"/>
        <v>2.0469766425425506</v>
      </c>
      <c r="G84" s="300"/>
      <c r="H84" s="300"/>
      <c r="I84" s="300"/>
      <c r="J84" s="300"/>
      <c r="K84" s="300"/>
      <c r="L84" s="300"/>
    </row>
    <row r="85" spans="1:12" ht="13.15">
      <c r="A85" s="132">
        <f t="shared" si="14"/>
        <v>20</v>
      </c>
      <c r="B85" s="119">
        <f t="shared" si="11"/>
        <v>6.3838852868097566</v>
      </c>
      <c r="C85" s="119">
        <f t="shared" si="11"/>
        <v>2.4786087968659616</v>
      </c>
      <c r="D85" s="119">
        <f t="shared" si="11"/>
        <v>4.5928254474146408</v>
      </c>
      <c r="E85" s="119">
        <f t="shared" si="11"/>
        <v>5.3569897052851703</v>
      </c>
      <c r="F85" s="119">
        <f t="shared" si="11"/>
        <v>2.0432414150455731</v>
      </c>
      <c r="G85" s="300"/>
      <c r="H85" s="300"/>
      <c r="I85" s="300"/>
      <c r="J85" s="300"/>
      <c r="K85" s="300"/>
      <c r="L85" s="300"/>
    </row>
    <row r="86" spans="1:12" ht="13.15">
      <c r="A86" s="132">
        <f t="shared" si="14"/>
        <v>25</v>
      </c>
      <c r="B86" s="119">
        <f t="shared" si="11"/>
        <v>6.6842137653133955</v>
      </c>
      <c r="C86" s="119">
        <f t="shared" si="11"/>
        <v>2.4645836020742244</v>
      </c>
      <c r="D86" s="119">
        <f t="shared" si="11"/>
        <v>4.5928254474146399</v>
      </c>
      <c r="E86" s="119">
        <f t="shared" si="11"/>
        <v>5.4551010172816143</v>
      </c>
      <c r="F86" s="119">
        <f t="shared" si="11"/>
        <v>2.0427990093048609</v>
      </c>
      <c r="G86" s="300"/>
      <c r="H86" s="300"/>
      <c r="I86" s="300"/>
      <c r="J86" s="300"/>
      <c r="K86" s="300"/>
      <c r="L86" s="300"/>
    </row>
    <row r="87" spans="1:12" ht="13.15">
      <c r="A87" s="132">
        <f t="shared" si="14"/>
        <v>30</v>
      </c>
      <c r="B87" s="119">
        <f t="shared" si="11"/>
        <v>6.9417134538846552</v>
      </c>
      <c r="C87" s="119">
        <f t="shared" si="11"/>
        <v>2.4601981231719026</v>
      </c>
      <c r="D87" s="119">
        <f t="shared" si="11"/>
        <v>4.5928254474146399</v>
      </c>
      <c r="E87" s="119">
        <f t="shared" si="11"/>
        <v>5.5314377271640263</v>
      </c>
      <c r="F87" s="119">
        <f t="shared" si="11"/>
        <v>2.0427466101298242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2.7517571826687934</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4.7614346352565358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4.5928254474146408</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3.5208424786690813</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4.9364758668895492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1274304.985390021</v>
      </c>
      <c r="D8" s="465"/>
      <c r="E8" s="465"/>
      <c r="F8" s="465"/>
      <c r="G8" s="465"/>
    </row>
    <row r="9" spans="2:7">
      <c r="B9" s="97" t="s">
        <v>54</v>
      </c>
      <c r="C9" s="452">
        <f>Normalized_FCF!C19</f>
        <v>1097140.1310679403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-0.33056173275320122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4.7614346352565358</v>
      </c>
      <c r="F22" s="332">
        <f>1-F23-F24</f>
        <v>0.19999999999999996</v>
      </c>
      <c r="G22" s="332">
        <f>F22*(1-F$29-F$30)</f>
        <v>0.15999999999999995</v>
      </c>
    </row>
    <row r="23" spans="2:7">
      <c r="B23" s="306" t="s">
        <v>440</v>
      </c>
      <c r="C23" s="328">
        <v>0</v>
      </c>
      <c r="D23" s="329">
        <f>C18</f>
        <v>3</v>
      </c>
      <c r="E23" s="330">
        <f>DCF!E92</f>
        <v>4.5928254474146408</v>
      </c>
      <c r="F23" s="331">
        <v>0.55000000000000004</v>
      </c>
      <c r="G23" s="332">
        <f t="shared" ref="G23:G24" si="0">F23*(1-F$29-F$30)</f>
        <v>0.44</v>
      </c>
    </row>
    <row r="24" spans="2:7">
      <c r="B24" s="306" t="s">
        <v>449</v>
      </c>
      <c r="C24" s="328">
        <v>-0.15</v>
      </c>
      <c r="D24" s="329">
        <f>C18</f>
        <v>3</v>
      </c>
      <c r="E24" s="330">
        <f>DCF!E93</f>
        <v>3.5208424786690813</v>
      </c>
      <c r="F24" s="331">
        <v>0.25</v>
      </c>
      <c r="G24" s="332">
        <f t="shared" si="0"/>
        <v>0.19999999999999998</v>
      </c>
    </row>
    <row r="25" spans="2:7">
      <c r="B25" s="141" t="s">
        <v>454</v>
      </c>
      <c r="C25" s="446">
        <f>E23*F23+E24*F24+E22*F22</f>
        <v>4.3585515427966302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2.7517571826687934</v>
      </c>
      <c r="F29" s="331">
        <v>0.15</v>
      </c>
      <c r="G29" s="332">
        <f>F29</f>
        <v>0.15</v>
      </c>
    </row>
    <row r="30" spans="2:7">
      <c r="B30" s="319" t="s">
        <v>450</v>
      </c>
      <c r="C30" s="328">
        <v>0.04</v>
      </c>
      <c r="D30" s="329">
        <f>C18</f>
        <v>3</v>
      </c>
      <c r="E30" s="330">
        <f>DCF!E94</f>
        <v>4.9364758668895492</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2.79</v>
      </c>
      <c r="D34" t="str">
        <f>Market_currency</f>
        <v>HKD</v>
      </c>
      <c r="E34" s="97" t="s">
        <v>457</v>
      </c>
      <c r="F34" s="334">
        <f>RATE(Holding_Period,$C$33,-C34,$C$36)</f>
        <v>0.22702475317126444</v>
      </c>
    </row>
    <row r="35" spans="2:7">
      <c r="B35" s="97" t="s">
        <v>437</v>
      </c>
      <c r="C35" s="324">
        <f>DCF!C11</f>
        <v>4.5928254474146408</v>
      </c>
      <c r="D35" s="97" t="str">
        <f>Market_currency</f>
        <v>HKD</v>
      </c>
      <c r="E35" s="97" t="s">
        <v>457</v>
      </c>
      <c r="F35" s="334">
        <f>RATE(Holding_Period,$C$33,-C35,$C$36)</f>
        <v>2.7256442157135689E-2</v>
      </c>
    </row>
    <row r="36" spans="2:7">
      <c r="B36" s="97" t="s">
        <v>438</v>
      </c>
      <c r="C36" s="325">
        <f>E22*G22+E23*G23+E24*G24+E30*G30+E29*G29</f>
        <v>4.1464286049821002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4.603592005597374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0.39078685048787298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1.9107965921576504</v>
      </c>
      <c r="E62" s="336">
        <f>C62+D62</f>
        <v>2.4048565177073828</v>
      </c>
      <c r="F62" s="305">
        <f>Thesis!E22</f>
        <v>0.29465259038036606</v>
      </c>
      <c r="G62" s="445">
        <f>(1-E62/C36)</f>
        <v>0.42001738199040706</v>
      </c>
    </row>
    <row r="63" spans="2:7" ht="13.15">
      <c r="B63" s="306" t="s">
        <v>313</v>
      </c>
      <c r="C63" s="119">
        <f>PV(F63, Holding_Period, -C58, 0)</f>
        <v>0.56808106576265116</v>
      </c>
      <c r="D63" s="119">
        <f>C36/(1+F63)^Holding_Period</f>
        <v>2.3950490137080731</v>
      </c>
      <c r="E63" s="336">
        <f>C63+D63</f>
        <v>2.9631300794707243</v>
      </c>
      <c r="F63" s="305">
        <f>Thesis!E23</f>
        <v>0.20075184365903009</v>
      </c>
      <c r="G63" s="445">
        <f>(1-E63/C36)</f>
        <v>0.2853777643945431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2.9719957965147898</v>
      </c>
      <c r="E66" s="336">
        <f>C66+D66</f>
        <v>3.623398640518225</v>
      </c>
      <c r="F66" s="305">
        <f>Thesis!E24</f>
        <v>0.1174</v>
      </c>
      <c r="G66" s="445">
        <f>(1-E66/C36)</f>
        <v>0.12613986982325798</v>
      </c>
    </row>
    <row r="67" spans="2:7" ht="13.15">
      <c r="B67" s="306" t="s">
        <v>314</v>
      </c>
      <c r="C67" s="119">
        <f>PV(F67, Holding_Period, -C58, 0)</f>
        <v>0.7053413113367144</v>
      </c>
      <c r="D67" s="119">
        <f>C36/(1+F67)^Holding_Period</f>
        <v>3.3611066207370817</v>
      </c>
      <c r="E67" s="336">
        <f>C67+D67</f>
        <v>4.0664479320737961</v>
      </c>
      <c r="F67" s="305">
        <f>Thesis!E25</f>
        <v>7.2499999999999995E-2</v>
      </c>
      <c r="G67" s="445">
        <f>(1-E67/C36)</f>
        <v>1.9289051019039438E-2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2.79</v>
      </c>
    </row>
    <row r="9" spans="1:10">
      <c r="B9" s="355" t="s">
        <v>361</v>
      </c>
      <c r="C9" s="357">
        <f>Common_Shares</f>
        <v>5091065770</v>
      </c>
    </row>
    <row r="10" spans="1:10">
      <c r="B10" s="355" t="s">
        <v>367</v>
      </c>
      <c r="C10" s="361">
        <f>投资主题!C8*Common_Shares/1000000</f>
        <v>14204.073498299998</v>
      </c>
      <c r="D10" s="347" t="s">
        <v>532</v>
      </c>
      <c r="E10" s="364">
        <f>Scenarios!F34</f>
        <v>0.22702475317126444</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4.1464286049821002</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2.4048565177073828</v>
      </c>
      <c r="D22" s="369" t="s">
        <v>443</v>
      </c>
      <c r="E22" s="370">
        <f>Thesis!E22</f>
        <v>0.29465259038036606</v>
      </c>
    </row>
    <row r="23" spans="1:6">
      <c r="B23" s="347" t="s">
        <v>341</v>
      </c>
      <c r="C23" s="371">
        <f>E141</f>
        <v>2.9631300794707243</v>
      </c>
      <c r="D23" s="369" t="s">
        <v>444</v>
      </c>
      <c r="E23" s="372">
        <f>Thesis!E23</f>
        <v>0.20075184365903009</v>
      </c>
    </row>
    <row r="24" spans="1:6">
      <c r="B24" s="347" t="s">
        <v>343</v>
      </c>
      <c r="C24" s="371">
        <f>E144</f>
        <v>3.623398640518225</v>
      </c>
      <c r="D24" s="369" t="s">
        <v>446</v>
      </c>
      <c r="E24" s="372">
        <f>Thesis!E24</f>
        <v>0.1174</v>
      </c>
    </row>
    <row r="25" spans="1:6">
      <c r="B25" s="347" t="s">
        <v>342</v>
      </c>
      <c r="C25" s="371">
        <f>E145</f>
        <v>4.0664479320737961</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1900909.5266851489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12533.130612944555</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9912.5106129445558</v>
      </c>
      <c r="D46" s="347" t="str">
        <f>Reporting_currency</f>
        <v>HKD</v>
      </c>
    </row>
    <row r="48" spans="2:6">
      <c r="B48" s="347" t="s">
        <v>508</v>
      </c>
    </row>
    <row r="49" spans="2:6">
      <c r="B49" s="376" t="s">
        <v>223</v>
      </c>
      <c r="C49" s="377">
        <f>Normalized_FCF!C13</f>
        <v>-335976.39690562984</v>
      </c>
      <c r="D49" s="347" t="str">
        <f>Reporting_currency</f>
        <v>HKD</v>
      </c>
    </row>
    <row r="51" spans="2:6">
      <c r="B51" s="466" t="s">
        <v>509</v>
      </c>
      <c r="C51" s="466"/>
      <c r="D51" s="466"/>
      <c r="E51" s="466"/>
      <c r="F51" s="466"/>
    </row>
    <row r="52" spans="2:6">
      <c r="B52" s="376" t="s">
        <v>499</v>
      </c>
      <c r="C52" s="377">
        <f>Normalized_FCF!C12</f>
        <v>-477705.50932452339</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1274304.985390021</v>
      </c>
      <c r="D60" s="347" t="str">
        <f>Reporting_currency</f>
        <v>HKD</v>
      </c>
    </row>
    <row r="61" spans="2:6">
      <c r="B61" s="376" t="s">
        <v>213</v>
      </c>
      <c r="C61" s="377">
        <f>Normalized_FCF!C19</f>
        <v>1097140.1310679403</v>
      </c>
      <c r="D61" s="347" t="str">
        <f>Reporting_currency</f>
        <v>HKD</v>
      </c>
    </row>
    <row r="62" spans="2:6">
      <c r="B62" s="381" t="s">
        <v>302</v>
      </c>
      <c r="C62" s="382">
        <f>Normalized_FCF!C124</f>
        <v>7.7241231622692627E-2</v>
      </c>
      <c r="F62" s="383"/>
    </row>
    <row r="63" spans="2:6">
      <c r="B63" s="381" t="s">
        <v>332</v>
      </c>
      <c r="C63" s="382">
        <f>Normalized_FCF!C92</f>
        <v>9.6774193548387108E-2</v>
      </c>
      <c r="E63" s="376" t="s">
        <v>373</v>
      </c>
      <c r="F63" s="384">
        <f>Normalized_FCF!C90</f>
        <v>1.3920917554199108</v>
      </c>
    </row>
    <row r="65" spans="1:6">
      <c r="B65" s="373" t="s">
        <v>376</v>
      </c>
      <c r="C65" s="385" t="s">
        <v>327</v>
      </c>
      <c r="D65" s="385" t="s">
        <v>374</v>
      </c>
    </row>
    <row r="66" spans="1:6">
      <c r="B66" s="376" t="s">
        <v>326</v>
      </c>
      <c r="C66" s="382">
        <f>Normalized_FCF!C119</f>
        <v>0.10109497147719294</v>
      </c>
      <c r="D66" s="382">
        <f>Normalized_FCF!G119</f>
        <v>0.12200966239388317</v>
      </c>
    </row>
    <row r="67" spans="1:6">
      <c r="B67" s="386" t="str">
        <f>Normalized_FCF!B116</f>
        <v>Pre-tax Profit/Sales</v>
      </c>
      <c r="C67" s="387">
        <f>Normalized_FCF!C116</f>
        <v>0.41984093276604345</v>
      </c>
      <c r="D67" s="387">
        <f>Normalized_FCF!G116</f>
        <v>0.45602847249159995</v>
      </c>
    </row>
    <row r="68" spans="1:6">
      <c r="B68" s="386" t="str">
        <f>Normalized_FCF!B117</f>
        <v>Sales/Total Assets</v>
      </c>
      <c r="C68" s="388">
        <f>Normalized_FCF!C117</f>
        <v>0.19832389661116825</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2.2976895736939666E-2</v>
      </c>
    </row>
    <row r="83" spans="1:6">
      <c r="B83" s="347" t="s">
        <v>515</v>
      </c>
    </row>
    <row r="84" spans="1:6">
      <c r="B84" s="347" t="s">
        <v>224</v>
      </c>
      <c r="C84" s="377">
        <f>DCF!F5</f>
        <v>8029573.8978425749</v>
      </c>
      <c r="D84" s="347" t="str">
        <f>Reporting_currency</f>
        <v>HKD</v>
      </c>
    </row>
    <row r="85" spans="1:6">
      <c r="B85" s="386" t="s">
        <v>484</v>
      </c>
      <c r="C85" s="394">
        <f>BS!C66</f>
        <v>10118429</v>
      </c>
      <c r="D85" s="395" t="str">
        <f>Reporting_currency</f>
        <v>HKD</v>
      </c>
    </row>
    <row r="86" spans="1:6">
      <c r="B86" s="376" t="s">
        <v>235</v>
      </c>
      <c r="C86" s="391">
        <f>C84*scaling_factor*Exchange_Rate/Common_Shares</f>
        <v>1.5771891899645554</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1.6203697753137798</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4.5928254474146408</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2.75 HKD</v>
      </c>
      <c r="F118" s="403">
        <f>DCF!F90</f>
        <v>0.15</v>
      </c>
    </row>
    <row r="119" spans="1:6">
      <c r="A119" s="389"/>
      <c r="B119" s="404" t="str">
        <f>DCF!B91</f>
        <v>Optimistic</v>
      </c>
      <c r="C119" s="405">
        <f>DCF!C91</f>
        <v>0.02</v>
      </c>
      <c r="D119" s="406">
        <f>DCF!D91</f>
        <v>3</v>
      </c>
      <c r="E119" s="402" t="str">
        <f>ROUND(DCF!E91,2)&amp;" "&amp;Market_currency</f>
        <v>4.76 HKD</v>
      </c>
      <c r="F119" s="407">
        <f>DCF!F91</f>
        <v>0.15999999999999995</v>
      </c>
    </row>
    <row r="120" spans="1:6">
      <c r="B120" s="404" t="str">
        <f>DCF!B92</f>
        <v>Base</v>
      </c>
      <c r="C120" s="405">
        <f>DCF!C92</f>
        <v>0</v>
      </c>
      <c r="D120" s="406">
        <f>DCF!D92</f>
        <v>3</v>
      </c>
      <c r="E120" s="402" t="str">
        <f>ROUND(DCF!E92,2)&amp;" "&amp;Market_currency</f>
        <v>4.59 HKD</v>
      </c>
      <c r="F120" s="407">
        <f>DCF!F92</f>
        <v>0.44</v>
      </c>
    </row>
    <row r="121" spans="1:6">
      <c r="B121" s="404" t="str">
        <f>DCF!B93</f>
        <v>Pessimistic</v>
      </c>
      <c r="C121" s="405">
        <f>DCF!C93</f>
        <v>-0.15</v>
      </c>
      <c r="D121" s="406">
        <f>DCF!D93</f>
        <v>3</v>
      </c>
      <c r="E121" s="402" t="str">
        <f>ROUND(DCF!E93,2)&amp;" "&amp;Market_currency</f>
        <v>3.52 HKD</v>
      </c>
      <c r="F121" s="407">
        <f>DCF!F93</f>
        <v>0.19999999999999998</v>
      </c>
    </row>
    <row r="122" spans="1:6">
      <c r="B122" s="404" t="str">
        <f>DCF!B94</f>
        <v>Devil's advocate</v>
      </c>
      <c r="C122" s="405">
        <f>DCF!C94</f>
        <v>0.04</v>
      </c>
      <c r="D122" s="406">
        <f>DCF!D94</f>
        <v>3</v>
      </c>
      <c r="E122" s="402" t="str">
        <f>ROUND(DCF!E94,2)&amp;" "&amp;Market_currency</f>
        <v>4.94 HKD</v>
      </c>
      <c r="F122" s="407">
        <f>DCF!F94</f>
        <v>0.05</v>
      </c>
    </row>
    <row r="124" spans="1:6">
      <c r="B124" s="466" t="s">
        <v>522</v>
      </c>
      <c r="C124" s="466"/>
      <c r="D124" s="466"/>
      <c r="E124" s="466"/>
      <c r="F124" s="466"/>
    </row>
    <row r="125" spans="1:6">
      <c r="B125" s="376" t="s">
        <v>218</v>
      </c>
      <c r="C125" s="408">
        <f>Scenarios!C36</f>
        <v>4.1464286049821002</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1.9107965921576504</v>
      </c>
      <c r="E140" s="414">
        <f>Scenarios!E62</f>
        <v>2.4048565177073828</v>
      </c>
      <c r="F140" s="415">
        <f>E22</f>
        <v>0.29465259038036606</v>
      </c>
    </row>
    <row r="141" spans="1:6">
      <c r="B141" s="412" t="s">
        <v>313</v>
      </c>
      <c r="C141" s="413">
        <f>Scenarios!C63</f>
        <v>0.56808106576265116</v>
      </c>
      <c r="D141" s="413">
        <f>Scenarios!D63</f>
        <v>2.3950490137080731</v>
      </c>
      <c r="E141" s="414">
        <f>Scenarios!E63</f>
        <v>2.9631300794707243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2.9719957965147898</v>
      </c>
      <c r="E144" s="414">
        <f>Scenarios!E66</f>
        <v>3.623398640518225</v>
      </c>
      <c r="F144" s="415">
        <f>E24</f>
        <v>0.1174</v>
      </c>
    </row>
    <row r="145" spans="1:6">
      <c r="B145" s="412" t="s">
        <v>314</v>
      </c>
      <c r="C145" s="413">
        <f>Scenarios!C67</f>
        <v>0.7053413113367144</v>
      </c>
      <c r="D145" s="413">
        <f>Scenarios!D67</f>
        <v>3.3611066207370817</v>
      </c>
      <c r="E145" s="414">
        <f>Scenarios!E67</f>
        <v>4.0664479320737961</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2025-12-22T02:59:47Z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