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728DED0E-C0FA-4A48-96BE-AB50644512C6}" xr6:coauthVersionLast="47" xr6:coauthVersionMax="47" xr10:uidLastSave="{00000000-0000-0000-0000-000000000000}"/>
  <bookViews>
    <workbookView xWindow="33720" yWindow="-120" windowWidth="29040" windowHeight="15720" activeTab="3" xr2:uid="{00000000-000D-0000-FFFF-FFFF00000000}"/>
  </bookViews>
  <sheets>
    <sheet name="Thesis" sheetId="6" r:id="rId1"/>
    <sheet name="Data" sheetId="4" r:id="rId2"/>
    <sheet name="FCF" sheetId="2" r:id="rId3"/>
    <sheet name="BS" sheetId="3" r:id="rId4"/>
    <sheet name="r_e" sheetId="7" r:id="rId5"/>
    <sheet name="Model" sheetId="8" r:id="rId6"/>
    <sheet name="Dashboard" sheetId="1" r:id="rId7"/>
  </sheets>
  <definedNames>
    <definedName name="Common_Shares">Thesis!$C$11</definedName>
    <definedName name="Exchange_Rate">Thesis!$C$13</definedName>
    <definedName name="Market_Price">Thesis!$C$10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63" i="2" l="1"/>
  <c r="C64" i="2"/>
  <c r="C66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65" i="2" s="1"/>
  <c r="M66" i="4"/>
  <c r="Q65" i="2" s="1"/>
  <c r="E67" i="4"/>
  <c r="F67" i="4"/>
  <c r="G67" i="4"/>
  <c r="H67" i="4"/>
  <c r="I67" i="4"/>
  <c r="M66" i="2" s="1"/>
  <c r="M74" i="2" s="1"/>
  <c r="J67" i="4"/>
  <c r="N66" i="2" s="1"/>
  <c r="N74" i="2" s="1"/>
  <c r="K67" i="4"/>
  <c r="O66" i="2" s="1"/>
  <c r="O74" i="2" s="1"/>
  <c r="L67" i="4"/>
  <c r="P66" i="2" s="1"/>
  <c r="P74" i="2" s="1"/>
  <c r="M67" i="4"/>
  <c r="Q66" i="2" s="1"/>
  <c r="Q74" i="2" s="1"/>
  <c r="C66" i="4"/>
  <c r="D66" i="4"/>
  <c r="M65" i="2"/>
  <c r="N65" i="2"/>
  <c r="O65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2" i="2" l="1"/>
  <c r="G25" i="3"/>
  <c r="I43" i="4"/>
  <c r="M12" i="2" s="1"/>
  <c r="J43" i="4"/>
  <c r="N12" i="2" s="1"/>
  <c r="K43" i="4"/>
  <c r="O12" i="2" s="1"/>
  <c r="L43" i="4"/>
  <c r="P12" i="2" s="1"/>
  <c r="M43" i="4"/>
  <c r="Q12" i="2" s="1"/>
  <c r="C44" i="4"/>
  <c r="G10" i="2" s="1"/>
  <c r="C45" i="4"/>
  <c r="C46" i="4"/>
  <c r="G15" i="2" s="1"/>
  <c r="G24" i="3"/>
  <c r="C58" i="2" s="1"/>
  <c r="C20" i="3"/>
  <c r="G17" i="3"/>
  <c r="G10" i="3"/>
  <c r="C11" i="3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57" i="2" s="1"/>
  <c r="E41" i="4"/>
  <c r="I57" i="2" s="1"/>
  <c r="F41" i="4"/>
  <c r="J57" i="2" s="1"/>
  <c r="G41" i="4"/>
  <c r="K57" i="2" s="1"/>
  <c r="H41" i="4"/>
  <c r="L57" i="2" s="1"/>
  <c r="I41" i="4"/>
  <c r="M57" i="2" s="1"/>
  <c r="J41" i="4"/>
  <c r="N57" i="2" s="1"/>
  <c r="K41" i="4"/>
  <c r="O57" i="2" s="1"/>
  <c r="L41" i="4"/>
  <c r="P57" i="2" s="1"/>
  <c r="M41" i="4"/>
  <c r="Q57" i="2" s="1"/>
  <c r="D42" i="4"/>
  <c r="H58" i="2" s="1"/>
  <c r="E42" i="4"/>
  <c r="I58" i="2" s="1"/>
  <c r="F42" i="4"/>
  <c r="J58" i="2" s="1"/>
  <c r="G42" i="4"/>
  <c r="K58" i="2" s="1"/>
  <c r="H42" i="4"/>
  <c r="L58" i="2" s="1"/>
  <c r="I42" i="4"/>
  <c r="M58" i="2" s="1"/>
  <c r="J42" i="4"/>
  <c r="N58" i="2" s="1"/>
  <c r="K42" i="4"/>
  <c r="O58" i="2" s="1"/>
  <c r="L42" i="4"/>
  <c r="P58" i="2" s="1"/>
  <c r="M42" i="4"/>
  <c r="Q58" i="2" s="1"/>
  <c r="C41" i="4"/>
  <c r="G57" i="2" s="1"/>
  <c r="C42" i="4"/>
  <c r="G58" i="2" s="1"/>
  <c r="D50" i="4"/>
  <c r="H14" i="2" s="1"/>
  <c r="E50" i="4"/>
  <c r="I14" i="2" s="1"/>
  <c r="F50" i="4"/>
  <c r="J14" i="2" s="1"/>
  <c r="G50" i="4"/>
  <c r="K14" i="2" s="1"/>
  <c r="H50" i="4"/>
  <c r="L14" i="2" s="1"/>
  <c r="I50" i="4"/>
  <c r="M14" i="2" s="1"/>
  <c r="J50" i="4"/>
  <c r="N14" i="2" s="1"/>
  <c r="K50" i="4"/>
  <c r="O14" i="2" s="1"/>
  <c r="L50" i="4"/>
  <c r="P14" i="2" s="1"/>
  <c r="M50" i="4"/>
  <c r="Q14" i="2" s="1"/>
  <c r="D51" i="4"/>
  <c r="H17" i="2" s="1"/>
  <c r="E51" i="4"/>
  <c r="I17" i="2" s="1"/>
  <c r="F51" i="4"/>
  <c r="J17" i="2" s="1"/>
  <c r="G51" i="4"/>
  <c r="K17" i="2" s="1"/>
  <c r="H51" i="4"/>
  <c r="L17" i="2" s="1"/>
  <c r="I51" i="4"/>
  <c r="M17" i="2" s="1"/>
  <c r="J51" i="4"/>
  <c r="N17" i="2" s="1"/>
  <c r="K51" i="4"/>
  <c r="O17" i="2" s="1"/>
  <c r="L51" i="4"/>
  <c r="P17" i="2" s="1"/>
  <c r="M51" i="4"/>
  <c r="Q17" i="2" s="1"/>
  <c r="C51" i="4"/>
  <c r="G17" i="2" s="1"/>
  <c r="C50" i="4"/>
  <c r="G14" i="2" s="1"/>
  <c r="D49" i="4"/>
  <c r="H13" i="2" s="1"/>
  <c r="E49" i="4"/>
  <c r="I13" i="2" s="1"/>
  <c r="F49" i="4"/>
  <c r="J13" i="2" s="1"/>
  <c r="G49" i="4"/>
  <c r="K13" i="2" s="1"/>
  <c r="H49" i="4"/>
  <c r="L13" i="2" s="1"/>
  <c r="I49" i="4"/>
  <c r="M13" i="2" s="1"/>
  <c r="J49" i="4"/>
  <c r="N13" i="2" s="1"/>
  <c r="K49" i="4"/>
  <c r="O13" i="2" s="1"/>
  <c r="L49" i="4"/>
  <c r="P13" i="2" s="1"/>
  <c r="M49" i="4"/>
  <c r="Q13" i="2" s="1"/>
  <c r="C49" i="4"/>
  <c r="G13" i="2" s="1"/>
  <c r="D45" i="4"/>
  <c r="E45" i="4"/>
  <c r="F45" i="4"/>
  <c r="G45" i="4"/>
  <c r="H45" i="4"/>
  <c r="I45" i="4"/>
  <c r="J45" i="4"/>
  <c r="K45" i="4"/>
  <c r="L45" i="4"/>
  <c r="M45" i="4"/>
  <c r="D46" i="4"/>
  <c r="H15" i="2" s="1"/>
  <c r="E46" i="4"/>
  <c r="I15" i="2" s="1"/>
  <c r="F46" i="4"/>
  <c r="J15" i="2" s="1"/>
  <c r="G46" i="4"/>
  <c r="K15" i="2" s="1"/>
  <c r="H46" i="4"/>
  <c r="L15" i="2" s="1"/>
  <c r="I46" i="4"/>
  <c r="M15" i="2" s="1"/>
  <c r="J46" i="4"/>
  <c r="N15" i="2" s="1"/>
  <c r="K46" i="4"/>
  <c r="O15" i="2" s="1"/>
  <c r="L46" i="4"/>
  <c r="P15" i="2" s="1"/>
  <c r="M46" i="4"/>
  <c r="Q15" i="2" s="1"/>
  <c r="D38" i="4"/>
  <c r="H45" i="2" s="1"/>
  <c r="E38" i="4"/>
  <c r="I45" i="2" s="1"/>
  <c r="F38" i="4"/>
  <c r="J45" i="2" s="1"/>
  <c r="G38" i="4"/>
  <c r="K45" i="2" s="1"/>
  <c r="H38" i="4"/>
  <c r="L45" i="2" s="1"/>
  <c r="I38" i="4"/>
  <c r="M45" i="2" s="1"/>
  <c r="J38" i="4"/>
  <c r="N45" i="2" s="1"/>
  <c r="K38" i="4"/>
  <c r="O45" i="2" s="1"/>
  <c r="L38" i="4"/>
  <c r="P45" i="2" s="1"/>
  <c r="M38" i="4"/>
  <c r="Q45" i="2" s="1"/>
  <c r="C38" i="4"/>
  <c r="G45" i="2" s="1"/>
  <c r="D36" i="4"/>
  <c r="H42" i="2" s="1"/>
  <c r="E36" i="4"/>
  <c r="I42" i="2" s="1"/>
  <c r="F36" i="4"/>
  <c r="J42" i="2" s="1"/>
  <c r="G36" i="4"/>
  <c r="K42" i="2" s="1"/>
  <c r="H36" i="4"/>
  <c r="L42" i="2" s="1"/>
  <c r="I36" i="4"/>
  <c r="M42" i="2" s="1"/>
  <c r="J36" i="4"/>
  <c r="N42" i="2" s="1"/>
  <c r="K36" i="4"/>
  <c r="O42" i="2" s="1"/>
  <c r="L36" i="4"/>
  <c r="P42" i="2" s="1"/>
  <c r="M36" i="4"/>
  <c r="Q42" i="2" s="1"/>
  <c r="C36" i="4"/>
  <c r="G42" i="2" s="1"/>
  <c r="D35" i="4"/>
  <c r="E35" i="4"/>
  <c r="F35" i="4"/>
  <c r="G35" i="4"/>
  <c r="H35" i="4"/>
  <c r="I35" i="4"/>
  <c r="J35" i="4"/>
  <c r="K35" i="4"/>
  <c r="L35" i="4"/>
  <c r="M35" i="4"/>
  <c r="C35" i="4"/>
  <c r="D33" i="4"/>
  <c r="H41" i="2" s="1"/>
  <c r="E33" i="4"/>
  <c r="I41" i="2" s="1"/>
  <c r="F33" i="4"/>
  <c r="J41" i="2" s="1"/>
  <c r="G33" i="4"/>
  <c r="K41" i="2" s="1"/>
  <c r="H33" i="4"/>
  <c r="L41" i="2" s="1"/>
  <c r="I33" i="4"/>
  <c r="M41" i="2" s="1"/>
  <c r="J33" i="4"/>
  <c r="N41" i="2" s="1"/>
  <c r="K33" i="4"/>
  <c r="O41" i="2" s="1"/>
  <c r="L33" i="4"/>
  <c r="P41" i="2" s="1"/>
  <c r="M33" i="4"/>
  <c r="Q41" i="2" s="1"/>
  <c r="C33" i="4"/>
  <c r="G41" i="2" s="1"/>
  <c r="I39" i="4"/>
  <c r="J39" i="4"/>
  <c r="K39" i="4"/>
  <c r="L39" i="4"/>
  <c r="M39" i="4"/>
  <c r="D52" i="4"/>
  <c r="E52" i="4"/>
  <c r="F52" i="4"/>
  <c r="G52" i="4"/>
  <c r="H52" i="4"/>
  <c r="C52" i="4"/>
  <c r="G65" i="2"/>
  <c r="C67" i="4"/>
  <c r="E64" i="4"/>
  <c r="F64" i="4"/>
  <c r="G64" i="4"/>
  <c r="H64" i="4"/>
  <c r="E65" i="4"/>
  <c r="F65" i="4"/>
  <c r="G65" i="4"/>
  <c r="H65" i="4"/>
  <c r="I65" i="2"/>
  <c r="J65" i="2"/>
  <c r="K65" i="2"/>
  <c r="L65" i="2"/>
  <c r="I66" i="2"/>
  <c r="J66" i="2"/>
  <c r="K66" i="2"/>
  <c r="L66" i="2"/>
  <c r="D65" i="4"/>
  <c r="H65" i="2"/>
  <c r="D67" i="4"/>
  <c r="D64" i="4"/>
  <c r="D42" i="3" l="1"/>
  <c r="C42" i="3" s="1"/>
  <c r="C13" i="2" s="1"/>
  <c r="G66" i="2"/>
  <c r="C63" i="4"/>
  <c r="H66" i="2"/>
  <c r="D63" i="4"/>
  <c r="C40" i="4"/>
  <c r="F40" i="4"/>
  <c r="D40" i="4"/>
  <c r="G23" i="3"/>
  <c r="C62" i="2" s="1"/>
  <c r="G40" i="4"/>
  <c r="E40" i="4"/>
  <c r="H40" i="4"/>
  <c r="I37" i="4"/>
  <c r="M44" i="2" s="1"/>
  <c r="J37" i="4"/>
  <c r="N44" i="2" s="1"/>
  <c r="K37" i="4"/>
  <c r="O44" i="2" s="1"/>
  <c r="L37" i="4"/>
  <c r="P44" i="2" s="1"/>
  <c r="M37" i="4"/>
  <c r="Q44" i="2" s="1"/>
  <c r="D37" i="4"/>
  <c r="H44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3" i="2"/>
  <c r="C45" i="2"/>
  <c r="B52" i="2"/>
  <c r="B50" i="2"/>
  <c r="D43" i="3" l="1"/>
  <c r="C79" i="2"/>
  <c r="C74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Q4" i="2"/>
  <c r="P4" i="2"/>
  <c r="I4" i="2"/>
  <c r="G4" i="2"/>
  <c r="H4" i="2"/>
  <c r="L4" i="2"/>
  <c r="K4" i="2"/>
  <c r="K34" i="4"/>
  <c r="O4" i="2"/>
  <c r="J34" i="4"/>
  <c r="N4" i="2"/>
  <c r="I34" i="4"/>
  <c r="M4" i="2"/>
  <c r="H37" i="4"/>
  <c r="L44" i="2" s="1"/>
  <c r="G34" i="4"/>
  <c r="G39" i="4" s="1"/>
  <c r="G43" i="4" s="1"/>
  <c r="K12" i="2" s="1"/>
  <c r="E37" i="4"/>
  <c r="I44" i="2" s="1"/>
  <c r="G37" i="4"/>
  <c r="K44" i="2" s="1"/>
  <c r="H34" i="4"/>
  <c r="H39" i="4" s="1"/>
  <c r="H43" i="4" s="1"/>
  <c r="L12" i="2" s="1"/>
  <c r="C37" i="4"/>
  <c r="G44" i="2" s="1"/>
  <c r="F37" i="4"/>
  <c r="J44" i="2" s="1"/>
  <c r="C34" i="4"/>
  <c r="C39" i="4" s="1"/>
  <c r="C43" i="4" s="1"/>
  <c r="G12" i="2" s="1"/>
  <c r="D34" i="4"/>
  <c r="D39" i="4" s="1"/>
  <c r="D43" i="4" s="1"/>
  <c r="H12" i="2" s="1"/>
  <c r="F34" i="4"/>
  <c r="F39" i="4" s="1"/>
  <c r="F43" i="4" s="1"/>
  <c r="J12" i="2" s="1"/>
  <c r="L34" i="4"/>
  <c r="E34" i="4"/>
  <c r="E39" i="4" s="1"/>
  <c r="E43" i="4" s="1"/>
  <c r="I12" i="2" s="1"/>
  <c r="M34" i="4"/>
  <c r="A18" i="6"/>
  <c r="A88" i="6"/>
  <c r="A77" i="6"/>
  <c r="A63" i="6"/>
  <c r="A55" i="6"/>
  <c r="A42" i="6"/>
  <c r="A29" i="6"/>
  <c r="D44" i="6"/>
  <c r="D45" i="6"/>
  <c r="C14" i="6"/>
  <c r="B9" i="6"/>
  <c r="F27" i="4"/>
  <c r="E27" i="4"/>
  <c r="D27" i="4"/>
  <c r="C27" i="4"/>
  <c r="O16" i="2" l="1"/>
  <c r="O37" i="2"/>
  <c r="O18" i="2"/>
  <c r="P18" i="2"/>
  <c r="P37" i="2"/>
  <c r="P16" i="2"/>
  <c r="Q18" i="2"/>
  <c r="Q37" i="2"/>
  <c r="Q16" i="2"/>
  <c r="M37" i="2"/>
  <c r="M16" i="2"/>
  <c r="M18" i="2"/>
  <c r="N37" i="2"/>
  <c r="N18" i="2"/>
  <c r="N16" i="2"/>
  <c r="G73" i="2"/>
  <c r="N73" i="2"/>
  <c r="N80" i="2"/>
  <c r="N79" i="2"/>
  <c r="P73" i="2"/>
  <c r="P79" i="2"/>
  <c r="P80" i="2"/>
  <c r="J73" i="2"/>
  <c r="K73" i="2"/>
  <c r="Q73" i="2"/>
  <c r="Q79" i="2"/>
  <c r="Q80" i="2"/>
  <c r="L73" i="2"/>
  <c r="I73" i="2"/>
  <c r="O73" i="2"/>
  <c r="O80" i="2"/>
  <c r="O79" i="2"/>
  <c r="M73" i="2"/>
  <c r="M80" i="2"/>
  <c r="M79" i="2"/>
  <c r="H73" i="2"/>
  <c r="D41" i="3"/>
  <c r="N70" i="2"/>
  <c r="N69" i="2"/>
  <c r="O70" i="2"/>
  <c r="O69" i="2"/>
  <c r="Q69" i="2"/>
  <c r="Q70" i="2"/>
  <c r="P69" i="2"/>
  <c r="P70" i="2"/>
  <c r="M69" i="2"/>
  <c r="M70" i="2"/>
  <c r="K26" i="2"/>
  <c r="K64" i="2"/>
  <c r="K70" i="2" s="1"/>
  <c r="K63" i="2"/>
  <c r="K69" i="2" s="1"/>
  <c r="K62" i="2"/>
  <c r="K74" i="2" s="1"/>
  <c r="M64" i="2"/>
  <c r="M63" i="2"/>
  <c r="M62" i="2"/>
  <c r="I31" i="2"/>
  <c r="I63" i="2"/>
  <c r="I69" i="2" s="1"/>
  <c r="I62" i="2"/>
  <c r="I74" i="2" s="1"/>
  <c r="I64" i="2"/>
  <c r="I70" i="2" s="1"/>
  <c r="O62" i="2"/>
  <c r="O64" i="2"/>
  <c r="O63" i="2"/>
  <c r="Q28" i="2"/>
  <c r="Q63" i="2"/>
  <c r="Q62" i="2"/>
  <c r="Q64" i="2"/>
  <c r="H31" i="2"/>
  <c r="H62" i="2"/>
  <c r="H74" i="2" s="1"/>
  <c r="H64" i="2"/>
  <c r="H70" i="2" s="1"/>
  <c r="H63" i="2"/>
  <c r="H69" i="2" s="1"/>
  <c r="J50" i="2"/>
  <c r="J63" i="2"/>
  <c r="J69" i="2" s="1"/>
  <c r="J64" i="2"/>
  <c r="J70" i="2" s="1"/>
  <c r="J62" i="2"/>
  <c r="J74" i="2" s="1"/>
  <c r="P32" i="2"/>
  <c r="P62" i="2"/>
  <c r="P63" i="2"/>
  <c r="P64" i="2"/>
  <c r="G30" i="2"/>
  <c r="G63" i="2"/>
  <c r="G69" i="2" s="1"/>
  <c r="G64" i="2"/>
  <c r="G70" i="2" s="1"/>
  <c r="G62" i="2"/>
  <c r="G74" i="2" s="1"/>
  <c r="N62" i="2"/>
  <c r="N64" i="2"/>
  <c r="N63" i="2"/>
  <c r="L32" i="2"/>
  <c r="L64" i="2"/>
  <c r="L70" i="2" s="1"/>
  <c r="L63" i="2"/>
  <c r="L69" i="2" s="1"/>
  <c r="L62" i="2"/>
  <c r="L74" i="2" s="1"/>
  <c r="J29" i="2"/>
  <c r="P29" i="2"/>
  <c r="I43" i="2"/>
  <c r="I51" i="2" s="1"/>
  <c r="E57" i="4"/>
  <c r="Q11" i="2"/>
  <c r="Q46" i="2"/>
  <c r="Q7" i="2" s="1"/>
  <c r="Q29" i="2"/>
  <c r="H50" i="2"/>
  <c r="Q6" i="2"/>
  <c r="Q59" i="2"/>
  <c r="Q9" i="2" s="1"/>
  <c r="Q32" i="2"/>
  <c r="Q52" i="2"/>
  <c r="Q23" i="2"/>
  <c r="Q36" i="2"/>
  <c r="K28" i="2"/>
  <c r="Q33" i="2"/>
  <c r="Q8" i="2"/>
  <c r="K43" i="2"/>
  <c r="K51" i="2" s="1"/>
  <c r="I26" i="2"/>
  <c r="K59" i="2"/>
  <c r="K9" i="2" s="1"/>
  <c r="K25" i="2" s="1"/>
  <c r="Q27" i="2"/>
  <c r="Q25" i="2"/>
  <c r="Q26" i="2"/>
  <c r="Q21" i="2"/>
  <c r="Q43" i="2"/>
  <c r="Q5" i="2" s="1"/>
  <c r="Q31" i="2"/>
  <c r="Q50" i="2"/>
  <c r="K52" i="2"/>
  <c r="Q24" i="2"/>
  <c r="Q77" i="2" s="1"/>
  <c r="Q54" i="2"/>
  <c r="Q53" i="2"/>
  <c r="Q51" i="2"/>
  <c r="Q49" i="2"/>
  <c r="Q22" i="2"/>
  <c r="Q30" i="2"/>
  <c r="F57" i="4"/>
  <c r="J46" i="2"/>
  <c r="J54" i="2" s="1"/>
  <c r="H59" i="2"/>
  <c r="H9" i="2" s="1"/>
  <c r="H25" i="2" s="1"/>
  <c r="I50" i="2"/>
  <c r="H53" i="2"/>
  <c r="H26" i="2"/>
  <c r="C57" i="4"/>
  <c r="I53" i="2"/>
  <c r="H32" i="2"/>
  <c r="D57" i="4"/>
  <c r="H29" i="2"/>
  <c r="I28" i="2"/>
  <c r="I59" i="2"/>
  <c r="I9" i="2" s="1"/>
  <c r="I25" i="2" s="1"/>
  <c r="H30" i="2"/>
  <c r="I52" i="2"/>
  <c r="I30" i="2"/>
  <c r="H49" i="2"/>
  <c r="H46" i="2"/>
  <c r="H54" i="2" s="1"/>
  <c r="I29" i="2"/>
  <c r="I49" i="2"/>
  <c r="H52" i="2"/>
  <c r="G57" i="4"/>
  <c r="H43" i="2"/>
  <c r="H51" i="2" s="1"/>
  <c r="I32" i="2"/>
  <c r="H28" i="2"/>
  <c r="L59" i="2"/>
  <c r="L9" i="2" s="1"/>
  <c r="L25" i="2" s="1"/>
  <c r="J59" i="2"/>
  <c r="J9" i="2" s="1"/>
  <c r="J25" i="2" s="1"/>
  <c r="J53" i="2"/>
  <c r="L30" i="2"/>
  <c r="L28" i="2"/>
  <c r="J32" i="2"/>
  <c r="J30" i="2"/>
  <c r="J43" i="2"/>
  <c r="J51" i="2" s="1"/>
  <c r="J49" i="2"/>
  <c r="L49" i="2"/>
  <c r="J28" i="2"/>
  <c r="L43" i="2"/>
  <c r="L51" i="2" s="1"/>
  <c r="J31" i="2"/>
  <c r="L31" i="2"/>
  <c r="L46" i="2"/>
  <c r="L54" i="2" s="1"/>
  <c r="J26" i="2"/>
  <c r="L26" i="2"/>
  <c r="L29" i="2"/>
  <c r="L50" i="2"/>
  <c r="C4" i="2"/>
  <c r="G46" i="2"/>
  <c r="G54" i="2" s="1"/>
  <c r="L53" i="2"/>
  <c r="P36" i="2"/>
  <c r="G32" i="2"/>
  <c r="G29" i="2"/>
  <c r="G53" i="2"/>
  <c r="G26" i="2"/>
  <c r="P8" i="2"/>
  <c r="P54" i="2"/>
  <c r="P52" i="2"/>
  <c r="P27" i="2"/>
  <c r="K49" i="2"/>
  <c r="K50" i="2"/>
  <c r="P59" i="2"/>
  <c r="P9" i="2" s="1"/>
  <c r="K29" i="2"/>
  <c r="P24" i="2"/>
  <c r="P77" i="2" s="1"/>
  <c r="P51" i="2"/>
  <c r="P25" i="2"/>
  <c r="P22" i="2"/>
  <c r="P33" i="2"/>
  <c r="G50" i="2"/>
  <c r="P23" i="2"/>
  <c r="P53" i="2"/>
  <c r="P11" i="2"/>
  <c r="P43" i="2"/>
  <c r="P5" i="2" s="1"/>
  <c r="P26" i="2"/>
  <c r="G31" i="2"/>
  <c r="P50" i="2"/>
  <c r="P46" i="2"/>
  <c r="P7" i="2" s="1"/>
  <c r="P21" i="2"/>
  <c r="G43" i="2"/>
  <c r="G51" i="2" s="1"/>
  <c r="P6" i="2"/>
  <c r="G59" i="2"/>
  <c r="G9" i="2" s="1"/>
  <c r="G25" i="2" s="1"/>
  <c r="G49" i="2"/>
  <c r="P49" i="2"/>
  <c r="K53" i="2"/>
  <c r="K32" i="2"/>
  <c r="P31" i="2"/>
  <c r="K31" i="2"/>
  <c r="P30" i="2"/>
  <c r="K30" i="2"/>
  <c r="P28" i="2"/>
  <c r="B1" i="4"/>
  <c r="C12" i="2"/>
  <c r="G28" i="2"/>
  <c r="G52" i="2"/>
  <c r="L52" i="2"/>
  <c r="J52" i="2"/>
  <c r="O36" i="2"/>
  <c r="O28" i="2"/>
  <c r="O30" i="2"/>
  <c r="O31" i="2"/>
  <c r="O29" i="2"/>
  <c r="O32" i="2"/>
  <c r="M36" i="2"/>
  <c r="M30" i="2"/>
  <c r="M31" i="2"/>
  <c r="M32" i="2"/>
  <c r="M28" i="2"/>
  <c r="M29" i="2"/>
  <c r="N36" i="2"/>
  <c r="N28" i="2"/>
  <c r="N30" i="2"/>
  <c r="N31" i="2"/>
  <c r="N32" i="2"/>
  <c r="N29" i="2"/>
  <c r="O25" i="2"/>
  <c r="N25" i="2"/>
  <c r="M25" i="2"/>
  <c r="O59" i="2"/>
  <c r="O9" i="2" s="1"/>
  <c r="M59" i="2"/>
  <c r="M9" i="2" s="1"/>
  <c r="N59" i="2"/>
  <c r="N9" i="2" s="1"/>
  <c r="K46" i="2"/>
  <c r="I46" i="2"/>
  <c r="I54" i="2" s="1"/>
  <c r="M23" i="2"/>
  <c r="M26" i="2"/>
  <c r="M53" i="2"/>
  <c r="M54" i="2"/>
  <c r="M46" i="2"/>
  <c r="M7" i="2" s="1"/>
  <c r="M6" i="2"/>
  <c r="M24" i="2"/>
  <c r="M77" i="2" s="1"/>
  <c r="M27" i="2"/>
  <c r="M51" i="2"/>
  <c r="M11" i="2"/>
  <c r="M8" i="2"/>
  <c r="M22" i="2"/>
  <c r="M49" i="2"/>
  <c r="M50" i="2"/>
  <c r="M43" i="2"/>
  <c r="M5" i="2" s="1"/>
  <c r="M52" i="2"/>
  <c r="M33" i="2"/>
  <c r="M21" i="2"/>
  <c r="N49" i="2"/>
  <c r="N23" i="2"/>
  <c r="N8" i="2"/>
  <c r="N24" i="2"/>
  <c r="N77" i="2" s="1"/>
  <c r="N11" i="2"/>
  <c r="N33" i="2"/>
  <c r="N26" i="2"/>
  <c r="N51" i="2"/>
  <c r="N21" i="2"/>
  <c r="N46" i="2"/>
  <c r="N7" i="2" s="1"/>
  <c r="N6" i="2"/>
  <c r="N22" i="2"/>
  <c r="N54" i="2"/>
  <c r="N52" i="2"/>
  <c r="N53" i="2"/>
  <c r="N27" i="2"/>
  <c r="N43" i="2"/>
  <c r="N5" i="2" s="1"/>
  <c r="N50" i="2"/>
  <c r="C44" i="2"/>
  <c r="O11" i="2"/>
  <c r="O33" i="2"/>
  <c r="O27" i="2"/>
  <c r="O52" i="2"/>
  <c r="O8" i="2"/>
  <c r="O53" i="2"/>
  <c r="O51" i="2"/>
  <c r="O50" i="2"/>
  <c r="O43" i="2"/>
  <c r="O5" i="2" s="1"/>
  <c r="O46" i="2"/>
  <c r="O7" i="2" s="1"/>
  <c r="O6" i="2"/>
  <c r="O26" i="2"/>
  <c r="O24" i="2"/>
  <c r="O77" i="2" s="1"/>
  <c r="O21" i="2"/>
  <c r="O22" i="2"/>
  <c r="O54" i="2"/>
  <c r="O49" i="2"/>
  <c r="O23" i="2"/>
  <c r="L79" i="2" l="1"/>
  <c r="J79" i="2"/>
  <c r="G79" i="2"/>
  <c r="H79" i="2"/>
  <c r="K79" i="2"/>
  <c r="I79" i="2"/>
  <c r="C78" i="2"/>
  <c r="H5" i="2"/>
  <c r="H21" i="2" s="1"/>
  <c r="I5" i="2"/>
  <c r="I21" i="2" s="1"/>
  <c r="C15" i="2"/>
  <c r="C69" i="2"/>
  <c r="C70" i="2"/>
  <c r="K5" i="2"/>
  <c r="K21" i="2" s="1"/>
  <c r="C50" i="2"/>
  <c r="C42" i="2" s="1"/>
  <c r="J7" i="2"/>
  <c r="J23" i="2" s="1"/>
  <c r="C29" i="2"/>
  <c r="C30" i="2" s="1"/>
  <c r="C14" i="2" s="1"/>
  <c r="L5" i="2"/>
  <c r="L21" i="2" s="1"/>
  <c r="G7" i="2"/>
  <c r="G23" i="2" s="1"/>
  <c r="J5" i="2"/>
  <c r="J21" i="2" s="1"/>
  <c r="C28" i="2"/>
  <c r="C52" i="2"/>
  <c r="C53" i="2"/>
  <c r="C31" i="2"/>
  <c r="C17" i="2" s="1"/>
  <c r="L7" i="2"/>
  <c r="L23" i="2" s="1"/>
  <c r="H7" i="2"/>
  <c r="H23" i="2" s="1"/>
  <c r="G5" i="2"/>
  <c r="G21" i="2" s="1"/>
  <c r="K7" i="2"/>
  <c r="K23" i="2" s="1"/>
  <c r="K54" i="2"/>
  <c r="I7" i="2"/>
  <c r="I23" i="2" s="1"/>
  <c r="C46" i="2"/>
  <c r="H6" i="2" l="1"/>
  <c r="H22" i="2" s="1"/>
  <c r="K6" i="2"/>
  <c r="K22" i="2" s="1"/>
  <c r="G6" i="2"/>
  <c r="G22" i="2" s="1"/>
  <c r="I6" i="2"/>
  <c r="I22" i="2" s="1"/>
  <c r="L6" i="2"/>
  <c r="L22" i="2" s="1"/>
  <c r="J6" i="2"/>
  <c r="J22" i="2" s="1"/>
  <c r="C7" i="2"/>
  <c r="C23" i="2" s="1"/>
  <c r="C54" i="2"/>
  <c r="H8" i="2"/>
  <c r="H80" i="2" s="1"/>
  <c r="K8" i="2" l="1"/>
  <c r="K80" i="2" s="1"/>
  <c r="I8" i="2"/>
  <c r="G8" i="2"/>
  <c r="L8" i="2"/>
  <c r="J8" i="2"/>
  <c r="H36" i="2"/>
  <c r="H24" i="2"/>
  <c r="H77" i="2" s="1"/>
  <c r="K36" i="2"/>
  <c r="K24" i="2"/>
  <c r="K77" i="2" s="1"/>
  <c r="H11" i="2"/>
  <c r="H16" i="2" s="1"/>
  <c r="H18" i="2" s="1"/>
  <c r="G26" i="3"/>
  <c r="C65" i="2" s="1"/>
  <c r="H27" i="2" l="1"/>
  <c r="K11" i="2"/>
  <c r="K16" i="2" s="1"/>
  <c r="K18" i="2" s="1"/>
  <c r="J36" i="2"/>
  <c r="J80" i="2"/>
  <c r="I24" i="2"/>
  <c r="I77" i="2" s="1"/>
  <c r="I80" i="2"/>
  <c r="C70" i="4"/>
  <c r="L80" i="2"/>
  <c r="D70" i="4"/>
  <c r="G80" i="2"/>
  <c r="G11" i="2"/>
  <c r="G16" i="2" s="1"/>
  <c r="G18" i="2" s="1"/>
  <c r="J11" i="2"/>
  <c r="J16" i="2" s="1"/>
  <c r="J18" i="2" s="1"/>
  <c r="J24" i="2"/>
  <c r="J77" i="2" s="1"/>
  <c r="G24" i="2"/>
  <c r="G77" i="2" s="1"/>
  <c r="G36" i="2"/>
  <c r="I11" i="2"/>
  <c r="I16" i="2" s="1"/>
  <c r="I18" i="2" s="1"/>
  <c r="I36" i="2"/>
  <c r="L11" i="2"/>
  <c r="L16" i="2" s="1"/>
  <c r="L18" i="2" s="1"/>
  <c r="L24" i="2"/>
  <c r="L77" i="2" s="1"/>
  <c r="L36" i="2"/>
  <c r="G30" i="3"/>
  <c r="D10" i="1"/>
  <c r="G27" i="2" l="1"/>
  <c r="K27" i="2"/>
  <c r="L27" i="2"/>
  <c r="J27" i="2"/>
  <c r="I27" i="2"/>
  <c r="C71" i="4"/>
  <c r="C36" i="2"/>
  <c r="C36" i="3" l="1"/>
  <c r="C7" i="6"/>
  <c r="C3" i="2" l="1"/>
  <c r="G1" i="2"/>
  <c r="H37" i="2" l="1"/>
  <c r="J37" i="2"/>
  <c r="G37" i="2"/>
  <c r="K37" i="2"/>
  <c r="L37" i="2"/>
  <c r="I37" i="2"/>
  <c r="F1" i="3"/>
  <c r="H1" i="2"/>
  <c r="P78" i="2"/>
  <c r="M78" i="2"/>
  <c r="L78" i="2"/>
  <c r="J78" i="2"/>
  <c r="K78" i="2"/>
  <c r="N78" i="2"/>
  <c r="I78" i="2"/>
  <c r="O78" i="2"/>
  <c r="H78" i="2"/>
  <c r="Q78" i="2"/>
  <c r="E1" i="4"/>
  <c r="F1" i="4" s="1"/>
  <c r="G1" i="4" s="1"/>
  <c r="H1" i="4" s="1"/>
  <c r="I1" i="4" s="1"/>
  <c r="J1" i="4" s="1"/>
  <c r="K1" i="4" s="1"/>
  <c r="L1" i="4" s="1"/>
  <c r="M1" i="4" s="1"/>
  <c r="C49" i="2" l="1"/>
  <c r="C41" i="2" l="1"/>
  <c r="C43" i="2" s="1"/>
  <c r="K76" i="2"/>
  <c r="Q76" i="2"/>
  <c r="O76" i="2"/>
  <c r="P76" i="2"/>
  <c r="H76" i="2"/>
  <c r="N76" i="2"/>
  <c r="J76" i="2"/>
  <c r="M76" i="2"/>
  <c r="C51" i="2" l="1"/>
  <c r="C5" i="2"/>
  <c r="C21" i="2" s="1"/>
  <c r="L76" i="2"/>
  <c r="I76" i="2"/>
  <c r="C34" i="3"/>
  <c r="C35" i="3" s="1"/>
  <c r="C6" i="2" l="1"/>
  <c r="C22" i="2" s="1"/>
  <c r="C27" i="3"/>
  <c r="C8" i="2" l="1"/>
  <c r="C28" i="3"/>
  <c r="G27" i="3"/>
  <c r="D40" i="3" s="1"/>
  <c r="C40" i="3" s="1"/>
  <c r="B1" i="2"/>
  <c r="D44" i="3" l="1"/>
  <c r="C24" i="2"/>
  <c r="C77" i="2" s="1"/>
  <c r="C80" i="2"/>
  <c r="C57" i="2"/>
  <c r="C59" i="2" l="1"/>
  <c r="C9" i="2" s="1"/>
  <c r="C25" i="2" s="1"/>
  <c r="C73" i="2"/>
  <c r="C10" i="2" l="1"/>
  <c r="C26" i="2" s="1"/>
  <c r="I1" i="2"/>
  <c r="C11" i="2" l="1"/>
  <c r="C16" i="2" s="1"/>
  <c r="C18" i="2" s="1"/>
  <c r="J1" i="2"/>
  <c r="K1" i="2" s="1"/>
  <c r="L1" i="2" s="1"/>
  <c r="M1" i="2" s="1"/>
  <c r="N1" i="2" s="1"/>
  <c r="O1" i="2" s="1"/>
  <c r="P1" i="2" s="1"/>
  <c r="Q1" i="2" s="1"/>
  <c r="C27" i="2" l="1"/>
  <c r="C16" i="1" l="1"/>
  <c r="G78" i="2"/>
  <c r="G76" i="2" l="1"/>
  <c r="C37" i="2" l="1"/>
  <c r="C33" i="2"/>
  <c r="K33" i="2"/>
  <c r="L33" i="2"/>
  <c r="I33" i="2"/>
  <c r="G33" i="2"/>
  <c r="H33" i="2"/>
  <c r="J33" i="2" l="1"/>
</calcChain>
</file>

<file path=xl/sharedStrings.xml><?xml version="1.0" encoding="utf-8"?>
<sst xmlns="http://schemas.openxmlformats.org/spreadsheetml/2006/main" count="339" uniqueCount="268">
  <si>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</si>
  <si>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</si>
  <si>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</si>
  <si>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</si>
  <si>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</si>
  <si>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</si>
  <si>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</si>
  <si>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</si>
  <si>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</si>
  <si>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</si>
  <si>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</si>
  <si>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</si>
  <si>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</si>
  <si>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</si>
  <si>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</si>
  <si>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</si>
  <si>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</si>
  <si>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</si>
  <si>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</si>
  <si>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</si>
  <si>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</si>
  <si>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</si>
  <si>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</si>
  <si>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</si>
  <si>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</si>
  <si>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</si>
  <si>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</si>
  <si>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</si>
  <si>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</si>
  <si>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</si>
  <si>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</si>
  <si>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</si>
  <si>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</si>
  <si>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</si>
  <si>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</si>
  <si>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</si>
  <si>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3" type="noConversion"/>
  </si>
  <si>
    <t>- R&amp;D</t>
    <phoneticPr fontId="3" type="noConversion"/>
  </si>
  <si>
    <t>Valuation</t>
    <phoneticPr fontId="3" type="noConversion"/>
  </si>
  <si>
    <t>ST AR</t>
    <phoneticPr fontId="3" type="noConversion"/>
  </si>
  <si>
    <t>Prepayments and Contract Assets</t>
    <phoneticPr fontId="3" type="noConversion"/>
  </si>
  <si>
    <t>PP&amp;E &amp; Right of Use Assets</t>
    <phoneticPr fontId="3" type="noConversion"/>
  </si>
  <si>
    <t>Properties under development</t>
    <phoneticPr fontId="3" type="noConversion"/>
  </si>
  <si>
    <t>Income Statement</t>
    <phoneticPr fontId="3" type="noConversion"/>
  </si>
  <si>
    <t>Balance Sheet</t>
    <phoneticPr fontId="3" type="noConversion"/>
  </si>
  <si>
    <t>Restricted cash</t>
    <phoneticPr fontId="3" type="noConversion"/>
  </si>
  <si>
    <t>Total Equity</t>
    <phoneticPr fontId="3" type="noConversion"/>
  </si>
  <si>
    <t>Operating Assets</t>
    <phoneticPr fontId="3" type="noConversion"/>
  </si>
  <si>
    <t>ST Inventory</t>
    <phoneticPr fontId="3" type="noConversion"/>
  </si>
  <si>
    <t>Operating ST Financial Assets</t>
  </si>
  <si>
    <t>Operating LT Financial Assets</t>
  </si>
  <si>
    <t>CN Riskfree</t>
  </si>
  <si>
    <t>https://fred.stlouisfed.org/series/BAMLC0A4CBBBEY</t>
  </si>
  <si>
    <t>https://yield.chinabond.com.cn/cbweb-mn/yield_main?locale=en_US</t>
  </si>
  <si>
    <t>US BBB Bond yield</t>
  </si>
  <si>
    <t>https://iftp.chinamoney.com.cn/chinese/scsjzqxx/</t>
  </si>
  <si>
    <t>https://tradingeconomics.com/china/government-bond-yield</t>
  </si>
  <si>
    <t>https://fred.stlouisfed.org/series/DGS10</t>
  </si>
  <si>
    <t>Notes</t>
  </si>
  <si>
    <t>CN Onshore BBB- Bond yield</t>
  </si>
  <si>
    <t>CN Offshore BBB- Bond yield</t>
  </si>
  <si>
    <t>PB Ratio</t>
  </si>
  <si>
    <t>HK</t>
  </si>
  <si>
    <t>Valued @</t>
    <phoneticPr fontId="3" type="noConversion"/>
  </si>
  <si>
    <t>CAGR Calculator</t>
    <phoneticPr fontId="3" type="noConversion"/>
  </si>
  <si>
    <t>Inputs =</t>
    <phoneticPr fontId="3" type="noConversion"/>
  </si>
  <si>
    <t>CAGR =</t>
    <phoneticPr fontId="3" type="noConversion"/>
  </si>
  <si>
    <t>Initial Value (PV)</t>
    <phoneticPr fontId="3" type="noConversion"/>
  </si>
  <si>
    <t>Final Value (FV)</t>
    <phoneticPr fontId="3" type="noConversion"/>
  </si>
  <si>
    <t># of Years</t>
    <phoneticPr fontId="3" type="noConversion"/>
  </si>
  <si>
    <t>Base Case</t>
    <phoneticPr fontId="3" type="noConversion"/>
  </si>
  <si>
    <t>Pessimistic Case</t>
    <phoneticPr fontId="3" type="noConversion"/>
  </si>
  <si>
    <t>Dividend per share</t>
    <phoneticPr fontId="3" type="noConversion"/>
  </si>
  <si>
    <t>Target Return</t>
    <phoneticPr fontId="3" type="noConversion"/>
  </si>
  <si>
    <t>Target</t>
    <phoneticPr fontId="3" type="noConversion"/>
  </si>
  <si>
    <t>Most Recent Quarter</t>
    <phoneticPr fontId="3" type="noConversion"/>
  </si>
  <si>
    <t>EBIT</t>
    <phoneticPr fontId="3" type="noConversion"/>
  </si>
  <si>
    <t>Discount Rate (US)</t>
    <phoneticPr fontId="3" type="noConversion"/>
  </si>
  <si>
    <t>Discount Rate (CN)</t>
    <phoneticPr fontId="3" type="noConversion"/>
  </si>
  <si>
    <t>ROE</t>
    <phoneticPr fontId="3" type="noConversion"/>
  </si>
  <si>
    <t>EBIT ROE</t>
    <phoneticPr fontId="3" type="noConversion"/>
  </si>
  <si>
    <t>Interest Expense</t>
    <phoneticPr fontId="3" type="noConversion"/>
  </si>
  <si>
    <t>Total Liabilities</t>
    <phoneticPr fontId="3" type="noConversion"/>
  </si>
  <si>
    <t>Contingent Liabilities</t>
    <phoneticPr fontId="3" type="noConversion"/>
  </si>
  <si>
    <t>HKD</t>
    <phoneticPr fontId="3" type="noConversion"/>
  </si>
  <si>
    <t>Market Yields</t>
    <phoneticPr fontId="3" type="noConversion"/>
  </si>
  <si>
    <t>Model last updated:</t>
    <phoneticPr fontId="3" type="noConversion"/>
  </si>
  <si>
    <t>Liabilities</t>
    <phoneticPr fontId="3" type="noConversion"/>
  </si>
  <si>
    <t>C0003</t>
  </si>
  <si>
    <t>0590.HK</t>
  </si>
  <si>
    <t>Reported Net Income</t>
    <phoneticPr fontId="3" type="noConversion"/>
  </si>
  <si>
    <t>六福珠宝</t>
  </si>
  <si>
    <t xml:space="preserve">Superior Cycl. </t>
  </si>
  <si>
    <t>% Sales</t>
    <phoneticPr fontId="3" type="noConversion"/>
  </si>
  <si>
    <t>COGS</t>
    <phoneticPr fontId="3" type="noConversion"/>
  </si>
  <si>
    <t>Non-controling Interests</t>
    <phoneticPr fontId="3" type="noConversion"/>
  </si>
  <si>
    <t>Fixed Costs</t>
    <phoneticPr fontId="3" type="noConversion"/>
  </si>
  <si>
    <t>Variable Costs</t>
    <phoneticPr fontId="3" type="noConversion"/>
  </si>
  <si>
    <t>D&amp;A</t>
    <phoneticPr fontId="3" type="noConversion"/>
  </si>
  <si>
    <t>Contribution Margin</t>
    <phoneticPr fontId="3" type="noConversion"/>
  </si>
  <si>
    <t>US Riskfree</t>
    <phoneticPr fontId="3" type="noConversion"/>
  </si>
  <si>
    <t>Review Interval:</t>
    <phoneticPr fontId="3" type="noConversion"/>
  </si>
  <si>
    <t>Review Date:</t>
    <phoneticPr fontId="3" type="noConversion"/>
  </si>
  <si>
    <t>Risk-Free Rate</t>
    <phoneticPr fontId="3" type="noConversion"/>
  </si>
  <si>
    <t>R&amp;D</t>
    <phoneticPr fontId="3" type="noConversion"/>
  </si>
  <si>
    <t>Income Tax Paid</t>
    <phoneticPr fontId="3" type="noConversion"/>
  </si>
  <si>
    <t>Cash Flow Statement</t>
    <phoneticPr fontId="3" type="noConversion"/>
  </si>
  <si>
    <t>WCInv</t>
    <phoneticPr fontId="3" type="noConversion"/>
  </si>
  <si>
    <t>CAPX</t>
    <phoneticPr fontId="3" type="noConversion"/>
  </si>
  <si>
    <t>Other Data</t>
    <phoneticPr fontId="3" type="noConversion"/>
  </si>
  <si>
    <t>Adjusted FCFE</t>
    <phoneticPr fontId="3" type="noConversion"/>
  </si>
  <si>
    <t>OPEX</t>
    <phoneticPr fontId="3" type="noConversion"/>
  </si>
  <si>
    <t>Key Metrics:</t>
    <phoneticPr fontId="3" type="noConversion"/>
  </si>
  <si>
    <t>Adjusted FCFE = Net Income + D&amp;A – Maintenance Capex ± WCInv (if material).</t>
    <phoneticPr fontId="3" type="noConversion"/>
  </si>
  <si>
    <t>Notes:</t>
    <phoneticPr fontId="3" type="noConversion"/>
  </si>
  <si>
    <t>1. the model explicitly avoids aggressive growth assumptions and prioritizes downside protection.</t>
    <phoneticPr fontId="3" type="noConversion"/>
  </si>
  <si>
    <t>2. Net borrowing is excluded (fixed at 0), and WCInv is only included if it materially distorts FCFE (&gt;5% volatility).</t>
    <phoneticPr fontId="3" type="noConversion"/>
  </si>
  <si>
    <t xml:space="preserve">3. Normalization: 5-year averages will smooth cyclicality for 590.HK.
</t>
    <phoneticPr fontId="3" type="noConversion"/>
  </si>
  <si>
    <t>Assumptions:</t>
    <phoneticPr fontId="3" type="noConversion"/>
  </si>
  <si>
    <t>Base ERP</t>
    <phoneticPr fontId="3" type="noConversion"/>
  </si>
  <si>
    <t>Weak balance sheets</t>
    <phoneticPr fontId="3" type="noConversion"/>
  </si>
  <si>
    <t>Durable moats</t>
    <phoneticPr fontId="3" type="noConversion"/>
  </si>
  <si>
    <t>Poor management</t>
    <phoneticPr fontId="3" type="noConversion"/>
  </si>
  <si>
    <t>Qualitative Adjustments (2% for each):</t>
    <phoneticPr fontId="3" type="noConversion"/>
  </si>
  <si>
    <t>Adjusted Earnings Yield = Adjusted FCFE / Market Cap.</t>
    <phoneticPr fontId="3" type="noConversion"/>
  </si>
  <si>
    <t>Intrinsic Value (No Growth) = Adjusted FCFE / Equity Cost of Capital.</t>
    <phoneticPr fontId="3" type="noConversion"/>
  </si>
  <si>
    <t>Decision Rule:</t>
    <phoneticPr fontId="3" type="noConversion"/>
  </si>
  <si>
    <t>Buy if Adjusted Earnings Yield &gt; 7%</t>
    <phoneticPr fontId="3" type="noConversion"/>
  </si>
  <si>
    <t>g = (r × P - Adjusted FCFE) / (P + Adjusted FCFE)</t>
    <phoneticPr fontId="3" type="noConversion"/>
  </si>
  <si>
    <t>Equity Cost(r) = 4.5% (Risk-Free) + 3.5% (ERP) – 1% (Moat) = 7%.</t>
    <phoneticPr fontId="3" type="noConversion"/>
  </si>
  <si>
    <t>Investment Thesis for</t>
    <phoneticPr fontId="3" type="noConversion"/>
  </si>
  <si>
    <t>Adjusted FCFE Calculation</t>
    <phoneticPr fontId="3" type="noConversion"/>
  </si>
  <si>
    <t>Equity Cost of Capital (Buffett Method)</t>
    <phoneticPr fontId="3" type="noConversion"/>
  </si>
  <si>
    <t>No-Growth DCF Valuation</t>
    <phoneticPr fontId="3" type="noConversion"/>
  </si>
  <si>
    <t>Phase Breakdown:</t>
    <phoneticPr fontId="3" type="noConversion"/>
  </si>
  <si>
    <t>High Growth: 5 years at 5%, then transitions to 3% perpetual growth.</t>
    <phoneticPr fontId="3" type="noConversion"/>
  </si>
  <si>
    <t>Opertimistic Case</t>
    <phoneticPr fontId="3" type="noConversion"/>
  </si>
  <si>
    <t>Scenario Analysis:</t>
    <phoneticPr fontId="3" type="noConversion"/>
  </si>
  <si>
    <t>Stress Testing</t>
    <phoneticPr fontId="3" type="noConversion"/>
  </si>
  <si>
    <t>Equity Cost of Capital: ±1.5% (e.g., 5.5%–8.5%).</t>
    <phoneticPr fontId="3" type="noConversion"/>
  </si>
  <si>
    <t>Growth Rate: ±1.5% (e.g., 1.5%–4.5%).</t>
    <phoneticPr fontId="3" type="noConversion"/>
  </si>
  <si>
    <t>Maintenance Capex: ±20%.</t>
    <phoneticPr fontId="3" type="noConversion"/>
  </si>
  <si>
    <t>Variables Adjusted:</t>
    <phoneticPr fontId="3" type="noConversion"/>
  </si>
  <si>
    <t>Output:</t>
    <phoneticPr fontId="3" type="noConversion"/>
  </si>
  <si>
    <t>Buy price range incorporating a 15–20% margin of safety (e.g., HKD 10–14/share).</t>
    <phoneticPr fontId="3" type="noConversion"/>
  </si>
  <si>
    <t>Equity Value Calculation</t>
    <phoneticPr fontId="3" type="noConversion"/>
  </si>
  <si>
    <t>Formula:</t>
    <phoneticPr fontId="3" type="noConversion"/>
  </si>
  <si>
    <t>Key Adjustments:</t>
    <phoneticPr fontId="3" type="noConversion"/>
  </si>
  <si>
    <t>Equity Value = Intrinsic Value (with user-selected implied g) + Non-operating Assets - Interest-bearing Debt</t>
    <phoneticPr fontId="3" type="noConversion"/>
  </si>
  <si>
    <t>Non-operating Assets: Include cash, marketable securities, real estate, etc., at market value.</t>
    <phoneticPr fontId="3" type="noConversion"/>
  </si>
  <si>
    <t>Debt: Subtract total interest-bearing debt (market value if distressed).</t>
    <phoneticPr fontId="3" type="noConversion"/>
  </si>
  <si>
    <t>KEY EXCLUSIONS &amp; LIMITATIONS</t>
    <phoneticPr fontId="3" type="noConversion"/>
  </si>
  <si>
    <t>Conservative Bias:</t>
    <phoneticPr fontId="3" type="noConversion"/>
  </si>
  <si>
    <t>Excludes net borrowing, potentially undervaluing firms with debt efficiency.</t>
    <phoneticPr fontId="3" type="noConversion"/>
  </si>
  <si>
    <t>Growth Constraints:</t>
    <phoneticPr fontId="3" type="noConversion"/>
  </si>
  <si>
    <t>Perpetual growth capped at 3%, penalizing high-growth companies.</t>
    <phoneticPr fontId="3" type="noConversion"/>
  </si>
  <si>
    <t>Subjective Adjustments:</t>
    <phoneticPr fontId="3" type="noConversion"/>
  </si>
  <si>
    <t>Non-operating assets and debt require manual review.</t>
    <phoneticPr fontId="3" type="noConversion"/>
  </si>
  <si>
    <t>15–20%</t>
    <phoneticPr fontId="3" type="noConversion"/>
  </si>
  <si>
    <t>Margin of Safety:</t>
    <phoneticPr fontId="3" type="noConversion"/>
  </si>
  <si>
    <t>Catalysts:</t>
    <phoneticPr fontId="3" type="noConversion"/>
  </si>
  <si>
    <t>Stable FCFE generation</t>
    <phoneticPr fontId="3" type="noConversion"/>
  </si>
  <si>
    <t>Low leverage</t>
    <phoneticPr fontId="3" type="noConversion"/>
  </si>
  <si>
    <t>Strong non-operating assets</t>
    <phoneticPr fontId="3" type="noConversion"/>
  </si>
  <si>
    <t>Risks:</t>
    <phoneticPr fontId="3" type="noConversion"/>
  </si>
  <si>
    <t>Cyclicality in WCInv</t>
    <phoneticPr fontId="3" type="noConversion"/>
  </si>
  <si>
    <t>Rising debt levels</t>
    <phoneticPr fontId="3" type="noConversion"/>
  </si>
  <si>
    <t>Overstated competitive moat</t>
    <phoneticPr fontId="3" type="noConversion"/>
  </si>
  <si>
    <t>Conclusion</t>
    <phoneticPr fontId="3" type="noConversion"/>
  </si>
  <si>
    <t>Price Target:</t>
    <phoneticPr fontId="3" type="noConversion"/>
  </si>
  <si>
    <t>Comapny Information</t>
    <phoneticPr fontId="3" type="noConversion"/>
  </si>
  <si>
    <t>Comp_Sector:</t>
    <phoneticPr fontId="3" type="noConversion"/>
  </si>
  <si>
    <t>Introduction</t>
    <phoneticPr fontId="3" type="noConversion"/>
  </si>
  <si>
    <t>Stock Analysis</t>
    <phoneticPr fontId="3" type="noConversion"/>
  </si>
  <si>
    <t>Growth Scenario Analysis</t>
    <phoneticPr fontId="3" type="noConversion"/>
  </si>
  <si>
    <t xml:space="preserve">Net Income = </t>
    <phoneticPr fontId="3" type="noConversion"/>
  </si>
  <si>
    <t>Variables</t>
    <phoneticPr fontId="3" type="noConversion"/>
  </si>
  <si>
    <t>Normalized Income Calculation</t>
    <phoneticPr fontId="3" type="noConversion"/>
  </si>
  <si>
    <t>Net Income = Variable Cost + Fixed Cost</t>
    <phoneticPr fontId="3" type="noConversion"/>
  </si>
  <si>
    <t>Variable Cost = COGS + Selling and Distribution Costs + Other Variable Operating Expenses</t>
    <phoneticPr fontId="3" type="noConversion"/>
  </si>
  <si>
    <t>Normalized</t>
    <phoneticPr fontId="3" type="noConversion"/>
  </si>
  <si>
    <t>Gross Margin</t>
    <phoneticPr fontId="3" type="noConversion"/>
  </si>
  <si>
    <t>Notes</t>
    <phoneticPr fontId="3" type="noConversion"/>
  </si>
  <si>
    <t>Interest</t>
    <phoneticPr fontId="3" type="noConversion"/>
  </si>
  <si>
    <t>Incl. Selling Expenses</t>
    <phoneticPr fontId="3" type="noConversion"/>
  </si>
  <si>
    <t>Selling Expenses</t>
    <phoneticPr fontId="3" type="noConversion"/>
  </si>
  <si>
    <t>Operating Costs</t>
    <phoneticPr fontId="3" type="noConversion"/>
  </si>
  <si>
    <t>Income Tax</t>
    <phoneticPr fontId="3" type="noConversion"/>
  </si>
  <si>
    <t>Incl. Other Opex</t>
    <phoneticPr fontId="3" type="noConversion"/>
  </si>
  <si>
    <t>Other Opex (Fixed Overhead)</t>
    <phoneticPr fontId="3" type="noConversion"/>
  </si>
  <si>
    <t>% Sales of Operating Costs</t>
    <phoneticPr fontId="3" type="noConversion"/>
  </si>
  <si>
    <t>Add Back D&amp;A</t>
    <phoneticPr fontId="3" type="noConversion"/>
  </si>
  <si>
    <t>FCFE</t>
    <phoneticPr fontId="3" type="noConversion"/>
  </si>
  <si>
    <t>Detailed Analysis</t>
    <phoneticPr fontId="3" type="noConversion"/>
  </si>
  <si>
    <t>Interest Income</t>
    <phoneticPr fontId="3" type="noConversion"/>
  </si>
  <si>
    <t>Net Interest Income</t>
    <phoneticPr fontId="3" type="noConversion"/>
  </si>
  <si>
    <t>Incl. Interest Expense</t>
    <phoneticPr fontId="3" type="noConversion"/>
  </si>
  <si>
    <t>Incl. Interest Income</t>
    <phoneticPr fontId="3" type="noConversion"/>
  </si>
  <si>
    <t>Properties held for sale</t>
    <phoneticPr fontId="3" type="noConversion"/>
  </si>
  <si>
    <t>Non-Operating Assets</t>
    <phoneticPr fontId="3" type="noConversion"/>
  </si>
  <si>
    <t>Non-Operating ST Assets</t>
    <phoneticPr fontId="3" type="noConversion"/>
  </si>
  <si>
    <t>Non-Operating LT Assets</t>
    <phoneticPr fontId="3" type="noConversion"/>
  </si>
  <si>
    <t>Operating ST Assets</t>
    <phoneticPr fontId="3" type="noConversion"/>
  </si>
  <si>
    <t>LT AR</t>
    <phoneticPr fontId="3" type="noConversion"/>
  </si>
  <si>
    <t>Operating Properties held for sale</t>
    <phoneticPr fontId="3" type="noConversion"/>
  </si>
  <si>
    <t>Operating Properties under development</t>
    <phoneticPr fontId="3" type="noConversion"/>
  </si>
  <si>
    <t>Operating LT Assets</t>
    <phoneticPr fontId="3" type="noConversion"/>
  </si>
  <si>
    <t>Total Assets</t>
    <phoneticPr fontId="3" type="noConversion"/>
  </si>
  <si>
    <t xml:space="preserve">Incl. Non-common Interest </t>
    <phoneticPr fontId="3" type="noConversion"/>
  </si>
  <si>
    <t>Incl. Common Equity</t>
    <phoneticPr fontId="3" type="noConversion"/>
  </si>
  <si>
    <t>incl. Interest-bearing Debt</t>
    <phoneticPr fontId="3" type="noConversion"/>
  </si>
  <si>
    <t>Use the highest past tax rate</t>
    <phoneticPr fontId="3" type="noConversion"/>
  </si>
  <si>
    <t/>
  </si>
  <si>
    <t>% EBT of Income Tax</t>
    <phoneticPr fontId="3" type="noConversion"/>
  </si>
  <si>
    <t>incl. Cash</t>
    <phoneticPr fontId="3" type="noConversion"/>
  </si>
  <si>
    <t>Cash and cash equivalents</t>
    <phoneticPr fontId="3" type="noConversion"/>
  </si>
  <si>
    <t>LT Depositis</t>
    <phoneticPr fontId="3" type="noConversion"/>
  </si>
  <si>
    <t>Use Last year's rate</t>
    <phoneticPr fontId="3" type="noConversion"/>
  </si>
  <si>
    <t>Reference the market rate</t>
    <phoneticPr fontId="3" type="noConversion"/>
  </si>
  <si>
    <t>Non-Operating Income</t>
    <phoneticPr fontId="3" type="noConversion"/>
  </si>
  <si>
    <t>Non-Operating Income (Est.)</t>
    <phoneticPr fontId="3" type="noConversion"/>
  </si>
  <si>
    <t>Operating Income</t>
    <phoneticPr fontId="3" type="noConversion"/>
  </si>
  <si>
    <t>Stable Non-Operating Income</t>
    <phoneticPr fontId="3" type="noConversion"/>
  </si>
  <si>
    <t>% Indicators</t>
    <phoneticPr fontId="3" type="noConversion"/>
  </si>
  <si>
    <t>incl. Fixed Assets</t>
    <phoneticPr fontId="3" type="noConversion"/>
  </si>
  <si>
    <t>Same as Last year's D&amp;A</t>
    <phoneticPr fontId="3" type="noConversion"/>
  </si>
  <si>
    <t>WCInv effect is reduced</t>
    <phoneticPr fontId="3" type="noConversion"/>
  </si>
  <si>
    <t>Historical Average or D&amp;A</t>
    <phoneticPr fontId="3" type="noConversion"/>
  </si>
  <si>
    <t>Historical Average</t>
    <phoneticPr fontId="3" type="noConversion"/>
  </si>
  <si>
    <t>Maintenance Capex</t>
    <phoneticPr fontId="3" type="noConversion"/>
  </si>
  <si>
    <t>IS &amp; CF Statements (Clean)</t>
    <phoneticPr fontId="3" type="noConversion"/>
  </si>
  <si>
    <t>Balance Sheet (Clean)</t>
    <phoneticPr fontId="3" type="noConversion"/>
  </si>
  <si>
    <t>Status: Held</t>
  </si>
  <si>
    <t>Sales/Total Assets</t>
    <phoneticPr fontId="3" type="noConversion"/>
  </si>
  <si>
    <t>YoY %</t>
    <phoneticPr fontId="3" type="noConversion"/>
  </si>
  <si>
    <t>Incl. ST AR</t>
    <phoneticPr fontId="3" type="noConversion"/>
  </si>
  <si>
    <t>Incl. ST Inventory</t>
    <phoneticPr fontId="3" type="noConversion"/>
  </si>
  <si>
    <t>ST_AR</t>
    <phoneticPr fontId="3" type="noConversion"/>
  </si>
  <si>
    <t>ST_Inventory</t>
    <phoneticPr fontId="3" type="noConversion"/>
  </si>
  <si>
    <t>Interest Rate/Debt</t>
    <phoneticPr fontId="3" type="noConversion"/>
  </si>
  <si>
    <t>Interest Yield/Cash</t>
    <phoneticPr fontId="3" type="noConversion"/>
  </si>
  <si>
    <t>D&amp;A/Fixed Assets</t>
    <phoneticPr fontId="3" type="noConversion"/>
  </si>
  <si>
    <t>Equity / Total Assets</t>
    <phoneticPr fontId="3" type="noConversion"/>
  </si>
  <si>
    <t>Pre-tax Profit/Interest Expense</t>
    <phoneticPr fontId="3" type="noConversion"/>
  </si>
  <si>
    <t>Leverage</t>
    <phoneticPr fontId="3" type="noConversion"/>
  </si>
  <si>
    <t>求和</t>
    <phoneticPr fontId="3" type="noConversion"/>
  </si>
  <si>
    <t>平均值</t>
    <phoneticPr fontId="3" type="noConversion"/>
  </si>
  <si>
    <t>汇总</t>
    <phoneticPr fontId="3" type="noConversion"/>
  </si>
  <si>
    <t>计数</t>
    <phoneticPr fontId="3" type="noConversion"/>
  </si>
  <si>
    <t>EBIT/Sales</t>
    <phoneticPr fontId="3" type="noConversion"/>
  </si>
  <si>
    <t>Total Assets/Equity</t>
    <phoneticPr fontId="3" type="noConversion"/>
  </si>
  <si>
    <t>Fixed Assets/Total Assets</t>
    <phoneticPr fontId="3" type="noConversion"/>
  </si>
  <si>
    <t>Debt/EBIT</t>
    <phoneticPr fontId="3" type="noConversion"/>
  </si>
  <si>
    <t>Market Price:</t>
    <phoneticPr fontId="3" type="noConversion"/>
  </si>
  <si>
    <t>Latest</t>
    <phoneticPr fontId="3" type="noConversion"/>
  </si>
  <si>
    <t>Last Balance Sheet</t>
    <phoneticPr fontId="3" type="noConversion"/>
  </si>
  <si>
    <t>Balance Sheet Analysis</t>
    <phoneticPr fontId="3" type="noConversion"/>
  </si>
  <si>
    <t>FCFE Before WCInv</t>
    <phoneticPr fontId="3" type="noConversion"/>
  </si>
  <si>
    <t>FCFE/Market Price</t>
    <phoneticPr fontId="3" type="noConversion"/>
  </si>
  <si>
    <t>Stress Test</t>
    <phoneticPr fontId="3" type="noConversion"/>
  </si>
  <si>
    <t>No Growth DCF</t>
    <phoneticPr fontId="3" type="noConversion"/>
  </si>
  <si>
    <t>Implied Growth Sensitivity Test</t>
    <phoneticPr fontId="3" type="noConversion"/>
  </si>
  <si>
    <t>Intrinsic Value</t>
    <phoneticPr fontId="3" type="noConversion"/>
  </si>
  <si>
    <t>I expect the Equity value will be conservatively be realized in 3 yrs.</t>
    <phoneticPr fontId="3" type="noConversion"/>
  </si>
  <si>
    <t>If there is dividend, and dividend doesnt hurt future profitabilities, then</t>
    <phoneticPr fontId="3" type="noConversion"/>
  </si>
  <si>
    <t>In the 3 yrs, I get dividends and hold the stock.</t>
    <phoneticPr fontId="3" type="noConversion"/>
  </si>
  <si>
    <t>Buy at &lt; PV(dividends, 3yrs, r) + PV(Equity value, 3yrs, r)</t>
    <phoneticPr fontId="3" type="noConversion"/>
  </si>
  <si>
    <t>Data (Dirty)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</si>
</sst>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7" formatCode="yyyy\-mm\-dd"/>
    <numFmt numFmtId="178" formatCode="#,##0&quot;mm&quot;"/>
    <numFmt numFmtId="179" formatCode="#,##0.00&quot;x&quot;"/>
    <numFmt numFmtId="180" formatCode="0.00\x"/>
    <numFmt numFmtId="181" formatCode="yyyy\-mm\-dd;@"/>
    <numFmt numFmtId="182" formatCode="&quot;in&quot;\ 0\ &quot;Months&quot;"/>
    <numFmt numFmtId="183" formatCode="#,##0.0000"/>
    <numFmt numFmtId="184" formatCode="0_)"/>
    <numFmt numFmtId="185" formatCode="&quot;for &quot;0&quot; Yrs&quot;"/>
    <numFmt numFmtId="186" formatCode="#,##0_ "/>
    <numFmt numFmtId="187" formatCode="#,##0_);\(#,##0\)"/>
    <numFmt numFmtId="188" formatCode="#,##0.0000_);\(#,##0.0000\)"/>
    <numFmt numFmtId="189" formatCode="#,##0&quot;s&quot;"/>
  </numFmts>
  <fonts count="2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9"/>
      <name val="Arial"/>
      <family val="3"/>
      <charset val="134"/>
      <scheme val="minor"/>
    </font>
    <font>
      <b/>
      <sz val="9"/>
      <color indexed="9"/>
      <name val="Arial"/>
      <family val="2"/>
      <scheme val="maj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u/>
      <sz val="9"/>
      <color rgb="FF000000"/>
      <name val="Arial"/>
      <family val="2"/>
      <scheme val="major"/>
    </font>
    <font>
      <u/>
      <sz val="9"/>
      <color theme="1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6">
    <xf numFmtId="0" fontId="0" fillId="0" borderId="0" xfId="0"/>
    <xf numFmtId="0" fontId="5" fillId="0" borderId="0" xfId="0" applyFont="1"/>
    <xf numFmtId="0" fontId="5" fillId="0" borderId="1" xfId="0" applyFont="1" applyBorder="1"/>
    <xf numFmtId="0" fontId="7" fillId="0" borderId="1" xfId="0" applyFont="1" applyBorder="1"/>
    <xf numFmtId="0" fontId="5" fillId="0" borderId="2" xfId="0" applyFont="1" applyBorder="1"/>
    <xf numFmtId="0" fontId="8" fillId="0" borderId="1" xfId="0" applyFont="1" applyBorder="1"/>
    <xf numFmtId="0" fontId="10" fillId="0" borderId="1" xfId="0" applyFont="1" applyBorder="1"/>
    <xf numFmtId="0" fontId="12" fillId="0" borderId="0" xfId="0" applyFont="1"/>
    <xf numFmtId="10" fontId="9" fillId="0" borderId="4" xfId="0" applyNumberFormat="1" applyFont="1" applyBorder="1" applyAlignment="1">
      <alignment horizontal="right"/>
    </xf>
    <xf numFmtId="0" fontId="13" fillId="0" borderId="0" xfId="1" applyFont="1"/>
    <xf numFmtId="0" fontId="5" fillId="0" borderId="3" xfId="0" applyFont="1" applyBorder="1"/>
    <xf numFmtId="10" fontId="9" fillId="0" borderId="5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0" fontId="9" fillId="0" borderId="4" xfId="0" applyNumberFormat="1" applyFont="1" applyBorder="1" applyAlignment="1">
      <alignment horizontal="center"/>
    </xf>
    <xf numFmtId="0" fontId="5" fillId="0" borderId="4" xfId="0" applyFont="1" applyBorder="1"/>
    <xf numFmtId="179" fontId="8" fillId="0" borderId="4" xfId="0" applyNumberFormat="1" applyFont="1" applyBorder="1" applyAlignment="1">
      <alignment horizontal="right"/>
    </xf>
    <xf numFmtId="0" fontId="16" fillId="0" borderId="1" xfId="0" applyFont="1" applyBorder="1" applyAlignment="1">
      <alignment horizontal="center"/>
    </xf>
    <xf numFmtId="10" fontId="10" fillId="0" borderId="1" xfId="0" applyNumberFormat="1" applyFont="1" applyBorder="1" applyAlignment="1">
      <alignment horizontal="right"/>
    </xf>
    <xf numFmtId="0" fontId="14" fillId="3" borderId="1" xfId="0" applyFont="1" applyFill="1" applyBorder="1"/>
    <xf numFmtId="0" fontId="5" fillId="0" borderId="1" xfId="0" applyFont="1" applyBorder="1" applyAlignment="1">
      <alignment horizontal="left"/>
    </xf>
    <xf numFmtId="0" fontId="5" fillId="0" borderId="1" xfId="0" quotePrefix="1" applyFont="1" applyBorder="1"/>
    <xf numFmtId="0" fontId="14" fillId="0" borderId="1" xfId="0" applyFont="1" applyBorder="1"/>
    <xf numFmtId="10" fontId="18" fillId="0" borderId="7" xfId="0" applyNumberFormat="1" applyFont="1" applyBorder="1" applyAlignment="1">
      <alignment horizontal="right"/>
    </xf>
    <xf numFmtId="10" fontId="18" fillId="0" borderId="6" xfId="0" applyNumberFormat="1" applyFont="1" applyBorder="1" applyAlignment="1">
      <alignment horizontal="right"/>
    </xf>
    <xf numFmtId="10" fontId="18" fillId="0" borderId="4" xfId="0" applyNumberFormat="1" applyFont="1" applyBorder="1" applyAlignment="1">
      <alignment horizontal="right"/>
    </xf>
    <xf numFmtId="10" fontId="18" fillId="4" borderId="4" xfId="0" applyNumberFormat="1" applyFont="1" applyFill="1" applyBorder="1" applyAlignment="1">
      <alignment horizontal="right"/>
    </xf>
    <xf numFmtId="0" fontId="8" fillId="2" borderId="1" xfId="0" applyFont="1" applyFill="1" applyBorder="1"/>
    <xf numFmtId="0" fontId="8" fillId="0" borderId="1" xfId="0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179" fontId="8" fillId="0" borderId="1" xfId="0" applyNumberFormat="1" applyFont="1" applyBorder="1" applyAlignment="1">
      <alignment horizontal="right"/>
    </xf>
    <xf numFmtId="0" fontId="14" fillId="0" borderId="2" xfId="0" applyFont="1" applyBorder="1"/>
    <xf numFmtId="0" fontId="14" fillId="0" borderId="0" xfId="0" applyFont="1" applyAlignment="1">
      <alignment horizontal="center"/>
    </xf>
    <xf numFmtId="0" fontId="9" fillId="0" borderId="1" xfId="0" applyFont="1" applyBorder="1"/>
    <xf numFmtId="0" fontId="6" fillId="0" borderId="2" xfId="0" applyFont="1" applyBorder="1" applyAlignment="1">
      <alignment horizontal="left"/>
    </xf>
    <xf numFmtId="3" fontId="9" fillId="0" borderId="1" xfId="0" applyNumberFormat="1" applyFont="1" applyBorder="1"/>
    <xf numFmtId="3" fontId="5" fillId="0" borderId="0" xfId="0" applyNumberFormat="1" applyFont="1"/>
    <xf numFmtId="3" fontId="10" fillId="0" borderId="1" xfId="0" applyNumberFormat="1" applyFont="1" applyBorder="1"/>
    <xf numFmtId="0" fontId="11" fillId="0" borderId="0" xfId="0" applyFont="1"/>
    <xf numFmtId="10" fontId="5" fillId="0" borderId="1" xfId="0" applyNumberFormat="1" applyFont="1" applyBorder="1"/>
    <xf numFmtId="0" fontId="8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 wrapText="1"/>
    </xf>
    <xf numFmtId="0" fontId="10" fillId="0" borderId="1" xfId="0" quotePrefix="1" applyFont="1" applyBorder="1" applyAlignment="1">
      <alignment horizontal="left" wrapText="1"/>
    </xf>
    <xf numFmtId="0" fontId="10" fillId="0" borderId="0" xfId="0" quotePrefix="1" applyFont="1" applyAlignment="1">
      <alignment horizontal="left"/>
    </xf>
    <xf numFmtId="0" fontId="15" fillId="0" borderId="1" xfId="0" applyFont="1" applyBorder="1" applyAlignment="1">
      <alignment horizontal="left" wrapText="1" indent="1"/>
    </xf>
    <xf numFmtId="10" fontId="7" fillId="0" borderId="1" xfId="0" applyNumberFormat="1" applyFont="1" applyBorder="1" applyAlignment="1">
      <alignment horizontal="right"/>
    </xf>
    <xf numFmtId="184" fontId="4" fillId="0" borderId="0" xfId="0" applyNumberFormat="1" applyFont="1" applyAlignment="1">
      <alignment horizontal="left" wrapText="1"/>
    </xf>
    <xf numFmtId="185" fontId="18" fillId="0" borderId="4" xfId="0" applyNumberFormat="1" applyFont="1" applyBorder="1"/>
    <xf numFmtId="0" fontId="15" fillId="0" borderId="1" xfId="0" quotePrefix="1" applyFont="1" applyBorder="1" applyAlignment="1">
      <alignment horizontal="left" wrapText="1" indent="1"/>
    </xf>
    <xf numFmtId="0" fontId="10" fillId="0" borderId="1" xfId="0" applyFont="1" applyBorder="1" applyAlignment="1">
      <alignment horizontal="left"/>
    </xf>
    <xf numFmtId="177" fontId="10" fillId="0" borderId="1" xfId="0" applyNumberFormat="1" applyFont="1" applyBorder="1" applyAlignment="1">
      <alignment horizontal="left"/>
    </xf>
    <xf numFmtId="3" fontId="10" fillId="0" borderId="1" xfId="0" applyNumberFormat="1" applyFont="1" applyBorder="1" applyAlignment="1">
      <alignment horizontal="left"/>
    </xf>
    <xf numFmtId="178" fontId="10" fillId="0" borderId="1" xfId="0" applyNumberFormat="1" applyFont="1" applyBorder="1" applyAlignment="1">
      <alignment horizontal="left"/>
    </xf>
    <xf numFmtId="0" fontId="21" fillId="5" borderId="0" xfId="0" applyFont="1" applyFill="1"/>
    <xf numFmtId="181" fontId="11" fillId="6" borderId="1" xfId="0" applyNumberFormat="1" applyFont="1" applyFill="1" applyBorder="1" applyAlignment="1">
      <alignment horizontal="center"/>
    </xf>
    <xf numFmtId="181" fontId="15" fillId="0" borderId="1" xfId="0" applyNumberFormat="1" applyFont="1" applyBorder="1" applyAlignment="1">
      <alignment horizontal="center"/>
    </xf>
    <xf numFmtId="183" fontId="9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10" fillId="0" borderId="1" xfId="0" quotePrefix="1" applyFont="1" applyBorder="1" applyAlignment="1">
      <alignment horizontal="left"/>
    </xf>
    <xf numFmtId="0" fontId="15" fillId="0" borderId="1" xfId="0" applyFont="1" applyBorder="1" applyAlignment="1">
      <alignment horizontal="left" indent="1"/>
    </xf>
    <xf numFmtId="180" fontId="5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77" fontId="9" fillId="0" borderId="1" xfId="0" applyNumberFormat="1" applyFont="1" applyBorder="1" applyAlignment="1">
      <alignment horizontal="left"/>
    </xf>
    <xf numFmtId="182" fontId="9" fillId="0" borderId="1" xfId="0" applyNumberFormat="1" applyFont="1" applyBorder="1" applyAlignment="1">
      <alignment horizontal="left"/>
    </xf>
    <xf numFmtId="0" fontId="15" fillId="0" borderId="2" xfId="0" applyFont="1" applyBorder="1"/>
    <xf numFmtId="0" fontId="10" fillId="0" borderId="2" xfId="0" applyFont="1" applyBorder="1"/>
    <xf numFmtId="0" fontId="14" fillId="0" borderId="0" xfId="0" applyFont="1"/>
    <xf numFmtId="0" fontId="17" fillId="0" borderId="0" xfId="0" applyFont="1"/>
    <xf numFmtId="10" fontId="5" fillId="0" borderId="0" xfId="0" applyNumberFormat="1" applyFont="1" applyAlignment="1">
      <alignment horizontal="left"/>
    </xf>
    <xf numFmtId="10" fontId="18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49" fontId="9" fillId="0" borderId="1" xfId="0" applyNumberFormat="1" applyFont="1" applyBorder="1" applyAlignment="1">
      <alignment horizontal="left"/>
    </xf>
    <xf numFmtId="4" fontId="9" fillId="0" borderId="1" xfId="0" applyNumberFormat="1" applyFont="1" applyBorder="1" applyAlignment="1">
      <alignment horizontal="left"/>
    </xf>
    <xf numFmtId="3" fontId="9" fillId="0" borderId="1" xfId="0" applyNumberFormat="1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1" xfId="0" applyFont="1" applyBorder="1" applyAlignment="1">
      <alignment horizontal="center" wrapText="1"/>
    </xf>
    <xf numFmtId="0" fontId="21" fillId="5" borderId="1" xfId="0" applyFont="1" applyFill="1" applyBorder="1"/>
    <xf numFmtId="0" fontId="15" fillId="0" borderId="1" xfId="0" applyFont="1" applyBorder="1" applyAlignment="1">
      <alignment horizontal="left"/>
    </xf>
    <xf numFmtId="0" fontId="21" fillId="0" borderId="1" xfId="0" applyFont="1" applyBorder="1"/>
    <xf numFmtId="187" fontId="10" fillId="0" borderId="1" xfId="0" applyNumberFormat="1" applyFont="1" applyBorder="1" applyAlignment="1">
      <alignment horizontal="left" wrapText="1"/>
    </xf>
    <xf numFmtId="187" fontId="10" fillId="0" borderId="1" xfId="0" applyNumberFormat="1" applyFont="1" applyBorder="1" applyAlignment="1">
      <alignment horizontal="right"/>
    </xf>
    <xf numFmtId="187" fontId="10" fillId="0" borderId="1" xfId="0" quotePrefix="1" applyNumberFormat="1" applyFont="1" applyBorder="1" applyAlignment="1">
      <alignment horizontal="left" wrapText="1"/>
    </xf>
    <xf numFmtId="187" fontId="15" fillId="0" borderId="1" xfId="0" applyNumberFormat="1" applyFont="1" applyBorder="1" applyAlignment="1">
      <alignment horizontal="left" wrapText="1" indent="1"/>
    </xf>
    <xf numFmtId="187" fontId="15" fillId="0" borderId="1" xfId="0" applyNumberFormat="1" applyFont="1" applyBorder="1" applyAlignment="1">
      <alignment horizontal="right"/>
    </xf>
    <xf numFmtId="187" fontId="10" fillId="0" borderId="1" xfId="0" quotePrefix="1" applyNumberFormat="1" applyFont="1" applyBorder="1" applyAlignment="1">
      <alignment horizontal="left"/>
    </xf>
    <xf numFmtId="187" fontId="15" fillId="0" borderId="1" xfId="0" applyNumberFormat="1" applyFont="1" applyBorder="1" applyAlignment="1">
      <alignment horizontal="left" indent="1"/>
    </xf>
    <xf numFmtId="187" fontId="15" fillId="0" borderId="1" xfId="0" applyNumberFormat="1" applyFont="1" applyBorder="1" applyAlignment="1">
      <alignment wrapText="1"/>
    </xf>
    <xf numFmtId="187" fontId="18" fillId="0" borderId="1" xfId="0" applyNumberFormat="1" applyFont="1" applyBorder="1" applyAlignment="1">
      <alignment wrapText="1"/>
    </xf>
    <xf numFmtId="187" fontId="15" fillId="0" borderId="1" xfId="0" applyNumberFormat="1" applyFont="1" applyBorder="1"/>
    <xf numFmtId="0" fontId="10" fillId="0" borderId="1" xfId="0" quotePrefix="1" applyFont="1" applyBorder="1" applyAlignment="1">
      <alignment wrapText="1"/>
    </xf>
    <xf numFmtId="10" fontId="18" fillId="0" borderId="1" xfId="0" applyNumberFormat="1" applyFont="1" applyBorder="1" applyAlignment="1">
      <alignment wrapText="1"/>
    </xf>
    <xf numFmtId="187" fontId="9" fillId="0" borderId="1" xfId="0" applyNumberFormat="1" applyFont="1" applyBorder="1" applyAlignment="1">
      <alignment horizontal="right"/>
    </xf>
    <xf numFmtId="187" fontId="5" fillId="0" borderId="1" xfId="0" applyNumberFormat="1" applyFont="1" applyBorder="1"/>
    <xf numFmtId="0" fontId="15" fillId="0" borderId="2" xfId="0" quotePrefix="1" applyFont="1" applyBorder="1" applyAlignment="1">
      <alignment horizontal="left" wrapText="1"/>
    </xf>
    <xf numFmtId="10" fontId="15" fillId="0" borderId="1" xfId="0" applyNumberFormat="1" applyFont="1" applyBorder="1" applyAlignment="1">
      <alignment horizontal="right"/>
    </xf>
    <xf numFmtId="187" fontId="14" fillId="0" borderId="1" xfId="0" applyNumberFormat="1" applyFont="1" applyBorder="1"/>
    <xf numFmtId="0" fontId="25" fillId="0" borderId="1" xfId="0" applyFont="1" applyBorder="1"/>
    <xf numFmtId="0" fontId="20" fillId="0" borderId="1" xfId="0" applyFont="1" applyBorder="1"/>
    <xf numFmtId="187" fontId="9" fillId="0" borderId="1" xfId="0" applyNumberFormat="1" applyFont="1" applyBorder="1" applyAlignment="1">
      <alignment horizontal="left" wrapText="1"/>
    </xf>
    <xf numFmtId="187" fontId="9" fillId="0" borderId="1" xfId="0" quotePrefix="1" applyNumberFormat="1" applyFont="1" applyBorder="1" applyAlignment="1">
      <alignment horizontal="left"/>
    </xf>
    <xf numFmtId="187" fontId="9" fillId="0" borderId="1" xfId="0" quotePrefix="1" applyNumberFormat="1" applyFont="1" applyBorder="1" applyAlignment="1">
      <alignment horizontal="left" wrapText="1"/>
    </xf>
    <xf numFmtId="0" fontId="9" fillId="0" borderId="1" xfId="0" quotePrefix="1" applyFont="1" applyBorder="1" applyAlignment="1">
      <alignment horizontal="left" wrapText="1"/>
    </xf>
    <xf numFmtId="0" fontId="24" fillId="0" borderId="1" xfId="0" quotePrefix="1" applyFont="1" applyBorder="1" applyAlignment="1">
      <alignment wrapText="1"/>
    </xf>
    <xf numFmtId="187" fontId="20" fillId="0" borderId="1" xfId="0" applyNumberFormat="1" applyFont="1" applyBorder="1" applyAlignment="1">
      <alignment horizontal="right"/>
    </xf>
    <xf numFmtId="0" fontId="19" fillId="0" borderId="1" xfId="0" quotePrefix="1" applyFont="1" applyBorder="1" applyAlignment="1">
      <alignment horizontal="left" indent="1"/>
    </xf>
    <xf numFmtId="187" fontId="22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left" indent="1"/>
    </xf>
    <xf numFmtId="10" fontId="14" fillId="0" borderId="1" xfId="0" applyNumberFormat="1" applyFont="1" applyBorder="1"/>
    <xf numFmtId="0" fontId="23" fillId="0" borderId="1" xfId="0" quotePrefix="1" applyFont="1" applyBorder="1"/>
    <xf numFmtId="187" fontId="19" fillId="0" borderId="1" xfId="0" applyNumberFormat="1" applyFont="1" applyBorder="1" applyAlignment="1">
      <alignment horizontal="right"/>
    </xf>
    <xf numFmtId="188" fontId="10" fillId="0" borderId="1" xfId="0" applyNumberFormat="1" applyFont="1" applyBorder="1" applyAlignment="1">
      <alignment horizontal="right"/>
    </xf>
    <xf numFmtId="186" fontId="5" fillId="0" borderId="1" xfId="0" applyNumberFormat="1" applyFont="1" applyBorder="1"/>
    <xf numFmtId="187" fontId="18" fillId="0" borderId="1" xfId="0" applyNumberFormat="1" applyFont="1" applyBorder="1"/>
    <xf numFmtId="187" fontId="10" fillId="0" borderId="1" xfId="0" applyNumberFormat="1" applyFont="1" applyBorder="1" applyAlignment="1">
      <alignment wrapText="1"/>
    </xf>
    <xf numFmtId="0" fontId="15" fillId="0" borderId="1" xfId="0" quotePrefix="1" applyFont="1" applyBorder="1" applyAlignment="1">
      <alignment horizontal="left" wrapText="1"/>
    </xf>
    <xf numFmtId="187" fontId="5" fillId="0" borderId="0" xfId="0" applyNumberFormat="1" applyFont="1"/>
    <xf numFmtId="10" fontId="10" fillId="0" borderId="1" xfId="0" quotePrefix="1" applyNumberFormat="1" applyFont="1" applyBorder="1" applyAlignment="1">
      <alignment wrapText="1"/>
    </xf>
    <xf numFmtId="10" fontId="15" fillId="0" borderId="1" xfId="0" quotePrefix="1" applyNumberFormat="1" applyFont="1" applyBorder="1" applyAlignment="1">
      <alignment wrapText="1"/>
    </xf>
    <xf numFmtId="187" fontId="9" fillId="0" borderId="1" xfId="0" applyNumberFormat="1" applyFont="1" applyBorder="1" applyAlignment="1">
      <alignment horizontal="left" wrapText="1" indent="1"/>
    </xf>
    <xf numFmtId="187" fontId="9" fillId="0" borderId="1" xfId="0" applyNumberFormat="1" applyFont="1" applyBorder="1" applyAlignment="1">
      <alignment horizontal="left" indent="1"/>
    </xf>
    <xf numFmtId="181" fontId="11" fillId="6" borderId="1" xfId="0" applyNumberFormat="1" applyFont="1" applyFill="1" applyBorder="1" applyAlignment="1">
      <alignment horizontal="left"/>
    </xf>
    <xf numFmtId="0" fontId="5" fillId="0" borderId="0" xfId="0" applyFont="1" applyAlignment="1">
      <alignment horizontal="left" indent="1"/>
    </xf>
    <xf numFmtId="0" fontId="14" fillId="0" borderId="0" xfId="0" applyFont="1" applyAlignment="1">
      <alignment horizontal="left" indent="1"/>
    </xf>
    <xf numFmtId="3" fontId="14" fillId="0" borderId="0" xfId="0" applyNumberFormat="1" applyFont="1"/>
    <xf numFmtId="10" fontId="18" fillId="0" borderId="1" xfId="0" applyNumberFormat="1" applyFont="1" applyBorder="1" applyAlignment="1">
      <alignment horizontal="right"/>
    </xf>
    <xf numFmtId="0" fontId="5" fillId="0" borderId="0" xfId="0" applyFont="1" applyAlignment="1">
      <alignment horizontal="right"/>
    </xf>
    <xf numFmtId="0" fontId="7" fillId="0" borderId="1" xfId="0" applyFont="1" applyBorder="1" applyAlignment="1">
      <alignment horizontal="left" indent="1"/>
    </xf>
    <xf numFmtId="0" fontId="8" fillId="0" borderId="1" xfId="0" applyFont="1" applyBorder="1" applyAlignment="1">
      <alignment horizontal="left" indent="1"/>
    </xf>
    <xf numFmtId="3" fontId="20" fillId="0" borderId="1" xfId="0" applyNumberFormat="1" applyFont="1" applyBorder="1"/>
    <xf numFmtId="3" fontId="15" fillId="0" borderId="1" xfId="0" applyNumberFormat="1" applyFont="1" applyBorder="1"/>
    <xf numFmtId="0" fontId="16" fillId="0" borderId="1" xfId="0" applyFont="1" applyBorder="1" applyAlignment="1">
      <alignment horizontal="right"/>
    </xf>
    <xf numFmtId="0" fontId="10" fillId="0" borderId="2" xfId="0" applyFont="1" applyBorder="1" applyAlignment="1">
      <alignment horizontal="left"/>
    </xf>
    <xf numFmtId="10" fontId="18" fillId="0" borderId="1" xfId="0" quotePrefix="1" applyNumberFormat="1" applyFont="1" applyBorder="1" applyAlignment="1">
      <alignment horizontal="right" wrapText="1"/>
    </xf>
    <xf numFmtId="187" fontId="18" fillId="0" borderId="1" xfId="0" quotePrefix="1" applyNumberFormat="1" applyFont="1" applyBorder="1" applyAlignment="1">
      <alignment wrapText="1"/>
    </xf>
    <xf numFmtId="10" fontId="18" fillId="0" borderId="1" xfId="0" quotePrefix="1" applyNumberFormat="1" applyFont="1" applyBorder="1" applyAlignment="1">
      <alignment wrapText="1"/>
    </xf>
    <xf numFmtId="0" fontId="19" fillId="0" borderId="1" xfId="0" applyFont="1" applyBorder="1" applyAlignment="1">
      <alignment horizontal="left" wrapText="1"/>
    </xf>
    <xf numFmtId="0" fontId="5" fillId="0" borderId="2" xfId="0" applyFont="1" applyBorder="1" applyAlignment="1">
      <alignment horizontal="right"/>
    </xf>
    <xf numFmtId="0" fontId="17" fillId="0" borderId="2" xfId="0" applyFont="1" applyBorder="1" applyAlignment="1">
      <alignment horizontal="left"/>
    </xf>
    <xf numFmtId="189" fontId="19" fillId="0" borderId="2" xfId="0" applyNumberFormat="1" applyFont="1" applyBorder="1" applyAlignment="1">
      <alignment horizontal="right"/>
    </xf>
    <xf numFmtId="0" fontId="23" fillId="0" borderId="1" xfId="0" applyFont="1" applyBorder="1"/>
    <xf numFmtId="189" fontId="9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right"/>
    </xf>
    <xf numFmtId="10" fontId="5" fillId="0" borderId="0" xfId="0" applyNumberFormat="1" applyFont="1"/>
    <xf numFmtId="187" fontId="10" fillId="0" borderId="1" xfId="0" applyNumberFormat="1" applyFont="1" applyFill="1" applyBorder="1" applyAlignment="1">
      <alignment horizontal="right"/>
    </xf>
    <xf numFmtId="0" fontId="15" fillId="0" borderId="2" xfId="0" applyFont="1" applyBorder="1" applyAlignment="1">
      <alignment horizontal="left"/>
    </xf>
    <xf numFmtId="3" fontId="9" fillId="0" borderId="1" xfId="0" applyNumberFormat="1" applyFont="1" applyFill="1" applyBorder="1" applyAlignment="1">
      <alignment horizontal="right"/>
    </xf>
    <xf numFmtId="0" fontId="10" fillId="0" borderId="2" xfId="0" applyFont="1" applyBorder="1" applyAlignment="1">
      <alignment horizontal="right"/>
    </xf>
    <xf numFmtId="0" fontId="19" fillId="0" borderId="1" xfId="0" applyFont="1" applyBorder="1" applyAlignment="1">
      <alignment horizontal="left" wrapText="1" indent="1"/>
    </xf>
    <xf numFmtId="187" fontId="17" fillId="0" borderId="0" xfId="0" applyNumberFormat="1" applyFont="1"/>
    <xf numFmtId="187" fontId="10" fillId="0" borderId="1" xfId="0" applyNumberFormat="1" applyFont="1" applyBorder="1" applyAlignment="1">
      <alignment horizontal="right" wrapText="1"/>
    </xf>
    <xf numFmtId="187" fontId="19" fillId="0" borderId="1" xfId="0" applyNumberFormat="1" applyFont="1" applyBorder="1" applyAlignment="1">
      <alignment horizontal="right" wrapText="1"/>
    </xf>
    <xf numFmtId="3" fontId="19" fillId="0" borderId="1" xfId="0" applyNumberFormat="1" applyFont="1" applyBorder="1" applyAlignment="1">
      <alignment horizontal="right"/>
    </xf>
    <xf numFmtId="10" fontId="10" fillId="0" borderId="1" xfId="0" applyNumberFormat="1" applyFont="1" applyBorder="1" applyAlignment="1">
      <alignment horizontal="right" wrapText="1"/>
    </xf>
    <xf numFmtId="180" fontId="10" fillId="0" borderId="1" xfId="0" quotePrefix="1" applyNumberFormat="1" applyFont="1" applyBorder="1" applyAlignment="1">
      <alignment horizontal="right" wrapText="1"/>
    </xf>
    <xf numFmtId="0" fontId="26" fillId="0" borderId="1" xfId="0" quotePrefix="1" applyFont="1" applyBorder="1" applyAlignment="1">
      <alignment horizontal="left" wrapText="1"/>
    </xf>
    <xf numFmtId="0" fontId="27" fillId="0" borderId="1" xfId="0" applyFont="1" applyBorder="1" applyAlignment="1">
      <alignment horizontal="right"/>
    </xf>
    <xf numFmtId="0" fontId="5" fillId="7" borderId="0" xfId="0" applyFont="1" applyFill="1"/>
    <xf numFmtId="181" fontId="9" fillId="0" borderId="2" xfId="0" applyNumberFormat="1" applyFont="1" applyBorder="1" applyAlignment="1">
      <alignment horizontal="right"/>
    </xf>
    <xf numFmtId="0" fontId="27" fillId="0" borderId="1" xfId="0" applyFont="1" applyBorder="1" applyAlignment="1"/>
    <xf numFmtId="0" fontId="1" fillId="0" borderId="0" xfId="0" applyFont="1"/>
    <xf numFmtId="10" fontId="14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left"/>
    </xf>
    <xf numFmtId="181" fontId="20" fillId="0" borderId="1" xfId="0" applyNumberFormat="1" applyFont="1" applyBorder="1" applyAlignment="1">
      <alignment horizontal="center"/>
    </xf>
  </cellXfs>
  <cellStyles count="2">
    <cellStyle name="常规" xfId="0" builtinId="0"/>
    <cellStyle name="超链接" xfId="1" builtinId="8"/>
  </cellStyles>
  <dxfs count="7"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0000"/>
      <color rgb="FF0000FF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iftp.chinamoney.com.cn/chinese/scsjzqxx/" TargetMode="External"/><Relationship Id="rId2" Type="http://schemas.openxmlformats.org/officeDocument/2006/relationships/hyperlink" Target="https://yield.chinabond.com.cn/cbweb-mn/yield_main?locale=en_US" TargetMode="External"/><Relationship Id="rId1" Type="http://schemas.openxmlformats.org/officeDocument/2006/relationships/hyperlink" Target="https://fred.stlouisfed.org/series/BAMLC0A4CBBBEY" TargetMode="External"/><Relationship Id="rId6" Type="http://schemas.openxmlformats.org/officeDocument/2006/relationships/printerSettings" Target="../printerSettings/printerSettings5.bin"/><Relationship Id="rId5" Type="http://schemas.openxmlformats.org/officeDocument/2006/relationships/hyperlink" Target="https://fred.stlouisfed.org/series/DGS10" TargetMode="External"/><Relationship Id="rId4" Type="http://schemas.openxmlformats.org/officeDocument/2006/relationships/hyperlink" Target="https://tradingeconomics.com/china/government-bond-yie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17"/>
  <sheetViews>
    <sheetView showGridLines="0" workbookViewId="0">
      <selection activeCell="D135" sqref="D135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68" t="s">
        <v>130</v>
      </c>
      <c r="C1" s="72" t="s">
        <v>91</v>
      </c>
      <c r="D1" s="73" t="s">
        <v>89</v>
      </c>
    </row>
    <row r="2" spans="1:9" x14ac:dyDescent="0.35">
      <c r="B2" s="3" t="s">
        <v>86</v>
      </c>
      <c r="C2" s="64">
        <v>45643</v>
      </c>
      <c r="D2" s="76"/>
      <c r="E2" s="143" t="s">
        <v>232</v>
      </c>
    </row>
    <row r="3" spans="1:9" ht="13.9" x14ac:dyDescent="0.45">
      <c r="A3" s="55" t="s">
        <v>172</v>
      </c>
      <c r="B3" s="55"/>
      <c r="C3" s="55"/>
      <c r="D3" s="55"/>
      <c r="E3" s="55"/>
      <c r="F3" s="39"/>
      <c r="G3" s="39"/>
      <c r="H3" s="39"/>
      <c r="I3" s="39"/>
    </row>
    <row r="4" spans="1:9" x14ac:dyDescent="0.35">
      <c r="B4" s="66" t="s">
        <v>170</v>
      </c>
      <c r="C4" s="67"/>
    </row>
    <row r="5" spans="1:9" x14ac:dyDescent="0.35">
      <c r="B5" s="2" t="s">
        <v>171</v>
      </c>
      <c r="C5" s="42" t="s">
        <v>88</v>
      </c>
      <c r="D5" s="2"/>
    </row>
    <row r="6" spans="1:9" x14ac:dyDescent="0.35">
      <c r="B6" s="2" t="s">
        <v>101</v>
      </c>
      <c r="C6" s="65">
        <v>8</v>
      </c>
      <c r="D6" s="2"/>
    </row>
    <row r="7" spans="1:9" x14ac:dyDescent="0.35">
      <c r="B7" s="1" t="s">
        <v>102</v>
      </c>
      <c r="C7" s="52">
        <f>EOMONTH(EDATE(BS!C1,Thesis!C6),0)</f>
        <v>45626</v>
      </c>
    </row>
    <row r="9" spans="1:9" x14ac:dyDescent="0.35">
      <c r="B9" s="66" t="str">
        <f>D1&amp;" Stock Information"</f>
        <v>0590.HK Stock Information</v>
      </c>
      <c r="C9" s="67"/>
      <c r="D9" s="6"/>
    </row>
    <row r="10" spans="1:9" x14ac:dyDescent="0.35">
      <c r="B10" s="5" t="s">
        <v>253</v>
      </c>
      <c r="C10" s="74">
        <v>13.82</v>
      </c>
      <c r="D10" s="72" t="s">
        <v>84</v>
      </c>
    </row>
    <row r="11" spans="1:9" x14ac:dyDescent="0.35">
      <c r="B11" s="5" t="s">
        <v>1</v>
      </c>
      <c r="C11" s="75">
        <v>587107850</v>
      </c>
      <c r="D11" s="53"/>
    </row>
    <row r="12" spans="1:9" x14ac:dyDescent="0.35">
      <c r="B12" s="5" t="s">
        <v>2</v>
      </c>
      <c r="C12" s="72" t="s">
        <v>0</v>
      </c>
      <c r="D12" s="51"/>
    </row>
    <row r="13" spans="1:9" x14ac:dyDescent="0.35">
      <c r="B13" s="5" t="s">
        <v>3</v>
      </c>
      <c r="C13" s="74">
        <v>1</v>
      </c>
      <c r="D13" s="72" t="str">
        <f>IF(C12=D10,D10,C12&amp;"/"&amp;D10)</f>
        <v>HKD</v>
      </c>
    </row>
    <row r="14" spans="1:9" x14ac:dyDescent="0.35">
      <c r="B14" s="5" t="s">
        <v>36</v>
      </c>
      <c r="C14" s="54">
        <f>Thesis!C10*Thesis!C11/1000000</f>
        <v>8113.8304870000002</v>
      </c>
      <c r="D14" s="72"/>
    </row>
    <row r="15" spans="1:9" x14ac:dyDescent="0.35">
      <c r="D15" s="6"/>
    </row>
    <row r="16" spans="1:9" ht="13.9" x14ac:dyDescent="0.45">
      <c r="A16" s="55" t="s">
        <v>173</v>
      </c>
      <c r="B16" s="55"/>
      <c r="C16" s="55"/>
      <c r="D16" s="55"/>
      <c r="E16" s="55"/>
    </row>
    <row r="18" spans="1:2" x14ac:dyDescent="0.35">
      <c r="A18" s="33" t="str">
        <f>"1."</f>
        <v>1.</v>
      </c>
      <c r="B18" s="68" t="s">
        <v>177</v>
      </c>
    </row>
    <row r="19" spans="1:2" x14ac:dyDescent="0.35">
      <c r="B19" s="68" t="s">
        <v>146</v>
      </c>
    </row>
    <row r="20" spans="1:2" x14ac:dyDescent="0.35">
      <c r="B20" s="1" t="s">
        <v>179</v>
      </c>
    </row>
    <row r="25" spans="1:2" x14ac:dyDescent="0.35">
      <c r="B25" s="1" t="s">
        <v>178</v>
      </c>
    </row>
    <row r="29" spans="1:2" x14ac:dyDescent="0.35">
      <c r="A29" s="33" t="str">
        <f>"1."</f>
        <v>1.</v>
      </c>
      <c r="B29" s="68" t="s">
        <v>131</v>
      </c>
    </row>
    <row r="30" spans="1:2" x14ac:dyDescent="0.35">
      <c r="B30" s="68" t="s">
        <v>146</v>
      </c>
    </row>
    <row r="31" spans="1:2" x14ac:dyDescent="0.35">
      <c r="B31" s="1" t="s">
        <v>113</v>
      </c>
    </row>
    <row r="33" spans="1:4" x14ac:dyDescent="0.35">
      <c r="B33" s="68" t="s">
        <v>176</v>
      </c>
    </row>
    <row r="34" spans="1:4" x14ac:dyDescent="0.35">
      <c r="B34" s="1" t="s">
        <v>175</v>
      </c>
    </row>
    <row r="37" spans="1:4" x14ac:dyDescent="0.35">
      <c r="B37" s="69" t="s">
        <v>114</v>
      </c>
    </row>
    <row r="38" spans="1:4" x14ac:dyDescent="0.35">
      <c r="B38" s="69" t="s">
        <v>115</v>
      </c>
    </row>
    <row r="39" spans="1:4" x14ac:dyDescent="0.35">
      <c r="B39" s="69" t="s">
        <v>116</v>
      </c>
    </row>
    <row r="40" spans="1:4" x14ac:dyDescent="0.35">
      <c r="B40" s="69" t="s">
        <v>117</v>
      </c>
    </row>
    <row r="42" spans="1:4" x14ac:dyDescent="0.35">
      <c r="A42" s="33" t="str">
        <f>"2."</f>
        <v>2.</v>
      </c>
      <c r="B42" s="68" t="s">
        <v>132</v>
      </c>
    </row>
    <row r="43" spans="1:4" x14ac:dyDescent="0.35">
      <c r="B43" s="68" t="s">
        <v>118</v>
      </c>
    </row>
    <row r="44" spans="1:4" x14ac:dyDescent="0.35">
      <c r="B44" s="1" t="s">
        <v>103</v>
      </c>
      <c r="C44" s="71" t="s">
        <v>62</v>
      </c>
      <c r="D44" s="70">
        <f>IF(C44="CN",Dashboard!C11,IF(C44="US",Dashboard!C6,IF(C44="HK",Dashboard!D6,Dashboard!D11)))</f>
        <v>7.5000000000000011E-2</v>
      </c>
    </row>
    <row r="45" spans="1:4" x14ac:dyDescent="0.35">
      <c r="B45" s="1" t="s">
        <v>119</v>
      </c>
      <c r="C45" s="42" t="s">
        <v>92</v>
      </c>
      <c r="D45" s="70">
        <f>IF(LEFT(C45,1)="S",4%,IF(LEFT(C45,1)="M",6%,8%))</f>
        <v>0.04</v>
      </c>
    </row>
    <row r="47" spans="1:4" x14ac:dyDescent="0.35">
      <c r="B47" s="68" t="s">
        <v>123</v>
      </c>
    </row>
    <row r="48" spans="1:4" x14ac:dyDescent="0.35">
      <c r="B48" s="1" t="s">
        <v>121</v>
      </c>
    </row>
    <row r="49" spans="1:2" x14ac:dyDescent="0.35">
      <c r="B49" s="1" t="s">
        <v>120</v>
      </c>
    </row>
    <row r="50" spans="1:2" x14ac:dyDescent="0.35">
      <c r="B50" s="1" t="s">
        <v>122</v>
      </c>
    </row>
    <row r="52" spans="1:2" x14ac:dyDescent="0.35">
      <c r="B52" s="68" t="s">
        <v>146</v>
      </c>
    </row>
    <row r="53" spans="1:2" x14ac:dyDescent="0.35">
      <c r="B53" s="1" t="s">
        <v>129</v>
      </c>
    </row>
    <row r="55" spans="1:2" x14ac:dyDescent="0.35">
      <c r="A55" s="33" t="str">
        <f>"3."</f>
        <v>3.</v>
      </c>
      <c r="B55" s="68" t="s">
        <v>133</v>
      </c>
    </row>
    <row r="56" spans="1:2" x14ac:dyDescent="0.35">
      <c r="B56" s="68" t="s">
        <v>112</v>
      </c>
    </row>
    <row r="57" spans="1:2" x14ac:dyDescent="0.35">
      <c r="B57" s="1" t="s">
        <v>124</v>
      </c>
    </row>
    <row r="58" spans="1:2" x14ac:dyDescent="0.35">
      <c r="B58" s="1" t="s">
        <v>125</v>
      </c>
    </row>
    <row r="60" spans="1:2" x14ac:dyDescent="0.35">
      <c r="B60" s="68" t="s">
        <v>126</v>
      </c>
    </row>
    <row r="61" spans="1:2" x14ac:dyDescent="0.35">
      <c r="B61" s="1" t="s">
        <v>127</v>
      </c>
    </row>
    <row r="63" spans="1:2" x14ac:dyDescent="0.35">
      <c r="A63" s="33" t="str">
        <f>"4."</f>
        <v>4.</v>
      </c>
      <c r="B63" s="68" t="s">
        <v>174</v>
      </c>
    </row>
    <row r="64" spans="1:2" x14ac:dyDescent="0.35">
      <c r="B64" s="68" t="s">
        <v>146</v>
      </c>
    </row>
    <row r="65" spans="1:2" x14ac:dyDescent="0.35">
      <c r="B65" s="1" t="s">
        <v>128</v>
      </c>
    </row>
    <row r="67" spans="1:2" x14ac:dyDescent="0.35">
      <c r="B67" s="68" t="s">
        <v>134</v>
      </c>
    </row>
    <row r="68" spans="1:2" x14ac:dyDescent="0.35">
      <c r="B68" s="1" t="s">
        <v>135</v>
      </c>
    </row>
    <row r="70" spans="1:2" x14ac:dyDescent="0.35">
      <c r="B70" s="68" t="s">
        <v>137</v>
      </c>
    </row>
    <row r="71" spans="1:2" x14ac:dyDescent="0.35">
      <c r="B71" s="1" t="s">
        <v>70</v>
      </c>
    </row>
    <row r="72" spans="1:2" x14ac:dyDescent="0.35">
      <c r="B72" s="1" t="s">
        <v>136</v>
      </c>
    </row>
    <row r="73" spans="1:2" x14ac:dyDescent="0.35">
      <c r="B73" s="1" t="s">
        <v>71</v>
      </c>
    </row>
    <row r="75" spans="1:2" x14ac:dyDescent="0.35">
      <c r="B75" s="68" t="s">
        <v>38</v>
      </c>
    </row>
    <row r="77" spans="1:2" x14ac:dyDescent="0.35">
      <c r="A77" s="33" t="str">
        <f>"5."</f>
        <v>5.</v>
      </c>
      <c r="B77" s="68" t="s">
        <v>138</v>
      </c>
    </row>
    <row r="78" spans="1:2" x14ac:dyDescent="0.35">
      <c r="B78" s="68" t="s">
        <v>142</v>
      </c>
    </row>
    <row r="79" spans="1:2" x14ac:dyDescent="0.35">
      <c r="B79" s="1" t="s">
        <v>139</v>
      </c>
    </row>
    <row r="80" spans="1:2" x14ac:dyDescent="0.35">
      <c r="B80" s="1" t="s">
        <v>140</v>
      </c>
    </row>
    <row r="81" spans="1:5" x14ac:dyDescent="0.35">
      <c r="B81" s="1" t="s">
        <v>141</v>
      </c>
    </row>
    <row r="83" spans="1:5" x14ac:dyDescent="0.35">
      <c r="B83" s="1" t="s">
        <v>159</v>
      </c>
      <c r="C83" s="1" t="s">
        <v>158</v>
      </c>
    </row>
    <row r="85" spans="1:5" x14ac:dyDescent="0.35">
      <c r="B85" s="68" t="s">
        <v>143</v>
      </c>
    </row>
    <row r="86" spans="1:5" x14ac:dyDescent="0.35">
      <c r="B86" s="1" t="s">
        <v>144</v>
      </c>
    </row>
    <row r="88" spans="1:5" x14ac:dyDescent="0.35">
      <c r="A88" s="33" t="str">
        <f>"6."</f>
        <v>6.</v>
      </c>
      <c r="B88" s="68" t="s">
        <v>145</v>
      </c>
    </row>
    <row r="89" spans="1:5" x14ac:dyDescent="0.35">
      <c r="B89" s="68" t="s">
        <v>146</v>
      </c>
    </row>
    <row r="90" spans="1:5" x14ac:dyDescent="0.35">
      <c r="B90" s="1" t="s">
        <v>148</v>
      </c>
    </row>
    <row r="92" spans="1:5" x14ac:dyDescent="0.35">
      <c r="B92" s="68" t="s">
        <v>147</v>
      </c>
    </row>
    <row r="93" spans="1:5" x14ac:dyDescent="0.35">
      <c r="B93" s="1" t="s">
        <v>149</v>
      </c>
    </row>
    <row r="94" spans="1:5" x14ac:dyDescent="0.35">
      <c r="B94" s="1" t="s">
        <v>150</v>
      </c>
    </row>
    <row r="96" spans="1:5" ht="13.9" x14ac:dyDescent="0.45">
      <c r="A96" s="55" t="s">
        <v>168</v>
      </c>
      <c r="B96" s="55"/>
      <c r="C96" s="55"/>
      <c r="D96" s="55"/>
      <c r="E96" s="55"/>
    </row>
    <row r="97" spans="1:5" x14ac:dyDescent="0.35">
      <c r="B97" s="68" t="s">
        <v>169</v>
      </c>
    </row>
    <row r="99" spans="1:5" x14ac:dyDescent="0.35">
      <c r="B99" s="68" t="s">
        <v>160</v>
      </c>
    </row>
    <row r="100" spans="1:5" x14ac:dyDescent="0.35">
      <c r="B100" s="1" t="s">
        <v>161</v>
      </c>
    </row>
    <row r="101" spans="1:5" x14ac:dyDescent="0.35">
      <c r="B101" s="1" t="s">
        <v>162</v>
      </c>
    </row>
    <row r="102" spans="1:5" x14ac:dyDescent="0.35">
      <c r="B102" s="1" t="s">
        <v>163</v>
      </c>
    </row>
    <row r="104" spans="1:5" x14ac:dyDescent="0.35">
      <c r="B104" s="68" t="s">
        <v>164</v>
      </c>
    </row>
    <row r="105" spans="1:5" x14ac:dyDescent="0.35">
      <c r="B105" s="1" t="s">
        <v>165</v>
      </c>
    </row>
    <row r="106" spans="1:5" x14ac:dyDescent="0.35">
      <c r="B106" s="1" t="s">
        <v>166</v>
      </c>
    </row>
    <row r="107" spans="1:5" x14ac:dyDescent="0.35">
      <c r="B107" s="1" t="s">
        <v>167</v>
      </c>
    </row>
    <row r="109" spans="1:5" ht="13.9" x14ac:dyDescent="0.45">
      <c r="A109" s="55" t="s">
        <v>151</v>
      </c>
      <c r="B109" s="55"/>
      <c r="C109" s="55"/>
      <c r="D109" s="55"/>
      <c r="E109" s="55"/>
    </row>
    <row r="110" spans="1:5" x14ac:dyDescent="0.35">
      <c r="B110" s="68" t="s">
        <v>152</v>
      </c>
    </row>
    <row r="111" spans="1:5" x14ac:dyDescent="0.35">
      <c r="B111" s="1" t="s">
        <v>153</v>
      </c>
    </row>
    <row r="113" spans="2:2" x14ac:dyDescent="0.35">
      <c r="B113" s="68" t="s">
        <v>154</v>
      </c>
    </row>
    <row r="114" spans="2:2" x14ac:dyDescent="0.35">
      <c r="B114" s="1" t="s">
        <v>155</v>
      </c>
    </row>
    <row r="116" spans="2:2" x14ac:dyDescent="0.35">
      <c r="B116" s="68" t="s">
        <v>156</v>
      </c>
    </row>
    <row r="117" spans="2:2" x14ac:dyDescent="0.35">
      <c r="B117" s="1" t="s">
        <v>157</v>
      </c>
    </row>
  </sheetData>
  <phoneticPr fontId="3" type="noConversion"/>
  <dataValidations count="4">
    <dataValidation type="list" allowBlank="1" sqref="C12" xr:uid="{00000000-0002-0000-0000-000001000000}">
      <formula1>"HKD,USD,CNY,EUR"</formula1>
    </dataValidation>
    <dataValidation type="list" allowBlank="1" showInputMessage="1" showErrorMessage="1" sqref="C44" xr:uid="{7A4D0D78-B7B0-41D6-9553-BB65BF9D0DE8}">
      <formula1>"US, CN, HK, Others"</formula1>
    </dataValidation>
    <dataValidation type="list" allowBlank="1" showInputMessage="1" showErrorMessage="1" sqref="C45" xr:uid="{1FCA7E74-2FC8-4D7E-9904-252731103596}">
      <formula1>"Tier 1, Superior Cycl. ,Tier 3, N"</formula1>
    </dataValidation>
    <dataValidation type="list" allowBlank="1" showInputMessage="1" showErrorMessage="1" sqref="E2" xr:uid="{45F807FD-9E0F-415A-9BBD-D5FB6470B56D}">
      <formula1>"Status: Not Held, Status: Held"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1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39" t="str">
        <f>Thesis!C12</f>
        <v>HKD</v>
      </c>
      <c r="C1" s="165">
        <v>45382</v>
      </c>
      <c r="D1" s="57">
        <f>EOMONTH(EDATE(C1,-12),0)</f>
        <v>45016</v>
      </c>
      <c r="E1" s="57">
        <f t="shared" ref="E1:M1" si="0">EOMONTH(EDATE(D1,-12),0)</f>
        <v>44651</v>
      </c>
      <c r="F1" s="57">
        <f t="shared" si="0"/>
        <v>44286</v>
      </c>
      <c r="G1" s="57">
        <f t="shared" si="0"/>
        <v>43921</v>
      </c>
      <c r="H1" s="57">
        <f t="shared" si="0"/>
        <v>43555</v>
      </c>
      <c r="I1" s="57">
        <f t="shared" si="0"/>
        <v>43190</v>
      </c>
      <c r="J1" s="57">
        <f t="shared" si="0"/>
        <v>42825</v>
      </c>
      <c r="K1" s="57">
        <f t="shared" si="0"/>
        <v>42460</v>
      </c>
      <c r="L1" s="57">
        <f t="shared" si="0"/>
        <v>42094</v>
      </c>
      <c r="M1" s="57">
        <f t="shared" si="0"/>
        <v>41729</v>
      </c>
    </row>
    <row r="2" spans="2:13" ht="13.9" x14ac:dyDescent="0.45">
      <c r="B2" s="55" t="s">
        <v>267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</row>
    <row r="3" spans="2:13" x14ac:dyDescent="0.35">
      <c r="B3" s="32" t="s">
        <v>43</v>
      </c>
      <c r="C3" s="142">
        <v>1000</v>
      </c>
    </row>
    <row r="4" spans="2:13" x14ac:dyDescent="0.35">
      <c r="B4" s="51" t="s">
        <v>4</v>
      </c>
      <c r="C4" s="93">
        <v>15325962</v>
      </c>
      <c r="D4" s="93">
        <v>11977844</v>
      </c>
      <c r="E4" s="93">
        <v>11737803</v>
      </c>
      <c r="F4" s="93">
        <v>8861335</v>
      </c>
      <c r="G4" s="93">
        <v>11233771</v>
      </c>
      <c r="H4" s="93">
        <v>15859990</v>
      </c>
      <c r="I4" s="93"/>
      <c r="J4" s="93"/>
      <c r="K4" s="93"/>
      <c r="L4" s="93"/>
      <c r="M4" s="93"/>
    </row>
    <row r="5" spans="2:13" x14ac:dyDescent="0.35">
      <c r="B5" s="60" t="s">
        <v>94</v>
      </c>
      <c r="C5" s="93">
        <v>11151623</v>
      </c>
      <c r="D5" s="93">
        <v>8747447</v>
      </c>
      <c r="E5" s="93">
        <v>8503976</v>
      </c>
      <c r="F5" s="93">
        <v>6229020</v>
      </c>
      <c r="G5" s="93">
        <v>7910751</v>
      </c>
      <c r="H5" s="93">
        <v>11826154</v>
      </c>
      <c r="I5" s="93"/>
      <c r="J5" s="93"/>
      <c r="K5" s="93"/>
      <c r="L5" s="93"/>
      <c r="M5" s="93"/>
    </row>
    <row r="6" spans="2:13" x14ac:dyDescent="0.35">
      <c r="B6" s="60" t="s">
        <v>111</v>
      </c>
      <c r="C6" s="93">
        <v>2297566</v>
      </c>
      <c r="D6" s="93">
        <v>1867515</v>
      </c>
      <c r="E6" s="93">
        <v>1815111</v>
      </c>
      <c r="F6" s="93">
        <v>1694480</v>
      </c>
      <c r="G6" s="93">
        <v>2118252</v>
      </c>
      <c r="H6" s="93">
        <v>2416769</v>
      </c>
      <c r="I6" s="93"/>
      <c r="J6" s="93"/>
      <c r="K6" s="93"/>
      <c r="L6" s="93"/>
      <c r="M6" s="93"/>
    </row>
    <row r="7" spans="2:13" x14ac:dyDescent="0.35">
      <c r="B7" s="106" t="s">
        <v>184</v>
      </c>
      <c r="C7" s="107">
        <v>2043459</v>
      </c>
      <c r="D7" s="107">
        <v>1517989</v>
      </c>
      <c r="E7" s="107">
        <v>1491293</v>
      </c>
      <c r="F7" s="107">
        <v>1412494</v>
      </c>
      <c r="G7" s="107"/>
      <c r="H7" s="107"/>
      <c r="I7" s="107"/>
      <c r="J7" s="107"/>
      <c r="K7" s="107"/>
      <c r="L7" s="107"/>
      <c r="M7" s="107"/>
    </row>
    <row r="8" spans="2:13" x14ac:dyDescent="0.35">
      <c r="B8" s="60" t="s">
        <v>104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</row>
    <row r="9" spans="2:13" x14ac:dyDescent="0.35">
      <c r="B9" s="60" t="s">
        <v>81</v>
      </c>
      <c r="C9" s="93">
        <v>59596</v>
      </c>
      <c r="D9" s="93">
        <v>20763</v>
      </c>
      <c r="E9" s="93">
        <v>23097</v>
      </c>
      <c r="F9" s="93">
        <v>28849</v>
      </c>
      <c r="G9" s="93">
        <v>63075</v>
      </c>
      <c r="H9" s="93">
        <v>34253</v>
      </c>
      <c r="I9" s="93"/>
      <c r="J9" s="93"/>
      <c r="K9" s="93"/>
      <c r="L9" s="93"/>
      <c r="M9" s="93"/>
    </row>
    <row r="10" spans="2:13" x14ac:dyDescent="0.35">
      <c r="B10" s="60" t="s">
        <v>194</v>
      </c>
      <c r="C10" s="93">
        <v>28977</v>
      </c>
      <c r="D10" s="93">
        <v>33125</v>
      </c>
      <c r="E10" s="93">
        <v>87344</v>
      </c>
      <c r="F10" s="93">
        <v>63398</v>
      </c>
      <c r="G10" s="93"/>
      <c r="H10" s="93"/>
      <c r="I10" s="93"/>
      <c r="J10" s="93"/>
      <c r="K10" s="93"/>
      <c r="L10" s="93"/>
      <c r="M10" s="93"/>
    </row>
    <row r="11" spans="2:13" x14ac:dyDescent="0.35">
      <c r="B11" s="60" t="s">
        <v>105</v>
      </c>
      <c r="C11" s="93">
        <v>327166</v>
      </c>
      <c r="D11" s="93">
        <v>280664</v>
      </c>
      <c r="E11" s="93">
        <v>291296</v>
      </c>
      <c r="F11" s="93">
        <v>236303</v>
      </c>
      <c r="G11" s="93"/>
      <c r="H11" s="93"/>
      <c r="I11" s="93"/>
      <c r="J11" s="93"/>
      <c r="K11" s="93"/>
      <c r="L11" s="93"/>
      <c r="M11" s="93"/>
    </row>
    <row r="12" spans="2:13" x14ac:dyDescent="0.35">
      <c r="B12" s="63" t="s">
        <v>90</v>
      </c>
      <c r="C12" s="105">
        <v>1767305</v>
      </c>
      <c r="D12" s="105">
        <v>1284757</v>
      </c>
      <c r="E12" s="105">
        <v>1392364</v>
      </c>
      <c r="F12" s="105">
        <v>1017335</v>
      </c>
      <c r="G12" s="105">
        <v>866315</v>
      </c>
      <c r="H12" s="105"/>
      <c r="I12" s="105"/>
      <c r="J12" s="105"/>
      <c r="K12" s="105"/>
      <c r="L12" s="105"/>
      <c r="M12" s="105"/>
    </row>
    <row r="13" spans="2:13" x14ac:dyDescent="0.35">
      <c r="B13" s="45" t="s">
        <v>95</v>
      </c>
      <c r="C13" s="93">
        <v>-9467</v>
      </c>
      <c r="D13" s="93">
        <v>-30</v>
      </c>
      <c r="E13" s="93">
        <v>-27</v>
      </c>
      <c r="F13" s="93">
        <v>1799</v>
      </c>
      <c r="G13" s="93">
        <v>1337</v>
      </c>
      <c r="H13" s="93">
        <v>10908</v>
      </c>
      <c r="I13" s="93"/>
      <c r="J13" s="93"/>
      <c r="K13" s="93"/>
      <c r="L13" s="93"/>
      <c r="M13" s="93"/>
    </row>
    <row r="15" spans="2:13" x14ac:dyDescent="0.35">
      <c r="B15" s="32" t="s">
        <v>106</v>
      </c>
      <c r="C15" s="21"/>
    </row>
    <row r="16" spans="2:13" x14ac:dyDescent="0.35">
      <c r="B16" s="44" t="s">
        <v>98</v>
      </c>
      <c r="C16" s="93">
        <v>463424</v>
      </c>
      <c r="D16" s="93">
        <v>371724</v>
      </c>
      <c r="E16" s="93">
        <v>435672</v>
      </c>
      <c r="F16" s="93">
        <v>520888</v>
      </c>
      <c r="G16" s="93"/>
      <c r="H16" s="93"/>
      <c r="I16" s="93"/>
      <c r="J16" s="93"/>
      <c r="K16" s="93"/>
      <c r="L16" s="93"/>
      <c r="M16" s="93"/>
    </row>
    <row r="17" spans="2:13" x14ac:dyDescent="0.35">
      <c r="B17" s="44" t="s">
        <v>108</v>
      </c>
      <c r="C17" s="93">
        <v>676387</v>
      </c>
      <c r="D17" s="93">
        <v>107280</v>
      </c>
      <c r="E17" s="93">
        <v>455483</v>
      </c>
      <c r="F17" s="93">
        <v>138937</v>
      </c>
      <c r="G17" s="93"/>
      <c r="H17" s="93"/>
      <c r="I17" s="93"/>
      <c r="J17" s="93"/>
      <c r="K17" s="93"/>
      <c r="L17" s="93"/>
      <c r="M17" s="93"/>
    </row>
    <row r="18" spans="2:13" x14ac:dyDescent="0.35">
      <c r="B18" s="44" t="s">
        <v>107</v>
      </c>
      <c r="C18" s="93">
        <v>626583</v>
      </c>
      <c r="D18" s="93">
        <v>352099</v>
      </c>
      <c r="E18" s="93">
        <v>1045251</v>
      </c>
      <c r="F18" s="93">
        <v>-818677</v>
      </c>
      <c r="G18" s="93"/>
      <c r="H18" s="93"/>
      <c r="I18" s="93"/>
      <c r="J18" s="93"/>
      <c r="K18" s="93"/>
      <c r="L18" s="93"/>
      <c r="M18" s="93"/>
    </row>
    <row r="20" spans="2:13" x14ac:dyDescent="0.35">
      <c r="B20" s="32" t="s">
        <v>44</v>
      </c>
      <c r="C20" s="21"/>
    </row>
    <row r="21" spans="2:13" x14ac:dyDescent="0.35">
      <c r="B21" s="43" t="s">
        <v>39</v>
      </c>
      <c r="C21" s="145"/>
      <c r="D21" s="93">
        <v>213823</v>
      </c>
      <c r="E21" s="93">
        <v>187711</v>
      </c>
      <c r="F21" s="93">
        <v>277338</v>
      </c>
      <c r="G21" s="93"/>
      <c r="H21" s="93"/>
      <c r="I21" s="93"/>
      <c r="J21" s="93"/>
      <c r="K21" s="93"/>
      <c r="L21" s="93"/>
      <c r="M21" s="93"/>
    </row>
    <row r="22" spans="2:13" x14ac:dyDescent="0.35">
      <c r="B22" s="43" t="s">
        <v>48</v>
      </c>
      <c r="C22" s="145"/>
      <c r="D22" s="93">
        <v>8852611</v>
      </c>
      <c r="E22" s="93">
        <v>8769304</v>
      </c>
      <c r="F22" s="93">
        <v>7321614</v>
      </c>
      <c r="G22" s="93"/>
      <c r="H22" s="93"/>
      <c r="I22" s="93"/>
      <c r="J22" s="93"/>
      <c r="K22" s="93"/>
      <c r="L22" s="93"/>
      <c r="M22" s="93"/>
    </row>
    <row r="23" spans="2:13" x14ac:dyDescent="0.35">
      <c r="B23" s="46" t="s">
        <v>82</v>
      </c>
      <c r="C23" s="105">
        <v>3990166</v>
      </c>
      <c r="D23" s="105">
        <v>2466431</v>
      </c>
      <c r="E23" s="105">
        <v>3908586</v>
      </c>
      <c r="F23" s="105">
        <v>2946772</v>
      </c>
      <c r="G23" s="105"/>
      <c r="H23" s="105"/>
      <c r="I23" s="105"/>
      <c r="J23" s="105"/>
      <c r="K23" s="105"/>
      <c r="L23" s="105"/>
      <c r="M23" s="105"/>
    </row>
    <row r="24" spans="2:13" x14ac:dyDescent="0.35">
      <c r="B24" s="46" t="s">
        <v>46</v>
      </c>
      <c r="C24" s="105">
        <v>12863898</v>
      </c>
      <c r="D24" s="105">
        <v>12220942</v>
      </c>
      <c r="E24" s="105">
        <v>12078528</v>
      </c>
      <c r="F24" s="105">
        <v>11324224</v>
      </c>
      <c r="G24" s="105"/>
      <c r="H24" s="105"/>
      <c r="I24" s="105"/>
      <c r="J24" s="105"/>
      <c r="K24" s="105"/>
      <c r="L24" s="105"/>
      <c r="M24" s="105"/>
    </row>
    <row r="26" spans="2:13" x14ac:dyDescent="0.35">
      <c r="B26" s="32" t="s">
        <v>109</v>
      </c>
      <c r="C26" s="21"/>
    </row>
    <row r="27" spans="2:13" x14ac:dyDescent="0.35">
      <c r="B27" s="43" t="s">
        <v>83</v>
      </c>
      <c r="C27" s="93">
        <f>20356+1075000</f>
        <v>1095356</v>
      </c>
      <c r="D27" s="93">
        <f>24308+1075000</f>
        <v>1099308</v>
      </c>
      <c r="E27" s="93">
        <f>32736+1075000</f>
        <v>1107736</v>
      </c>
      <c r="F27" s="93">
        <f>47325+1075000</f>
        <v>1122325</v>
      </c>
      <c r="G27" s="93"/>
      <c r="H27" s="93"/>
      <c r="I27" s="93"/>
      <c r="J27" s="93"/>
      <c r="K27" s="93"/>
      <c r="L27" s="93"/>
      <c r="M27" s="93"/>
    </row>
    <row r="28" spans="2:13" x14ac:dyDescent="0.35">
      <c r="B28" s="41" t="s">
        <v>72</v>
      </c>
      <c r="C28" s="58">
        <v>1.3599999999999999</v>
      </c>
      <c r="D28" s="58">
        <v>1.1000000000000001</v>
      </c>
      <c r="E28" s="58">
        <v>1.1000000000000001</v>
      </c>
      <c r="F28" s="58">
        <v>1</v>
      </c>
      <c r="G28" s="58">
        <v>1</v>
      </c>
      <c r="H28" s="58">
        <v>1.1499999999999999</v>
      </c>
      <c r="I28" s="58"/>
      <c r="J28" s="58"/>
      <c r="K28" s="58"/>
      <c r="L28" s="58"/>
      <c r="M28" s="58"/>
    </row>
    <row r="30" spans="2:13" ht="13.9" x14ac:dyDescent="0.45">
      <c r="B30" s="55" t="s">
        <v>230</v>
      </c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</row>
    <row r="31" spans="2:13" x14ac:dyDescent="0.35">
      <c r="B31" s="32" t="s">
        <v>43</v>
      </c>
    </row>
    <row r="32" spans="2:13" x14ac:dyDescent="0.35">
      <c r="B32" s="51" t="s">
        <v>4</v>
      </c>
      <c r="C32" s="82">
        <f t="shared" ref="C32:M32" si="1">IF(C$4="","",C4)</f>
        <v>15325962</v>
      </c>
      <c r="D32" s="82">
        <f t="shared" si="1"/>
        <v>11977844</v>
      </c>
      <c r="E32" s="82">
        <f t="shared" si="1"/>
        <v>11737803</v>
      </c>
      <c r="F32" s="82">
        <f t="shared" si="1"/>
        <v>8861335</v>
      </c>
      <c r="G32" s="82">
        <f t="shared" si="1"/>
        <v>11233771</v>
      </c>
      <c r="H32" s="82">
        <f t="shared" si="1"/>
        <v>15859990</v>
      </c>
      <c r="I32" s="82" t="str">
        <f t="shared" si="1"/>
        <v/>
      </c>
      <c r="J32" s="82" t="str">
        <f t="shared" si="1"/>
        <v/>
      </c>
      <c r="K32" s="82" t="str">
        <f t="shared" si="1"/>
        <v/>
      </c>
      <c r="L32" s="82" t="str">
        <f t="shared" si="1"/>
        <v/>
      </c>
      <c r="M32" s="82" t="str">
        <f t="shared" si="1"/>
        <v/>
      </c>
    </row>
    <row r="33" spans="2:13" x14ac:dyDescent="0.35">
      <c r="B33" s="60" t="s">
        <v>94</v>
      </c>
      <c r="C33" s="82">
        <f t="shared" ref="C33:M33" si="2">IF(C$4="","",-C5)</f>
        <v>-11151623</v>
      </c>
      <c r="D33" s="82">
        <f t="shared" si="2"/>
        <v>-8747447</v>
      </c>
      <c r="E33" s="82">
        <f t="shared" si="2"/>
        <v>-8503976</v>
      </c>
      <c r="F33" s="82">
        <f t="shared" si="2"/>
        <v>-6229020</v>
      </c>
      <c r="G33" s="82">
        <f t="shared" si="2"/>
        <v>-7910751</v>
      </c>
      <c r="H33" s="82">
        <f t="shared" si="2"/>
        <v>-11826154</v>
      </c>
      <c r="I33" s="82" t="str">
        <f t="shared" si="2"/>
        <v/>
      </c>
      <c r="J33" s="82" t="str">
        <f t="shared" si="2"/>
        <v/>
      </c>
      <c r="K33" s="82" t="str">
        <f t="shared" si="2"/>
        <v/>
      </c>
      <c r="L33" s="82" t="str">
        <f t="shared" si="2"/>
        <v/>
      </c>
      <c r="M33" s="82" t="str">
        <f t="shared" si="2"/>
        <v/>
      </c>
    </row>
    <row r="34" spans="2:13" x14ac:dyDescent="0.35">
      <c r="B34" s="50" t="s">
        <v>181</v>
      </c>
      <c r="C34" s="97">
        <f>IF(C32="","",C32+C33)</f>
        <v>4174339</v>
      </c>
      <c r="D34" s="97">
        <f t="shared" ref="D34" si="3">IF(D32="","",D32+D33)</f>
        <v>3230397</v>
      </c>
      <c r="E34" s="97">
        <f t="shared" ref="E34" si="4">IF(E32="","",E32+E33)</f>
        <v>3233827</v>
      </c>
      <c r="F34" s="97">
        <f t="shared" ref="F34" si="5">IF(F32="","",F32+F33)</f>
        <v>2632315</v>
      </c>
      <c r="G34" s="97">
        <f t="shared" ref="G34" si="6">IF(G32="","",G32+G33)</f>
        <v>3323020</v>
      </c>
      <c r="H34" s="97">
        <f t="shared" ref="H34" si="7">IF(H32="","",H32+H33)</f>
        <v>4033836</v>
      </c>
      <c r="I34" s="97" t="str">
        <f t="shared" ref="I34" si="8">IF(I32="","",I32+I33)</f>
        <v/>
      </c>
      <c r="J34" s="97" t="str">
        <f t="shared" ref="J34" si="9">IF(J32="","",J32+J33)</f>
        <v/>
      </c>
      <c r="K34" s="97" t="str">
        <f t="shared" ref="K34" si="10">IF(K32="","",K32+K33)</f>
        <v/>
      </c>
      <c r="L34" s="97" t="str">
        <f t="shared" ref="L34" si="11">IF(L32="","",L32+L33)</f>
        <v/>
      </c>
      <c r="M34" s="97" t="str">
        <f t="shared" ref="M34" si="12">IF(M32="","",M32+M33)</f>
        <v/>
      </c>
    </row>
    <row r="35" spans="2:13" x14ac:dyDescent="0.35">
      <c r="B35" s="60" t="s">
        <v>111</v>
      </c>
      <c r="C35" s="82">
        <f t="shared" ref="C35:M35" si="13">IF(C$4="","",-C6)</f>
        <v>-2297566</v>
      </c>
      <c r="D35" s="82">
        <f t="shared" si="13"/>
        <v>-1867515</v>
      </c>
      <c r="E35" s="82">
        <f t="shared" si="13"/>
        <v>-1815111</v>
      </c>
      <c r="F35" s="82">
        <f t="shared" si="13"/>
        <v>-1694480</v>
      </c>
      <c r="G35" s="82">
        <f t="shared" si="13"/>
        <v>-2118252</v>
      </c>
      <c r="H35" s="82">
        <f t="shared" si="13"/>
        <v>-2416769</v>
      </c>
      <c r="I35" s="82" t="str">
        <f t="shared" si="13"/>
        <v/>
      </c>
      <c r="J35" s="82" t="str">
        <f t="shared" si="13"/>
        <v/>
      </c>
      <c r="K35" s="82" t="str">
        <f t="shared" si="13"/>
        <v/>
      </c>
      <c r="L35" s="82" t="str">
        <f t="shared" si="13"/>
        <v/>
      </c>
      <c r="M35" s="82" t="str">
        <f t="shared" si="13"/>
        <v/>
      </c>
    </row>
    <row r="36" spans="2:13" x14ac:dyDescent="0.35">
      <c r="B36" s="106" t="s">
        <v>184</v>
      </c>
      <c r="C36" s="111">
        <f t="shared" ref="C36:M36" si="14">IF(C$4="","",-C7)</f>
        <v>-2043459</v>
      </c>
      <c r="D36" s="111">
        <f t="shared" si="14"/>
        <v>-1517989</v>
      </c>
      <c r="E36" s="111">
        <f t="shared" si="14"/>
        <v>-1491293</v>
      </c>
      <c r="F36" s="111">
        <f t="shared" si="14"/>
        <v>-1412494</v>
      </c>
      <c r="G36" s="111">
        <f t="shared" si="14"/>
        <v>0</v>
      </c>
      <c r="H36" s="111">
        <f t="shared" si="14"/>
        <v>0</v>
      </c>
      <c r="I36" s="111" t="str">
        <f t="shared" si="14"/>
        <v/>
      </c>
      <c r="J36" s="111" t="str">
        <f t="shared" si="14"/>
        <v/>
      </c>
      <c r="K36" s="111" t="str">
        <f t="shared" si="14"/>
        <v/>
      </c>
      <c r="L36" s="111" t="str">
        <f t="shared" si="14"/>
        <v/>
      </c>
      <c r="M36" s="111" t="str">
        <f t="shared" si="14"/>
        <v/>
      </c>
    </row>
    <row r="37" spans="2:13" x14ac:dyDescent="0.35">
      <c r="B37" s="106" t="s">
        <v>188</v>
      </c>
      <c r="C37" s="111">
        <f>IF(C$4="","",C35-C36)</f>
        <v>-254107</v>
      </c>
      <c r="D37" s="111">
        <f t="shared" ref="D37:M37" si="15">IF(D$4="","",D35-D36)</f>
        <v>-349526</v>
      </c>
      <c r="E37" s="111">
        <f t="shared" si="15"/>
        <v>-323818</v>
      </c>
      <c r="F37" s="111">
        <f t="shared" si="15"/>
        <v>-281986</v>
      </c>
      <c r="G37" s="111">
        <f t="shared" si="15"/>
        <v>-2118252</v>
      </c>
      <c r="H37" s="111">
        <f t="shared" si="15"/>
        <v>-2416769</v>
      </c>
      <c r="I37" s="111" t="str">
        <f t="shared" si="15"/>
        <v/>
      </c>
      <c r="J37" s="111" t="str">
        <f t="shared" si="15"/>
        <v/>
      </c>
      <c r="K37" s="111" t="str">
        <f t="shared" si="15"/>
        <v/>
      </c>
      <c r="L37" s="111" t="str">
        <f t="shared" si="15"/>
        <v/>
      </c>
      <c r="M37" s="111" t="str">
        <f t="shared" si="15"/>
        <v/>
      </c>
    </row>
    <row r="38" spans="2:13" x14ac:dyDescent="0.35">
      <c r="B38" s="60" t="s">
        <v>104</v>
      </c>
      <c r="C38" s="82">
        <f t="shared" ref="C38:M38" si="16">IF(C$4="","",-C8)</f>
        <v>0</v>
      </c>
      <c r="D38" s="82">
        <f t="shared" si="16"/>
        <v>0</v>
      </c>
      <c r="E38" s="82">
        <f t="shared" si="16"/>
        <v>0</v>
      </c>
      <c r="F38" s="82">
        <f t="shared" si="16"/>
        <v>0</v>
      </c>
      <c r="G38" s="82">
        <f t="shared" si="16"/>
        <v>0</v>
      </c>
      <c r="H38" s="82">
        <f t="shared" si="16"/>
        <v>0</v>
      </c>
      <c r="I38" s="82" t="str">
        <f t="shared" si="16"/>
        <v/>
      </c>
      <c r="J38" s="82" t="str">
        <f t="shared" si="16"/>
        <v/>
      </c>
      <c r="K38" s="82" t="str">
        <f t="shared" si="16"/>
        <v/>
      </c>
      <c r="L38" s="82" t="str">
        <f t="shared" si="16"/>
        <v/>
      </c>
      <c r="M38" s="82" t="str">
        <f t="shared" si="16"/>
        <v/>
      </c>
    </row>
    <row r="39" spans="2:13" x14ac:dyDescent="0.35">
      <c r="B39" s="63" t="s">
        <v>76</v>
      </c>
      <c r="C39" s="85">
        <f>IF(C$4="","",C34+C35+C38)</f>
        <v>1876773</v>
      </c>
      <c r="D39" s="85">
        <f t="shared" ref="D39:M39" si="17">IF(D$4="","",D34+D35+D38)</f>
        <v>1362882</v>
      </c>
      <c r="E39" s="85">
        <f t="shared" si="17"/>
        <v>1418716</v>
      </c>
      <c r="F39" s="85">
        <f t="shared" si="17"/>
        <v>937835</v>
      </c>
      <c r="G39" s="85">
        <f t="shared" si="17"/>
        <v>1204768</v>
      </c>
      <c r="H39" s="85">
        <f t="shared" si="17"/>
        <v>1617067</v>
      </c>
      <c r="I39" s="85" t="str">
        <f t="shared" si="17"/>
        <v/>
      </c>
      <c r="J39" s="85" t="str">
        <f t="shared" si="17"/>
        <v/>
      </c>
      <c r="K39" s="85" t="str">
        <f t="shared" si="17"/>
        <v/>
      </c>
      <c r="L39" s="85" t="str">
        <f t="shared" si="17"/>
        <v/>
      </c>
      <c r="M39" s="85" t="str">
        <f t="shared" si="17"/>
        <v/>
      </c>
    </row>
    <row r="40" spans="2:13" x14ac:dyDescent="0.35">
      <c r="B40" s="60" t="s">
        <v>195</v>
      </c>
      <c r="C40" s="117">
        <f>IF(C$4="","",C41+C42)</f>
        <v>-30619</v>
      </c>
      <c r="D40" s="117">
        <f t="shared" ref="D40:M40" si="18">IF(D$4="","",D41+D42)</f>
        <v>12362</v>
      </c>
      <c r="E40" s="117">
        <f t="shared" si="18"/>
        <v>64247</v>
      </c>
      <c r="F40" s="117">
        <f t="shared" si="18"/>
        <v>34549</v>
      </c>
      <c r="G40" s="117">
        <f t="shared" si="18"/>
        <v>-63075</v>
      </c>
      <c r="H40" s="117">
        <f t="shared" si="18"/>
        <v>-34253</v>
      </c>
      <c r="I40" s="117" t="str">
        <f t="shared" si="18"/>
        <v/>
      </c>
      <c r="J40" s="117" t="str">
        <f t="shared" si="18"/>
        <v/>
      </c>
      <c r="K40" s="117" t="str">
        <f t="shared" si="18"/>
        <v/>
      </c>
      <c r="L40" s="117" t="str">
        <f t="shared" si="18"/>
        <v/>
      </c>
      <c r="M40" s="117" t="str">
        <f t="shared" si="18"/>
        <v/>
      </c>
    </row>
    <row r="41" spans="2:13" x14ac:dyDescent="0.35">
      <c r="B41" s="106" t="s">
        <v>196</v>
      </c>
      <c r="C41" s="111">
        <f>IF(C$4="","",-C9)</f>
        <v>-59596</v>
      </c>
      <c r="D41" s="111">
        <f t="shared" ref="D41:M41" si="19">IF(D$4="","",-D9)</f>
        <v>-20763</v>
      </c>
      <c r="E41" s="111">
        <f t="shared" si="19"/>
        <v>-23097</v>
      </c>
      <c r="F41" s="111">
        <f t="shared" si="19"/>
        <v>-28849</v>
      </c>
      <c r="G41" s="111">
        <f t="shared" si="19"/>
        <v>-63075</v>
      </c>
      <c r="H41" s="111">
        <f t="shared" si="19"/>
        <v>-34253</v>
      </c>
      <c r="I41" s="111" t="str">
        <f t="shared" si="19"/>
        <v/>
      </c>
      <c r="J41" s="111" t="str">
        <f t="shared" si="19"/>
        <v/>
      </c>
      <c r="K41" s="111" t="str">
        <f t="shared" si="19"/>
        <v/>
      </c>
      <c r="L41" s="111" t="str">
        <f t="shared" si="19"/>
        <v/>
      </c>
      <c r="M41" s="111" t="str">
        <f t="shared" si="19"/>
        <v/>
      </c>
    </row>
    <row r="42" spans="2:13" x14ac:dyDescent="0.35">
      <c r="B42" s="106" t="s">
        <v>197</v>
      </c>
      <c r="C42" s="111">
        <f>IF(C$4="","",C10)</f>
        <v>28977</v>
      </c>
      <c r="D42" s="111">
        <f t="shared" ref="D42:M42" si="20">IF(D$4="","",D10)</f>
        <v>33125</v>
      </c>
      <c r="E42" s="111">
        <f t="shared" si="20"/>
        <v>87344</v>
      </c>
      <c r="F42" s="111">
        <f t="shared" si="20"/>
        <v>63398</v>
      </c>
      <c r="G42" s="111">
        <f t="shared" si="20"/>
        <v>0</v>
      </c>
      <c r="H42" s="111">
        <f t="shared" si="20"/>
        <v>0</v>
      </c>
      <c r="I42" s="111" t="str">
        <f t="shared" si="20"/>
        <v/>
      </c>
      <c r="J42" s="111" t="str">
        <f t="shared" si="20"/>
        <v/>
      </c>
      <c r="K42" s="111" t="str">
        <f t="shared" si="20"/>
        <v/>
      </c>
      <c r="L42" s="111" t="str">
        <f t="shared" si="20"/>
        <v/>
      </c>
      <c r="M42" s="111" t="str">
        <f t="shared" si="20"/>
        <v/>
      </c>
    </row>
    <row r="43" spans="2:13" x14ac:dyDescent="0.35">
      <c r="B43" s="60" t="s">
        <v>220</v>
      </c>
      <c r="C43" s="117">
        <f>IF(C$4="","",C45-C44-C40-C39)</f>
        <v>248317</v>
      </c>
      <c r="D43" s="117">
        <f t="shared" ref="D43:M43" si="21">IF(D$4="","",D45-D44-D40-D39)</f>
        <v>190177</v>
      </c>
      <c r="E43" s="117">
        <f t="shared" si="21"/>
        <v>200697</v>
      </c>
      <c r="F43" s="117">
        <f t="shared" si="21"/>
        <v>281254</v>
      </c>
      <c r="G43" s="117">
        <f t="shared" si="21"/>
        <v>-275378</v>
      </c>
      <c r="H43" s="117">
        <f t="shared" si="21"/>
        <v>-1582814</v>
      </c>
      <c r="I43" s="117" t="str">
        <f t="shared" si="21"/>
        <v/>
      </c>
      <c r="J43" s="117" t="str">
        <f t="shared" si="21"/>
        <v/>
      </c>
      <c r="K43" s="117" t="str">
        <f t="shared" si="21"/>
        <v/>
      </c>
      <c r="L43" s="117" t="str">
        <f t="shared" si="21"/>
        <v/>
      </c>
      <c r="M43" s="117" t="str">
        <f t="shared" si="21"/>
        <v/>
      </c>
    </row>
    <row r="44" spans="2:13" x14ac:dyDescent="0.35">
      <c r="B44" s="60" t="s">
        <v>105</v>
      </c>
      <c r="C44" s="82">
        <f>IF(C$4="","",-C11)</f>
        <v>-327166</v>
      </c>
      <c r="D44" s="82">
        <f t="shared" ref="D44:M44" si="22">IF(D$4="","",-D11)</f>
        <v>-280664</v>
      </c>
      <c r="E44" s="82">
        <f t="shared" si="22"/>
        <v>-291296</v>
      </c>
      <c r="F44" s="82">
        <f t="shared" si="22"/>
        <v>-236303</v>
      </c>
      <c r="G44" s="82">
        <f t="shared" si="22"/>
        <v>0</v>
      </c>
      <c r="H44" s="82">
        <f t="shared" si="22"/>
        <v>0</v>
      </c>
      <c r="I44" s="82" t="str">
        <f t="shared" si="22"/>
        <v/>
      </c>
      <c r="J44" s="82" t="str">
        <f t="shared" si="22"/>
        <v/>
      </c>
      <c r="K44" s="82" t="str">
        <f t="shared" si="22"/>
        <v/>
      </c>
      <c r="L44" s="82" t="str">
        <f t="shared" si="22"/>
        <v/>
      </c>
      <c r="M44" s="82" t="str">
        <f t="shared" si="22"/>
        <v/>
      </c>
    </row>
    <row r="45" spans="2:13" x14ac:dyDescent="0.35">
      <c r="B45" s="63" t="s">
        <v>90</v>
      </c>
      <c r="C45" s="85">
        <f>IF(C$4="","",C12)</f>
        <v>1767305</v>
      </c>
      <c r="D45" s="85">
        <f t="shared" ref="D45:M45" si="23">IF(D$4="","",D12)</f>
        <v>1284757</v>
      </c>
      <c r="E45" s="85">
        <f t="shared" si="23"/>
        <v>1392364</v>
      </c>
      <c r="F45" s="85">
        <f t="shared" si="23"/>
        <v>1017335</v>
      </c>
      <c r="G45" s="85">
        <f t="shared" si="23"/>
        <v>866315</v>
      </c>
      <c r="H45" s="85">
        <f t="shared" si="23"/>
        <v>0</v>
      </c>
      <c r="I45" s="85" t="str">
        <f t="shared" si="23"/>
        <v/>
      </c>
      <c r="J45" s="85" t="str">
        <f t="shared" si="23"/>
        <v/>
      </c>
      <c r="K45" s="85" t="str">
        <f t="shared" si="23"/>
        <v/>
      </c>
      <c r="L45" s="85" t="str">
        <f t="shared" si="23"/>
        <v/>
      </c>
      <c r="M45" s="85" t="str">
        <f t="shared" si="23"/>
        <v/>
      </c>
    </row>
    <row r="46" spans="2:13" x14ac:dyDescent="0.35">
      <c r="B46" s="45" t="s">
        <v>95</v>
      </c>
      <c r="C46" s="82">
        <f t="shared" ref="C46:M46" si="24">IF(C$4="","",MIN(-C13,0))</f>
        <v>0</v>
      </c>
      <c r="D46" s="82">
        <f t="shared" si="24"/>
        <v>0</v>
      </c>
      <c r="E46" s="82">
        <f t="shared" si="24"/>
        <v>0</v>
      </c>
      <c r="F46" s="82">
        <f t="shared" si="24"/>
        <v>-1799</v>
      </c>
      <c r="G46" s="82">
        <f t="shared" si="24"/>
        <v>-1337</v>
      </c>
      <c r="H46" s="82">
        <f t="shared" si="24"/>
        <v>-10908</v>
      </c>
      <c r="I46" s="82" t="str">
        <f t="shared" si="24"/>
        <v/>
      </c>
      <c r="J46" s="82" t="str">
        <f t="shared" si="24"/>
        <v/>
      </c>
      <c r="K46" s="82" t="str">
        <f t="shared" si="24"/>
        <v/>
      </c>
      <c r="L46" s="82" t="str">
        <f t="shared" si="24"/>
        <v/>
      </c>
      <c r="M46" s="82" t="str">
        <f t="shared" si="24"/>
        <v/>
      </c>
    </row>
    <row r="48" spans="2:13" x14ac:dyDescent="0.35">
      <c r="B48" s="32" t="s">
        <v>106</v>
      </c>
      <c r="C48" s="21"/>
    </row>
    <row r="49" spans="2:13" x14ac:dyDescent="0.35">
      <c r="B49" s="44" t="s">
        <v>98</v>
      </c>
      <c r="C49" s="82">
        <f>IF(C$4="","",-C16)</f>
        <v>-463424</v>
      </c>
      <c r="D49" s="82">
        <f>IF(D$4="","",-D16)</f>
        <v>-371724</v>
      </c>
      <c r="E49" s="82">
        <f>IF(E$4="","",-E16)</f>
        <v>-435672</v>
      </c>
      <c r="F49" s="82">
        <f>IF(F$4="","",-F16)</f>
        <v>-520888</v>
      </c>
      <c r="G49" s="82">
        <f>IF(G$4="","",-G16)</f>
        <v>0</v>
      </c>
      <c r="H49" s="82">
        <f>IF(H$4="","",-H16)</f>
        <v>0</v>
      </c>
      <c r="I49" s="82" t="str">
        <f>IF(I$4="","",-I16)</f>
        <v/>
      </c>
      <c r="J49" s="82" t="str">
        <f>IF(J$4="","",-J16)</f>
        <v/>
      </c>
      <c r="K49" s="82" t="str">
        <f>IF(K$4="","",-K16)</f>
        <v/>
      </c>
      <c r="L49" s="82" t="str">
        <f>IF(L$4="","",-L16)</f>
        <v/>
      </c>
      <c r="M49" s="82" t="str">
        <f>IF(M$4="","",-M16)</f>
        <v/>
      </c>
    </row>
    <row r="50" spans="2:13" x14ac:dyDescent="0.35">
      <c r="B50" s="44" t="s">
        <v>108</v>
      </c>
      <c r="C50" s="82">
        <f>IF(C$4="","",-C17)</f>
        <v>-676387</v>
      </c>
      <c r="D50" s="82">
        <f>IF(D$4="","",-D17)</f>
        <v>-107280</v>
      </c>
      <c r="E50" s="82">
        <f>IF(E$4="","",-E17)</f>
        <v>-455483</v>
      </c>
      <c r="F50" s="82">
        <f>IF(F$4="","",-F17)</f>
        <v>-138937</v>
      </c>
      <c r="G50" s="82">
        <f>IF(G$4="","",-G17)</f>
        <v>0</v>
      </c>
      <c r="H50" s="82">
        <f>IF(H$4="","",-H17)</f>
        <v>0</v>
      </c>
      <c r="I50" s="82" t="str">
        <f>IF(I$4="","",-I17)</f>
        <v/>
      </c>
      <c r="J50" s="82" t="str">
        <f>IF(J$4="","",-J17)</f>
        <v/>
      </c>
      <c r="K50" s="82" t="str">
        <f>IF(K$4="","",-K17)</f>
        <v/>
      </c>
      <c r="L50" s="82" t="str">
        <f>IF(L$4="","",-L17)</f>
        <v/>
      </c>
      <c r="M50" s="82" t="str">
        <f>IF(M$4="","",-M17)</f>
        <v/>
      </c>
    </row>
    <row r="51" spans="2:13" x14ac:dyDescent="0.35">
      <c r="B51" s="44" t="s">
        <v>107</v>
      </c>
      <c r="C51" s="82">
        <f>IF(C$4="","",-C18)</f>
        <v>-626583</v>
      </c>
      <c r="D51" s="82">
        <f>IF(D$4="","",-D18)</f>
        <v>-352099</v>
      </c>
      <c r="E51" s="82">
        <f>IF(E$4="","",-E18)</f>
        <v>-1045251</v>
      </c>
      <c r="F51" s="82">
        <f>IF(F$4="","",-F18)</f>
        <v>818677</v>
      </c>
      <c r="G51" s="82">
        <f>IF(G$4="","",-G18)</f>
        <v>0</v>
      </c>
      <c r="H51" s="82">
        <f>IF(H$4="","",-H18)</f>
        <v>0</v>
      </c>
      <c r="I51" s="82" t="str">
        <f>IF(I$4="","",-I18)</f>
        <v/>
      </c>
      <c r="J51" s="82" t="str">
        <f>IF(J$4="","",-J18)</f>
        <v/>
      </c>
      <c r="K51" s="82" t="str">
        <f>IF(K$4="","",-K18)</f>
        <v/>
      </c>
      <c r="L51" s="82" t="str">
        <f>IF(L$4="","",-L18)</f>
        <v/>
      </c>
      <c r="M51" s="82" t="str">
        <f>IF(M$4="","",-M18)</f>
        <v/>
      </c>
    </row>
    <row r="52" spans="2:13" x14ac:dyDescent="0.35">
      <c r="B52" s="41" t="s">
        <v>72</v>
      </c>
      <c r="C52" s="112">
        <f>IF(C$4="","",C28)</f>
        <v>1.3599999999999999</v>
      </c>
      <c r="D52" s="112">
        <f>IF(D$4="","",D28)</f>
        <v>1.1000000000000001</v>
      </c>
      <c r="E52" s="112">
        <f>IF(E$4="","",E28)</f>
        <v>1.1000000000000001</v>
      </c>
      <c r="F52" s="112">
        <f>IF(F$4="","",F28)</f>
        <v>1</v>
      </c>
      <c r="G52" s="112">
        <f>IF(G$4="","",G28)</f>
        <v>1</v>
      </c>
      <c r="H52" s="112">
        <f>IF(H$4="","",H28)</f>
        <v>1.1499999999999999</v>
      </c>
    </row>
    <row r="54" spans="2:13" x14ac:dyDescent="0.35">
      <c r="B54" s="141" t="s">
        <v>234</v>
      </c>
    </row>
    <row r="55" spans="2:13" x14ac:dyDescent="0.35">
      <c r="B55" s="1" t="str">
        <f>B32</f>
        <v>Sales</v>
      </c>
      <c r="C55" s="144">
        <f>IF(D$32="","",C32/D32-1)</f>
        <v>0.27952593137796744</v>
      </c>
      <c r="D55" s="144">
        <f>IF(E$32="","",D32/E32-1)</f>
        <v>2.0450249505806095E-2</v>
      </c>
      <c r="E55" s="144">
        <f>IF(F$32="","",E32/F32-1)</f>
        <v>0.32460887665346139</v>
      </c>
      <c r="F55" s="144">
        <f>IF(G$32="","",F32/G32-1)</f>
        <v>-0.21118785490642455</v>
      </c>
      <c r="G55" s="144">
        <f>IF(H$32="","",G32/H32-1)</f>
        <v>-0.29169116752280422</v>
      </c>
      <c r="H55" s="144" t="str">
        <f>IF(I$32="","",H32/I32-1)</f>
        <v/>
      </c>
      <c r="I55" s="144" t="str">
        <f>IF(J$32="","",I32/J32-1)</f>
        <v/>
      </c>
      <c r="J55" s="144" t="str">
        <f>IF(K$32="","",J32/K32-1)</f>
        <v/>
      </c>
      <c r="K55" s="144" t="str">
        <f>IF(L$32="","",K32/L32-1)</f>
        <v/>
      </c>
      <c r="L55" s="144" t="str">
        <f>IF(M$32="","",L32/M32-1)</f>
        <v/>
      </c>
      <c r="M55" s="144" t="str">
        <f>IF(N$32="","",M32/N32-1)</f>
        <v/>
      </c>
    </row>
    <row r="56" spans="2:13" x14ac:dyDescent="0.35">
      <c r="B56" s="124" t="str">
        <f>B39</f>
        <v>EBIT</v>
      </c>
      <c r="C56" s="162">
        <f>IF(D$32="","",C33/D33-1)</f>
        <v>0.27484316281081789</v>
      </c>
      <c r="D56" s="162">
        <f>IF(E$32="","",D33/E33-1)</f>
        <v>2.8630254836090829E-2</v>
      </c>
      <c r="E56" s="162">
        <f>IF(F$32="","",E33/F33-1)</f>
        <v>0.36521892689379709</v>
      </c>
      <c r="F56" s="162">
        <f>IF(G$32="","",F33/G33-1)</f>
        <v>-0.21258803367720713</v>
      </c>
      <c r="G56" s="162">
        <f>IF(H$32="","",G33/H33-1)</f>
        <v>-0.33107999439209057</v>
      </c>
      <c r="H56" s="162" t="str">
        <f>IF(I$32="","",H33/I33-1)</f>
        <v/>
      </c>
      <c r="I56" s="162" t="str">
        <f>IF(J$32="","",I33/J33-1)</f>
        <v/>
      </c>
      <c r="J56" s="162" t="str">
        <f>IF(K$32="","",J33/K33-1)</f>
        <v/>
      </c>
      <c r="K56" s="162" t="str">
        <f>IF(L$32="","",K33/L33-1)</f>
        <v/>
      </c>
      <c r="L56" s="162" t="str">
        <f>IF(M$32="","",L33/M33-1)</f>
        <v/>
      </c>
      <c r="M56" s="162" t="str">
        <f>IF(N$32="","",M33/N33-1)</f>
        <v/>
      </c>
    </row>
    <row r="57" spans="2:13" x14ac:dyDescent="0.35">
      <c r="B57" s="1" t="str">
        <f>B43</f>
        <v>Non-Operating Income (Est.)</v>
      </c>
      <c r="C57" s="144">
        <f>IF(D$32="","",C34/D34-1)</f>
        <v>0.29220619013700166</v>
      </c>
      <c r="D57" s="144">
        <f>IF(E$32="","",D34/E34-1)</f>
        <v>-1.0606627998344109E-3</v>
      </c>
      <c r="E57" s="144">
        <f>IF(F$32="","",E34/F34-1)</f>
        <v>0.22851064557243328</v>
      </c>
      <c r="F57" s="144">
        <f>IF(G$32="","",F34/G34-1)</f>
        <v>-0.20785460213901807</v>
      </c>
      <c r="G57" s="144">
        <f>IF(H$32="","",G34/H34-1)</f>
        <v>-0.1762134107583947</v>
      </c>
      <c r="H57" s="144" t="str">
        <f>IF(I$32="","",H34/I34-1)</f>
        <v/>
      </c>
      <c r="I57" s="144" t="str">
        <f>IF(J$32="","",I34/J34-1)</f>
        <v/>
      </c>
      <c r="J57" s="144" t="str">
        <f>IF(K$32="","",J34/K34-1)</f>
        <v/>
      </c>
      <c r="K57" s="144" t="str">
        <f>IF(L$32="","",K34/L34-1)</f>
        <v/>
      </c>
      <c r="L57" s="144" t="str">
        <f>IF(M$32="","",L34/M34-1)</f>
        <v/>
      </c>
      <c r="M57" s="144" t="str">
        <f>IF(N$32="","",M34/N34-1)</f>
        <v/>
      </c>
    </row>
    <row r="58" spans="2:13" x14ac:dyDescent="0.35">
      <c r="B58" s="124" t="str">
        <f>B45</f>
        <v>Reported Net Income</v>
      </c>
      <c r="C58" s="162">
        <f>IF(D$32="","",C35/D35-1)</f>
        <v>0.23027981033619538</v>
      </c>
      <c r="D58" s="162">
        <f>IF(E$32="","",D35/E35-1)</f>
        <v>2.88709616106122E-2</v>
      </c>
      <c r="E58" s="162">
        <f>IF(F$32="","",E35/F35-1)</f>
        <v>7.1190571738822594E-2</v>
      </c>
      <c r="F58" s="162">
        <f>IF(G$32="","",F35/G35-1)</f>
        <v>-0.20005740582329201</v>
      </c>
      <c r="G58" s="162">
        <f>IF(H$32="","",G35/H35-1)</f>
        <v>-0.12351904546938497</v>
      </c>
      <c r="H58" s="162" t="str">
        <f>IF(I$32="","",H35/I35-1)</f>
        <v/>
      </c>
      <c r="I58" s="162" t="str">
        <f>IF(J$32="","",I35/J35-1)</f>
        <v/>
      </c>
      <c r="J58" s="162" t="str">
        <f>IF(K$32="","",J35/K35-1)</f>
        <v/>
      </c>
      <c r="K58" s="162" t="str">
        <f>IF(L$32="","",K35/L35-1)</f>
        <v/>
      </c>
      <c r="L58" s="162" t="str">
        <f>IF(M$32="","",L35/M35-1)</f>
        <v/>
      </c>
      <c r="M58" s="162" t="str">
        <f>IF(N$32="","",M35/N35-1)</f>
        <v/>
      </c>
    </row>
    <row r="59" spans="2:13" x14ac:dyDescent="0.35">
      <c r="B59" s="1" t="str">
        <f>B46</f>
        <v>Non-controling Interests</v>
      </c>
      <c r="C59" s="144">
        <f>IF(D$32="","",C52/D52-1)</f>
        <v>0.23636363636363611</v>
      </c>
      <c r="D59" s="144">
        <f t="shared" ref="D59:M59" si="25">IF(E$32="","",D52/E52-1)</f>
        <v>0</v>
      </c>
      <c r="E59" s="144">
        <f t="shared" si="25"/>
        <v>0.10000000000000009</v>
      </c>
      <c r="F59" s="144">
        <f t="shared" si="25"/>
        <v>0</v>
      </c>
      <c r="G59" s="144">
        <f t="shared" si="25"/>
        <v>-0.13043478260869557</v>
      </c>
      <c r="H59" s="144" t="str">
        <f t="shared" si="25"/>
        <v/>
      </c>
      <c r="I59" s="144" t="str">
        <f t="shared" si="25"/>
        <v/>
      </c>
      <c r="J59" s="144" t="str">
        <f t="shared" si="25"/>
        <v/>
      </c>
      <c r="K59" s="144" t="str">
        <f t="shared" si="25"/>
        <v/>
      </c>
      <c r="L59" s="144" t="str">
        <f t="shared" si="25"/>
        <v/>
      </c>
      <c r="M59" s="144" t="str">
        <f t="shared" si="25"/>
        <v/>
      </c>
    </row>
    <row r="61" spans="2:13" ht="13.9" x14ac:dyDescent="0.45">
      <c r="B61" s="55" t="s">
        <v>231</v>
      </c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</row>
    <row r="62" spans="2:13" x14ac:dyDescent="0.35">
      <c r="B62" s="32" t="s">
        <v>44</v>
      </c>
      <c r="C62" s="21"/>
    </row>
    <row r="63" spans="2:13" x14ac:dyDescent="0.35">
      <c r="B63" s="43" t="s">
        <v>5</v>
      </c>
      <c r="C63" s="117">
        <f>IF(C$4="","",C66+C67)</f>
        <v>16854064</v>
      </c>
      <c r="D63" s="117">
        <f t="shared" ref="D63:M63" si="26">IF(D$4="","",D66+D67)</f>
        <v>14687373</v>
      </c>
      <c r="E63" s="117">
        <f t="shared" si="26"/>
        <v>15987114</v>
      </c>
      <c r="F63" s="117">
        <f t="shared" si="26"/>
        <v>14270996</v>
      </c>
      <c r="G63" s="117">
        <f t="shared" si="26"/>
        <v>0</v>
      </c>
      <c r="H63" s="117">
        <f t="shared" si="26"/>
        <v>0</v>
      </c>
      <c r="I63" s="117" t="str">
        <f t="shared" si="26"/>
        <v/>
      </c>
      <c r="J63" s="117" t="str">
        <f t="shared" si="26"/>
        <v/>
      </c>
      <c r="K63" s="117" t="str">
        <f t="shared" si="26"/>
        <v/>
      </c>
      <c r="L63" s="117" t="str">
        <f t="shared" si="26"/>
        <v/>
      </c>
      <c r="M63" s="117" t="str">
        <f t="shared" si="26"/>
        <v/>
      </c>
    </row>
    <row r="64" spans="2:13" x14ac:dyDescent="0.35">
      <c r="B64" s="149" t="s">
        <v>235</v>
      </c>
      <c r="C64" s="111">
        <f>IF(C$4="","",C21)</f>
        <v>0</v>
      </c>
      <c r="D64" s="111">
        <f>IF(D$4="","",D21)</f>
        <v>213823</v>
      </c>
      <c r="E64" s="111">
        <f>IF(E$4="","",E21)</f>
        <v>187711</v>
      </c>
      <c r="F64" s="111">
        <f>IF(F$4="","",F21)</f>
        <v>277338</v>
      </c>
      <c r="G64" s="111">
        <f>IF(G$4="","",G21)</f>
        <v>0</v>
      </c>
      <c r="H64" s="111">
        <f>IF(H$4="","",H21)</f>
        <v>0</v>
      </c>
      <c r="I64" s="150"/>
      <c r="J64" s="150"/>
      <c r="K64" s="150"/>
      <c r="L64" s="150"/>
      <c r="M64" s="150"/>
    </row>
    <row r="65" spans="2:13" x14ac:dyDescent="0.35">
      <c r="B65" s="149" t="s">
        <v>236</v>
      </c>
      <c r="C65" s="111">
        <f>IF(C$4="","",C22)</f>
        <v>0</v>
      </c>
      <c r="D65" s="111">
        <f>IF(D$4="","",D22)</f>
        <v>8852611</v>
      </c>
      <c r="E65" s="111">
        <f>IF(E$4="","",E22)</f>
        <v>8769304</v>
      </c>
      <c r="F65" s="111">
        <f>IF(F$4="","",F22)</f>
        <v>7321614</v>
      </c>
      <c r="G65" s="111">
        <f>IF(G$4="","",G22)</f>
        <v>0</v>
      </c>
      <c r="H65" s="111">
        <f>IF(H$4="","",H22)</f>
        <v>0</v>
      </c>
      <c r="I65" s="150"/>
      <c r="J65" s="150"/>
      <c r="K65" s="150"/>
      <c r="L65" s="150"/>
      <c r="M65" s="150"/>
    </row>
    <row r="66" spans="2:13" x14ac:dyDescent="0.35">
      <c r="B66" s="43" t="s">
        <v>82</v>
      </c>
      <c r="C66" s="82">
        <f>IF(C$4="","",C23)</f>
        <v>3990166</v>
      </c>
      <c r="D66" s="82">
        <f>IF(D$4="","",D23)</f>
        <v>2466431</v>
      </c>
      <c r="E66" s="82">
        <f t="shared" ref="E66:M66" si="27">IF(E$4="","",E23)</f>
        <v>3908586</v>
      </c>
      <c r="F66" s="82">
        <f t="shared" si="27"/>
        <v>2946772</v>
      </c>
      <c r="G66" s="82">
        <f t="shared" si="27"/>
        <v>0</v>
      </c>
      <c r="H66" s="82">
        <f t="shared" si="27"/>
        <v>0</v>
      </c>
      <c r="I66" s="82" t="str">
        <f t="shared" si="27"/>
        <v/>
      </c>
      <c r="J66" s="82" t="str">
        <f t="shared" si="27"/>
        <v/>
      </c>
      <c r="K66" s="82" t="str">
        <f t="shared" si="27"/>
        <v/>
      </c>
      <c r="L66" s="82" t="str">
        <f t="shared" si="27"/>
        <v/>
      </c>
      <c r="M66" s="82" t="str">
        <f t="shared" si="27"/>
        <v/>
      </c>
    </row>
    <row r="67" spans="2:13" x14ac:dyDescent="0.35">
      <c r="B67" s="43" t="s">
        <v>46</v>
      </c>
      <c r="C67" s="82">
        <f>IF(C$4="","",C24)</f>
        <v>12863898</v>
      </c>
      <c r="D67" s="82">
        <f>IF(D$4="","",D24)</f>
        <v>12220942</v>
      </c>
      <c r="E67" s="82">
        <f t="shared" ref="E67:M67" si="28">IF(E$4="","",E24)</f>
        <v>12078528</v>
      </c>
      <c r="F67" s="82">
        <f t="shared" si="28"/>
        <v>11324224</v>
      </c>
      <c r="G67" s="82">
        <f t="shared" si="28"/>
        <v>0</v>
      </c>
      <c r="H67" s="82">
        <f t="shared" si="28"/>
        <v>0</v>
      </c>
      <c r="I67" s="82" t="str">
        <f t="shared" si="28"/>
        <v/>
      </c>
      <c r="J67" s="82" t="str">
        <f t="shared" si="28"/>
        <v/>
      </c>
      <c r="K67" s="82" t="str">
        <f t="shared" si="28"/>
        <v/>
      </c>
      <c r="L67" s="82" t="str">
        <f t="shared" si="28"/>
        <v/>
      </c>
      <c r="M67" s="82" t="str">
        <f t="shared" si="28"/>
        <v/>
      </c>
    </row>
    <row r="69" spans="2:13" x14ac:dyDescent="0.35">
      <c r="B69" s="146" t="s">
        <v>64</v>
      </c>
      <c r="C69" s="148" t="s">
        <v>67</v>
      </c>
      <c r="D69" s="148" t="s">
        <v>68</v>
      </c>
      <c r="E69" s="138" t="s">
        <v>69</v>
      </c>
    </row>
    <row r="70" spans="2:13" x14ac:dyDescent="0.35">
      <c r="B70" s="19" t="s">
        <v>65</v>
      </c>
      <c r="C70" s="147">
        <f>FCF!L8</f>
        <v>1617067</v>
      </c>
      <c r="D70" s="147">
        <f>FCF!G8</f>
        <v>1876773</v>
      </c>
      <c r="E70" s="147">
        <v>6</v>
      </c>
    </row>
    <row r="71" spans="2:13" x14ac:dyDescent="0.35">
      <c r="B71" s="19" t="s">
        <v>66</v>
      </c>
      <c r="C71" s="17">
        <f>(D70/C70)^(1/E70)-1</f>
        <v>2.5133963029188244E-2</v>
      </c>
      <c r="D71" s="59"/>
      <c r="E71" s="59"/>
    </row>
  </sheetData>
  <phoneticPr fontId="3" type="noConversion"/>
  <conditionalFormatting sqref="C4:M13 C16:M18 C21:M24 C27:M28 C35:M39 C41:M42 C44:M46 C52:H52 C64:H65 C66:M67">
    <cfRule type="expression" dxfId="6" priority="3">
      <formula>ISBLANK(C4)</formula>
    </cfRule>
  </conditionalFormatting>
  <conditionalFormatting sqref="C32:M33 C49:M51">
    <cfRule type="expression" dxfId="5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95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39" t="str">
        <f>Thesis!C12</f>
        <v>HKD</v>
      </c>
      <c r="C1" s="77" t="s">
        <v>180</v>
      </c>
      <c r="D1" s="77"/>
      <c r="E1" s="77"/>
      <c r="F1" s="77"/>
      <c r="G1" s="57">
        <f>Data!C1</f>
        <v>45382</v>
      </c>
      <c r="H1" s="57">
        <f>EOMONTH(EDATE(G1,-12),0)</f>
        <v>45016</v>
      </c>
      <c r="I1" s="57">
        <f t="shared" ref="I1:Q1" si="0">EOMONTH(EDATE(H1,-12),0)</f>
        <v>44651</v>
      </c>
      <c r="J1" s="57">
        <f t="shared" si="0"/>
        <v>44286</v>
      </c>
      <c r="K1" s="57">
        <f t="shared" si="0"/>
        <v>43921</v>
      </c>
      <c r="L1" s="57">
        <f t="shared" si="0"/>
        <v>43555</v>
      </c>
      <c r="M1" s="57">
        <f t="shared" si="0"/>
        <v>43190</v>
      </c>
      <c r="N1" s="57">
        <f t="shared" si="0"/>
        <v>42825</v>
      </c>
      <c r="O1" s="57">
        <f t="shared" si="0"/>
        <v>42460</v>
      </c>
      <c r="P1" s="57">
        <f t="shared" si="0"/>
        <v>42094</v>
      </c>
      <c r="Q1" s="57">
        <f t="shared" si="0"/>
        <v>41729</v>
      </c>
    </row>
    <row r="2" spans="1:17" ht="15.75" customHeight="1" x14ac:dyDescent="0.5">
      <c r="A2" s="3"/>
      <c r="B2" s="78" t="s">
        <v>192</v>
      </c>
      <c r="C2" s="78"/>
      <c r="D2" s="80"/>
      <c r="E2" s="98" t="s">
        <v>182</v>
      </c>
      <c r="F2" s="80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</row>
    <row r="3" spans="1:17" ht="15.75" customHeight="1" x14ac:dyDescent="0.35">
      <c r="A3" s="26"/>
      <c r="B3" s="32" t="s">
        <v>110</v>
      </c>
      <c r="C3" s="140">
        <f>Data!C3</f>
        <v>1000</v>
      </c>
      <c r="D3" s="21"/>
      <c r="F3" s="21"/>
      <c r="G3" s="21"/>
    </row>
    <row r="4" spans="1:17" ht="15.75" customHeight="1" x14ac:dyDescent="0.35">
      <c r="A4" s="26"/>
      <c r="B4" s="43" t="s">
        <v>4</v>
      </c>
      <c r="C4" s="89">
        <f>AVERAGE(G4:L4)</f>
        <v>12499450.833333334</v>
      </c>
      <c r="D4" s="81"/>
      <c r="E4" s="100" t="s">
        <v>228</v>
      </c>
      <c r="F4" s="81"/>
      <c r="G4" s="82">
        <f>Data!C32</f>
        <v>15325962</v>
      </c>
      <c r="H4" s="82">
        <f>Data!D32</f>
        <v>11977844</v>
      </c>
      <c r="I4" s="82">
        <f>Data!E32</f>
        <v>11737803</v>
      </c>
      <c r="J4" s="82">
        <f>Data!F32</f>
        <v>8861335</v>
      </c>
      <c r="K4" s="82">
        <f>Data!G32</f>
        <v>11233771</v>
      </c>
      <c r="L4" s="82">
        <f>Data!H32</f>
        <v>15859990</v>
      </c>
      <c r="M4" s="82" t="str">
        <f>Data!I32</f>
        <v/>
      </c>
      <c r="N4" s="82" t="str">
        <f>Data!J32</f>
        <v/>
      </c>
      <c r="O4" s="82" t="str">
        <f>Data!K32</f>
        <v/>
      </c>
      <c r="P4" s="82" t="str">
        <f>Data!L32</f>
        <v/>
      </c>
      <c r="Q4" s="82" t="str">
        <f>Data!M32</f>
        <v/>
      </c>
    </row>
    <row r="5" spans="1:17" ht="15.75" customHeight="1" x14ac:dyDescent="0.35">
      <c r="A5" s="26"/>
      <c r="B5" s="2" t="s">
        <v>97</v>
      </c>
      <c r="C5" s="94">
        <f>C43</f>
        <v>-10739107.696087126</v>
      </c>
      <c r="E5" s="34"/>
      <c r="G5" s="82">
        <f>G43</f>
        <v>-13195082</v>
      </c>
      <c r="H5" s="82">
        <f t="shared" ref="H5:Q5" si="1">H43</f>
        <v>-10265436</v>
      </c>
      <c r="I5" s="82">
        <f t="shared" si="1"/>
        <v>-9995269</v>
      </c>
      <c r="J5" s="82">
        <f t="shared" si="1"/>
        <v>-7641514</v>
      </c>
      <c r="K5" s="82">
        <f t="shared" si="1"/>
        <v>-7910751</v>
      </c>
      <c r="L5" s="82">
        <f t="shared" si="1"/>
        <v>-11826154</v>
      </c>
      <c r="M5" s="82" t="str">
        <f t="shared" si="1"/>
        <v/>
      </c>
      <c r="N5" s="82" t="str">
        <f t="shared" si="1"/>
        <v/>
      </c>
      <c r="O5" s="82" t="str">
        <f t="shared" si="1"/>
        <v/>
      </c>
      <c r="P5" s="82" t="str">
        <f t="shared" si="1"/>
        <v/>
      </c>
      <c r="Q5" s="82" t="str">
        <f t="shared" si="1"/>
        <v/>
      </c>
    </row>
    <row r="6" spans="1:17" ht="15.75" customHeight="1" x14ac:dyDescent="0.35">
      <c r="A6" s="26"/>
      <c r="B6" s="50" t="s">
        <v>99</v>
      </c>
      <c r="C6" s="94">
        <f>C4+C5</f>
        <v>1760343.1372462083</v>
      </c>
      <c r="E6" s="34"/>
      <c r="G6" s="97">
        <f>IF(G4="","",G4+G5)</f>
        <v>2130880</v>
      </c>
      <c r="H6" s="97">
        <f t="shared" ref="H6:Q6" si="2">IF(H4="","",H4+H5)</f>
        <v>1712408</v>
      </c>
      <c r="I6" s="97">
        <f t="shared" si="2"/>
        <v>1742534</v>
      </c>
      <c r="J6" s="97">
        <f t="shared" si="2"/>
        <v>1219821</v>
      </c>
      <c r="K6" s="97">
        <f t="shared" si="2"/>
        <v>3323020</v>
      </c>
      <c r="L6" s="97">
        <f t="shared" si="2"/>
        <v>4033836</v>
      </c>
      <c r="M6" s="97" t="str">
        <f t="shared" si="2"/>
        <v/>
      </c>
      <c r="N6" s="97" t="str">
        <f t="shared" si="2"/>
        <v/>
      </c>
      <c r="O6" s="97" t="str">
        <f t="shared" si="2"/>
        <v/>
      </c>
      <c r="P6" s="97" t="str">
        <f t="shared" si="2"/>
        <v/>
      </c>
      <c r="Q6" s="97" t="str">
        <f t="shared" si="2"/>
        <v/>
      </c>
    </row>
    <row r="7" spans="1:17" ht="15.75" customHeight="1" x14ac:dyDescent="0.35">
      <c r="A7" s="26"/>
      <c r="B7" s="20" t="s">
        <v>96</v>
      </c>
      <c r="C7" s="94">
        <f>C46</f>
        <v>-302359.25</v>
      </c>
      <c r="E7" s="34"/>
      <c r="G7" s="94">
        <f>G46</f>
        <v>-254107</v>
      </c>
      <c r="H7" s="94">
        <f t="shared" ref="H7:Q7" si="3">H46</f>
        <v>-349526</v>
      </c>
      <c r="I7" s="94">
        <f t="shared" si="3"/>
        <v>-323818</v>
      </c>
      <c r="J7" s="94">
        <f t="shared" si="3"/>
        <v>-281986</v>
      </c>
      <c r="K7" s="94">
        <f t="shared" si="3"/>
        <v>-2118252</v>
      </c>
      <c r="L7" s="94">
        <f t="shared" si="3"/>
        <v>-2416769</v>
      </c>
      <c r="M7" s="94" t="str">
        <f t="shared" si="3"/>
        <v/>
      </c>
      <c r="N7" s="94" t="str">
        <f t="shared" si="3"/>
        <v/>
      </c>
      <c r="O7" s="94" t="str">
        <f t="shared" si="3"/>
        <v/>
      </c>
      <c r="P7" s="94" t="str">
        <f t="shared" si="3"/>
        <v/>
      </c>
      <c r="Q7" s="94" t="str">
        <f t="shared" si="3"/>
        <v/>
      </c>
    </row>
    <row r="8" spans="1:17" ht="15.75" customHeight="1" x14ac:dyDescent="0.35">
      <c r="A8" s="26"/>
      <c r="B8" s="46" t="s">
        <v>76</v>
      </c>
      <c r="C8" s="88">
        <f>C6+C7</f>
        <v>1457983.8872462083</v>
      </c>
      <c r="D8" s="84"/>
      <c r="E8" s="120"/>
      <c r="F8" s="84"/>
      <c r="G8" s="97">
        <f>IF(G$4="","",G6+G7)</f>
        <v>1876773</v>
      </c>
      <c r="H8" s="97">
        <f t="shared" ref="H8:Q8" si="4">IF(H$4="","",H6+H7)</f>
        <v>1362882</v>
      </c>
      <c r="I8" s="97">
        <f t="shared" si="4"/>
        <v>1418716</v>
      </c>
      <c r="J8" s="97">
        <f t="shared" si="4"/>
        <v>937835</v>
      </c>
      <c r="K8" s="97">
        <f t="shared" si="4"/>
        <v>1204768</v>
      </c>
      <c r="L8" s="97">
        <f t="shared" si="4"/>
        <v>1617067</v>
      </c>
      <c r="M8" s="97" t="str">
        <f t="shared" si="4"/>
        <v/>
      </c>
      <c r="N8" s="97" t="str">
        <f t="shared" si="4"/>
        <v/>
      </c>
      <c r="O8" s="97" t="str">
        <f t="shared" si="4"/>
        <v/>
      </c>
      <c r="P8" s="97" t="str">
        <f t="shared" si="4"/>
        <v/>
      </c>
      <c r="Q8" s="97" t="str">
        <f t="shared" si="4"/>
        <v/>
      </c>
    </row>
    <row r="9" spans="1:17" ht="15.75" customHeight="1" x14ac:dyDescent="0.35">
      <c r="A9" s="26"/>
      <c r="B9" s="2" t="s">
        <v>195</v>
      </c>
      <c r="C9" s="94">
        <f>C59</f>
        <v>-30619</v>
      </c>
      <c r="E9" s="34"/>
      <c r="G9" s="94">
        <f>G59</f>
        <v>-30619</v>
      </c>
      <c r="H9" s="94">
        <f t="shared" ref="H9:Q9" si="5">H59</f>
        <v>12362</v>
      </c>
      <c r="I9" s="94">
        <f t="shared" si="5"/>
        <v>64247</v>
      </c>
      <c r="J9" s="94">
        <f t="shared" si="5"/>
        <v>34549</v>
      </c>
      <c r="K9" s="94">
        <f t="shared" si="5"/>
        <v>-63075</v>
      </c>
      <c r="L9" s="94">
        <f t="shared" si="5"/>
        <v>-34253</v>
      </c>
      <c r="M9" s="94" t="str">
        <f t="shared" si="5"/>
        <v/>
      </c>
      <c r="N9" s="94" t="str">
        <f t="shared" si="5"/>
        <v/>
      </c>
      <c r="O9" s="94" t="str">
        <f t="shared" si="5"/>
        <v/>
      </c>
      <c r="P9" s="94" t="str">
        <f t="shared" si="5"/>
        <v/>
      </c>
      <c r="Q9" s="94" t="str">
        <f t="shared" si="5"/>
        <v/>
      </c>
    </row>
    <row r="10" spans="1:17" ht="15.75" customHeight="1" x14ac:dyDescent="0.35">
      <c r="A10" s="26"/>
      <c r="B10" s="2" t="s">
        <v>187</v>
      </c>
      <c r="C10" s="94">
        <f>-(C8+C9)*C36</f>
        <v>-346869.76025000488</v>
      </c>
      <c r="E10" s="34"/>
      <c r="G10" s="94">
        <f>Data!C44</f>
        <v>-327166</v>
      </c>
      <c r="H10" s="94">
        <f>Data!D44</f>
        <v>-280664</v>
      </c>
      <c r="I10" s="94">
        <f>Data!E44</f>
        <v>-291296</v>
      </c>
      <c r="J10" s="94">
        <f>Data!F44</f>
        <v>-236303</v>
      </c>
      <c r="K10" s="94">
        <f>Data!G44</f>
        <v>0</v>
      </c>
      <c r="L10" s="94">
        <f>Data!H44</f>
        <v>0</v>
      </c>
      <c r="M10" s="94" t="str">
        <f>Data!I44</f>
        <v/>
      </c>
      <c r="N10" s="94" t="str">
        <f>Data!J44</f>
        <v/>
      </c>
      <c r="O10" s="94" t="str">
        <f>Data!K44</f>
        <v/>
      </c>
      <c r="P10" s="94" t="str">
        <f>Data!L44</f>
        <v/>
      </c>
      <c r="Q10" s="94" t="str">
        <f>Data!M44</f>
        <v/>
      </c>
    </row>
    <row r="11" spans="1:17" ht="15.75" customHeight="1" x14ac:dyDescent="0.35">
      <c r="A11" s="26"/>
      <c r="B11" s="61" t="s">
        <v>221</v>
      </c>
      <c r="C11" s="90">
        <f>SUM(C8:C10)</f>
        <v>1080495.1269962033</v>
      </c>
      <c r="D11" s="87"/>
      <c r="E11" s="121"/>
      <c r="F11" s="87"/>
      <c r="G11" s="97">
        <f>IF(G$4="","",SUM(G8:G10))</f>
        <v>1518988</v>
      </c>
      <c r="H11" s="97">
        <f>IF(H$4="","",SUM(H8:H10))</f>
        <v>1094580</v>
      </c>
      <c r="I11" s="97">
        <f>IF(I$4="","",SUM(I8:I10))</f>
        <v>1191667</v>
      </c>
      <c r="J11" s="97">
        <f>IF(J$4="","",SUM(J8:J10))</f>
        <v>736081</v>
      </c>
      <c r="K11" s="97">
        <f>IF(K$4="","",SUM(K8:K10))</f>
        <v>1141693</v>
      </c>
      <c r="L11" s="97">
        <f>IF(L$4="","",SUM(L8:L10))</f>
        <v>1582814</v>
      </c>
      <c r="M11" s="97" t="str">
        <f>IF(M$4="","",SUM(M8:M10))</f>
        <v/>
      </c>
      <c r="N11" s="97" t="str">
        <f>IF(N$4="","",SUM(N8:N10))</f>
        <v/>
      </c>
      <c r="O11" s="97" t="str">
        <f>IF(O$4="","",SUM(O8:O10))</f>
        <v/>
      </c>
      <c r="P11" s="97" t="str">
        <f>IF(P$4="","",SUM(P8:P10))</f>
        <v/>
      </c>
      <c r="Q11" s="97" t="str">
        <f>IF(Q$4="","",SUM(Q8:Q10))</f>
        <v/>
      </c>
    </row>
    <row r="12" spans="1:17" ht="15.75" customHeight="1" x14ac:dyDescent="0.35">
      <c r="A12" s="26"/>
      <c r="B12" s="44" t="s">
        <v>219</v>
      </c>
      <c r="C12" s="135">
        <f>MIN(G12:J12)</f>
        <v>190177</v>
      </c>
      <c r="D12" s="83"/>
      <c r="E12" s="102" t="s">
        <v>222</v>
      </c>
      <c r="F12" s="83"/>
      <c r="G12" s="82">
        <f>Data!C43</f>
        <v>248317</v>
      </c>
      <c r="H12" s="82">
        <f>Data!D43</f>
        <v>190177</v>
      </c>
      <c r="I12" s="82">
        <f>Data!E43</f>
        <v>200697</v>
      </c>
      <c r="J12" s="82">
        <f>Data!F43</f>
        <v>281254</v>
      </c>
      <c r="K12" s="82">
        <f>Data!G43</f>
        <v>-275378</v>
      </c>
      <c r="L12" s="82">
        <f>Data!H43</f>
        <v>-1582814</v>
      </c>
      <c r="M12" s="82" t="str">
        <f>Data!I43</f>
        <v/>
      </c>
      <c r="N12" s="82" t="str">
        <f>Data!J43</f>
        <v/>
      </c>
      <c r="O12" s="82" t="str">
        <f>Data!K43</f>
        <v/>
      </c>
      <c r="P12" s="82" t="str">
        <f>Data!L43</f>
        <v/>
      </c>
      <c r="Q12" s="82" t="str">
        <f>Data!M43</f>
        <v/>
      </c>
    </row>
    <row r="13" spans="1:17" ht="15.75" customHeight="1" x14ac:dyDescent="0.35">
      <c r="A13" s="26"/>
      <c r="B13" s="2" t="s">
        <v>191</v>
      </c>
      <c r="C13" s="94">
        <f>BS!$G$25*BS!C42</f>
        <v>463424</v>
      </c>
      <c r="E13" s="34"/>
      <c r="G13" s="113">
        <f>IF(Data!C49="","",-Data!C49)</f>
        <v>463424</v>
      </c>
      <c r="H13" s="113">
        <f>IF(Data!D49="","",-Data!D49)</f>
        <v>371724</v>
      </c>
      <c r="I13" s="113">
        <f>IF(Data!E49="","",-Data!E49)</f>
        <v>435672</v>
      </c>
      <c r="J13" s="113">
        <f>IF(Data!F49="","",-Data!F49)</f>
        <v>520888</v>
      </c>
      <c r="K13" s="113">
        <f>IF(Data!G49="","",-Data!G49)</f>
        <v>0</v>
      </c>
      <c r="L13" s="113">
        <f>IF(Data!H49="","",-Data!H49)</f>
        <v>0</v>
      </c>
      <c r="M13" s="113" t="str">
        <f>IF(Data!I49="","",-Data!I49)</f>
        <v/>
      </c>
      <c r="N13" s="113" t="str">
        <f>IF(Data!J49="","",-Data!J49)</f>
        <v/>
      </c>
      <c r="O13" s="113" t="str">
        <f>IF(Data!K49="","",-Data!K49)</f>
        <v/>
      </c>
      <c r="P13" s="113" t="str">
        <f>IF(Data!L49="","",-Data!L49)</f>
        <v/>
      </c>
      <c r="Q13" s="113" t="str">
        <f>IF(Data!M49="","",-Data!M49)</f>
        <v/>
      </c>
    </row>
    <row r="14" spans="1:17" ht="15.75" customHeight="1" x14ac:dyDescent="0.35">
      <c r="A14" s="26"/>
      <c r="B14" s="2" t="s">
        <v>229</v>
      </c>
      <c r="C14" s="94">
        <f>-C4*C30</f>
        <v>-463424.00000000006</v>
      </c>
      <c r="E14" s="34"/>
      <c r="G14" s="94">
        <f>Data!C50</f>
        <v>-676387</v>
      </c>
      <c r="H14" s="94">
        <f>Data!D50</f>
        <v>-107280</v>
      </c>
      <c r="I14" s="94">
        <f>Data!E50</f>
        <v>-455483</v>
      </c>
      <c r="J14" s="94">
        <f>Data!F50</f>
        <v>-138937</v>
      </c>
      <c r="K14" s="94">
        <f>Data!G50</f>
        <v>0</v>
      </c>
      <c r="L14" s="94">
        <f>Data!H50</f>
        <v>0</v>
      </c>
      <c r="M14" s="94" t="str">
        <f>Data!I50</f>
        <v/>
      </c>
      <c r="N14" s="94" t="str">
        <f>Data!J50</f>
        <v/>
      </c>
      <c r="O14" s="94" t="str">
        <f>Data!K50</f>
        <v/>
      </c>
      <c r="P14" s="94" t="str">
        <f>Data!L50</f>
        <v/>
      </c>
      <c r="Q14" s="94" t="str">
        <f>Data!M50</f>
        <v/>
      </c>
    </row>
    <row r="15" spans="1:17" ht="15.75" customHeight="1" x14ac:dyDescent="0.35">
      <c r="A15" s="26"/>
      <c r="B15" s="60" t="s">
        <v>95</v>
      </c>
      <c r="C15" s="94">
        <f>-C4*C32</f>
        <v>0</v>
      </c>
      <c r="D15" s="86"/>
      <c r="E15" s="101"/>
      <c r="F15" s="86"/>
      <c r="G15" s="82">
        <f>Data!C46</f>
        <v>0</v>
      </c>
      <c r="H15" s="82">
        <f>Data!D46</f>
        <v>0</v>
      </c>
      <c r="I15" s="82">
        <f>Data!E46</f>
        <v>0</v>
      </c>
      <c r="J15" s="82">
        <f>Data!F46</f>
        <v>-1799</v>
      </c>
      <c r="K15" s="82">
        <f>Data!G46</f>
        <v>-1337</v>
      </c>
      <c r="L15" s="82">
        <f>Data!H46</f>
        <v>-10908</v>
      </c>
      <c r="M15" s="82" t="str">
        <f>Data!I46</f>
        <v/>
      </c>
      <c r="N15" s="82" t="str">
        <f>Data!J46</f>
        <v/>
      </c>
      <c r="O15" s="82" t="str">
        <f>Data!K46</f>
        <v/>
      </c>
      <c r="P15" s="82" t="str">
        <f>Data!L46</f>
        <v/>
      </c>
      <c r="Q15" s="82" t="str">
        <f>Data!M46</f>
        <v/>
      </c>
    </row>
    <row r="16" spans="1:17" ht="15.75" customHeight="1" x14ac:dyDescent="0.35">
      <c r="A16" s="26"/>
      <c r="B16" s="50" t="s">
        <v>257</v>
      </c>
      <c r="C16" s="97">
        <f>SUM(C11:C15)</f>
        <v>1270672.1269962033</v>
      </c>
      <c r="D16" s="21"/>
      <c r="E16" s="21"/>
      <c r="F16" s="21"/>
      <c r="G16" s="97">
        <f>IF(G$4="","",SUM(G11:G15))</f>
        <v>1554342</v>
      </c>
      <c r="H16" s="97">
        <f t="shared" ref="H16:Q16" si="6">IF(H$4="","",SUM(H11:H15))</f>
        <v>1549201</v>
      </c>
      <c r="I16" s="97">
        <f t="shared" si="6"/>
        <v>1372553</v>
      </c>
      <c r="J16" s="97">
        <f t="shared" si="6"/>
        <v>1397487</v>
      </c>
      <c r="K16" s="97">
        <f t="shared" si="6"/>
        <v>864978</v>
      </c>
      <c r="L16" s="97">
        <f t="shared" si="6"/>
        <v>-10908</v>
      </c>
      <c r="M16" s="97" t="str">
        <f t="shared" si="6"/>
        <v/>
      </c>
      <c r="N16" s="97" t="str">
        <f t="shared" si="6"/>
        <v/>
      </c>
      <c r="O16" s="97" t="str">
        <f t="shared" si="6"/>
        <v/>
      </c>
      <c r="P16" s="97" t="str">
        <f t="shared" si="6"/>
        <v/>
      </c>
      <c r="Q16" s="97" t="str">
        <f t="shared" si="6"/>
        <v/>
      </c>
    </row>
    <row r="17" spans="1:17" ht="15.75" customHeight="1" x14ac:dyDescent="0.35">
      <c r="A17" s="26"/>
      <c r="B17" s="44" t="s">
        <v>107</v>
      </c>
      <c r="C17" s="94">
        <f>-C4*C31</f>
        <v>0</v>
      </c>
      <c r="D17" s="83"/>
      <c r="E17" s="102"/>
      <c r="F17" s="83"/>
      <c r="G17" s="94">
        <f>Data!C51</f>
        <v>-626583</v>
      </c>
      <c r="H17" s="94">
        <f>Data!D51</f>
        <v>-352099</v>
      </c>
      <c r="I17" s="94">
        <f>Data!E51</f>
        <v>-1045251</v>
      </c>
      <c r="J17" s="94">
        <f>Data!F51</f>
        <v>818677</v>
      </c>
      <c r="K17" s="94">
        <f>Data!G51</f>
        <v>0</v>
      </c>
      <c r="L17" s="94">
        <f>Data!H51</f>
        <v>0</v>
      </c>
      <c r="M17" s="94" t="str">
        <f>Data!I51</f>
        <v/>
      </c>
      <c r="N17" s="94" t="str">
        <f>Data!J51</f>
        <v/>
      </c>
      <c r="O17" s="94" t="str">
        <f>Data!K51</f>
        <v/>
      </c>
      <c r="P17" s="94" t="str">
        <f>Data!L51</f>
        <v/>
      </c>
      <c r="Q17" s="94" t="str">
        <f>Data!M51</f>
        <v/>
      </c>
    </row>
    <row r="18" spans="1:17" ht="15.75" customHeight="1" x14ac:dyDescent="0.35">
      <c r="A18" s="26"/>
      <c r="B18" s="50" t="s">
        <v>192</v>
      </c>
      <c r="C18" s="97">
        <f>C16+C17</f>
        <v>1270672.1269962033</v>
      </c>
      <c r="D18" s="44"/>
      <c r="E18" s="103"/>
      <c r="F18" s="44"/>
      <c r="G18" s="85">
        <f>IF(G$4="","",G16+G17)</f>
        <v>927759</v>
      </c>
      <c r="H18" s="85">
        <f t="shared" ref="H18:Q18" si="7">IF(H$4="","",H16+H17)</f>
        <v>1197102</v>
      </c>
      <c r="I18" s="85">
        <f t="shared" si="7"/>
        <v>327302</v>
      </c>
      <c r="J18" s="85">
        <f t="shared" si="7"/>
        <v>2216164</v>
      </c>
      <c r="K18" s="85">
        <f t="shared" si="7"/>
        <v>864978</v>
      </c>
      <c r="L18" s="85">
        <f t="shared" si="7"/>
        <v>-10908</v>
      </c>
      <c r="M18" s="85" t="str">
        <f t="shared" si="7"/>
        <v/>
      </c>
      <c r="N18" s="85" t="str">
        <f t="shared" si="7"/>
        <v/>
      </c>
      <c r="O18" s="85" t="str">
        <f t="shared" si="7"/>
        <v/>
      </c>
      <c r="P18" s="85" t="str">
        <f t="shared" si="7"/>
        <v/>
      </c>
      <c r="Q18" s="85" t="str">
        <f t="shared" si="7"/>
        <v/>
      </c>
    </row>
    <row r="19" spans="1:17" ht="15.75" customHeight="1" x14ac:dyDescent="0.35">
      <c r="A19" s="26"/>
      <c r="B19" s="44"/>
      <c r="C19" s="91"/>
      <c r="D19" s="44"/>
      <c r="E19" s="103"/>
      <c r="F19" s="44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</row>
    <row r="20" spans="1:17" ht="15.75" customHeight="1" x14ac:dyDescent="0.35">
      <c r="A20" s="26"/>
      <c r="B20" s="110" t="s">
        <v>93</v>
      </c>
      <c r="C20" s="91"/>
      <c r="D20" s="44"/>
      <c r="E20" s="103"/>
      <c r="F20" s="44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</row>
    <row r="21" spans="1:17" ht="15.75" customHeight="1" x14ac:dyDescent="0.35">
      <c r="A21" s="26"/>
      <c r="B21" s="2" t="s">
        <v>97</v>
      </c>
      <c r="C21" s="118">
        <f>ABS(C5/C$4)</f>
        <v>0.85916636172912864</v>
      </c>
      <c r="D21" s="44"/>
      <c r="E21" s="103"/>
      <c r="F21" s="44"/>
      <c r="G21" s="17">
        <f>IF(G$4="","",ABS(G5/G$4))</f>
        <v>0.86096272455849754</v>
      </c>
      <c r="H21" s="17">
        <f>IF(H$4="","",ABS(H5/H$4))</f>
        <v>0.85703537297697319</v>
      </c>
      <c r="I21" s="17">
        <f>IF(I$4="","",ABS(I5/I$4))</f>
        <v>0.85154513157189637</v>
      </c>
      <c r="J21" s="17">
        <f>IF(J$4="","",ABS(J5/J$4))</f>
        <v>0.86234342793721264</v>
      </c>
      <c r="K21" s="17">
        <f>IF(K$4="","",ABS(K5/K$4))</f>
        <v>0.70419372087965826</v>
      </c>
      <c r="L21" s="17">
        <f>IF(L$4="","",ABS(L5/L$4))</f>
        <v>0.74565961264792724</v>
      </c>
      <c r="M21" s="17" t="str">
        <f>IF(M$4="","",ABS(M5/M$4))</f>
        <v/>
      </c>
      <c r="N21" s="17" t="str">
        <f>IF(N$4="","",ABS(N5/N$4))</f>
        <v/>
      </c>
      <c r="O21" s="17" t="str">
        <f>IF(O$4="","",ABS(O5/O$4))</f>
        <v/>
      </c>
      <c r="P21" s="17" t="str">
        <f>IF(P$4="","",ABS(P5/P$4))</f>
        <v/>
      </c>
      <c r="Q21" s="17" t="str">
        <f>IF(Q$4="","",ABS(Q5/Q$4))</f>
        <v/>
      </c>
    </row>
    <row r="22" spans="1:17" ht="15.75" customHeight="1" x14ac:dyDescent="0.35">
      <c r="A22" s="26"/>
      <c r="B22" s="50" t="s">
        <v>99</v>
      </c>
      <c r="C22" s="119">
        <f>ABS(C6/C$4)</f>
        <v>0.14083363827087136</v>
      </c>
      <c r="D22" s="44"/>
      <c r="E22" s="103"/>
      <c r="F22" s="44"/>
      <c r="G22" s="96">
        <f>IF(G$4="","",ABS(G6/G$4))</f>
        <v>0.13903727544150246</v>
      </c>
      <c r="H22" s="96">
        <f>IF(H$4="","",ABS(H6/H$4))</f>
        <v>0.14296462702302684</v>
      </c>
      <c r="I22" s="96">
        <f>IF(I$4="","",ABS(I6/I$4))</f>
        <v>0.14845486842810363</v>
      </c>
      <c r="J22" s="96">
        <f>IF(J$4="","",ABS(J6/J$4))</f>
        <v>0.13765657206278739</v>
      </c>
      <c r="K22" s="96">
        <f>IF(K$4="","",ABS(K6/K$4))</f>
        <v>0.29580627912034169</v>
      </c>
      <c r="L22" s="96">
        <f>IF(L$4="","",ABS(L6/L$4))</f>
        <v>0.25434038735207271</v>
      </c>
      <c r="M22" s="96" t="str">
        <f>IF(M$4="","",ABS(M6/M$4))</f>
        <v/>
      </c>
      <c r="N22" s="96" t="str">
        <f>IF(N$4="","",ABS(N6/N$4))</f>
        <v/>
      </c>
      <c r="O22" s="96" t="str">
        <f>IF(O$4="","",ABS(O6/O$4))</f>
        <v/>
      </c>
      <c r="P22" s="96" t="str">
        <f>IF(P$4="","",ABS(P6/P$4))</f>
        <v/>
      </c>
      <c r="Q22" s="96" t="str">
        <f>IF(Q$4="","",ABS(Q6/Q$4))</f>
        <v/>
      </c>
    </row>
    <row r="23" spans="1:17" ht="15.75" customHeight="1" x14ac:dyDescent="0.35">
      <c r="A23" s="26"/>
      <c r="B23" s="20" t="s">
        <v>96</v>
      </c>
      <c r="C23" s="118">
        <f>ABS(C7/C$4)</f>
        <v>2.4189802738666985E-2</v>
      </c>
      <c r="D23" s="44"/>
      <c r="E23" s="103"/>
      <c r="F23" s="44"/>
      <c r="G23" s="17">
        <f>IF(G$4="","",ABS(G7/G$4))</f>
        <v>1.6580166386945237E-2</v>
      </c>
      <c r="H23" s="17">
        <f>IF(H$4="","",ABS(H7/H$4))</f>
        <v>2.9181044602016856E-2</v>
      </c>
      <c r="I23" s="17">
        <f>IF(I$4="","",ABS(I7/I$4))</f>
        <v>2.7587615842589962E-2</v>
      </c>
      <c r="J23" s="17">
        <f>IF(J$4="","",ABS(J7/J$4))</f>
        <v>3.1822067442433898E-2</v>
      </c>
      <c r="K23" s="17">
        <f>IF(K$4="","",ABS(K7/K$4))</f>
        <v>0.18856108069142588</v>
      </c>
      <c r="L23" s="17">
        <f>IF(L$4="","",ABS(L7/L$4))</f>
        <v>0.15238149582692045</v>
      </c>
      <c r="M23" s="17" t="str">
        <f>IF(M$4="","",ABS(M7/M$4))</f>
        <v/>
      </c>
      <c r="N23" s="17" t="str">
        <f>IF(N$4="","",ABS(N7/N$4))</f>
        <v/>
      </c>
      <c r="O23" s="17" t="str">
        <f>IF(O$4="","",ABS(O7/O$4))</f>
        <v/>
      </c>
      <c r="P23" s="17" t="str">
        <f>IF(P$4="","",ABS(P7/P$4))</f>
        <v/>
      </c>
      <c r="Q23" s="17" t="str">
        <f>IF(Q$4="","",ABS(Q7/Q$4))</f>
        <v/>
      </c>
    </row>
    <row r="24" spans="1:17" ht="15.75" customHeight="1" x14ac:dyDescent="0.35">
      <c r="A24" s="26"/>
      <c r="B24" s="46" t="s">
        <v>76</v>
      </c>
      <c r="C24" s="119">
        <f>ABS(C8/C$4)</f>
        <v>0.11664383553220437</v>
      </c>
      <c r="D24" s="44"/>
      <c r="E24" s="103"/>
      <c r="F24" s="44"/>
      <c r="G24" s="96">
        <f>IF(G$4="","",ABS(G8/G$4))</f>
        <v>0.12245710905455723</v>
      </c>
      <c r="H24" s="96">
        <f>IF(H$4="","",ABS(H8/H$4))</f>
        <v>0.11378358242100998</v>
      </c>
      <c r="I24" s="96">
        <f>IF(I$4="","",ABS(I8/I$4))</f>
        <v>0.12086725258551366</v>
      </c>
      <c r="J24" s="96">
        <f>IF(J$4="","",ABS(J8/J$4))</f>
        <v>0.10583450462035347</v>
      </c>
      <c r="K24" s="96">
        <f>IF(K$4="","",ABS(K8/K$4))</f>
        <v>0.10724519842891581</v>
      </c>
      <c r="L24" s="96">
        <f>IF(L$4="","",ABS(L8/L$4))</f>
        <v>0.10195889152515229</v>
      </c>
      <c r="M24" s="96" t="str">
        <f>IF(M$4="","",ABS(M8/M$4))</f>
        <v/>
      </c>
      <c r="N24" s="96" t="str">
        <f>IF(N$4="","",ABS(N8/N$4))</f>
        <v/>
      </c>
      <c r="O24" s="96" t="str">
        <f>IF(O$4="","",ABS(O8/O$4))</f>
        <v/>
      </c>
      <c r="P24" s="96" t="str">
        <f>IF(P$4="","",ABS(P8/P$4))</f>
        <v/>
      </c>
      <c r="Q24" s="96" t="str">
        <f>IF(Q$4="","",ABS(Q8/Q$4))</f>
        <v/>
      </c>
    </row>
    <row r="25" spans="1:17" ht="15.75" customHeight="1" x14ac:dyDescent="0.35">
      <c r="A25" s="26"/>
      <c r="B25" s="2" t="s">
        <v>195</v>
      </c>
      <c r="C25" s="118">
        <f>ABS(C9/C$4)</f>
        <v>2.4496276203067853E-3</v>
      </c>
      <c r="D25" s="44"/>
      <c r="E25" s="103"/>
      <c r="F25" s="44"/>
      <c r="G25" s="17">
        <f>IF(G$4="","",ABS(G9/G$4))</f>
        <v>1.9978517498607917E-3</v>
      </c>
      <c r="H25" s="17">
        <f>IF(H$4="","",ABS(H9/H$4))</f>
        <v>1.0320722160014773E-3</v>
      </c>
      <c r="I25" s="17">
        <f>IF(I$4="","",ABS(I9/I$4))</f>
        <v>5.4735115251124938E-3</v>
      </c>
      <c r="J25" s="17">
        <f>IF(J$4="","",ABS(J9/J$4))</f>
        <v>3.8988481983809435E-3</v>
      </c>
      <c r="K25" s="17">
        <f>IF(K$4="","",ABS(K9/K$4))</f>
        <v>5.6147664039083583E-3</v>
      </c>
      <c r="L25" s="17">
        <f>IF(L$4="","",ABS(L9/L$4))</f>
        <v>2.1597113239037349E-3</v>
      </c>
      <c r="M25" s="17" t="str">
        <f>IF(M$4="","",ABS(M9/M$4))</f>
        <v/>
      </c>
      <c r="N25" s="17" t="str">
        <f>IF(N$4="","",ABS(N9/N$4))</f>
        <v/>
      </c>
      <c r="O25" s="17" t="str">
        <f>IF(O$4="","",ABS(O9/O$4))</f>
        <v/>
      </c>
      <c r="P25" s="17" t="str">
        <f>IF(P$4="","",ABS(P9/P$4))</f>
        <v/>
      </c>
      <c r="Q25" s="17" t="str">
        <f>IF(Q$4="","",ABS(Q9/Q$4))</f>
        <v/>
      </c>
    </row>
    <row r="26" spans="1:17" ht="15.75" customHeight="1" x14ac:dyDescent="0.35">
      <c r="A26" s="26"/>
      <c r="B26" s="2" t="s">
        <v>187</v>
      </c>
      <c r="C26" s="118">
        <f>ABS(C10/C$4)</f>
        <v>2.7750800005147281E-2</v>
      </c>
      <c r="D26" s="44"/>
      <c r="E26" s="103"/>
      <c r="F26" s="44"/>
      <c r="G26" s="17">
        <f>IF(G$4="","",ABS(G10/G$4))</f>
        <v>2.134717546604905E-2</v>
      </c>
      <c r="H26" s="17">
        <f>IF(H$4="","",ABS(H10/H$4))</f>
        <v>2.3431929819757211E-2</v>
      </c>
      <c r="I26" s="17">
        <f>IF(I$4="","",ABS(I10/I$4))</f>
        <v>2.4816909944731565E-2</v>
      </c>
      <c r="J26" s="17">
        <f>IF(J$4="","",ABS(J10/J$4))</f>
        <v>2.6666749423196391E-2</v>
      </c>
      <c r="K26" s="17">
        <f>IF(K$4="","",ABS(K10/K$4))</f>
        <v>0</v>
      </c>
      <c r="L26" s="17">
        <f>IF(L$4="","",ABS(L10/L$4))</f>
        <v>0</v>
      </c>
      <c r="M26" s="17" t="str">
        <f>IF(M$4="","",ABS(M10/M$4))</f>
        <v/>
      </c>
      <c r="N26" s="17" t="str">
        <f>IF(N$4="","",ABS(N10/N$4))</f>
        <v/>
      </c>
      <c r="O26" s="17" t="str">
        <f>IF(O$4="","",ABS(O10/O$4))</f>
        <v/>
      </c>
      <c r="P26" s="17" t="str">
        <f>IF(P$4="","",ABS(P10/P$4))</f>
        <v/>
      </c>
      <c r="Q26" s="17" t="str">
        <f>IF(Q$4="","",ABS(Q10/Q$4))</f>
        <v/>
      </c>
    </row>
    <row r="27" spans="1:17" ht="15.75" customHeight="1" x14ac:dyDescent="0.35">
      <c r="A27" s="26"/>
      <c r="B27" s="61" t="s">
        <v>221</v>
      </c>
      <c r="C27" s="119">
        <f>ABS(C11/C$4)</f>
        <v>8.64434079067503E-2</v>
      </c>
      <c r="D27" s="44"/>
      <c r="E27" s="103"/>
      <c r="F27" s="44"/>
      <c r="G27" s="96">
        <f>IF(G$4="","",ABS(G11/G$4))</f>
        <v>9.9112081838647392E-2</v>
      </c>
      <c r="H27" s="96">
        <f>IF(H$4="","",ABS(H11/H$4))</f>
        <v>9.1383724817254264E-2</v>
      </c>
      <c r="I27" s="96">
        <f>IF(I$4="","",ABS(I11/I$4))</f>
        <v>0.10152385416589459</v>
      </c>
      <c r="J27" s="96">
        <f>IF(J$4="","",ABS(J11/J$4))</f>
        <v>8.3066603395538036E-2</v>
      </c>
      <c r="K27" s="96">
        <f>IF(K$4="","",ABS(K11/K$4))</f>
        <v>0.10163043202500745</v>
      </c>
      <c r="L27" s="96">
        <f>IF(L$4="","",ABS(L11/L$4))</f>
        <v>9.9799180201248547E-2</v>
      </c>
      <c r="M27" s="96" t="str">
        <f>IF(M$4="","",ABS(M11/M$4))</f>
        <v/>
      </c>
      <c r="N27" s="96" t="str">
        <f>IF(N$4="","",ABS(N11/N$4))</f>
        <v/>
      </c>
      <c r="O27" s="96" t="str">
        <f>IF(O$4="","",ABS(O11/O$4))</f>
        <v/>
      </c>
      <c r="P27" s="96" t="str">
        <f>IF(P$4="","",ABS(P11/P$4))</f>
        <v/>
      </c>
      <c r="Q27" s="96" t="str">
        <f>IF(Q$4="","",ABS(Q11/Q$4))</f>
        <v/>
      </c>
    </row>
    <row r="28" spans="1:17" ht="15.75" customHeight="1" x14ac:dyDescent="0.35">
      <c r="A28" s="26"/>
      <c r="B28" s="44" t="s">
        <v>219</v>
      </c>
      <c r="C28" s="118">
        <f>ABS(C12/C$4)</f>
        <v>1.5214828438129381E-2</v>
      </c>
      <c r="D28" s="44"/>
      <c r="E28" s="103"/>
      <c r="F28" s="44"/>
      <c r="G28" s="17">
        <f>IF(G$4="","",G12/G$4)</f>
        <v>1.6202376072705908E-2</v>
      </c>
      <c r="H28" s="17">
        <f>IF(H$4="","",H12/H$4)</f>
        <v>1.5877398303066895E-2</v>
      </c>
      <c r="I28" s="17">
        <f>IF(I$4="","",I12/I$4)</f>
        <v>1.7098344553916948E-2</v>
      </c>
      <c r="J28" s="17">
        <f>IF(J$4="","",J12/J$4)</f>
        <v>3.1739461379126283E-2</v>
      </c>
      <c r="K28" s="17">
        <f>IF(K$4="","",K12/K$4)</f>
        <v>-2.4513406940554511E-2</v>
      </c>
      <c r="L28" s="17">
        <f>IF(L$4="","",L12/L$4)</f>
        <v>-9.9799180201248547E-2</v>
      </c>
      <c r="M28" s="17" t="str">
        <f>IF(M$4="","",M12/M$4)</f>
        <v/>
      </c>
      <c r="N28" s="17" t="str">
        <f>IF(N$4="","",N12/N$4)</f>
        <v/>
      </c>
      <c r="O28" s="17" t="str">
        <f>IF(O$4="","",O12/O$4)</f>
        <v/>
      </c>
      <c r="P28" s="17" t="str">
        <f>IF(P$4="","",P12/P$4)</f>
        <v/>
      </c>
      <c r="Q28" s="17" t="str">
        <f>IF(Q$4="","",Q12/Q$4)</f>
        <v/>
      </c>
    </row>
    <row r="29" spans="1:17" ht="15.75" customHeight="1" x14ac:dyDescent="0.35">
      <c r="A29" s="26"/>
      <c r="B29" s="2" t="s">
        <v>191</v>
      </c>
      <c r="C29" s="118">
        <f>ABS(C13/C$4)</f>
        <v>3.7075548852446252E-2</v>
      </c>
      <c r="D29" s="44"/>
      <c r="E29" s="103"/>
      <c r="F29" s="44"/>
      <c r="G29" s="17">
        <f>IF(G$4="","",G13/G$4)</f>
        <v>3.0237840861147901E-2</v>
      </c>
      <c r="H29" s="17">
        <f>IF(H$4="","",H13/H$4)</f>
        <v>3.1034299661942499E-2</v>
      </c>
      <c r="I29" s="17">
        <f>IF(I$4="","",I13/I$4)</f>
        <v>3.7116997107550703E-2</v>
      </c>
      <c r="J29" s="17">
        <f>IF(J$4="","",J13/J$4)</f>
        <v>5.8782113530297636E-2</v>
      </c>
      <c r="K29" s="17">
        <f>IF(K$4="","",K13/K$4)</f>
        <v>0</v>
      </c>
      <c r="L29" s="17">
        <f>IF(L$4="","",L13/L$4)</f>
        <v>0</v>
      </c>
      <c r="M29" s="17" t="str">
        <f>IF(M$4="","",M13/M$4)</f>
        <v/>
      </c>
      <c r="N29" s="17" t="str">
        <f>IF(N$4="","",N13/N$4)</f>
        <v/>
      </c>
      <c r="O29" s="17" t="str">
        <f>IF(O$4="","",O13/O$4)</f>
        <v/>
      </c>
      <c r="P29" s="17" t="str">
        <f>IF(P$4="","",P13/P$4)</f>
        <v/>
      </c>
      <c r="Q29" s="17" t="str">
        <f>IF(Q$4="","",Q13/Q$4)</f>
        <v/>
      </c>
    </row>
    <row r="30" spans="1:17" ht="15.75" customHeight="1" x14ac:dyDescent="0.35">
      <c r="A30" s="26"/>
      <c r="B30" s="2" t="s">
        <v>229</v>
      </c>
      <c r="C30" s="136">
        <f>MAX(AVERAGE(G30:J30),C29)</f>
        <v>3.7075548852446252E-2</v>
      </c>
      <c r="D30" s="44"/>
      <c r="E30" s="100" t="s">
        <v>227</v>
      </c>
      <c r="F30" s="44"/>
      <c r="G30" s="17">
        <f>IF(G$4="","",-G14/G$4)</f>
        <v>4.413341231043115E-2</v>
      </c>
      <c r="H30" s="17">
        <f>IF(H$4="","",-H14/H$4)</f>
        <v>8.9565367523571013E-3</v>
      </c>
      <c r="I30" s="17">
        <f>IF(I$4="","",-I14/I$4)</f>
        <v>3.8804791663312119E-2</v>
      </c>
      <c r="J30" s="17">
        <f>IF(J$4="","",-J14/J$4)</f>
        <v>1.5679014505150749E-2</v>
      </c>
      <c r="K30" s="17">
        <f>IF(K$4="","",-K14/K$4)</f>
        <v>0</v>
      </c>
      <c r="L30" s="17">
        <f>IF(L$4="","",-L14/L$4)</f>
        <v>0</v>
      </c>
      <c r="M30" s="17" t="str">
        <f>IF(M$4="","",-M14/M$4)</f>
        <v/>
      </c>
      <c r="N30" s="17" t="str">
        <f>IF(N$4="","",-N14/N$4)</f>
        <v/>
      </c>
      <c r="O30" s="17" t="str">
        <f>IF(O$4="","",-O14/O$4)</f>
        <v/>
      </c>
      <c r="P30" s="17" t="str">
        <f>IF(P$4="","",-P14/P$4)</f>
        <v/>
      </c>
      <c r="Q30" s="17" t="str">
        <f>IF(Q$4="","",-Q14/Q$4)</f>
        <v/>
      </c>
    </row>
    <row r="31" spans="1:17" ht="15.75" customHeight="1" x14ac:dyDescent="0.35">
      <c r="A31" s="26"/>
      <c r="B31" s="44" t="s">
        <v>107</v>
      </c>
      <c r="C31" s="136">
        <f>MIN(AVERAGE(G31:J31)/2,0)</f>
        <v>0</v>
      </c>
      <c r="D31" s="44"/>
      <c r="E31" s="103" t="s">
        <v>226</v>
      </c>
      <c r="F31" s="44"/>
      <c r="G31" s="17">
        <f>IF(G$4="","",-G17/G$4)</f>
        <v>4.0883763120383568E-2</v>
      </c>
      <c r="H31" s="17">
        <f>IF(H$4="","",-H17/H$4)</f>
        <v>2.9395857885609465E-2</v>
      </c>
      <c r="I31" s="17">
        <f>IF(I$4="","",-I17/I$4)</f>
        <v>8.9049969572670459E-2</v>
      </c>
      <c r="J31" s="17">
        <f>IF(J$4="","",-J17/J$4)</f>
        <v>-9.2387546571707307E-2</v>
      </c>
      <c r="K31" s="17">
        <f>IF(K$4="","",-K17/K$4)</f>
        <v>0</v>
      </c>
      <c r="L31" s="17">
        <f>IF(L$4="","",-L17/L$4)</f>
        <v>0</v>
      </c>
      <c r="M31" s="17" t="str">
        <f>IF(M$4="","",-M17/M$4)</f>
        <v/>
      </c>
      <c r="N31" s="17" t="str">
        <f>IF(N$4="","",-N17/N$4)</f>
        <v/>
      </c>
      <c r="O31" s="17" t="str">
        <f>IF(O$4="","",-O17/O$4)</f>
        <v/>
      </c>
      <c r="P31" s="17" t="str">
        <f>IF(P$4="","",-P17/P$4)</f>
        <v/>
      </c>
      <c r="Q31" s="17" t="str">
        <f>IF(Q$4="","",-Q17/Q$4)</f>
        <v/>
      </c>
    </row>
    <row r="32" spans="1:17" ht="15.75" customHeight="1" x14ac:dyDescent="0.35">
      <c r="A32" s="26"/>
      <c r="B32" s="60" t="s">
        <v>95</v>
      </c>
      <c r="C32" s="136">
        <f>IF(BS!G29&lt;=0,0,BS!G29/BS!G30)</f>
        <v>0</v>
      </c>
      <c r="D32" s="44"/>
      <c r="E32" s="103"/>
      <c r="F32" s="44"/>
      <c r="G32" s="17">
        <f>IF(G$4="","",-G15/G$4)</f>
        <v>0</v>
      </c>
      <c r="H32" s="17">
        <f>IF(H$4="","",-H15/H$4)</f>
        <v>0</v>
      </c>
      <c r="I32" s="17">
        <f>IF(I$4="","",-I15/I$4)</f>
        <v>0</v>
      </c>
      <c r="J32" s="17">
        <f>IF(J$4="","",-J15/J$4)</f>
        <v>2.0301681405792693E-4</v>
      </c>
      <c r="K32" s="17">
        <f>IF(K$4="","",-K15/K$4)</f>
        <v>1.1901613447523543E-4</v>
      </c>
      <c r="L32" s="17">
        <f>IF(L$4="","",-L15/L$4)</f>
        <v>6.8776840338486973E-4</v>
      </c>
      <c r="M32" s="17" t="str">
        <f>IF(M$4="","",-M15/M$4)</f>
        <v/>
      </c>
      <c r="N32" s="17" t="str">
        <f>IF(N$4="","",-N15/N$4)</f>
        <v/>
      </c>
      <c r="O32" s="17" t="str">
        <f>IF(O$4="","",-O15/O$4)</f>
        <v/>
      </c>
      <c r="P32" s="17" t="str">
        <f>IF(P$4="","",-P15/P$4)</f>
        <v/>
      </c>
      <c r="Q32" s="17" t="str">
        <f>IF(Q$4="","",-Q15/Q$4)</f>
        <v/>
      </c>
    </row>
    <row r="33" spans="1:17" ht="15.75" customHeight="1" x14ac:dyDescent="0.35">
      <c r="A33" s="26"/>
      <c r="B33" s="50" t="s">
        <v>192</v>
      </c>
      <c r="C33" s="119">
        <f>ABS(C18/C$4)</f>
        <v>0.10165823634487968</v>
      </c>
      <c r="D33" s="116"/>
      <c r="E33" s="103"/>
      <c r="F33" s="116"/>
      <c r="G33" s="96">
        <f>IF(G$4="","",ABS(G18/G$4))</f>
        <v>6.0535123341686481E-2</v>
      </c>
      <c r="H33" s="96">
        <f>IF(H$4="","",ABS(H18/H$4))</f>
        <v>9.9943028144297091E-2</v>
      </c>
      <c r="I33" s="96">
        <f>IF(I$4="","",ABS(I18/I$4))</f>
        <v>2.7884434591379664E-2</v>
      </c>
      <c r="J33" s="96">
        <f>IF(J$4="","",ABS(J18/J$4))</f>
        <v>0.25009369355746058</v>
      </c>
      <c r="K33" s="96">
        <f>IF(K$4="","",ABS(K18/K$4))</f>
        <v>7.69980089499777E-2</v>
      </c>
      <c r="L33" s="96">
        <f>IF(L$4="","",ABS(L18/L$4))</f>
        <v>6.8776840338486973E-4</v>
      </c>
      <c r="M33" s="96" t="str">
        <f>IF(M$4="","",ABS(M18/M$4))</f>
        <v/>
      </c>
      <c r="N33" s="96" t="str">
        <f>IF(N$4="","",ABS(N18/N$4))</f>
        <v/>
      </c>
      <c r="O33" s="96" t="str">
        <f>IF(O$4="","",ABS(O18/O$4))</f>
        <v/>
      </c>
      <c r="P33" s="96" t="str">
        <f>IF(P$4="","",ABS(P18/P$4))</f>
        <v/>
      </c>
      <c r="Q33" s="96" t="str">
        <f>IF(Q$4="","",ABS(Q18/Q$4))</f>
        <v/>
      </c>
    </row>
    <row r="34" spans="1:17" ht="15.75" customHeight="1" x14ac:dyDescent="0.35">
      <c r="A34" s="26"/>
      <c r="B34" s="110" t="s">
        <v>212</v>
      </c>
      <c r="C34" s="91"/>
      <c r="D34" s="44"/>
      <c r="E34" s="103"/>
      <c r="F34" s="44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</row>
    <row r="35" spans="1:17" ht="15.75" customHeight="1" x14ac:dyDescent="0.35">
      <c r="A35" s="26"/>
      <c r="B35" s="156" t="s">
        <v>223</v>
      </c>
      <c r="C35" s="91"/>
      <c r="D35" s="44"/>
      <c r="E35" s="103"/>
      <c r="F35" s="44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</row>
    <row r="36" spans="1:17" ht="15.75" customHeight="1" x14ac:dyDescent="0.35">
      <c r="A36" s="26"/>
      <c r="B36" s="44" t="s">
        <v>213</v>
      </c>
      <c r="C36" s="92">
        <f>MAX(G36:J36)</f>
        <v>0.24301407674334419</v>
      </c>
      <c r="D36" s="44"/>
      <c r="E36" s="103" t="s">
        <v>211</v>
      </c>
      <c r="F36" s="44"/>
      <c r="G36" s="17">
        <f>IF(G$4="","",-G10/(G8+G9))</f>
        <v>0.17721490189875819</v>
      </c>
      <c r="H36" s="17">
        <f>IF(H$4="","",-H10/(H8+H9))</f>
        <v>0.20408305726111148</v>
      </c>
      <c r="I36" s="17">
        <f>IF(I$4="","",-I10/(I8+I9))</f>
        <v>0.19642836672256828</v>
      </c>
      <c r="J36" s="17">
        <f>IF(J$4="","",-J10/(J8+J9))</f>
        <v>0.24301407674334419</v>
      </c>
      <c r="K36" s="17">
        <f>IF(K$4="","",-K10/(K8+K9))</f>
        <v>0</v>
      </c>
      <c r="L36" s="17">
        <f>IF(L$4="","",-L10/(L8+L9))</f>
        <v>0</v>
      </c>
      <c r="M36" s="17" t="str">
        <f>IF(M$4="","",-M10/(M8+M9))</f>
        <v/>
      </c>
      <c r="N36" s="17" t="str">
        <f>IF(N$4="","",-N10/(N8+N9))</f>
        <v/>
      </c>
      <c r="O36" s="17" t="str">
        <f>IF(O$4="","",-O10/(O8+O9))</f>
        <v/>
      </c>
      <c r="P36" s="17" t="str">
        <f>IF(P$4="","",-P10/(P8+P9))</f>
        <v/>
      </c>
      <c r="Q36" s="17" t="str">
        <f>IF(Q$4="","",-Q10/(Q8+Q9))</f>
        <v/>
      </c>
    </row>
    <row r="37" spans="1:17" ht="15.75" customHeight="1" x14ac:dyDescent="0.35">
      <c r="A37" s="26"/>
      <c r="B37" s="44" t="s">
        <v>258</v>
      </c>
      <c r="C37" s="118">
        <f>C18*$C$3/(Market_Price*Common_Shares)</f>
        <v>0.15660570294536932</v>
      </c>
      <c r="D37" s="44"/>
      <c r="E37" s="103"/>
      <c r="F37" s="44"/>
      <c r="G37" s="118">
        <f>IF(G$4="","",G18*$C$3/(Market_Price*Common_Shares))</f>
        <v>0.11434291133965122</v>
      </c>
      <c r="H37" s="118">
        <f>IF(H$4="","",H18*$C$3/(Market_Price*Common_Shares))</f>
        <v>0.14753845325188886</v>
      </c>
      <c r="I37" s="118">
        <f>IF(I$4="","",I18*$C$3/(Market_Price*Common_Shares))</f>
        <v>4.0338777168737266E-2</v>
      </c>
      <c r="J37" s="118">
        <f>IF(J$4="","",J18*$C$3/(Market_Price*Common_Shares))</f>
        <v>0.27313412617514549</v>
      </c>
      <c r="K37" s="118">
        <f>IF(K$4="","",K18*$C$3/(Market_Price*Common_Shares))</f>
        <v>0.10660538217872187</v>
      </c>
      <c r="L37" s="118">
        <f>IF(L$4="","",L18*$C$3/(Market_Price*Common_Shares))</f>
        <v>-1.3443711964992151E-3</v>
      </c>
      <c r="M37" s="118" t="str">
        <f>IF(M$4="","",M18*$C$3/(Market_Price*Common_Shares))</f>
        <v/>
      </c>
      <c r="N37" s="118" t="str">
        <f>IF(N$4="","",N18*$C$3/(Market_Price*Common_Shares))</f>
        <v/>
      </c>
      <c r="O37" s="118" t="str">
        <f>IF(O$4="","",O18*$C$3/(Market_Price*Common_Shares))</f>
        <v/>
      </c>
      <c r="P37" s="118" t="str">
        <f>IF(P$4="","",P18*$C$3/(Market_Price*Common_Shares))</f>
        <v/>
      </c>
      <c r="Q37" s="118" t="str">
        <f>IF(Q$4="","",Q18*$C$3/(Market_Price*Common_Shares))</f>
        <v/>
      </c>
    </row>
    <row r="38" spans="1:17" ht="15.75" customHeight="1" x14ac:dyDescent="0.35">
      <c r="A38" s="26"/>
      <c r="B38" s="44"/>
      <c r="C38" s="91"/>
      <c r="D38" s="44"/>
      <c r="E38" s="103"/>
      <c r="F38" s="44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</row>
    <row r="39" spans="1:17" ht="15.75" customHeight="1" x14ac:dyDescent="0.5">
      <c r="A39" s="26"/>
      <c r="B39" s="78" t="s">
        <v>193</v>
      </c>
      <c r="C39" s="78"/>
      <c r="D39" s="80"/>
      <c r="E39" s="98" t="s">
        <v>182</v>
      </c>
      <c r="F39" s="80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</row>
    <row r="40" spans="1:17" ht="15.75" customHeight="1" x14ac:dyDescent="0.35">
      <c r="A40" s="26"/>
      <c r="B40" s="95" t="s">
        <v>186</v>
      </c>
      <c r="C40" s="91"/>
      <c r="D40" s="44"/>
      <c r="E40" s="103"/>
      <c r="F40" s="44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</row>
    <row r="41" spans="1:17" ht="15.75" customHeight="1" x14ac:dyDescent="0.35">
      <c r="A41" s="26"/>
      <c r="B41" s="44" t="s">
        <v>94</v>
      </c>
      <c r="C41" s="115">
        <f>-C4*C49</f>
        <v>-9031319.1044627018</v>
      </c>
      <c r="D41" s="83"/>
      <c r="E41" s="102"/>
      <c r="F41" s="83"/>
      <c r="G41" s="82">
        <f>Data!C33</f>
        <v>-11151623</v>
      </c>
      <c r="H41" s="82">
        <f>Data!D33</f>
        <v>-8747447</v>
      </c>
      <c r="I41" s="82">
        <f>Data!E33</f>
        <v>-8503976</v>
      </c>
      <c r="J41" s="82">
        <f>Data!F33</f>
        <v>-6229020</v>
      </c>
      <c r="K41" s="82">
        <f>Data!G33</f>
        <v>-7910751</v>
      </c>
      <c r="L41" s="82">
        <f>Data!H33</f>
        <v>-11826154</v>
      </c>
      <c r="M41" s="82" t="str">
        <f>Data!I33</f>
        <v/>
      </c>
      <c r="N41" s="82" t="str">
        <f>Data!J33</f>
        <v/>
      </c>
      <c r="O41" s="82" t="str">
        <f>Data!K33</f>
        <v/>
      </c>
      <c r="P41" s="82" t="str">
        <f>Data!L33</f>
        <v/>
      </c>
      <c r="Q41" s="82" t="str">
        <f>Data!M33</f>
        <v/>
      </c>
    </row>
    <row r="42" spans="1:17" ht="15.75" customHeight="1" x14ac:dyDescent="0.4">
      <c r="A42" s="26"/>
      <c r="B42" s="104" t="s">
        <v>185</v>
      </c>
      <c r="C42" s="94">
        <f>-C4*C50</f>
        <v>-1707788.5916244236</v>
      </c>
      <c r="D42" s="44"/>
      <c r="E42" s="103"/>
      <c r="F42" s="44"/>
      <c r="G42" s="82">
        <f>Data!C36</f>
        <v>-2043459</v>
      </c>
      <c r="H42" s="82">
        <f>Data!D36</f>
        <v>-1517989</v>
      </c>
      <c r="I42" s="82">
        <f>Data!E36</f>
        <v>-1491293</v>
      </c>
      <c r="J42" s="82">
        <f>Data!F36</f>
        <v>-1412494</v>
      </c>
      <c r="K42" s="82">
        <f>Data!G36</f>
        <v>0</v>
      </c>
      <c r="L42" s="82">
        <f>Data!H36</f>
        <v>0</v>
      </c>
      <c r="M42" s="82" t="str">
        <f>Data!I36</f>
        <v/>
      </c>
      <c r="N42" s="82" t="str">
        <f>Data!J36</f>
        <v/>
      </c>
      <c r="O42" s="82" t="str">
        <f>Data!K36</f>
        <v/>
      </c>
      <c r="P42" s="82" t="str">
        <f>Data!L36</f>
        <v/>
      </c>
      <c r="Q42" s="82" t="str">
        <f>Data!M36</f>
        <v/>
      </c>
    </row>
    <row r="43" spans="1:17" ht="15.75" customHeight="1" x14ac:dyDescent="0.35">
      <c r="A43" s="26"/>
      <c r="B43" s="108" t="s">
        <v>97</v>
      </c>
      <c r="C43" s="97">
        <f>C41+C42</f>
        <v>-10739107.696087126</v>
      </c>
      <c r="D43" s="21"/>
      <c r="E43" s="99"/>
      <c r="F43" s="21"/>
      <c r="G43" s="97">
        <f>IF(G$4="","",G41+G42)</f>
        <v>-13195082</v>
      </c>
      <c r="H43" s="97">
        <f t="shared" ref="H43:Q43" si="8">IF(H$4="","",H41+H42)</f>
        <v>-10265436</v>
      </c>
      <c r="I43" s="97">
        <f t="shared" si="8"/>
        <v>-9995269</v>
      </c>
      <c r="J43" s="97">
        <f t="shared" si="8"/>
        <v>-7641514</v>
      </c>
      <c r="K43" s="97">
        <f t="shared" si="8"/>
        <v>-7910751</v>
      </c>
      <c r="L43" s="97">
        <f t="shared" si="8"/>
        <v>-11826154</v>
      </c>
      <c r="M43" s="97" t="str">
        <f t="shared" si="8"/>
        <v/>
      </c>
      <c r="N43" s="97" t="str">
        <f t="shared" si="8"/>
        <v/>
      </c>
      <c r="O43" s="97" t="str">
        <f t="shared" si="8"/>
        <v/>
      </c>
      <c r="P43" s="97" t="str">
        <f t="shared" si="8"/>
        <v/>
      </c>
      <c r="Q43" s="97" t="str">
        <f t="shared" si="8"/>
        <v/>
      </c>
    </row>
    <row r="44" spans="1:17" ht="15.75" customHeight="1" x14ac:dyDescent="0.35">
      <c r="A44" s="26"/>
      <c r="B44" s="20" t="s">
        <v>189</v>
      </c>
      <c r="C44" s="114">
        <f>AVERAGE(G44:J44)</f>
        <v>-302359.25</v>
      </c>
      <c r="E44" s="100" t="s">
        <v>228</v>
      </c>
      <c r="G44" s="94">
        <f>Data!C37</f>
        <v>-254107</v>
      </c>
      <c r="H44" s="94">
        <f>Data!D37</f>
        <v>-349526</v>
      </c>
      <c r="I44" s="94">
        <f>Data!E37</f>
        <v>-323818</v>
      </c>
      <c r="J44" s="94">
        <f>Data!F37</f>
        <v>-281986</v>
      </c>
      <c r="K44" s="94">
        <f>Data!G37</f>
        <v>-2118252</v>
      </c>
      <c r="L44" s="94">
        <f>Data!H37</f>
        <v>-2416769</v>
      </c>
      <c r="M44" s="94" t="str">
        <f>Data!I37</f>
        <v/>
      </c>
      <c r="N44" s="94" t="str">
        <f>Data!J37</f>
        <v/>
      </c>
      <c r="O44" s="94" t="str">
        <f>Data!K37</f>
        <v/>
      </c>
      <c r="P44" s="94" t="str">
        <f>Data!L37</f>
        <v/>
      </c>
      <c r="Q44" s="94" t="str">
        <f>Data!M37</f>
        <v/>
      </c>
    </row>
    <row r="45" spans="1:17" ht="15.75" customHeight="1" x14ac:dyDescent="0.35">
      <c r="A45" s="26"/>
      <c r="B45" s="44" t="s">
        <v>37</v>
      </c>
      <c r="C45" s="114">
        <f>AVERAGE(G45:J45)</f>
        <v>0</v>
      </c>
      <c r="D45" s="83"/>
      <c r="E45" s="100" t="s">
        <v>228</v>
      </c>
      <c r="F45" s="83"/>
      <c r="G45" s="82">
        <f>Data!C38</f>
        <v>0</v>
      </c>
      <c r="H45" s="82">
        <f>Data!D38</f>
        <v>0</v>
      </c>
      <c r="I45" s="82">
        <f>Data!E38</f>
        <v>0</v>
      </c>
      <c r="J45" s="82">
        <f>Data!F38</f>
        <v>0</v>
      </c>
      <c r="K45" s="82">
        <f>Data!G38</f>
        <v>0</v>
      </c>
      <c r="L45" s="82">
        <f>Data!H38</f>
        <v>0</v>
      </c>
      <c r="M45" s="82" t="str">
        <f>Data!I38</f>
        <v/>
      </c>
      <c r="N45" s="82" t="str">
        <f>Data!J38</f>
        <v/>
      </c>
      <c r="O45" s="82" t="str">
        <f>Data!K38</f>
        <v/>
      </c>
      <c r="P45" s="82" t="str">
        <f>Data!L38</f>
        <v/>
      </c>
      <c r="Q45" s="82" t="str">
        <f>Data!M38</f>
        <v/>
      </c>
    </row>
    <row r="46" spans="1:17" ht="15.75" customHeight="1" x14ac:dyDescent="0.35">
      <c r="A46" s="26"/>
      <c r="B46" s="108" t="s">
        <v>96</v>
      </c>
      <c r="C46" s="97">
        <f>C44+C45</f>
        <v>-302359.25</v>
      </c>
      <c r="D46" s="83"/>
      <c r="E46" s="102"/>
      <c r="F46" s="83"/>
      <c r="G46" s="97">
        <f>IF(G4="","",G44+G45)</f>
        <v>-254107</v>
      </c>
      <c r="H46" s="97">
        <f>IF(H4="","",H44+H45)</f>
        <v>-349526</v>
      </c>
      <c r="I46" s="97">
        <f>IF(I4="","",I44+I45)</f>
        <v>-323818</v>
      </c>
      <c r="J46" s="97">
        <f>IF(J4="","",J44+J45)</f>
        <v>-281986</v>
      </c>
      <c r="K46" s="97">
        <f>IF(K4="","",K44+K45)</f>
        <v>-2118252</v>
      </c>
      <c r="L46" s="97">
        <f>IF(L4="","",L44+L45)</f>
        <v>-2416769</v>
      </c>
      <c r="M46" s="97" t="str">
        <f>IF(M4="","",M44+M45)</f>
        <v/>
      </c>
      <c r="N46" s="97" t="str">
        <f>IF(N4="","",N44+N45)</f>
        <v/>
      </c>
      <c r="O46" s="97" t="str">
        <f>IF(O4="","",O44+O45)</f>
        <v/>
      </c>
      <c r="P46" s="97" t="str">
        <f>IF(P4="","",P44+P45)</f>
        <v/>
      </c>
      <c r="Q46" s="97" t="str">
        <f>IF(Q4="","",Q44+Q45)</f>
        <v/>
      </c>
    </row>
    <row r="47" spans="1:17" ht="15.75" customHeight="1" x14ac:dyDescent="0.35">
      <c r="A47" s="26"/>
    </row>
    <row r="48" spans="1:17" ht="15.75" customHeight="1" x14ac:dyDescent="0.35">
      <c r="A48" s="26"/>
      <c r="B48" s="110" t="s">
        <v>190</v>
      </c>
    </row>
    <row r="49" spans="1:17" ht="15.75" customHeight="1" x14ac:dyDescent="0.35">
      <c r="A49" s="26"/>
      <c r="B49" s="43" t="s">
        <v>94</v>
      </c>
      <c r="C49" s="92">
        <f>AVERAGE(G49:L49)</f>
        <v>0.72253727182782512</v>
      </c>
      <c r="D49" s="43"/>
      <c r="E49" s="100" t="s">
        <v>228</v>
      </c>
      <c r="F49" s="43"/>
      <c r="G49" s="29">
        <f>IF(G$4="","",ABS(G41/G$4))</f>
        <v>0.72762956087193742</v>
      </c>
      <c r="H49" s="29">
        <f t="shared" ref="H49:Q49" si="9">IF(H$4="","",ABS(H41/H$4))</f>
        <v>0.7303022981431383</v>
      </c>
      <c r="I49" s="29">
        <f t="shared" si="9"/>
        <v>0.7244946946204498</v>
      </c>
      <c r="J49" s="29">
        <f t="shared" si="9"/>
        <v>0.70294374380383995</v>
      </c>
      <c r="K49" s="29">
        <f t="shared" si="9"/>
        <v>0.70419372087965826</v>
      </c>
      <c r="L49" s="29">
        <f t="shared" si="9"/>
        <v>0.74565961264792724</v>
      </c>
      <c r="M49" s="29" t="str">
        <f t="shared" si="9"/>
        <v/>
      </c>
      <c r="N49" s="29" t="str">
        <f t="shared" si="9"/>
        <v/>
      </c>
      <c r="O49" s="29" t="str">
        <f t="shared" si="9"/>
        <v/>
      </c>
      <c r="P49" s="29" t="str">
        <f t="shared" si="9"/>
        <v/>
      </c>
      <c r="Q49" s="29" t="str">
        <f t="shared" si="9"/>
        <v/>
      </c>
    </row>
    <row r="50" spans="1:17" ht="15.75" customHeight="1" x14ac:dyDescent="0.4">
      <c r="A50" s="26"/>
      <c r="B50" s="104" t="str">
        <f>B42</f>
        <v>Selling Expenses</v>
      </c>
      <c r="C50" s="92">
        <f>AVERAGE(G50:J50)</f>
        <v>0.13662908990130354</v>
      </c>
      <c r="D50" s="43"/>
      <c r="E50" s="100" t="s">
        <v>228</v>
      </c>
      <c r="F50" s="43"/>
      <c r="G50" s="29">
        <f t="shared" ref="G50:G54" si="10">IF(G$4="","",ABS(G42/G$4))</f>
        <v>0.13333316368656009</v>
      </c>
      <c r="H50" s="29">
        <f t="shared" ref="H50:Q50" si="11">IF(H$4="","",ABS(H42/H$4))</f>
        <v>0.12673307483383486</v>
      </c>
      <c r="I50" s="29">
        <f t="shared" si="11"/>
        <v>0.12705043695144655</v>
      </c>
      <c r="J50" s="29">
        <f t="shared" si="11"/>
        <v>0.15939968413337269</v>
      </c>
      <c r="K50" s="29">
        <f t="shared" si="11"/>
        <v>0</v>
      </c>
      <c r="L50" s="29">
        <f t="shared" si="11"/>
        <v>0</v>
      </c>
      <c r="M50" s="29" t="str">
        <f t="shared" si="11"/>
        <v/>
      </c>
      <c r="N50" s="29" t="str">
        <f t="shared" si="11"/>
        <v/>
      </c>
      <c r="O50" s="29" t="str">
        <f t="shared" si="11"/>
        <v/>
      </c>
      <c r="P50" s="29" t="str">
        <f t="shared" si="11"/>
        <v/>
      </c>
      <c r="Q50" s="29" t="str">
        <f t="shared" si="11"/>
        <v/>
      </c>
    </row>
    <row r="51" spans="1:17" ht="15.75" customHeight="1" x14ac:dyDescent="0.35">
      <c r="A51" s="26"/>
      <c r="B51" s="108" t="s">
        <v>97</v>
      </c>
      <c r="C51" s="109">
        <f>ABS(C43/$C$4)</f>
        <v>0.85916636172912864</v>
      </c>
      <c r="G51" s="47">
        <f t="shared" si="10"/>
        <v>0.86096272455849754</v>
      </c>
      <c r="H51" s="47">
        <f t="shared" ref="H51:Q51" si="12">IF(H$4="","",ABS(H43/H$4))</f>
        <v>0.85703537297697319</v>
      </c>
      <c r="I51" s="47">
        <f t="shared" si="12"/>
        <v>0.85154513157189637</v>
      </c>
      <c r="J51" s="47">
        <f t="shared" si="12"/>
        <v>0.86234342793721264</v>
      </c>
      <c r="K51" s="47">
        <f t="shared" si="12"/>
        <v>0.70419372087965826</v>
      </c>
      <c r="L51" s="47">
        <f t="shared" si="12"/>
        <v>0.74565961264792724</v>
      </c>
      <c r="M51" s="47" t="str">
        <f t="shared" si="12"/>
        <v/>
      </c>
      <c r="N51" s="47" t="str">
        <f t="shared" si="12"/>
        <v/>
      </c>
      <c r="O51" s="47" t="str">
        <f t="shared" si="12"/>
        <v/>
      </c>
      <c r="P51" s="47" t="str">
        <f t="shared" si="12"/>
        <v/>
      </c>
      <c r="Q51" s="47" t="str">
        <f t="shared" si="12"/>
        <v/>
      </c>
    </row>
    <row r="52" spans="1:17" ht="15.75" customHeight="1" x14ac:dyDescent="0.35">
      <c r="A52" s="26"/>
      <c r="B52" s="2" t="str">
        <f>B44</f>
        <v>Other Opex (Fixed Overhead)</v>
      </c>
      <c r="C52" s="40">
        <f t="shared" ref="C52:C54" si="13">ABS(C44/$C$4)</f>
        <v>2.4189802738666985E-2</v>
      </c>
      <c r="D52" s="44"/>
      <c r="E52" s="44"/>
      <c r="F52" s="44"/>
      <c r="G52" s="29">
        <f t="shared" si="10"/>
        <v>1.6580166386945237E-2</v>
      </c>
      <c r="H52" s="29">
        <f t="shared" ref="H52:Q52" si="14">IF(H$4="","",ABS(H44/H$4))</f>
        <v>2.9181044602016856E-2</v>
      </c>
      <c r="I52" s="29">
        <f t="shared" si="14"/>
        <v>2.7587615842589962E-2</v>
      </c>
      <c r="J52" s="29">
        <f t="shared" si="14"/>
        <v>3.1822067442433898E-2</v>
      </c>
      <c r="K52" s="29">
        <f t="shared" si="14"/>
        <v>0.18856108069142588</v>
      </c>
      <c r="L52" s="29">
        <f t="shared" si="14"/>
        <v>0.15238149582692045</v>
      </c>
      <c r="M52" s="29" t="str">
        <f t="shared" si="14"/>
        <v/>
      </c>
      <c r="N52" s="29" t="str">
        <f t="shared" si="14"/>
        <v/>
      </c>
      <c r="O52" s="29" t="str">
        <f t="shared" si="14"/>
        <v/>
      </c>
      <c r="P52" s="29" t="str">
        <f t="shared" si="14"/>
        <v/>
      </c>
      <c r="Q52" s="29" t="str">
        <f t="shared" si="14"/>
        <v/>
      </c>
    </row>
    <row r="53" spans="1:17" ht="15.75" customHeight="1" x14ac:dyDescent="0.35">
      <c r="A53" s="26"/>
      <c r="B53" s="44" t="str">
        <f>B45</f>
        <v>- R&amp;D</v>
      </c>
      <c r="C53" s="40">
        <f t="shared" si="13"/>
        <v>0</v>
      </c>
      <c r="D53" s="44"/>
      <c r="E53" s="44"/>
      <c r="F53" s="44"/>
      <c r="G53" s="29">
        <f t="shared" si="10"/>
        <v>0</v>
      </c>
      <c r="H53" s="29">
        <f t="shared" ref="H53:Q53" si="15">IF(H$4="","",ABS(H45/H$4))</f>
        <v>0</v>
      </c>
      <c r="I53" s="29">
        <f t="shared" si="15"/>
        <v>0</v>
      </c>
      <c r="J53" s="29">
        <f t="shared" si="15"/>
        <v>0</v>
      </c>
      <c r="K53" s="29">
        <f t="shared" si="15"/>
        <v>0</v>
      </c>
      <c r="L53" s="29">
        <f t="shared" si="15"/>
        <v>0</v>
      </c>
      <c r="M53" s="29" t="str">
        <f t="shared" si="15"/>
        <v/>
      </c>
      <c r="N53" s="29" t="str">
        <f t="shared" si="15"/>
        <v/>
      </c>
      <c r="O53" s="29" t="str">
        <f t="shared" si="15"/>
        <v/>
      </c>
      <c r="P53" s="29" t="str">
        <f t="shared" si="15"/>
        <v/>
      </c>
      <c r="Q53" s="29" t="str">
        <f t="shared" si="15"/>
        <v/>
      </c>
    </row>
    <row r="54" spans="1:17" ht="15.75" customHeight="1" x14ac:dyDescent="0.35">
      <c r="A54" s="26"/>
      <c r="B54" s="108" t="s">
        <v>96</v>
      </c>
      <c r="C54" s="109">
        <f t="shared" si="13"/>
        <v>2.4189802738666985E-2</v>
      </c>
      <c r="G54" s="47">
        <f t="shared" si="10"/>
        <v>1.6580166386945237E-2</v>
      </c>
      <c r="H54" s="47">
        <f t="shared" ref="H54:Q54" si="16">IF(H$4="","",ABS(H46/H$4))</f>
        <v>2.9181044602016856E-2</v>
      </c>
      <c r="I54" s="47">
        <f t="shared" si="16"/>
        <v>2.7587615842589962E-2</v>
      </c>
      <c r="J54" s="47">
        <f t="shared" si="16"/>
        <v>3.1822067442433898E-2</v>
      </c>
      <c r="K54" s="47">
        <f t="shared" si="16"/>
        <v>0.18856108069142588</v>
      </c>
      <c r="L54" s="47">
        <f t="shared" si="16"/>
        <v>0.15238149582692045</v>
      </c>
      <c r="M54" s="47" t="str">
        <f t="shared" si="16"/>
        <v/>
      </c>
      <c r="N54" s="47" t="str">
        <f t="shared" si="16"/>
        <v/>
      </c>
      <c r="O54" s="47" t="str">
        <f t="shared" si="16"/>
        <v/>
      </c>
      <c r="P54" s="47" t="str">
        <f t="shared" si="16"/>
        <v/>
      </c>
      <c r="Q54" s="47" t="str">
        <f t="shared" si="16"/>
        <v/>
      </c>
    </row>
    <row r="55" spans="1:17" ht="15.75" customHeight="1" x14ac:dyDescent="0.35">
      <c r="A55" s="26"/>
    </row>
    <row r="56" spans="1:17" ht="15.75" customHeight="1" x14ac:dyDescent="0.35">
      <c r="A56" s="26"/>
      <c r="B56" s="95" t="s">
        <v>183</v>
      </c>
    </row>
    <row r="57" spans="1:17" ht="15.75" customHeight="1" x14ac:dyDescent="0.35">
      <c r="A57" s="26"/>
      <c r="B57" s="2" t="s">
        <v>81</v>
      </c>
      <c r="C57" s="94">
        <f>-BS!G27*BS!C40</f>
        <v>-59596</v>
      </c>
      <c r="G57" s="94">
        <f>Data!C41</f>
        <v>-59596</v>
      </c>
      <c r="H57" s="94">
        <f>Data!D41</f>
        <v>-20763</v>
      </c>
      <c r="I57" s="94">
        <f>Data!E41</f>
        <v>-23097</v>
      </c>
      <c r="J57" s="94">
        <f>Data!F41</f>
        <v>-28849</v>
      </c>
      <c r="K57" s="94">
        <f>Data!G41</f>
        <v>-63075</v>
      </c>
      <c r="L57" s="94">
        <f>Data!H41</f>
        <v>-34253</v>
      </c>
      <c r="M57" s="94" t="str">
        <f>Data!I41</f>
        <v/>
      </c>
      <c r="N57" s="94" t="str">
        <f>Data!J41</f>
        <v/>
      </c>
      <c r="O57" s="94" t="str">
        <f>Data!K41</f>
        <v/>
      </c>
      <c r="P57" s="94" t="str">
        <f>Data!L41</f>
        <v/>
      </c>
      <c r="Q57" s="94" t="str">
        <f>Data!M41</f>
        <v/>
      </c>
    </row>
    <row r="58" spans="1:17" ht="15.75" customHeight="1" x14ac:dyDescent="0.35">
      <c r="A58" s="26"/>
      <c r="B58" s="2" t="s">
        <v>194</v>
      </c>
      <c r="C58" s="94">
        <f>BS!$G$24*BS!C41</f>
        <v>28977</v>
      </c>
      <c r="G58" s="94">
        <f>Data!C42</f>
        <v>28977</v>
      </c>
      <c r="H58" s="94">
        <f>Data!D42</f>
        <v>33125</v>
      </c>
      <c r="I58" s="94">
        <f>Data!E42</f>
        <v>87344</v>
      </c>
      <c r="J58" s="94">
        <f>Data!F42</f>
        <v>63398</v>
      </c>
      <c r="K58" s="94">
        <f>Data!G42</f>
        <v>0</v>
      </c>
      <c r="L58" s="94">
        <f>Data!H42</f>
        <v>0</v>
      </c>
      <c r="M58" s="94" t="str">
        <f>Data!I42</f>
        <v/>
      </c>
      <c r="N58" s="94" t="str">
        <f>Data!J42</f>
        <v/>
      </c>
      <c r="O58" s="94" t="str">
        <f>Data!K42</f>
        <v/>
      </c>
      <c r="P58" s="94" t="str">
        <f>Data!L42</f>
        <v/>
      </c>
      <c r="Q58" s="94" t="str">
        <f>Data!M42</f>
        <v/>
      </c>
    </row>
    <row r="59" spans="1:17" ht="15.75" customHeight="1" x14ac:dyDescent="0.35">
      <c r="A59" s="26"/>
      <c r="B59" s="108" t="s">
        <v>195</v>
      </c>
      <c r="C59" s="97">
        <f>C57+C58</f>
        <v>-30619</v>
      </c>
      <c r="G59" s="97">
        <f>IF(G4="","",G57+G58)</f>
        <v>-30619</v>
      </c>
      <c r="H59" s="97">
        <f>IF(H4="","",H57+H58)</f>
        <v>12362</v>
      </c>
      <c r="I59" s="97">
        <f>IF(I4="","",I57+I58)</f>
        <v>64247</v>
      </c>
      <c r="J59" s="97">
        <f>IF(J4="","",J57+J58)</f>
        <v>34549</v>
      </c>
      <c r="K59" s="97">
        <f>IF(K4="","",K57+K58)</f>
        <v>-63075</v>
      </c>
      <c r="L59" s="97">
        <f>IF(L4="","",L57+L58)</f>
        <v>-34253</v>
      </c>
      <c r="M59" s="97" t="str">
        <f>IF(M4="","",M57+M58)</f>
        <v/>
      </c>
      <c r="N59" s="97" t="str">
        <f>IF(N4="","",N57+N58)</f>
        <v/>
      </c>
      <c r="O59" s="97" t="str">
        <f>IF(O4="","",O57+O58)</f>
        <v/>
      </c>
      <c r="P59" s="97" t="str">
        <f>IF(P4="","",P57+P58)</f>
        <v/>
      </c>
      <c r="Q59" s="97" t="str">
        <f>IF(Q4="","",Q57+Q58)</f>
        <v/>
      </c>
    </row>
    <row r="60" spans="1:17" ht="15.75" customHeight="1" x14ac:dyDescent="0.35">
      <c r="A60" s="26"/>
    </row>
    <row r="61" spans="1:17" ht="15.75" customHeight="1" x14ac:dyDescent="0.5">
      <c r="A61" s="3"/>
      <c r="B61" s="78" t="s">
        <v>44</v>
      </c>
      <c r="C61" s="78"/>
      <c r="D61" s="80"/>
      <c r="E61" s="98" t="s">
        <v>182</v>
      </c>
      <c r="F61" s="80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</row>
    <row r="62" spans="1:17" ht="15.75" customHeight="1" x14ac:dyDescent="0.35">
      <c r="A62" s="26"/>
      <c r="B62" s="43" t="s">
        <v>5</v>
      </c>
      <c r="C62" s="151">
        <f>BS!G23</f>
        <v>16854064</v>
      </c>
      <c r="D62" s="43"/>
      <c r="E62" s="43"/>
      <c r="F62" s="43"/>
      <c r="G62" s="30">
        <f>IF(G$4="","",G66+G65)</f>
        <v>16854064</v>
      </c>
      <c r="H62" s="30">
        <f t="shared" ref="H62:Q62" si="17">IF(H$4="","",H66+H65)</f>
        <v>14687373</v>
      </c>
      <c r="I62" s="30">
        <f t="shared" si="17"/>
        <v>15987114</v>
      </c>
      <c r="J62" s="30">
        <f t="shared" si="17"/>
        <v>14270996</v>
      </c>
      <c r="K62" s="30">
        <f t="shared" si="17"/>
        <v>0</v>
      </c>
      <c r="L62" s="30">
        <f t="shared" si="17"/>
        <v>0</v>
      </c>
      <c r="M62" s="30" t="str">
        <f t="shared" si="17"/>
        <v/>
      </c>
      <c r="N62" s="30" t="str">
        <f t="shared" si="17"/>
        <v/>
      </c>
      <c r="O62" s="30" t="str">
        <f t="shared" si="17"/>
        <v/>
      </c>
      <c r="P62" s="30" t="str">
        <f t="shared" si="17"/>
        <v/>
      </c>
      <c r="Q62" s="30" t="str">
        <f t="shared" si="17"/>
        <v/>
      </c>
    </row>
    <row r="63" spans="1:17" ht="15.75" customHeight="1" x14ac:dyDescent="0.35">
      <c r="A63" s="26"/>
      <c r="B63" s="149" t="s">
        <v>235</v>
      </c>
      <c r="C63" s="152">
        <f>BS!C4</f>
        <v>265773</v>
      </c>
      <c r="D63" s="137"/>
      <c r="E63" s="137"/>
      <c r="F63" s="137"/>
      <c r="G63" s="153">
        <f>IF(G$4="","",Data!D64)</f>
        <v>213823</v>
      </c>
      <c r="H63" s="153">
        <f>IF(H$4="","",Data!E64)</f>
        <v>187711</v>
      </c>
      <c r="I63" s="153">
        <f>IF(I$4="","",Data!F64)</f>
        <v>277338</v>
      </c>
      <c r="J63" s="153">
        <f>IF(J$4="","",Data!G64)</f>
        <v>0</v>
      </c>
      <c r="K63" s="153">
        <f>IF(K$4="","",Data!H64)</f>
        <v>0</v>
      </c>
      <c r="L63" s="153">
        <f>IF(L$4="","",Data!I64)</f>
        <v>0</v>
      </c>
      <c r="M63" s="153" t="str">
        <f>IF(M$4="","",Data!J64)</f>
        <v/>
      </c>
      <c r="N63" s="153" t="str">
        <f>IF(N$4="","",Data!K64)</f>
        <v/>
      </c>
      <c r="O63" s="153" t="str">
        <f>IF(O$4="","",Data!L64)</f>
        <v/>
      </c>
      <c r="P63" s="153" t="str">
        <f>IF(P$4="","",Data!M64)</f>
        <v/>
      </c>
      <c r="Q63" s="153" t="str">
        <f>IF(Q$4="","",Data!N64)</f>
        <v/>
      </c>
    </row>
    <row r="64" spans="1:17" ht="15.75" customHeight="1" x14ac:dyDescent="0.35">
      <c r="A64" s="26"/>
      <c r="B64" s="149" t="s">
        <v>236</v>
      </c>
      <c r="C64" s="152">
        <f>BS!C7+BS!C8</f>
        <v>9672256</v>
      </c>
      <c r="D64" s="137"/>
      <c r="E64" s="137"/>
      <c r="F64" s="137"/>
      <c r="G64" s="153">
        <f>IF(G$4="","",Data!D65)</f>
        <v>8852611</v>
      </c>
      <c r="H64" s="153">
        <f>IF(H$4="","",Data!E65)</f>
        <v>8769304</v>
      </c>
      <c r="I64" s="153">
        <f>IF(I$4="","",Data!F65)</f>
        <v>7321614</v>
      </c>
      <c r="J64" s="153">
        <f>IF(J$4="","",Data!G65)</f>
        <v>0</v>
      </c>
      <c r="K64" s="153">
        <f>IF(K$4="","",Data!H65)</f>
        <v>0</v>
      </c>
      <c r="L64" s="153">
        <f>IF(L$4="","",Data!I65)</f>
        <v>0</v>
      </c>
      <c r="M64" s="153" t="str">
        <f>IF(M$4="","",Data!J65)</f>
        <v/>
      </c>
      <c r="N64" s="153" t="str">
        <f>IF(N$4="","",Data!K65)</f>
        <v/>
      </c>
      <c r="O64" s="153" t="str">
        <f>IF(O$4="","",Data!L65)</f>
        <v/>
      </c>
      <c r="P64" s="153" t="str">
        <f>IF(P$4="","",Data!M65)</f>
        <v/>
      </c>
      <c r="Q64" s="153" t="str">
        <f>IF(Q$4="","",Data!N65)</f>
        <v/>
      </c>
    </row>
    <row r="65" spans="1:17" ht="15.75" customHeight="1" x14ac:dyDescent="0.35">
      <c r="A65" s="26"/>
      <c r="B65" s="43" t="s">
        <v>82</v>
      </c>
      <c r="C65" s="151">
        <f>BS!G26</f>
        <v>3990166</v>
      </c>
      <c r="D65" s="43"/>
      <c r="E65" s="43"/>
      <c r="F65" s="43"/>
      <c r="G65" s="30">
        <f>Data!C66</f>
        <v>3990166</v>
      </c>
      <c r="H65" s="30">
        <f>Data!D66</f>
        <v>2466431</v>
      </c>
      <c r="I65" s="30">
        <f>Data!E66</f>
        <v>3908586</v>
      </c>
      <c r="J65" s="30">
        <f>Data!F66</f>
        <v>2946772</v>
      </c>
      <c r="K65" s="30">
        <f>Data!G66</f>
        <v>0</v>
      </c>
      <c r="L65" s="30">
        <f>Data!H66</f>
        <v>0</v>
      </c>
      <c r="M65" s="30" t="str">
        <f>Data!I66</f>
        <v/>
      </c>
      <c r="N65" s="30" t="str">
        <f>Data!J66</f>
        <v/>
      </c>
      <c r="O65" s="30" t="str">
        <f>Data!K66</f>
        <v/>
      </c>
      <c r="P65" s="30" t="str">
        <f>Data!L66</f>
        <v/>
      </c>
      <c r="Q65" s="30" t="str">
        <f>Data!M66</f>
        <v/>
      </c>
    </row>
    <row r="66" spans="1:17" ht="15.75" customHeight="1" x14ac:dyDescent="0.35">
      <c r="A66" s="26"/>
      <c r="B66" s="43" t="s">
        <v>46</v>
      </c>
      <c r="C66" s="151">
        <f>BS!G28</f>
        <v>12863898</v>
      </c>
      <c r="D66" s="43"/>
      <c r="E66" s="43"/>
      <c r="F66" s="43"/>
      <c r="G66" s="30">
        <f>Data!C67</f>
        <v>12863898</v>
      </c>
      <c r="H66" s="30">
        <f>Data!D67</f>
        <v>12220942</v>
      </c>
      <c r="I66" s="30">
        <f>Data!E67</f>
        <v>12078528</v>
      </c>
      <c r="J66" s="30">
        <f>Data!F67</f>
        <v>11324224</v>
      </c>
      <c r="K66" s="30">
        <f>Data!G67</f>
        <v>0</v>
      </c>
      <c r="L66" s="30">
        <f>Data!H67</f>
        <v>0</v>
      </c>
      <c r="M66" s="30" t="str">
        <f>Data!I67</f>
        <v/>
      </c>
      <c r="N66" s="30" t="str">
        <f>Data!J67</f>
        <v/>
      </c>
      <c r="O66" s="30" t="str">
        <f>Data!K67</f>
        <v/>
      </c>
      <c r="P66" s="30" t="str">
        <f>Data!L67</f>
        <v/>
      </c>
      <c r="Q66" s="30" t="str">
        <f>Data!M67</f>
        <v/>
      </c>
    </row>
    <row r="67" spans="1:17" ht="15.75" customHeight="1" x14ac:dyDescent="0.35">
      <c r="A67" s="26"/>
      <c r="B67" s="43"/>
      <c r="C67" s="43"/>
      <c r="D67" s="43"/>
      <c r="E67" s="43"/>
      <c r="F67" s="43"/>
      <c r="G67" s="30"/>
      <c r="H67" s="28"/>
      <c r="I67" s="28"/>
      <c r="J67" s="28"/>
      <c r="K67" s="28"/>
      <c r="L67" s="28"/>
      <c r="M67" s="28"/>
      <c r="N67" s="28"/>
      <c r="O67" s="28"/>
      <c r="P67" s="28"/>
      <c r="Q67" s="28"/>
    </row>
    <row r="68" spans="1:17" ht="15.75" customHeight="1" x14ac:dyDescent="0.35">
      <c r="A68" s="26"/>
      <c r="B68" s="141" t="s">
        <v>93</v>
      </c>
      <c r="C68" s="43"/>
      <c r="D68" s="43"/>
      <c r="E68" s="43"/>
      <c r="F68" s="43"/>
      <c r="G68" s="30"/>
      <c r="H68" s="28"/>
      <c r="I68" s="28"/>
      <c r="J68" s="28"/>
      <c r="K68" s="28"/>
      <c r="L68" s="28"/>
      <c r="M68" s="28"/>
      <c r="N68" s="28"/>
      <c r="O68" s="28"/>
      <c r="P68" s="28"/>
      <c r="Q68" s="28"/>
    </row>
    <row r="69" spans="1:17" ht="15.75" customHeight="1" x14ac:dyDescent="0.35">
      <c r="A69" s="26"/>
      <c r="B69" s="43" t="s">
        <v>237</v>
      </c>
      <c r="C69" s="154">
        <f>C63/C$4</f>
        <v>2.1262774144544083E-2</v>
      </c>
      <c r="D69" s="43"/>
      <c r="E69" s="43"/>
      <c r="F69" s="43"/>
      <c r="G69" s="154">
        <f>IF(G$4="","",G63/G$4)</f>
        <v>1.3951685381968192E-2</v>
      </c>
      <c r="H69" s="154">
        <f t="shared" ref="H69:Q69" si="18">IF(H$4="","",H63/H$4)</f>
        <v>1.5671518179732512E-2</v>
      </c>
      <c r="I69" s="154">
        <f t="shared" si="18"/>
        <v>2.3627760663558588E-2</v>
      </c>
      <c r="J69" s="154">
        <f t="shared" si="18"/>
        <v>0</v>
      </c>
      <c r="K69" s="154">
        <f t="shared" si="18"/>
        <v>0</v>
      </c>
      <c r="L69" s="154">
        <f t="shared" si="18"/>
        <v>0</v>
      </c>
      <c r="M69" s="154" t="str">
        <f t="shared" si="18"/>
        <v/>
      </c>
      <c r="N69" s="154" t="str">
        <f t="shared" si="18"/>
        <v/>
      </c>
      <c r="O69" s="154" t="str">
        <f t="shared" si="18"/>
        <v/>
      </c>
      <c r="P69" s="154" t="str">
        <f t="shared" si="18"/>
        <v/>
      </c>
      <c r="Q69" s="154" t="str">
        <f t="shared" si="18"/>
        <v/>
      </c>
    </row>
    <row r="70" spans="1:17" ht="15.75" customHeight="1" x14ac:dyDescent="0.35">
      <c r="A70" s="26"/>
      <c r="B70" s="43" t="s">
        <v>238</v>
      </c>
      <c r="C70" s="154">
        <f>C64/C$4</f>
        <v>0.7738144762493232</v>
      </c>
      <c r="D70" s="43"/>
      <c r="E70" s="43"/>
      <c r="F70" s="43"/>
      <c r="G70" s="154">
        <f>IF(G$4="","",G64/G$4)</f>
        <v>0.57762188109301071</v>
      </c>
      <c r="H70" s="154">
        <f t="shared" ref="H70:Q70" si="19">IF(H$4="","",H64/H$4)</f>
        <v>0.73212708397270831</v>
      </c>
      <c r="I70" s="154">
        <f t="shared" si="19"/>
        <v>0.62376357824373097</v>
      </c>
      <c r="J70" s="154">
        <f t="shared" si="19"/>
        <v>0</v>
      </c>
      <c r="K70" s="154">
        <f t="shared" si="19"/>
        <v>0</v>
      </c>
      <c r="L70" s="154">
        <f t="shared" si="19"/>
        <v>0</v>
      </c>
      <c r="M70" s="154" t="str">
        <f t="shared" si="19"/>
        <v/>
      </c>
      <c r="N70" s="154" t="str">
        <f t="shared" si="19"/>
        <v/>
      </c>
      <c r="O70" s="154" t="str">
        <f t="shared" si="19"/>
        <v/>
      </c>
      <c r="P70" s="154" t="str">
        <f t="shared" si="19"/>
        <v/>
      </c>
      <c r="Q70" s="154" t="str">
        <f t="shared" si="19"/>
        <v/>
      </c>
    </row>
    <row r="71" spans="1:17" ht="15.75" customHeight="1" x14ac:dyDescent="0.35">
      <c r="A71" s="26"/>
      <c r="B71" s="43"/>
      <c r="C71" s="43"/>
      <c r="D71" s="43"/>
      <c r="E71" s="43"/>
      <c r="F71" s="43"/>
      <c r="G71" s="30"/>
      <c r="H71" s="28"/>
      <c r="I71" s="28"/>
      <c r="J71" s="28"/>
      <c r="K71" s="28"/>
      <c r="L71" s="28"/>
      <c r="M71" s="28"/>
      <c r="N71" s="28"/>
      <c r="O71" s="28"/>
      <c r="P71" s="28"/>
      <c r="Q71" s="28"/>
    </row>
    <row r="72" spans="1:17" ht="15.75" customHeight="1" x14ac:dyDescent="0.35">
      <c r="A72" s="26"/>
      <c r="B72" s="141" t="s">
        <v>244</v>
      </c>
    </row>
    <row r="73" spans="1:17" ht="15.75" customHeight="1" x14ac:dyDescent="0.35">
      <c r="A73" s="26"/>
      <c r="B73" s="43" t="s">
        <v>243</v>
      </c>
      <c r="C73" s="62">
        <f>-C4/C57</f>
        <v>209.73640568718258</v>
      </c>
      <c r="G73" s="62">
        <f>IF(G4="","",-G4/G57)</f>
        <v>257.16427276998456</v>
      </c>
      <c r="H73" s="62">
        <f>IF(H4="","",-H4/H57)</f>
        <v>576.88407262919611</v>
      </c>
      <c r="I73" s="62">
        <f>IF(I4="","",-I4/I57)</f>
        <v>508.19599948045203</v>
      </c>
      <c r="J73" s="62">
        <f>IF(J4="","",-J4/J57)</f>
        <v>307.162639952858</v>
      </c>
      <c r="K73" s="62">
        <f>IF(K4="","",-K4/K57)</f>
        <v>178.10179944510503</v>
      </c>
      <c r="L73" s="62">
        <f>IF(L4="","",-L4/L57)</f>
        <v>463.02484453916446</v>
      </c>
      <c r="M73" s="62" t="str">
        <f>IF(M4="","",-M4/M57)</f>
        <v/>
      </c>
      <c r="N73" s="62" t="str">
        <f>IF(N4="","",-N4/N57)</f>
        <v/>
      </c>
      <c r="O73" s="62" t="str">
        <f>IF(O4="","",-O4/O57)</f>
        <v/>
      </c>
      <c r="P73" s="62" t="str">
        <f>IF(P4="","",-P4/P57)</f>
        <v/>
      </c>
      <c r="Q73" s="62" t="str">
        <f>IF(Q4="","",-Q4/Q57)</f>
        <v/>
      </c>
    </row>
    <row r="74" spans="1:17" ht="15.75" customHeight="1" x14ac:dyDescent="0.35">
      <c r="A74" s="26"/>
      <c r="B74" s="43" t="s">
        <v>242</v>
      </c>
      <c r="C74" s="40">
        <f>C66/C62</f>
        <v>0.76325199666976462</v>
      </c>
      <c r="G74" s="29">
        <f>IF(G66="","",G66/G62)</f>
        <v>0.76325199666976462</v>
      </c>
      <c r="H74" s="29">
        <f>IF(H66="","",H66/H62)</f>
        <v>0.83207133093167851</v>
      </c>
      <c r="I74" s="29">
        <f>IF(I66="","",I66/I62)</f>
        <v>0.75551647408031242</v>
      </c>
      <c r="J74" s="29">
        <f>IF(J66="","",J66/J62)</f>
        <v>0.79351322080112696</v>
      </c>
      <c r="K74" s="29" t="e">
        <f>IF(K66="","",K66/K62)</f>
        <v>#DIV/0!</v>
      </c>
      <c r="L74" s="29" t="e">
        <f>IF(L66="","",L66/L62)</f>
        <v>#DIV/0!</v>
      </c>
      <c r="M74" s="29" t="str">
        <f>IF(M66="","",M66/M62)</f>
        <v/>
      </c>
      <c r="N74" s="29" t="str">
        <f>IF(N66="","",N66/N62)</f>
        <v/>
      </c>
      <c r="O74" s="29" t="str">
        <f>IF(O66="","",O66/O62)</f>
        <v/>
      </c>
      <c r="P74" s="29" t="str">
        <f>IF(P66="","",P66/P62)</f>
        <v/>
      </c>
      <c r="Q74" s="29" t="str">
        <f>IF(Q66="","",Q66/Q62)</f>
        <v/>
      </c>
    </row>
    <row r="75" spans="1:17" ht="15.75" customHeight="1" x14ac:dyDescent="0.35">
      <c r="A75" s="26"/>
    </row>
    <row r="76" spans="1:17" ht="15.75" customHeight="1" x14ac:dyDescent="0.35">
      <c r="A76" s="26"/>
      <c r="B76" s="141" t="s">
        <v>79</v>
      </c>
      <c r="C76" s="79"/>
      <c r="D76" s="79"/>
      <c r="E76" s="79"/>
      <c r="F76" s="79"/>
      <c r="G76" s="40" t="str">
        <f>IFERROR(IF(#REF!*G78*(1/G74)=G80,"","Error"),"")</f>
        <v/>
      </c>
      <c r="H76" s="40" t="str">
        <f>IFERROR(IF(#REF!*H78*(1/H74)=H80,"","Error"),"")</f>
        <v/>
      </c>
      <c r="I76" s="40" t="str">
        <f>IFERROR(IF(#REF!*I78*(1/I74)=I80,"","Error"),"")</f>
        <v/>
      </c>
      <c r="J76" s="40" t="str">
        <f>IFERROR(IF(#REF!*J78*(1/J74)=J80,"","Error"),"")</f>
        <v/>
      </c>
      <c r="K76" s="40" t="str">
        <f>IFERROR(IF(#REF!*K78*(1/K74)=K80,"","Error"),"")</f>
        <v/>
      </c>
      <c r="L76" s="40" t="str">
        <f>IFERROR(IF(#REF!*L78*(1/L74)=L80,"","Error"),"")</f>
        <v/>
      </c>
      <c r="M76" s="40" t="str">
        <f>IFERROR(IF(#REF!*M78*(1/M74)=M80,"","Error"),"")</f>
        <v/>
      </c>
      <c r="N76" s="40" t="str">
        <f>IFERROR(IF(#REF!*N78*(1/N74)=N80,"","Error"),"")</f>
        <v/>
      </c>
      <c r="O76" s="40" t="str">
        <f>IFERROR(IF(#REF!*O78*(1/O74)=O80,"","Error"),"")</f>
        <v/>
      </c>
      <c r="P76" s="40" t="str">
        <f>IFERROR(IF(#REF!*P78*(1/P74)=P80,"","Error"),"")</f>
        <v/>
      </c>
      <c r="Q76" s="40" t="str">
        <f>IFERROR(IF(#REF!*Q78*(1/Q74)=Q80,"","Error"),"")</f>
        <v/>
      </c>
    </row>
    <row r="77" spans="1:17" ht="15.75" customHeight="1" x14ac:dyDescent="0.35">
      <c r="A77" s="26"/>
      <c r="B77" s="19" t="s">
        <v>249</v>
      </c>
      <c r="C77" s="40">
        <f>C24</f>
        <v>0.11664383553220437</v>
      </c>
      <c r="G77" s="40">
        <f>G24</f>
        <v>0.12245710905455723</v>
      </c>
      <c r="H77" s="40">
        <f t="shared" ref="H77:Q77" si="20">H24</f>
        <v>0.11378358242100998</v>
      </c>
      <c r="I77" s="40">
        <f t="shared" si="20"/>
        <v>0.12086725258551366</v>
      </c>
      <c r="J77" s="40">
        <f t="shared" si="20"/>
        <v>0.10583450462035347</v>
      </c>
      <c r="K77" s="40">
        <f t="shared" si="20"/>
        <v>0.10724519842891581</v>
      </c>
      <c r="L77" s="40">
        <f t="shared" si="20"/>
        <v>0.10195889152515229</v>
      </c>
      <c r="M77" s="40" t="str">
        <f t="shared" si="20"/>
        <v/>
      </c>
      <c r="N77" s="40" t="str">
        <f t="shared" si="20"/>
        <v/>
      </c>
      <c r="O77" s="40" t="str">
        <f t="shared" si="20"/>
        <v/>
      </c>
      <c r="P77" s="40" t="str">
        <f t="shared" si="20"/>
        <v/>
      </c>
      <c r="Q77" s="40" t="str">
        <f t="shared" si="20"/>
        <v/>
      </c>
    </row>
    <row r="78" spans="1:17" ht="15.75" customHeight="1" x14ac:dyDescent="0.35">
      <c r="B78" s="19" t="s">
        <v>233</v>
      </c>
      <c r="C78" s="62">
        <f>C4/C62</f>
        <v>0.74162830005471281</v>
      </c>
      <c r="G78" s="62">
        <f>IF(G4="","",G4/G62)</f>
        <v>0.90933332162498015</v>
      </c>
      <c r="H78" s="62">
        <f>IF(H4="","",H4/H62)</f>
        <v>0.81551983462257005</v>
      </c>
      <c r="I78" s="62">
        <f>IF(I4="","",I4/I62)</f>
        <v>0.73420399704411943</v>
      </c>
      <c r="J78" s="62">
        <f>IF(J4="","",J4/J62)</f>
        <v>0.62093318504188499</v>
      </c>
      <c r="K78" s="62" t="e">
        <f>IF(K4="","",K4/K62)</f>
        <v>#DIV/0!</v>
      </c>
      <c r="L78" s="62" t="e">
        <f>IF(L4="","",L4/L62)</f>
        <v>#DIV/0!</v>
      </c>
      <c r="M78" s="62" t="str">
        <f>IF(M4="","",M4/M62)</f>
        <v/>
      </c>
      <c r="N78" s="62" t="str">
        <f>IF(N4="","",N4/N62)</f>
        <v/>
      </c>
      <c r="O78" s="62" t="str">
        <f>IF(O4="","",O4/O62)</f>
        <v/>
      </c>
      <c r="P78" s="62" t="str">
        <f>IF(P4="","",P4/P62)</f>
        <v/>
      </c>
      <c r="Q78" s="62" t="str">
        <f>IF(Q4="","",Q4/Q62)</f>
        <v/>
      </c>
    </row>
    <row r="79" spans="1:17" ht="15.75" customHeight="1" x14ac:dyDescent="0.35">
      <c r="B79" s="19" t="s">
        <v>250</v>
      </c>
      <c r="C79" s="31">
        <f>C62/C66</f>
        <v>1.3101832741522048</v>
      </c>
      <c r="D79" s="27"/>
      <c r="E79" s="27"/>
      <c r="F79" s="27"/>
      <c r="G79" s="31">
        <f>IF(G$4="","",G62/G66)</f>
        <v>1.3101832741522048</v>
      </c>
      <c r="H79" s="31">
        <f t="shared" ref="H79:Q79" si="21">IF(H$4="","",H62/H66)</f>
        <v>1.2018200397317982</v>
      </c>
      <c r="I79" s="31">
        <f t="shared" si="21"/>
        <v>1.3235978755027102</v>
      </c>
      <c r="J79" s="31">
        <f t="shared" si="21"/>
        <v>1.2602184485223888</v>
      </c>
      <c r="K79" s="31" t="e">
        <f t="shared" si="21"/>
        <v>#DIV/0!</v>
      </c>
      <c r="L79" s="31" t="e">
        <f t="shared" si="21"/>
        <v>#DIV/0!</v>
      </c>
      <c r="M79" s="31" t="str">
        <f t="shared" si="21"/>
        <v/>
      </c>
      <c r="N79" s="31" t="str">
        <f t="shared" si="21"/>
        <v/>
      </c>
      <c r="O79" s="31" t="str">
        <f t="shared" si="21"/>
        <v/>
      </c>
      <c r="P79" s="31" t="str">
        <f t="shared" si="21"/>
        <v/>
      </c>
      <c r="Q79" s="31" t="str">
        <f t="shared" si="21"/>
        <v/>
      </c>
    </row>
    <row r="80" spans="1:17" ht="15.75" customHeight="1" x14ac:dyDescent="0.35">
      <c r="A80" s="26"/>
      <c r="B80" s="108" t="s">
        <v>80</v>
      </c>
      <c r="C80" s="163">
        <f>C8/C66</f>
        <v>0.11333919837099207</v>
      </c>
      <c r="D80" s="164"/>
      <c r="E80" s="164"/>
      <c r="F80" s="164"/>
      <c r="G80" s="163">
        <f>IF(G$4="","",G8/G66)</f>
        <v>0.14589458032083277</v>
      </c>
      <c r="H80" s="163">
        <f>IF(H$4="","",H8/H66)</f>
        <v>0.11152020850765841</v>
      </c>
      <c r="I80" s="163">
        <f>IF(I$4="","",I8/I66)</f>
        <v>0.1174576902086082</v>
      </c>
      <c r="J80" s="163">
        <f>IF(J$4="","",J8/J66)</f>
        <v>8.2816712209154458E-2</v>
      </c>
      <c r="K80" s="163" t="e">
        <f>IF(K$4="","",K8/K66)</f>
        <v>#DIV/0!</v>
      </c>
      <c r="L80" s="163" t="e">
        <f>IF(L$4="","",L8/L66)</f>
        <v>#DIV/0!</v>
      </c>
      <c r="M80" s="163" t="str">
        <f>IF(M$4="","",M8/M66)</f>
        <v/>
      </c>
      <c r="N80" s="163" t="str">
        <f>IF(N$4="","",N8/N66)</f>
        <v/>
      </c>
      <c r="O80" s="163" t="str">
        <f>IF(O$4="","",O8/O66)</f>
        <v/>
      </c>
      <c r="P80" s="163" t="str">
        <f>IF(P$4="","",P8/P66)</f>
        <v/>
      </c>
      <c r="Q80" s="163" t="str">
        <f>IF(Q$4="","",Q8/Q66)</f>
        <v/>
      </c>
    </row>
    <row r="81" spans="1:1" ht="15.75" customHeight="1" x14ac:dyDescent="0.35">
      <c r="A81" s="26"/>
    </row>
    <row r="82" spans="1:1" ht="15.75" customHeight="1" x14ac:dyDescent="0.35">
      <c r="A82" s="26"/>
    </row>
    <row r="83" spans="1:1" ht="15.75" customHeight="1" x14ac:dyDescent="0.35">
      <c r="A83" s="26"/>
    </row>
    <row r="84" spans="1:1" ht="15.75" customHeight="1" x14ac:dyDescent="0.35">
      <c r="A84" s="26"/>
    </row>
    <row r="85" spans="1:1" ht="15.75" customHeight="1" x14ac:dyDescent="0.35">
      <c r="A85" s="26"/>
    </row>
    <row r="86" spans="1:1" ht="15.75" customHeight="1" x14ac:dyDescent="0.35">
      <c r="A86" s="26"/>
    </row>
    <row r="87" spans="1:1" ht="15.75" customHeight="1" x14ac:dyDescent="0.35">
      <c r="A87" s="26"/>
    </row>
    <row r="88" spans="1:1" ht="15.75" customHeight="1" x14ac:dyDescent="0.35">
      <c r="A88" s="26"/>
    </row>
    <row r="89" spans="1:1" ht="15.75" customHeight="1" x14ac:dyDescent="0.35">
      <c r="A89" s="26"/>
    </row>
    <row r="90" spans="1:1" ht="15.75" customHeight="1" x14ac:dyDescent="0.35">
      <c r="A90" s="26"/>
    </row>
    <row r="91" spans="1:1" ht="15.75" customHeight="1" x14ac:dyDescent="0.35">
      <c r="A91" s="26"/>
    </row>
    <row r="92" spans="1:1" ht="15.75" customHeight="1" x14ac:dyDescent="0.35">
      <c r="A92" s="26"/>
    </row>
    <row r="93" spans="1:1" ht="15.75" customHeight="1" x14ac:dyDescent="0.35">
      <c r="A93" s="26"/>
    </row>
    <row r="94" spans="1:1" ht="15.75" customHeight="1" x14ac:dyDescent="0.35">
      <c r="A94" s="26"/>
    </row>
    <row r="95" spans="1:1" ht="15.75" customHeight="1" x14ac:dyDescent="0.35">
      <c r="A95" s="26"/>
    </row>
    <row r="96" spans="1:1" ht="15.75" customHeight="1" x14ac:dyDescent="0.35">
      <c r="A96" s="26"/>
    </row>
    <row r="97" spans="1:1" ht="15.75" customHeight="1" x14ac:dyDescent="0.35">
      <c r="A97" s="26"/>
    </row>
    <row r="98" spans="1:1" ht="15.75" customHeight="1" x14ac:dyDescent="0.35">
      <c r="A98" s="26"/>
    </row>
    <row r="99" spans="1:1" ht="15.75" customHeight="1" x14ac:dyDescent="0.35">
      <c r="A99" s="26"/>
    </row>
    <row r="100" spans="1:1" ht="15.75" customHeight="1" x14ac:dyDescent="0.35">
      <c r="A100" s="26"/>
    </row>
    <row r="101" spans="1:1" ht="15.75" customHeight="1" x14ac:dyDescent="0.35">
      <c r="A101" s="26"/>
    </row>
    <row r="102" spans="1:1" ht="15.75" customHeight="1" x14ac:dyDescent="0.35">
      <c r="A102" s="26"/>
    </row>
    <row r="103" spans="1:1" ht="15.75" customHeight="1" x14ac:dyDescent="0.35">
      <c r="A103" s="26"/>
    </row>
    <row r="104" spans="1:1" ht="15.75" customHeight="1" x14ac:dyDescent="0.35">
      <c r="A104" s="26"/>
    </row>
    <row r="105" spans="1:1" ht="15.75" customHeight="1" x14ac:dyDescent="0.35">
      <c r="A105" s="26"/>
    </row>
    <row r="106" spans="1:1" ht="15.75" customHeight="1" x14ac:dyDescent="0.35">
      <c r="A106" s="26"/>
    </row>
    <row r="107" spans="1:1" ht="15.75" customHeight="1" x14ac:dyDescent="0.35">
      <c r="A107" s="26"/>
    </row>
    <row r="108" spans="1:1" ht="15.75" customHeight="1" x14ac:dyDescent="0.35">
      <c r="A108" s="26"/>
    </row>
    <row r="109" spans="1:1" ht="15.75" customHeight="1" x14ac:dyDescent="0.35">
      <c r="A109" s="26"/>
    </row>
    <row r="110" spans="1:1" ht="15.75" customHeight="1" x14ac:dyDescent="0.35">
      <c r="A110" s="26"/>
    </row>
    <row r="111" spans="1:1" ht="15.75" customHeight="1" x14ac:dyDescent="0.35">
      <c r="A111" s="26"/>
    </row>
    <row r="112" spans="1:1" ht="15.75" customHeight="1" x14ac:dyDescent="0.35">
      <c r="A112" s="26"/>
    </row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</sheetData>
  <phoneticPr fontId="3" type="noConversion"/>
  <conditionalFormatting sqref="G41:Q42 G45:Q45 G4:Q9 G11:Q12 G15:Q15">
    <cfRule type="expression" dxfId="4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44"/>
  <sheetViews>
    <sheetView showGridLines="0" tabSelected="1" zoomScaleNormal="100" workbookViewId="0">
      <selection activeCell="C29" sqref="C29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3" width="18.6640625" style="1" customWidth="1"/>
    <col min="4" max="4" width="7.73046875" style="1" customWidth="1"/>
    <col min="5" max="5" width="5.59765625" style="1" customWidth="1"/>
    <col min="6" max="6" width="25.3984375" style="1" bestFit="1" customWidth="1"/>
    <col min="7" max="7" width="18.6640625" style="1" customWidth="1"/>
    <col min="8" max="8" width="7.6640625" style="1" customWidth="1"/>
    <col min="9" max="16384" width="12.33203125" style="1"/>
  </cols>
  <sheetData>
    <row r="1" spans="2:8" ht="15" customHeight="1" x14ac:dyDescent="0.35">
      <c r="B1" s="35" t="s">
        <v>75</v>
      </c>
      <c r="C1" s="159">
        <v>45382</v>
      </c>
      <c r="F1" s="133" t="str">
        <f>IF(MONTH(C1)=MONTH(FCF!G1),"FY","Quarter")&amp;" Report"</f>
        <v>FY Report</v>
      </c>
      <c r="H1" s="4"/>
    </row>
    <row r="2" spans="2:8" ht="15" customHeight="1" x14ac:dyDescent="0.35">
      <c r="B2" s="122" t="s">
        <v>255</v>
      </c>
      <c r="C2" s="56"/>
      <c r="D2" s="56"/>
      <c r="E2" s="56"/>
      <c r="F2" s="56"/>
      <c r="G2" s="56"/>
      <c r="H2" s="56"/>
    </row>
    <row r="3" spans="2:8" ht="15" customHeight="1" x14ac:dyDescent="0.35">
      <c r="B3" s="32" t="s">
        <v>47</v>
      </c>
      <c r="C3" s="16" t="s">
        <v>7</v>
      </c>
      <c r="D3" s="132" t="s">
        <v>63</v>
      </c>
      <c r="F3" s="32" t="s">
        <v>199</v>
      </c>
      <c r="G3" s="16" t="s">
        <v>7</v>
      </c>
      <c r="H3" s="132" t="s">
        <v>63</v>
      </c>
    </row>
    <row r="4" spans="2:8" ht="15" customHeight="1" x14ac:dyDescent="0.35">
      <c r="B4" s="5" t="s">
        <v>39</v>
      </c>
      <c r="C4" s="36">
        <v>265773</v>
      </c>
      <c r="D4" s="126">
        <v>0.6</v>
      </c>
      <c r="E4" s="42"/>
      <c r="F4" s="5" t="s">
        <v>215</v>
      </c>
      <c r="G4" s="36">
        <v>1998219</v>
      </c>
      <c r="H4" s="126">
        <v>0.9</v>
      </c>
    </row>
    <row r="5" spans="2:8" ht="15" customHeight="1" x14ac:dyDescent="0.35">
      <c r="B5" s="1" t="s">
        <v>49</v>
      </c>
      <c r="C5" s="36">
        <v>0</v>
      </c>
      <c r="D5" s="126">
        <v>0.6</v>
      </c>
      <c r="E5" s="42"/>
      <c r="F5" s="1" t="s">
        <v>45</v>
      </c>
      <c r="G5" s="36">
        <v>0</v>
      </c>
      <c r="H5" s="126">
        <v>0.8</v>
      </c>
    </row>
    <row r="6" spans="2:8" ht="15" customHeight="1" x14ac:dyDescent="0.35">
      <c r="B6" s="5" t="s">
        <v>40</v>
      </c>
      <c r="C6" s="36">
        <v>366595</v>
      </c>
      <c r="D6" s="126">
        <v>0.1</v>
      </c>
      <c r="E6" s="42"/>
      <c r="F6" s="5" t="s">
        <v>11</v>
      </c>
      <c r="G6" s="36">
        <v>0</v>
      </c>
      <c r="H6" s="126">
        <v>0.6</v>
      </c>
    </row>
    <row r="7" spans="2:8" ht="15" customHeight="1" x14ac:dyDescent="0.35">
      <c r="B7" s="5" t="s">
        <v>15</v>
      </c>
      <c r="C7" s="36">
        <v>9672256</v>
      </c>
      <c r="D7" s="126">
        <v>0.5</v>
      </c>
      <c r="E7" s="42"/>
      <c r="F7" s="5" t="s">
        <v>13</v>
      </c>
      <c r="G7" s="36">
        <v>0</v>
      </c>
      <c r="H7" s="126">
        <v>0.5</v>
      </c>
    </row>
    <row r="8" spans="2:8" ht="15" customHeight="1" x14ac:dyDescent="0.35">
      <c r="B8" s="1" t="s">
        <v>204</v>
      </c>
      <c r="C8" s="36">
        <v>0</v>
      </c>
      <c r="D8" s="126">
        <v>0.6</v>
      </c>
      <c r="E8" s="42"/>
      <c r="F8" s="1" t="s">
        <v>198</v>
      </c>
      <c r="G8" s="36">
        <v>0</v>
      </c>
      <c r="H8" s="126">
        <v>0.6</v>
      </c>
    </row>
    <row r="9" spans="2:8" ht="15" customHeight="1" x14ac:dyDescent="0.35">
      <c r="B9" s="5" t="s">
        <v>17</v>
      </c>
      <c r="C9" s="36">
        <v>29465</v>
      </c>
      <c r="D9" s="126">
        <v>0.9</v>
      </c>
      <c r="E9" s="42"/>
      <c r="F9" s="5" t="s">
        <v>42</v>
      </c>
      <c r="G9" s="36">
        <v>0</v>
      </c>
      <c r="H9" s="126">
        <v>0.6</v>
      </c>
    </row>
    <row r="10" spans="2:8" ht="15" customHeight="1" x14ac:dyDescent="0.35">
      <c r="B10" s="5" t="s">
        <v>18</v>
      </c>
      <c r="C10" s="36">
        <v>0</v>
      </c>
      <c r="D10" s="126">
        <v>0.05</v>
      </c>
      <c r="F10" s="124" t="s">
        <v>200</v>
      </c>
      <c r="G10" s="125">
        <f>SUM(G4:G9)</f>
        <v>1998219</v>
      </c>
      <c r="H10" s="127"/>
    </row>
    <row r="11" spans="2:8" ht="15" customHeight="1" x14ac:dyDescent="0.35">
      <c r="B11" s="124" t="s">
        <v>202</v>
      </c>
      <c r="C11" s="125">
        <f>SUM(C4:C10)</f>
        <v>10334089</v>
      </c>
      <c r="D11" s="127"/>
      <c r="F11" s="5" t="s">
        <v>216</v>
      </c>
      <c r="G11" s="36">
        <v>0</v>
      </c>
      <c r="H11" s="126">
        <v>0.8</v>
      </c>
    </row>
    <row r="12" spans="2:8" ht="15" customHeight="1" x14ac:dyDescent="0.35">
      <c r="B12" s="5" t="s">
        <v>203</v>
      </c>
      <c r="C12" s="36">
        <v>103050</v>
      </c>
      <c r="D12" s="126">
        <v>0.4</v>
      </c>
      <c r="F12" s="5" t="s">
        <v>21</v>
      </c>
      <c r="G12" s="36">
        <v>0</v>
      </c>
      <c r="H12" s="126">
        <v>0.6</v>
      </c>
    </row>
    <row r="13" spans="2:8" ht="15" customHeight="1" x14ac:dyDescent="0.35">
      <c r="B13" s="1" t="s">
        <v>50</v>
      </c>
      <c r="C13" s="36">
        <v>0</v>
      </c>
      <c r="D13" s="126">
        <v>0.5</v>
      </c>
      <c r="F13" s="5" t="s">
        <v>23</v>
      </c>
      <c r="G13" s="36">
        <v>0</v>
      </c>
      <c r="H13" s="126">
        <v>0.5</v>
      </c>
    </row>
    <row r="14" spans="2:8" ht="15" customHeight="1" x14ac:dyDescent="0.35">
      <c r="B14" s="5" t="s">
        <v>205</v>
      </c>
      <c r="C14" s="36">
        <v>0</v>
      </c>
      <c r="D14" s="126">
        <v>0.6</v>
      </c>
      <c r="F14" s="5" t="s">
        <v>27</v>
      </c>
      <c r="G14" s="36">
        <v>0</v>
      </c>
      <c r="H14" s="126">
        <v>0.1</v>
      </c>
    </row>
    <row r="15" spans="2:8" ht="15" customHeight="1" x14ac:dyDescent="0.35">
      <c r="B15" s="5" t="s">
        <v>41</v>
      </c>
      <c r="C15" s="36">
        <v>2522337</v>
      </c>
      <c r="D15" s="126">
        <v>0.1</v>
      </c>
      <c r="F15" s="5" t="s">
        <v>28</v>
      </c>
      <c r="G15" s="36">
        <v>925726</v>
      </c>
      <c r="H15" s="126">
        <v>0.2</v>
      </c>
    </row>
    <row r="16" spans="2:8" ht="15" customHeight="1" x14ac:dyDescent="0.35">
      <c r="B16" s="5" t="s">
        <v>29</v>
      </c>
      <c r="C16" s="36">
        <v>0</v>
      </c>
      <c r="D16" s="126">
        <v>0.05</v>
      </c>
      <c r="F16" s="1" t="s">
        <v>16</v>
      </c>
      <c r="G16" s="36">
        <v>0</v>
      </c>
      <c r="H16" s="126">
        <v>0.1</v>
      </c>
    </row>
    <row r="17" spans="2:8" ht="15" customHeight="1" x14ac:dyDescent="0.35">
      <c r="B17" s="5" t="s">
        <v>30</v>
      </c>
      <c r="C17" s="36">
        <v>538321</v>
      </c>
      <c r="D17" s="126">
        <v>0.05</v>
      </c>
      <c r="F17" s="124" t="s">
        <v>201</v>
      </c>
      <c r="G17" s="125">
        <f>SUM(G11:G16)</f>
        <v>925726</v>
      </c>
      <c r="H17" s="127"/>
    </row>
    <row r="18" spans="2:8" ht="15" customHeight="1" x14ac:dyDescent="0.35">
      <c r="B18" s="5" t="s">
        <v>31</v>
      </c>
      <c r="C18" s="36">
        <v>154648</v>
      </c>
      <c r="D18" s="126">
        <v>0.9</v>
      </c>
    </row>
    <row r="19" spans="2:8" ht="15" customHeight="1" x14ac:dyDescent="0.35">
      <c r="B19" s="5" t="s">
        <v>32</v>
      </c>
      <c r="C19" s="36">
        <v>277674</v>
      </c>
      <c r="D19" s="126">
        <v>0</v>
      </c>
    </row>
    <row r="20" spans="2:8" ht="15" customHeight="1" x14ac:dyDescent="0.35">
      <c r="B20" s="124" t="s">
        <v>206</v>
      </c>
      <c r="C20" s="125">
        <f>SUM(C12:C19)</f>
        <v>3596030</v>
      </c>
    </row>
    <row r="22" spans="2:8" ht="15" customHeight="1" x14ac:dyDescent="0.35">
      <c r="B22" s="32" t="s">
        <v>87</v>
      </c>
    </row>
    <row r="23" spans="2:8" ht="15" customHeight="1" x14ac:dyDescent="0.35">
      <c r="B23" s="5" t="s">
        <v>8</v>
      </c>
      <c r="C23" s="36">
        <v>1427805</v>
      </c>
      <c r="F23" s="76" t="s">
        <v>207</v>
      </c>
      <c r="G23" s="125">
        <f>C11+C20+G10+G17</f>
        <v>16854064</v>
      </c>
    </row>
    <row r="24" spans="2:8" ht="15" customHeight="1" x14ac:dyDescent="0.35">
      <c r="B24" s="5" t="s">
        <v>9</v>
      </c>
      <c r="C24" s="36">
        <v>287697</v>
      </c>
      <c r="F24" s="123" t="s">
        <v>214</v>
      </c>
      <c r="G24" s="37">
        <f>G4+G5+G11</f>
        <v>1998219</v>
      </c>
    </row>
    <row r="25" spans="2:8" ht="15" customHeight="1" x14ac:dyDescent="0.35">
      <c r="B25" s="5" t="s">
        <v>10</v>
      </c>
      <c r="C25" s="36">
        <v>0</v>
      </c>
      <c r="F25" s="123" t="s">
        <v>224</v>
      </c>
      <c r="G25" s="37">
        <f>SUM(C14:C17)+SUM(G15:G16)</f>
        <v>3986384</v>
      </c>
    </row>
    <row r="26" spans="2:8" ht="15" customHeight="1" x14ac:dyDescent="0.35">
      <c r="B26" s="2" t="s">
        <v>12</v>
      </c>
      <c r="C26" s="36">
        <v>0</v>
      </c>
      <c r="F26" s="3" t="s">
        <v>35</v>
      </c>
      <c r="G26" s="130">
        <f>Data!C23</f>
        <v>3990166</v>
      </c>
    </row>
    <row r="27" spans="2:8" ht="15" customHeight="1" x14ac:dyDescent="0.35">
      <c r="B27" s="124" t="s">
        <v>19</v>
      </c>
      <c r="C27" s="125">
        <f>SUM(C23:C26)</f>
        <v>1715502</v>
      </c>
      <c r="F27" s="123" t="s">
        <v>210</v>
      </c>
      <c r="G27" s="37">
        <f>C27+C34</f>
        <v>2034922</v>
      </c>
    </row>
    <row r="28" spans="2:8" ht="15" customHeight="1" x14ac:dyDescent="0.35">
      <c r="B28" s="5" t="s">
        <v>14</v>
      </c>
      <c r="C28" s="38">
        <f>C29-C27</f>
        <v>1801307</v>
      </c>
      <c r="F28" s="3" t="s">
        <v>46</v>
      </c>
      <c r="G28" s="130">
        <v>12863898</v>
      </c>
    </row>
    <row r="29" spans="2:8" ht="15" customHeight="1" x14ac:dyDescent="0.35">
      <c r="B29" s="128" t="s">
        <v>6</v>
      </c>
      <c r="C29" s="130">
        <v>3516809</v>
      </c>
      <c r="F29" s="129" t="s">
        <v>208</v>
      </c>
      <c r="G29" s="28">
        <v>-26962</v>
      </c>
    </row>
    <row r="30" spans="2:8" ht="15" customHeight="1" x14ac:dyDescent="0.35">
      <c r="B30" s="5" t="s">
        <v>20</v>
      </c>
      <c r="C30" s="36">
        <v>0</v>
      </c>
      <c r="F30" s="123" t="s">
        <v>209</v>
      </c>
      <c r="G30" s="30">
        <f>G28-G29</f>
        <v>12890860</v>
      </c>
    </row>
    <row r="31" spans="2:8" ht="15" customHeight="1" x14ac:dyDescent="0.35">
      <c r="B31" s="5" t="s">
        <v>22</v>
      </c>
      <c r="C31" s="36">
        <v>319420</v>
      </c>
    </row>
    <row r="32" spans="2:8" ht="15" customHeight="1" x14ac:dyDescent="0.35">
      <c r="B32" s="5" t="s">
        <v>24</v>
      </c>
      <c r="C32" s="36">
        <v>0</v>
      </c>
    </row>
    <row r="33" spans="2:8" ht="15" customHeight="1" x14ac:dyDescent="0.35">
      <c r="B33" s="2" t="s">
        <v>25</v>
      </c>
      <c r="C33" s="36">
        <v>0</v>
      </c>
    </row>
    <row r="34" spans="2:8" ht="15" customHeight="1" x14ac:dyDescent="0.35">
      <c r="B34" s="124" t="s">
        <v>33</v>
      </c>
      <c r="C34" s="125">
        <f>SUM(C30:C33)</f>
        <v>319420</v>
      </c>
    </row>
    <row r="35" spans="2:8" ht="15" customHeight="1" x14ac:dyDescent="0.35">
      <c r="B35" s="5" t="s">
        <v>26</v>
      </c>
      <c r="C35" s="38">
        <f>C36-C34</f>
        <v>153937</v>
      </c>
    </row>
    <row r="36" spans="2:8" ht="15" customHeight="1" x14ac:dyDescent="0.35">
      <c r="B36" s="128" t="s">
        <v>34</v>
      </c>
      <c r="C36" s="131">
        <f>G26-C29</f>
        <v>473357</v>
      </c>
    </row>
    <row r="38" spans="2:8" ht="15" customHeight="1" x14ac:dyDescent="0.35">
      <c r="B38" s="122" t="s">
        <v>256</v>
      </c>
      <c r="C38" s="56"/>
      <c r="D38" s="56"/>
      <c r="E38" s="56"/>
      <c r="F38" s="56"/>
      <c r="G38" s="56"/>
      <c r="H38" s="56"/>
    </row>
    <row r="39" spans="2:8" ht="15" customHeight="1" x14ac:dyDescent="0.35">
      <c r="B39" s="156" t="s">
        <v>223</v>
      </c>
      <c r="C39" s="157" t="s">
        <v>180</v>
      </c>
      <c r="D39" s="157" t="s">
        <v>254</v>
      </c>
      <c r="E39" s="2"/>
      <c r="F39" s="160" t="s">
        <v>182</v>
      </c>
    </row>
    <row r="40" spans="2:8" ht="15" customHeight="1" x14ac:dyDescent="0.35">
      <c r="B40" s="20" t="s">
        <v>239</v>
      </c>
      <c r="C40" s="126">
        <f>D40</f>
        <v>2.9286626219579916E-2</v>
      </c>
      <c r="D40" s="40">
        <f>IF(FCF!G4="","",ABS(FCF!G57/BS!$G$27))</f>
        <v>2.9286626219579916E-2</v>
      </c>
      <c r="F40" s="103" t="s">
        <v>217</v>
      </c>
    </row>
    <row r="41" spans="2:8" ht="15" customHeight="1" x14ac:dyDescent="0.35">
      <c r="B41" s="20" t="s">
        <v>240</v>
      </c>
      <c r="C41" s="134">
        <v>1.4501413508729523E-2</v>
      </c>
      <c r="D41" s="17">
        <f>IF(FCF!G4="","",FCF!G58/BS!$G$24)</f>
        <v>1.4501413508729523E-2</v>
      </c>
      <c r="F41" s="103" t="s">
        <v>218</v>
      </c>
    </row>
    <row r="42" spans="2:8" ht="15" customHeight="1" x14ac:dyDescent="0.35">
      <c r="B42" s="2" t="s">
        <v>241</v>
      </c>
      <c r="C42" s="134">
        <f>D42</f>
        <v>0.11625172085779995</v>
      </c>
      <c r="D42" s="40">
        <f>FCF!G13/BS!$G$25</f>
        <v>0.11625172085779995</v>
      </c>
      <c r="F42" s="34" t="s">
        <v>225</v>
      </c>
    </row>
    <row r="43" spans="2:8" ht="15" customHeight="1" x14ac:dyDescent="0.35">
      <c r="B43" s="1" t="s">
        <v>251</v>
      </c>
      <c r="C43" s="158"/>
      <c r="D43" s="144">
        <f>G25/G23</f>
        <v>0.23652360641326625</v>
      </c>
    </row>
    <row r="44" spans="2:8" ht="15" customHeight="1" x14ac:dyDescent="0.35">
      <c r="B44" s="20" t="s">
        <v>252</v>
      </c>
      <c r="C44" s="158"/>
      <c r="D44" s="155">
        <f>BS!G27/FCF!C8</f>
        <v>1.3957095258737691</v>
      </c>
    </row>
  </sheetData>
  <phoneticPr fontId="3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1E04B-1C79-4136-954D-B15723E7EBAA}">
  <dimension ref="A1"/>
  <sheetViews>
    <sheetView workbookViewId="0">
      <selection activeCell="E29" sqref="E29"/>
    </sheetView>
  </sheetViews>
  <sheetFormatPr defaultRowHeight="12.75" x14ac:dyDescent="0.35"/>
  <sheetData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dimension ref="B2:B28"/>
  <sheetViews>
    <sheetView workbookViewId="0">
      <selection activeCell="L4" sqref="L4"/>
    </sheetView>
  </sheetViews>
  <sheetFormatPr defaultRowHeight="12.75" x14ac:dyDescent="0.35"/>
  <cols>
    <col min="2" max="2" width="14.1328125" customWidth="1"/>
  </cols>
  <sheetData>
    <row r="2" spans="2:2" x14ac:dyDescent="0.35">
      <c r="B2" s="161" t="s">
        <v>259</v>
      </c>
    </row>
    <row r="10" spans="2:2" x14ac:dyDescent="0.35">
      <c r="B10" s="161" t="s">
        <v>260</v>
      </c>
    </row>
    <row r="18" spans="2:2" x14ac:dyDescent="0.35">
      <c r="B18" s="161" t="s">
        <v>261</v>
      </c>
    </row>
    <row r="24" spans="2:2" x14ac:dyDescent="0.35">
      <c r="B24" s="161" t="s">
        <v>262</v>
      </c>
    </row>
    <row r="25" spans="2:2" x14ac:dyDescent="0.35">
      <c r="B25" s="161" t="s">
        <v>263</v>
      </c>
    </row>
    <row r="26" spans="2:2" x14ac:dyDescent="0.35">
      <c r="B26" s="161" t="s">
        <v>264</v>
      </c>
    </row>
    <row r="27" spans="2:2" x14ac:dyDescent="0.35">
      <c r="B27" s="161" t="s">
        <v>265</v>
      </c>
    </row>
    <row r="28" spans="2:2" x14ac:dyDescent="0.35">
      <c r="B28" s="161" t="s">
        <v>266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59999389629810485"/>
    <outlinePr summaryBelow="0" summaryRight="0"/>
    <pageSetUpPr fitToPage="1"/>
  </sheetPr>
  <dimension ref="B1:H871"/>
  <sheetViews>
    <sheetView showGridLines="0" zoomScaleNormal="100" workbookViewId="0">
      <selection activeCell="D16" sqref="D16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4" width="14.796875" style="1" customWidth="1"/>
    <col min="5" max="5" width="5.796875" style="1" customWidth="1"/>
    <col min="6" max="6" width="24.33203125" style="1" customWidth="1"/>
    <col min="7" max="8" width="14.796875" style="1" customWidth="1"/>
    <col min="9" max="9" width="14.33203125" style="1" bestFit="1" customWidth="1"/>
    <col min="10" max="16384" width="12.33203125" style="1"/>
  </cols>
  <sheetData>
    <row r="1" spans="2:8" ht="15" customHeight="1" x14ac:dyDescent="0.35">
      <c r="B1" s="2"/>
      <c r="C1" s="2"/>
      <c r="D1" s="2"/>
      <c r="E1" s="2"/>
      <c r="F1" s="2"/>
      <c r="G1" s="2"/>
      <c r="H1" s="2"/>
    </row>
    <row r="2" spans="2:8" ht="15.75" customHeight="1" x14ac:dyDescent="0.35"/>
    <row r="3" spans="2:8" ht="15.75" customHeight="1" x14ac:dyDescent="0.35">
      <c r="B3" s="18" t="s">
        <v>85</v>
      </c>
      <c r="C3" s="48"/>
      <c r="D3" s="48"/>
      <c r="F3" s="7" t="s">
        <v>58</v>
      </c>
    </row>
    <row r="4" spans="2:8" ht="15.75" customHeight="1" x14ac:dyDescent="0.35">
      <c r="B4" s="1" t="s">
        <v>100</v>
      </c>
      <c r="C4" s="8">
        <v>4.2000000000000003E-2</v>
      </c>
      <c r="F4" s="9" t="s">
        <v>57</v>
      </c>
    </row>
    <row r="5" spans="2:8" ht="15.75" customHeight="1" thickBot="1" x14ac:dyDescent="0.4">
      <c r="B5" s="10" t="s">
        <v>54</v>
      </c>
      <c r="C5" s="11">
        <v>5.2299999999999999E-2</v>
      </c>
      <c r="D5" s="12" t="s">
        <v>62</v>
      </c>
      <c r="F5" s="9" t="s">
        <v>52</v>
      </c>
    </row>
    <row r="6" spans="2:8" ht="15.75" customHeight="1" thickTop="1" x14ac:dyDescent="0.35">
      <c r="B6" s="2" t="s">
        <v>77</v>
      </c>
      <c r="C6" s="23">
        <v>7.0000000000000007E-2</v>
      </c>
      <c r="D6" s="24">
        <v>7.5000000000000011E-2</v>
      </c>
      <c r="F6" s="9"/>
    </row>
    <row r="7" spans="2:8" ht="15.75" customHeight="1" x14ac:dyDescent="0.35"/>
    <row r="8" spans="2:8" ht="15.75" customHeight="1" x14ac:dyDescent="0.35">
      <c r="B8" s="1" t="s">
        <v>51</v>
      </c>
      <c r="C8" s="8">
        <v>1.8100000000000002E-2</v>
      </c>
      <c r="F8" s="9" t="s">
        <v>56</v>
      </c>
    </row>
    <row r="9" spans="2:8" ht="15.75" customHeight="1" x14ac:dyDescent="0.35">
      <c r="B9" s="1" t="s">
        <v>59</v>
      </c>
      <c r="C9" s="8">
        <v>6.5000000000000002E-2</v>
      </c>
      <c r="F9" s="9" t="s">
        <v>55</v>
      </c>
    </row>
    <row r="10" spans="2:8" ht="15.75" customHeight="1" thickBot="1" x14ac:dyDescent="0.4">
      <c r="B10" s="10" t="s">
        <v>60</v>
      </c>
      <c r="C10" s="11">
        <v>0.16</v>
      </c>
      <c r="D10" s="13" t="e">
        <f>Data!#REF!</f>
        <v>#REF!</v>
      </c>
      <c r="F10" s="9" t="s">
        <v>53</v>
      </c>
    </row>
    <row r="11" spans="2:8" ht="15.75" customHeight="1" thickTop="1" x14ac:dyDescent="0.35">
      <c r="B11" s="2" t="s">
        <v>78</v>
      </c>
      <c r="C11" s="22">
        <v>0.08</v>
      </c>
      <c r="D11" s="25"/>
    </row>
    <row r="12" spans="2:8" ht="15.75" customHeight="1" x14ac:dyDescent="0.35"/>
    <row r="13" spans="2:8" ht="15.75" customHeight="1" x14ac:dyDescent="0.35"/>
    <row r="14" spans="2:8" ht="15.75" customHeight="1" x14ac:dyDescent="0.35">
      <c r="B14" s="18" t="s">
        <v>74</v>
      </c>
      <c r="C14" s="48"/>
      <c r="D14" s="48"/>
    </row>
    <row r="15" spans="2:8" ht="15.75" customHeight="1" x14ac:dyDescent="0.35">
      <c r="B15" s="2" t="s">
        <v>73</v>
      </c>
      <c r="C15" s="24">
        <v>0.15</v>
      </c>
      <c r="D15" s="49">
        <v>4</v>
      </c>
    </row>
    <row r="16" spans="2:8" ht="15.75" customHeight="1" x14ac:dyDescent="0.35">
      <c r="B16" s="14" t="s">
        <v>61</v>
      </c>
      <c r="C16" s="15">
        <f>Thesis!C10/(FCF!G66*FCF!C3/Common_Shares*Exchange_Rate)</f>
        <v>0.63074431148319121</v>
      </c>
    </row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</sheetData>
  <phoneticPr fontId="3" type="noConversion"/>
  <conditionalFormatting sqref="C5:C6 C10:C11">
    <cfRule type="containsBlanks" dxfId="3" priority="5">
      <formula>LEN(TRIM(C5))=0</formula>
    </cfRule>
  </conditionalFormatting>
  <conditionalFormatting sqref="D6">
    <cfRule type="containsBlanks" dxfId="2" priority="3">
      <formula>LEN(TRIM(D6))=0</formula>
    </cfRule>
  </conditionalFormatting>
  <conditionalFormatting sqref="D11">
    <cfRule type="containsBlanks" dxfId="1" priority="2">
      <formula>LEN(TRIM(D11))=0</formula>
    </cfRule>
  </conditionalFormatting>
  <conditionalFormatting sqref="C15">
    <cfRule type="containsBlanks" dxfId="0" priority="1">
      <formula>LEN(TRIM(C15))=0</formula>
    </cfRule>
  </conditionalFormatting>
  <hyperlinks>
    <hyperlink ref="F5" r:id="rId1" xr:uid="{05CAC520-89BB-BD4F-AF6D-20DC462EED69}"/>
    <hyperlink ref="F10" r:id="rId2" xr:uid="{343D6FD2-A587-9B4B-AB6E-AD48FE6C7F74}"/>
    <hyperlink ref="F9" r:id="rId3" xr:uid="{7602F69F-AC62-FF4D-B951-375E09EC4A1D}"/>
    <hyperlink ref="F8" r:id="rId4" xr:uid="{0CF3F863-CD82-A442-82A0-DE8716640562}"/>
    <hyperlink ref="F4" r:id="rId5" xr:uid="{1CFA05E6-91A9-9E4A-BC43-C5E90BD0596B}"/>
  </hyperlinks>
  <pageMargins left="0.7" right="0.7" top="0.75" bottom="0.75" header="0" footer="0"/>
  <pageSetup scale="99" orientation="landscape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Thesis</vt:lpstr>
      <vt:lpstr>Data</vt:lpstr>
      <vt:lpstr>FCF</vt:lpstr>
      <vt:lpstr>BS</vt:lpstr>
      <vt:lpstr>r_e</vt:lpstr>
      <vt:lpstr>Model</vt:lpstr>
      <vt:lpstr>Dashboard</vt:lpstr>
      <vt:lpstr>Common_Shares</vt:lpstr>
      <vt:lpstr>Exchange_Rate</vt:lpstr>
      <vt:lpstr>Market_Price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2025-02-20T10:05:38Z</cp:lastPrinted>
  <dcterms:created xsi:type="dcterms:W3CDTF">2022-08-10T03:52:42Z</dcterms:created>
  <dcterms:modified xsi:type="dcterms:W3CDTF">2025-02-20T10:21:48Z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