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5DAB014C-9B41-49C7-A05D-552F6F9F10C9}"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externalReferences>
    <externalReference r:id="rId7"/>
  </externalReferences>
  <definedNames>
    <definedName name="_xlnm._FilterDatabase" localSheetId="1" hidden="1">Opportunities!$B$2:$Q$2</definedName>
    <definedName name="AddInfoCommentBox1">#REF!</definedName>
    <definedName name="AddInfoName1">#REF!</definedName>
    <definedName name="AddInfoTextBox1">#REF!</definedName>
    <definedName name="AURABOOKMARK4">#REF!</definedName>
    <definedName name="AuraStyleDefaultsReset" hidden="1">#N/A</definedName>
    <definedName name="AvgRate202109">#REF!</definedName>
    <definedName name="AvgRate2022">#REF!</definedName>
    <definedName name="AvgRate202409">#REF!</definedName>
    <definedName name="benchmark">Portfolio_Mgmt!$C$10</definedName>
    <definedName name="Cash_Yield">Portfolio_Mgmt!$C$11</definedName>
    <definedName name="CDC">#REF!</definedName>
    <definedName name="Chinese_Client_Name">#REF!</definedName>
    <definedName name="Client_Name">#REF!</definedName>
    <definedName name="ClosingRate202109">#REF!</definedName>
    <definedName name="ClosingRate2022">#REF!</definedName>
    <definedName name="ClosingRate202403">#REF!</definedName>
    <definedName name="ClosingRate202409">#REF!</definedName>
    <definedName name="CommentBox1a">#REF!</definedName>
    <definedName name="Currency">#REF!</definedName>
    <definedName name="CY">#REF!</definedName>
    <definedName name="exchange_rate">[1]白银数据!$F$2</definedName>
    <definedName name="GMV">#REF!</definedName>
    <definedName name="Long_term_loans">#REF!</definedName>
    <definedName name="Name10c">#REF!</definedName>
    <definedName name="Name1a">#REF!</definedName>
    <definedName name="Name1b">#REF!</definedName>
    <definedName name="Name1c">#REF!</definedName>
    <definedName name="Name1d">#REF!</definedName>
    <definedName name="Name1e">#REF!</definedName>
    <definedName name="Name1f">#REF!</definedName>
    <definedName name="Name2a">#REF!</definedName>
    <definedName name="Name2b">#REF!</definedName>
    <definedName name="Name3a">#REF!</definedName>
    <definedName name="Name3b">#REF!</definedName>
    <definedName name="Name3c">#REF!</definedName>
    <definedName name="Name4a">#REF!</definedName>
    <definedName name="Name4b">#REF!</definedName>
    <definedName name="NSProjectionMethodIndex">#REF!</definedName>
    <definedName name="NSRequiredLevelOfEvidenceItems">#REF!</definedName>
    <definedName name="NSTargetedTestingItems">#REF!</definedName>
    <definedName name="PDC">#REF!</definedName>
    <definedName name="Period_Ended">#REF!</definedName>
    <definedName name="PIE">#REF!</definedName>
    <definedName name="PY">#REF!</definedName>
    <definedName name="Scenario_Copy">#REF!</definedName>
    <definedName name="Scenario_Count">#REF!</definedName>
    <definedName name="Scenario_Paste">#REF!</definedName>
    <definedName name="Scenario_Switch">#REF!</definedName>
    <definedName name="TextBox1a">#REF!</definedName>
    <definedName name="TTDesiredLevelOfEvidenceItems">#REF!</definedName>
    <definedName name="TwoStepMisstatementIdentified">#REF!</definedName>
    <definedName name="TwoStepTolerableEstMisstmtCalc">#REF!</definedName>
    <definedName name="WW3f877d8e32714ec8a8180854ed7f8276_634328481945590045" hidden="1">#REF!</definedName>
    <definedName name="WW3f877d8e32714ec8a8180854ed7f8276_634328482352282765" hidden="1">#REF!</definedName>
    <definedName name="Year">#REF!</definedName>
    <definedName name="黄色">#REF!,#REF!,#REF!,#REF!,#REF!,#REF!,#REF!,#REF!,#REF!,#REF!,#REF!,#REF!,#REF!,#REF!,#REF!,#REF!,#REF!</definedName>
  </definedNames>
  <calcPr calcId="191029"/>
</workbook>
</file>

<file path=xl/calcChain.xml><?xml version="1.0" encoding="utf-8"?>
<calcChain xmlns="http://schemas.openxmlformats.org/spreadsheetml/2006/main">
  <c r="H3" i="1" l="1"/>
  <c r="H4" i="1"/>
  <c r="H5" i="1"/>
  <c r="H6" i="1"/>
  <c r="H7" i="1"/>
  <c r="H8" i="1"/>
  <c r="H9" i="1"/>
  <c r="H10" i="1"/>
  <c r="H11" i="1"/>
  <c r="G3" i="1"/>
  <c r="G4" i="1"/>
  <c r="G5" i="1"/>
  <c r="G6" i="1"/>
  <c r="G7" i="1"/>
  <c r="G8" i="1"/>
  <c r="G9" i="1"/>
  <c r="G10" i="1"/>
  <c r="G11" i="1"/>
  <c r="F6" i="7"/>
  <c r="F5" i="7"/>
  <c r="F4" i="7"/>
  <c r="C31" i="5"/>
  <c r="F8" i="7" l="1"/>
  <c r="E60" i="5"/>
  <c r="C36" i="5"/>
  <c r="G4" i="7" l="1"/>
  <c r="G6" i="7"/>
  <c r="G3" i="7"/>
  <c r="G5" i="7"/>
  <c r="E61" i="5"/>
  <c r="C16" i="2"/>
  <c r="C10" i="5" s="1"/>
  <c r="C11" i="5"/>
  <c r="E6" i="2"/>
  <c r="E5" i="2"/>
  <c r="E4" i="2"/>
  <c r="D112" i="5" l="1"/>
  <c r="C64" i="5"/>
  <c r="C65" i="5" s="1"/>
</calcChain>
</file>

<file path=xl/sharedStrings.xml><?xml version="1.0" encoding="utf-8"?>
<sst xmlns="http://schemas.openxmlformats.org/spreadsheetml/2006/main" count="290" uniqueCount="261">
  <si>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</si>
  <si>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</si>
  <si>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</si>
  <si>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</si>
  <si>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</si>
  <si>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</si>
  <si>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</si>
  <si>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</si>
  <si>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</si>
  <si>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</si>
  <si>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</si>
  <si>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</si>
  <si>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</si>
  <si>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</si>
  <si>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</si>
  <si>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</si>
  <si>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</si>
  <si>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</si>
  <si>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</si>
  <si>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</si>
  <si>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</si>
  <si>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</si>
  <si>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</si>
  <si>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</si>
  <si>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</si>
  <si>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</si>
  <si>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</si>
  <si>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</si>
  <si>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</si>
  <si>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</si>
  <si>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</si>
  <si>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</si>
  <si>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</si>
  <si>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</si>
  <si>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</si>
  <si>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</si>
  <si>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</si>
  <si>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</si>
  <si>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</si>
  <si>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</si>
  <si>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</si>
  <si>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</si>
  <si>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</si>
  <si>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</si>
  <si>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</si>
  <si>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</si>
  <si>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</si>
  <si>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</si>
  <si>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</si>
  <si>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</si>
  <si>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</si>
  <si>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</si>
  <si>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</si>
  <si>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</si>
  <si>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</si>
  <si>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</si>
  <si>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</si>
  <si>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</si>
  <si>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</si>
  <si>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</si>
  <si>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</si>
  <si>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</si>
  <si>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</si>
  <si>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</si>
  <si>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</si>
  <si>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</si>
  <si>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</si>
  <si>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</si>
  <si>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</si>
  <si>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</si>
  <si>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</si>
  <si>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</si>
  <si>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</si>
  <si>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</si>
  <si>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Recession expected</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</si>
  <si>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</si>
  <si>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</si>
  <si>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</si>
  <si>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</si>
  <si>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Expansion expected</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</si>
  <si>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</si>
  <si>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</si>
  <si>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</si>
  <si>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</si>
  <si>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</si>
  <si>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</si>
  <si>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</si>
  <si>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</si>
  <si>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</si>
  <si>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</si>
  <si>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</si>
  <si>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</si>
  <si>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</si>
  <si>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</si>
  <si>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</si>
  <si>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</si>
  <si>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</si>
  <si>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</si>
  <si>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</si>
  <si>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</si>
  <si>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</si>
  <si>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</si>
  <si>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</si>
  <si>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</si>
  <si>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</si>
  <si>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</si>
  <si>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</si>
  <si>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</si>
  <si>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</si>
  <si>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</si>
  <si>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</si>
  <si>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</si>
  <si>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</si>
  <si>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</si>
  <si>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</si>
  <si>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</si>
  <si>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</si>
  <si>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</si>
  <si>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</si>
  <si>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</si>
  <si>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</si>
  <si>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</si>
  <si>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</si>
  <si>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</si>
  <si>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</si>
  <si>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</si>
  <si>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</si>
  <si>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</si>
  <si>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</si>
  <si>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</si>
  <si>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</si>
  <si>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</si>
  <si>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</si>
  <si>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</si>
  <si>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</si>
  <si>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</si>
  <si>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</si>
  <si>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</si>
  <si>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</si>
  <si>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</si>
  <si>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</si>
  <si>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</si>
  <si>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</si>
  <si>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</si>
  <si>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</si>
  <si>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</si>
  <si>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</si>
  <si>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</si>
  <si>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</si>
  <si>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</si>
  <si>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</si>
  <si>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</si>
  <si>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</si>
  <si>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</si>
  <si>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</si>
  <si>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</si>
  <si>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</si>
  <si>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</si>
  <si>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0590.HK</t>
  </si>
  <si>
    <t>六福珠宝</t>
  </si>
  <si>
    <t>HKD</t>
  </si>
  <si>
    <t>CNS_05</t>
  </si>
  <si>
    <t xml:space="preserve">Low Growth </t>
  </si>
  <si>
    <t>Y</t>
  </si>
  <si>
    <t>0083.HK</t>
  </si>
  <si>
    <t>SINO LAND</t>
  </si>
  <si>
    <t>RES_01</t>
  </si>
  <si>
    <t>Negative Growth Asset Play</t>
  </si>
  <si>
    <t>6601.HK</t>
  </si>
  <si>
    <t>朝云集团</t>
  </si>
  <si>
    <t>CNS_04</t>
  </si>
  <si>
    <t>Low Growth Asset Play</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</si>
  <si>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</si>
  <si>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</si>
  <si>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</si>
  <si>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</si>
  <si>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</si>
  <si>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</si>
  <si>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</si>
  <si>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</si>
  <si>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</si>
  <si>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</si>
  <si>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</si>
  <si>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</si>
  <si>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</si>
  <si>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</si>
  <si>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</si>
  <si>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</si>
  <si>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</si>
  <si>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</si>
  <si>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</si>
  <si>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</si>
  <si>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</si>
  <si>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</si>
  <si>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</si>
  <si>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</si>
  <si>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</si>
  <si>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</si>
  <si>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</si>
  <si>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</si>
  <si>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</si>
  <si>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</si>
  <si>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</si>
  <si>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</si>
  <si>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</si>
  <si>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</si>
  <si>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</si>
  <si>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</si>
  <si>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</si>
  <si>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</si>
  <si>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</si>
  <si>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</si>
  <si>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</si>
  <si>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</si>
  <si>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</si>
  <si>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</si>
  <si>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</si>
  <si>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</si>
  <si>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</si>
  <si>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</si>
  <si>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</si>
  <si>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</si>
  <si>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</si>
  <si>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</si>
  <si>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</si>
  <si>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</si>
  <si>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</si>
  <si>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</si>
  <si>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</si>
  <si>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</si>
  <si>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</si>
  <si>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0083.HK</t>
    <phoneticPr fontId="2" type="noConversion"/>
  </si>
  <si>
    <t>0590.HK</t>
    <phoneticPr fontId="2" type="noConversion"/>
  </si>
  <si>
    <t>Cash in HK</t>
    <phoneticPr fontId="2" type="noConversion"/>
  </si>
  <si>
    <t>nm</t>
    <phoneticPr fontId="2" type="noConversion"/>
  </si>
  <si>
    <t>Total</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</si>
  <si>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</si>
  <si>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</si>
  <si>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0857.HK</t>
  </si>
  <si>
    <t>中国石油股份</t>
  </si>
  <si>
    <t xml:space="preserve">Negative Growth </t>
  </si>
  <si>
    <t>ENG_01</t>
  </si>
  <si>
    <t>0168.HK</t>
  </si>
  <si>
    <t>青島啤酒股份</t>
  </si>
  <si>
    <t>CNS_03</t>
  </si>
  <si>
    <t>0857.HK</t>
    <phoneticPr fontId="2" type="noConversion"/>
  </si>
  <si>
    <t>%</t>
    <phoneticPr fontId="2" type="noConversion"/>
  </si>
  <si>
    <t>1910.HK</t>
  </si>
  <si>
    <t>新秀麗</t>
  </si>
  <si>
    <t>CNS_02</t>
  </si>
  <si>
    <t>N</t>
  </si>
  <si>
    <t xml:space="preserve">High Growth </t>
  </si>
  <si>
    <t>0303.HK</t>
  </si>
  <si>
    <t>偉易達</t>
  </si>
  <si>
    <t>SIRI</t>
  </si>
  <si>
    <t>Sirius XM Holdings Inc.</t>
  </si>
  <si>
    <t>USD</t>
  </si>
  <si>
    <t>TMT_05</t>
  </si>
  <si>
    <t>KHC</t>
  </si>
  <si>
    <t>The Kraft Heinz Company</t>
  </si>
  <si>
    <t>CNS_01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</si>
</sst>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yyyy\-mm\-dd;@"/>
    <numFmt numFmtId="177" formatCode="[$-13C09]d\ mmm\ yyyy;@"/>
    <numFmt numFmtId="178" formatCode="0&quot; yrs&quot;"/>
    <numFmt numFmtId="179" formatCode="#,##0.00_);\(#,##0.00\)"/>
    <numFmt numFmtId="180" formatCode="#,##0_);\(#,##0\)"/>
  </numFmts>
  <fonts count="33">
    <font>
      <sz val="11"/>
      <color theme="1"/>
      <name val="等线"/>
      <family val="2"/>
      <scheme val="minor"/>
    </font>
    <font>
      <sz val="10"/>
      <color rgb="FF000000"/>
      <name val="等线"/>
      <family val="2"/>
      <scheme val="minor"/>
    </font>
    <font>
      <sz val="9"/>
      <name val="等线"/>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等线"/>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87">
    <xf numFmtId="0" fontId="0" fillId="0" borderId="0" xfId="0"/>
    <xf numFmtId="0" fontId="3" fillId="0" borderId="0" xfId="0" applyFont="1"/>
    <xf numFmtId="4" fontId="3" fillId="0" borderId="0" xfId="0" applyNumberFormat="1" applyFont="1"/>
    <xf numFmtId="177"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77"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76" fontId="3" fillId="0" borderId="0" xfId="0" applyNumberFormat="1" applyFont="1" applyAlignment="1">
      <alignment horizontal="center"/>
    </xf>
    <xf numFmtId="177"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76"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178" fontId="22" fillId="0" borderId="0" xfId="0" applyNumberFormat="1" applyFont="1" applyAlignment="1">
      <alignment horizontal="center"/>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79" fontId="11" fillId="0" borderId="0" xfId="0" applyNumberFormat="1" applyFont="1" applyAlignment="1">
      <alignment horizontal="center"/>
    </xf>
    <xf numFmtId="180" fontId="11" fillId="0" borderId="4" xfId="0" applyNumberFormat="1" applyFont="1" applyBorder="1" applyAlignment="1">
      <alignment horizontal="right"/>
    </xf>
    <xf numFmtId="180" fontId="9" fillId="0" borderId="4" xfId="0" applyNumberFormat="1" applyFont="1" applyBorder="1" applyAlignment="1">
      <alignment horizontal="right"/>
    </xf>
    <xf numFmtId="0" fontId="12" fillId="0" borderId="0" xfId="0" applyFont="1"/>
    <xf numFmtId="0" fontId="9" fillId="0" borderId="0" xfId="0" applyFont="1"/>
    <xf numFmtId="17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79" fontId="30" fillId="0" borderId="0" xfId="0" applyNumberFormat="1" applyFont="1" applyAlignment="1">
      <alignment horizontal="center"/>
    </xf>
    <xf numFmtId="180" fontId="30" fillId="0" borderId="0" xfId="0" applyNumberFormat="1" applyFont="1" applyAlignment="1">
      <alignment horizontal="center"/>
    </xf>
    <xf numFmtId="179" fontId="30" fillId="0" borderId="0" xfId="0" applyNumberFormat="1" applyFont="1" applyAlignment="1">
      <alignment horizontal="right"/>
    </xf>
    <xf numFmtId="180" fontId="30" fillId="0" borderId="0" xfId="0" applyNumberFormat="1" applyFont="1" applyAlignment="1">
      <alignment horizontal="right"/>
    </xf>
    <xf numFmtId="180" fontId="31" fillId="0" borderId="0" xfId="0" applyNumberFormat="1" applyFont="1" applyAlignment="1">
      <alignment horizontal="right"/>
    </xf>
    <xf numFmtId="0" fontId="32" fillId="0" borderId="0" xfId="3">
      <alignment vertical="center"/>
    </xf>
    <xf numFmtId="10" fontId="28"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4" fontId="6" fillId="5" borderId="3" xfId="0" applyNumberFormat="1" applyFont="1" applyFill="1" applyBorder="1" applyAlignment="1">
      <alignment horizontal="center"/>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0"/>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0b10873df2abd437/&#25991;&#26723;/Work/1.%20PSP&#19994;&#21153;/iv.%209913&#39033;&#30446;/1.%20&#26041;&#26696;&#21450;&#25253;&#20215;/1.1.%20&#36130;&#21153;&#20998;&#26512;/&#26234;&#21220;PSP&#35745;&#21010;&#36130;&#21153;&#20998;&#26512;%20v20250323.xlsx" TargetMode="External"/><Relationship Id="rId1" Type="http://schemas.openxmlformats.org/officeDocument/2006/relationships/externalLinkPath" Target="https://d.docs.live.net/0b10873df2abd437/&#25991;&#26723;/Work/1.%20PSP&#19994;&#21153;/iv.%209913&#39033;&#30446;/1.%20&#26041;&#26696;&#21450;&#25253;&#20215;/1.1.%20&#36130;&#21153;&#20998;&#26512;/&#26234;&#21220;PSP&#35745;&#21010;&#36130;&#21153;&#20998;&#26512;%20v2025032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财务预测&gt;"/>
      <sheetName val="数商时代"/>
      <sheetName val="PSP计划"/>
      <sheetName val="PSP相关费用"/>
      <sheetName val="财务分析&gt;"/>
      <sheetName val="审计数据"/>
      <sheetName val="白银数据"/>
      <sheetName val="PSP分析"/>
      <sheetName val="原始数据&gt;"/>
      <sheetName val="CK12_PL 20240930"/>
      <sheetName val="白银智勤 TB 20240930"/>
      <sheetName val="白银智勤审计数据"/>
      <sheetName val="智勤商城数据"/>
      <sheetName val="智勤优品数据"/>
      <sheetName val="2024年3月31日年度(12個月)"/>
      <sheetName val="2023年3月31日年度(12個月)"/>
      <sheetName val="2024年4月至12月(9個月)"/>
      <sheetName val="利润表2024年9期"/>
      <sheetName val="链嬴"/>
      <sheetName val="Sheet1"/>
    </sheetNames>
    <sheetDataSet>
      <sheetData sheetId="0" refreshError="1"/>
      <sheetData sheetId="1" refreshError="1"/>
      <sheetData sheetId="2" refreshError="1"/>
      <sheetData sheetId="3" refreshError="1"/>
      <sheetData sheetId="4" refreshError="1"/>
      <sheetData sheetId="5" refreshError="1"/>
      <sheetData sheetId="6">
        <row r="2">
          <cell r="F2">
            <v>0.92</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31" workbookViewId="0">
      <selection activeCell="F69" sqref="F69"/>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172</v>
      </c>
    </row>
    <row r="2" spans="1:5">
      <c r="A2" s="21" t="s">
        <v>55</v>
      </c>
      <c r="B2" s="21"/>
      <c r="C2" s="21"/>
      <c r="D2" s="21"/>
      <c r="E2" s="21"/>
    </row>
    <row r="4" spans="1:5" ht="24.4" customHeight="1">
      <c r="B4" s="76" t="s">
        <v>221</v>
      </c>
      <c r="C4" s="76"/>
      <c r="D4" s="76"/>
      <c r="E4" s="76"/>
    </row>
    <row r="6" spans="1:5">
      <c r="A6" s="20" t="s">
        <v>66</v>
      </c>
      <c r="B6" s="19" t="s">
        <v>204</v>
      </c>
      <c r="C6" s="62"/>
    </row>
    <row r="7" spans="1:5">
      <c r="B7" s="76" t="s">
        <v>209</v>
      </c>
      <c r="C7" s="76"/>
      <c r="D7" s="76"/>
      <c r="E7" s="76"/>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206</v>
      </c>
      <c r="C14" s="4" t="s">
        <v>207</v>
      </c>
    </row>
    <row r="15" spans="1:5">
      <c r="B15" s="1" t="s">
        <v>152</v>
      </c>
      <c r="C15" s="24" t="s">
        <v>150</v>
      </c>
    </row>
    <row r="16" spans="1:5">
      <c r="B16" s="1" t="s">
        <v>153</v>
      </c>
      <c r="C16" s="24" t="s">
        <v>151</v>
      </c>
    </row>
    <row r="18" spans="1:5">
      <c r="B18" s="23" t="s">
        <v>60</v>
      </c>
    </row>
    <row r="19" spans="1:5">
      <c r="B19" s="24" t="s">
        <v>100</v>
      </c>
    </row>
    <row r="20" spans="1:5">
      <c r="B20" s="24" t="s">
        <v>85</v>
      </c>
    </row>
    <row r="21" spans="1:5">
      <c r="B21" s="24" t="s">
        <v>205</v>
      </c>
    </row>
    <row r="23" spans="1:5">
      <c r="A23" s="25" t="s">
        <v>67</v>
      </c>
      <c r="B23" s="19" t="s">
        <v>203</v>
      </c>
      <c r="C23" s="62"/>
    </row>
    <row r="24" spans="1:5">
      <c r="A24" s="18"/>
      <c r="B24" s="76" t="s">
        <v>220</v>
      </c>
      <c r="C24" s="76"/>
      <c r="D24" s="76"/>
      <c r="E24" s="76"/>
    </row>
    <row r="25" spans="1:5">
      <c r="A25" s="18"/>
    </row>
    <row r="26" spans="1:5">
      <c r="A26" s="18"/>
      <c r="B26" s="51" t="s">
        <v>154</v>
      </c>
      <c r="C26" s="51" t="s">
        <v>148</v>
      </c>
    </row>
    <row r="27" spans="1:5">
      <c r="B27" s="26" t="s">
        <v>86</v>
      </c>
      <c r="C27" s="52">
        <v>6</v>
      </c>
    </row>
    <row r="28" spans="1:5">
      <c r="B28" s="26" t="s">
        <v>63</v>
      </c>
      <c r="C28" s="53">
        <v>0.3</v>
      </c>
    </row>
    <row r="30" spans="1:5">
      <c r="B30" s="51" t="s">
        <v>155</v>
      </c>
      <c r="C30" s="51" t="s">
        <v>148</v>
      </c>
    </row>
    <row r="31" spans="1:5">
      <c r="B31" s="26" t="s">
        <v>149</v>
      </c>
      <c r="C31" s="60">
        <f>C27-C32</f>
        <v>5</v>
      </c>
    </row>
    <row r="32" spans="1:5">
      <c r="B32" s="26" t="s">
        <v>147</v>
      </c>
      <c r="C32" s="59">
        <v>1</v>
      </c>
    </row>
    <row r="34" spans="1:5">
      <c r="A34" s="20" t="s">
        <v>68</v>
      </c>
      <c r="B34" s="19" t="s">
        <v>15</v>
      </c>
      <c r="C34" s="62"/>
      <c r="D34" s="22"/>
    </row>
    <row r="35" spans="1:5">
      <c r="B35" s="1" t="s">
        <v>16</v>
      </c>
      <c r="C35" s="48">
        <v>0.25</v>
      </c>
      <c r="D35" s="18" t="s">
        <v>56</v>
      </c>
      <c r="E35" s="50">
        <v>3</v>
      </c>
    </row>
    <row r="36" spans="1:5">
      <c r="B36" s="1" t="s">
        <v>17</v>
      </c>
      <c r="C36" s="49">
        <f>MAX(8%,Market_Yield!C4:D6)</f>
        <v>0.08</v>
      </c>
    </row>
    <row r="38" spans="1:5">
      <c r="B38" s="20" t="s">
        <v>87</v>
      </c>
    </row>
    <row r="39" spans="1:5">
      <c r="B39" s="76" t="s">
        <v>156</v>
      </c>
      <c r="C39" s="76"/>
      <c r="D39" s="76"/>
      <c r="E39" s="76"/>
    </row>
    <row r="40" spans="1:5" ht="46.6" customHeight="1">
      <c r="B40" s="76" t="s">
        <v>237</v>
      </c>
      <c r="C40" s="76"/>
      <c r="D40" s="76"/>
      <c r="E40" s="76"/>
    </row>
    <row r="42" spans="1:5">
      <c r="A42" s="21" t="s">
        <v>187</v>
      </c>
      <c r="B42" s="21"/>
      <c r="C42" s="21"/>
      <c r="D42" s="21"/>
      <c r="E42" s="21"/>
    </row>
    <row r="44" spans="1:5">
      <c r="B44" s="76" t="s">
        <v>208</v>
      </c>
      <c r="C44" s="76"/>
      <c r="D44" s="76"/>
      <c r="E44" s="76"/>
    </row>
    <row r="46" spans="1:5">
      <c r="B46" s="23" t="s">
        <v>92</v>
      </c>
    </row>
    <row r="48" spans="1:5">
      <c r="B48" s="51" t="s">
        <v>93</v>
      </c>
      <c r="C48" s="51" t="s">
        <v>199</v>
      </c>
      <c r="D48" s="57"/>
      <c r="E48" s="57"/>
    </row>
    <row r="49" spans="2:5">
      <c r="B49" s="26" t="s">
        <v>89</v>
      </c>
      <c r="C49" s="29">
        <v>0.6</v>
      </c>
      <c r="D49" s="58"/>
      <c r="E49" s="56"/>
    </row>
    <row r="50" spans="2:5">
      <c r="B50" s="26" t="s">
        <v>90</v>
      </c>
      <c r="C50" s="29">
        <v>0.4</v>
      </c>
      <c r="D50" s="58"/>
      <c r="E50" s="56"/>
    </row>
    <row r="51" spans="2:5">
      <c r="B51" s="26" t="s">
        <v>91</v>
      </c>
      <c r="C51" s="29">
        <v>0.3</v>
      </c>
      <c r="D51" s="63" t="s">
        <v>222</v>
      </c>
      <c r="E51" s="56"/>
    </row>
    <row r="53" spans="2:5">
      <c r="B53" s="23" t="s">
        <v>88</v>
      </c>
    </row>
    <row r="55" spans="2:5">
      <c r="B55" s="51" t="s">
        <v>94</v>
      </c>
      <c r="C55" s="51" t="s">
        <v>95</v>
      </c>
      <c r="D55" s="51" t="s">
        <v>96</v>
      </c>
      <c r="E55" s="51" t="s">
        <v>97</v>
      </c>
    </row>
    <row r="56" spans="2:5">
      <c r="B56" s="26" t="s">
        <v>69</v>
      </c>
      <c r="C56" s="26" t="s">
        <v>76</v>
      </c>
      <c r="D56" s="26" t="s">
        <v>77</v>
      </c>
      <c r="E56" s="41">
        <v>1</v>
      </c>
    </row>
    <row r="57" spans="2:5">
      <c r="B57" s="26" t="s">
        <v>70</v>
      </c>
      <c r="C57" s="26" t="s">
        <v>73</v>
      </c>
      <c r="D57" s="26" t="s">
        <v>78</v>
      </c>
      <c r="E57" s="41">
        <v>2</v>
      </c>
    </row>
    <row r="58" spans="2:5">
      <c r="B58" s="26" t="s">
        <v>71</v>
      </c>
      <c r="C58" s="26" t="s">
        <v>74</v>
      </c>
      <c r="D58" s="26" t="s">
        <v>79</v>
      </c>
      <c r="E58" s="41">
        <v>1</v>
      </c>
    </row>
    <row r="59" spans="2:5">
      <c r="B59" s="26" t="s">
        <v>72</v>
      </c>
      <c r="C59" s="26" t="s">
        <v>75</v>
      </c>
      <c r="D59" s="26" t="s">
        <v>80</v>
      </c>
      <c r="E59" s="41">
        <v>1</v>
      </c>
    </row>
    <row r="60" spans="2:5">
      <c r="D60" s="27" t="s">
        <v>81</v>
      </c>
      <c r="E60" s="40">
        <f>SUM(E56:E59)</f>
        <v>5</v>
      </c>
    </row>
    <row r="61" spans="2:5" ht="12" thickBot="1">
      <c r="D61" s="42" t="s">
        <v>197</v>
      </c>
      <c r="E61" s="43">
        <f>IF(E60&lt;=2,C49,IF(E60&gt;=6,C51,C50))</f>
        <v>0.4</v>
      </c>
    </row>
    <row r="62" spans="2:5" ht="12" thickTop="1"/>
    <row r="63" spans="2:5">
      <c r="B63" s="23" t="s">
        <v>198</v>
      </c>
    </row>
    <row r="64" spans="2:5">
      <c r="B64" s="54" t="s">
        <v>173</v>
      </c>
      <c r="C64" s="55">
        <f>-E61*(C35-Cash_Yield)</f>
        <v>-8.6199999999999999E-2</v>
      </c>
    </row>
    <row r="65" spans="1:5">
      <c r="B65" s="54" t="s">
        <v>174</v>
      </c>
      <c r="C65" s="55">
        <f>C35+C64</f>
        <v>0.1638</v>
      </c>
    </row>
    <row r="66" spans="1:5">
      <c r="B66" s="45"/>
      <c r="C66" s="46"/>
    </row>
    <row r="67" spans="1:5">
      <c r="B67" s="39" t="s">
        <v>202</v>
      </c>
    </row>
    <row r="69" spans="1:5">
      <c r="A69" s="21" t="s">
        <v>82</v>
      </c>
      <c r="B69" s="21"/>
      <c r="C69" s="21"/>
      <c r="D69" s="21"/>
      <c r="E69" s="21"/>
    </row>
    <row r="71" spans="1:5">
      <c r="B71" s="76" t="s">
        <v>196</v>
      </c>
      <c r="C71" s="76"/>
      <c r="D71" s="76"/>
      <c r="E71" s="76"/>
    </row>
    <row r="73" spans="1:5">
      <c r="A73" s="28" t="s">
        <v>66</v>
      </c>
      <c r="B73" s="20" t="s">
        <v>178</v>
      </c>
    </row>
    <row r="74" spans="1:5">
      <c r="B74" s="24" t="s">
        <v>224</v>
      </c>
    </row>
    <row r="75" spans="1:5">
      <c r="B75" s="24" t="s">
        <v>223</v>
      </c>
    </row>
    <row r="77" spans="1:5">
      <c r="A77" s="28" t="s">
        <v>128</v>
      </c>
      <c r="B77" s="20" t="s">
        <v>177</v>
      </c>
    </row>
    <row r="78" spans="1:5">
      <c r="B78" s="39" t="s">
        <v>179</v>
      </c>
    </row>
    <row r="79" spans="1:5">
      <c r="B79" s="24" t="s">
        <v>180</v>
      </c>
    </row>
    <row r="80" spans="1:5">
      <c r="B80" s="24" t="s">
        <v>181</v>
      </c>
    </row>
    <row r="81" spans="1:5">
      <c r="B81" s="24" t="s">
        <v>188</v>
      </c>
    </row>
    <row r="83" spans="1:5">
      <c r="A83" s="28" t="s">
        <v>146</v>
      </c>
      <c r="B83" s="20" t="s">
        <v>216</v>
      </c>
    </row>
    <row r="84" spans="1:5">
      <c r="B84" s="24" t="s">
        <v>191</v>
      </c>
    </row>
    <row r="85" spans="1:5">
      <c r="B85" s="79" t="s">
        <v>192</v>
      </c>
      <c r="C85" s="79"/>
      <c r="D85" s="79"/>
      <c r="E85" s="79"/>
    </row>
    <row r="86" spans="1:5">
      <c r="B86" s="78" t="s">
        <v>190</v>
      </c>
      <c r="C86" s="78"/>
      <c r="D86" s="78"/>
      <c r="E86" s="78"/>
    </row>
    <row r="87" spans="1:5" ht="24.4" customHeight="1">
      <c r="B87" s="76" t="s">
        <v>189</v>
      </c>
      <c r="C87" s="76"/>
      <c r="D87" s="76"/>
      <c r="E87" s="76"/>
    </row>
    <row r="88" spans="1:5" ht="24.4" customHeight="1">
      <c r="B88" s="76" t="s">
        <v>225</v>
      </c>
      <c r="C88" s="76"/>
      <c r="D88" s="76"/>
      <c r="E88" s="76"/>
    </row>
    <row r="90" spans="1:5">
      <c r="B90" s="24" t="s">
        <v>194</v>
      </c>
    </row>
    <row r="91" spans="1:5">
      <c r="B91" s="1" t="s">
        <v>193</v>
      </c>
    </row>
    <row r="92" spans="1:5">
      <c r="B92" s="61" t="s">
        <v>182</v>
      </c>
    </row>
    <row r="93" spans="1:5">
      <c r="B93" s="24" t="s">
        <v>195</v>
      </c>
    </row>
    <row r="94" spans="1:5">
      <c r="B94" s="24" t="s">
        <v>183</v>
      </c>
    </row>
    <row r="96" spans="1:5">
      <c r="B96" s="24" t="s">
        <v>210</v>
      </c>
    </row>
    <row r="97" spans="1:5">
      <c r="B97" s="77" t="s">
        <v>211</v>
      </c>
      <c r="C97" s="77"/>
      <c r="D97" s="77"/>
      <c r="E97" s="77"/>
    </row>
    <row r="99" spans="1:5">
      <c r="B99" s="24" t="s">
        <v>215</v>
      </c>
    </row>
    <row r="100" spans="1:5" ht="12.4">
      <c r="B100" s="77" t="s">
        <v>212</v>
      </c>
      <c r="C100" s="77"/>
      <c r="D100" s="77"/>
      <c r="E100" s="77"/>
    </row>
    <row r="101" spans="1:5" ht="58.5" customHeight="1">
      <c r="B101" s="76" t="s">
        <v>219</v>
      </c>
      <c r="C101" s="76"/>
      <c r="D101" s="76"/>
      <c r="E101" s="76"/>
    </row>
    <row r="103" spans="1:5">
      <c r="A103" s="28" t="s">
        <v>185</v>
      </c>
      <c r="B103" s="20" t="s">
        <v>184</v>
      </c>
    </row>
    <row r="104" spans="1:5">
      <c r="B104" s="1" t="s">
        <v>200</v>
      </c>
    </row>
    <row r="105" spans="1:5">
      <c r="B105" s="1" t="s">
        <v>201</v>
      </c>
    </row>
    <row r="107" spans="1:5">
      <c r="B107" s="1" t="s">
        <v>186</v>
      </c>
    </row>
    <row r="108" spans="1:5">
      <c r="B108" s="1" t="s">
        <v>213</v>
      </c>
    </row>
    <row r="110" spans="1:5">
      <c r="B110" s="23" t="s">
        <v>157</v>
      </c>
    </row>
    <row r="111" spans="1:5">
      <c r="B111" s="1" t="s">
        <v>175</v>
      </c>
      <c r="C111" s="44">
        <v>0.4</v>
      </c>
    </row>
    <row r="112" spans="1:5">
      <c r="B112" s="1" t="s">
        <v>176</v>
      </c>
      <c r="C112" s="44">
        <v>0.11210459565877447</v>
      </c>
      <c r="D112" s="62" t="str">
        <f>IF(C112&lt;benchmark,"Warning: Return is lower than the Benchmark.","")</f>
        <v>Warning: Return is lower than the Benchmark.</v>
      </c>
    </row>
    <row r="114" spans="1:5" ht="24.4" customHeight="1">
      <c r="B114" s="76" t="s">
        <v>217</v>
      </c>
      <c r="C114" s="76"/>
      <c r="D114" s="76"/>
      <c r="E114" s="76"/>
    </row>
    <row r="116" spans="1:5">
      <c r="A116" s="21" t="s">
        <v>83</v>
      </c>
      <c r="B116" s="21"/>
      <c r="C116" s="21"/>
      <c r="D116" s="21"/>
      <c r="E116" s="21"/>
    </row>
    <row r="118" spans="1:5">
      <c r="B118" s="20" t="s">
        <v>84</v>
      </c>
    </row>
    <row r="119" spans="1:5">
      <c r="B119" s="24" t="s">
        <v>98</v>
      </c>
    </row>
    <row r="120" spans="1:5">
      <c r="B120" s="24" t="s">
        <v>99</v>
      </c>
    </row>
    <row r="121" spans="1:5">
      <c r="B121" s="24" t="s">
        <v>218</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Q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F4" sqref="F4"/>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1" width="8.6640625" style="2" customWidth="1"/>
    <col min="12" max="14" width="8.6640625" style="1" customWidth="1"/>
    <col min="15" max="15" width="22.73046875" style="1" bestFit="1" customWidth="1"/>
    <col min="16" max="16" width="14.796875" style="3" bestFit="1" customWidth="1"/>
    <col min="17" max="17" width="8.796875" style="11"/>
    <col min="18" max="18" width="16.3984375" style="1" customWidth="1"/>
    <col min="19" max="16384" width="8.796875" style="1"/>
  </cols>
  <sheetData>
    <row r="1" spans="1:17">
      <c r="A1" s="5"/>
      <c r="B1" s="6" t="s">
        <v>4</v>
      </c>
      <c r="D1" s="83" t="s">
        <v>1</v>
      </c>
      <c r="E1" s="83"/>
      <c r="F1" s="83"/>
      <c r="G1" s="84" t="s">
        <v>101</v>
      </c>
      <c r="H1" s="84"/>
      <c r="I1" s="84"/>
      <c r="J1" s="80" t="s">
        <v>5</v>
      </c>
      <c r="K1" s="80"/>
      <c r="L1" s="81" t="s">
        <v>9</v>
      </c>
      <c r="M1" s="81"/>
      <c r="N1" s="82" t="s">
        <v>53</v>
      </c>
      <c r="O1" s="82"/>
      <c r="P1" s="82"/>
      <c r="Q1" s="82"/>
    </row>
    <row r="2" spans="1:17" ht="26" customHeight="1">
      <c r="B2" s="7" t="s">
        <v>3</v>
      </c>
      <c r="C2" s="7" t="s">
        <v>0</v>
      </c>
      <c r="D2" s="8" t="s">
        <v>1</v>
      </c>
      <c r="E2" s="7" t="s">
        <v>2</v>
      </c>
      <c r="F2" s="7" t="s">
        <v>11</v>
      </c>
      <c r="G2" s="7" t="s">
        <v>61</v>
      </c>
      <c r="H2" s="7" t="s">
        <v>62</v>
      </c>
      <c r="I2" s="7" t="s">
        <v>214</v>
      </c>
      <c r="J2" s="8" t="s">
        <v>8</v>
      </c>
      <c r="K2" s="8" t="s">
        <v>12</v>
      </c>
      <c r="L2" s="7" t="s">
        <v>13</v>
      </c>
      <c r="M2" s="7" t="s">
        <v>7</v>
      </c>
      <c r="N2" s="7" t="s">
        <v>6</v>
      </c>
      <c r="O2" s="7" t="s">
        <v>14</v>
      </c>
      <c r="P2" s="9" t="s">
        <v>10</v>
      </c>
      <c r="Q2" s="10" t="s">
        <v>52</v>
      </c>
    </row>
    <row r="3" spans="1:17">
      <c r="B3" s="11" t="s">
        <v>238</v>
      </c>
      <c r="C3" s="11" t="s">
        <v>239</v>
      </c>
      <c r="D3" s="2">
        <v>5.82</v>
      </c>
      <c r="E3" s="12" t="s">
        <v>160</v>
      </c>
      <c r="F3" s="15">
        <v>0.17654933116845006</v>
      </c>
      <c r="G3" s="15">
        <f>F3 - Portfolio_Mgmt!$C$10</f>
        <v>5.9149331168450059E-2</v>
      </c>
      <c r="H3" s="15">
        <f>F3 - Portfolio_Mgmt!$C$11</f>
        <v>0.14204933116845006</v>
      </c>
      <c r="I3" s="15">
        <v>0.21185919740214007</v>
      </c>
      <c r="J3" s="2">
        <v>4.9100950691878094</v>
      </c>
      <c r="K3" s="2">
        <v>7.905135048592232</v>
      </c>
      <c r="L3" s="4">
        <v>0.13194594963823414</v>
      </c>
      <c r="M3" s="4">
        <v>7.5934623780754121E-2</v>
      </c>
      <c r="N3" s="13" t="s">
        <v>241</v>
      </c>
      <c r="O3" s="11" t="s">
        <v>240</v>
      </c>
      <c r="P3" s="14">
        <v>45900</v>
      </c>
      <c r="Q3" s="11" t="s">
        <v>163</v>
      </c>
    </row>
    <row r="4" spans="1:17">
      <c r="B4" s="11" t="s">
        <v>254</v>
      </c>
      <c r="C4" s="11" t="s">
        <v>255</v>
      </c>
      <c r="D4" s="2">
        <v>20.079999999999998</v>
      </c>
      <c r="E4" s="12" t="s">
        <v>256</v>
      </c>
      <c r="F4" s="15">
        <v>0.16060765378265396</v>
      </c>
      <c r="G4" s="15">
        <f>F4 - Portfolio_Mgmt!$C$10</f>
        <v>4.3207653782653954E-2</v>
      </c>
      <c r="H4" s="15">
        <f>F4 - Portfolio_Mgmt!$C$11</f>
        <v>0.12610765378265396</v>
      </c>
      <c r="I4" s="15">
        <v>0.19272918453918475</v>
      </c>
      <c r="J4" s="2">
        <v>16.165402289394244</v>
      </c>
      <c r="K4" s="2">
        <v>29.309951346473134</v>
      </c>
      <c r="L4" s="4">
        <v>0.22703991769612522</v>
      </c>
      <c r="M4" s="4">
        <v>2.956175298804781E-2</v>
      </c>
      <c r="N4" s="13" t="s">
        <v>257</v>
      </c>
      <c r="O4" s="11" t="s">
        <v>162</v>
      </c>
      <c r="P4" s="14">
        <v>45900</v>
      </c>
      <c r="Q4" s="11" t="s">
        <v>163</v>
      </c>
    </row>
    <row r="5" spans="1:17">
      <c r="B5" s="11" t="s">
        <v>158</v>
      </c>
      <c r="C5" s="11" t="s">
        <v>159</v>
      </c>
      <c r="D5" s="2">
        <v>16.420000000000002</v>
      </c>
      <c r="E5" s="12" t="s">
        <v>160</v>
      </c>
      <c r="F5" s="15">
        <v>0.15425024630514339</v>
      </c>
      <c r="G5" s="15">
        <f>F5 - Portfolio_Mgmt!$C$10</f>
        <v>3.6850246305143386E-2</v>
      </c>
      <c r="H5" s="15">
        <f>F5 - Portfolio_Mgmt!$C$11</f>
        <v>0.11975024630514339</v>
      </c>
      <c r="I5" s="15">
        <v>0.18510029556617205</v>
      </c>
      <c r="J5" s="2">
        <v>13.155317996540354</v>
      </c>
      <c r="K5" s="2">
        <v>20.508980461992877</v>
      </c>
      <c r="L5" s="4">
        <v>0.1052366637862137</v>
      </c>
      <c r="M5" s="4">
        <v>8.282582216808769E-2</v>
      </c>
      <c r="N5" s="13" t="s">
        <v>161</v>
      </c>
      <c r="O5" s="11" t="s">
        <v>162</v>
      </c>
      <c r="P5" s="14">
        <v>45808</v>
      </c>
      <c r="Q5" s="11" t="s">
        <v>163</v>
      </c>
    </row>
    <row r="6" spans="1:17">
      <c r="B6" s="11" t="s">
        <v>242</v>
      </c>
      <c r="C6" s="11" t="s">
        <v>243</v>
      </c>
      <c r="D6" s="2">
        <v>58.45</v>
      </c>
      <c r="E6" s="12" t="s">
        <v>160</v>
      </c>
      <c r="F6" s="15">
        <v>0.13533159592642741</v>
      </c>
      <c r="G6" s="15">
        <f>F6 - Portfolio_Mgmt!$C$10</f>
        <v>1.7931595926427402E-2</v>
      </c>
      <c r="H6" s="15">
        <f>F6 - Portfolio_Mgmt!$C$11</f>
        <v>0.1008315959264274</v>
      </c>
      <c r="I6" s="15">
        <v>1.0311322492503106E-2</v>
      </c>
      <c r="J6" s="2">
        <v>44.205240144973352</v>
      </c>
      <c r="K6" s="2">
        <v>78.465475605444368</v>
      </c>
      <c r="L6" s="4">
        <v>3.8461528914527629E-2</v>
      </c>
      <c r="M6" s="4">
        <v>3.5329662411002084E-2</v>
      </c>
      <c r="N6" s="13" t="s">
        <v>244</v>
      </c>
      <c r="O6" s="11" t="s">
        <v>162</v>
      </c>
      <c r="P6" s="14">
        <v>45900</v>
      </c>
      <c r="Q6" s="11" t="s">
        <v>250</v>
      </c>
    </row>
    <row r="7" spans="1:17">
      <c r="B7" s="11" t="s">
        <v>164</v>
      </c>
      <c r="C7" s="11" t="s">
        <v>165</v>
      </c>
      <c r="D7" s="2">
        <v>7.81</v>
      </c>
      <c r="E7" s="12" t="s">
        <v>160</v>
      </c>
      <c r="F7" s="15">
        <v>0.12309347362957457</v>
      </c>
      <c r="G7" s="15">
        <f>F7 - Portfolio_Mgmt!$C$10</f>
        <v>5.6934736295745636E-3</v>
      </c>
      <c r="H7" s="15">
        <f>F7 - Portfolio_Mgmt!$C$11</f>
        <v>8.8593473629574565E-2</v>
      </c>
      <c r="I7" s="15">
        <v>0</v>
      </c>
      <c r="J7" s="2">
        <v>5.7917118707600084</v>
      </c>
      <c r="K7" s="2">
        <v>9.1006872475781417</v>
      </c>
      <c r="L7" s="4">
        <v>3.9551648141135085E-2</v>
      </c>
      <c r="M7" s="4">
        <v>7.4263764404609467E-2</v>
      </c>
      <c r="N7" s="13" t="s">
        <v>166</v>
      </c>
      <c r="O7" s="11" t="s">
        <v>167</v>
      </c>
      <c r="P7" s="14">
        <v>45900</v>
      </c>
      <c r="Q7" s="11" t="s">
        <v>163</v>
      </c>
    </row>
    <row r="8" spans="1:17">
      <c r="B8" s="11" t="s">
        <v>168</v>
      </c>
      <c r="C8" s="11" t="s">
        <v>169</v>
      </c>
      <c r="D8" s="2">
        <v>2.21</v>
      </c>
      <c r="E8" s="12" t="s">
        <v>160</v>
      </c>
      <c r="F8" s="15">
        <v>0.11692472124626607</v>
      </c>
      <c r="G8" s="15">
        <f>F8 - Portfolio_Mgmt!$C$10</f>
        <v>-4.7527875373393202E-4</v>
      </c>
      <c r="H8" s="15">
        <f>F8 - Portfolio_Mgmt!$C$11</f>
        <v>8.2424721246266069E-2</v>
      </c>
      <c r="I8" s="15">
        <v>0</v>
      </c>
      <c r="J8" s="2">
        <v>1.6029152090321055</v>
      </c>
      <c r="K8" s="2">
        <v>2.6941065610816408</v>
      </c>
      <c r="L8" s="4">
        <v>3.7141818309151198E-2</v>
      </c>
      <c r="M8" s="4">
        <v>5.1816595986551785E-2</v>
      </c>
      <c r="N8" s="13" t="s">
        <v>170</v>
      </c>
      <c r="O8" s="11" t="s">
        <v>171</v>
      </c>
      <c r="P8" s="14">
        <v>45900</v>
      </c>
      <c r="Q8" s="11" t="s">
        <v>163</v>
      </c>
    </row>
    <row r="9" spans="1:17">
      <c r="B9" s="11" t="s">
        <v>247</v>
      </c>
      <c r="C9" s="11" t="s">
        <v>248</v>
      </c>
      <c r="D9" s="2">
        <v>14.24</v>
      </c>
      <c r="E9" s="12" t="s">
        <v>160</v>
      </c>
      <c r="F9" s="15">
        <v>0.11016267230709409</v>
      </c>
      <c r="G9" s="15">
        <f>F9 - Portfolio_Mgmt!$C$10</f>
        <v>-7.2373276929059149E-3</v>
      </c>
      <c r="H9" s="15">
        <f>F9 - Portfolio_Mgmt!$C$11</f>
        <v>7.5662672307094087E-2</v>
      </c>
      <c r="I9" s="15">
        <v>0</v>
      </c>
      <c r="J9" s="2">
        <v>10.176104857461148</v>
      </c>
      <c r="K9" s="2">
        <v>16.698021477228806</v>
      </c>
      <c r="L9" s="4">
        <v>0.10781351698346985</v>
      </c>
      <c r="M9" s="4">
        <v>5.8522441011235951E-2</v>
      </c>
      <c r="N9" s="13" t="s">
        <v>249</v>
      </c>
      <c r="O9" s="11" t="s">
        <v>251</v>
      </c>
      <c r="P9" s="14">
        <v>45900</v>
      </c>
      <c r="Q9" s="11" t="s">
        <v>250</v>
      </c>
    </row>
    <row r="10" spans="1:17">
      <c r="B10" s="11" t="s">
        <v>252</v>
      </c>
      <c r="C10" s="11" t="s">
        <v>253</v>
      </c>
      <c r="D10" s="2">
        <v>50.7</v>
      </c>
      <c r="E10" s="12" t="s">
        <v>160</v>
      </c>
      <c r="F10" s="15">
        <v>0.10282033117906053</v>
      </c>
      <c r="G10" s="15">
        <f>F10 - Portfolio_Mgmt!$C$10</f>
        <v>-1.4579668820939473E-2</v>
      </c>
      <c r="H10" s="15">
        <f>F10 - Portfolio_Mgmt!$C$11</f>
        <v>6.8320331179060528E-2</v>
      </c>
      <c r="I10" s="15">
        <v>0</v>
      </c>
      <c r="J10" s="2">
        <v>34.81706933071375</v>
      </c>
      <c r="K10" s="2">
        <v>68.002088536550289</v>
      </c>
      <c r="L10" s="4">
        <v>0.10369294781216104</v>
      </c>
      <c r="M10" s="4">
        <v>0</v>
      </c>
      <c r="N10" s="16" t="s">
        <v>249</v>
      </c>
      <c r="O10" s="11" t="s">
        <v>162</v>
      </c>
      <c r="P10" s="14">
        <v>45808</v>
      </c>
      <c r="Q10" s="11" t="s">
        <v>163</v>
      </c>
    </row>
    <row r="11" spans="1:17">
      <c r="B11" s="11" t="s">
        <v>258</v>
      </c>
      <c r="C11" s="11" t="s">
        <v>259</v>
      </c>
      <c r="D11" s="2">
        <v>28.81</v>
      </c>
      <c r="E11" s="12" t="s">
        <v>256</v>
      </c>
      <c r="F11" s="15">
        <v>9.408289080523935E-2</v>
      </c>
      <c r="G11" s="15">
        <f>F11 - Portfolio_Mgmt!$C$10</f>
        <v>-2.3317109194760655E-2</v>
      </c>
      <c r="H11" s="15">
        <f>F11 - Portfolio_Mgmt!$C$11</f>
        <v>5.9582890805239347E-2</v>
      </c>
      <c r="I11" s="15">
        <v>0</v>
      </c>
      <c r="J11" s="2">
        <v>19.745207945921621</v>
      </c>
      <c r="K11" s="2">
        <v>32.464859269378167</v>
      </c>
      <c r="L11" s="4">
        <v>8.8134932571433455E-2</v>
      </c>
      <c r="M11" s="4">
        <v>5.5536272127733433E-2</v>
      </c>
      <c r="N11" s="13" t="s">
        <v>260</v>
      </c>
      <c r="O11" s="11" t="s">
        <v>162</v>
      </c>
      <c r="P11" s="14">
        <v>45900</v>
      </c>
      <c r="Q11" s="11" t="s">
        <v>163</v>
      </c>
    </row>
    <row r="12" spans="1:17">
      <c r="B12" s="11"/>
      <c r="C12" s="11"/>
      <c r="E12" s="12"/>
      <c r="L12" s="4"/>
      <c r="M12" s="4"/>
      <c r="N12" s="13"/>
      <c r="O12" s="11"/>
      <c r="P12" s="14"/>
    </row>
    <row r="13" spans="1:17">
      <c r="B13" s="11"/>
      <c r="C13" s="11"/>
      <c r="E13" s="12"/>
      <c r="L13" s="4"/>
      <c r="M13" s="4"/>
      <c r="N13" s="13"/>
      <c r="O13" s="11"/>
      <c r="P13" s="14"/>
    </row>
    <row r="14" spans="1:17">
      <c r="B14" s="11"/>
      <c r="C14" s="11"/>
      <c r="E14" s="12"/>
      <c r="L14" s="4"/>
      <c r="M14" s="4"/>
      <c r="N14" s="13"/>
      <c r="O14" s="11"/>
      <c r="P14" s="14"/>
    </row>
    <row r="15" spans="1:17">
      <c r="B15" s="11"/>
      <c r="C15" s="11"/>
      <c r="E15" s="12"/>
      <c r="L15" s="4"/>
      <c r="M15" s="4"/>
      <c r="N15" s="13"/>
      <c r="O15" s="11"/>
      <c r="P15" s="14"/>
    </row>
    <row r="16" spans="1:17">
      <c r="B16" s="11"/>
      <c r="C16" s="11"/>
      <c r="E16" s="12"/>
      <c r="L16" s="4"/>
      <c r="M16" s="4"/>
      <c r="N16" s="13"/>
      <c r="O16" s="11"/>
      <c r="P16" s="14"/>
    </row>
    <row r="17" spans="2:16">
      <c r="B17" s="11"/>
      <c r="C17" s="11"/>
      <c r="E17" s="12"/>
      <c r="L17" s="4"/>
      <c r="M17" s="4"/>
      <c r="N17" s="13"/>
      <c r="O17" s="11"/>
      <c r="P17" s="14"/>
    </row>
    <row r="18" spans="2:16">
      <c r="B18" s="11"/>
      <c r="C18" s="11"/>
      <c r="E18" s="12"/>
      <c r="L18" s="4"/>
      <c r="M18" s="4"/>
      <c r="N18" s="13"/>
      <c r="O18" s="11"/>
      <c r="P18" s="14"/>
    </row>
    <row r="19" spans="2:16">
      <c r="B19" s="11"/>
      <c r="C19" s="11"/>
      <c r="E19" s="12"/>
      <c r="L19" s="4"/>
      <c r="M19" s="4"/>
      <c r="N19" s="13"/>
      <c r="O19" s="11"/>
      <c r="P19" s="14"/>
    </row>
    <row r="20" spans="2:16">
      <c r="B20" s="11"/>
      <c r="C20" s="11"/>
      <c r="E20" s="12"/>
      <c r="L20" s="4"/>
      <c r="M20" s="4"/>
      <c r="N20" s="13"/>
      <c r="O20" s="11"/>
      <c r="P20" s="14"/>
    </row>
    <row r="21" spans="2:16">
      <c r="B21" s="11"/>
      <c r="C21" s="11"/>
      <c r="E21" s="12"/>
      <c r="L21" s="4"/>
      <c r="M21" s="4"/>
      <c r="N21" s="13"/>
      <c r="O21" s="11"/>
      <c r="P21" s="14"/>
    </row>
    <row r="22" spans="2:16">
      <c r="B22" s="11"/>
      <c r="C22" s="11"/>
      <c r="E22" s="12"/>
      <c r="L22" s="4"/>
      <c r="M22" s="4"/>
      <c r="N22" s="13"/>
      <c r="O22" s="11"/>
      <c r="P22" s="14"/>
    </row>
    <row r="23" spans="2:16">
      <c r="B23" s="11"/>
      <c r="C23" s="11"/>
      <c r="E23" s="12"/>
      <c r="L23" s="4"/>
      <c r="M23" s="4"/>
      <c r="N23" s="13"/>
      <c r="O23" s="11"/>
      <c r="P23" s="14"/>
    </row>
    <row r="24" spans="2:16">
      <c r="B24" s="11"/>
      <c r="C24" s="11"/>
      <c r="E24" s="12"/>
      <c r="L24" s="4"/>
      <c r="M24" s="4"/>
      <c r="N24" s="13"/>
      <c r="O24" s="11"/>
      <c r="P24" s="14"/>
    </row>
    <row r="25" spans="2:16">
      <c r="B25" s="11"/>
      <c r="C25" s="11"/>
      <c r="E25" s="12"/>
      <c r="L25" s="4"/>
      <c r="M25" s="4"/>
      <c r="N25" s="13"/>
      <c r="O25" s="11"/>
      <c r="P25" s="14"/>
    </row>
    <row r="26" spans="2:16">
      <c r="B26" s="11"/>
      <c r="C26" s="11"/>
      <c r="E26" s="12"/>
      <c r="L26" s="4"/>
      <c r="M26" s="4"/>
      <c r="N26" s="13"/>
      <c r="O26" s="11"/>
      <c r="P26" s="14"/>
    </row>
    <row r="27" spans="2:16">
      <c r="B27" s="11"/>
      <c r="C27" s="11"/>
      <c r="E27" s="12"/>
      <c r="L27" s="4"/>
      <c r="M27" s="4"/>
      <c r="N27" s="13"/>
      <c r="O27" s="11"/>
      <c r="P27" s="14"/>
    </row>
    <row r="28" spans="2:16">
      <c r="B28" s="11"/>
      <c r="C28" s="11"/>
      <c r="E28" s="12"/>
      <c r="L28" s="4"/>
      <c r="M28" s="4"/>
      <c r="N28" s="13"/>
      <c r="O28" s="11"/>
      <c r="P28" s="14"/>
    </row>
    <row r="29" spans="2:16">
      <c r="B29" s="11"/>
      <c r="C29" s="11"/>
      <c r="E29" s="12"/>
      <c r="L29" s="4"/>
      <c r="M29" s="4"/>
      <c r="N29" s="13"/>
      <c r="O29" s="11"/>
      <c r="P29" s="14"/>
    </row>
    <row r="30" spans="2:16">
      <c r="B30" s="11"/>
      <c r="C30" s="11"/>
      <c r="E30" s="12"/>
      <c r="L30" s="4"/>
      <c r="M30" s="4"/>
      <c r="N30" s="13"/>
      <c r="O30" s="11"/>
      <c r="P30" s="14"/>
    </row>
    <row r="31" spans="2:16">
      <c r="B31" s="11"/>
      <c r="C31" s="11"/>
      <c r="E31" s="12"/>
      <c r="L31" s="4"/>
      <c r="M31" s="4"/>
      <c r="N31" s="16"/>
      <c r="O31" s="11"/>
      <c r="P31" s="14"/>
    </row>
    <row r="32" spans="2:16">
      <c r="B32" s="11"/>
      <c r="C32" s="11"/>
      <c r="E32" s="12"/>
      <c r="L32" s="4"/>
      <c r="M32" s="4"/>
      <c r="N32" s="13"/>
      <c r="O32" s="11"/>
      <c r="P32" s="14"/>
    </row>
    <row r="33" spans="2:16">
      <c r="B33" s="11"/>
      <c r="C33" s="11"/>
      <c r="E33" s="12"/>
      <c r="L33" s="4"/>
      <c r="M33" s="4"/>
      <c r="N33" s="13"/>
      <c r="O33" s="11"/>
      <c r="P33" s="14"/>
    </row>
    <row r="34" spans="2:16">
      <c r="B34" s="11"/>
      <c r="C34" s="11"/>
      <c r="E34" s="12"/>
      <c r="L34" s="4"/>
      <c r="M34" s="4"/>
      <c r="N34" s="16"/>
      <c r="O34" s="11"/>
      <c r="P34" s="14"/>
    </row>
    <row r="35" spans="2:16">
      <c r="B35" s="11"/>
      <c r="C35" s="11"/>
      <c r="E35" s="12"/>
      <c r="L35" s="4"/>
      <c r="M35" s="4"/>
      <c r="N35" s="13"/>
      <c r="O35" s="11"/>
      <c r="P35" s="14"/>
    </row>
    <row r="36" spans="2:16">
      <c r="B36" s="11"/>
      <c r="C36" s="11"/>
      <c r="E36" s="12"/>
      <c r="L36" s="4"/>
      <c r="M36" s="4"/>
      <c r="N36" s="13"/>
      <c r="O36" s="11"/>
      <c r="P36" s="14"/>
    </row>
    <row r="37" spans="2:16">
      <c r="B37" s="11"/>
      <c r="C37" s="11"/>
      <c r="E37" s="12"/>
      <c r="L37" s="4"/>
      <c r="M37" s="4"/>
      <c r="N37" s="13"/>
      <c r="O37" s="11"/>
      <c r="P37" s="14"/>
    </row>
    <row r="38" spans="2:16">
      <c r="B38" s="11"/>
      <c r="C38" s="11"/>
      <c r="E38" s="12"/>
      <c r="L38" s="4"/>
      <c r="M38" s="4"/>
      <c r="N38" s="13"/>
      <c r="O38" s="11"/>
      <c r="P38" s="14"/>
    </row>
    <row r="39" spans="2:16">
      <c r="B39" s="11"/>
      <c r="C39" s="11"/>
      <c r="E39" s="12"/>
      <c r="L39" s="4"/>
      <c r="M39" s="4"/>
      <c r="N39" s="13"/>
      <c r="O39" s="11"/>
      <c r="P39" s="14"/>
    </row>
    <row r="40" spans="2:16">
      <c r="B40" s="11"/>
      <c r="C40" s="11"/>
      <c r="E40" s="12"/>
      <c r="L40" s="4"/>
      <c r="M40" s="4"/>
      <c r="N40" s="13"/>
      <c r="O40" s="11"/>
      <c r="P40" s="14"/>
    </row>
    <row r="41" spans="2:16">
      <c r="B41" s="11"/>
      <c r="C41" s="11"/>
      <c r="E41" s="12"/>
      <c r="L41" s="4"/>
      <c r="M41" s="4"/>
      <c r="N41" s="13"/>
      <c r="O41" s="11"/>
      <c r="P41" s="14"/>
    </row>
    <row r="42" spans="2:16">
      <c r="B42" s="11"/>
      <c r="C42" s="11"/>
      <c r="E42" s="12"/>
      <c r="L42" s="4"/>
      <c r="M42" s="4"/>
      <c r="N42" s="13"/>
      <c r="O42" s="11"/>
      <c r="P42" s="14"/>
    </row>
    <row r="43" spans="2:16">
      <c r="B43" s="11"/>
      <c r="C43" s="11"/>
      <c r="E43" s="12"/>
      <c r="L43" s="4"/>
      <c r="M43" s="4"/>
      <c r="N43" s="13"/>
      <c r="O43" s="11"/>
      <c r="P43" s="14"/>
    </row>
    <row r="44" spans="2:16">
      <c r="B44" s="11"/>
      <c r="C44" s="11"/>
      <c r="E44" s="12"/>
      <c r="L44" s="4"/>
      <c r="M44" s="4"/>
      <c r="N44" s="13"/>
      <c r="O44" s="11"/>
      <c r="P44" s="14"/>
    </row>
    <row r="45" spans="2:16">
      <c r="B45" s="11"/>
      <c r="C45" s="11"/>
      <c r="E45" s="12"/>
      <c r="L45" s="4"/>
      <c r="M45" s="4"/>
      <c r="N45" s="13"/>
      <c r="O45" s="11"/>
      <c r="P45" s="14"/>
    </row>
    <row r="46" spans="2:16">
      <c r="B46" s="11"/>
      <c r="C46" s="11"/>
      <c r="E46" s="12"/>
      <c r="L46" s="4"/>
      <c r="M46" s="4"/>
      <c r="N46" s="13"/>
      <c r="O46" s="11"/>
      <c r="P46" s="14"/>
    </row>
    <row r="47" spans="2:16">
      <c r="B47" s="11"/>
      <c r="C47" s="11"/>
      <c r="E47" s="12"/>
      <c r="L47" s="4"/>
      <c r="M47" s="4"/>
      <c r="N47" s="13"/>
      <c r="O47" s="11"/>
      <c r="P47" s="14"/>
    </row>
    <row r="48" spans="2:16">
      <c r="B48" s="11"/>
      <c r="C48" s="11"/>
      <c r="E48" s="12"/>
      <c r="L48" s="4"/>
      <c r="M48" s="4"/>
      <c r="N48" s="13"/>
      <c r="O48" s="11"/>
      <c r="P48" s="14"/>
    </row>
    <row r="49" spans="2:16">
      <c r="B49" s="11"/>
      <c r="C49" s="11"/>
      <c r="E49" s="12"/>
      <c r="L49" s="4"/>
      <c r="M49" s="4"/>
      <c r="N49" s="13"/>
      <c r="O49" s="11"/>
      <c r="P49" s="14"/>
    </row>
    <row r="50" spans="2:16">
      <c r="B50" s="11"/>
      <c r="C50" s="11"/>
      <c r="E50" s="12"/>
      <c r="L50" s="4"/>
      <c r="M50" s="4"/>
      <c r="N50" s="13"/>
      <c r="O50" s="11"/>
      <c r="P50" s="14"/>
    </row>
    <row r="51" spans="2:16">
      <c r="B51" s="11"/>
      <c r="C51" s="11"/>
      <c r="E51" s="12"/>
      <c r="L51" s="4"/>
      <c r="M51" s="4"/>
      <c r="N51" s="13"/>
      <c r="O51" s="11"/>
      <c r="P51" s="14"/>
    </row>
    <row r="52" spans="2:16">
      <c r="B52" s="11"/>
      <c r="C52" s="11"/>
      <c r="E52" s="12"/>
      <c r="L52" s="4"/>
      <c r="M52" s="4"/>
      <c r="N52" s="13"/>
      <c r="O52" s="11"/>
      <c r="P52" s="14"/>
    </row>
    <row r="53" spans="2:16">
      <c r="B53" s="11"/>
      <c r="C53" s="11"/>
      <c r="E53" s="12"/>
      <c r="L53" s="4"/>
      <c r="M53" s="4"/>
      <c r="N53" s="13"/>
      <c r="O53" s="11"/>
      <c r="P53" s="14"/>
    </row>
    <row r="54" spans="2:16">
      <c r="B54" s="11"/>
      <c r="C54" s="11"/>
      <c r="E54" s="12"/>
      <c r="L54" s="4"/>
      <c r="M54" s="4"/>
      <c r="N54" s="13"/>
      <c r="O54" s="11"/>
      <c r="P54" s="14"/>
    </row>
    <row r="55" spans="2:16">
      <c r="B55" s="11"/>
      <c r="C55" s="11"/>
      <c r="E55" s="12"/>
      <c r="L55" s="4"/>
      <c r="M55" s="4"/>
      <c r="N55" s="13"/>
      <c r="O55" s="11"/>
      <c r="P55" s="14"/>
    </row>
    <row r="56" spans="2:16">
      <c r="B56" s="11"/>
      <c r="C56" s="11"/>
      <c r="E56" s="12"/>
      <c r="L56" s="4"/>
      <c r="M56" s="4"/>
      <c r="N56" s="13"/>
      <c r="O56" s="11"/>
      <c r="P56" s="14"/>
    </row>
    <row r="57" spans="2:16">
      <c r="B57" s="11"/>
      <c r="C57" s="11"/>
      <c r="E57" s="12"/>
      <c r="L57" s="4"/>
      <c r="M57" s="4"/>
      <c r="N57" s="13"/>
      <c r="O57" s="11"/>
      <c r="P57" s="14"/>
    </row>
    <row r="58" spans="2:16">
      <c r="B58" s="11"/>
      <c r="C58" s="11"/>
      <c r="E58" s="12"/>
      <c r="L58" s="4"/>
      <c r="M58" s="4"/>
      <c r="N58" s="13"/>
      <c r="O58" s="11"/>
      <c r="P58" s="14"/>
    </row>
    <row r="59" spans="2:16">
      <c r="B59" s="11"/>
      <c r="C59" s="11"/>
      <c r="E59" s="12"/>
      <c r="L59" s="4"/>
      <c r="M59" s="4"/>
      <c r="N59" s="13"/>
      <c r="O59" s="11"/>
      <c r="P59" s="14"/>
    </row>
    <row r="60" spans="2:16">
      <c r="B60" s="11"/>
      <c r="C60" s="11"/>
      <c r="E60" s="12"/>
      <c r="L60" s="4"/>
      <c r="M60" s="4"/>
      <c r="N60" s="13"/>
      <c r="O60" s="11"/>
      <c r="P60" s="14"/>
    </row>
    <row r="61" spans="2:16">
      <c r="B61" s="11"/>
      <c r="C61" s="11"/>
      <c r="E61" s="12"/>
      <c r="L61" s="4"/>
      <c r="M61" s="4"/>
      <c r="N61" s="13"/>
      <c r="O61" s="11"/>
      <c r="P61" s="14"/>
    </row>
    <row r="62" spans="2:16">
      <c r="B62" s="11"/>
      <c r="C62" s="11"/>
      <c r="E62" s="12"/>
      <c r="L62" s="4"/>
      <c r="M62" s="4"/>
      <c r="N62" s="13"/>
      <c r="O62" s="11"/>
      <c r="P62" s="14"/>
    </row>
    <row r="63" spans="2:16">
      <c r="B63" s="11"/>
      <c r="C63" s="11"/>
      <c r="E63" s="12"/>
      <c r="L63" s="4"/>
      <c r="M63" s="4"/>
      <c r="N63" s="13"/>
      <c r="O63" s="11"/>
      <c r="P63" s="14"/>
    </row>
    <row r="64" spans="2:16">
      <c r="B64" s="11"/>
      <c r="C64" s="11"/>
      <c r="E64" s="12"/>
      <c r="L64" s="4"/>
      <c r="M64" s="4"/>
      <c r="N64" s="13"/>
      <c r="O64" s="11"/>
      <c r="P64" s="14"/>
    </row>
    <row r="65" spans="2:16">
      <c r="B65" s="11"/>
      <c r="C65" s="11"/>
      <c r="E65" s="12"/>
      <c r="L65" s="4"/>
      <c r="M65" s="4"/>
      <c r="N65" s="13"/>
      <c r="O65" s="11"/>
      <c r="P65" s="14"/>
    </row>
    <row r="66" spans="2:16">
      <c r="B66" s="11"/>
      <c r="C66" s="11"/>
      <c r="E66" s="12"/>
      <c r="L66" s="4"/>
      <c r="M66" s="4"/>
      <c r="N66" s="13"/>
      <c r="O66" s="11"/>
      <c r="P66" s="14"/>
    </row>
    <row r="67" spans="2:16">
      <c r="B67" s="11"/>
      <c r="C67" s="11"/>
      <c r="E67" s="12"/>
      <c r="L67" s="4"/>
      <c r="M67" s="4"/>
      <c r="N67" s="13"/>
      <c r="O67" s="11"/>
      <c r="P67" s="14"/>
    </row>
    <row r="68" spans="2:16">
      <c r="B68" s="11"/>
      <c r="C68" s="11"/>
      <c r="E68" s="12"/>
      <c r="L68" s="4"/>
      <c r="M68" s="4"/>
      <c r="N68" s="13"/>
      <c r="O68" s="11"/>
      <c r="P68" s="14"/>
    </row>
    <row r="69" spans="2:16">
      <c r="B69" s="11"/>
      <c r="C69" s="11"/>
      <c r="E69" s="12"/>
      <c r="L69" s="4"/>
      <c r="M69" s="4"/>
      <c r="N69" s="13"/>
      <c r="O69" s="11"/>
      <c r="P69" s="14"/>
    </row>
    <row r="70" spans="2:16">
      <c r="B70" s="11"/>
      <c r="C70" s="11"/>
      <c r="E70" s="12"/>
      <c r="L70" s="4"/>
      <c r="M70" s="4"/>
      <c r="N70" s="13"/>
      <c r="O70" s="11"/>
      <c r="P70" s="14"/>
    </row>
    <row r="71" spans="2:16">
      <c r="B71" s="11"/>
      <c r="C71" s="11"/>
      <c r="E71" s="12"/>
      <c r="L71" s="4"/>
      <c r="M71" s="4"/>
      <c r="N71" s="13"/>
      <c r="O71" s="11"/>
      <c r="P71" s="14"/>
    </row>
    <row r="72" spans="2:16">
      <c r="B72" s="11"/>
      <c r="C72" s="11"/>
      <c r="E72" s="12"/>
      <c r="L72" s="4"/>
      <c r="M72" s="4"/>
      <c r="N72" s="13"/>
      <c r="O72" s="11"/>
      <c r="P72" s="14"/>
    </row>
    <row r="73" spans="2:16">
      <c r="B73" s="11"/>
      <c r="C73" s="11"/>
      <c r="E73" s="12"/>
      <c r="L73" s="4"/>
      <c r="M73" s="4"/>
      <c r="N73" s="13"/>
      <c r="O73" s="11"/>
      <c r="P73" s="14"/>
    </row>
    <row r="74" spans="2:16">
      <c r="B74" s="11"/>
      <c r="C74" s="11"/>
      <c r="E74" s="12"/>
      <c r="L74" s="4"/>
      <c r="M74" s="4"/>
      <c r="N74" s="13"/>
      <c r="O74" s="11"/>
      <c r="P74" s="14"/>
    </row>
    <row r="75" spans="2:16">
      <c r="B75" s="11"/>
      <c r="C75" s="11"/>
      <c r="E75" s="12"/>
      <c r="L75" s="4"/>
      <c r="M75" s="4"/>
      <c r="N75" s="13"/>
      <c r="O75" s="11"/>
      <c r="P75" s="14"/>
    </row>
    <row r="76" spans="2:16">
      <c r="B76" s="11"/>
      <c r="C76" s="11"/>
      <c r="E76" s="12"/>
      <c r="L76" s="4"/>
      <c r="M76" s="4"/>
      <c r="N76" s="13"/>
      <c r="O76" s="11"/>
      <c r="P76" s="14"/>
    </row>
    <row r="77" spans="2:16">
      <c r="B77" s="11"/>
      <c r="C77" s="11"/>
      <c r="E77" s="12"/>
      <c r="L77" s="4"/>
      <c r="M77" s="4"/>
      <c r="N77" s="13"/>
      <c r="O77" s="11"/>
      <c r="P77" s="14"/>
    </row>
    <row r="78" spans="2:16">
      <c r="B78" s="11"/>
      <c r="C78" s="11"/>
      <c r="E78" s="12"/>
      <c r="L78" s="4"/>
      <c r="M78" s="4"/>
      <c r="N78" s="13"/>
      <c r="O78" s="11"/>
      <c r="P78" s="14"/>
    </row>
    <row r="79" spans="2:16">
      <c r="B79" s="11"/>
      <c r="C79" s="11"/>
      <c r="E79" s="12"/>
      <c r="L79" s="4"/>
      <c r="M79" s="4"/>
      <c r="N79" s="13"/>
      <c r="O79" s="11"/>
      <c r="P79" s="14"/>
    </row>
    <row r="80" spans="2:16">
      <c r="B80" s="11"/>
      <c r="C80" s="11"/>
      <c r="E80" s="12"/>
      <c r="L80" s="4"/>
      <c r="M80" s="4"/>
      <c r="N80" s="13"/>
      <c r="O80" s="11"/>
      <c r="P80" s="14"/>
    </row>
    <row r="81" spans="2:16">
      <c r="B81" s="11"/>
      <c r="C81" s="11"/>
      <c r="E81" s="12"/>
      <c r="L81" s="4"/>
      <c r="M81" s="4"/>
      <c r="N81" s="13"/>
      <c r="O81" s="11"/>
      <c r="P81" s="14"/>
    </row>
    <row r="82" spans="2:16">
      <c r="B82" s="11"/>
      <c r="C82" s="11"/>
      <c r="E82" s="12"/>
      <c r="L82" s="4"/>
      <c r="M82" s="4"/>
      <c r="N82" s="13"/>
      <c r="O82" s="11"/>
      <c r="P82" s="14"/>
    </row>
    <row r="83" spans="2:16">
      <c r="B83" s="11"/>
      <c r="C83" s="11"/>
      <c r="E83" s="12"/>
      <c r="L83" s="4"/>
      <c r="M83" s="4"/>
      <c r="N83" s="13"/>
      <c r="O83" s="11"/>
      <c r="P83" s="14"/>
    </row>
    <row r="84" spans="2:16">
      <c r="B84" s="11"/>
      <c r="C84" s="11"/>
      <c r="E84" s="12"/>
      <c r="L84" s="4"/>
      <c r="M84" s="4"/>
      <c r="N84" s="13"/>
      <c r="O84" s="11"/>
      <c r="P84" s="14"/>
    </row>
    <row r="85" spans="2:16">
      <c r="B85" s="11"/>
      <c r="C85" s="11"/>
      <c r="E85" s="12"/>
      <c r="L85" s="4"/>
      <c r="M85" s="4"/>
      <c r="N85" s="13"/>
      <c r="O85" s="11"/>
      <c r="P85" s="14"/>
    </row>
    <row r="86" spans="2:16">
      <c r="B86" s="11"/>
      <c r="C86" s="11"/>
      <c r="E86" s="12"/>
      <c r="L86" s="4"/>
      <c r="M86" s="4"/>
      <c r="N86" s="13"/>
      <c r="O86" s="11"/>
      <c r="P86" s="14"/>
    </row>
    <row r="87" spans="2:16">
      <c r="B87" s="11"/>
      <c r="C87" s="11"/>
      <c r="E87" s="12"/>
      <c r="L87" s="4"/>
      <c r="M87" s="4"/>
      <c r="N87" s="13"/>
      <c r="O87" s="11"/>
      <c r="P87" s="14"/>
    </row>
    <row r="88" spans="2:16">
      <c r="B88" s="11"/>
      <c r="C88" s="11"/>
      <c r="E88" s="12"/>
      <c r="L88" s="4"/>
      <c r="M88" s="4"/>
      <c r="N88" s="13"/>
      <c r="O88" s="11"/>
      <c r="P88" s="14"/>
    </row>
    <row r="89" spans="2:16">
      <c r="B89" s="11"/>
      <c r="C89" s="11"/>
      <c r="E89" s="12"/>
      <c r="L89" s="4"/>
      <c r="M89" s="4"/>
      <c r="N89" s="13"/>
      <c r="O89" s="11"/>
      <c r="P89" s="14"/>
    </row>
    <row r="90" spans="2:16">
      <c r="B90" s="11"/>
      <c r="C90" s="11"/>
      <c r="E90" s="12"/>
      <c r="L90" s="4"/>
      <c r="M90" s="4"/>
      <c r="N90" s="13"/>
      <c r="O90" s="11"/>
      <c r="P90" s="14"/>
    </row>
    <row r="91" spans="2:16">
      <c r="B91" s="11"/>
      <c r="C91" s="11"/>
      <c r="E91" s="12"/>
      <c r="L91" s="4"/>
      <c r="M91" s="4"/>
      <c r="N91" s="13"/>
      <c r="O91" s="11"/>
      <c r="P91" s="14"/>
    </row>
    <row r="92" spans="2:16">
      <c r="B92" s="11"/>
      <c r="C92" s="11"/>
      <c r="E92" s="12"/>
      <c r="L92" s="4"/>
      <c r="M92" s="4"/>
      <c r="N92" s="13"/>
      <c r="O92" s="11"/>
      <c r="P92" s="14"/>
    </row>
    <row r="93" spans="2:16">
      <c r="B93" s="11"/>
      <c r="C93" s="11"/>
      <c r="E93" s="12"/>
      <c r="L93" s="4"/>
      <c r="M93" s="4"/>
      <c r="N93" s="13"/>
      <c r="O93" s="11"/>
      <c r="P93" s="14"/>
    </row>
    <row r="94" spans="2:16">
      <c r="B94" s="11"/>
      <c r="C94" s="11"/>
      <c r="E94" s="12"/>
      <c r="L94" s="4"/>
      <c r="M94" s="4"/>
      <c r="N94" s="13"/>
      <c r="O94" s="11"/>
      <c r="P94" s="14"/>
    </row>
    <row r="95" spans="2:16">
      <c r="B95" s="11"/>
      <c r="C95" s="11"/>
      <c r="E95" s="12"/>
      <c r="L95" s="4"/>
      <c r="M95" s="4"/>
      <c r="N95" s="13"/>
      <c r="O95" s="11"/>
      <c r="P95" s="14"/>
    </row>
    <row r="96" spans="2:16">
      <c r="B96" s="11"/>
      <c r="C96" s="11"/>
      <c r="E96" s="12"/>
      <c r="L96" s="4"/>
      <c r="M96" s="4"/>
      <c r="N96" s="13"/>
      <c r="O96" s="11"/>
      <c r="P96" s="14"/>
    </row>
    <row r="97" spans="2:16">
      <c r="B97" s="11"/>
      <c r="C97" s="11"/>
      <c r="E97" s="12"/>
      <c r="L97" s="4"/>
      <c r="M97" s="4"/>
      <c r="N97" s="13"/>
      <c r="O97" s="11"/>
      <c r="P97" s="14"/>
    </row>
    <row r="98" spans="2:16">
      <c r="B98" s="11"/>
      <c r="C98" s="11"/>
      <c r="E98" s="12"/>
      <c r="L98" s="4"/>
      <c r="M98" s="4"/>
      <c r="N98" s="13"/>
      <c r="O98" s="11"/>
      <c r="P98" s="14"/>
    </row>
    <row r="99" spans="2:16">
      <c r="B99" s="11"/>
      <c r="C99" s="11"/>
      <c r="E99" s="12"/>
      <c r="L99" s="4"/>
      <c r="M99" s="4"/>
      <c r="N99" s="13"/>
      <c r="O99" s="11"/>
      <c r="P99" s="14"/>
    </row>
    <row r="100" spans="2:16">
      <c r="B100" s="11"/>
      <c r="C100" s="11"/>
      <c r="E100" s="12"/>
      <c r="L100" s="4"/>
      <c r="M100" s="4"/>
      <c r="N100" s="13"/>
      <c r="O100" s="11"/>
      <c r="P100" s="14"/>
    </row>
    <row r="101" spans="2:16">
      <c r="B101" s="11"/>
      <c r="C101" s="11"/>
      <c r="E101" s="12"/>
      <c r="L101" s="4"/>
      <c r="M101" s="4"/>
      <c r="N101" s="13"/>
      <c r="O101" s="11"/>
      <c r="P101" s="14"/>
    </row>
    <row r="102" spans="2:16">
      <c r="B102" s="11"/>
      <c r="C102" s="11"/>
      <c r="E102" s="12"/>
      <c r="L102" s="4"/>
      <c r="M102" s="4"/>
      <c r="N102" s="13"/>
      <c r="O102" s="11"/>
      <c r="P102" s="14"/>
    </row>
    <row r="103" spans="2:16">
      <c r="B103" s="11"/>
      <c r="C103" s="11"/>
      <c r="E103" s="12"/>
      <c r="L103" s="4"/>
      <c r="M103" s="4"/>
      <c r="N103" s="13"/>
      <c r="O103" s="11"/>
      <c r="P103" s="14"/>
    </row>
    <row r="104" spans="2:16">
      <c r="B104" s="11"/>
      <c r="C104" s="11"/>
      <c r="E104" s="12"/>
      <c r="L104" s="4"/>
      <c r="M104" s="4"/>
      <c r="N104" s="13"/>
      <c r="O104" s="11"/>
      <c r="P104" s="14"/>
    </row>
    <row r="105" spans="2:16">
      <c r="B105" s="11"/>
      <c r="C105" s="11"/>
      <c r="E105" s="12"/>
      <c r="L105" s="4"/>
      <c r="M105" s="4"/>
      <c r="N105" s="13"/>
      <c r="O105" s="11"/>
      <c r="P105" s="14"/>
    </row>
    <row r="106" spans="2:16">
      <c r="B106" s="11"/>
      <c r="C106" s="11"/>
      <c r="E106" s="12"/>
      <c r="L106" s="4"/>
      <c r="M106" s="4"/>
      <c r="N106" s="13"/>
      <c r="O106" s="11"/>
      <c r="P106" s="14"/>
    </row>
    <row r="107" spans="2:16">
      <c r="B107" s="11"/>
      <c r="C107" s="11"/>
      <c r="E107" s="12"/>
      <c r="L107" s="4"/>
      <c r="M107" s="4"/>
      <c r="N107" s="13"/>
      <c r="O107" s="11"/>
      <c r="P107" s="14"/>
    </row>
    <row r="108" spans="2:16">
      <c r="B108" s="11"/>
      <c r="C108" s="11"/>
      <c r="E108" s="12"/>
      <c r="L108" s="4"/>
      <c r="M108" s="4"/>
      <c r="N108" s="13"/>
      <c r="O108" s="11"/>
      <c r="P108" s="14"/>
    </row>
    <row r="109" spans="2:16">
      <c r="B109" s="11"/>
      <c r="C109" s="11"/>
      <c r="E109" s="12"/>
      <c r="L109" s="4"/>
      <c r="M109" s="4"/>
      <c r="N109" s="13"/>
      <c r="O109" s="11"/>
      <c r="P109" s="14"/>
    </row>
    <row r="110" spans="2:16">
      <c r="B110" s="11"/>
      <c r="C110" s="11"/>
      <c r="E110" s="12"/>
      <c r="L110" s="4"/>
      <c r="M110" s="4"/>
      <c r="N110" s="13"/>
      <c r="O110" s="11"/>
      <c r="P110" s="14"/>
    </row>
    <row r="111" spans="2:16">
      <c r="B111" s="11"/>
      <c r="C111" s="11"/>
      <c r="E111" s="12"/>
      <c r="L111" s="4"/>
      <c r="M111" s="4"/>
      <c r="N111" s="13"/>
      <c r="O111" s="11"/>
      <c r="P111" s="14"/>
    </row>
    <row r="112" spans="2:16">
      <c r="B112" s="11"/>
      <c r="C112" s="11"/>
      <c r="E112" s="12"/>
      <c r="L112" s="4"/>
      <c r="M112" s="4"/>
      <c r="N112" s="13"/>
      <c r="O112" s="11"/>
      <c r="P112" s="14"/>
    </row>
    <row r="113" spans="2:16">
      <c r="B113" s="11"/>
      <c r="C113" s="11"/>
      <c r="E113" s="12"/>
      <c r="L113" s="4"/>
      <c r="M113" s="4"/>
      <c r="N113" s="13"/>
      <c r="O113" s="11"/>
      <c r="P113" s="14"/>
    </row>
    <row r="114" spans="2:16">
      <c r="B114" s="11"/>
      <c r="C114" s="11"/>
      <c r="E114" s="12"/>
      <c r="L114" s="4"/>
      <c r="M114" s="4"/>
      <c r="N114" s="13"/>
      <c r="O114" s="11"/>
      <c r="P114" s="14"/>
    </row>
    <row r="115" spans="2:16">
      <c r="B115" s="11"/>
      <c r="C115" s="11"/>
      <c r="E115" s="12"/>
      <c r="L115" s="4"/>
      <c r="M115" s="4"/>
      <c r="N115" s="13"/>
      <c r="O115" s="11"/>
      <c r="P115" s="14"/>
    </row>
    <row r="116" spans="2:16">
      <c r="B116" s="11"/>
      <c r="C116" s="11"/>
      <c r="E116" s="12"/>
      <c r="L116" s="4"/>
      <c r="M116" s="4"/>
      <c r="N116" s="13"/>
      <c r="O116" s="11"/>
      <c r="P116" s="14"/>
    </row>
    <row r="117" spans="2:16">
      <c r="B117" s="11"/>
      <c r="C117" s="11"/>
      <c r="E117" s="12"/>
      <c r="L117" s="4"/>
      <c r="M117" s="4"/>
      <c r="N117" s="13"/>
      <c r="O117" s="11"/>
      <c r="P117" s="14"/>
    </row>
    <row r="118" spans="2:16">
      <c r="B118" s="11"/>
      <c r="C118" s="11"/>
      <c r="E118" s="12"/>
      <c r="L118" s="4"/>
      <c r="M118" s="4"/>
      <c r="N118" s="13"/>
      <c r="O118" s="11"/>
      <c r="P118" s="14"/>
    </row>
    <row r="119" spans="2:16">
      <c r="B119" s="11"/>
      <c r="C119" s="11"/>
      <c r="E119" s="12"/>
      <c r="L119" s="4"/>
      <c r="M119" s="4"/>
      <c r="N119" s="13"/>
      <c r="O119" s="11"/>
      <c r="P119" s="14"/>
    </row>
    <row r="120" spans="2:16">
      <c r="B120" s="11"/>
      <c r="C120" s="11"/>
      <c r="E120" s="12"/>
      <c r="L120" s="4"/>
      <c r="M120" s="4"/>
      <c r="N120" s="13"/>
      <c r="O120" s="11"/>
      <c r="P120" s="14"/>
    </row>
    <row r="121" spans="2:16">
      <c r="B121" s="11"/>
      <c r="C121" s="11"/>
      <c r="E121" s="12"/>
      <c r="L121" s="4"/>
      <c r="M121" s="4"/>
      <c r="N121" s="13"/>
      <c r="O121" s="11"/>
      <c r="P121" s="14"/>
    </row>
    <row r="122" spans="2:16">
      <c r="B122" s="11"/>
      <c r="C122" s="11"/>
      <c r="E122" s="12"/>
      <c r="L122" s="4"/>
      <c r="M122" s="4"/>
      <c r="N122" s="13"/>
      <c r="O122" s="11"/>
      <c r="P122" s="14"/>
    </row>
    <row r="123" spans="2:16">
      <c r="B123" s="11"/>
      <c r="C123" s="11"/>
      <c r="E123" s="12"/>
      <c r="L123" s="4"/>
      <c r="M123" s="4"/>
      <c r="N123" s="13"/>
      <c r="O123" s="11"/>
      <c r="P123" s="14"/>
    </row>
    <row r="124" spans="2:16">
      <c r="B124" s="11"/>
      <c r="C124" s="11"/>
      <c r="E124" s="12"/>
      <c r="L124" s="4"/>
      <c r="M124" s="4"/>
      <c r="N124" s="13"/>
      <c r="O124" s="11"/>
      <c r="P124" s="14"/>
    </row>
    <row r="125" spans="2:16">
      <c r="B125" s="11"/>
      <c r="C125" s="11"/>
      <c r="E125" s="12"/>
      <c r="L125" s="4"/>
      <c r="M125" s="4"/>
      <c r="N125" s="13"/>
      <c r="O125" s="11"/>
      <c r="P125" s="14"/>
    </row>
    <row r="126" spans="2:16">
      <c r="B126" s="11"/>
      <c r="C126" s="11"/>
      <c r="E126" s="12"/>
      <c r="L126" s="4"/>
      <c r="M126" s="4"/>
      <c r="N126" s="13"/>
      <c r="O126" s="11"/>
      <c r="P126" s="14"/>
    </row>
    <row r="127" spans="2:16">
      <c r="B127" s="11"/>
      <c r="C127" s="11"/>
      <c r="E127" s="12"/>
      <c r="L127" s="4"/>
      <c r="M127" s="4"/>
      <c r="N127" s="13"/>
      <c r="O127" s="11"/>
      <c r="P127" s="14"/>
    </row>
    <row r="128" spans="2:16">
      <c r="B128" s="11"/>
      <c r="C128" s="11"/>
      <c r="E128" s="12"/>
      <c r="L128" s="4"/>
      <c r="M128" s="4"/>
      <c r="N128" s="13"/>
      <c r="O128" s="11"/>
      <c r="P128" s="14"/>
    </row>
    <row r="129" spans="2:16">
      <c r="B129" s="11"/>
      <c r="C129" s="11"/>
      <c r="E129" s="12"/>
      <c r="L129" s="4"/>
      <c r="M129" s="4"/>
      <c r="N129" s="13"/>
      <c r="O129" s="11"/>
      <c r="P129" s="14"/>
    </row>
    <row r="130" spans="2:16">
      <c r="B130" s="11"/>
      <c r="C130" s="11"/>
      <c r="E130" s="12"/>
      <c r="L130" s="4"/>
      <c r="M130" s="4"/>
      <c r="N130" s="13"/>
      <c r="O130" s="11"/>
      <c r="P130" s="14"/>
    </row>
    <row r="131" spans="2:16">
      <c r="B131" s="11"/>
      <c r="C131" s="11"/>
      <c r="E131" s="12"/>
      <c r="L131" s="4"/>
      <c r="M131" s="4"/>
      <c r="N131" s="13"/>
      <c r="O131" s="11"/>
      <c r="P131" s="14"/>
    </row>
    <row r="132" spans="2:16">
      <c r="B132" s="11"/>
      <c r="C132" s="11"/>
      <c r="E132" s="12"/>
      <c r="L132" s="4"/>
      <c r="M132" s="4"/>
      <c r="N132" s="13"/>
      <c r="O132" s="11"/>
      <c r="P132" s="14"/>
    </row>
    <row r="133" spans="2:16">
      <c r="B133" s="11"/>
      <c r="C133" s="11"/>
      <c r="E133" s="12"/>
      <c r="L133" s="4"/>
      <c r="M133" s="4"/>
      <c r="N133" s="13"/>
      <c r="O133" s="11"/>
      <c r="P133" s="14"/>
    </row>
    <row r="134" spans="2:16">
      <c r="B134" s="11"/>
      <c r="C134" s="11"/>
      <c r="E134" s="12"/>
      <c r="L134" s="4"/>
      <c r="M134" s="4"/>
      <c r="N134" s="13"/>
      <c r="O134" s="11"/>
      <c r="P134" s="14"/>
    </row>
    <row r="135" spans="2:16">
      <c r="B135" s="11"/>
      <c r="C135" s="11"/>
      <c r="E135" s="12"/>
      <c r="L135" s="4"/>
      <c r="M135" s="4"/>
      <c r="N135" s="13"/>
      <c r="O135" s="11"/>
      <c r="P135" s="14"/>
    </row>
    <row r="136" spans="2:16">
      <c r="B136" s="11"/>
      <c r="C136" s="11"/>
      <c r="E136" s="12"/>
      <c r="L136" s="4"/>
      <c r="M136" s="4"/>
      <c r="N136" s="13"/>
      <c r="O136" s="11"/>
      <c r="P136" s="14"/>
    </row>
    <row r="137" spans="2:16">
      <c r="B137" s="11"/>
      <c r="C137" s="11"/>
      <c r="E137" s="12"/>
      <c r="L137" s="4"/>
      <c r="M137" s="4"/>
      <c r="N137" s="13"/>
      <c r="O137" s="11"/>
      <c r="P137" s="14"/>
    </row>
    <row r="138" spans="2:16">
      <c r="B138" s="11"/>
      <c r="C138" s="11"/>
      <c r="E138" s="12"/>
      <c r="L138" s="4"/>
      <c r="M138" s="4"/>
      <c r="N138" s="13"/>
      <c r="O138" s="11"/>
      <c r="P138" s="14"/>
    </row>
    <row r="139" spans="2:16">
      <c r="B139" s="11"/>
      <c r="C139" s="11"/>
      <c r="E139" s="12"/>
      <c r="L139" s="4"/>
      <c r="M139" s="4"/>
      <c r="N139" s="13"/>
      <c r="O139" s="11"/>
      <c r="P139" s="14"/>
    </row>
    <row r="140" spans="2:16">
      <c r="B140" s="11"/>
      <c r="C140" s="11"/>
      <c r="E140" s="12"/>
      <c r="L140" s="4"/>
      <c r="M140" s="4"/>
      <c r="N140" s="13"/>
      <c r="O140" s="11"/>
      <c r="P140" s="14"/>
    </row>
    <row r="141" spans="2:16">
      <c r="B141" s="11"/>
      <c r="C141" s="11"/>
      <c r="E141" s="12"/>
      <c r="L141" s="4"/>
      <c r="M141" s="4"/>
      <c r="N141" s="13"/>
      <c r="O141" s="11"/>
      <c r="P141" s="14"/>
    </row>
    <row r="142" spans="2:16">
      <c r="B142" s="11"/>
      <c r="C142" s="11"/>
      <c r="E142" s="12"/>
      <c r="L142" s="4"/>
      <c r="M142" s="4"/>
      <c r="N142" s="13"/>
      <c r="O142" s="11"/>
      <c r="P142" s="14"/>
    </row>
    <row r="143" spans="2:16">
      <c r="B143" s="11"/>
      <c r="C143" s="11"/>
      <c r="E143" s="12"/>
      <c r="L143" s="4"/>
      <c r="M143" s="4"/>
      <c r="N143" s="13"/>
      <c r="O143" s="11"/>
      <c r="P143" s="14"/>
    </row>
    <row r="144" spans="2:16">
      <c r="B144" s="11"/>
      <c r="C144" s="11"/>
      <c r="E144" s="12"/>
      <c r="L144" s="4"/>
      <c r="M144" s="4"/>
      <c r="N144" s="13"/>
      <c r="O144" s="11"/>
      <c r="P144" s="14"/>
    </row>
    <row r="145" spans="2:16">
      <c r="B145" s="11"/>
      <c r="C145" s="11"/>
      <c r="E145" s="12"/>
      <c r="L145" s="4"/>
      <c r="M145" s="4"/>
      <c r="N145" s="13"/>
      <c r="O145" s="11"/>
      <c r="P145" s="14"/>
    </row>
    <row r="146" spans="2:16">
      <c r="B146" s="11"/>
      <c r="C146" s="11"/>
      <c r="E146" s="12"/>
      <c r="L146" s="4"/>
      <c r="M146" s="4"/>
      <c r="N146" s="13"/>
      <c r="O146" s="11"/>
      <c r="P146" s="14"/>
    </row>
    <row r="147" spans="2:16">
      <c r="B147" s="11"/>
      <c r="C147" s="11"/>
      <c r="E147" s="12"/>
      <c r="L147" s="4"/>
      <c r="M147" s="4"/>
      <c r="N147" s="13"/>
      <c r="O147" s="11"/>
      <c r="P147" s="14"/>
    </row>
    <row r="148" spans="2:16">
      <c r="B148" s="11"/>
      <c r="C148" s="11"/>
      <c r="E148" s="12"/>
      <c r="L148" s="4"/>
      <c r="M148" s="4"/>
      <c r="N148" s="13"/>
      <c r="O148" s="11"/>
      <c r="P148" s="14"/>
    </row>
    <row r="149" spans="2:16">
      <c r="B149" s="11"/>
      <c r="C149" s="11"/>
      <c r="E149" s="12"/>
      <c r="L149" s="4"/>
      <c r="M149" s="4"/>
      <c r="N149" s="13"/>
      <c r="O149" s="11"/>
      <c r="P149" s="14"/>
    </row>
    <row r="150" spans="2:16">
      <c r="B150" s="11"/>
      <c r="C150" s="11"/>
      <c r="E150" s="12"/>
      <c r="L150" s="4"/>
      <c r="M150" s="4"/>
      <c r="N150" s="13"/>
      <c r="O150" s="11"/>
      <c r="P150" s="14"/>
    </row>
    <row r="151" spans="2:16">
      <c r="B151" s="11"/>
      <c r="C151" s="11"/>
      <c r="E151" s="12"/>
      <c r="L151" s="4"/>
      <c r="M151" s="4"/>
      <c r="N151" s="13"/>
      <c r="O151" s="11"/>
      <c r="P151" s="14"/>
    </row>
    <row r="152" spans="2:16">
      <c r="B152" s="11"/>
      <c r="C152" s="11"/>
      <c r="E152" s="12"/>
      <c r="L152" s="4"/>
      <c r="M152" s="4"/>
      <c r="N152" s="13"/>
      <c r="O152" s="11"/>
      <c r="P152" s="14"/>
    </row>
    <row r="153" spans="2:16">
      <c r="B153" s="11"/>
      <c r="C153" s="11"/>
      <c r="E153" s="12"/>
      <c r="L153" s="4"/>
      <c r="M153" s="4"/>
      <c r="N153" s="13"/>
      <c r="O153" s="11"/>
      <c r="P153" s="14"/>
    </row>
    <row r="154" spans="2:16">
      <c r="B154" s="11"/>
      <c r="C154" s="11"/>
      <c r="E154" s="12"/>
      <c r="L154" s="4"/>
      <c r="M154" s="4"/>
      <c r="N154" s="13"/>
      <c r="O154" s="11"/>
      <c r="P154" s="14"/>
    </row>
    <row r="155" spans="2:16">
      <c r="B155" s="11"/>
      <c r="C155" s="11"/>
      <c r="E155" s="12"/>
      <c r="L155" s="4"/>
      <c r="M155" s="4"/>
      <c r="N155" s="13"/>
      <c r="O155" s="11"/>
      <c r="P155" s="14"/>
    </row>
    <row r="156" spans="2:16">
      <c r="B156" s="11"/>
      <c r="C156" s="11"/>
      <c r="E156" s="12"/>
      <c r="L156" s="4"/>
      <c r="M156" s="4"/>
      <c r="N156" s="13"/>
      <c r="O156" s="11"/>
      <c r="P156" s="14"/>
    </row>
    <row r="157" spans="2:16">
      <c r="B157" s="11"/>
      <c r="C157" s="11"/>
      <c r="E157" s="12"/>
      <c r="L157" s="4"/>
      <c r="M157" s="4"/>
      <c r="N157" s="13"/>
      <c r="O157" s="11"/>
      <c r="P157" s="14"/>
    </row>
    <row r="158" spans="2:16">
      <c r="B158" s="11"/>
      <c r="C158" s="11"/>
      <c r="E158" s="12"/>
      <c r="L158" s="4"/>
      <c r="M158" s="4"/>
      <c r="N158" s="13"/>
      <c r="O158" s="11"/>
      <c r="P158" s="14"/>
    </row>
    <row r="159" spans="2:16">
      <c r="N159" s="17"/>
    </row>
    <row r="160" spans="2:16">
      <c r="N160" s="17"/>
    </row>
    <row r="161" spans="14:14">
      <c r="N161" s="17"/>
    </row>
    <row r="162" spans="14:14">
      <c r="N162" s="17"/>
    </row>
    <row r="163" spans="14:14">
      <c r="N163" s="17"/>
    </row>
    <row r="164" spans="14:14">
      <c r="N164" s="17"/>
    </row>
    <row r="165" spans="14:14">
      <c r="N165" s="17"/>
    </row>
    <row r="166" spans="14:14">
      <c r="N166" s="17"/>
    </row>
    <row r="167" spans="14:14">
      <c r="N167" s="17"/>
    </row>
    <row r="168" spans="14:14">
      <c r="N168" s="17"/>
    </row>
    <row r="169" spans="14:14">
      <c r="N169" s="17"/>
    </row>
    <row r="170" spans="14:14">
      <c r="N170" s="17"/>
    </row>
    <row r="171" spans="14:14">
      <c r="N171" s="17"/>
    </row>
    <row r="172" spans="14:14">
      <c r="N172" s="17"/>
    </row>
    <row r="173" spans="14:14">
      <c r="N173" s="17"/>
    </row>
    <row r="174" spans="14:14">
      <c r="N174" s="17"/>
    </row>
    <row r="175" spans="14:14">
      <c r="N175" s="17"/>
    </row>
    <row r="176" spans="14:14">
      <c r="N176" s="17"/>
    </row>
    <row r="177" spans="14:14">
      <c r="N177" s="17"/>
    </row>
    <row r="178" spans="14:14">
      <c r="N178" s="17"/>
    </row>
    <row r="179" spans="14:14">
      <c r="N179" s="17"/>
    </row>
    <row r="180" spans="14:14">
      <c r="N180" s="17"/>
    </row>
    <row r="181" spans="14:14">
      <c r="N181" s="17"/>
    </row>
    <row r="182" spans="14:14">
      <c r="N182" s="17"/>
    </row>
    <row r="183" spans="14:14">
      <c r="N183" s="17"/>
    </row>
    <row r="184" spans="14:14">
      <c r="N184" s="17"/>
    </row>
    <row r="185" spans="14:14">
      <c r="N185" s="17"/>
    </row>
    <row r="186" spans="14:14">
      <c r="N186" s="17"/>
    </row>
    <row r="187" spans="14:14">
      <c r="N187" s="17"/>
    </row>
    <row r="188" spans="14:14">
      <c r="N188" s="17"/>
    </row>
    <row r="189" spans="14:14">
      <c r="N189" s="17"/>
    </row>
    <row r="190" spans="14:14">
      <c r="N190" s="17"/>
    </row>
    <row r="191" spans="14:14">
      <c r="N191" s="17"/>
    </row>
    <row r="192" spans="14:14">
      <c r="N192" s="17"/>
    </row>
    <row r="193" spans="14:14">
      <c r="N193" s="17"/>
    </row>
    <row r="194" spans="14:14">
      <c r="N194" s="17"/>
    </row>
    <row r="195" spans="14:14">
      <c r="N195" s="17"/>
    </row>
    <row r="196" spans="14:14">
      <c r="N196" s="17"/>
    </row>
    <row r="197" spans="14:14">
      <c r="N197" s="17"/>
    </row>
    <row r="198" spans="14:14">
      <c r="N198" s="17"/>
    </row>
    <row r="199" spans="14:14">
      <c r="N199" s="17"/>
    </row>
    <row r="200" spans="14:14">
      <c r="N200" s="17"/>
    </row>
    <row r="201" spans="14:14">
      <c r="N201" s="17"/>
    </row>
    <row r="202" spans="14:14">
      <c r="N202" s="17"/>
    </row>
    <row r="203" spans="14:14">
      <c r="N203" s="17"/>
    </row>
    <row r="204" spans="14:14">
      <c r="N204" s="17"/>
    </row>
    <row r="205" spans="14:14">
      <c r="N205" s="17"/>
    </row>
    <row r="206" spans="14:14">
      <c r="N206" s="17"/>
    </row>
    <row r="207" spans="14:14">
      <c r="N207" s="17"/>
    </row>
    <row r="208" spans="14:14">
      <c r="N208" s="17"/>
    </row>
    <row r="209" spans="14:14">
      <c r="N209" s="17"/>
    </row>
    <row r="210" spans="14:14">
      <c r="N210" s="17"/>
    </row>
    <row r="211" spans="14:14">
      <c r="N211" s="17"/>
    </row>
    <row r="212" spans="14:14">
      <c r="N212" s="17"/>
    </row>
    <row r="213" spans="14:14">
      <c r="N213" s="17"/>
    </row>
    <row r="214" spans="14:14">
      <c r="N214" s="17"/>
    </row>
    <row r="215" spans="14:14">
      <c r="N215" s="17"/>
    </row>
    <row r="216" spans="14:14">
      <c r="N216" s="17"/>
    </row>
    <row r="217" spans="14:14">
      <c r="N217" s="17"/>
    </row>
    <row r="218" spans="14:14">
      <c r="N218" s="17"/>
    </row>
    <row r="219" spans="14:14">
      <c r="N219" s="17"/>
    </row>
    <row r="220" spans="14:14">
      <c r="N220" s="17"/>
    </row>
    <row r="221" spans="14:14">
      <c r="N221" s="17"/>
    </row>
    <row r="222" spans="14:14">
      <c r="N222" s="17"/>
    </row>
    <row r="223" spans="14:14">
      <c r="N223" s="17"/>
    </row>
    <row r="224" spans="14:14">
      <c r="N224" s="17"/>
    </row>
    <row r="225" spans="14:14">
      <c r="N225" s="17"/>
    </row>
    <row r="226" spans="14:14">
      <c r="N226" s="17"/>
    </row>
    <row r="227" spans="14:14">
      <c r="N227" s="17"/>
    </row>
    <row r="228" spans="14:14">
      <c r="N228" s="17"/>
    </row>
    <row r="229" spans="14:14">
      <c r="N229" s="17"/>
    </row>
    <row r="230" spans="14:14">
      <c r="N230" s="17"/>
    </row>
    <row r="231" spans="14:14">
      <c r="N231" s="17"/>
    </row>
    <row r="232" spans="14:14">
      <c r="N232" s="17"/>
    </row>
    <row r="233" spans="14:14">
      <c r="N233" s="17"/>
    </row>
    <row r="234" spans="14:14">
      <c r="N234" s="17"/>
    </row>
    <row r="235" spans="14:14">
      <c r="N235" s="17"/>
    </row>
    <row r="236" spans="14:14">
      <c r="N236" s="17"/>
    </row>
    <row r="237" spans="14:14">
      <c r="N237" s="17"/>
    </row>
    <row r="238" spans="14:14">
      <c r="N238" s="17"/>
    </row>
    <row r="239" spans="14:14">
      <c r="N239" s="17"/>
    </row>
    <row r="240" spans="14:14">
      <c r="N240" s="17"/>
    </row>
    <row r="241" spans="14:14">
      <c r="N241" s="17"/>
    </row>
    <row r="242" spans="14:14">
      <c r="N242" s="17"/>
    </row>
    <row r="243" spans="14:14">
      <c r="N243" s="17"/>
    </row>
    <row r="244" spans="14:14">
      <c r="N244" s="17"/>
    </row>
    <row r="245" spans="14:14">
      <c r="N245" s="17"/>
    </row>
    <row r="246" spans="14:14">
      <c r="N246" s="17"/>
    </row>
    <row r="247" spans="14:14">
      <c r="N247" s="17"/>
    </row>
    <row r="248" spans="14:14">
      <c r="N248" s="17"/>
    </row>
    <row r="249" spans="14:14">
      <c r="N249" s="17"/>
    </row>
    <row r="250" spans="14:14">
      <c r="N250" s="17"/>
    </row>
    <row r="251" spans="14:14">
      <c r="N251" s="17"/>
    </row>
    <row r="252" spans="14:14">
      <c r="N252" s="17"/>
    </row>
    <row r="253" spans="14:14">
      <c r="N253" s="17"/>
    </row>
    <row r="254" spans="14:14">
      <c r="N254" s="17"/>
    </row>
    <row r="255" spans="14:14">
      <c r="N255" s="17"/>
    </row>
    <row r="256" spans="14:14">
      <c r="N256" s="17"/>
    </row>
    <row r="257" spans="14:14">
      <c r="N257" s="17"/>
    </row>
    <row r="258" spans="14:14">
      <c r="N258" s="17"/>
    </row>
    <row r="259" spans="14:14">
      <c r="N259" s="17"/>
    </row>
    <row r="260" spans="14:14">
      <c r="N260" s="17"/>
    </row>
    <row r="261" spans="14:14">
      <c r="N261" s="17"/>
    </row>
    <row r="262" spans="14:14">
      <c r="N262" s="17"/>
    </row>
    <row r="263" spans="14:14">
      <c r="N263" s="17"/>
    </row>
    <row r="264" spans="14:14">
      <c r="N264" s="17"/>
    </row>
    <row r="265" spans="14:14">
      <c r="N265" s="17"/>
    </row>
    <row r="266" spans="14:14">
      <c r="N266" s="17"/>
    </row>
    <row r="267" spans="14:14">
      <c r="N267" s="17"/>
    </row>
    <row r="268" spans="14:14">
      <c r="N268" s="17"/>
    </row>
    <row r="269" spans="14:14">
      <c r="N269" s="17"/>
    </row>
    <row r="270" spans="14:14">
      <c r="N270" s="17"/>
    </row>
    <row r="271" spans="14:14">
      <c r="N271" s="17"/>
    </row>
    <row r="272" spans="14:14">
      <c r="N272" s="17"/>
    </row>
    <row r="273" spans="14:14">
      <c r="N273" s="17"/>
    </row>
    <row r="274" spans="14:14">
      <c r="N274" s="17"/>
    </row>
    <row r="275" spans="14:14">
      <c r="N275" s="17"/>
    </row>
    <row r="276" spans="14:14">
      <c r="N276" s="17"/>
    </row>
    <row r="277" spans="14:14">
      <c r="N277" s="17"/>
    </row>
    <row r="278" spans="14:14">
      <c r="N278" s="17"/>
    </row>
    <row r="279" spans="14:14">
      <c r="N279" s="17"/>
    </row>
    <row r="280" spans="14:14">
      <c r="N280" s="17"/>
    </row>
    <row r="281" spans="14:14">
      <c r="N281" s="17"/>
    </row>
    <row r="282" spans="14:14">
      <c r="N282" s="17"/>
    </row>
    <row r="283" spans="14:14">
      <c r="N283" s="17"/>
    </row>
    <row r="284" spans="14:14">
      <c r="N284" s="17"/>
    </row>
    <row r="285" spans="14:14">
      <c r="N285" s="17"/>
    </row>
    <row r="286" spans="14:14">
      <c r="N286" s="17"/>
    </row>
    <row r="287" spans="14:14">
      <c r="N287" s="17"/>
    </row>
    <row r="288" spans="14:14">
      <c r="N288" s="17"/>
    </row>
    <row r="289" spans="14:14">
      <c r="N289" s="17"/>
    </row>
    <row r="290" spans="14:14">
      <c r="N290" s="17"/>
    </row>
    <row r="291" spans="14:14">
      <c r="N291" s="17"/>
    </row>
    <row r="292" spans="14:14">
      <c r="N292" s="17"/>
    </row>
    <row r="293" spans="14:14">
      <c r="N293" s="17"/>
    </row>
    <row r="294" spans="14:14">
      <c r="N294" s="17"/>
    </row>
    <row r="295" spans="14:14">
      <c r="N295" s="17"/>
    </row>
    <row r="296" spans="14:14">
      <c r="N296" s="17"/>
    </row>
    <row r="297" spans="14:14">
      <c r="N297" s="17"/>
    </row>
    <row r="298" spans="14:14">
      <c r="N298" s="17"/>
    </row>
    <row r="299" spans="14:14">
      <c r="N299" s="17"/>
    </row>
    <row r="300" spans="14:14">
      <c r="N300" s="17"/>
    </row>
    <row r="301" spans="14:14">
      <c r="N301" s="17"/>
    </row>
    <row r="302" spans="14:14">
      <c r="N302" s="17"/>
    </row>
    <row r="303" spans="14:14">
      <c r="N303" s="17"/>
    </row>
    <row r="304" spans="14:14">
      <c r="N304" s="17"/>
    </row>
    <row r="305" spans="14:14">
      <c r="N305" s="17"/>
    </row>
    <row r="306" spans="14:14">
      <c r="N306" s="17"/>
    </row>
    <row r="307" spans="14:14">
      <c r="N307" s="17"/>
    </row>
    <row r="308" spans="14:14">
      <c r="N308" s="17"/>
    </row>
    <row r="309" spans="14:14">
      <c r="N309" s="17"/>
    </row>
    <row r="310" spans="14:14">
      <c r="N310" s="17"/>
    </row>
    <row r="311" spans="14:14">
      <c r="N311" s="17"/>
    </row>
    <row r="312" spans="14:14">
      <c r="N312" s="17"/>
    </row>
    <row r="313" spans="14:14">
      <c r="N313" s="17"/>
    </row>
    <row r="314" spans="14:14">
      <c r="N314" s="17"/>
    </row>
    <row r="315" spans="14:14">
      <c r="N315" s="17"/>
    </row>
    <row r="316" spans="14:14">
      <c r="N316" s="17"/>
    </row>
    <row r="317" spans="14:14">
      <c r="N317" s="17"/>
    </row>
    <row r="318" spans="14:14">
      <c r="N318" s="17"/>
    </row>
    <row r="319" spans="14:14">
      <c r="N319" s="17"/>
    </row>
    <row r="320" spans="14:14">
      <c r="N320" s="17"/>
    </row>
    <row r="321" spans="14:14">
      <c r="N321" s="17"/>
    </row>
    <row r="322" spans="14:14">
      <c r="N322" s="17"/>
    </row>
    <row r="323" spans="14:14">
      <c r="N323" s="17"/>
    </row>
    <row r="324" spans="14:14">
      <c r="N324" s="17"/>
    </row>
    <row r="325" spans="14:14">
      <c r="N325" s="17"/>
    </row>
    <row r="326" spans="14:14">
      <c r="N326" s="17"/>
    </row>
    <row r="327" spans="14:14">
      <c r="N327" s="17"/>
    </row>
    <row r="328" spans="14:14">
      <c r="N328" s="17"/>
    </row>
    <row r="329" spans="14:14">
      <c r="N329" s="17"/>
    </row>
    <row r="330" spans="14:14">
      <c r="N330" s="17"/>
    </row>
    <row r="331" spans="14:14">
      <c r="N331" s="17"/>
    </row>
    <row r="332" spans="14:14">
      <c r="N332" s="17"/>
    </row>
    <row r="333" spans="14:14">
      <c r="N333" s="17"/>
    </row>
    <row r="334" spans="14:14">
      <c r="N334" s="17"/>
    </row>
    <row r="335" spans="14:14">
      <c r="N335" s="17"/>
    </row>
    <row r="336" spans="14:14">
      <c r="N336" s="17"/>
    </row>
    <row r="337" spans="14:14">
      <c r="N337" s="17"/>
    </row>
    <row r="338" spans="14:14">
      <c r="N338" s="17"/>
    </row>
    <row r="339" spans="14:14">
      <c r="N339" s="17"/>
    </row>
    <row r="340" spans="14:14">
      <c r="N340" s="17"/>
    </row>
    <row r="341" spans="14:14">
      <c r="N341" s="17"/>
    </row>
    <row r="342" spans="14:14">
      <c r="N342" s="17"/>
    </row>
    <row r="343" spans="14:14">
      <c r="N343" s="17"/>
    </row>
    <row r="344" spans="14:14">
      <c r="N344" s="17"/>
    </row>
    <row r="345" spans="14:14">
      <c r="N345" s="17"/>
    </row>
    <row r="346" spans="14:14">
      <c r="N346" s="17"/>
    </row>
    <row r="347" spans="14:14">
      <c r="N347" s="17"/>
    </row>
    <row r="348" spans="14:14">
      <c r="N348" s="17"/>
    </row>
    <row r="349" spans="14:14">
      <c r="N349" s="17"/>
    </row>
    <row r="350" spans="14:14">
      <c r="N350" s="17"/>
    </row>
    <row r="351" spans="14:14">
      <c r="N351" s="17"/>
    </row>
    <row r="352" spans="14:14">
      <c r="N352" s="17"/>
    </row>
    <row r="353" spans="14:14">
      <c r="N353" s="17"/>
    </row>
    <row r="354" spans="14:14">
      <c r="N354" s="17"/>
    </row>
    <row r="355" spans="14:14">
      <c r="N355" s="17"/>
    </row>
    <row r="356" spans="14:14">
      <c r="N356" s="17"/>
    </row>
    <row r="357" spans="14:14">
      <c r="N357" s="17"/>
    </row>
    <row r="358" spans="14:14">
      <c r="N358" s="17"/>
    </row>
  </sheetData>
  <mergeCells count="5">
    <mergeCell ref="J1:K1"/>
    <mergeCell ref="L1:M1"/>
    <mergeCell ref="N1:Q1"/>
    <mergeCell ref="D1:F1"/>
    <mergeCell ref="G1:I1"/>
  </mergeCells>
  <phoneticPr fontId="2" type="noConversion"/>
  <pageMargins left="0.25" right="0.25" top="0.75" bottom="0.75" header="0.3" footer="0.3"/>
  <pageSetup scale="7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4"/>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E33" sqref="E33"/>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145</v>
      </c>
    </row>
    <row r="2" spans="1:5">
      <c r="A2" s="31"/>
      <c r="B2" s="32" t="s">
        <v>18</v>
      </c>
      <c r="C2" s="18"/>
      <c r="D2" s="22"/>
      <c r="E2" s="18"/>
    </row>
    <row r="3" spans="1:5">
      <c r="C3" s="28" t="s">
        <v>19</v>
      </c>
      <c r="D3" s="28" t="s">
        <v>20</v>
      </c>
      <c r="E3" s="28" t="s">
        <v>21</v>
      </c>
    </row>
    <row r="4" spans="1:5">
      <c r="B4" s="33" t="s">
        <v>22</v>
      </c>
      <c r="C4" s="34">
        <v>4.4199999999999996E-2</v>
      </c>
      <c r="D4" s="34">
        <v>7.4999999999999997E-2</v>
      </c>
      <c r="E4" s="35">
        <f>D4-C4</f>
        <v>3.0800000000000001E-2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G31"/>
  <sheetViews>
    <sheetView zoomScale="87" workbookViewId="0">
      <selection activeCell="B4" sqref="B4"/>
    </sheetView>
  </sheetViews>
  <sheetFormatPr defaultRowHeight="12.75"/>
  <cols>
    <col min="1" max="1" width="2.59765625" style="66" customWidth="1"/>
    <col min="2" max="2" width="16.59765625" style="66" bestFit="1" customWidth="1"/>
    <col min="3" max="4" width="9.06640625" style="66"/>
    <col min="5" max="6" width="15.59765625" style="66" customWidth="1"/>
    <col min="7" max="7" width="9.9296875" style="66" customWidth="1"/>
    <col min="8" max="16384" width="9.06640625" style="66"/>
  </cols>
  <sheetData>
    <row r="1" spans="1:7" ht="13.15">
      <c r="A1" s="64"/>
      <c r="B1" s="65" t="s">
        <v>226</v>
      </c>
    </row>
    <row r="2" spans="1:7" ht="29.65" customHeight="1">
      <c r="B2" s="67" t="s">
        <v>3</v>
      </c>
      <c r="C2" s="67" t="s">
        <v>229</v>
      </c>
      <c r="D2" s="67" t="s">
        <v>228</v>
      </c>
      <c r="E2" s="67" t="s">
        <v>227</v>
      </c>
      <c r="F2" s="67" t="s">
        <v>236</v>
      </c>
      <c r="G2" s="67" t="s">
        <v>246</v>
      </c>
    </row>
    <row r="3" spans="1:7">
      <c r="B3" s="68" t="s">
        <v>233</v>
      </c>
      <c r="C3" s="71" t="s">
        <v>234</v>
      </c>
      <c r="D3" s="68" t="s">
        <v>230</v>
      </c>
      <c r="E3" s="72" t="s">
        <v>234</v>
      </c>
      <c r="F3" s="72">
        <v>395673.88</v>
      </c>
      <c r="G3" s="75">
        <f>F3/$F$8</f>
        <v>0.50576089073376196</v>
      </c>
    </row>
    <row r="4" spans="1:7">
      <c r="B4" s="68" t="s">
        <v>232</v>
      </c>
      <c r="C4" s="71">
        <v>14.2</v>
      </c>
      <c r="D4" s="68" t="s">
        <v>230</v>
      </c>
      <c r="E4" s="72">
        <v>10000</v>
      </c>
      <c r="F4" s="72">
        <f>C4*E4</f>
        <v>142000</v>
      </c>
      <c r="G4" s="75">
        <f t="shared" ref="G4:G6" si="0">F4/$F$8</f>
        <v>0.18150818164745722</v>
      </c>
    </row>
    <row r="5" spans="1:7">
      <c r="B5" s="68" t="s">
        <v>231</v>
      </c>
      <c r="C5" s="71">
        <v>7.4</v>
      </c>
      <c r="D5" s="68" t="s">
        <v>230</v>
      </c>
      <c r="E5" s="72">
        <v>20000</v>
      </c>
      <c r="F5" s="72">
        <f>E5*C5</f>
        <v>148000</v>
      </c>
      <c r="G5" s="75">
        <f t="shared" si="0"/>
        <v>0.18917754143537796</v>
      </c>
    </row>
    <row r="6" spans="1:7">
      <c r="B6" s="68" t="s">
        <v>245</v>
      </c>
      <c r="C6" s="71">
        <v>5.37</v>
      </c>
      <c r="D6" s="68" t="s">
        <v>230</v>
      </c>
      <c r="E6" s="72">
        <v>18000</v>
      </c>
      <c r="F6" s="72">
        <f>E6*C6</f>
        <v>96660</v>
      </c>
      <c r="G6" s="75">
        <f t="shared" si="0"/>
        <v>0.12355338618340292</v>
      </c>
    </row>
    <row r="7" spans="1:7">
      <c r="B7" s="68"/>
      <c r="C7" s="71"/>
      <c r="D7" s="68"/>
    </row>
    <row r="8" spans="1:7" ht="13.15">
      <c r="B8" s="68"/>
      <c r="C8" s="71"/>
      <c r="D8" s="68"/>
      <c r="E8" s="73" t="s">
        <v>235</v>
      </c>
      <c r="F8" s="73">
        <f>SUM(F3:F7)</f>
        <v>782333.88</v>
      </c>
    </row>
    <row r="9" spans="1:7">
      <c r="B9" s="68"/>
      <c r="C9" s="71"/>
      <c r="D9" s="68"/>
      <c r="E9" s="72"/>
      <c r="F9" s="72"/>
    </row>
    <row r="10" spans="1:7">
      <c r="B10" s="68"/>
      <c r="C10" s="71"/>
      <c r="D10" s="68"/>
      <c r="E10" s="72"/>
      <c r="F10" s="72"/>
    </row>
    <row r="11" spans="1:7">
      <c r="B11" s="68"/>
      <c r="C11" s="71"/>
      <c r="D11" s="68"/>
      <c r="E11" s="72"/>
      <c r="F11" s="72"/>
    </row>
    <row r="12" spans="1:7">
      <c r="B12" s="68"/>
      <c r="C12" s="71"/>
      <c r="D12" s="68"/>
      <c r="E12" s="72"/>
      <c r="F12" s="72"/>
    </row>
    <row r="13" spans="1:7">
      <c r="B13" s="68"/>
      <c r="C13" s="71"/>
      <c r="D13" s="68"/>
      <c r="E13" s="72"/>
      <c r="F13" s="72"/>
    </row>
    <row r="14" spans="1:7">
      <c r="B14" s="68"/>
      <c r="C14" s="71"/>
      <c r="D14" s="68"/>
      <c r="E14" s="72"/>
      <c r="F14" s="72"/>
    </row>
    <row r="15" spans="1:7">
      <c r="B15" s="68"/>
      <c r="C15" s="71"/>
      <c r="D15" s="68"/>
      <c r="E15" s="72"/>
      <c r="F15" s="72"/>
    </row>
    <row r="16" spans="1:7">
      <c r="B16" s="68"/>
      <c r="C16" s="71"/>
      <c r="D16" s="68"/>
      <c r="E16" s="72"/>
      <c r="F16" s="72"/>
    </row>
    <row r="17" spans="2:6">
      <c r="B17" s="68"/>
      <c r="C17" s="71"/>
      <c r="D17" s="68"/>
      <c r="E17" s="72"/>
      <c r="F17" s="72"/>
    </row>
    <row r="18" spans="2:6">
      <c r="B18" s="68"/>
      <c r="C18" s="71"/>
      <c r="D18" s="68"/>
      <c r="E18" s="72"/>
      <c r="F18" s="72"/>
    </row>
    <row r="19" spans="2:6">
      <c r="B19" s="68"/>
      <c r="C19" s="71"/>
      <c r="D19" s="68"/>
      <c r="E19" s="72"/>
      <c r="F19" s="72"/>
    </row>
    <row r="20" spans="2:6">
      <c r="B20" s="68"/>
      <c r="C20" s="71"/>
      <c r="D20" s="68"/>
      <c r="E20" s="72"/>
      <c r="F20" s="72"/>
    </row>
    <row r="21" spans="2:6">
      <c r="B21" s="68"/>
      <c r="C21" s="71"/>
      <c r="D21" s="68"/>
      <c r="E21" s="72"/>
      <c r="F21" s="72"/>
    </row>
    <row r="22" spans="2:6">
      <c r="B22" s="68"/>
      <c r="C22" s="71"/>
      <c r="D22" s="68"/>
      <c r="E22" s="72"/>
      <c r="F22" s="72"/>
    </row>
    <row r="23" spans="2:6">
      <c r="B23" s="68"/>
      <c r="C23" s="71"/>
      <c r="D23" s="68"/>
      <c r="E23" s="72"/>
      <c r="F23" s="72"/>
    </row>
    <row r="24" spans="2:6">
      <c r="B24" s="68"/>
      <c r="C24" s="71"/>
      <c r="D24" s="68"/>
      <c r="E24" s="72"/>
      <c r="F24" s="72"/>
    </row>
    <row r="25" spans="2:6">
      <c r="B25" s="68"/>
      <c r="C25" s="71"/>
      <c r="D25" s="68"/>
      <c r="E25" s="72"/>
      <c r="F25" s="72"/>
    </row>
    <row r="26" spans="2:6">
      <c r="B26" s="68"/>
      <c r="C26" s="71"/>
      <c r="D26" s="68"/>
      <c r="E26" s="72"/>
      <c r="F26" s="72"/>
    </row>
    <row r="27" spans="2:6">
      <c r="B27" s="68"/>
      <c r="C27" s="71"/>
      <c r="D27" s="68"/>
      <c r="E27" s="72"/>
      <c r="F27" s="72"/>
    </row>
    <row r="28" spans="2:6">
      <c r="B28" s="68"/>
      <c r="C28" s="71"/>
      <c r="D28" s="68"/>
      <c r="E28" s="72"/>
      <c r="F28" s="72"/>
    </row>
    <row r="29" spans="2:6">
      <c r="B29" s="68"/>
      <c r="C29" s="71"/>
      <c r="D29" s="68"/>
      <c r="E29" s="72"/>
      <c r="F29" s="72"/>
    </row>
    <row r="30" spans="2:6">
      <c r="B30" s="68"/>
      <c r="C30" s="71"/>
      <c r="D30" s="68"/>
      <c r="E30" s="72"/>
      <c r="F30" s="72"/>
    </row>
    <row r="31" spans="2:6">
      <c r="B31" s="68"/>
      <c r="C31" s="69"/>
      <c r="D31" s="68"/>
      <c r="E31" s="70"/>
      <c r="F31" s="70"/>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B29" sqref="B29:D29"/>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102</v>
      </c>
    </row>
    <row r="2" spans="1:4">
      <c r="A2" s="5"/>
      <c r="B2" s="6" t="s">
        <v>103</v>
      </c>
    </row>
    <row r="3" spans="1:4">
      <c r="B3" s="85" t="s">
        <v>104</v>
      </c>
      <c r="C3" s="85"/>
      <c r="D3" s="85"/>
    </row>
    <row r="5" spans="1:4">
      <c r="B5" s="86" t="s">
        <v>106</v>
      </c>
      <c r="C5" s="77"/>
      <c r="D5" s="77"/>
    </row>
    <row r="6" spans="1:4">
      <c r="B6" s="86" t="s">
        <v>107</v>
      </c>
      <c r="C6" s="77"/>
      <c r="D6" s="77"/>
    </row>
    <row r="8" spans="1:4">
      <c r="B8" s="1" t="s">
        <v>105</v>
      </c>
    </row>
    <row r="10" spans="1:4">
      <c r="A10" s="5"/>
      <c r="B10" s="6" t="s">
        <v>108</v>
      </c>
    </row>
    <row r="11" spans="1:4">
      <c r="B11" s="85" t="s">
        <v>109</v>
      </c>
      <c r="C11" s="85"/>
      <c r="D11" s="85"/>
    </row>
    <row r="12" spans="1:4">
      <c r="B12" s="85" t="s">
        <v>110</v>
      </c>
      <c r="C12" s="85"/>
      <c r="D12" s="85"/>
    </row>
    <row r="14" spans="1:4">
      <c r="B14" s="23" t="s">
        <v>142</v>
      </c>
    </row>
    <row r="16" spans="1:4" ht="12.4">
      <c r="B16" s="30" t="s">
        <v>119</v>
      </c>
      <c r="C16" s="30" t="s">
        <v>120</v>
      </c>
    </row>
    <row r="17" spans="1:4">
      <c r="B17" s="26" t="s">
        <v>111</v>
      </c>
      <c r="C17" s="26" t="s">
        <v>115</v>
      </c>
    </row>
    <row r="18" spans="1:4">
      <c r="B18" s="26" t="s">
        <v>112</v>
      </c>
      <c r="C18" s="26" t="s">
        <v>116</v>
      </c>
    </row>
    <row r="19" spans="1:4">
      <c r="B19" s="26" t="s">
        <v>113</v>
      </c>
      <c r="C19" s="26" t="s">
        <v>117</v>
      </c>
    </row>
    <row r="20" spans="1:4">
      <c r="B20" s="26" t="s">
        <v>114</v>
      </c>
      <c r="C20" s="26" t="s">
        <v>118</v>
      </c>
    </row>
    <row r="21" spans="1:4">
      <c r="B21" s="26" t="s">
        <v>134</v>
      </c>
      <c r="C21" s="26" t="s">
        <v>135</v>
      </c>
    </row>
    <row r="22" spans="1:4">
      <c r="B22" s="26" t="s">
        <v>136</v>
      </c>
      <c r="C22" s="26" t="s">
        <v>137</v>
      </c>
    </row>
    <row r="23" spans="1:4">
      <c r="B23" s="26" t="s">
        <v>138</v>
      </c>
      <c r="C23" s="26" t="s">
        <v>139</v>
      </c>
    </row>
    <row r="24" spans="1:4">
      <c r="B24" s="26" t="s">
        <v>143</v>
      </c>
      <c r="C24" s="26" t="s">
        <v>144</v>
      </c>
    </row>
    <row r="25" spans="1:4">
      <c r="B25" s="26" t="s">
        <v>140</v>
      </c>
      <c r="C25" s="26" t="s">
        <v>141</v>
      </c>
    </row>
    <row r="27" spans="1:4">
      <c r="A27" s="5"/>
      <c r="B27" s="6" t="s">
        <v>121</v>
      </c>
    </row>
    <row r="28" spans="1:4">
      <c r="B28" s="85" t="s">
        <v>122</v>
      </c>
      <c r="C28" s="85"/>
      <c r="D28" s="85"/>
    </row>
    <row r="29" spans="1:4">
      <c r="B29" s="85" t="s">
        <v>123</v>
      </c>
      <c r="C29" s="85"/>
      <c r="D29" s="85"/>
    </row>
    <row r="31" spans="1:4">
      <c r="A31" s="5"/>
      <c r="B31" s="6" t="s">
        <v>124</v>
      </c>
    </row>
    <row r="32" spans="1:4">
      <c r="A32" s="28" t="s">
        <v>66</v>
      </c>
      <c r="B32" s="23" t="s">
        <v>125</v>
      </c>
    </row>
    <row r="33" spans="1:2">
      <c r="B33" s="1" t="s">
        <v>126</v>
      </c>
    </row>
    <row r="35" spans="1:2">
      <c r="A35" s="28" t="s">
        <v>128</v>
      </c>
      <c r="B35" s="23" t="s">
        <v>127</v>
      </c>
    </row>
    <row r="36" spans="1:2">
      <c r="B36" s="1" t="s">
        <v>129</v>
      </c>
    </row>
    <row r="38" spans="1:2">
      <c r="A38" s="5"/>
      <c r="B38" s="6" t="s">
        <v>130</v>
      </c>
    </row>
    <row r="39" spans="1:2">
      <c r="B39" s="24" t="s">
        <v>131</v>
      </c>
    </row>
    <row r="40" spans="1:2">
      <c r="B40" s="1" t="s">
        <v>132</v>
      </c>
    </row>
    <row r="41" spans="1:2">
      <c r="B41" s="1" t="s">
        <v>133</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2025-04-03T10:10:24Z</cp:lastPrinted>
  <dcterms:created xsi:type="dcterms:W3CDTF">2022-12-06T06:37:33Z</dcterms:created>
  <dcterms:modified xsi:type="dcterms:W3CDTF">2025-04-23T14:42:37Z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