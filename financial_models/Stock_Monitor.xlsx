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"/>
    </mc:Choice>
  </mc:AlternateContent>
  <xr:revisionPtr revIDLastSave="0" documentId="13_ncr:1_{3AEB675F-BB1A-4697-8293-1AD639DE1770}" xr6:coauthVersionLast="47" xr6:coauthVersionMax="47" xr10:uidLastSave="{00000000-0000-0000-0000-000000000000}"/>
  <bookViews>
    <workbookView xWindow="41325" yWindow="4065" windowWidth="17115" windowHeight="10755" activeTab="2" xr2:uid="{00000000-000D-0000-FFFF-FFFF00000000}"/>
  </bookViews>
  <sheets>
    <sheet name="Opportunities" sheetId="1" r:id="rId1"/>
    <sheet name="Market_Yield" sheetId="2" r:id="rId2"/>
    <sheet name="Sheet2" sheetId="4" r:id="rId3"/>
  </sheets>
  <definedNames>
    <definedName name="_xlnm._FilterDatabase" localSheetId="0" hidden="1">Opportunities!$B$2:$P$2</definedName>
    <definedName name="stock_benchmark">Market_Yield!$C$20</definedName>
  </definedNames>
  <calcPr calcId="191029"/>
</workbook>
</file>

<file path=xl/calcChain.xml><?xml version="1.0" encoding="utf-8"?>
<calcChain xmlns="http://schemas.openxmlformats.org/spreadsheetml/2006/main">
  <c r="G4" i="1" l="1"/>
  <c r="H4" i="1" s="1"/>
  <c r="G5" i="1"/>
  <c r="H5" i="1" s="1"/>
  <c r="G3" i="1"/>
  <c r="H3" i="1" s="1"/>
  <c r="E10" i="2"/>
  <c r="E9" i="2"/>
  <c r="E8" i="2"/>
  <c r="C4" i="2"/>
  <c r="C20" i="2" s="1"/>
</calcChain>
</file>

<file path=xl/sharedStrings.xml><?xml version="1.0" encoding="utf-8"?>
<sst xmlns="http://schemas.openxmlformats.org/spreadsheetml/2006/main" count="77" uniqueCount="72">
  <si>
    <t>Name</t>
  </si>
  <si>
    <t>Price</t>
  </si>
  <si>
    <t>Currency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</si>
  <si>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</si>
  <si>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</si>
  <si>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</si>
  <si>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</si>
  <si>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</si>
  <si>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</si>
  <si>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</si>
  <si>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</si>
  <si>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Market Annual Yield</t>
    <phoneticPr fontId="2" type="noConversion"/>
  </si>
  <si>
    <t>Equity Value</t>
    <phoneticPr fontId="2" type="noConversion"/>
  </si>
  <si>
    <t>FCFE
 Yield</t>
    <phoneticPr fontId="2" type="noConversion"/>
  </si>
  <si>
    <t>0083.HK</t>
  </si>
  <si>
    <t>SINO LAND</t>
  </si>
  <si>
    <t>HKD</t>
  </si>
  <si>
    <t>C0003</t>
  </si>
  <si>
    <t>Negative Growth Asset Play</t>
  </si>
  <si>
    <t>0590.HK</t>
  </si>
  <si>
    <t>六福珠宝</t>
  </si>
  <si>
    <t>Low Growth Asset Play</t>
  </si>
  <si>
    <t>6601.HK</t>
  </si>
  <si>
    <t>朝云集团</t>
  </si>
  <si>
    <t>C0001</t>
  </si>
  <si>
    <t xml:space="preserve">Low Growth </t>
  </si>
  <si>
    <t>Growth Classification</t>
    <phoneticPr fontId="2" type="noConversion"/>
  </si>
  <si>
    <t>Valuation Model Assumptions</t>
    <phoneticPr fontId="2" type="noConversion"/>
  </si>
  <si>
    <t>Target Annual Return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</si>
  <si>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</si>
  <si>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</si>
  <si>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</si>
  <si>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</si>
  <si>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</si>
  <si>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</si>
  <si>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</si>
  <si>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</si>
  <si>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</si>
  <si>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</si>
  <si>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</si>
  <si>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</si>
  <si>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</si>
  <si>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</si>
  <si>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</si>
  <si>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</si>
  <si>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</si>
  <si>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</si>
  <si>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</si>
  <si>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</si>
  <si>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</si>
  <si>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</si>
  <si>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</si>
  <si>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</si>
  <si>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</si>
  <si>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</si>
  <si>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</si>
  <si>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</si>
  <si>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</si>
  <si>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</si>
  <si>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</si>
  <si>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</si>
  <si>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</si>
  <si>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</si>
  <si>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</si>
  <si>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Benchmark rate for stocks</t>
    <phoneticPr fontId="2" type="noConversion"/>
  </si>
  <si>
    <t>Stock Attractiveness</t>
    <phoneticPr fontId="2" type="noConversion"/>
  </si>
  <si>
    <t>Selected</t>
    <phoneticPr fontId="2" type="noConversion"/>
  </si>
  <si>
    <t>Y</t>
    <phoneticPr fontId="2" type="noConversion"/>
  </si>
  <si>
    <t>N</t>
    <phoneticPr fontId="2" type="noConversion"/>
  </si>
  <si>
    <t>Portfolio Allocation</t>
    <phoneticPr fontId="2" type="noConversion"/>
  </si>
  <si>
    <t>Others</t>
    <phoneticPr fontId="2" type="noConversion"/>
  </si>
  <si>
    <t>I want to determine the optimal percentage of my AUM to hold in cash. My portfolio's target return is around 20%, and I typically aim for fewer than 10 investments. Each investment has a soft lock-up period of up to 3 years, meaning it takes a maximum of 3 years to realize the expected return.
Currently, I have three target investments with expected returns of 19%, 11%, and 4% at their current prices. The benchmark return for investments is 9%, while cash yields 5%, implying a risk premium of 4%. While I don’t intend to time the market, I’m willing to take on some risk by waiting due to the soft lock-up period. Achieving the target return is desirable but not a strict requirement.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</si>
</sst>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;@"/>
    <numFmt numFmtId="177" formatCode="[$-13C09]d\ mmm\ yyyy;@"/>
    <numFmt numFmtId="178" formatCode="&quot;for &quot;0&quot; Yrs&quot;"/>
  </numFmts>
  <fonts count="16">
    <font>
      <sz val="11"/>
      <color theme="1"/>
      <name val="等线"/>
      <family val="2"/>
      <scheme val="minor"/>
    </font>
    <font>
      <sz val="10"/>
      <color rgb="FF000000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等线"/>
      <family val="2"/>
      <scheme val="minor"/>
    </font>
    <font>
      <sz val="11"/>
      <color rgb="FF000000"/>
      <name val="Times New Roman"/>
      <family val="1"/>
    </font>
    <font>
      <b/>
      <sz val="12"/>
      <color rgb="FF002060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rgb="FF00B050"/>
      <name val="Times New Roman"/>
      <family val="1"/>
    </font>
    <font>
      <b/>
      <sz val="11"/>
      <color theme="1"/>
      <name val="Times New Roman"/>
      <family val="1"/>
    </font>
    <font>
      <sz val="11"/>
      <color rgb="FF0000FF"/>
      <name val="Times New Roman"/>
      <family val="1"/>
    </font>
    <font>
      <u/>
      <sz val="11"/>
      <color theme="1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7" fillId="0" borderId="0" applyNumberFormat="0" applyFill="0" applyBorder="0" applyAlignment="0" applyProtection="0"/>
  </cellStyleXfs>
  <cellXfs count="40">
    <xf numFmtId="0" fontId="0" fillId="0" borderId="0" xfId="0"/>
    <xf numFmtId="0" fontId="3" fillId="0" borderId="0" xfId="0" applyFont="1"/>
    <xf numFmtId="4" fontId="3" fillId="0" borderId="0" xfId="0" applyNumberFormat="1" applyFont="1"/>
    <xf numFmtId="177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77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76" fontId="3" fillId="0" borderId="0" xfId="0" applyNumberFormat="1" applyFont="1"/>
    <xf numFmtId="0" fontId="8" fillId="2" borderId="0" xfId="0" applyFont="1" applyFill="1"/>
    <xf numFmtId="0" fontId="9" fillId="0" borderId="2" xfId="0" applyFont="1" applyBorder="1"/>
    <xf numFmtId="0" fontId="8" fillId="0" borderId="0" xfId="0" applyFont="1"/>
    <xf numFmtId="0" fontId="9" fillId="0" borderId="0" xfId="0" applyFont="1"/>
    <xf numFmtId="0" fontId="10" fillId="0" borderId="0" xfId="0" applyFont="1"/>
    <xf numFmtId="10" fontId="11" fillId="0" borderId="0" xfId="0" applyNumberFormat="1" applyFont="1" applyAlignment="1">
      <alignment horizontal="center"/>
    </xf>
    <xf numFmtId="178" fontId="12" fillId="0" borderId="0" xfId="0" applyNumberFormat="1" applyFont="1" applyAlignment="1">
      <alignment horizontal="center"/>
    </xf>
    <xf numFmtId="178" fontId="11" fillId="0" borderId="0" xfId="0" applyNumberFormat="1" applyFont="1" applyAlignment="1">
      <alignment horizontal="center"/>
    </xf>
    <xf numFmtId="10" fontId="12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0" fontId="10" fillId="0" borderId="4" xfId="0" applyFont="1" applyBorder="1" applyAlignment="1">
      <alignment horizontal="left"/>
    </xf>
    <xf numFmtId="10" fontId="14" fillId="0" borderId="4" xfId="0" applyNumberFormat="1" applyFont="1" applyBorder="1" applyAlignment="1">
      <alignment horizontal="right"/>
    </xf>
    <xf numFmtId="10" fontId="10" fillId="0" borderId="4" xfId="0" applyNumberFormat="1" applyFont="1" applyBorder="1" applyAlignment="1">
      <alignment horizontal="right"/>
    </xf>
    <xf numFmtId="0" fontId="10" fillId="0" borderId="4" xfId="0" applyFont="1" applyBorder="1"/>
    <xf numFmtId="0" fontId="13" fillId="0" borderId="4" xfId="0" applyFont="1" applyBorder="1" applyAlignment="1">
      <alignment horizontal="left" indent="1"/>
    </xf>
    <xf numFmtId="10" fontId="13" fillId="0" borderId="4" xfId="0" applyNumberFormat="1" applyFont="1" applyBorder="1"/>
    <xf numFmtId="0" fontId="15" fillId="0" borderId="0" xfId="2" applyFont="1"/>
    <xf numFmtId="0" fontId="0" fillId="0" borderId="0" xfId="0" applyAlignment="1">
      <alignment wrapText="1"/>
    </xf>
    <xf numFmtId="4" fontId="6" fillId="5" borderId="3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4" borderId="3" xfId="0" applyFont="1" applyFill="1" applyBorder="1" applyAlignment="1">
      <alignment horizontal="center"/>
    </xf>
  </cellXfs>
  <cellStyles count="3">
    <cellStyle name="Normal 2" xfId="1" xr:uid="{00000000-0005-0000-0000-000001000000}"/>
    <cellStyle name="常规" xfId="0" builtinId="0"/>
    <cellStyle name="超链接" xfId="2" builtinId="8"/>
  </cellStyles>
  <dxfs count="0"/>
  <tableStyles count="0" defaultTableStyle="TableStyleMedium2" defaultPivotStyle="PivotStyleLight16"/>
  <colors>
    <mruColors>
      <color rgb="FF0000FF"/>
      <color rgb="FFFFFFCC"/>
      <color rgb="FFB6D7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358"/>
  <sheetViews>
    <sheetView showGridLines="0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B2" sqref="B2"/>
    </sheetView>
  </sheetViews>
  <sheetFormatPr defaultColWidth="8.796875" defaultRowHeight="11.65"/>
  <cols>
    <col min="1" max="1" width="2.46484375" style="1" customWidth="1"/>
    <col min="2" max="2" width="13.46484375" style="1" bestFit="1" customWidth="1"/>
    <col min="3" max="3" width="18.6640625" style="1" customWidth="1"/>
    <col min="4" max="4" width="8.6640625" style="2" customWidth="1"/>
    <col min="5" max="5" width="10.33203125" style="1" customWidth="1"/>
    <col min="6" max="8" width="13.53125" style="15" customWidth="1"/>
    <col min="9" max="10" width="8.6640625" style="2" customWidth="1"/>
    <col min="11" max="13" width="8.6640625" style="1" customWidth="1"/>
    <col min="14" max="14" width="22.73046875" style="1" bestFit="1" customWidth="1"/>
    <col min="15" max="15" width="14.796875" style="3" bestFit="1" customWidth="1"/>
    <col min="16" max="16" width="8.796875" style="11"/>
    <col min="17" max="17" width="16.3984375" style="1" customWidth="1"/>
    <col min="18" max="16384" width="8.796875" style="1"/>
  </cols>
  <sheetData>
    <row r="1" spans="1:16">
      <c r="A1" s="5"/>
      <c r="B1" s="6" t="s">
        <v>4</v>
      </c>
      <c r="D1" s="38" t="s">
        <v>1</v>
      </c>
      <c r="E1" s="38"/>
      <c r="F1" s="38"/>
      <c r="G1" s="38"/>
      <c r="H1" s="38"/>
      <c r="I1" s="36" t="s">
        <v>5</v>
      </c>
      <c r="J1" s="36"/>
      <c r="K1" s="37" t="s">
        <v>9</v>
      </c>
      <c r="L1" s="37"/>
      <c r="M1" s="39" t="s">
        <v>70</v>
      </c>
      <c r="N1" s="39"/>
      <c r="O1" s="39"/>
      <c r="P1" s="39"/>
    </row>
    <row r="2" spans="1:16" ht="26" customHeight="1">
      <c r="B2" s="7" t="s">
        <v>3</v>
      </c>
      <c r="C2" s="7" t="s">
        <v>0</v>
      </c>
      <c r="D2" s="8" t="s">
        <v>1</v>
      </c>
      <c r="E2" s="7" t="s">
        <v>2</v>
      </c>
      <c r="F2" s="7" t="s">
        <v>11</v>
      </c>
      <c r="G2" s="7" t="s">
        <v>65</v>
      </c>
      <c r="H2" s="7" t="s">
        <v>69</v>
      </c>
      <c r="I2" s="8" t="s">
        <v>8</v>
      </c>
      <c r="J2" s="8" t="s">
        <v>12</v>
      </c>
      <c r="K2" s="7" t="s">
        <v>13</v>
      </c>
      <c r="L2" s="7" t="s">
        <v>7</v>
      </c>
      <c r="M2" s="7" t="s">
        <v>6</v>
      </c>
      <c r="N2" s="7" t="s">
        <v>26</v>
      </c>
      <c r="O2" s="9" t="s">
        <v>10</v>
      </c>
      <c r="P2" s="10" t="s">
        <v>66</v>
      </c>
    </row>
    <row r="3" spans="1:16">
      <c r="B3" s="11" t="s">
        <v>19</v>
      </c>
      <c r="C3" s="11" t="s">
        <v>20</v>
      </c>
      <c r="D3" s="2">
        <v>14.96</v>
      </c>
      <c r="E3" s="12" t="s">
        <v>16</v>
      </c>
      <c r="F3" s="15">
        <v>0.1950811274187132</v>
      </c>
      <c r="G3" s="15">
        <f>MAX((F3-stock_benchmark)/stock_benchmark,0)</f>
        <v>0.66167910918835771</v>
      </c>
      <c r="H3" s="15">
        <f>G3/SUMIF($P$3:$P$5,"Y",$G$3:$G$5)</f>
        <v>0.94723281425982819</v>
      </c>
      <c r="I3" s="2">
        <v>14.789930718256866</v>
      </c>
      <c r="J3" s="2">
        <v>20.606600281147866</v>
      </c>
      <c r="K3" s="4">
        <v>0.11542469246132268</v>
      </c>
      <c r="L3" s="4">
        <v>9.0909090909090912E-2</v>
      </c>
      <c r="M3" s="13" t="s">
        <v>17</v>
      </c>
      <c r="N3" s="11" t="s">
        <v>25</v>
      </c>
      <c r="O3" s="14">
        <v>45716</v>
      </c>
      <c r="P3" s="11" t="s">
        <v>67</v>
      </c>
    </row>
    <row r="4" spans="1:16">
      <c r="B4" s="11" t="s">
        <v>14</v>
      </c>
      <c r="C4" s="11" t="s">
        <v>15</v>
      </c>
      <c r="D4" s="2">
        <v>7.79</v>
      </c>
      <c r="E4" s="12" t="s">
        <v>16</v>
      </c>
      <c r="F4" s="15">
        <v>0.12172735692567005</v>
      </c>
      <c r="G4" s="15">
        <f>MAX((F4-stock_benchmark)/stock_benchmark,0)</f>
        <v>3.6859939741652852E-2</v>
      </c>
      <c r="H4" s="15">
        <f>G4/SUMIF($P$3:$P$5,"Y",$G$3:$G$5)</f>
        <v>5.2767185740171842E-2</v>
      </c>
      <c r="I4" s="2">
        <v>6.4501768017717804</v>
      </c>
      <c r="J4" s="2">
        <v>9.0347055134616365</v>
      </c>
      <c r="K4" s="4">
        <v>3.9909901100125003E-2</v>
      </c>
      <c r="L4" s="4">
        <v>7.4454428754813853E-2</v>
      </c>
      <c r="M4" s="13" t="s">
        <v>17</v>
      </c>
      <c r="N4" s="11" t="s">
        <v>18</v>
      </c>
      <c r="O4" s="14">
        <v>45716</v>
      </c>
      <c r="P4" s="11" t="s">
        <v>67</v>
      </c>
    </row>
    <row r="5" spans="1:16">
      <c r="B5" s="11" t="s">
        <v>22</v>
      </c>
      <c r="C5" s="11" t="s">
        <v>23</v>
      </c>
      <c r="D5" s="2">
        <v>2.1800000000000002</v>
      </c>
      <c r="E5" s="12" t="s">
        <v>16</v>
      </c>
      <c r="F5" s="15">
        <v>6.9675781490122768E-2</v>
      </c>
      <c r="G5" s="15">
        <f>MAX((F5-stock_benchmark)/stock_benchmark,0)</f>
        <v>0</v>
      </c>
      <c r="H5" s="15">
        <f>MAX(G5/SUMIF($P$3:$P$5,"Y",$G$3:$G$5),0)</f>
        <v>0</v>
      </c>
      <c r="I5" s="2">
        <v>1.5731270460314284</v>
      </c>
      <c r="J5" s="2">
        <v>2.2895715355423083</v>
      </c>
      <c r="K5" s="4">
        <v>2.0974048836286365E-2</v>
      </c>
      <c r="L5" s="4">
        <v>5.4036697247706419E-2</v>
      </c>
      <c r="M5" s="13" t="s">
        <v>24</v>
      </c>
      <c r="N5" s="11" t="s">
        <v>21</v>
      </c>
      <c r="O5" s="14">
        <v>45716</v>
      </c>
      <c r="P5" s="11" t="s">
        <v>68</v>
      </c>
    </row>
    <row r="6" spans="1:16">
      <c r="B6" s="11"/>
      <c r="C6" s="11"/>
      <c r="E6" s="12"/>
      <c r="K6" s="4"/>
      <c r="L6" s="4"/>
      <c r="M6" s="13"/>
      <c r="N6" s="11"/>
      <c r="O6" s="14"/>
    </row>
    <row r="7" spans="1:16">
      <c r="B7" s="11"/>
      <c r="C7" s="11"/>
      <c r="E7" s="12"/>
      <c r="K7" s="4"/>
      <c r="L7" s="4"/>
      <c r="M7" s="13"/>
      <c r="N7" s="11"/>
      <c r="O7" s="14"/>
    </row>
    <row r="8" spans="1:16">
      <c r="B8" s="11"/>
      <c r="C8" s="11"/>
      <c r="E8" s="12"/>
      <c r="K8" s="4"/>
      <c r="L8" s="4"/>
      <c r="M8" s="13"/>
      <c r="N8" s="11"/>
      <c r="O8" s="14"/>
    </row>
    <row r="9" spans="1:16">
      <c r="B9" s="11"/>
      <c r="C9" s="11"/>
      <c r="E9" s="12"/>
      <c r="K9" s="4"/>
      <c r="L9" s="4"/>
      <c r="M9" s="13"/>
      <c r="N9" s="11"/>
      <c r="O9" s="14"/>
    </row>
    <row r="10" spans="1:16">
      <c r="B10" s="11"/>
      <c r="C10" s="11"/>
      <c r="E10" s="12"/>
      <c r="K10" s="4"/>
      <c r="L10" s="4"/>
      <c r="M10" s="16"/>
      <c r="N10" s="11"/>
      <c r="O10" s="14"/>
    </row>
    <row r="11" spans="1:16">
      <c r="B11" s="11"/>
      <c r="C11" s="11"/>
      <c r="E11" s="12"/>
      <c r="K11" s="4"/>
      <c r="L11" s="4"/>
      <c r="M11" s="13"/>
      <c r="N11" s="11"/>
      <c r="O11" s="14"/>
    </row>
    <row r="12" spans="1:16">
      <c r="B12" s="11"/>
      <c r="C12" s="11"/>
      <c r="E12" s="12"/>
      <c r="K12" s="4"/>
      <c r="L12" s="4"/>
      <c r="M12" s="13"/>
      <c r="N12" s="11"/>
      <c r="O12" s="14"/>
    </row>
    <row r="13" spans="1:16">
      <c r="B13" s="11"/>
      <c r="C13" s="11"/>
      <c r="E13" s="12"/>
      <c r="K13" s="4"/>
      <c r="L13" s="4"/>
      <c r="M13" s="13"/>
      <c r="N13" s="11"/>
      <c r="O13" s="14"/>
    </row>
    <row r="14" spans="1:16">
      <c r="B14" s="11"/>
      <c r="C14" s="11"/>
      <c r="E14" s="12"/>
      <c r="K14" s="4"/>
      <c r="L14" s="4"/>
      <c r="M14" s="13"/>
      <c r="N14" s="11"/>
      <c r="O14" s="14"/>
    </row>
    <row r="15" spans="1:16">
      <c r="B15" s="11"/>
      <c r="C15" s="11"/>
      <c r="E15" s="12"/>
      <c r="K15" s="4"/>
      <c r="L15" s="4"/>
      <c r="M15" s="13"/>
      <c r="N15" s="11"/>
      <c r="O15" s="14"/>
    </row>
    <row r="16" spans="1:16">
      <c r="B16" s="11"/>
      <c r="C16" s="11"/>
      <c r="E16" s="12"/>
      <c r="K16" s="4"/>
      <c r="L16" s="4"/>
      <c r="M16" s="13"/>
      <c r="N16" s="11"/>
      <c r="O16" s="14"/>
    </row>
    <row r="17" spans="2:15">
      <c r="B17" s="11"/>
      <c r="C17" s="11"/>
      <c r="E17" s="12"/>
      <c r="K17" s="4"/>
      <c r="L17" s="4"/>
      <c r="M17" s="13"/>
      <c r="N17" s="11"/>
      <c r="O17" s="14"/>
    </row>
    <row r="18" spans="2:15">
      <c r="B18" s="11"/>
      <c r="C18" s="11"/>
      <c r="E18" s="12"/>
      <c r="K18" s="4"/>
      <c r="L18" s="4"/>
      <c r="M18" s="13"/>
      <c r="N18" s="11"/>
      <c r="O18" s="14"/>
    </row>
    <row r="19" spans="2:15">
      <c r="B19" s="11"/>
      <c r="C19" s="11"/>
      <c r="E19" s="12"/>
      <c r="K19" s="4"/>
      <c r="L19" s="4"/>
      <c r="M19" s="13"/>
      <c r="N19" s="11"/>
      <c r="O19" s="14"/>
    </row>
    <row r="20" spans="2:15">
      <c r="B20" s="11"/>
      <c r="C20" s="11"/>
      <c r="E20" s="12"/>
      <c r="K20" s="4"/>
      <c r="L20" s="4"/>
      <c r="M20" s="13"/>
      <c r="N20" s="11"/>
      <c r="O20" s="14"/>
    </row>
    <row r="21" spans="2:15">
      <c r="B21" s="11"/>
      <c r="C21" s="11"/>
      <c r="E21" s="12"/>
      <c r="K21" s="4"/>
      <c r="L21" s="4"/>
      <c r="M21" s="13"/>
      <c r="N21" s="11"/>
      <c r="O21" s="14"/>
    </row>
    <row r="22" spans="2:15">
      <c r="B22" s="11"/>
      <c r="C22" s="11"/>
      <c r="E22" s="12"/>
      <c r="K22" s="4"/>
      <c r="L22" s="4"/>
      <c r="M22" s="13"/>
      <c r="N22" s="11"/>
      <c r="O22" s="14"/>
    </row>
    <row r="23" spans="2:15">
      <c r="B23" s="11"/>
      <c r="C23" s="11"/>
      <c r="E23" s="12"/>
      <c r="K23" s="4"/>
      <c r="L23" s="4"/>
      <c r="M23" s="13"/>
      <c r="N23" s="11"/>
      <c r="O23" s="14"/>
    </row>
    <row r="24" spans="2:15">
      <c r="B24" s="11"/>
      <c r="C24" s="11"/>
      <c r="E24" s="12"/>
      <c r="K24" s="4"/>
      <c r="L24" s="4"/>
      <c r="M24" s="13"/>
      <c r="N24" s="11"/>
      <c r="O24" s="14"/>
    </row>
    <row r="25" spans="2:15">
      <c r="B25" s="11"/>
      <c r="C25" s="11"/>
      <c r="E25" s="12"/>
      <c r="K25" s="4"/>
      <c r="L25" s="4"/>
      <c r="M25" s="13"/>
      <c r="N25" s="11"/>
      <c r="O25" s="14"/>
    </row>
    <row r="26" spans="2:15">
      <c r="B26" s="11"/>
      <c r="C26" s="11"/>
      <c r="E26" s="12"/>
      <c r="K26" s="4"/>
      <c r="L26" s="4"/>
      <c r="M26" s="13"/>
      <c r="N26" s="11"/>
      <c r="O26" s="14"/>
    </row>
    <row r="27" spans="2:15">
      <c r="B27" s="11"/>
      <c r="C27" s="11"/>
      <c r="E27" s="12"/>
      <c r="K27" s="4"/>
      <c r="L27" s="4"/>
      <c r="M27" s="13"/>
      <c r="N27" s="11"/>
      <c r="O27" s="14"/>
    </row>
    <row r="28" spans="2:15">
      <c r="B28" s="11"/>
      <c r="C28" s="11"/>
      <c r="E28" s="12"/>
      <c r="K28" s="4"/>
      <c r="L28" s="4"/>
      <c r="M28" s="13"/>
      <c r="N28" s="11"/>
      <c r="O28" s="14"/>
    </row>
    <row r="29" spans="2:15">
      <c r="B29" s="11"/>
      <c r="C29" s="11"/>
      <c r="E29" s="12"/>
      <c r="K29" s="4"/>
      <c r="L29" s="4"/>
      <c r="M29" s="13"/>
      <c r="N29" s="11"/>
      <c r="O29" s="14"/>
    </row>
    <row r="30" spans="2:15">
      <c r="B30" s="11"/>
      <c r="C30" s="11"/>
      <c r="E30" s="12"/>
      <c r="K30" s="4"/>
      <c r="L30" s="4"/>
      <c r="M30" s="13"/>
      <c r="N30" s="11"/>
      <c r="O30" s="14"/>
    </row>
    <row r="31" spans="2:15">
      <c r="B31" s="11"/>
      <c r="C31" s="11"/>
      <c r="E31" s="12"/>
      <c r="K31" s="4"/>
      <c r="L31" s="4"/>
      <c r="M31" s="16"/>
      <c r="N31" s="11"/>
      <c r="O31" s="14"/>
    </row>
    <row r="32" spans="2:15">
      <c r="B32" s="11"/>
      <c r="C32" s="11"/>
      <c r="E32" s="12"/>
      <c r="K32" s="4"/>
      <c r="L32" s="4"/>
      <c r="M32" s="13"/>
      <c r="N32" s="11"/>
      <c r="O32" s="14"/>
    </row>
    <row r="33" spans="2:15">
      <c r="B33" s="11"/>
      <c r="C33" s="11"/>
      <c r="E33" s="12"/>
      <c r="K33" s="4"/>
      <c r="L33" s="4"/>
      <c r="M33" s="13"/>
      <c r="N33" s="11"/>
      <c r="O33" s="14"/>
    </row>
    <row r="34" spans="2:15">
      <c r="B34" s="11"/>
      <c r="C34" s="11"/>
      <c r="E34" s="12"/>
      <c r="K34" s="4"/>
      <c r="L34" s="4"/>
      <c r="M34" s="16"/>
      <c r="N34" s="11"/>
      <c r="O34" s="14"/>
    </row>
    <row r="35" spans="2:15">
      <c r="B35" s="11"/>
      <c r="C35" s="11"/>
      <c r="E35" s="12"/>
      <c r="K35" s="4"/>
      <c r="L35" s="4"/>
      <c r="M35" s="13"/>
      <c r="N35" s="11"/>
      <c r="O35" s="14"/>
    </row>
    <row r="36" spans="2:15">
      <c r="B36" s="11"/>
      <c r="C36" s="11"/>
      <c r="E36" s="12"/>
      <c r="K36" s="4"/>
      <c r="L36" s="4"/>
      <c r="M36" s="13"/>
      <c r="N36" s="11"/>
      <c r="O36" s="14"/>
    </row>
    <row r="37" spans="2:15">
      <c r="B37" s="11"/>
      <c r="C37" s="11"/>
      <c r="E37" s="12"/>
      <c r="K37" s="4"/>
      <c r="L37" s="4"/>
      <c r="M37" s="13"/>
      <c r="N37" s="11"/>
      <c r="O37" s="14"/>
    </row>
    <row r="38" spans="2:15">
      <c r="B38" s="11"/>
      <c r="C38" s="11"/>
      <c r="E38" s="12"/>
      <c r="K38" s="4"/>
      <c r="L38" s="4"/>
      <c r="M38" s="13"/>
      <c r="N38" s="11"/>
      <c r="O38" s="14"/>
    </row>
    <row r="39" spans="2:15">
      <c r="B39" s="11"/>
      <c r="C39" s="11"/>
      <c r="E39" s="12"/>
      <c r="K39" s="4"/>
      <c r="L39" s="4"/>
      <c r="M39" s="13"/>
      <c r="N39" s="11"/>
      <c r="O39" s="14"/>
    </row>
    <row r="40" spans="2:15">
      <c r="B40" s="11"/>
      <c r="C40" s="11"/>
      <c r="E40" s="12"/>
      <c r="K40" s="4"/>
      <c r="L40" s="4"/>
      <c r="M40" s="13"/>
      <c r="N40" s="11"/>
      <c r="O40" s="14"/>
    </row>
    <row r="41" spans="2:15">
      <c r="B41" s="11"/>
      <c r="C41" s="11"/>
      <c r="E41" s="12"/>
      <c r="K41" s="4"/>
      <c r="L41" s="4"/>
      <c r="M41" s="13"/>
      <c r="N41" s="11"/>
      <c r="O41" s="14"/>
    </row>
    <row r="42" spans="2:15">
      <c r="B42" s="11"/>
      <c r="C42" s="11"/>
      <c r="E42" s="12"/>
      <c r="K42" s="4"/>
      <c r="L42" s="4"/>
      <c r="M42" s="13"/>
      <c r="N42" s="11"/>
      <c r="O42" s="14"/>
    </row>
    <row r="43" spans="2:15">
      <c r="B43" s="11"/>
      <c r="C43" s="11"/>
      <c r="E43" s="12"/>
      <c r="K43" s="4"/>
      <c r="L43" s="4"/>
      <c r="M43" s="13"/>
      <c r="N43" s="11"/>
      <c r="O43" s="14"/>
    </row>
    <row r="44" spans="2:15">
      <c r="B44" s="11"/>
      <c r="C44" s="11"/>
      <c r="E44" s="12"/>
      <c r="K44" s="4"/>
      <c r="L44" s="4"/>
      <c r="M44" s="13"/>
      <c r="N44" s="11"/>
      <c r="O44" s="14"/>
    </row>
    <row r="45" spans="2:15">
      <c r="B45" s="11"/>
      <c r="C45" s="11"/>
      <c r="E45" s="12"/>
      <c r="K45" s="4"/>
      <c r="L45" s="4"/>
      <c r="M45" s="13"/>
      <c r="N45" s="11"/>
      <c r="O45" s="14"/>
    </row>
    <row r="46" spans="2:15">
      <c r="B46" s="11"/>
      <c r="C46" s="11"/>
      <c r="E46" s="12"/>
      <c r="K46" s="4"/>
      <c r="L46" s="4"/>
      <c r="M46" s="13"/>
      <c r="N46" s="11"/>
      <c r="O46" s="14"/>
    </row>
    <row r="47" spans="2:15">
      <c r="B47" s="11"/>
      <c r="C47" s="11"/>
      <c r="E47" s="12"/>
      <c r="K47" s="4"/>
      <c r="L47" s="4"/>
      <c r="M47" s="13"/>
      <c r="N47" s="11"/>
      <c r="O47" s="14"/>
    </row>
    <row r="48" spans="2:15">
      <c r="B48" s="11"/>
      <c r="C48" s="11"/>
      <c r="E48" s="12"/>
      <c r="K48" s="4"/>
      <c r="L48" s="4"/>
      <c r="M48" s="13"/>
      <c r="N48" s="11"/>
      <c r="O48" s="14"/>
    </row>
    <row r="49" spans="2:15">
      <c r="B49" s="11"/>
      <c r="C49" s="11"/>
      <c r="E49" s="12"/>
      <c r="K49" s="4"/>
      <c r="L49" s="4"/>
      <c r="M49" s="13"/>
      <c r="N49" s="11"/>
      <c r="O49" s="14"/>
    </row>
    <row r="50" spans="2:15">
      <c r="B50" s="11"/>
      <c r="C50" s="11"/>
      <c r="E50" s="12"/>
      <c r="K50" s="4"/>
      <c r="L50" s="4"/>
      <c r="M50" s="13"/>
      <c r="N50" s="11"/>
      <c r="O50" s="14"/>
    </row>
    <row r="51" spans="2:15">
      <c r="B51" s="11"/>
      <c r="C51" s="11"/>
      <c r="E51" s="12"/>
      <c r="K51" s="4"/>
      <c r="L51" s="4"/>
      <c r="M51" s="13"/>
      <c r="N51" s="11"/>
      <c r="O51" s="14"/>
    </row>
    <row r="52" spans="2:15">
      <c r="B52" s="11"/>
      <c r="C52" s="11"/>
      <c r="E52" s="12"/>
      <c r="K52" s="4"/>
      <c r="L52" s="4"/>
      <c r="M52" s="13"/>
      <c r="N52" s="11"/>
      <c r="O52" s="14"/>
    </row>
    <row r="53" spans="2:15">
      <c r="B53" s="11"/>
      <c r="C53" s="11"/>
      <c r="E53" s="12"/>
      <c r="K53" s="4"/>
      <c r="L53" s="4"/>
      <c r="M53" s="13"/>
      <c r="N53" s="11"/>
      <c r="O53" s="14"/>
    </row>
    <row r="54" spans="2:15">
      <c r="B54" s="11"/>
      <c r="C54" s="11"/>
      <c r="E54" s="12"/>
      <c r="K54" s="4"/>
      <c r="L54" s="4"/>
      <c r="M54" s="13"/>
      <c r="N54" s="11"/>
      <c r="O54" s="14"/>
    </row>
    <row r="55" spans="2:15">
      <c r="B55" s="11"/>
      <c r="C55" s="11"/>
      <c r="E55" s="12"/>
      <c r="K55" s="4"/>
      <c r="L55" s="4"/>
      <c r="M55" s="13"/>
      <c r="N55" s="11"/>
      <c r="O55" s="14"/>
    </row>
    <row r="56" spans="2:15">
      <c r="B56" s="11"/>
      <c r="C56" s="11"/>
      <c r="E56" s="12"/>
      <c r="K56" s="4"/>
      <c r="L56" s="4"/>
      <c r="M56" s="13"/>
      <c r="N56" s="11"/>
      <c r="O56" s="14"/>
    </row>
    <row r="57" spans="2:15">
      <c r="B57" s="11"/>
      <c r="C57" s="11"/>
      <c r="E57" s="12"/>
      <c r="K57" s="4"/>
      <c r="L57" s="4"/>
      <c r="M57" s="13"/>
      <c r="N57" s="11"/>
      <c r="O57" s="14"/>
    </row>
    <row r="58" spans="2:15">
      <c r="B58" s="11"/>
      <c r="C58" s="11"/>
      <c r="E58" s="12"/>
      <c r="K58" s="4"/>
      <c r="L58" s="4"/>
      <c r="M58" s="13"/>
      <c r="N58" s="11"/>
      <c r="O58" s="14"/>
    </row>
    <row r="59" spans="2:15">
      <c r="B59" s="11"/>
      <c r="C59" s="11"/>
      <c r="E59" s="12"/>
      <c r="K59" s="4"/>
      <c r="L59" s="4"/>
      <c r="M59" s="13"/>
      <c r="N59" s="11"/>
      <c r="O59" s="14"/>
    </row>
    <row r="60" spans="2:15">
      <c r="B60" s="11"/>
      <c r="C60" s="11"/>
      <c r="E60" s="12"/>
      <c r="K60" s="4"/>
      <c r="L60" s="4"/>
      <c r="M60" s="13"/>
      <c r="N60" s="11"/>
      <c r="O60" s="14"/>
    </row>
    <row r="61" spans="2:15">
      <c r="B61" s="11"/>
      <c r="C61" s="11"/>
      <c r="E61" s="12"/>
      <c r="K61" s="4"/>
      <c r="L61" s="4"/>
      <c r="M61" s="13"/>
      <c r="N61" s="11"/>
      <c r="O61" s="14"/>
    </row>
    <row r="62" spans="2:15">
      <c r="B62" s="11"/>
      <c r="C62" s="11"/>
      <c r="E62" s="12"/>
      <c r="K62" s="4"/>
      <c r="L62" s="4"/>
      <c r="M62" s="13"/>
      <c r="N62" s="11"/>
      <c r="O62" s="14"/>
    </row>
    <row r="63" spans="2:15">
      <c r="B63" s="11"/>
      <c r="C63" s="11"/>
      <c r="E63" s="12"/>
      <c r="K63" s="4"/>
      <c r="L63" s="4"/>
      <c r="M63" s="13"/>
      <c r="N63" s="11"/>
      <c r="O63" s="14"/>
    </row>
    <row r="64" spans="2:15">
      <c r="B64" s="11"/>
      <c r="C64" s="11"/>
      <c r="E64" s="12"/>
      <c r="K64" s="4"/>
      <c r="L64" s="4"/>
      <c r="M64" s="13"/>
      <c r="N64" s="11"/>
      <c r="O64" s="14"/>
    </row>
    <row r="65" spans="2:15">
      <c r="B65" s="11"/>
      <c r="C65" s="11"/>
      <c r="E65" s="12"/>
      <c r="K65" s="4"/>
      <c r="L65" s="4"/>
      <c r="M65" s="13"/>
      <c r="N65" s="11"/>
      <c r="O65" s="14"/>
    </row>
    <row r="66" spans="2:15">
      <c r="B66" s="11"/>
      <c r="C66" s="11"/>
      <c r="E66" s="12"/>
      <c r="K66" s="4"/>
      <c r="L66" s="4"/>
      <c r="M66" s="13"/>
      <c r="N66" s="11"/>
      <c r="O66" s="14"/>
    </row>
    <row r="67" spans="2:15">
      <c r="B67" s="11"/>
      <c r="C67" s="11"/>
      <c r="E67" s="12"/>
      <c r="K67" s="4"/>
      <c r="L67" s="4"/>
      <c r="M67" s="13"/>
      <c r="N67" s="11"/>
      <c r="O67" s="14"/>
    </row>
    <row r="68" spans="2:15">
      <c r="B68" s="11"/>
      <c r="C68" s="11"/>
      <c r="E68" s="12"/>
      <c r="K68" s="4"/>
      <c r="L68" s="4"/>
      <c r="M68" s="13"/>
      <c r="N68" s="11"/>
      <c r="O68" s="14"/>
    </row>
    <row r="69" spans="2:15">
      <c r="B69" s="11"/>
      <c r="C69" s="11"/>
      <c r="E69" s="12"/>
      <c r="K69" s="4"/>
      <c r="L69" s="4"/>
      <c r="M69" s="13"/>
      <c r="N69" s="11"/>
      <c r="O69" s="14"/>
    </row>
    <row r="70" spans="2:15">
      <c r="B70" s="11"/>
      <c r="C70" s="11"/>
      <c r="E70" s="12"/>
      <c r="K70" s="4"/>
      <c r="L70" s="4"/>
      <c r="M70" s="13"/>
      <c r="N70" s="11"/>
      <c r="O70" s="14"/>
    </row>
    <row r="71" spans="2:15">
      <c r="B71" s="11"/>
      <c r="C71" s="11"/>
      <c r="E71" s="12"/>
      <c r="K71" s="4"/>
      <c r="L71" s="4"/>
      <c r="M71" s="13"/>
      <c r="N71" s="11"/>
      <c r="O71" s="14"/>
    </row>
    <row r="72" spans="2:15">
      <c r="B72" s="11"/>
      <c r="C72" s="11"/>
      <c r="E72" s="12"/>
      <c r="K72" s="4"/>
      <c r="L72" s="4"/>
      <c r="M72" s="13"/>
      <c r="N72" s="11"/>
      <c r="O72" s="14"/>
    </row>
    <row r="73" spans="2:15">
      <c r="B73" s="11"/>
      <c r="C73" s="11"/>
      <c r="E73" s="12"/>
      <c r="K73" s="4"/>
      <c r="L73" s="4"/>
      <c r="M73" s="13"/>
      <c r="N73" s="11"/>
      <c r="O73" s="14"/>
    </row>
    <row r="74" spans="2:15">
      <c r="B74" s="11"/>
      <c r="C74" s="11"/>
      <c r="E74" s="12"/>
      <c r="K74" s="4"/>
      <c r="L74" s="4"/>
      <c r="M74" s="13"/>
      <c r="N74" s="11"/>
      <c r="O74" s="14"/>
    </row>
    <row r="75" spans="2:15">
      <c r="B75" s="11"/>
      <c r="C75" s="11"/>
      <c r="E75" s="12"/>
      <c r="K75" s="4"/>
      <c r="L75" s="4"/>
      <c r="M75" s="13"/>
      <c r="N75" s="11"/>
      <c r="O75" s="14"/>
    </row>
    <row r="76" spans="2:15">
      <c r="B76" s="11"/>
      <c r="C76" s="11"/>
      <c r="E76" s="12"/>
      <c r="K76" s="4"/>
      <c r="L76" s="4"/>
      <c r="M76" s="13"/>
      <c r="N76" s="11"/>
      <c r="O76" s="14"/>
    </row>
    <row r="77" spans="2:15">
      <c r="B77" s="11"/>
      <c r="C77" s="11"/>
      <c r="E77" s="12"/>
      <c r="K77" s="4"/>
      <c r="L77" s="4"/>
      <c r="M77" s="13"/>
      <c r="N77" s="11"/>
      <c r="O77" s="14"/>
    </row>
    <row r="78" spans="2:15">
      <c r="B78" s="11"/>
      <c r="C78" s="11"/>
      <c r="E78" s="12"/>
      <c r="K78" s="4"/>
      <c r="L78" s="4"/>
      <c r="M78" s="13"/>
      <c r="N78" s="11"/>
      <c r="O78" s="14"/>
    </row>
    <row r="79" spans="2:15">
      <c r="B79" s="11"/>
      <c r="C79" s="11"/>
      <c r="E79" s="12"/>
      <c r="K79" s="4"/>
      <c r="L79" s="4"/>
      <c r="M79" s="13"/>
      <c r="N79" s="11"/>
      <c r="O79" s="14"/>
    </row>
    <row r="80" spans="2:15">
      <c r="B80" s="11"/>
      <c r="C80" s="11"/>
      <c r="E80" s="12"/>
      <c r="K80" s="4"/>
      <c r="L80" s="4"/>
      <c r="M80" s="13"/>
      <c r="N80" s="11"/>
      <c r="O80" s="14"/>
    </row>
    <row r="81" spans="2:15">
      <c r="B81" s="11"/>
      <c r="C81" s="11"/>
      <c r="E81" s="12"/>
      <c r="K81" s="4"/>
      <c r="L81" s="4"/>
      <c r="M81" s="13"/>
      <c r="N81" s="11"/>
      <c r="O81" s="14"/>
    </row>
    <row r="82" spans="2:15">
      <c r="B82" s="11"/>
      <c r="C82" s="11"/>
      <c r="E82" s="12"/>
      <c r="K82" s="4"/>
      <c r="L82" s="4"/>
      <c r="M82" s="13"/>
      <c r="N82" s="11"/>
      <c r="O82" s="14"/>
    </row>
    <row r="83" spans="2:15">
      <c r="B83" s="11"/>
      <c r="C83" s="11"/>
      <c r="E83" s="12"/>
      <c r="K83" s="4"/>
      <c r="L83" s="4"/>
      <c r="M83" s="13"/>
      <c r="N83" s="11"/>
      <c r="O83" s="14"/>
    </row>
    <row r="84" spans="2:15">
      <c r="B84" s="11"/>
      <c r="C84" s="11"/>
      <c r="E84" s="12"/>
      <c r="K84" s="4"/>
      <c r="L84" s="4"/>
      <c r="M84" s="13"/>
      <c r="N84" s="11"/>
      <c r="O84" s="14"/>
    </row>
    <row r="85" spans="2:15">
      <c r="B85" s="11"/>
      <c r="C85" s="11"/>
      <c r="E85" s="12"/>
      <c r="K85" s="4"/>
      <c r="L85" s="4"/>
      <c r="M85" s="13"/>
      <c r="N85" s="11"/>
      <c r="O85" s="14"/>
    </row>
    <row r="86" spans="2:15">
      <c r="B86" s="11"/>
      <c r="C86" s="11"/>
      <c r="E86" s="12"/>
      <c r="K86" s="4"/>
      <c r="L86" s="4"/>
      <c r="M86" s="13"/>
      <c r="N86" s="11"/>
      <c r="O86" s="14"/>
    </row>
    <row r="87" spans="2:15">
      <c r="B87" s="11"/>
      <c r="C87" s="11"/>
      <c r="E87" s="12"/>
      <c r="K87" s="4"/>
      <c r="L87" s="4"/>
      <c r="M87" s="13"/>
      <c r="N87" s="11"/>
      <c r="O87" s="14"/>
    </row>
    <row r="88" spans="2:15">
      <c r="B88" s="11"/>
      <c r="C88" s="11"/>
      <c r="E88" s="12"/>
      <c r="K88" s="4"/>
      <c r="L88" s="4"/>
      <c r="M88" s="13"/>
      <c r="N88" s="11"/>
      <c r="O88" s="14"/>
    </row>
    <row r="89" spans="2:15">
      <c r="B89" s="11"/>
      <c r="C89" s="11"/>
      <c r="E89" s="12"/>
      <c r="K89" s="4"/>
      <c r="L89" s="4"/>
      <c r="M89" s="13"/>
      <c r="N89" s="11"/>
      <c r="O89" s="14"/>
    </row>
    <row r="90" spans="2:15">
      <c r="B90" s="11"/>
      <c r="C90" s="11"/>
      <c r="E90" s="12"/>
      <c r="K90" s="4"/>
      <c r="L90" s="4"/>
      <c r="M90" s="13"/>
      <c r="N90" s="11"/>
      <c r="O90" s="14"/>
    </row>
    <row r="91" spans="2:15">
      <c r="B91" s="11"/>
      <c r="C91" s="11"/>
      <c r="E91" s="12"/>
      <c r="K91" s="4"/>
      <c r="L91" s="4"/>
      <c r="M91" s="13"/>
      <c r="N91" s="11"/>
      <c r="O91" s="14"/>
    </row>
    <row r="92" spans="2:15">
      <c r="B92" s="11"/>
      <c r="C92" s="11"/>
      <c r="E92" s="12"/>
      <c r="K92" s="4"/>
      <c r="L92" s="4"/>
      <c r="M92" s="13"/>
      <c r="N92" s="11"/>
      <c r="O92" s="14"/>
    </row>
    <row r="93" spans="2:15">
      <c r="B93" s="11"/>
      <c r="C93" s="11"/>
      <c r="E93" s="12"/>
      <c r="K93" s="4"/>
      <c r="L93" s="4"/>
      <c r="M93" s="13"/>
      <c r="N93" s="11"/>
      <c r="O93" s="14"/>
    </row>
    <row r="94" spans="2:15">
      <c r="B94" s="11"/>
      <c r="C94" s="11"/>
      <c r="E94" s="12"/>
      <c r="K94" s="4"/>
      <c r="L94" s="4"/>
      <c r="M94" s="13"/>
      <c r="N94" s="11"/>
      <c r="O94" s="14"/>
    </row>
    <row r="95" spans="2:15">
      <c r="B95" s="11"/>
      <c r="C95" s="11"/>
      <c r="E95" s="12"/>
      <c r="K95" s="4"/>
      <c r="L95" s="4"/>
      <c r="M95" s="13"/>
      <c r="N95" s="11"/>
      <c r="O95" s="14"/>
    </row>
    <row r="96" spans="2:15">
      <c r="B96" s="11"/>
      <c r="C96" s="11"/>
      <c r="E96" s="12"/>
      <c r="K96" s="4"/>
      <c r="L96" s="4"/>
      <c r="M96" s="13"/>
      <c r="N96" s="11"/>
      <c r="O96" s="14"/>
    </row>
    <row r="97" spans="2:15">
      <c r="B97" s="11"/>
      <c r="C97" s="11"/>
      <c r="E97" s="12"/>
      <c r="K97" s="4"/>
      <c r="L97" s="4"/>
      <c r="M97" s="13"/>
      <c r="N97" s="11"/>
      <c r="O97" s="14"/>
    </row>
    <row r="98" spans="2:15">
      <c r="B98" s="11"/>
      <c r="C98" s="11"/>
      <c r="E98" s="12"/>
      <c r="K98" s="4"/>
      <c r="L98" s="4"/>
      <c r="M98" s="13"/>
      <c r="N98" s="11"/>
      <c r="O98" s="14"/>
    </row>
    <row r="99" spans="2:15">
      <c r="B99" s="11"/>
      <c r="C99" s="11"/>
      <c r="E99" s="12"/>
      <c r="K99" s="4"/>
      <c r="L99" s="4"/>
      <c r="M99" s="13"/>
      <c r="N99" s="11"/>
      <c r="O99" s="14"/>
    </row>
    <row r="100" spans="2:15">
      <c r="B100" s="11"/>
      <c r="C100" s="11"/>
      <c r="E100" s="12"/>
      <c r="K100" s="4"/>
      <c r="L100" s="4"/>
      <c r="M100" s="13"/>
      <c r="N100" s="11"/>
      <c r="O100" s="14"/>
    </row>
    <row r="101" spans="2:15">
      <c r="B101" s="11"/>
      <c r="C101" s="11"/>
      <c r="E101" s="12"/>
      <c r="K101" s="4"/>
      <c r="L101" s="4"/>
      <c r="M101" s="13"/>
      <c r="N101" s="11"/>
      <c r="O101" s="14"/>
    </row>
    <row r="102" spans="2:15">
      <c r="B102" s="11"/>
      <c r="C102" s="11"/>
      <c r="E102" s="12"/>
      <c r="K102" s="4"/>
      <c r="L102" s="4"/>
      <c r="M102" s="13"/>
      <c r="N102" s="11"/>
      <c r="O102" s="14"/>
    </row>
    <row r="103" spans="2:15">
      <c r="B103" s="11"/>
      <c r="C103" s="11"/>
      <c r="E103" s="12"/>
      <c r="K103" s="4"/>
      <c r="L103" s="4"/>
      <c r="M103" s="13"/>
      <c r="N103" s="11"/>
      <c r="O103" s="14"/>
    </row>
    <row r="104" spans="2:15">
      <c r="B104" s="11"/>
      <c r="C104" s="11"/>
      <c r="E104" s="12"/>
      <c r="K104" s="4"/>
      <c r="L104" s="4"/>
      <c r="M104" s="13"/>
      <c r="N104" s="11"/>
      <c r="O104" s="14"/>
    </row>
    <row r="105" spans="2:15">
      <c r="B105" s="11"/>
      <c r="C105" s="11"/>
      <c r="E105" s="12"/>
      <c r="K105" s="4"/>
      <c r="L105" s="4"/>
      <c r="M105" s="13"/>
      <c r="N105" s="11"/>
      <c r="O105" s="14"/>
    </row>
    <row r="106" spans="2:15">
      <c r="B106" s="11"/>
      <c r="C106" s="11"/>
      <c r="E106" s="12"/>
      <c r="K106" s="4"/>
      <c r="L106" s="4"/>
      <c r="M106" s="13"/>
      <c r="N106" s="11"/>
      <c r="O106" s="14"/>
    </row>
    <row r="107" spans="2:15">
      <c r="B107" s="11"/>
      <c r="C107" s="11"/>
      <c r="E107" s="12"/>
      <c r="K107" s="4"/>
      <c r="L107" s="4"/>
      <c r="M107" s="13"/>
      <c r="N107" s="11"/>
      <c r="O107" s="14"/>
    </row>
    <row r="108" spans="2:15">
      <c r="B108" s="11"/>
      <c r="C108" s="11"/>
      <c r="E108" s="12"/>
      <c r="K108" s="4"/>
      <c r="L108" s="4"/>
      <c r="M108" s="13"/>
      <c r="N108" s="11"/>
      <c r="O108" s="14"/>
    </row>
    <row r="109" spans="2:15">
      <c r="B109" s="11"/>
      <c r="C109" s="11"/>
      <c r="E109" s="12"/>
      <c r="K109" s="4"/>
      <c r="L109" s="4"/>
      <c r="M109" s="13"/>
      <c r="N109" s="11"/>
      <c r="O109" s="14"/>
    </row>
    <row r="110" spans="2:15">
      <c r="B110" s="11"/>
      <c r="C110" s="11"/>
      <c r="E110" s="12"/>
      <c r="K110" s="4"/>
      <c r="L110" s="4"/>
      <c r="M110" s="13"/>
      <c r="N110" s="11"/>
      <c r="O110" s="14"/>
    </row>
    <row r="111" spans="2:15">
      <c r="B111" s="11"/>
      <c r="C111" s="11"/>
      <c r="E111" s="12"/>
      <c r="K111" s="4"/>
      <c r="L111" s="4"/>
      <c r="M111" s="13"/>
      <c r="N111" s="11"/>
      <c r="O111" s="14"/>
    </row>
    <row r="112" spans="2:15">
      <c r="B112" s="11"/>
      <c r="C112" s="11"/>
      <c r="E112" s="12"/>
      <c r="K112" s="4"/>
      <c r="L112" s="4"/>
      <c r="M112" s="13"/>
      <c r="N112" s="11"/>
      <c r="O112" s="14"/>
    </row>
    <row r="113" spans="2:15">
      <c r="B113" s="11"/>
      <c r="C113" s="11"/>
      <c r="E113" s="12"/>
      <c r="K113" s="4"/>
      <c r="L113" s="4"/>
      <c r="M113" s="13"/>
      <c r="N113" s="11"/>
      <c r="O113" s="14"/>
    </row>
    <row r="114" spans="2:15">
      <c r="B114" s="11"/>
      <c r="C114" s="11"/>
      <c r="E114" s="12"/>
      <c r="K114" s="4"/>
      <c r="L114" s="4"/>
      <c r="M114" s="13"/>
      <c r="N114" s="11"/>
      <c r="O114" s="14"/>
    </row>
    <row r="115" spans="2:15">
      <c r="B115" s="11"/>
      <c r="C115" s="11"/>
      <c r="E115" s="12"/>
      <c r="K115" s="4"/>
      <c r="L115" s="4"/>
      <c r="M115" s="13"/>
      <c r="N115" s="11"/>
      <c r="O115" s="14"/>
    </row>
    <row r="116" spans="2:15">
      <c r="B116" s="11"/>
      <c r="C116" s="11"/>
      <c r="E116" s="12"/>
      <c r="K116" s="4"/>
      <c r="L116" s="4"/>
      <c r="M116" s="13"/>
      <c r="N116" s="11"/>
      <c r="O116" s="14"/>
    </row>
    <row r="117" spans="2:15">
      <c r="B117" s="11"/>
      <c r="C117" s="11"/>
      <c r="E117" s="12"/>
      <c r="K117" s="4"/>
      <c r="L117" s="4"/>
      <c r="M117" s="13"/>
      <c r="N117" s="11"/>
      <c r="O117" s="14"/>
    </row>
    <row r="118" spans="2:15">
      <c r="B118" s="11"/>
      <c r="C118" s="11"/>
      <c r="E118" s="12"/>
      <c r="K118" s="4"/>
      <c r="L118" s="4"/>
      <c r="M118" s="13"/>
      <c r="N118" s="11"/>
      <c r="O118" s="14"/>
    </row>
    <row r="119" spans="2:15">
      <c r="B119" s="11"/>
      <c r="C119" s="11"/>
      <c r="E119" s="12"/>
      <c r="K119" s="4"/>
      <c r="L119" s="4"/>
      <c r="M119" s="13"/>
      <c r="N119" s="11"/>
      <c r="O119" s="14"/>
    </row>
    <row r="120" spans="2:15">
      <c r="B120" s="11"/>
      <c r="C120" s="11"/>
      <c r="E120" s="12"/>
      <c r="K120" s="4"/>
      <c r="L120" s="4"/>
      <c r="M120" s="13"/>
      <c r="N120" s="11"/>
      <c r="O120" s="14"/>
    </row>
    <row r="121" spans="2:15">
      <c r="B121" s="11"/>
      <c r="C121" s="11"/>
      <c r="E121" s="12"/>
      <c r="K121" s="4"/>
      <c r="L121" s="4"/>
      <c r="M121" s="13"/>
      <c r="N121" s="11"/>
      <c r="O121" s="14"/>
    </row>
    <row r="122" spans="2:15">
      <c r="B122" s="11"/>
      <c r="C122" s="11"/>
      <c r="E122" s="12"/>
      <c r="K122" s="4"/>
      <c r="L122" s="4"/>
      <c r="M122" s="13"/>
      <c r="N122" s="11"/>
      <c r="O122" s="14"/>
    </row>
    <row r="123" spans="2:15">
      <c r="B123" s="11"/>
      <c r="C123" s="11"/>
      <c r="E123" s="12"/>
      <c r="K123" s="4"/>
      <c r="L123" s="4"/>
      <c r="M123" s="13"/>
      <c r="N123" s="11"/>
      <c r="O123" s="14"/>
    </row>
    <row r="124" spans="2:15">
      <c r="B124" s="11"/>
      <c r="C124" s="11"/>
      <c r="E124" s="12"/>
      <c r="K124" s="4"/>
      <c r="L124" s="4"/>
      <c r="M124" s="13"/>
      <c r="N124" s="11"/>
      <c r="O124" s="14"/>
    </row>
    <row r="125" spans="2:15">
      <c r="B125" s="11"/>
      <c r="C125" s="11"/>
      <c r="E125" s="12"/>
      <c r="K125" s="4"/>
      <c r="L125" s="4"/>
      <c r="M125" s="13"/>
      <c r="N125" s="11"/>
      <c r="O125" s="14"/>
    </row>
    <row r="126" spans="2:15">
      <c r="B126" s="11"/>
      <c r="C126" s="11"/>
      <c r="E126" s="12"/>
      <c r="K126" s="4"/>
      <c r="L126" s="4"/>
      <c r="M126" s="13"/>
      <c r="N126" s="11"/>
      <c r="O126" s="14"/>
    </row>
    <row r="127" spans="2:15">
      <c r="B127" s="11"/>
      <c r="C127" s="11"/>
      <c r="E127" s="12"/>
      <c r="K127" s="4"/>
      <c r="L127" s="4"/>
      <c r="M127" s="13"/>
      <c r="N127" s="11"/>
      <c r="O127" s="14"/>
    </row>
    <row r="128" spans="2:15">
      <c r="B128" s="11"/>
      <c r="C128" s="11"/>
      <c r="E128" s="12"/>
      <c r="K128" s="4"/>
      <c r="L128" s="4"/>
      <c r="M128" s="13"/>
      <c r="N128" s="11"/>
      <c r="O128" s="14"/>
    </row>
    <row r="129" spans="2:15">
      <c r="B129" s="11"/>
      <c r="C129" s="11"/>
      <c r="E129" s="12"/>
      <c r="K129" s="4"/>
      <c r="L129" s="4"/>
      <c r="M129" s="13"/>
      <c r="N129" s="11"/>
      <c r="O129" s="14"/>
    </row>
    <row r="130" spans="2:15">
      <c r="B130" s="11"/>
      <c r="C130" s="11"/>
      <c r="E130" s="12"/>
      <c r="K130" s="4"/>
      <c r="L130" s="4"/>
      <c r="M130" s="13"/>
      <c r="N130" s="11"/>
      <c r="O130" s="14"/>
    </row>
    <row r="131" spans="2:15">
      <c r="B131" s="11"/>
      <c r="C131" s="11"/>
      <c r="E131" s="12"/>
      <c r="K131" s="4"/>
      <c r="L131" s="4"/>
      <c r="M131" s="13"/>
      <c r="N131" s="11"/>
      <c r="O131" s="14"/>
    </row>
    <row r="132" spans="2:15">
      <c r="B132" s="11"/>
      <c r="C132" s="11"/>
      <c r="E132" s="12"/>
      <c r="K132" s="4"/>
      <c r="L132" s="4"/>
      <c r="M132" s="13"/>
      <c r="N132" s="11"/>
      <c r="O132" s="14"/>
    </row>
    <row r="133" spans="2:15">
      <c r="B133" s="11"/>
      <c r="C133" s="11"/>
      <c r="E133" s="12"/>
      <c r="K133" s="4"/>
      <c r="L133" s="4"/>
      <c r="M133" s="13"/>
      <c r="N133" s="11"/>
      <c r="O133" s="14"/>
    </row>
    <row r="134" spans="2:15">
      <c r="B134" s="11"/>
      <c r="C134" s="11"/>
      <c r="E134" s="12"/>
      <c r="K134" s="4"/>
      <c r="L134" s="4"/>
      <c r="M134" s="13"/>
      <c r="N134" s="11"/>
      <c r="O134" s="14"/>
    </row>
    <row r="135" spans="2:15">
      <c r="B135" s="11"/>
      <c r="C135" s="11"/>
      <c r="E135" s="12"/>
      <c r="K135" s="4"/>
      <c r="L135" s="4"/>
      <c r="M135" s="13"/>
      <c r="N135" s="11"/>
      <c r="O135" s="14"/>
    </row>
    <row r="136" spans="2:15">
      <c r="B136" s="11"/>
      <c r="C136" s="11"/>
      <c r="E136" s="12"/>
      <c r="K136" s="4"/>
      <c r="L136" s="4"/>
      <c r="M136" s="13"/>
      <c r="N136" s="11"/>
      <c r="O136" s="14"/>
    </row>
    <row r="137" spans="2:15">
      <c r="B137" s="11"/>
      <c r="C137" s="11"/>
      <c r="E137" s="12"/>
      <c r="K137" s="4"/>
      <c r="L137" s="4"/>
      <c r="M137" s="13"/>
      <c r="N137" s="11"/>
      <c r="O137" s="14"/>
    </row>
    <row r="138" spans="2:15">
      <c r="B138" s="11"/>
      <c r="C138" s="11"/>
      <c r="E138" s="12"/>
      <c r="K138" s="4"/>
      <c r="L138" s="4"/>
      <c r="M138" s="13"/>
      <c r="N138" s="11"/>
      <c r="O138" s="14"/>
    </row>
    <row r="139" spans="2:15">
      <c r="B139" s="11"/>
      <c r="C139" s="11"/>
      <c r="E139" s="12"/>
      <c r="K139" s="4"/>
      <c r="L139" s="4"/>
      <c r="M139" s="13"/>
      <c r="N139" s="11"/>
      <c r="O139" s="14"/>
    </row>
    <row r="140" spans="2:15">
      <c r="B140" s="11"/>
      <c r="C140" s="11"/>
      <c r="E140" s="12"/>
      <c r="K140" s="4"/>
      <c r="L140" s="4"/>
      <c r="M140" s="13"/>
      <c r="N140" s="11"/>
      <c r="O140" s="14"/>
    </row>
    <row r="141" spans="2:15">
      <c r="B141" s="11"/>
      <c r="C141" s="11"/>
      <c r="E141" s="12"/>
      <c r="K141" s="4"/>
      <c r="L141" s="4"/>
      <c r="M141" s="13"/>
      <c r="N141" s="11"/>
      <c r="O141" s="14"/>
    </row>
    <row r="142" spans="2:15">
      <c r="B142" s="11"/>
      <c r="C142" s="11"/>
      <c r="E142" s="12"/>
      <c r="K142" s="4"/>
      <c r="L142" s="4"/>
      <c r="M142" s="13"/>
      <c r="N142" s="11"/>
      <c r="O142" s="14"/>
    </row>
    <row r="143" spans="2:15">
      <c r="B143" s="11"/>
      <c r="C143" s="11"/>
      <c r="E143" s="12"/>
      <c r="K143" s="4"/>
      <c r="L143" s="4"/>
      <c r="M143" s="13"/>
      <c r="N143" s="11"/>
      <c r="O143" s="14"/>
    </row>
    <row r="144" spans="2:15">
      <c r="B144" s="11"/>
      <c r="C144" s="11"/>
      <c r="E144" s="12"/>
      <c r="K144" s="4"/>
      <c r="L144" s="4"/>
      <c r="M144" s="13"/>
      <c r="N144" s="11"/>
      <c r="O144" s="14"/>
    </row>
    <row r="145" spans="2:15">
      <c r="B145" s="11"/>
      <c r="C145" s="11"/>
      <c r="E145" s="12"/>
      <c r="K145" s="4"/>
      <c r="L145" s="4"/>
      <c r="M145" s="13"/>
      <c r="N145" s="11"/>
      <c r="O145" s="14"/>
    </row>
    <row r="146" spans="2:15">
      <c r="B146" s="11"/>
      <c r="C146" s="11"/>
      <c r="E146" s="12"/>
      <c r="K146" s="4"/>
      <c r="L146" s="4"/>
      <c r="M146" s="13"/>
      <c r="N146" s="11"/>
      <c r="O146" s="14"/>
    </row>
    <row r="147" spans="2:15">
      <c r="B147" s="11"/>
      <c r="C147" s="11"/>
      <c r="E147" s="12"/>
      <c r="K147" s="4"/>
      <c r="L147" s="4"/>
      <c r="M147" s="13"/>
      <c r="N147" s="11"/>
      <c r="O147" s="14"/>
    </row>
    <row r="148" spans="2:15">
      <c r="B148" s="11"/>
      <c r="C148" s="11"/>
      <c r="E148" s="12"/>
      <c r="K148" s="4"/>
      <c r="L148" s="4"/>
      <c r="M148" s="13"/>
      <c r="N148" s="11"/>
      <c r="O148" s="14"/>
    </row>
    <row r="149" spans="2:15">
      <c r="B149" s="11"/>
      <c r="C149" s="11"/>
      <c r="E149" s="12"/>
      <c r="K149" s="4"/>
      <c r="L149" s="4"/>
      <c r="M149" s="13"/>
      <c r="N149" s="11"/>
      <c r="O149" s="14"/>
    </row>
    <row r="150" spans="2:15">
      <c r="B150" s="11"/>
      <c r="C150" s="11"/>
      <c r="E150" s="12"/>
      <c r="K150" s="4"/>
      <c r="L150" s="4"/>
      <c r="M150" s="13"/>
      <c r="N150" s="11"/>
      <c r="O150" s="14"/>
    </row>
    <row r="151" spans="2:15">
      <c r="B151" s="11"/>
      <c r="C151" s="11"/>
      <c r="E151" s="12"/>
      <c r="K151" s="4"/>
      <c r="L151" s="4"/>
      <c r="M151" s="13"/>
      <c r="N151" s="11"/>
      <c r="O151" s="14"/>
    </row>
    <row r="152" spans="2:15">
      <c r="B152" s="11"/>
      <c r="C152" s="11"/>
      <c r="E152" s="12"/>
      <c r="K152" s="4"/>
      <c r="L152" s="4"/>
      <c r="M152" s="13"/>
      <c r="N152" s="11"/>
      <c r="O152" s="14"/>
    </row>
    <row r="153" spans="2:15">
      <c r="B153" s="11"/>
      <c r="C153" s="11"/>
      <c r="E153" s="12"/>
      <c r="K153" s="4"/>
      <c r="L153" s="4"/>
      <c r="M153" s="13"/>
      <c r="N153" s="11"/>
      <c r="O153" s="14"/>
    </row>
    <row r="154" spans="2:15">
      <c r="B154" s="11"/>
      <c r="C154" s="11"/>
      <c r="E154" s="12"/>
      <c r="K154" s="4"/>
      <c r="L154" s="4"/>
      <c r="M154" s="13"/>
      <c r="N154" s="11"/>
      <c r="O154" s="14"/>
    </row>
    <row r="155" spans="2:15">
      <c r="B155" s="11"/>
      <c r="C155" s="11"/>
      <c r="E155" s="12"/>
      <c r="K155" s="4"/>
      <c r="L155" s="4"/>
      <c r="M155" s="13"/>
      <c r="N155" s="11"/>
      <c r="O155" s="14"/>
    </row>
    <row r="156" spans="2:15">
      <c r="B156" s="11"/>
      <c r="C156" s="11"/>
      <c r="E156" s="12"/>
      <c r="K156" s="4"/>
      <c r="L156" s="4"/>
      <c r="M156" s="13"/>
      <c r="N156" s="11"/>
      <c r="O156" s="14"/>
    </row>
    <row r="157" spans="2:15">
      <c r="B157" s="11"/>
      <c r="C157" s="11"/>
      <c r="E157" s="12"/>
      <c r="K157" s="4"/>
      <c r="L157" s="4"/>
      <c r="M157" s="13"/>
      <c r="N157" s="11"/>
      <c r="O157" s="14"/>
    </row>
    <row r="158" spans="2:15">
      <c r="B158" s="11"/>
      <c r="C158" s="11"/>
      <c r="E158" s="12"/>
      <c r="K158" s="4"/>
      <c r="L158" s="4"/>
      <c r="M158" s="13"/>
      <c r="N158" s="11"/>
      <c r="O158" s="14"/>
    </row>
    <row r="159" spans="2:15">
      <c r="M159" s="17"/>
    </row>
    <row r="160" spans="2:15">
      <c r="M160" s="17"/>
    </row>
    <row r="161" spans="13:13">
      <c r="M161" s="17"/>
    </row>
    <row r="162" spans="13:13">
      <c r="M162" s="17"/>
    </row>
    <row r="163" spans="13:13">
      <c r="M163" s="17"/>
    </row>
    <row r="164" spans="13:13">
      <c r="M164" s="17"/>
    </row>
    <row r="165" spans="13:13">
      <c r="M165" s="17"/>
    </row>
    <row r="166" spans="13:13">
      <c r="M166" s="17"/>
    </row>
    <row r="167" spans="13:13">
      <c r="M167" s="17"/>
    </row>
    <row r="168" spans="13:13">
      <c r="M168" s="17"/>
    </row>
    <row r="169" spans="13:13">
      <c r="M169" s="17"/>
    </row>
    <row r="170" spans="13:13">
      <c r="M170" s="17"/>
    </row>
    <row r="171" spans="13:13">
      <c r="M171" s="17"/>
    </row>
    <row r="172" spans="13:13">
      <c r="M172" s="17"/>
    </row>
    <row r="173" spans="13:13">
      <c r="M173" s="17"/>
    </row>
    <row r="174" spans="13:13">
      <c r="M174" s="17"/>
    </row>
    <row r="175" spans="13:13">
      <c r="M175" s="17"/>
    </row>
    <row r="176" spans="13:13">
      <c r="M176" s="17"/>
    </row>
    <row r="177" spans="13:13">
      <c r="M177" s="17"/>
    </row>
    <row r="178" spans="13:13">
      <c r="M178" s="17"/>
    </row>
    <row r="179" spans="13:13">
      <c r="M179" s="17"/>
    </row>
    <row r="180" spans="13:13">
      <c r="M180" s="17"/>
    </row>
    <row r="181" spans="13:13">
      <c r="M181" s="17"/>
    </row>
    <row r="182" spans="13:13">
      <c r="M182" s="17"/>
    </row>
    <row r="183" spans="13:13">
      <c r="M183" s="17"/>
    </row>
    <row r="184" spans="13:13">
      <c r="M184" s="17"/>
    </row>
    <row r="185" spans="13:13">
      <c r="M185" s="17"/>
    </row>
    <row r="186" spans="13:13">
      <c r="M186" s="17"/>
    </row>
    <row r="187" spans="13:13">
      <c r="M187" s="17"/>
    </row>
    <row r="188" spans="13:13">
      <c r="M188" s="17"/>
    </row>
    <row r="189" spans="13:13">
      <c r="M189" s="17"/>
    </row>
    <row r="190" spans="13:13">
      <c r="M190" s="17"/>
    </row>
    <row r="191" spans="13:13">
      <c r="M191" s="17"/>
    </row>
    <row r="192" spans="13:13">
      <c r="M192" s="17"/>
    </row>
    <row r="193" spans="13:13">
      <c r="M193" s="17"/>
    </row>
    <row r="194" spans="13:13">
      <c r="M194" s="17"/>
    </row>
    <row r="195" spans="13:13">
      <c r="M195" s="17"/>
    </row>
    <row r="196" spans="13:13">
      <c r="M196" s="17"/>
    </row>
    <row r="197" spans="13:13">
      <c r="M197" s="17"/>
    </row>
    <row r="198" spans="13:13">
      <c r="M198" s="17"/>
    </row>
    <row r="199" spans="13:13">
      <c r="M199" s="17"/>
    </row>
    <row r="200" spans="13:13">
      <c r="M200" s="17"/>
    </row>
    <row r="201" spans="13:13">
      <c r="M201" s="17"/>
    </row>
    <row r="202" spans="13:13">
      <c r="M202" s="17"/>
    </row>
    <row r="203" spans="13:13">
      <c r="M203" s="17"/>
    </row>
    <row r="204" spans="13:13">
      <c r="M204" s="17"/>
    </row>
    <row r="205" spans="13:13">
      <c r="M205" s="17"/>
    </row>
    <row r="206" spans="13:13">
      <c r="M206" s="17"/>
    </row>
    <row r="207" spans="13:13">
      <c r="M207" s="17"/>
    </row>
    <row r="208" spans="13:13">
      <c r="M208" s="17"/>
    </row>
    <row r="209" spans="13:13">
      <c r="M209" s="17"/>
    </row>
    <row r="210" spans="13:13">
      <c r="M210" s="17"/>
    </row>
    <row r="211" spans="13:13">
      <c r="M211" s="17"/>
    </row>
    <row r="212" spans="13:13">
      <c r="M212" s="17"/>
    </row>
    <row r="213" spans="13:13">
      <c r="M213" s="17"/>
    </row>
    <row r="214" spans="13:13">
      <c r="M214" s="17"/>
    </row>
    <row r="215" spans="13:13">
      <c r="M215" s="17"/>
    </row>
    <row r="216" spans="13:13">
      <c r="M216" s="17"/>
    </row>
    <row r="217" spans="13:13">
      <c r="M217" s="17"/>
    </row>
    <row r="218" spans="13:13">
      <c r="M218" s="17"/>
    </row>
    <row r="219" spans="13:13">
      <c r="M219" s="17"/>
    </row>
    <row r="220" spans="13:13">
      <c r="M220" s="17"/>
    </row>
    <row r="221" spans="13:13">
      <c r="M221" s="17"/>
    </row>
    <row r="222" spans="13:13">
      <c r="M222" s="17"/>
    </row>
    <row r="223" spans="13:13">
      <c r="M223" s="17"/>
    </row>
    <row r="224" spans="13:13">
      <c r="M224" s="17"/>
    </row>
    <row r="225" spans="13:13">
      <c r="M225" s="17"/>
    </row>
    <row r="226" spans="13:13">
      <c r="M226" s="17"/>
    </row>
    <row r="227" spans="13:13">
      <c r="M227" s="17"/>
    </row>
    <row r="228" spans="13:13">
      <c r="M228" s="17"/>
    </row>
    <row r="229" spans="13:13">
      <c r="M229" s="17"/>
    </row>
    <row r="230" spans="13:13">
      <c r="M230" s="17"/>
    </row>
    <row r="231" spans="13:13">
      <c r="M231" s="17"/>
    </row>
    <row r="232" spans="13:13">
      <c r="M232" s="17"/>
    </row>
    <row r="233" spans="13:13">
      <c r="M233" s="17"/>
    </row>
    <row r="234" spans="13:13">
      <c r="M234" s="17"/>
    </row>
    <row r="235" spans="13:13">
      <c r="M235" s="17"/>
    </row>
    <row r="236" spans="13:13">
      <c r="M236" s="17"/>
    </row>
    <row r="237" spans="13:13">
      <c r="M237" s="17"/>
    </row>
    <row r="238" spans="13:13">
      <c r="M238" s="17"/>
    </row>
    <row r="239" spans="13:13">
      <c r="M239" s="17"/>
    </row>
    <row r="240" spans="13:13">
      <c r="M240" s="17"/>
    </row>
    <row r="241" spans="13:13">
      <c r="M241" s="17"/>
    </row>
    <row r="242" spans="13:13">
      <c r="M242" s="17"/>
    </row>
    <row r="243" spans="13:13">
      <c r="M243" s="17"/>
    </row>
    <row r="244" spans="13:13">
      <c r="M244" s="17"/>
    </row>
    <row r="245" spans="13:13">
      <c r="M245" s="17"/>
    </row>
    <row r="246" spans="13:13">
      <c r="M246" s="17"/>
    </row>
    <row r="247" spans="13:13">
      <c r="M247" s="17"/>
    </row>
    <row r="248" spans="13:13">
      <c r="M248" s="17"/>
    </row>
    <row r="249" spans="13:13">
      <c r="M249" s="17"/>
    </row>
    <row r="250" spans="13:13">
      <c r="M250" s="17"/>
    </row>
    <row r="251" spans="13:13">
      <c r="M251" s="17"/>
    </row>
    <row r="252" spans="13:13">
      <c r="M252" s="17"/>
    </row>
    <row r="253" spans="13:13">
      <c r="M253" s="17"/>
    </row>
    <row r="254" spans="13:13">
      <c r="M254" s="17"/>
    </row>
    <row r="255" spans="13:13">
      <c r="M255" s="17"/>
    </row>
    <row r="256" spans="13:13">
      <c r="M256" s="17"/>
    </row>
    <row r="257" spans="13:13">
      <c r="M257" s="17"/>
    </row>
    <row r="258" spans="13:13">
      <c r="M258" s="17"/>
    </row>
    <row r="259" spans="13:13">
      <c r="M259" s="17"/>
    </row>
    <row r="260" spans="13:13">
      <c r="M260" s="17"/>
    </row>
    <row r="261" spans="13:13">
      <c r="M261" s="17"/>
    </row>
    <row r="262" spans="13:13">
      <c r="M262" s="17"/>
    </row>
    <row r="263" spans="13:13">
      <c r="M263" s="17"/>
    </row>
    <row r="264" spans="13:13">
      <c r="M264" s="17"/>
    </row>
    <row r="265" spans="13:13">
      <c r="M265" s="17"/>
    </row>
    <row r="266" spans="13:13">
      <c r="M266" s="17"/>
    </row>
    <row r="267" spans="13:13">
      <c r="M267" s="17"/>
    </row>
    <row r="268" spans="13:13">
      <c r="M268" s="17"/>
    </row>
    <row r="269" spans="13:13">
      <c r="M269" s="17"/>
    </row>
    <row r="270" spans="13:13">
      <c r="M270" s="17"/>
    </row>
    <row r="271" spans="13:13">
      <c r="M271" s="17"/>
    </row>
    <row r="272" spans="13:13">
      <c r="M272" s="17"/>
    </row>
    <row r="273" spans="13:13">
      <c r="M273" s="17"/>
    </row>
    <row r="274" spans="13:13">
      <c r="M274" s="17"/>
    </row>
    <row r="275" spans="13:13">
      <c r="M275" s="17"/>
    </row>
    <row r="276" spans="13:13">
      <c r="M276" s="17"/>
    </row>
    <row r="277" spans="13:13">
      <c r="M277" s="17"/>
    </row>
    <row r="278" spans="13:13">
      <c r="M278" s="17"/>
    </row>
    <row r="279" spans="13:13">
      <c r="M279" s="17"/>
    </row>
    <row r="280" spans="13:13">
      <c r="M280" s="17"/>
    </row>
    <row r="281" spans="13:13">
      <c r="M281" s="17"/>
    </row>
    <row r="282" spans="13:13">
      <c r="M282" s="17"/>
    </row>
    <row r="283" spans="13:13">
      <c r="M283" s="17"/>
    </row>
    <row r="284" spans="13:13">
      <c r="M284" s="17"/>
    </row>
    <row r="285" spans="13:13">
      <c r="M285" s="17"/>
    </row>
    <row r="286" spans="13:13">
      <c r="M286" s="17"/>
    </row>
    <row r="287" spans="13:13">
      <c r="M287" s="17"/>
    </row>
    <row r="288" spans="13:13">
      <c r="M288" s="17"/>
    </row>
    <row r="289" spans="13:13">
      <c r="M289" s="17"/>
    </row>
    <row r="290" spans="13:13">
      <c r="M290" s="17"/>
    </row>
    <row r="291" spans="13:13">
      <c r="M291" s="17"/>
    </row>
    <row r="292" spans="13:13">
      <c r="M292" s="17"/>
    </row>
    <row r="293" spans="13:13">
      <c r="M293" s="17"/>
    </row>
    <row r="294" spans="13:13">
      <c r="M294" s="17"/>
    </row>
    <row r="295" spans="13:13">
      <c r="M295" s="17"/>
    </row>
    <row r="296" spans="13:13">
      <c r="M296" s="17"/>
    </row>
    <row r="297" spans="13:13">
      <c r="M297" s="17"/>
    </row>
    <row r="298" spans="13:13">
      <c r="M298" s="17"/>
    </row>
    <row r="299" spans="13:13">
      <c r="M299" s="17"/>
    </row>
    <row r="300" spans="13:13">
      <c r="M300" s="17"/>
    </row>
    <row r="301" spans="13:13">
      <c r="M301" s="17"/>
    </row>
    <row r="302" spans="13:13">
      <c r="M302" s="17"/>
    </row>
    <row r="303" spans="13:13">
      <c r="M303" s="17"/>
    </row>
    <row r="304" spans="13:13">
      <c r="M304" s="17"/>
    </row>
    <row r="305" spans="13:13">
      <c r="M305" s="17"/>
    </row>
    <row r="306" spans="13:13">
      <c r="M306" s="17"/>
    </row>
    <row r="307" spans="13:13">
      <c r="M307" s="17"/>
    </row>
    <row r="308" spans="13:13">
      <c r="M308" s="17"/>
    </row>
    <row r="309" spans="13:13">
      <c r="M309" s="17"/>
    </row>
    <row r="310" spans="13:13">
      <c r="M310" s="17"/>
    </row>
    <row r="311" spans="13:13">
      <c r="M311" s="17"/>
    </row>
    <row r="312" spans="13:13">
      <c r="M312" s="17"/>
    </row>
    <row r="313" spans="13:13">
      <c r="M313" s="17"/>
    </row>
    <row r="314" spans="13:13">
      <c r="M314" s="17"/>
    </row>
    <row r="315" spans="13:13">
      <c r="M315" s="17"/>
    </row>
    <row r="316" spans="13:13">
      <c r="M316" s="17"/>
    </row>
    <row r="317" spans="13:13">
      <c r="M317" s="17"/>
    </row>
    <row r="318" spans="13:13">
      <c r="M318" s="17"/>
    </row>
    <row r="319" spans="13:13">
      <c r="M319" s="17"/>
    </row>
    <row r="320" spans="13:13">
      <c r="M320" s="17"/>
    </row>
    <row r="321" spans="13:13">
      <c r="M321" s="17"/>
    </row>
    <row r="322" spans="13:13">
      <c r="M322" s="17"/>
    </row>
    <row r="323" spans="13:13">
      <c r="M323" s="17"/>
    </row>
    <row r="324" spans="13:13">
      <c r="M324" s="17"/>
    </row>
    <row r="325" spans="13:13">
      <c r="M325" s="17"/>
    </row>
    <row r="326" spans="13:13">
      <c r="M326" s="17"/>
    </row>
    <row r="327" spans="13:13">
      <c r="M327" s="17"/>
    </row>
    <row r="328" spans="13:13">
      <c r="M328" s="17"/>
    </row>
    <row r="329" spans="13:13">
      <c r="M329" s="17"/>
    </row>
    <row r="330" spans="13:13">
      <c r="M330" s="17"/>
    </row>
    <row r="331" spans="13:13">
      <c r="M331" s="17"/>
    </row>
    <row r="332" spans="13:13">
      <c r="M332" s="17"/>
    </row>
    <row r="333" spans="13:13">
      <c r="M333" s="17"/>
    </row>
    <row r="334" spans="13:13">
      <c r="M334" s="17"/>
    </row>
    <row r="335" spans="13:13">
      <c r="M335" s="17"/>
    </row>
    <row r="336" spans="13:13">
      <c r="M336" s="17"/>
    </row>
    <row r="337" spans="13:13">
      <c r="M337" s="17"/>
    </row>
    <row r="338" spans="13:13">
      <c r="M338" s="17"/>
    </row>
    <row r="339" spans="13:13">
      <c r="M339" s="17"/>
    </row>
    <row r="340" spans="13:13">
      <c r="M340" s="17"/>
    </row>
    <row r="341" spans="13:13">
      <c r="M341" s="17"/>
    </row>
    <row r="342" spans="13:13">
      <c r="M342" s="17"/>
    </row>
    <row r="343" spans="13:13">
      <c r="M343" s="17"/>
    </row>
    <row r="344" spans="13:13">
      <c r="M344" s="17"/>
    </row>
    <row r="345" spans="13:13">
      <c r="M345" s="17"/>
    </row>
    <row r="346" spans="13:13">
      <c r="M346" s="17"/>
    </row>
    <row r="347" spans="13:13">
      <c r="M347" s="17"/>
    </row>
    <row r="348" spans="13:13">
      <c r="M348" s="17"/>
    </row>
    <row r="349" spans="13:13">
      <c r="M349" s="17"/>
    </row>
    <row r="350" spans="13:13">
      <c r="M350" s="17"/>
    </row>
    <row r="351" spans="13:13">
      <c r="M351" s="17"/>
    </row>
    <row r="352" spans="13:13">
      <c r="M352" s="17"/>
    </row>
    <row r="353" spans="13:13">
      <c r="M353" s="17"/>
    </row>
    <row r="354" spans="13:13">
      <c r="M354" s="17"/>
    </row>
    <row r="355" spans="13:13">
      <c r="M355" s="17"/>
    </row>
    <row r="356" spans="13:13">
      <c r="M356" s="17"/>
    </row>
    <row r="357" spans="13:13">
      <c r="M357" s="17"/>
    </row>
    <row r="358" spans="13:13">
      <c r="M358" s="17"/>
    </row>
  </sheetData>
  <autoFilter ref="B2:P2" xr:uid="{00000000-0001-0000-0000-000000000000}"/>
  <mergeCells count="4">
    <mergeCell ref="I1:J1"/>
    <mergeCell ref="K1:L1"/>
    <mergeCell ref="D1:H1"/>
    <mergeCell ref="M1:P1"/>
  </mergeCells>
  <phoneticPr fontId="2" type="noConversion"/>
  <pageMargins left="0.25" right="0.25" top="0.75" bottom="0.75" header="0.3" footer="0.3"/>
  <pageSetup scale="51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2:E35"/>
  <sheetViews>
    <sheetView showGridLines="0" zoomScaleNormal="100" workbookViewId="0">
      <selection activeCell="G21" sqref="G21"/>
    </sheetView>
  </sheetViews>
  <sheetFormatPr defaultColWidth="8.796875" defaultRowHeight="13.9"/>
  <cols>
    <col min="1" max="1" width="2.46484375" style="22" customWidth="1"/>
    <col min="2" max="2" width="30.19921875" style="22" bestFit="1" customWidth="1"/>
    <col min="3" max="5" width="15.59765625" style="22" customWidth="1"/>
    <col min="6" max="16384" width="8.796875" style="22"/>
  </cols>
  <sheetData>
    <row r="2" spans="1:5" ht="15">
      <c r="A2" s="18"/>
      <c r="B2" s="19" t="s">
        <v>27</v>
      </c>
      <c r="C2" s="20"/>
      <c r="D2" s="21"/>
      <c r="E2" s="20"/>
    </row>
    <row r="3" spans="1:5">
      <c r="A3" s="20"/>
      <c r="B3" s="22" t="s">
        <v>28</v>
      </c>
      <c r="C3" s="23">
        <v>0.2</v>
      </c>
      <c r="D3" s="24">
        <v>3</v>
      </c>
      <c r="E3" s="25"/>
    </row>
    <row r="4" spans="1:5">
      <c r="A4" s="20"/>
      <c r="B4" s="22" t="s">
        <v>29</v>
      </c>
      <c r="C4" s="26">
        <f>MAX(8%,C8:D10)</f>
        <v>0.08</v>
      </c>
    </row>
    <row r="6" spans="1:5" ht="15">
      <c r="A6" s="18"/>
      <c r="B6" s="19" t="s">
        <v>30</v>
      </c>
      <c r="C6" s="20"/>
      <c r="D6" s="21"/>
      <c r="E6" s="20"/>
    </row>
    <row r="7" spans="1:5">
      <c r="C7" s="27" t="s">
        <v>31</v>
      </c>
      <c r="D7" s="27" t="s">
        <v>32</v>
      </c>
      <c r="E7" s="27" t="s">
        <v>33</v>
      </c>
    </row>
    <row r="8" spans="1:5">
      <c r="B8" s="28" t="s">
        <v>34</v>
      </c>
      <c r="C8" s="29">
        <v>4.2500000000000003E-2</v>
      </c>
      <c r="D8" s="29">
        <v>7.4999999999999997E-2</v>
      </c>
      <c r="E8" s="30">
        <f>D8-C8</f>
        <v>3.2499999999999994E-2</v>
      </c>
    </row>
    <row r="9" spans="1:5">
      <c r="B9" s="28" t="s">
        <v>35</v>
      </c>
      <c r="C9" s="29">
        <v>1.9E-2</v>
      </c>
      <c r="D9" s="29">
        <v>3.1E-2</v>
      </c>
      <c r="E9" s="30">
        <f>D9-C9</f>
        <v>1.2E-2</v>
      </c>
    </row>
    <row r="10" spans="1:5">
      <c r="B10" s="28" t="s">
        <v>36</v>
      </c>
      <c r="C10" s="29">
        <v>3.4500000000000003E-2</v>
      </c>
      <c r="D10" s="29">
        <v>5.2499999999999998E-2</v>
      </c>
      <c r="E10" s="30">
        <f>D10-C10</f>
        <v>1.7999999999999995E-2</v>
      </c>
    </row>
    <row r="12" spans="1:5" ht="15">
      <c r="A12" s="18"/>
      <c r="B12" s="19" t="s">
        <v>37</v>
      </c>
    </row>
    <row r="13" spans="1:5">
      <c r="C13" s="27" t="s">
        <v>38</v>
      </c>
    </row>
    <row r="14" spans="1:5">
      <c r="B14" s="31" t="s">
        <v>39</v>
      </c>
      <c r="C14" s="29">
        <v>9.9400000000000002E-2</v>
      </c>
    </row>
    <row r="15" spans="1:5">
      <c r="B15" s="31" t="s">
        <v>40</v>
      </c>
      <c r="C15" s="29">
        <v>0.1174</v>
      </c>
    </row>
    <row r="16" spans="1:5">
      <c r="B16" s="31" t="s">
        <v>41</v>
      </c>
      <c r="C16" s="29">
        <v>3.4500000000000003E-2</v>
      </c>
    </row>
    <row r="17" spans="1:5">
      <c r="B17" s="31" t="s">
        <v>42</v>
      </c>
      <c r="C17" s="29">
        <v>3.3099999999999997E-2</v>
      </c>
    </row>
    <row r="18" spans="1:5">
      <c r="B18" s="31" t="s">
        <v>43</v>
      </c>
      <c r="C18" s="29">
        <v>4.2299999999999997E-2</v>
      </c>
    </row>
    <row r="19" spans="1:5">
      <c r="B19" s="31" t="s">
        <v>44</v>
      </c>
      <c r="C19" s="29">
        <v>5.1200000000000002E-2</v>
      </c>
    </row>
    <row r="20" spans="1:5">
      <c r="B20" s="32" t="s">
        <v>64</v>
      </c>
      <c r="C20" s="33">
        <f>MAX(C4,C14:C19)</f>
        <v>0.1174</v>
      </c>
    </row>
    <row r="22" spans="1:5" ht="15">
      <c r="A22" s="18"/>
      <c r="B22" s="19" t="s">
        <v>45</v>
      </c>
      <c r="C22" s="20"/>
      <c r="D22" s="21"/>
      <c r="E22" s="20"/>
    </row>
    <row r="23" spans="1:5">
      <c r="B23" s="20" t="s">
        <v>46</v>
      </c>
      <c r="C23" s="34" t="s">
        <v>47</v>
      </c>
    </row>
    <row r="24" spans="1:5">
      <c r="B24" s="22" t="s">
        <v>48</v>
      </c>
      <c r="C24" s="34" t="s">
        <v>49</v>
      </c>
    </row>
    <row r="25" spans="1:5">
      <c r="B25" s="22" t="s">
        <v>50</v>
      </c>
      <c r="C25" s="34" t="s">
        <v>51</v>
      </c>
    </row>
    <row r="26" spans="1:5">
      <c r="C26" s="34"/>
    </row>
    <row r="27" spans="1:5">
      <c r="B27" s="22" t="s">
        <v>52</v>
      </c>
      <c r="C27" s="34" t="s">
        <v>53</v>
      </c>
    </row>
    <row r="28" spans="1:5">
      <c r="B28" s="22" t="s">
        <v>54</v>
      </c>
      <c r="C28" s="34" t="s">
        <v>55</v>
      </c>
    </row>
    <row r="29" spans="1:5">
      <c r="C29" s="34"/>
    </row>
    <row r="30" spans="1:5">
      <c r="B30" s="22" t="s">
        <v>56</v>
      </c>
      <c r="C30" s="34" t="s">
        <v>57</v>
      </c>
    </row>
    <row r="31" spans="1:5">
      <c r="B31" s="22" t="s">
        <v>58</v>
      </c>
      <c r="C31" s="34" t="s">
        <v>59</v>
      </c>
    </row>
    <row r="32" spans="1:5">
      <c r="C32" s="34"/>
    </row>
    <row r="33" spans="2:3">
      <c r="B33" s="22" t="s">
        <v>60</v>
      </c>
      <c r="C33" s="34" t="s">
        <v>61</v>
      </c>
    </row>
    <row r="35" spans="2:3">
      <c r="B35" s="22" t="s">
        <v>62</v>
      </c>
      <c r="C35" s="34" t="s">
        <v>63</v>
      </c>
    </row>
  </sheetData>
  <phoneticPr fontId="2" type="noConversion"/>
  <hyperlinks>
    <hyperlink ref="C27" r:id="rId1" xr:uid="{6B546AA7-2B0C-4428-81DD-DF73E91105ED}"/>
    <hyperlink ref="C23" r:id="rId2" xr:uid="{FBF6514A-AA7C-492E-837D-9693F4B1BF61}"/>
    <hyperlink ref="C33" r:id="rId3" xr:uid="{0B536BD0-1C9D-48D9-BE87-499C48D7A2DA}"/>
    <hyperlink ref="C24" r:id="rId4" xr:uid="{64320D73-0C91-4543-A716-CC8C239E517C}"/>
    <hyperlink ref="C28" r:id="rId5" xr:uid="{46AE8994-AE24-48A7-A28B-525FF601CDC5}"/>
    <hyperlink ref="C30" r:id="rId6" xr:uid="{93438CEE-3750-4D25-A9C7-1AB257F771BF}"/>
    <hyperlink ref="C31" r:id="rId7" xr:uid="{6BFFE2DD-44EE-4536-9535-5B23C094A18E}"/>
    <hyperlink ref="C25" r:id="rId8" xr:uid="{343B68E0-A2FF-4A26-9F49-F7D9A2BDC147}"/>
    <hyperlink ref="C35" r:id="rId9" xr:uid="{05CFC315-F57E-4B19-9DA2-2DADD0FC3616}"/>
  </hyperlinks>
  <pageMargins left="0.7" right="0.7" top="0.75" bottom="0.75" header="0.3" footer="0.3"/>
  <pageSetup orientation="portrait" verticalDpi="0" r:id="rId1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C36B6-834B-4D77-91B3-6CB0D60A5F89}">
  <dimension ref="B2"/>
  <sheetViews>
    <sheetView tabSelected="1" workbookViewId="0">
      <selection activeCell="B7" sqref="B7"/>
    </sheetView>
  </sheetViews>
  <sheetFormatPr defaultRowHeight="13.9"/>
  <cols>
    <col min="2" max="2" width="119.06640625" customWidth="1"/>
  </cols>
  <sheetData>
    <row r="2" spans="2:2" ht="97.15">
      <c r="B2" s="35" t="s">
        <v>71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Opportunities</vt:lpstr>
      <vt:lpstr>Market_Yield</vt:lpstr>
      <vt:lpstr>Sheet2</vt:lpstr>
      <vt:lpstr>stock_benchmark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2023-03-22T11:45:54Z</cp:lastPrinted>
  <dcterms:created xsi:type="dcterms:W3CDTF">2022-12-06T06:37:33Z</dcterms:created>
  <dcterms:modified xsi:type="dcterms:W3CDTF">2025-03-26T03:38:43Z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