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6416A34F-80DA-46A4-A23A-C31591A75733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  <sheet name="Holdings" sheetId="7" r:id="rId5"/>
  </sheets>
  <definedNames>
    <definedName name="_xlnm._FilterDatabase" localSheetId="1" hidden="1">Opportunities!$B$2:$Q$2</definedName>
    <definedName name="benchmark">Portfolio_Mgmt!$C$12</definedName>
    <definedName name="Cash_Yield">Portfolio_Mgmt!$C$13</definedName>
  </definedNames>
  <calcPr calcId="191029"/>
</workbook>
</file>

<file path=xl/calcChain.xml><?xml version="1.0" encoding="utf-8"?>
<calcChain xmlns="http://schemas.openxmlformats.org/spreadsheetml/2006/main">
  <c r="C33" i="5" l="1"/>
  <c r="H3" i="1" l="1"/>
  <c r="H4" i="1"/>
  <c r="H5" i="1"/>
  <c r="G3" i="1"/>
  <c r="G4" i="1"/>
  <c r="G5" i="1"/>
  <c r="E62" i="5" l="1"/>
  <c r="C38" i="5"/>
  <c r="E63" i="5" l="1"/>
  <c r="C16" i="2"/>
  <c r="C12" i="5" s="1"/>
  <c r="D114" i="5" s="1"/>
  <c r="C13" i="5"/>
  <c r="E6" i="2"/>
  <c r="E5" i="2"/>
  <c r="E4" i="2"/>
  <c r="C66" i="5" l="1"/>
  <c r="C67" i="5" s="1"/>
</calcChain>
</file>

<file path=xl/sharedStrings.xml><?xml version="1.0" encoding="utf-8"?>
<sst xmlns="http://schemas.openxmlformats.org/spreadsheetml/2006/main" count="238" uniqueCount="230">
  <si>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</si>
  <si>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</si>
  <si>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</si>
  <si>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</si>
  <si>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</si>
  <si>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</si>
  <si>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</si>
  <si>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</si>
  <si>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</si>
  <si>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</si>
  <si>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</si>
  <si>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</si>
  <si>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</si>
  <si>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</si>
  <si>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</si>
  <si>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</si>
  <si>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</si>
  <si>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</si>
  <si>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</si>
  <si>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</si>
  <si>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</si>
  <si>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</si>
  <si>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</si>
  <si>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</si>
  <si>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</si>
  <si>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</si>
  <si>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</si>
  <si>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</si>
  <si>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</si>
  <si>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</si>
  <si>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</si>
  <si>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</si>
  <si>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</si>
  <si>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</si>
  <si>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</si>
  <si>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</si>
  <si>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</si>
  <si>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</si>
  <si>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</si>
  <si>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</si>
  <si>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</si>
  <si>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</si>
  <si>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</si>
  <si>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</si>
  <si>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</si>
  <si>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</si>
  <si>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</si>
  <si>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</si>
  <si>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</si>
  <si>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</si>
  <si>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</si>
  <si>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</si>
  <si>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</si>
  <si>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</si>
  <si>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</si>
  <si>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</si>
  <si>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</si>
  <si>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</si>
  <si>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</si>
  <si>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</si>
  <si>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</si>
  <si>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</si>
  <si>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</si>
  <si>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</si>
  <si>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</si>
  <si>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</si>
  <si>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</si>
  <si>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</si>
  <si>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</si>
  <si>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</si>
  <si>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</si>
  <si>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</si>
  <si>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</si>
  <si>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</si>
  <si>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</si>
  <si>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</si>
  <si>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</si>
  <si>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</si>
  <si>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</si>
  <si>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</si>
  <si>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</si>
  <si>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</si>
  <si>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</si>
  <si>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</si>
  <si>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</si>
  <si>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</si>
  <si>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</si>
  <si>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</si>
  <si>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</si>
  <si>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</si>
  <si>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</si>
  <si>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</si>
  <si>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</si>
  <si>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</si>
  <si>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</si>
  <si>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</si>
  <si>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</si>
  <si>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</si>
  <si>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</si>
  <si>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</si>
  <si>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</si>
  <si>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</si>
  <si>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</si>
  <si>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</si>
  <si>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</si>
  <si>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</si>
  <si>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</si>
  <si>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</si>
  <si>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</si>
  <si>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</si>
  <si>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</si>
  <si>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</si>
  <si>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</si>
  <si>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</si>
  <si>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</si>
  <si>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</si>
  <si>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</si>
  <si>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</si>
  <si>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</si>
  <si>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</si>
  <si>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</si>
  <si>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</si>
  <si>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</si>
  <si>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</si>
  <si>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</si>
  <si>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</si>
  <si>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</si>
  <si>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</si>
  <si>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</si>
  <si>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</si>
  <si>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</si>
  <si>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</si>
  <si>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</si>
  <si>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</si>
  <si>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</si>
  <si>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</si>
  <si>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</si>
  <si>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</si>
  <si>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</si>
  <si>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</si>
  <si>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</si>
  <si>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</si>
  <si>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</si>
  <si>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</si>
  <si>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</si>
  <si>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</si>
  <si>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</si>
  <si>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</si>
  <si>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iii.</t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</si>
  <si>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</si>
  <si>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</si>
  <si>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</si>
  <si>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</si>
  <si>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</si>
  <si>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</si>
  <si>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</si>
  <si>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</si>
  <si>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</si>
  <si>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</si>
  <si>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</si>
  <si>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</si>
  <si>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</si>
  <si>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0590.HK</t>
  </si>
  <si>
    <t>六福珠宝</t>
  </si>
  <si>
    <t>HKD</t>
  </si>
  <si>
    <t>CNS_05</t>
  </si>
  <si>
    <t xml:space="preserve">Low Growth </t>
  </si>
  <si>
    <t>Y</t>
  </si>
  <si>
    <t>0083.HK</t>
  </si>
  <si>
    <t>SINO LAND</t>
  </si>
  <si>
    <t>RES_01</t>
  </si>
  <si>
    <t>Negative Growth Asset Play</t>
  </si>
  <si>
    <t>6601.HK</t>
  </si>
  <si>
    <t>朝云集团</t>
  </si>
  <si>
    <t>CNS_04</t>
  </si>
  <si>
    <t>Low Growth Asset Play</t>
  </si>
  <si>
    <t>N</t>
  </si>
  <si>
    <t>Portfolio Management Plan</t>
    <phoneticPr fontId="2" type="noConversion"/>
  </si>
  <si>
    <t>Opportunity Cost</t>
    <phoneticPr fontId="2" type="noConversion"/>
  </si>
  <si>
    <t>Portfolio Return</t>
    <phoneticPr fontId="17" type="noConversion"/>
  </si>
  <si>
    <t>Projected Cash %</t>
    <phoneticPr fontId="17" type="noConversion"/>
  </si>
  <si>
    <t>Projected Portfolio Return</t>
    <phoneticPr fontId="17" type="noConversion"/>
  </si>
  <si>
    <t>Find Eligible Investments (Data Cleaning)</t>
    <phoneticPr fontId="2" type="noConversion"/>
  </si>
  <si>
    <t>Display Investment Opportunities (Data Preparation)</t>
    <phoneticPr fontId="2" type="noConversion"/>
  </si>
  <si>
    <t>Filters:</t>
    <phoneticPr fontId="17" type="noConversion"/>
  </si>
  <si>
    <t>- Retain investments with Selected Flag = True and ERB &gt; 0.</t>
    <phoneticPr fontId="17" type="noConversion"/>
  </si>
  <si>
    <t>- Enforce Maximum Number of Holdings and Growth Classification Limits.</t>
    <phoneticPr fontId="17" type="noConversion"/>
  </si>
  <si>
    <t>Logic:</t>
    <phoneticPr fontId="17" type="noConversion"/>
  </si>
  <si>
    <t>- If R_i &lt; Target Annual Return: Penalty proportional to the shortfall.</t>
    <phoneticPr fontId="17" type="noConversion"/>
  </si>
  <si>
    <t>Portfolio Management Output</t>
    <phoneticPr fontId="2" type="noConversion"/>
  </si>
  <si>
    <t>iv.</t>
    <phoneticPr fontId="2" type="noConversion"/>
  </si>
  <si>
    <t>2. Projected Portfolio Return:</t>
    <phoneticPr fontId="17" type="noConversion"/>
  </si>
  <si>
    <t>Step 1: Determine Risk Appetite &amp; Cash Reserve</t>
    <phoneticPr fontId="2" type="noConversion"/>
  </si>
  <si>
    <t>- If no eligible investments exist, Set Projected Cash % = 100% and Projected Portfolio Return = Cash Yield.</t>
    <phoneticPr fontId="2" type="noConversion"/>
  </si>
  <si>
    <r>
      <rPr>
        <b/>
        <i/>
        <sz val="9"/>
        <color theme="1"/>
        <rFont val="Arial"/>
        <family val="2"/>
      </rPr>
      <t>Single Investment Cap:</t>
    </r>
    <r>
      <rPr>
        <i/>
        <sz val="9"/>
        <color theme="1"/>
        <rFont val="Arial"/>
        <family val="2"/>
      </rPr>
      <t xml:space="preserve"> If If an investment’s provisional allocation exceeds the cap, set its allocation to the cap. Excess weight is moved to cash (do not redistribute to other investments).</t>
    </r>
    <phoneticPr fontId="17" type="noConversion"/>
  </si>
  <si>
    <t>Note:</t>
    <phoneticPr fontId="17" type="noConversion"/>
  </si>
  <si>
    <t>1. Provisional Weight:</t>
    <phoneticPr fontId="17" type="noConversion"/>
  </si>
  <si>
    <t>provisional_weight_i = Single Investment Cap, for each eligible investment i with ERB&gt;0.</t>
    <phoneticPr fontId="17" type="noConversion"/>
  </si>
  <si>
    <t>Δweight_i = MAX(0, (Target Annual Return - R_i)/Target Annual Return)</t>
    <phoneticPr fontId="17" type="noConversion"/>
  </si>
  <si>
    <t>2. Δweight Adjustment:</t>
    <phoneticPr fontId="17" type="noConversion"/>
  </si>
  <si>
    <t>- If R_i &gt;= Target Annual Return: Δweight_i = 0</t>
    <phoneticPr fontId="17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</si>
  <si>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</si>
  <si>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</si>
  <si>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Cost of the Minimium Cash Reserve when all investments are earning Targeting Annual Return</t>
    <phoneticPr fontId="2" type="noConversion"/>
  </si>
  <si>
    <t>Min. Cash Reserve</t>
    <phoneticPr fontId="17" type="noConversion"/>
  </si>
  <si>
    <t>1. Projected Cash Reserve %:</t>
    <phoneticPr fontId="17" type="noConversion"/>
  </si>
  <si>
    <t xml:space="preserve">Projected Cash Reserve % = 1 - allocated_weight </t>
    <phoneticPr fontId="17" type="noConversion"/>
  </si>
  <si>
    <r>
      <t xml:space="preserve">Note: </t>
    </r>
    <r>
      <rPr>
        <i/>
        <sz val="9"/>
        <color theme="1"/>
        <rFont val="Arial"/>
        <family val="2"/>
      </rPr>
      <t>Opportunity Cost = Minimium Cash Reserve % × (Target Annual Return - Cash Yield)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</si>
  <si>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 Risk is managed through: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</si>
  <si>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>Timing Risk:</t>
    </r>
    <r>
      <rPr>
        <sz val="9"/>
        <color theme="1"/>
        <rFont val="Arial"/>
        <family val="2"/>
      </rPr>
      <t xml:space="preserve"> Invest only when returns justify risk.</t>
    </r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</si>
  <si>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Concentration/Diversification:</t>
    </r>
    <r>
      <rPr>
        <sz val="9"/>
        <color theme="1"/>
        <rFont val="Arial"/>
        <family val="2"/>
      </rPr>
      <t xml:space="preserve"> Balance high-conviction bets with diversification rules.</t>
    </r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</si>
  <si>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</si>
  <si>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</si>
  <si>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</si>
  <si>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Maximize returns while adhering to risk limits.</t>
    </r>
    <phoneticPr fontId="2" type="noConversion"/>
  </si>
  <si>
    <r>
      <t xml:space="preserve">Note: When allocated_weight &gt; </t>
    </r>
    <r>
      <rPr>
        <i/>
        <sz val="9"/>
        <color theme="1"/>
        <rFont val="Microsoft YaHei UI"/>
        <family val="2"/>
        <charset val="134"/>
      </rPr>
      <t>investable capital</t>
    </r>
    <r>
      <rPr>
        <i/>
        <sz val="9"/>
        <color theme="1"/>
        <rFont val="Arial"/>
        <family val="2"/>
      </rPr>
      <t>, then investments are ranked by ERB and allocated until investable capital is exhausted.</t>
    </r>
    <phoneticPr fontId="17" type="noConversion"/>
  </si>
  <si>
    <t>Market Annual Return (R_i)</t>
    <phoneticPr fontId="2" type="noConversion"/>
  </si>
  <si>
    <r>
      <rPr>
        <b/>
        <i/>
        <sz val="9"/>
        <color theme="1"/>
        <rFont val="Arial"/>
        <family val="2"/>
      </rPr>
      <t xml:space="preserve">Note: </t>
    </r>
    <r>
      <rPr>
        <i/>
        <sz val="9"/>
        <color theme="1"/>
        <rFont val="Arial"/>
        <family val="2"/>
      </rPr>
      <t>When the Projected Portfolio Return falls below the benchmark, it is due to overly conservative cash reserve settings or a lack of eligible opportunities. Corrective action is needed to address these issues.</t>
    </r>
    <phoneticPr fontId="17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</si>
  <si>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</si>
  <si>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</si>
  <si>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t>Strategic reserve for strategic opportunities.</t>
    <phoneticPr fontId="17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</si>
  <si>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</si>
  <si>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3. Allocation Weight:</t>
    <phoneticPr fontId="17" type="noConversion"/>
  </si>
  <si>
    <t>allocation_weight_i = provisional_weight_i * (1-Δweight_i)</t>
    <phoneticPr fontId="17" type="noConversion"/>
  </si>
  <si>
    <r>
      <t>allocated_weight = Σ</t>
    </r>
    <r>
      <rPr>
        <sz val="9"/>
        <color theme="1"/>
        <rFont val="Microsoft YaHei UI"/>
        <family val="2"/>
        <charset val="134"/>
      </rPr>
      <t>(</t>
    </r>
    <r>
      <rPr>
        <sz val="9"/>
        <color theme="1"/>
        <rFont val="Arial"/>
        <family val="2"/>
      </rPr>
      <t>allocation_weight_i)</t>
    </r>
    <phoneticPr fontId="17" type="noConversion"/>
  </si>
  <si>
    <t>Return = Σ(allocation_weight_i× R_i) + (Projected Cash % × Cash Yield)</t>
    <phoneticPr fontId="17" type="noConversion"/>
  </si>
  <si>
    <t>Allocation Weight</t>
    <phoneticPr fontId="2" type="noConversion"/>
  </si>
  <si>
    <t>4. Total Allocated Weight:</t>
    <phoneticPr fontId="17" type="noConversion"/>
  </si>
  <si>
    <t>Calculate Allocation Weight (Data Processing)</t>
    <phoneticPr fontId="2" type="noConversion"/>
  </si>
  <si>
    <r>
      <rPr>
        <b/>
        <i/>
        <sz val="9"/>
        <color theme="1"/>
        <rFont val="Arial"/>
        <family val="2"/>
      </rPr>
      <t>Total investable capital Consideration:</t>
    </r>
    <r>
      <rPr>
        <i/>
        <sz val="9"/>
        <color theme="1"/>
        <rFont val="Arial"/>
        <family val="2"/>
      </rPr>
      <t xml:space="preserve"> This issue will be resolved at processing the Total Allocated Weight.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</si>
</sst>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;@"/>
    <numFmt numFmtId="177" formatCode="[$-13C09]d\ mmm\ yyyy;@"/>
    <numFmt numFmtId="178" formatCode="0&quot; yrs&quot;"/>
    <numFmt numFmtId="179" formatCode="#,##0.00_);\(#,##0.00\)"/>
    <numFmt numFmtId="180" formatCode="#,##0_);\(#,##0\)"/>
  </numFmts>
  <fonts count="2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i/>
      <u/>
      <sz val="9"/>
      <color theme="1"/>
      <name val="Arial"/>
      <family val="2"/>
    </font>
    <font>
      <sz val="9"/>
      <color theme="1"/>
      <name val="Microsoft YaHei UI"/>
      <family val="2"/>
      <charset val="134"/>
    </font>
    <font>
      <i/>
      <sz val="9"/>
      <color theme="1"/>
      <name val="Microsoft YaHei UI"/>
      <family val="2"/>
      <charset val="134"/>
    </font>
    <font>
      <i/>
      <sz val="9"/>
      <color rgb="FF7030A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 wrapText="1"/>
    </xf>
    <xf numFmtId="10" fontId="9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79" fontId="11" fillId="0" borderId="0" xfId="0" applyNumberFormat="1" applyFont="1" applyAlignment="1">
      <alignment horizontal="center"/>
    </xf>
    <xf numFmtId="180" fontId="11" fillId="0" borderId="4" xfId="0" applyNumberFormat="1" applyFont="1" applyBorder="1" applyAlignment="1">
      <alignment horizontal="right"/>
    </xf>
    <xf numFmtId="180" fontId="9" fillId="0" borderId="4" xfId="0" applyNumberFormat="1" applyFont="1" applyBorder="1" applyAlignment="1">
      <alignment horizontal="right"/>
    </xf>
    <xf numFmtId="0" fontId="12" fillId="0" borderId="0" xfId="0" applyFont="1"/>
    <xf numFmtId="0" fontId="9" fillId="0" borderId="0" xfId="0" applyFont="1"/>
    <xf numFmtId="179" fontId="26" fillId="0" borderId="0" xfId="0" applyNumberFormat="1" applyFont="1" applyAlignment="1">
      <alignment horizontal="left"/>
    </xf>
    <xf numFmtId="0" fontId="12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23" fillId="0" borderId="0" xfId="0" quotePrefix="1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23"/>
  <sheetViews>
    <sheetView showGridLines="0" tabSelected="1" topLeftCell="A79" workbookViewId="0">
      <selection activeCell="D95" sqref="D95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0" t="s">
        <v>177</v>
      </c>
    </row>
    <row r="2" spans="1:5">
      <c r="A2" s="21" t="s">
        <v>55</v>
      </c>
      <c r="B2" s="21"/>
      <c r="C2" s="21"/>
      <c r="D2" s="21"/>
      <c r="E2" s="21"/>
    </row>
    <row r="4" spans="1:5" ht="24.4" customHeight="1">
      <c r="B4" s="64" t="s">
        <v>208</v>
      </c>
      <c r="C4" s="64"/>
      <c r="D4" s="64"/>
      <c r="E4" s="64"/>
    </row>
    <row r="5" spans="1:5">
      <c r="B5" s="24" t="s">
        <v>209</v>
      </c>
    </row>
    <row r="6" spans="1:5">
      <c r="B6" s="24" t="s">
        <v>210</v>
      </c>
    </row>
    <row r="8" spans="1:5">
      <c r="A8" s="20" t="s">
        <v>66</v>
      </c>
      <c r="B8" s="19" t="s">
        <v>212</v>
      </c>
      <c r="C8" s="62"/>
    </row>
    <row r="9" spans="1:5">
      <c r="B9" s="64" t="s">
        <v>221</v>
      </c>
      <c r="C9" s="64"/>
      <c r="D9" s="64"/>
      <c r="E9" s="64"/>
    </row>
    <row r="11" spans="1:5">
      <c r="B11" s="23" t="s">
        <v>58</v>
      </c>
    </row>
    <row r="12" spans="1:5">
      <c r="B12" s="1" t="s">
        <v>64</v>
      </c>
      <c r="C12" s="47">
        <f>Market_Yield!C16</f>
        <v>0.1174</v>
      </c>
    </row>
    <row r="13" spans="1:5">
      <c r="B13" s="1" t="s">
        <v>54</v>
      </c>
      <c r="C13" s="47">
        <f>Market_Yield!C6</f>
        <v>3.4500000000000003E-2</v>
      </c>
    </row>
    <row r="14" spans="1:5">
      <c r="C14" s="4"/>
    </row>
    <row r="15" spans="1:5">
      <c r="B15" s="23" t="s">
        <v>59</v>
      </c>
      <c r="C15" s="4"/>
    </row>
    <row r="16" spans="1:5">
      <c r="B16" s="1" t="s">
        <v>216</v>
      </c>
      <c r="C16" s="4" t="s">
        <v>218</v>
      </c>
    </row>
    <row r="17" spans="1:5">
      <c r="B17" s="1" t="s">
        <v>154</v>
      </c>
      <c r="C17" s="24" t="s">
        <v>152</v>
      </c>
    </row>
    <row r="18" spans="1:5">
      <c r="B18" s="1" t="s">
        <v>155</v>
      </c>
      <c r="C18" s="24" t="s">
        <v>153</v>
      </c>
    </row>
    <row r="20" spans="1:5">
      <c r="B20" s="23" t="s">
        <v>60</v>
      </c>
    </row>
    <row r="21" spans="1:5">
      <c r="B21" s="24" t="s">
        <v>102</v>
      </c>
    </row>
    <row r="22" spans="1:5">
      <c r="B22" s="24" t="s">
        <v>85</v>
      </c>
    </row>
    <row r="23" spans="1:5">
      <c r="B23" s="24" t="s">
        <v>213</v>
      </c>
    </row>
    <row r="25" spans="1:5">
      <c r="A25" s="25" t="s">
        <v>67</v>
      </c>
      <c r="B25" s="19" t="s">
        <v>211</v>
      </c>
      <c r="C25" s="62"/>
    </row>
    <row r="26" spans="1:5">
      <c r="A26" s="18"/>
      <c r="B26" s="64" t="s">
        <v>214</v>
      </c>
      <c r="C26" s="64"/>
      <c r="D26" s="64"/>
      <c r="E26" s="64"/>
    </row>
    <row r="27" spans="1:5">
      <c r="A27" s="18"/>
    </row>
    <row r="28" spans="1:5">
      <c r="A28" s="18"/>
      <c r="B28" s="51" t="s">
        <v>156</v>
      </c>
      <c r="C28" s="51" t="s">
        <v>150</v>
      </c>
    </row>
    <row r="29" spans="1:5">
      <c r="B29" s="26" t="s">
        <v>86</v>
      </c>
      <c r="C29" s="52">
        <v>6</v>
      </c>
    </row>
    <row r="30" spans="1:5">
      <c r="B30" s="26" t="s">
        <v>63</v>
      </c>
      <c r="C30" s="53">
        <v>0.3</v>
      </c>
    </row>
    <row r="32" spans="1:5">
      <c r="B32" s="51" t="s">
        <v>157</v>
      </c>
      <c r="C32" s="51" t="s">
        <v>150</v>
      </c>
    </row>
    <row r="33" spans="1:5">
      <c r="B33" s="26" t="s">
        <v>151</v>
      </c>
      <c r="C33" s="60">
        <f>C29-C34</f>
        <v>5</v>
      </c>
    </row>
    <row r="34" spans="1:5">
      <c r="B34" s="26" t="s">
        <v>149</v>
      </c>
      <c r="C34" s="59">
        <v>1</v>
      </c>
    </row>
    <row r="36" spans="1:5">
      <c r="A36" s="20" t="s">
        <v>68</v>
      </c>
      <c r="B36" s="19" t="s">
        <v>15</v>
      </c>
      <c r="C36" s="62"/>
      <c r="D36" s="22"/>
    </row>
    <row r="37" spans="1:5">
      <c r="B37" s="1" t="s">
        <v>16</v>
      </c>
      <c r="C37" s="48">
        <v>0.2</v>
      </c>
      <c r="D37" s="18" t="s">
        <v>56</v>
      </c>
      <c r="E37" s="50">
        <v>3</v>
      </c>
    </row>
    <row r="38" spans="1:5">
      <c r="B38" s="1" t="s">
        <v>17</v>
      </c>
      <c r="C38" s="49">
        <f>MAX(8%,Market_Yield!C4:D6)</f>
        <v>0.08</v>
      </c>
    </row>
    <row r="40" spans="1:5">
      <c r="B40" s="20" t="s">
        <v>87</v>
      </c>
    </row>
    <row r="41" spans="1:5">
      <c r="B41" s="64" t="s">
        <v>158</v>
      </c>
      <c r="C41" s="64"/>
      <c r="D41" s="64"/>
      <c r="E41" s="64"/>
    </row>
    <row r="42" spans="1:5" ht="24.4" customHeight="1">
      <c r="B42" s="64" t="s">
        <v>88</v>
      </c>
      <c r="C42" s="64"/>
      <c r="D42" s="64"/>
      <c r="E42" s="64"/>
    </row>
    <row r="44" spans="1:5">
      <c r="A44" s="21" t="s">
        <v>192</v>
      </c>
      <c r="B44" s="21"/>
      <c r="C44" s="21"/>
      <c r="D44" s="21"/>
      <c r="E44" s="21"/>
    </row>
    <row r="46" spans="1:5">
      <c r="B46" s="64" t="s">
        <v>219</v>
      </c>
      <c r="C46" s="64"/>
      <c r="D46" s="64"/>
      <c r="E46" s="64"/>
    </row>
    <row r="48" spans="1:5">
      <c r="B48" s="23" t="s">
        <v>93</v>
      </c>
    </row>
    <row r="50" spans="2:5">
      <c r="B50" s="51" t="s">
        <v>94</v>
      </c>
      <c r="C50" s="51" t="s">
        <v>204</v>
      </c>
      <c r="D50" s="57"/>
      <c r="E50" s="57"/>
    </row>
    <row r="51" spans="2:5">
      <c r="B51" s="26" t="s">
        <v>90</v>
      </c>
      <c r="C51" s="29">
        <v>0.5</v>
      </c>
      <c r="D51" s="58"/>
      <c r="E51" s="56"/>
    </row>
    <row r="52" spans="2:5">
      <c r="B52" s="26" t="s">
        <v>91</v>
      </c>
      <c r="C52" s="29">
        <v>0.3</v>
      </c>
      <c r="D52" s="58"/>
      <c r="E52" s="56"/>
    </row>
    <row r="53" spans="2:5">
      <c r="B53" s="26" t="s">
        <v>92</v>
      </c>
      <c r="C53" s="29">
        <v>0.2</v>
      </c>
      <c r="D53" s="63" t="s">
        <v>220</v>
      </c>
      <c r="E53" s="56"/>
    </row>
    <row r="55" spans="2:5">
      <c r="B55" s="23" t="s">
        <v>89</v>
      </c>
    </row>
    <row r="57" spans="2:5">
      <c r="B57" s="51" t="s">
        <v>95</v>
      </c>
      <c r="C57" s="51" t="s">
        <v>96</v>
      </c>
      <c r="D57" s="51" t="s">
        <v>97</v>
      </c>
      <c r="E57" s="51" t="s">
        <v>98</v>
      </c>
    </row>
    <row r="58" spans="2:5">
      <c r="B58" s="26" t="s">
        <v>69</v>
      </c>
      <c r="C58" s="26" t="s">
        <v>76</v>
      </c>
      <c r="D58" s="26" t="s">
        <v>77</v>
      </c>
      <c r="E58" s="41">
        <v>1</v>
      </c>
    </row>
    <row r="59" spans="2:5">
      <c r="B59" s="26" t="s">
        <v>70</v>
      </c>
      <c r="C59" s="26" t="s">
        <v>73</v>
      </c>
      <c r="D59" s="26" t="s">
        <v>78</v>
      </c>
      <c r="E59" s="41">
        <v>2</v>
      </c>
    </row>
    <row r="60" spans="2:5">
      <c r="B60" s="26" t="s">
        <v>71</v>
      </c>
      <c r="C60" s="26" t="s">
        <v>74</v>
      </c>
      <c r="D60" s="26" t="s">
        <v>79</v>
      </c>
      <c r="E60" s="41">
        <v>1</v>
      </c>
    </row>
    <row r="61" spans="2:5">
      <c r="B61" s="26" t="s">
        <v>72</v>
      </c>
      <c r="C61" s="26" t="s">
        <v>75</v>
      </c>
      <c r="D61" s="26" t="s">
        <v>80</v>
      </c>
      <c r="E61" s="41">
        <v>1</v>
      </c>
    </row>
    <row r="62" spans="2:5">
      <c r="D62" s="27" t="s">
        <v>81</v>
      </c>
      <c r="E62" s="40">
        <f>SUM(E58:E61)</f>
        <v>5</v>
      </c>
    </row>
    <row r="63" spans="2:5" ht="12" thickBot="1">
      <c r="D63" s="42" t="s">
        <v>202</v>
      </c>
      <c r="E63" s="43">
        <f>IF(E62&lt;=2,C51,IF(E62&gt;=6,C53,C52))</f>
        <v>0.3</v>
      </c>
    </row>
    <row r="64" spans="2:5" ht="12" thickTop="1"/>
    <row r="65" spans="1:5">
      <c r="B65" s="23" t="s">
        <v>203</v>
      </c>
    </row>
    <row r="66" spans="1:5">
      <c r="B66" s="54" t="s">
        <v>178</v>
      </c>
      <c r="C66" s="55">
        <f>-E63*(C37-Cash_Yield)</f>
        <v>-4.965E-2</v>
      </c>
    </row>
    <row r="67" spans="1:5">
      <c r="B67" s="54" t="s">
        <v>179</v>
      </c>
      <c r="C67" s="55">
        <f>C37+C66</f>
        <v>0.15035000000000001</v>
      </c>
    </row>
    <row r="68" spans="1:5">
      <c r="B68" s="45"/>
      <c r="C68" s="46"/>
    </row>
    <row r="69" spans="1:5">
      <c r="B69" s="39" t="s">
        <v>207</v>
      </c>
    </row>
    <row r="71" spans="1:5">
      <c r="A71" s="21" t="s">
        <v>82</v>
      </c>
      <c r="B71" s="21"/>
      <c r="C71" s="21"/>
      <c r="D71" s="21"/>
      <c r="E71" s="21"/>
    </row>
    <row r="73" spans="1:5">
      <c r="B73" s="64" t="s">
        <v>201</v>
      </c>
      <c r="C73" s="64"/>
      <c r="D73" s="64"/>
      <c r="E73" s="64"/>
    </row>
    <row r="75" spans="1:5">
      <c r="A75" s="28" t="s">
        <v>66</v>
      </c>
      <c r="B75" s="20" t="s">
        <v>183</v>
      </c>
    </row>
    <row r="76" spans="1:5">
      <c r="B76" s="24" t="s">
        <v>160</v>
      </c>
    </row>
    <row r="77" spans="1:5">
      <c r="B77" s="24" t="s">
        <v>159</v>
      </c>
    </row>
    <row r="79" spans="1:5">
      <c r="A79" s="28" t="s">
        <v>130</v>
      </c>
      <c r="B79" s="20" t="s">
        <v>182</v>
      </c>
    </row>
    <row r="80" spans="1:5">
      <c r="B80" s="39" t="s">
        <v>184</v>
      </c>
    </row>
    <row r="81" spans="1:5">
      <c r="B81" s="24" t="s">
        <v>185</v>
      </c>
    </row>
    <row r="82" spans="1:5">
      <c r="B82" s="24" t="s">
        <v>186</v>
      </c>
    </row>
    <row r="83" spans="1:5">
      <c r="B83" s="24" t="s">
        <v>193</v>
      </c>
    </row>
    <row r="85" spans="1:5">
      <c r="A85" s="28" t="s">
        <v>148</v>
      </c>
      <c r="B85" s="20" t="s">
        <v>228</v>
      </c>
    </row>
    <row r="86" spans="1:5">
      <c r="B86" s="24" t="s">
        <v>196</v>
      </c>
    </row>
    <row r="87" spans="1:5">
      <c r="B87" s="67" t="s">
        <v>197</v>
      </c>
      <c r="C87" s="67"/>
      <c r="D87" s="67"/>
      <c r="E87" s="67"/>
    </row>
    <row r="88" spans="1:5">
      <c r="B88" s="66" t="s">
        <v>195</v>
      </c>
      <c r="C88" s="66"/>
      <c r="D88" s="66"/>
      <c r="E88" s="66"/>
    </row>
    <row r="89" spans="1:5" ht="24.4" customHeight="1">
      <c r="B89" s="64" t="s">
        <v>194</v>
      </c>
      <c r="C89" s="64"/>
      <c r="D89" s="64"/>
      <c r="E89" s="64"/>
    </row>
    <row r="90" spans="1:5">
      <c r="B90" s="64" t="s">
        <v>229</v>
      </c>
      <c r="C90" s="64"/>
      <c r="D90" s="64"/>
      <c r="E90" s="64"/>
    </row>
    <row r="92" spans="1:5">
      <c r="B92" s="24" t="s">
        <v>199</v>
      </c>
    </row>
    <row r="93" spans="1:5">
      <c r="B93" s="1" t="s">
        <v>198</v>
      </c>
    </row>
    <row r="94" spans="1:5">
      <c r="B94" s="61" t="s">
        <v>187</v>
      </c>
    </row>
    <row r="95" spans="1:5">
      <c r="B95" s="24" t="s">
        <v>200</v>
      </c>
    </row>
    <row r="96" spans="1:5">
      <c r="B96" s="24" t="s">
        <v>188</v>
      </c>
    </row>
    <row r="98" spans="1:5">
      <c r="B98" s="24" t="s">
        <v>222</v>
      </c>
    </row>
    <row r="99" spans="1:5">
      <c r="B99" s="65" t="s">
        <v>223</v>
      </c>
      <c r="C99" s="65"/>
      <c r="D99" s="65"/>
      <c r="E99" s="65"/>
    </row>
    <row r="101" spans="1:5">
      <c r="B101" s="24" t="s">
        <v>227</v>
      </c>
    </row>
    <row r="102" spans="1:5" ht="12.4">
      <c r="B102" s="65" t="s">
        <v>224</v>
      </c>
      <c r="C102" s="65"/>
      <c r="D102" s="65"/>
      <c r="E102" s="65"/>
    </row>
    <row r="103" spans="1:5" ht="24.4" customHeight="1">
      <c r="B103" s="64" t="s">
        <v>215</v>
      </c>
      <c r="C103" s="64"/>
      <c r="D103" s="64"/>
      <c r="E103" s="64"/>
    </row>
    <row r="105" spans="1:5">
      <c r="A105" s="28" t="s">
        <v>190</v>
      </c>
      <c r="B105" s="20" t="s">
        <v>189</v>
      </c>
    </row>
    <row r="106" spans="1:5">
      <c r="B106" s="1" t="s">
        <v>205</v>
      </c>
    </row>
    <row r="107" spans="1:5">
      <c r="B107" s="1" t="s">
        <v>206</v>
      </c>
    </row>
    <row r="109" spans="1:5">
      <c r="B109" s="1" t="s">
        <v>191</v>
      </c>
    </row>
    <row r="110" spans="1:5">
      <c r="B110" s="1" t="s">
        <v>225</v>
      </c>
    </row>
    <row r="112" spans="1:5">
      <c r="B112" s="23" t="s">
        <v>161</v>
      </c>
    </row>
    <row r="113" spans="1:5">
      <c r="B113" s="1" t="s">
        <v>180</v>
      </c>
      <c r="C113" s="44">
        <v>0.4</v>
      </c>
    </row>
    <row r="114" spans="1:5">
      <c r="B114" s="1" t="s">
        <v>181</v>
      </c>
      <c r="C114" s="44">
        <v>0.10199999999999999</v>
      </c>
      <c r="D114" s="62" t="str">
        <f>IF(C114&lt;benchmark,"Warning: Return is lower than the Benchmark.")</f>
        <v>Warning: Return is lower than the Benchmark.</v>
      </c>
    </row>
    <row r="116" spans="1:5" ht="24.4" customHeight="1">
      <c r="B116" s="64" t="s">
        <v>217</v>
      </c>
      <c r="C116" s="64"/>
      <c r="D116" s="64"/>
      <c r="E116" s="64"/>
    </row>
    <row r="118" spans="1:5">
      <c r="A118" s="21" t="s">
        <v>83</v>
      </c>
      <c r="B118" s="21"/>
      <c r="C118" s="21"/>
      <c r="D118" s="21"/>
      <c r="E118" s="21"/>
    </row>
    <row r="120" spans="1:5">
      <c r="B120" s="20" t="s">
        <v>84</v>
      </c>
    </row>
    <row r="121" spans="1:5">
      <c r="B121" s="24" t="s">
        <v>99</v>
      </c>
    </row>
    <row r="122" spans="1:5">
      <c r="B122" s="24" t="s">
        <v>101</v>
      </c>
    </row>
    <row r="123" spans="1:5">
      <c r="B123" s="24" t="s">
        <v>100</v>
      </c>
    </row>
  </sheetData>
  <mergeCells count="15">
    <mergeCell ref="B88:E88"/>
    <mergeCell ref="B73:E73"/>
    <mergeCell ref="B87:E87"/>
    <mergeCell ref="B46:E46"/>
    <mergeCell ref="B4:E4"/>
    <mergeCell ref="B9:E9"/>
    <mergeCell ref="B26:E26"/>
    <mergeCell ref="B41:E41"/>
    <mergeCell ref="B42:E42"/>
    <mergeCell ref="B116:E116"/>
    <mergeCell ref="B99:E99"/>
    <mergeCell ref="B102:E102"/>
    <mergeCell ref="B103:E103"/>
    <mergeCell ref="B89:E89"/>
    <mergeCell ref="B90:E90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J7" sqref="J7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1" t="s">
        <v>1</v>
      </c>
      <c r="E1" s="71"/>
      <c r="F1" s="71"/>
      <c r="G1" s="72" t="s">
        <v>103</v>
      </c>
      <c r="H1" s="72"/>
      <c r="I1" s="72"/>
      <c r="J1" s="68" t="s">
        <v>5</v>
      </c>
      <c r="K1" s="68"/>
      <c r="L1" s="69" t="s">
        <v>9</v>
      </c>
      <c r="M1" s="69"/>
      <c r="N1" s="70" t="s">
        <v>53</v>
      </c>
      <c r="O1" s="70"/>
      <c r="P1" s="70"/>
      <c r="Q1" s="70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61</v>
      </c>
      <c r="H2" s="7" t="s">
        <v>62</v>
      </c>
      <c r="I2" s="7" t="s">
        <v>226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14</v>
      </c>
      <c r="P2" s="9" t="s">
        <v>10</v>
      </c>
      <c r="Q2" s="10" t="s">
        <v>52</v>
      </c>
    </row>
    <row r="3" spans="1:17">
      <c r="B3" s="11" t="s">
        <v>162</v>
      </c>
      <c r="C3" s="11" t="s">
        <v>163</v>
      </c>
      <c r="D3" s="2">
        <v>14.94</v>
      </c>
      <c r="E3" s="12" t="s">
        <v>164</v>
      </c>
      <c r="F3" s="15">
        <v>0.19401142226230528</v>
      </c>
      <c r="G3" s="15">
        <f t="shared" ref="G3:G5" si="0">F3 - $C$10</f>
        <v>0.19401142226230528</v>
      </c>
      <c r="H3" s="15">
        <f t="shared" ref="H3:H5" si="1">F3 - $C$11</f>
        <v>0.19401142226230528</v>
      </c>
      <c r="I3" s="15">
        <v>0.3</v>
      </c>
      <c r="J3" s="2">
        <v>14.733437767356989</v>
      </c>
      <c r="K3" s="2">
        <v>20.508980461992877</v>
      </c>
      <c r="L3" s="4">
        <v>0.11566171481724427</v>
      </c>
      <c r="M3" s="4">
        <v>9.1030789825970557E-2</v>
      </c>
      <c r="N3" s="13" t="s">
        <v>165</v>
      </c>
      <c r="O3" s="11" t="s">
        <v>166</v>
      </c>
      <c r="P3" s="14">
        <v>45716</v>
      </c>
      <c r="Q3" s="11" t="s">
        <v>167</v>
      </c>
    </row>
    <row r="4" spans="1:17">
      <c r="B4" s="11" t="s">
        <v>168</v>
      </c>
      <c r="C4" s="11" t="s">
        <v>169</v>
      </c>
      <c r="D4" s="2">
        <v>7.77</v>
      </c>
      <c r="E4" s="12" t="s">
        <v>164</v>
      </c>
      <c r="F4" s="15">
        <v>0.12514862916378067</v>
      </c>
      <c r="G4" s="15">
        <f t="shared" si="0"/>
        <v>0.12514862916378067</v>
      </c>
      <c r="H4" s="15">
        <f t="shared" si="1"/>
        <v>0.12514862916378067</v>
      </c>
      <c r="I4" s="15">
        <v>3.674075125745891E-2</v>
      </c>
      <c r="J4" s="2">
        <v>6.4883606756817951</v>
      </c>
      <c r="K4" s="2">
        <v>9.1006872475781417</v>
      </c>
      <c r="L4" s="4">
        <v>3.975526022937774E-2</v>
      </c>
      <c r="M4" s="4">
        <v>7.4646074646074645E-2</v>
      </c>
      <c r="N4" s="13" t="s">
        <v>170</v>
      </c>
      <c r="O4" s="11" t="s">
        <v>171</v>
      </c>
      <c r="P4" s="14">
        <v>45716</v>
      </c>
      <c r="Q4" s="11" t="s">
        <v>167</v>
      </c>
    </row>
    <row r="5" spans="1:17">
      <c r="B5" s="11" t="s">
        <v>172</v>
      </c>
      <c r="C5" s="11" t="s">
        <v>173</v>
      </c>
      <c r="D5" s="2">
        <v>2.15</v>
      </c>
      <c r="E5" s="12" t="s">
        <v>164</v>
      </c>
      <c r="F5" s="15">
        <v>6.9019080849287207E-2</v>
      </c>
      <c r="G5" s="15">
        <f t="shared" si="0"/>
        <v>6.9019080849287207E-2</v>
      </c>
      <c r="H5" s="15">
        <f t="shared" si="1"/>
        <v>6.9019080849287207E-2</v>
      </c>
      <c r="I5" s="15">
        <v>0</v>
      </c>
      <c r="J5" s="2">
        <v>1.5492157922151617</v>
      </c>
      <c r="K5" s="2">
        <v>2.2482528889477993</v>
      </c>
      <c r="L5" s="4">
        <v>2.1918414948495051E-2</v>
      </c>
      <c r="M5" s="4">
        <v>5.4790697674418611E-2</v>
      </c>
      <c r="N5" s="13" t="s">
        <v>174</v>
      </c>
      <c r="O5" s="11" t="s">
        <v>175</v>
      </c>
      <c r="P5" s="14">
        <v>45716</v>
      </c>
      <c r="Q5" s="11" t="s">
        <v>176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topLeftCell="A4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0" t="s">
        <v>147</v>
      </c>
    </row>
    <row r="2" spans="1:5">
      <c r="A2" s="31"/>
      <c r="B2" s="32" t="s">
        <v>18</v>
      </c>
      <c r="C2" s="18"/>
      <c r="D2" s="22"/>
      <c r="E2" s="18"/>
    </row>
    <row r="3" spans="1:5">
      <c r="C3" s="28" t="s">
        <v>19</v>
      </c>
      <c r="D3" s="28" t="s">
        <v>20</v>
      </c>
      <c r="E3" s="28" t="s">
        <v>21</v>
      </c>
    </row>
    <row r="4" spans="1:5">
      <c r="B4" s="33" t="s">
        <v>22</v>
      </c>
      <c r="C4" s="34">
        <v>4.2500000000000003E-2</v>
      </c>
      <c r="D4" s="34">
        <v>7.4999999999999997E-2</v>
      </c>
      <c r="E4" s="35">
        <f>D4-C4</f>
        <v>3.2499999999999994E-2</v>
      </c>
    </row>
    <row r="5" spans="1:5">
      <c r="B5" s="33" t="s">
        <v>23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24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25</v>
      </c>
      <c r="C8" s="1">
        <v>4.3799999999999999E-2</v>
      </c>
      <c r="D8" s="1">
        <v>7.4999999999999997E-2</v>
      </c>
    </row>
    <row r="9" spans="1:5">
      <c r="B9" s="1" t="s">
        <v>57</v>
      </c>
      <c r="C9" s="28" t="s">
        <v>26</v>
      </c>
    </row>
    <row r="10" spans="1:5">
      <c r="B10" s="26" t="s">
        <v>27</v>
      </c>
      <c r="C10" s="34">
        <v>9.9400000000000002E-2</v>
      </c>
    </row>
    <row r="11" spans="1:5">
      <c r="B11" s="26" t="s">
        <v>28</v>
      </c>
      <c r="C11" s="34">
        <v>0.1174</v>
      </c>
    </row>
    <row r="12" spans="1:5">
      <c r="B12" s="26" t="s">
        <v>29</v>
      </c>
      <c r="C12" s="34">
        <v>3.4500000000000003E-2</v>
      </c>
    </row>
    <row r="13" spans="1:5">
      <c r="B13" s="26" t="s">
        <v>30</v>
      </c>
      <c r="C13" s="34">
        <v>3.3099999999999997E-2</v>
      </c>
    </row>
    <row r="14" spans="1:5">
      <c r="B14" s="26" t="s">
        <v>31</v>
      </c>
      <c r="C14" s="34">
        <v>4.2299999999999997E-2</v>
      </c>
    </row>
    <row r="15" spans="1:5">
      <c r="B15" s="26" t="s">
        <v>32</v>
      </c>
      <c r="C15" s="34">
        <v>5.1200000000000002E-2</v>
      </c>
    </row>
    <row r="16" spans="1:5">
      <c r="B16" s="36" t="s">
        <v>65</v>
      </c>
      <c r="C16" s="37">
        <f>MAX(Portfolio_Mgmt!C38,C10:C15)</f>
        <v>0.1174</v>
      </c>
    </row>
    <row r="18" spans="1:5">
      <c r="A18" s="31"/>
      <c r="B18" s="32" t="s">
        <v>33</v>
      </c>
      <c r="C18" s="18"/>
      <c r="D18" s="22"/>
      <c r="E18" s="18"/>
    </row>
    <row r="19" spans="1:5">
      <c r="B19" s="18" t="s">
        <v>34</v>
      </c>
      <c r="C19" s="38" t="s">
        <v>35</v>
      </c>
    </row>
    <row r="20" spans="1:5">
      <c r="B20" s="1" t="s">
        <v>36</v>
      </c>
      <c r="C20" s="38" t="s">
        <v>37</v>
      </c>
    </row>
    <row r="21" spans="1:5">
      <c r="B21" s="1" t="s">
        <v>38</v>
      </c>
      <c r="C21" s="38" t="s">
        <v>39</v>
      </c>
    </row>
    <row r="22" spans="1:5">
      <c r="C22" s="38"/>
    </row>
    <row r="23" spans="1:5">
      <c r="B23" s="1" t="s">
        <v>40</v>
      </c>
      <c r="C23" s="38" t="s">
        <v>41</v>
      </c>
    </row>
    <row r="24" spans="1:5">
      <c r="B24" s="1" t="s">
        <v>42</v>
      </c>
      <c r="C24" s="38" t="s">
        <v>43</v>
      </c>
    </row>
    <row r="25" spans="1:5">
      <c r="C25" s="38"/>
    </row>
    <row r="26" spans="1:5">
      <c r="B26" s="1" t="s">
        <v>44</v>
      </c>
      <c r="C26" s="38" t="s">
        <v>45</v>
      </c>
    </row>
    <row r="27" spans="1:5">
      <c r="B27" s="1" t="s">
        <v>46</v>
      </c>
      <c r="C27" s="38" t="s">
        <v>47</v>
      </c>
    </row>
    <row r="28" spans="1:5">
      <c r="C28" s="38"/>
    </row>
    <row r="29" spans="1:5">
      <c r="B29" s="1" t="s">
        <v>48</v>
      </c>
      <c r="C29" s="38" t="s">
        <v>49</v>
      </c>
    </row>
    <row r="31" spans="1:5">
      <c r="B31" s="1" t="s">
        <v>50</v>
      </c>
      <c r="C31" s="38" t="s">
        <v>51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0" t="s">
        <v>104</v>
      </c>
    </row>
    <row r="2" spans="1:4">
      <c r="A2" s="5"/>
      <c r="B2" s="6" t="s">
        <v>105</v>
      </c>
    </row>
    <row r="3" spans="1:4">
      <c r="B3" s="73" t="s">
        <v>106</v>
      </c>
      <c r="C3" s="73"/>
      <c r="D3" s="73"/>
    </row>
    <row r="5" spans="1:4">
      <c r="B5" s="74" t="s">
        <v>108</v>
      </c>
      <c r="C5" s="65"/>
      <c r="D5" s="65"/>
    </row>
    <row r="6" spans="1:4">
      <c r="B6" s="74" t="s">
        <v>109</v>
      </c>
      <c r="C6" s="65"/>
      <c r="D6" s="65"/>
    </row>
    <row r="8" spans="1:4">
      <c r="B8" s="1" t="s">
        <v>107</v>
      </c>
    </row>
    <row r="10" spans="1:4">
      <c r="A10" s="5"/>
      <c r="B10" s="6" t="s">
        <v>110</v>
      </c>
    </row>
    <row r="11" spans="1:4">
      <c r="B11" s="73" t="s">
        <v>111</v>
      </c>
      <c r="C11" s="73"/>
      <c r="D11" s="73"/>
    </row>
    <row r="12" spans="1:4">
      <c r="B12" s="73" t="s">
        <v>112</v>
      </c>
      <c r="C12" s="73"/>
      <c r="D12" s="73"/>
    </row>
    <row r="14" spans="1:4">
      <c r="B14" s="23" t="s">
        <v>144</v>
      </c>
    </row>
    <row r="16" spans="1:4" ht="12.4">
      <c r="B16" s="30" t="s">
        <v>121</v>
      </c>
      <c r="C16" s="30" t="s">
        <v>122</v>
      </c>
    </row>
    <row r="17" spans="1:4">
      <c r="B17" s="26" t="s">
        <v>113</v>
      </c>
      <c r="C17" s="26" t="s">
        <v>117</v>
      </c>
    </row>
    <row r="18" spans="1:4">
      <c r="B18" s="26" t="s">
        <v>114</v>
      </c>
      <c r="C18" s="26" t="s">
        <v>118</v>
      </c>
    </row>
    <row r="19" spans="1:4">
      <c r="B19" s="26" t="s">
        <v>115</v>
      </c>
      <c r="C19" s="26" t="s">
        <v>119</v>
      </c>
    </row>
    <row r="20" spans="1:4">
      <c r="B20" s="26" t="s">
        <v>116</v>
      </c>
      <c r="C20" s="26" t="s">
        <v>120</v>
      </c>
    </row>
    <row r="21" spans="1:4">
      <c r="B21" s="26" t="s">
        <v>136</v>
      </c>
      <c r="C21" s="26" t="s">
        <v>137</v>
      </c>
    </row>
    <row r="22" spans="1:4">
      <c r="B22" s="26" t="s">
        <v>138</v>
      </c>
      <c r="C22" s="26" t="s">
        <v>139</v>
      </c>
    </row>
    <row r="23" spans="1:4">
      <c r="B23" s="26" t="s">
        <v>140</v>
      </c>
      <c r="C23" s="26" t="s">
        <v>141</v>
      </c>
    </row>
    <row r="24" spans="1:4">
      <c r="B24" s="26" t="s">
        <v>145</v>
      </c>
      <c r="C24" s="26" t="s">
        <v>146</v>
      </c>
    </row>
    <row r="25" spans="1:4">
      <c r="B25" s="26" t="s">
        <v>142</v>
      </c>
      <c r="C25" s="26" t="s">
        <v>143</v>
      </c>
    </row>
    <row r="27" spans="1:4">
      <c r="A27" s="5"/>
      <c r="B27" s="6" t="s">
        <v>123</v>
      </c>
    </row>
    <row r="28" spans="1:4">
      <c r="B28" s="73" t="s">
        <v>124</v>
      </c>
      <c r="C28" s="73"/>
      <c r="D28" s="73"/>
    </row>
    <row r="29" spans="1:4">
      <c r="B29" s="73" t="s">
        <v>125</v>
      </c>
      <c r="C29" s="73"/>
      <c r="D29" s="73"/>
    </row>
    <row r="31" spans="1:4">
      <c r="A31" s="5"/>
      <c r="B31" s="6" t="s">
        <v>126</v>
      </c>
    </row>
    <row r="32" spans="1:4">
      <c r="A32" s="28" t="s">
        <v>66</v>
      </c>
      <c r="B32" s="23" t="s">
        <v>127</v>
      </c>
    </row>
    <row r="33" spans="1:2">
      <c r="B33" s="1" t="s">
        <v>128</v>
      </c>
    </row>
    <row r="35" spans="1:2">
      <c r="A35" s="28" t="s">
        <v>130</v>
      </c>
      <c r="B35" s="23" t="s">
        <v>129</v>
      </c>
    </row>
    <row r="36" spans="1:2">
      <c r="B36" s="1" t="s">
        <v>131</v>
      </c>
    </row>
    <row r="38" spans="1:2">
      <c r="A38" s="5"/>
      <c r="B38" s="6" t="s">
        <v>132</v>
      </c>
    </row>
    <row r="39" spans="1:2">
      <c r="B39" s="24" t="s">
        <v>133</v>
      </c>
    </row>
    <row r="40" spans="1:2">
      <c r="B40" s="1" t="s">
        <v>134</v>
      </c>
    </row>
    <row r="41" spans="1:2">
      <c r="B41" s="1" t="s">
        <v>135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"/>
  <sheetViews>
    <sheetView workbookViewId="0"/>
  </sheetViews>
  <sheetFormatPr defaultRowHeight="13.9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Portfolio_Mgmt</vt:lpstr>
      <vt:lpstr>Opportunities</vt:lpstr>
      <vt:lpstr>Market_Yield</vt:lpstr>
      <vt:lpstr>Comp_Group</vt:lpstr>
      <vt:lpstr>Holdings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2025-04-03T09:00:23Z</cp:lastPrinted>
  <dcterms:created xsi:type="dcterms:W3CDTF">2022-12-06T06:37:33Z</dcterms:created>
  <dcterms:modified xsi:type="dcterms:W3CDTF">2025-04-03T09:09:14Z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