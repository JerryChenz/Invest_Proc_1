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5DD0FE4B-0288-42B9-81CE-A292DEFA2309}"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<sst xmlns="http://schemas.openxmlformats.org/spreadsheetml/2006/main" count="272" uniqueCount="252">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</sst>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7" t="s">
        <v>221</v>
      </c>
      <c r="C4" s="77"/>
      <c r="D4" s="77"/>
      <c r="E4" s="77"/>
    </row>
    <row r="6" spans="1:5">
      <c r="A6" s="20" t="s">
        <v>66</v>
      </c>
      <c r="B6" s="19" t="s">
        <v>204</v>
      </c>
      <c r="C6" s="62"/>
    </row>
    <row r="7" spans="1:5">
      <c r="B7" s="77" t="s">
        <v>209</v>
      </c>
      <c r="C7" s="77"/>
      <c r="D7" s="77"/>
      <c r="E7" s="77"/>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7" t="s">
        <v>220</v>
      </c>
      <c r="C24" s="77"/>
      <c r="D24" s="77"/>
      <c r="E24" s="77"/>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7" t="s">
        <v>156</v>
      </c>
      <c r="C39" s="77"/>
      <c r="D39" s="77"/>
      <c r="E39" s="77"/>
    </row>
    <row r="40" spans="1:5" ht="46.6" customHeight="1">
      <c r="B40" s="77" t="s">
        <v>237</v>
      </c>
      <c r="C40" s="77"/>
      <c r="D40" s="77"/>
      <c r="E40" s="77"/>
    </row>
    <row r="42" spans="1:5">
      <c r="A42" s="21" t="s">
        <v>187</v>
      </c>
      <c r="B42" s="21"/>
      <c r="C42" s="21"/>
      <c r="D42" s="21"/>
      <c r="E42" s="21"/>
    </row>
    <row r="44" spans="1:5">
      <c r="B44" s="77" t="s">
        <v>208</v>
      </c>
      <c r="C44" s="77"/>
      <c r="D44" s="77"/>
      <c r="E44" s="77"/>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7" t="s">
        <v>196</v>
      </c>
      <c r="C71" s="77"/>
      <c r="D71" s="77"/>
      <c r="E71" s="77"/>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8" t="s">
        <v>192</v>
      </c>
      <c r="C85" s="78"/>
      <c r="D85" s="78"/>
      <c r="E85" s="78"/>
    </row>
    <row r="86" spans="1:5">
      <c r="B86" s="76" t="s">
        <v>190</v>
      </c>
      <c r="C86" s="76"/>
      <c r="D86" s="76"/>
      <c r="E86" s="76"/>
    </row>
    <row r="87" spans="1:5" ht="24.4" customHeight="1">
      <c r="B87" s="77" t="s">
        <v>189</v>
      </c>
      <c r="C87" s="77"/>
      <c r="D87" s="77"/>
      <c r="E87" s="77"/>
    </row>
    <row r="88" spans="1:5" ht="24.4" customHeight="1">
      <c r="B88" s="77" t="s">
        <v>225</v>
      </c>
      <c r="C88" s="77"/>
      <c r="D88" s="77"/>
      <c r="E88" s="77"/>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9" t="s">
        <v>211</v>
      </c>
      <c r="C97" s="79"/>
      <c r="D97" s="79"/>
      <c r="E97" s="79"/>
    </row>
    <row r="99" spans="1:5">
      <c r="B99" s="24" t="s">
        <v>215</v>
      </c>
    </row>
    <row r="100" spans="1:5" ht="12.4">
      <c r="B100" s="79" t="s">
        <v>212</v>
      </c>
      <c r="C100" s="79"/>
      <c r="D100" s="79"/>
      <c r="E100" s="79"/>
    </row>
    <row r="101" spans="1:5" ht="58.5" customHeight="1">
      <c r="B101" s="77" t="s">
        <v>219</v>
      </c>
      <c r="C101" s="77"/>
      <c r="D101" s="77"/>
      <c r="E101" s="77"/>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0.13143938180596665</v>
      </c>
      <c r="D112" s="62" t="str">
        <f>IF(C112&lt;benchmark,"Warning: Return is lower than the Benchmark.","")</f>
        <v/>
      </c>
    </row>
    <row r="114" spans="1:5" ht="24.4" customHeight="1">
      <c r="B114" s="77" t="s">
        <v>217</v>
      </c>
      <c r="C114" s="77"/>
      <c r="D114" s="77"/>
      <c r="E114" s="77"/>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J3" sqref="J3:L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158</v>
      </c>
      <c r="C3" s="11" t="s">
        <v>159</v>
      </c>
      <c r="D3" s="2">
        <v>14.44</v>
      </c>
      <c r="E3" s="12" t="s">
        <v>160</v>
      </c>
      <c r="F3" s="15">
        <v>0.20871253483792285</v>
      </c>
      <c r="G3" s="15">
        <f>F3 - Portfolio_Mgmt!$C$10</f>
        <v>9.1312534837922843E-2</v>
      </c>
      <c r="H3" s="15">
        <f>F3 - Portfolio_Mgmt!$C$11</f>
        <v>0.17421253483792284</v>
      </c>
      <c r="I3" s="15">
        <v>0.25045504180550743</v>
      </c>
      <c r="J3" s="2">
        <v>13.155317996540354</v>
      </c>
      <c r="K3" s="2">
        <v>20.508980461992877</v>
      </c>
      <c r="L3" s="4">
        <v>0.11966662184000204</v>
      </c>
      <c r="M3" s="4">
        <v>9.418282548476456E-2</v>
      </c>
      <c r="N3" s="13" t="s">
        <v>161</v>
      </c>
      <c r="O3" s="11" t="s">
        <v>162</v>
      </c>
      <c r="P3" s="14">
        <v>45808</v>
      </c>
      <c r="Q3" s="11" t="s">
        <v>163</v>
      </c>
    </row>
    <row r="4" spans="1:17">
      <c r="B4" s="11" t="s">
        <v>238</v>
      </c>
      <c r="C4" s="11" t="s">
        <v>239</v>
      </c>
      <c r="D4" s="2">
        <v>5.39</v>
      </c>
      <c r="E4" s="12" t="s">
        <v>160</v>
      </c>
      <c r="F4" s="15">
        <v>0.20602353093461256</v>
      </c>
      <c r="G4" s="15">
        <f>F4 - Portfolio_Mgmt!$C$10</f>
        <v>8.862353093461256E-2</v>
      </c>
      <c r="H4" s="15">
        <f>F4 - Portfolio_Mgmt!$C$11</f>
        <v>0.17152353093461256</v>
      </c>
      <c r="I4" s="15">
        <v>0.24722823712153508</v>
      </c>
      <c r="J4" s="2">
        <v>4.8752893604858043</v>
      </c>
      <c r="K4" s="2">
        <v>7.8371551487836282</v>
      </c>
      <c r="L4" s="4">
        <v>0.14124706534453912</v>
      </c>
      <c r="M4" s="4">
        <v>8.1992488015582371E-2</v>
      </c>
      <c r="N4" s="13" t="s">
        <v>241</v>
      </c>
      <c r="O4" s="11" t="s">
        <v>240</v>
      </c>
      <c r="P4" s="14">
        <v>45900</v>
      </c>
      <c r="Q4" s="11" t="s">
        <v>163</v>
      </c>
    </row>
    <row r="5" spans="1:17">
      <c r="B5" s="11" t="s">
        <v>164</v>
      </c>
      <c r="C5" s="11" t="s">
        <v>165</v>
      </c>
      <c r="D5" s="2">
        <v>7.47</v>
      </c>
      <c r="E5" s="12" t="s">
        <v>160</v>
      </c>
      <c r="F5" s="15">
        <v>0.14104674835105913</v>
      </c>
      <c r="G5" s="15">
        <f>F5 - Portfolio_Mgmt!$C$10</f>
        <v>2.3646748351059121E-2</v>
      </c>
      <c r="H5" s="15">
        <f>F5 - Portfolio_Mgmt!$C$11</f>
        <v>0.10654674835105912</v>
      </c>
      <c r="I5" s="15">
        <v>0.10231672107295747</v>
      </c>
      <c r="J5" s="2">
        <v>5.7917118707600084</v>
      </c>
      <c r="K5" s="2">
        <v>9.1006872475781417</v>
      </c>
      <c r="L5" s="4">
        <v>4.1351857025738292E-2</v>
      </c>
      <c r="M5" s="4">
        <v>7.7643908969210168E-2</v>
      </c>
      <c r="N5" s="13" t="s">
        <v>166</v>
      </c>
      <c r="O5" s="11" t="s">
        <v>167</v>
      </c>
      <c r="P5" s="14">
        <v>45900</v>
      </c>
      <c r="Q5" s="11" t="s">
        <v>163</v>
      </c>
    </row>
    <row r="6" spans="1:17">
      <c r="B6" s="11" t="s">
        <v>168</v>
      </c>
      <c r="C6" s="11" t="s">
        <v>169</v>
      </c>
      <c r="D6" s="2">
        <v>2.12</v>
      </c>
      <c r="E6" s="12" t="s">
        <v>160</v>
      </c>
      <c r="F6" s="15">
        <v>0.13066415339637483</v>
      </c>
      <c r="G6" s="15">
        <f>F6 - Portfolio_Mgmt!$C$10</f>
        <v>1.3264153396374823E-2</v>
      </c>
      <c r="H6" s="15">
        <f>F6 - Portfolio_Mgmt!$C$11</f>
        <v>9.6164153396374824E-2</v>
      </c>
      <c r="I6" s="15">
        <v>0</v>
      </c>
      <c r="J6" s="2">
        <v>1.5928004364498562</v>
      </c>
      <c r="K6" s="2">
        <v>2.6705641652753029</v>
      </c>
      <c r="L6" s="4">
        <v>3.8391219865680747E-2</v>
      </c>
      <c r="M6" s="4">
        <v>5.448489788627562E-2</v>
      </c>
      <c r="N6" s="13" t="s">
        <v>170</v>
      </c>
      <c r="O6" s="11" t="s">
        <v>171</v>
      </c>
      <c r="P6" s="14">
        <v>45900</v>
      </c>
      <c r="Q6" s="11" t="s">
        <v>163</v>
      </c>
    </row>
    <row r="7" spans="1:17">
      <c r="B7" s="11" t="s">
        <v>247</v>
      </c>
      <c r="C7" s="11" t="s">
        <v>248</v>
      </c>
      <c r="D7" s="2">
        <v>14.58</v>
      </c>
      <c r="E7" s="12" t="s">
        <v>160</v>
      </c>
      <c r="F7" s="15">
        <v>0.1010567723303204</v>
      </c>
      <c r="G7" s="15">
        <f>F7 - Portfolio_Mgmt!$C$10</f>
        <v>-1.6343227669679605E-2</v>
      </c>
      <c r="H7" s="15">
        <f>F7 - Portfolio_Mgmt!$C$11</f>
        <v>6.6556772330320396E-2</v>
      </c>
      <c r="I7" s="15">
        <v>0</v>
      </c>
      <c r="J7" s="2">
        <v>10.177519059641918</v>
      </c>
      <c r="K7" s="2">
        <v>16.70033318211312</v>
      </c>
      <c r="L7" s="4">
        <v>0.10531435381835931</v>
      </c>
      <c r="M7" s="4">
        <v>5.7165823045267489E-2</v>
      </c>
      <c r="N7" s="13" t="s">
        <v>249</v>
      </c>
      <c r="O7" s="11" t="s">
        <v>251</v>
      </c>
      <c r="P7" s="14">
        <v>45900</v>
      </c>
      <c r="Q7" s="11" t="s">
        <v>250</v>
      </c>
    </row>
    <row r="8" spans="1:17">
      <c r="B8" s="11" t="s">
        <v>242</v>
      </c>
      <c r="C8" s="11" t="s">
        <v>243</v>
      </c>
      <c r="D8" s="2">
        <v>59.8</v>
      </c>
      <c r="E8" s="12" t="s">
        <v>160</v>
      </c>
      <c r="F8" s="15">
        <v>-5.7617735553175065E-2</v>
      </c>
      <c r="G8" s="15">
        <f>F8 - Portfolio_Mgmt!$C$10</f>
        <v>-0.17501773555317507</v>
      </c>
      <c r="H8" s="15">
        <f>F8 - Portfolio_Mgmt!$C$11</f>
        <v>-9.2117735553175067E-2</v>
      </c>
      <c r="I8" s="15">
        <v>0</v>
      </c>
      <c r="J8" s="2">
        <v>26.67162630902984</v>
      </c>
      <c r="K8" s="2">
        <v>44.151846267899231</v>
      </c>
      <c r="L8" s="4">
        <v>3.72713252126061E-2</v>
      </c>
      <c r="M8" s="4">
        <v>3.4831619570918029E-2</v>
      </c>
      <c r="N8" s="13" t="s">
        <v>244</v>
      </c>
      <c r="O8" s="11" t="s">
        <v>162</v>
      </c>
      <c r="P8" s="14">
        <v>45900</v>
      </c>
      <c r="Q8" s="11" t="s">
        <v>250</v>
      </c>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9"/>
      <c r="D5" s="79"/>
    </row>
    <row r="6" spans="1:4">
      <c r="B6" s="86" t="s">
        <v>107</v>
      </c>
      <c r="C6" s="79"/>
      <c r="D6" s="79"/>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2025-04-10T02:10:42Z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