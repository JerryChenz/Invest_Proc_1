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805522B0-4733-4881-895B-788297E357C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</sheets>
  <definedNames>
    <definedName name="_xlnm._FilterDatabase" localSheetId="1" hidden="1">Opportunities!$B$2:$Q$2</definedName>
    <definedName name="benchmark">Portfolio_Mgmt!$C$10</definedName>
    <definedName name="Cash_Yield">Portfolio_Mgmt!$C$11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88" i="5"/>
  <c r="C87" i="5"/>
  <c r="B76" i="5"/>
  <c r="C31" i="5" l="1"/>
  <c r="E59" i="5" l="1"/>
  <c r="E60" i="5" s="1"/>
  <c r="C63" i="5" s="1"/>
  <c r="C64" i="5" s="1"/>
  <c r="C35" i="5"/>
  <c r="C16" i="2" l="1"/>
  <c r="C10" i="5" s="1"/>
  <c r="C11" i="5"/>
  <c r="E6" i="2"/>
  <c r="E5" i="2"/>
  <c r="E4" i="2"/>
</calcChain>
</file>

<file path=xl/sharedStrings.xml><?xml version="1.0" encoding="utf-8"?>
<sst xmlns="http://schemas.openxmlformats.org/spreadsheetml/2006/main" count="227" uniqueCount="218">
  <si>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</si>
  <si>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</si>
  <si>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</si>
  <si>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</si>
  <si>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</si>
  <si>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</si>
  <si>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</si>
  <si>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</si>
  <si>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</si>
  <si>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</si>
  <si>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</si>
  <si>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</si>
  <si>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</si>
  <si>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</si>
  <si>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</si>
  <si>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</si>
  <si>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</si>
  <si>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</si>
  <si>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</si>
  <si>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</si>
  <si>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</si>
  <si>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</si>
  <si>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</si>
  <si>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</si>
  <si>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</si>
  <si>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</si>
  <si>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</si>
  <si>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</si>
  <si>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</si>
  <si>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</si>
  <si>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</si>
  <si>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</si>
  <si>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</si>
  <si>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</si>
  <si>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</si>
  <si>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</si>
  <si>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</si>
  <si>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</si>
  <si>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</si>
  <si>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</si>
  <si>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</si>
  <si>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</si>
  <si>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</si>
  <si>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</si>
  <si>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</si>
  <si>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</si>
  <si>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</si>
  <si>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</si>
  <si>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</si>
  <si>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</si>
  <si>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</si>
  <si>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</si>
  <si>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</si>
  <si>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</si>
  <si>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</si>
  <si>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</si>
  <si>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Portfolio Management</t>
    <phoneticPr fontId="2" type="noConversion"/>
  </si>
  <si>
    <t>assuming a Lock-up period of</t>
    <phoneticPr fontId="2" type="noConversion"/>
  </si>
  <si>
    <t>Historical Avg Return</t>
    <phoneticPr fontId="2" type="noConversion"/>
  </si>
  <si>
    <t>Timing Risk Management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</si>
  <si>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</si>
  <si>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</si>
  <si>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</si>
  <si>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</si>
  <si>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</si>
  <si>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</si>
  <si>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</si>
  <si>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</si>
  <si>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</si>
  <si>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>Concentration vs. Diversification Management</t>
    <phoneticPr fontId="2" type="noConversion"/>
  </si>
  <si>
    <t xml:space="preserve">ii. </t>
    <phoneticPr fontId="2" type="noConversion"/>
  </si>
  <si>
    <t xml:space="preserve">iii. </t>
    <phoneticPr fontId="2" type="noConversion"/>
  </si>
  <si>
    <t>Step 1: Determine Risk Appetite &amp; Cash Position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</si>
  <si>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</si>
  <si>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</si>
  <si>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</si>
  <si>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</si>
  <si>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</si>
  <si>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</si>
  <si>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</si>
  <si>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</si>
  <si>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</si>
  <si>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</si>
  <si>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</si>
  <si>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</si>
  <si>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</si>
  <si>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</si>
  <si>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</si>
  <si>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</si>
  <si>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</si>
  <si>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r>
      <t xml:space="preserve">- Cash reserves are determined by a </t>
    </r>
    <r>
      <rPr>
        <b/>
        <sz val="9"/>
        <color theme="1"/>
        <rFont val="Arial"/>
        <family val="2"/>
      </rPr>
      <t>Risk Appetite Score</t>
    </r>
    <r>
      <rPr>
        <sz val="9"/>
        <color theme="1"/>
        <rFont val="Arial"/>
        <family val="2"/>
      </rPr>
      <t xml:space="preserve"> (see Step 1).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</si>
  <si>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</si>
  <si>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</si>
  <si>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</si>
  <si>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</si>
  <si>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</si>
  <si>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</si>
  <si>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</si>
  <si>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</si>
  <si>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</si>
  <si>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>Cash Allocation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</si>
  <si>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</si>
  <si>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</si>
  <si>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</si>
  <si>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</si>
  <si>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</si>
  <si>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</si>
  <si>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</si>
  <si>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</si>
  <si>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</si>
  <si>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</si>
  <si>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</si>
  <si>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</si>
  <si>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</si>
  <si>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</si>
  <si>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</si>
  <si>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</si>
  <si>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</si>
  <si>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</si>
  <si>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</si>
  <si>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</si>
  <si>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</si>
  <si>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</si>
  <si>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</si>
  <si>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</si>
  <si>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</si>
  <si>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</si>
  <si>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</si>
  <si>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</si>
  <si>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</si>
  <si>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</si>
  <si>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</si>
  <si>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</si>
  <si>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</si>
  <si>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</si>
  <si>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</si>
  <si>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</si>
  <si>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</si>
  <si>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</si>
  <si>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</si>
  <si>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</si>
  <si>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</si>
  <si>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</si>
  <si>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</si>
  <si>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</si>
  <si>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</si>
  <si>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</si>
  <si>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</si>
  <si>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</si>
  <si>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</si>
  <si>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</si>
  <si>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</si>
  <si>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</si>
  <si>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</si>
  <si>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</si>
  <si>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Rank Investment Opportunities given Criteria:</t>
    <phoneticPr fontId="2" type="noConversion"/>
  </si>
  <si>
    <t>Investment vs. Holding Cash Analysis</t>
    <phoneticPr fontId="2" type="noConversion"/>
  </si>
  <si>
    <t>Initial Cash Allocation</t>
    <phoneticPr fontId="2" type="noConversion"/>
  </si>
  <si>
    <r>
      <t xml:space="preserve">Note: </t>
    </r>
    <r>
      <rPr>
        <i/>
        <sz val="9"/>
        <color theme="1"/>
        <rFont val="Arial"/>
        <family val="2"/>
      </rPr>
      <t>Cost of Holding Cash (%) = Initial Cash Allocation (%) × Target Annual Return</t>
    </r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</si>
  <si>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</si>
  <si>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</si>
  <si>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</si>
  <si>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Return given Initial Cash Allocation</t>
    <phoneticPr fontId="17" type="noConversion"/>
  </si>
  <si>
    <t>Cost of Holding Cash if target is met</t>
    <phoneticPr fontId="2" type="noConversion"/>
  </si>
  <si>
    <t>If the portfolio’s projected annual return falls short of the 20% target, increase cash allocation proportionally to the shortfall using the following formula:</t>
    <phoneticPr fontId="17" type="noConversion"/>
  </si>
  <si>
    <r>
      <t>Dynamic Cash Adjustment</t>
    </r>
    <r>
      <rPr>
        <b/>
        <sz val="9"/>
        <color theme="1"/>
        <rFont val="DengXian"/>
        <family val="2"/>
        <charset val="134"/>
      </rPr>
      <t>：</t>
    </r>
    <phoneticPr fontId="2" type="noConversion"/>
  </si>
  <si>
    <t>Adjusted Cash Allocation (%) = Initial Cash Allocation + Δcash</t>
    <phoneticPr fontId="17" type="noConversion"/>
  </si>
  <si>
    <t>Note</t>
    <phoneticPr fontId="17" type="noConversion"/>
  </si>
  <si>
    <t>Maximum allowable cash allocation</t>
    <phoneticPr fontId="17" type="noConversion"/>
  </si>
  <si>
    <t>/</t>
    <phoneticPr fontId="17" type="noConversion"/>
  </si>
  <si>
    <t>Δcash = MIN(Sensitivity Factor*(Target Annual Return - Projected Portfolio Return)/Target Annual Return, Maximum allowable cash allocation - Initial Cash Allocation)</t>
    <phoneticPr fontId="17" type="noConversion"/>
  </si>
  <si>
    <t>Where:</t>
    <phoneticPr fontId="17" type="noConversion"/>
  </si>
  <si>
    <t>Key Variable:</t>
    <phoneticPr fontId="17" type="noConversion"/>
  </si>
  <si>
    <t>Sensitivity Factor</t>
    <phoneticPr fontId="17" type="noConversion"/>
  </si>
  <si>
    <t>Note:</t>
    <phoneticPr fontId="17" type="noConversion"/>
  </si>
  <si>
    <t>- Compute Initial Weights: P_i = (A_i / Sum of A_j for all selected investments) * (100% - Adjusted Cash Allocation)</t>
    <phoneticPr fontId="2" type="noConversion"/>
  </si>
  <si>
    <t>Distribute Weights: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</si>
  <si>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Deploy capital when investment opportunities' Market Annual Return (R_i) exceed the benchmark return, while holding sufficient cash reserves to hedge against market uncertainty.</t>
    </r>
    <phoneticPr fontId="2" type="noConversion"/>
  </si>
  <si>
    <t>= R_i - Benchmark Return</t>
    <phoneticPr fontId="2" type="noConversion"/>
  </si>
  <si>
    <t>= R_i - Cash Yield</t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</si>
  <si>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optimizes portfolio returns while managing risk through a dual focus on</t>
    </r>
    <r>
      <rPr>
        <b/>
        <i/>
        <sz val="9"/>
        <color theme="1"/>
        <rFont val="Arial"/>
        <family val="2"/>
      </rPr>
      <t xml:space="preserve"> Timing Risk and Concentration Risk &amp; Diversification</t>
    </r>
    <r>
      <rPr>
        <i/>
        <sz val="9"/>
        <color theme="1"/>
        <rFont val="Arial"/>
        <family val="2"/>
      </rPr>
      <t>. Capital is strategically deployed during favorable market conditions, while diversification and cash reserves mitigate downside risks.</t>
    </r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</si>
  <si>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</si>
  <si>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</si>
  <si>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focused high-return investments with diversification to reduce risk, guided by allocation caps and growth themes.</t>
    </r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</si>
  <si>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</si>
  <si>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</si>
  <si>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</si>
  <si>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Automate allocation to eliminate bias and enforce rules.</t>
    </r>
    <phoneticPr fontId="2" type="noConversion"/>
  </si>
  <si>
    <t>- Calculate Attractiveness Score: A_i = ERB_i/Benchmark Return</t>
    <phoneticPr fontId="2" type="noConversion"/>
  </si>
  <si>
    <t>- Calculate Projected Return:  SUM(A_i / SUM(A_j for all selected investments) * R_i) * (100% - Initial Cash Allocation)</t>
    <phoneticPr fontId="17" type="noConversion"/>
  </si>
  <si>
    <r>
      <rPr>
        <b/>
        <i/>
        <sz val="9"/>
        <color theme="1"/>
        <rFont val="Arial"/>
        <family val="2"/>
      </rPr>
      <t>Sensitivity Factor:</t>
    </r>
    <r>
      <rPr>
        <i/>
        <sz val="9"/>
        <color theme="1"/>
        <rFont val="Arial"/>
        <family val="2"/>
      </rPr>
      <t xml:space="preserve"> higher values increase cash more aggressively.</t>
    </r>
    <phoneticPr fontId="17" type="noConversion"/>
  </si>
  <si>
    <r>
      <rPr>
        <b/>
        <i/>
        <sz val="9"/>
        <color theme="1"/>
        <rFont val="Arial"/>
        <family val="2"/>
      </rPr>
      <t xml:space="preserve">Maximum allowable cash allocation: </t>
    </r>
    <r>
      <rPr>
        <i/>
        <sz val="9"/>
        <color theme="1"/>
        <rFont val="Arial"/>
        <family val="2"/>
      </rPr>
      <t>prevents over-conservatism.</t>
    </r>
    <phoneticPr fontId="17" type="noConversion"/>
  </si>
  <si>
    <t>- Enforce Single Investment Cap: Redistribute excess weight to other investments or cash</t>
    <phoneticPr fontId="17" type="noConversion"/>
  </si>
  <si>
    <t>- Enforce Growth Classification Cap: Redistribute excess weight to the other class or cash</t>
    <phoneticPr fontId="17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</si>
  <si>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</si>
  <si>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</si>
  <si>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</si>
  <si>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Adjusted Cash Allocation</t>
    <phoneticPr fontId="17" type="noConversion"/>
  </si>
  <si>
    <t>Allocation Weight</t>
    <phoneticPr fontId="2" type="noConversion"/>
  </si>
  <si>
    <t>Adjusted Portfolio Return</t>
    <phoneticPr fontId="17" type="noConversion"/>
  </si>
  <si>
    <t>Max Cash</t>
    <phoneticPr fontId="17" type="noConversion"/>
  </si>
  <si>
    <t>Min Cash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</si>
  <si>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 Automatically adjust the sensitivity factor based on the Risk Appetite Score category. High</t>
    </r>
    <phoneticPr fontId="2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</si>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</sst>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[$-13C09]d\ mmm\ yyyy;@"/>
    <numFmt numFmtId="178" formatCode="0&quot; yrs&quot;"/>
    <numFmt numFmtId="179" formatCode="#,##0.0_);\(#,##0.0\)"/>
  </numFmts>
  <fonts count="24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b/>
      <sz val="9"/>
      <color theme="1"/>
      <name val="DengXian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9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wrapText="1"/>
    </xf>
    <xf numFmtId="0" fontId="12" fillId="0" borderId="0" xfId="0" applyFont="1"/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9" fontId="11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9" fontId="3" fillId="0" borderId="0" xfId="0" applyNumberFormat="1" applyFont="1"/>
    <xf numFmtId="0" fontId="10" fillId="7" borderId="0" xfId="0" applyFont="1" applyFill="1" applyAlignment="1">
      <alignment horizontal="center"/>
    </xf>
    <xf numFmtId="179" fontId="11" fillId="0" borderId="4" xfId="0" applyNumberFormat="1" applyFont="1" applyBorder="1" applyAlignment="1">
      <alignment horizontal="center"/>
    </xf>
    <xf numFmtId="179" fontId="9" fillId="0" borderId="0" xfId="0" applyNumberFormat="1" applyFont="1"/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0" fontId="9" fillId="0" borderId="0" xfId="0" applyNumberFormat="1" applyFont="1" applyAlignment="1">
      <alignment horizontal="righ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8"/>
  <sheetViews>
    <sheetView showGridLines="0" tabSelected="1" workbookViewId="0">
      <selection activeCell="D112" sqref="D112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1" t="s">
        <v>56</v>
      </c>
    </row>
    <row r="2" spans="1:5">
      <c r="A2" s="22" t="s">
        <v>55</v>
      </c>
      <c r="B2" s="22"/>
      <c r="C2" s="22"/>
      <c r="D2" s="22"/>
      <c r="E2" s="22"/>
    </row>
    <row r="4" spans="1:5" ht="36.6" customHeight="1">
      <c r="B4" s="66" t="s">
        <v>180</v>
      </c>
      <c r="C4" s="66"/>
      <c r="D4" s="66"/>
      <c r="E4" s="66"/>
    </row>
    <row r="6" spans="1:5">
      <c r="A6" s="21" t="s">
        <v>68</v>
      </c>
      <c r="B6" s="19" t="s">
        <v>59</v>
      </c>
      <c r="C6" s="20"/>
    </row>
    <row r="7" spans="1:5" ht="24.4" customHeight="1">
      <c r="B7" s="66" t="s">
        <v>177</v>
      </c>
      <c r="C7" s="66"/>
      <c r="D7" s="66"/>
      <c r="E7" s="66"/>
    </row>
    <row r="9" spans="1:5">
      <c r="B9" s="24" t="s">
        <v>60</v>
      </c>
    </row>
    <row r="10" spans="1:5">
      <c r="B10" s="1" t="s">
        <v>66</v>
      </c>
      <c r="C10" s="50">
        <f>Market_Yield!C16</f>
        <v>0.1174</v>
      </c>
    </row>
    <row r="11" spans="1:5">
      <c r="B11" s="1" t="s">
        <v>54</v>
      </c>
      <c r="C11" s="50">
        <f>Market_Yield!C6</f>
        <v>3.4500000000000003E-2</v>
      </c>
    </row>
    <row r="12" spans="1:5">
      <c r="C12" s="4"/>
    </row>
    <row r="13" spans="1:5">
      <c r="B13" s="24" t="s">
        <v>61</v>
      </c>
      <c r="C13" s="4"/>
    </row>
    <row r="14" spans="1:5">
      <c r="B14" s="1" t="s">
        <v>181</v>
      </c>
      <c r="C14" s="25" t="s">
        <v>178</v>
      </c>
    </row>
    <row r="15" spans="1:5">
      <c r="B15" s="1" t="s">
        <v>182</v>
      </c>
      <c r="C15" s="25" t="s">
        <v>179</v>
      </c>
    </row>
    <row r="17" spans="1:5">
      <c r="B17" s="24" t="s">
        <v>62</v>
      </c>
    </row>
    <row r="18" spans="1:5">
      <c r="B18" s="25" t="s">
        <v>108</v>
      </c>
    </row>
    <row r="19" spans="1:5">
      <c r="B19" s="25" t="s">
        <v>89</v>
      </c>
    </row>
    <row r="20" spans="1:5">
      <c r="B20" s="25" t="s">
        <v>90</v>
      </c>
    </row>
    <row r="22" spans="1:5">
      <c r="A22" s="26" t="s">
        <v>70</v>
      </c>
      <c r="B22" s="19" t="s">
        <v>69</v>
      </c>
      <c r="C22" s="20"/>
    </row>
    <row r="23" spans="1:5" ht="24.4" customHeight="1">
      <c r="A23" s="18"/>
      <c r="B23" s="66" t="s">
        <v>183</v>
      </c>
      <c r="C23" s="66"/>
      <c r="D23" s="66"/>
      <c r="E23" s="66"/>
    </row>
    <row r="24" spans="1:5">
      <c r="A24" s="18"/>
    </row>
    <row r="25" spans="1:5">
      <c r="A25" s="18"/>
      <c r="B25" s="56" t="s">
        <v>184</v>
      </c>
      <c r="C25" s="56" t="s">
        <v>160</v>
      </c>
    </row>
    <row r="26" spans="1:5">
      <c r="B26" s="27" t="s">
        <v>91</v>
      </c>
      <c r="C26" s="61">
        <v>10</v>
      </c>
    </row>
    <row r="27" spans="1:5">
      <c r="B27" s="27" t="s">
        <v>65</v>
      </c>
      <c r="C27" s="62">
        <v>0.3</v>
      </c>
    </row>
    <row r="29" spans="1:5">
      <c r="B29" s="56" t="s">
        <v>185</v>
      </c>
      <c r="C29" s="56" t="s">
        <v>160</v>
      </c>
    </row>
    <row r="30" spans="1:5">
      <c r="B30" s="27" t="s">
        <v>161</v>
      </c>
      <c r="C30" s="54">
        <v>0.8</v>
      </c>
    </row>
    <row r="31" spans="1:5">
      <c r="B31" s="27" t="s">
        <v>159</v>
      </c>
      <c r="C31" s="55">
        <f>1-C30</f>
        <v>0.19999999999999996</v>
      </c>
    </row>
    <row r="33" spans="1:5">
      <c r="A33" s="21" t="s">
        <v>71</v>
      </c>
      <c r="B33" s="19" t="s">
        <v>15</v>
      </c>
      <c r="C33" s="20"/>
      <c r="D33" s="23"/>
    </row>
    <row r="34" spans="1:5">
      <c r="B34" s="1" t="s">
        <v>16</v>
      </c>
      <c r="C34" s="51">
        <v>0.2</v>
      </c>
      <c r="D34" s="18" t="s">
        <v>57</v>
      </c>
      <c r="E34" s="53">
        <v>3</v>
      </c>
    </row>
    <row r="35" spans="1:5">
      <c r="B35" s="1" t="s">
        <v>17</v>
      </c>
      <c r="C35" s="52">
        <f>MAX(8%,Market_Yield!C4:D6)</f>
        <v>0.08</v>
      </c>
    </row>
    <row r="37" spans="1:5">
      <c r="B37" s="21" t="s">
        <v>92</v>
      </c>
    </row>
    <row r="38" spans="1:5">
      <c r="B38" s="66" t="s">
        <v>186</v>
      </c>
      <c r="C38" s="66"/>
      <c r="D38" s="66"/>
      <c r="E38" s="66"/>
    </row>
    <row r="39" spans="1:5" ht="24.4" customHeight="1">
      <c r="B39" s="66" t="s">
        <v>93</v>
      </c>
      <c r="C39" s="66"/>
      <c r="D39" s="66"/>
      <c r="E39" s="66"/>
    </row>
    <row r="41" spans="1:5">
      <c r="A41" s="22" t="s">
        <v>72</v>
      </c>
      <c r="B41" s="22"/>
      <c r="C41" s="22"/>
      <c r="D41" s="22"/>
      <c r="E41" s="22"/>
    </row>
    <row r="43" spans="1:5" ht="24.4" customHeight="1">
      <c r="B43" s="66" t="s">
        <v>202</v>
      </c>
      <c r="C43" s="66"/>
      <c r="D43" s="66"/>
      <c r="E43" s="66"/>
    </row>
    <row r="45" spans="1:5">
      <c r="B45" s="24" t="s">
        <v>98</v>
      </c>
    </row>
    <row r="47" spans="1:5">
      <c r="B47" s="56" t="s">
        <v>99</v>
      </c>
      <c r="C47" s="56" t="s">
        <v>100</v>
      </c>
      <c r="D47" s="58" t="s">
        <v>173</v>
      </c>
      <c r="E47" s="58" t="s">
        <v>167</v>
      </c>
    </row>
    <row r="48" spans="1:5">
      <c r="B48" s="27" t="s">
        <v>95</v>
      </c>
      <c r="C48" s="32">
        <v>0.5</v>
      </c>
      <c r="D48" s="59">
        <v>1</v>
      </c>
      <c r="E48" s="36" t="s">
        <v>200</v>
      </c>
    </row>
    <row r="49" spans="2:5">
      <c r="B49" s="27" t="s">
        <v>96</v>
      </c>
      <c r="C49" s="32">
        <v>0.3</v>
      </c>
      <c r="D49" s="59">
        <v>1.5</v>
      </c>
      <c r="E49" s="36" t="s">
        <v>169</v>
      </c>
    </row>
    <row r="50" spans="2:5">
      <c r="B50" s="27" t="s">
        <v>97</v>
      </c>
      <c r="C50" s="32">
        <v>0.2</v>
      </c>
      <c r="D50" s="59">
        <v>2</v>
      </c>
      <c r="E50" s="36" t="s">
        <v>201</v>
      </c>
    </row>
    <row r="52" spans="2:5">
      <c r="B52" s="24" t="s">
        <v>94</v>
      </c>
    </row>
    <row r="54" spans="2:5">
      <c r="B54" s="56" t="s">
        <v>101</v>
      </c>
      <c r="C54" s="56" t="s">
        <v>102</v>
      </c>
      <c r="D54" s="56" t="s">
        <v>103</v>
      </c>
      <c r="E54" s="56" t="s">
        <v>104</v>
      </c>
    </row>
    <row r="55" spans="2:5">
      <c r="B55" s="27" t="s">
        <v>73</v>
      </c>
      <c r="C55" s="27" t="s">
        <v>80</v>
      </c>
      <c r="D55" s="27" t="s">
        <v>81</v>
      </c>
      <c r="E55" s="44">
        <v>1</v>
      </c>
    </row>
    <row r="56" spans="2:5">
      <c r="B56" s="27" t="s">
        <v>74</v>
      </c>
      <c r="C56" s="27" t="s">
        <v>77</v>
      </c>
      <c r="D56" s="27" t="s">
        <v>82</v>
      </c>
      <c r="E56" s="44">
        <v>2</v>
      </c>
    </row>
    <row r="57" spans="2:5">
      <c r="B57" s="27" t="s">
        <v>75</v>
      </c>
      <c r="C57" s="27" t="s">
        <v>78</v>
      </c>
      <c r="D57" s="27" t="s">
        <v>83</v>
      </c>
      <c r="E57" s="44">
        <v>1</v>
      </c>
    </row>
    <row r="58" spans="2:5">
      <c r="B58" s="27" t="s">
        <v>76</v>
      </c>
      <c r="C58" s="27" t="s">
        <v>79</v>
      </c>
      <c r="D58" s="27" t="s">
        <v>84</v>
      </c>
      <c r="E58" s="44">
        <v>1</v>
      </c>
    </row>
    <row r="59" spans="2:5">
      <c r="D59" s="28" t="s">
        <v>85</v>
      </c>
      <c r="E59" s="43">
        <f>SUM(E55:E58)</f>
        <v>5</v>
      </c>
    </row>
    <row r="60" spans="2:5" ht="12" thickBot="1">
      <c r="D60" s="45" t="s">
        <v>157</v>
      </c>
      <c r="E60" s="46">
        <f>IF(E59&lt;=2,C48,IF(E59&gt;=6,C50,C49))</f>
        <v>0.3</v>
      </c>
    </row>
    <row r="61" spans="2:5" ht="12" thickTop="1"/>
    <row r="62" spans="2:5">
      <c r="B62" s="24" t="s">
        <v>156</v>
      </c>
    </row>
    <row r="63" spans="2:5">
      <c r="B63" s="63" t="s">
        <v>163</v>
      </c>
      <c r="C63" s="74">
        <f>-E60*C34</f>
        <v>-0.06</v>
      </c>
    </row>
    <row r="64" spans="2:5">
      <c r="B64" s="63" t="s">
        <v>162</v>
      </c>
      <c r="C64" s="74">
        <f>C34+C63</f>
        <v>0.14000000000000001</v>
      </c>
    </row>
    <row r="65" spans="1:5">
      <c r="B65" s="48"/>
      <c r="C65" s="49"/>
    </row>
    <row r="66" spans="1:5">
      <c r="B66" s="42" t="s">
        <v>158</v>
      </c>
    </row>
    <row r="68" spans="1:5">
      <c r="A68" s="22" t="s">
        <v>86</v>
      </c>
      <c r="B68" s="22"/>
      <c r="C68" s="22"/>
      <c r="D68" s="22"/>
      <c r="E68" s="22"/>
    </row>
    <row r="70" spans="1:5">
      <c r="B70" s="66" t="s">
        <v>187</v>
      </c>
      <c r="C70" s="66"/>
      <c r="D70" s="66"/>
      <c r="E70" s="66"/>
    </row>
    <row r="72" spans="1:5">
      <c r="A72" s="31" t="s">
        <v>68</v>
      </c>
      <c r="B72" s="21" t="s">
        <v>155</v>
      </c>
    </row>
    <row r="73" spans="1:5">
      <c r="B73" s="25" t="s">
        <v>195</v>
      </c>
    </row>
    <row r="74" spans="1:5">
      <c r="B74" s="25" t="s">
        <v>194</v>
      </c>
    </row>
    <row r="75" spans="1:5">
      <c r="B75" s="25" t="s">
        <v>188</v>
      </c>
    </row>
    <row r="76" spans="1:5">
      <c r="B76" s="25" t="str">
        <f>"- Choose top "&amp;C26&amp;" (or fewer) investments: respecting the maximum holdings limit and selected Flag"</f>
        <v>- Choose top 10 (or fewer) investments: respecting the maximum holdings limit and selected Flag</v>
      </c>
    </row>
    <row r="77" spans="1:5">
      <c r="B77" s="25" t="s">
        <v>189</v>
      </c>
    </row>
    <row r="79" spans="1:5">
      <c r="A79" s="31" t="s">
        <v>136</v>
      </c>
      <c r="B79" s="29" t="s">
        <v>165</v>
      </c>
    </row>
    <row r="80" spans="1:5" ht="24.4" customHeight="1">
      <c r="B80" s="66" t="s">
        <v>164</v>
      </c>
      <c r="C80" s="66"/>
      <c r="D80" s="66"/>
      <c r="E80" s="66"/>
    </row>
    <row r="81" spans="1:5">
      <c r="B81" s="1" t="s">
        <v>166</v>
      </c>
    </row>
    <row r="83" spans="1:5">
      <c r="B83" s="24" t="s">
        <v>171</v>
      </c>
    </row>
    <row r="84" spans="1:5" ht="24.4" customHeight="1">
      <c r="B84" s="64" t="s">
        <v>170</v>
      </c>
      <c r="C84" s="64"/>
      <c r="D84" s="64"/>
      <c r="E84" s="64"/>
    </row>
    <row r="86" spans="1:5">
      <c r="B86" s="24" t="s">
        <v>172</v>
      </c>
    </row>
    <row r="87" spans="1:5">
      <c r="B87" s="1" t="s">
        <v>173</v>
      </c>
      <c r="C87" s="60">
        <f>IF(E59&lt;=2,D48,IF(E59&gt;=6,D50,D49))</f>
        <v>1.5</v>
      </c>
    </row>
    <row r="88" spans="1:5">
      <c r="B88" s="1" t="s">
        <v>168</v>
      </c>
      <c r="C88" s="57">
        <f>MIN(80%,C48*1.5)</f>
        <v>0.75</v>
      </c>
    </row>
    <row r="90" spans="1:5">
      <c r="B90" s="42" t="s">
        <v>174</v>
      </c>
    </row>
    <row r="91" spans="1:5">
      <c r="B91" s="30" t="s">
        <v>190</v>
      </c>
    </row>
    <row r="92" spans="1:5">
      <c r="B92" s="30" t="s">
        <v>191</v>
      </c>
    </row>
    <row r="94" spans="1:5">
      <c r="A94" s="31" t="s">
        <v>154</v>
      </c>
      <c r="B94" s="21" t="s">
        <v>176</v>
      </c>
    </row>
    <row r="95" spans="1:5">
      <c r="B95" s="67" t="s">
        <v>175</v>
      </c>
      <c r="C95" s="67"/>
      <c r="D95" s="67"/>
      <c r="E95" s="67"/>
    </row>
    <row r="96" spans="1:5">
      <c r="B96" s="65" t="s">
        <v>192</v>
      </c>
      <c r="C96" s="65"/>
      <c r="D96" s="65"/>
      <c r="E96" s="65"/>
    </row>
    <row r="97" spans="1:5">
      <c r="B97" s="65" t="s">
        <v>193</v>
      </c>
      <c r="C97" s="65"/>
      <c r="D97" s="65"/>
      <c r="E97" s="65"/>
    </row>
    <row r="99" spans="1:5">
      <c r="B99" s="24" t="s">
        <v>196</v>
      </c>
    </row>
    <row r="100" spans="1:5">
      <c r="B100" s="1" t="s">
        <v>197</v>
      </c>
      <c r="C100" s="47">
        <v>0.75</v>
      </c>
    </row>
    <row r="101" spans="1:5">
      <c r="B101" s="1" t="s">
        <v>199</v>
      </c>
      <c r="C101" s="47">
        <v>7.2827407732271143E-2</v>
      </c>
    </row>
    <row r="103" spans="1:5">
      <c r="A103" s="22" t="s">
        <v>87</v>
      </c>
      <c r="B103" s="22"/>
      <c r="C103" s="22"/>
      <c r="D103" s="22"/>
      <c r="E103" s="22"/>
    </row>
    <row r="105" spans="1:5">
      <c r="B105" s="21" t="s">
        <v>88</v>
      </c>
    </row>
    <row r="106" spans="1:5">
      <c r="B106" s="25" t="s">
        <v>105</v>
      </c>
    </row>
    <row r="107" spans="1:5">
      <c r="B107" s="25" t="s">
        <v>107</v>
      </c>
    </row>
    <row r="108" spans="1:5">
      <c r="B108" s="25" t="s">
        <v>106</v>
      </c>
    </row>
  </sheetData>
  <mergeCells count="12">
    <mergeCell ref="B43:E43"/>
    <mergeCell ref="B4:E4"/>
    <mergeCell ref="B7:E7"/>
    <mergeCell ref="B23:E23"/>
    <mergeCell ref="B38:E38"/>
    <mergeCell ref="B39:E39"/>
    <mergeCell ref="B84:E84"/>
    <mergeCell ref="B97:E97"/>
    <mergeCell ref="B80:E80"/>
    <mergeCell ref="B70:E70"/>
    <mergeCell ref="B96:E96"/>
    <mergeCell ref="B95:E95"/>
  </mergeCells>
  <phoneticPr fontId="17" type="noConversion"/>
  <pageMargins left="0.25" right="0.25" top="0.75" bottom="0.75" header="0.3" footer="0.3"/>
  <pageSetup paperSize="9" scale="9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G3" sqref="G3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1" t="s">
        <v>1</v>
      </c>
      <c r="E1" s="71"/>
      <c r="F1" s="71"/>
      <c r="G1" s="72" t="s">
        <v>109</v>
      </c>
      <c r="H1" s="72"/>
      <c r="I1" s="72"/>
      <c r="J1" s="68" t="s">
        <v>5</v>
      </c>
      <c r="K1" s="68"/>
      <c r="L1" s="69" t="s">
        <v>9</v>
      </c>
      <c r="M1" s="69"/>
      <c r="N1" s="70" t="s">
        <v>53</v>
      </c>
      <c r="O1" s="70"/>
      <c r="P1" s="70"/>
      <c r="Q1" s="70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63</v>
      </c>
      <c r="H2" s="7" t="s">
        <v>64</v>
      </c>
      <c r="I2" s="7" t="s">
        <v>198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203</v>
      </c>
      <c r="C3" s="11" t="s">
        <v>204</v>
      </c>
      <c r="D3" s="2">
        <v>14.96</v>
      </c>
      <c r="E3" s="12" t="s">
        <v>205</v>
      </c>
      <c r="F3" s="15">
        <v>0.19343775079136272</v>
      </c>
      <c r="G3" s="15">
        <f t="shared" ref="G3:G5" si="0">F3 - $C$10</f>
        <v>0.19343775079136272</v>
      </c>
      <c r="H3" s="15">
        <f t="shared" ref="H3:H5" si="1">F3 - $C$11</f>
        <v>0.19343775079136272</v>
      </c>
      <c r="I3" s="15">
        <v>0.22970196655958811</v>
      </c>
      <c r="J3" s="2">
        <v>14.733437767356989</v>
      </c>
      <c r="K3" s="2">
        <v>20.508980461992877</v>
      </c>
      <c r="L3" s="4">
        <v>0.11550708685625866</v>
      </c>
      <c r="M3" s="4">
        <v>9.0909090909090912E-2</v>
      </c>
      <c r="N3" s="13" t="s">
        <v>206</v>
      </c>
      <c r="O3" s="11" t="s">
        <v>207</v>
      </c>
      <c r="P3" s="14">
        <v>45716</v>
      </c>
      <c r="Q3" s="11" t="s">
        <v>208</v>
      </c>
    </row>
    <row r="4" spans="1:17">
      <c r="B4" s="11" t="s">
        <v>209</v>
      </c>
      <c r="C4" s="11" t="s">
        <v>210</v>
      </c>
      <c r="D4" s="2">
        <v>7.79</v>
      </c>
      <c r="E4" s="12" t="s">
        <v>205</v>
      </c>
      <c r="F4" s="15">
        <v>0.12411921460409614</v>
      </c>
      <c r="G4" s="15">
        <f t="shared" si="0"/>
        <v>0.12411921460409614</v>
      </c>
      <c r="H4" s="15">
        <f t="shared" si="1"/>
        <v>0.12411921460409614</v>
      </c>
      <c r="I4" s="15">
        <v>2.0298033440411898E-2</v>
      </c>
      <c r="J4" s="2">
        <v>6.4883606756817951</v>
      </c>
      <c r="K4" s="2">
        <v>9.1006872475781417</v>
      </c>
      <c r="L4" s="4">
        <v>3.9653192809019897E-2</v>
      </c>
      <c r="M4" s="4">
        <v>7.4454428754813853E-2</v>
      </c>
      <c r="N4" s="13" t="s">
        <v>211</v>
      </c>
      <c r="O4" s="11" t="s">
        <v>212</v>
      </c>
      <c r="P4" s="14">
        <v>45716</v>
      </c>
      <c r="Q4" s="11" t="s">
        <v>208</v>
      </c>
    </row>
    <row r="5" spans="1:17">
      <c r="B5" s="11" t="s">
        <v>213</v>
      </c>
      <c r="C5" s="11" t="s">
        <v>214</v>
      </c>
      <c r="D5" s="2">
        <v>2.1800000000000002</v>
      </c>
      <c r="E5" s="12" t="s">
        <v>205</v>
      </c>
      <c r="F5" s="15">
        <v>6.3214262000776955E-2</v>
      </c>
      <c r="G5" s="15">
        <f t="shared" si="0"/>
        <v>6.3214262000776955E-2</v>
      </c>
      <c r="H5" s="15">
        <f t="shared" si="1"/>
        <v>6.3214262000776955E-2</v>
      </c>
      <c r="I5" s="15">
        <v>0</v>
      </c>
      <c r="J5" s="2">
        <v>1.5466941106484338</v>
      </c>
      <c r="K5" s="2">
        <v>2.2438954232004935</v>
      </c>
      <c r="L5" s="4">
        <v>2.1574888673832972E-2</v>
      </c>
      <c r="M5" s="4">
        <v>5.4036697247706419E-2</v>
      </c>
      <c r="N5" s="13" t="s">
        <v>215</v>
      </c>
      <c r="O5" s="11" t="s">
        <v>216</v>
      </c>
      <c r="P5" s="14">
        <v>45716</v>
      </c>
      <c r="Q5" s="11" t="s">
        <v>217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1" t="s">
        <v>153</v>
      </c>
    </row>
    <row r="2" spans="1:5">
      <c r="A2" s="34"/>
      <c r="B2" s="35" t="s">
        <v>18</v>
      </c>
      <c r="C2" s="18"/>
      <c r="D2" s="23"/>
      <c r="E2" s="18"/>
    </row>
    <row r="3" spans="1:5">
      <c r="C3" s="31" t="s">
        <v>19</v>
      </c>
      <c r="D3" s="31" t="s">
        <v>20</v>
      </c>
      <c r="E3" s="31" t="s">
        <v>21</v>
      </c>
    </row>
    <row r="4" spans="1:5">
      <c r="B4" s="36" t="s">
        <v>22</v>
      </c>
      <c r="C4" s="37">
        <v>4.2500000000000003E-2</v>
      </c>
      <c r="D4" s="37">
        <v>7.4999999999999997E-2</v>
      </c>
      <c r="E4" s="38">
        <f>D4-C4</f>
        <v>3.2499999999999994E-2</v>
      </c>
    </row>
    <row r="5" spans="1:5">
      <c r="B5" s="36" t="s">
        <v>23</v>
      </c>
      <c r="C5" s="37">
        <v>1.9E-2</v>
      </c>
      <c r="D5" s="37">
        <v>3.1E-2</v>
      </c>
      <c r="E5" s="38">
        <f>D5-C5</f>
        <v>1.2E-2</v>
      </c>
    </row>
    <row r="6" spans="1:5">
      <c r="B6" s="36" t="s">
        <v>24</v>
      </c>
      <c r="C6" s="37">
        <v>3.4500000000000003E-2</v>
      </c>
      <c r="D6" s="37">
        <v>5.2499999999999998E-2</v>
      </c>
      <c r="E6" s="38">
        <f>D6-C6</f>
        <v>1.7999999999999995E-2</v>
      </c>
    </row>
    <row r="8" spans="1:5">
      <c r="A8" s="34"/>
      <c r="B8" s="35" t="s">
        <v>25</v>
      </c>
      <c r="C8" s="1">
        <v>4.3099999999999999E-2</v>
      </c>
      <c r="D8" s="1">
        <v>7.4999999999999997E-2</v>
      </c>
    </row>
    <row r="9" spans="1:5">
      <c r="B9" s="1" t="s">
        <v>58</v>
      </c>
      <c r="C9" s="31" t="s">
        <v>26</v>
      </c>
    </row>
    <row r="10" spans="1:5">
      <c r="B10" s="27" t="s">
        <v>27</v>
      </c>
      <c r="C10" s="37">
        <v>9.9400000000000002E-2</v>
      </c>
    </row>
    <row r="11" spans="1:5">
      <c r="B11" s="27" t="s">
        <v>28</v>
      </c>
      <c r="C11" s="37">
        <v>0.1174</v>
      </c>
    </row>
    <row r="12" spans="1:5">
      <c r="B12" s="27" t="s">
        <v>29</v>
      </c>
      <c r="C12" s="37">
        <v>3.4500000000000003E-2</v>
      </c>
    </row>
    <row r="13" spans="1:5">
      <c r="B13" s="27" t="s">
        <v>30</v>
      </c>
      <c r="C13" s="37">
        <v>3.3099999999999997E-2</v>
      </c>
    </row>
    <row r="14" spans="1:5">
      <c r="B14" s="27" t="s">
        <v>31</v>
      </c>
      <c r="C14" s="37">
        <v>4.2299999999999997E-2</v>
      </c>
    </row>
    <row r="15" spans="1:5">
      <c r="B15" s="27" t="s">
        <v>32</v>
      </c>
      <c r="C15" s="37">
        <v>5.1200000000000002E-2</v>
      </c>
    </row>
    <row r="16" spans="1:5">
      <c r="B16" s="39" t="s">
        <v>67</v>
      </c>
      <c r="C16" s="40">
        <f>MAX(Portfolio_Mgmt!C35,C10:C15)</f>
        <v>0.1174</v>
      </c>
    </row>
    <row r="18" spans="1:5">
      <c r="A18" s="34"/>
      <c r="B18" s="35" t="s">
        <v>33</v>
      </c>
      <c r="C18" s="18"/>
      <c r="D18" s="23"/>
      <c r="E18" s="18"/>
    </row>
    <row r="19" spans="1:5">
      <c r="B19" s="18" t="s">
        <v>34</v>
      </c>
      <c r="C19" s="41" t="s">
        <v>35</v>
      </c>
    </row>
    <row r="20" spans="1:5">
      <c r="B20" s="1" t="s">
        <v>36</v>
      </c>
      <c r="C20" s="41" t="s">
        <v>37</v>
      </c>
    </row>
    <row r="21" spans="1:5">
      <c r="B21" s="1" t="s">
        <v>38</v>
      </c>
      <c r="C21" s="41" t="s">
        <v>39</v>
      </c>
    </row>
    <row r="22" spans="1:5">
      <c r="C22" s="41"/>
    </row>
    <row r="23" spans="1:5">
      <c r="B23" s="1" t="s">
        <v>40</v>
      </c>
      <c r="C23" s="41" t="s">
        <v>41</v>
      </c>
    </row>
    <row r="24" spans="1:5">
      <c r="B24" s="1" t="s">
        <v>42</v>
      </c>
      <c r="C24" s="41" t="s">
        <v>43</v>
      </c>
    </row>
    <row r="25" spans="1:5">
      <c r="C25" s="41"/>
    </row>
    <row r="26" spans="1:5">
      <c r="B26" s="1" t="s">
        <v>44</v>
      </c>
      <c r="C26" s="41" t="s">
        <v>45</v>
      </c>
    </row>
    <row r="27" spans="1:5">
      <c r="B27" s="1" t="s">
        <v>46</v>
      </c>
      <c r="C27" s="41" t="s">
        <v>47</v>
      </c>
    </row>
    <row r="28" spans="1:5">
      <c r="C28" s="41"/>
    </row>
    <row r="29" spans="1:5">
      <c r="B29" s="1" t="s">
        <v>48</v>
      </c>
      <c r="C29" s="41" t="s">
        <v>49</v>
      </c>
    </row>
    <row r="31" spans="1:5">
      <c r="B31" s="1" t="s">
        <v>50</v>
      </c>
      <c r="C31" s="41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1" t="s">
        <v>110</v>
      </c>
    </row>
    <row r="2" spans="1:4">
      <c r="A2" s="5"/>
      <c r="B2" s="6" t="s">
        <v>111</v>
      </c>
    </row>
    <row r="3" spans="1:4">
      <c r="B3" s="64" t="s">
        <v>112</v>
      </c>
      <c r="C3" s="64"/>
      <c r="D3" s="64"/>
    </row>
    <row r="5" spans="1:4">
      <c r="B5" s="67" t="s">
        <v>114</v>
      </c>
      <c r="C5" s="73"/>
      <c r="D5" s="73"/>
    </row>
    <row r="6" spans="1:4">
      <c r="B6" s="67" t="s">
        <v>115</v>
      </c>
      <c r="C6" s="73"/>
      <c r="D6" s="73"/>
    </row>
    <row r="8" spans="1:4">
      <c r="B8" s="1" t="s">
        <v>113</v>
      </c>
    </row>
    <row r="10" spans="1:4">
      <c r="A10" s="5"/>
      <c r="B10" s="6" t="s">
        <v>116</v>
      </c>
    </row>
    <row r="11" spans="1:4">
      <c r="B11" s="64" t="s">
        <v>117</v>
      </c>
      <c r="C11" s="64"/>
      <c r="D11" s="64"/>
    </row>
    <row r="12" spans="1:4">
      <c r="B12" s="64" t="s">
        <v>118</v>
      </c>
      <c r="C12" s="64"/>
      <c r="D12" s="64"/>
    </row>
    <row r="14" spans="1:4">
      <c r="B14" s="24" t="s">
        <v>150</v>
      </c>
    </row>
    <row r="16" spans="1:4" ht="12.4">
      <c r="B16" s="33" t="s">
        <v>127</v>
      </c>
      <c r="C16" s="33" t="s">
        <v>128</v>
      </c>
    </row>
    <row r="17" spans="1:4">
      <c r="B17" s="27" t="s">
        <v>119</v>
      </c>
      <c r="C17" s="27" t="s">
        <v>123</v>
      </c>
    </row>
    <row r="18" spans="1:4">
      <c r="B18" s="27" t="s">
        <v>120</v>
      </c>
      <c r="C18" s="27" t="s">
        <v>124</v>
      </c>
    </row>
    <row r="19" spans="1:4">
      <c r="B19" s="27" t="s">
        <v>121</v>
      </c>
      <c r="C19" s="27" t="s">
        <v>125</v>
      </c>
    </row>
    <row r="20" spans="1:4">
      <c r="B20" s="27" t="s">
        <v>122</v>
      </c>
      <c r="C20" s="27" t="s">
        <v>126</v>
      </c>
    </row>
    <row r="21" spans="1:4">
      <c r="B21" s="27" t="s">
        <v>142</v>
      </c>
      <c r="C21" s="27" t="s">
        <v>143</v>
      </c>
    </row>
    <row r="22" spans="1:4">
      <c r="B22" s="27" t="s">
        <v>144</v>
      </c>
      <c r="C22" s="27" t="s">
        <v>145</v>
      </c>
    </row>
    <row r="23" spans="1:4">
      <c r="B23" s="27" t="s">
        <v>146</v>
      </c>
      <c r="C23" s="27" t="s">
        <v>147</v>
      </c>
    </row>
    <row r="24" spans="1:4">
      <c r="B24" s="27" t="s">
        <v>151</v>
      </c>
      <c r="C24" s="27" t="s">
        <v>152</v>
      </c>
    </row>
    <row r="25" spans="1:4">
      <c r="B25" s="27" t="s">
        <v>148</v>
      </c>
      <c r="C25" s="27" t="s">
        <v>149</v>
      </c>
    </row>
    <row r="27" spans="1:4">
      <c r="A27" s="5"/>
      <c r="B27" s="6" t="s">
        <v>129</v>
      </c>
    </row>
    <row r="28" spans="1:4">
      <c r="B28" s="64" t="s">
        <v>130</v>
      </c>
      <c r="C28" s="64"/>
      <c r="D28" s="64"/>
    </row>
    <row r="29" spans="1:4">
      <c r="B29" s="64" t="s">
        <v>131</v>
      </c>
      <c r="C29" s="64"/>
      <c r="D29" s="64"/>
    </row>
    <row r="31" spans="1:4">
      <c r="A31" s="5"/>
      <c r="B31" s="6" t="s">
        <v>132</v>
      </c>
    </row>
    <row r="32" spans="1:4">
      <c r="A32" s="31" t="s">
        <v>68</v>
      </c>
      <c r="B32" s="24" t="s">
        <v>133</v>
      </c>
    </row>
    <row r="33" spans="1:2">
      <c r="B33" s="1" t="s">
        <v>134</v>
      </c>
    </row>
    <row r="35" spans="1:2">
      <c r="A35" s="31" t="s">
        <v>136</v>
      </c>
      <c r="B35" s="24" t="s">
        <v>135</v>
      </c>
    </row>
    <row r="36" spans="1:2">
      <c r="B36" s="1" t="s">
        <v>137</v>
      </c>
    </row>
    <row r="38" spans="1:2">
      <c r="A38" s="5"/>
      <c r="B38" s="6" t="s">
        <v>138</v>
      </c>
    </row>
    <row r="39" spans="1:2">
      <c r="B39" s="25" t="s">
        <v>139</v>
      </c>
    </row>
    <row r="40" spans="1:2">
      <c r="B40" s="1" t="s">
        <v>140</v>
      </c>
    </row>
    <row r="41" spans="1:2">
      <c r="B41" s="1" t="s">
        <v>141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Portfolio_Mgmt</vt:lpstr>
      <vt:lpstr>Opportunities</vt:lpstr>
      <vt:lpstr>Market_Yield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2025-03-27T08:11:32Z</cp:lastPrinted>
  <dcterms:created xsi:type="dcterms:W3CDTF">2022-12-06T06:37:33Z</dcterms:created>
  <dcterms:modified xsi:type="dcterms:W3CDTF">2025-03-28T15:01:51Z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