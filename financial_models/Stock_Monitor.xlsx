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39EF0A24-B245-4A9E-BE31-DB0AF2842B10}"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<sst xmlns="http://schemas.openxmlformats.org/spreadsheetml/2006/main" count="311" uniqueCount="273">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</sst>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1"/>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4" t="s">
        <v>220</v>
      </c>
      <c r="C24" s="94"/>
      <c r="D24" s="94"/>
      <c r="E24" s="94"/>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0.12155581855631381</v>
      </c>
      <c r="D112" s="61"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D3" sqref="D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15.26</v>
      </c>
      <c r="E3" s="12" t="s">
        <v>160</v>
      </c>
      <c r="F3" s="15">
        <v>0.2202784312360544</v>
      </c>
      <c r="G3" s="15">
        <f>F3 - Portfolio_Mgmt!$C$10</f>
        <v>0.10287843123605439</v>
      </c>
      <c r="H3" s="15">
        <f>F3 - Portfolio_Mgmt!$C$11</f>
        <v>0.18577843123605439</v>
      </c>
      <c r="I3" s="15">
        <v>0.2202784312360544</v>
      </c>
      <c r="J3" s="2">
        <v>12.691224440750165</v>
      </c>
      <c r="K3" s="2">
        <v>25.695938127508406</v>
      </c>
      <c r="L3" s="2">
        <v>16.024771926236642</v>
      </c>
      <c r="M3" s="86">
        <v>21.810617911761469</v>
      </c>
      <c r="N3" s="4">
        <v>6.5463829288395545E-2</v>
      </c>
      <c r="O3" s="4">
        <v>3.5913538249616732E-2</v>
      </c>
      <c r="P3" s="15">
        <v>0.36794481423679237</v>
      </c>
      <c r="Q3" s="15">
        <v>7.4171010848313429E-2</v>
      </c>
      <c r="R3" s="92">
        <v>0.60402076709908736</v>
      </c>
      <c r="S3" s="86">
        <v>4.4985790275171595</v>
      </c>
      <c r="T3" s="13" t="s">
        <v>246</v>
      </c>
      <c r="U3" s="11" t="s">
        <v>162</v>
      </c>
      <c r="V3" s="14">
        <v>45900</v>
      </c>
      <c r="W3" s="11" t="s">
        <v>163</v>
      </c>
    </row>
    <row r="4" spans="1:23">
      <c r="B4" s="11" t="s">
        <v>236</v>
      </c>
      <c r="C4" s="11" t="s">
        <v>237</v>
      </c>
      <c r="D4" s="2">
        <v>5.94</v>
      </c>
      <c r="E4" s="12" t="s">
        <v>160</v>
      </c>
      <c r="F4" s="15">
        <v>0.1686112219828888</v>
      </c>
      <c r="G4" s="15">
        <f>F4 - Portfolio_Mgmt!$C$10</f>
        <v>5.1211221982888799E-2</v>
      </c>
      <c r="H4" s="15">
        <f>F4 - Portfolio_Mgmt!$C$11</f>
        <v>0.1341112219828888</v>
      </c>
      <c r="I4" s="15">
        <v>0.16861122198288883</v>
      </c>
      <c r="J4" s="2">
        <v>4.4065324767427771</v>
      </c>
      <c r="K4" s="2">
        <v>7.9178132048919672</v>
      </c>
      <c r="L4" s="2">
        <v>5.5130052215060692</v>
      </c>
      <c r="M4" s="86">
        <v>7.4243363812264054</v>
      </c>
      <c r="N4" s="4">
        <v>0.12948771313952359</v>
      </c>
      <c r="O4" s="4">
        <v>7.4400590977102513E-2</v>
      </c>
      <c r="P4" s="15">
        <v>0.61007460831657279</v>
      </c>
      <c r="Q4" s="15">
        <v>0.16360901428944893</v>
      </c>
      <c r="R4" s="92">
        <v>1.1309485990394448</v>
      </c>
      <c r="S4" s="86">
        <v>-3.7862698750718136</v>
      </c>
      <c r="T4" s="13" t="s">
        <v>239</v>
      </c>
      <c r="U4" s="11" t="s">
        <v>238</v>
      </c>
      <c r="V4" s="14">
        <v>45900</v>
      </c>
      <c r="W4" s="11" t="s">
        <v>163</v>
      </c>
    </row>
    <row r="5" spans="1:23">
      <c r="B5" s="11" t="s">
        <v>251</v>
      </c>
      <c r="C5" s="11" t="s">
        <v>252</v>
      </c>
      <c r="D5" s="2">
        <v>20.079999999999998</v>
      </c>
      <c r="E5" s="12" t="s">
        <v>253</v>
      </c>
      <c r="F5" s="15">
        <v>0.16060765378265396</v>
      </c>
      <c r="G5" s="15">
        <f>F5 - Portfolio_Mgmt!$C$10</f>
        <v>4.3207653782653954E-2</v>
      </c>
      <c r="H5" s="15">
        <f>F5 - Portfolio_Mgmt!$C$11</f>
        <v>0.12610765378265396</v>
      </c>
      <c r="I5" s="15">
        <v>0</v>
      </c>
      <c r="J5" s="2">
        <v>14.418941896437474</v>
      </c>
      <c r="K5" s="2">
        <v>29.309951346473134</v>
      </c>
      <c r="L5" s="2">
        <v>18.21218480698677</v>
      </c>
      <c r="M5" s="86">
        <v>24.796949133193245</v>
      </c>
      <c r="N5" s="4">
        <v>0.22703991769612522</v>
      </c>
      <c r="O5" s="4">
        <v>2.956175298804781E-2</v>
      </c>
      <c r="P5" s="15">
        <v>1.4851905363915479</v>
      </c>
      <c r="Q5" s="15">
        <v>0.95241105291674188</v>
      </c>
      <c r="R5" s="92">
        <v>4.0148803043206254</v>
      </c>
      <c r="S5" s="86">
        <v>-38.360607814419353</v>
      </c>
      <c r="T5" s="13" t="s">
        <v>254</v>
      </c>
      <c r="U5" s="11" t="s">
        <v>162</v>
      </c>
      <c r="V5" s="14">
        <v>45900</v>
      </c>
      <c r="W5" s="11" t="s">
        <v>247</v>
      </c>
    </row>
    <row r="6" spans="1:23">
      <c r="B6" s="11" t="s">
        <v>249</v>
      </c>
      <c r="C6" s="11" t="s">
        <v>250</v>
      </c>
      <c r="D6" s="2">
        <v>53.85</v>
      </c>
      <c r="E6" s="12" t="s">
        <v>160</v>
      </c>
      <c r="F6" s="15">
        <v>0.15157025452393125</v>
      </c>
      <c r="G6" s="15">
        <f>F6 - Portfolio_Mgmt!$C$10</f>
        <v>3.4170254523931243E-2</v>
      </c>
      <c r="H6" s="15">
        <f>F6 - Portfolio_Mgmt!$C$11</f>
        <v>0.11707025452393124</v>
      </c>
      <c r="I6" s="15">
        <v>0.15157025452393125</v>
      </c>
      <c r="J6" s="2">
        <v>38.606046318120192</v>
      </c>
      <c r="K6" s="2">
        <v>64.705150610910081</v>
      </c>
      <c r="L6" s="2">
        <v>48.063219913721113</v>
      </c>
      <c r="M6" s="86">
        <v>64.355368842171927</v>
      </c>
      <c r="N6" s="4">
        <v>9.7570725450271498E-2</v>
      </c>
      <c r="O6" s="4">
        <v>9.3606035283194056E-2</v>
      </c>
      <c r="P6" s="15">
        <v>1.2907496012759174</v>
      </c>
      <c r="Q6" s="15">
        <v>0.24768740031897937</v>
      </c>
      <c r="R6" s="92">
        <v>0.73855199466278643</v>
      </c>
      <c r="S6" s="86">
        <v>-2.6424228259673308</v>
      </c>
      <c r="T6" s="13" t="s">
        <v>246</v>
      </c>
      <c r="U6" s="11" t="s">
        <v>162</v>
      </c>
      <c r="V6" s="14">
        <v>45808</v>
      </c>
      <c r="W6" s="11" t="s">
        <v>163</v>
      </c>
    </row>
    <row r="7" spans="1:23">
      <c r="B7" s="11" t="s">
        <v>158</v>
      </c>
      <c r="C7" s="11" t="s">
        <v>159</v>
      </c>
      <c r="D7" s="2">
        <v>17.36</v>
      </c>
      <c r="E7" s="12" t="s">
        <v>160</v>
      </c>
      <c r="F7" s="15">
        <v>0.13150710314103176</v>
      </c>
      <c r="G7" s="15">
        <f>F7 - Portfolio_Mgmt!$C$10</f>
        <v>1.4107103141031752E-2</v>
      </c>
      <c r="H7" s="15">
        <f>F7 - Portfolio_Mgmt!$C$11</f>
        <v>9.7007103141031753E-2</v>
      </c>
      <c r="I7" s="15">
        <v>5.9540092257125532E-2</v>
      </c>
      <c r="J7" s="2">
        <v>11.804906901225705</v>
      </c>
      <c r="K7" s="2">
        <v>20.508980461992877</v>
      </c>
      <c r="L7" s="2">
        <v>14.733437767356989</v>
      </c>
      <c r="M7" s="86">
        <v>19.785541823839793</v>
      </c>
      <c r="N7" s="4">
        <v>9.9538365171061599E-2</v>
      </c>
      <c r="O7" s="4">
        <v>7.83410138248848E-2</v>
      </c>
      <c r="P7" s="15">
        <v>0.31018327415220487</v>
      </c>
      <c r="Q7" s="15">
        <v>0.15818859882129041</v>
      </c>
      <c r="R7" s="92">
        <v>1.4550387206421544</v>
      </c>
      <c r="S7" s="86">
        <v>5.8696003638854428</v>
      </c>
      <c r="T7" s="13" t="s">
        <v>161</v>
      </c>
      <c r="U7" s="11" t="s">
        <v>162</v>
      </c>
      <c r="V7" s="14">
        <v>45808</v>
      </c>
      <c r="W7" s="11" t="s">
        <v>163</v>
      </c>
    </row>
    <row r="8" spans="1:23">
      <c r="B8" s="11" t="s">
        <v>164</v>
      </c>
      <c r="C8" s="11" t="s">
        <v>165</v>
      </c>
      <c r="D8" s="2">
        <v>7.94</v>
      </c>
      <c r="E8" s="12" t="s">
        <v>160</v>
      </c>
      <c r="F8" s="15">
        <v>0.11874261404950959</v>
      </c>
      <c r="G8" s="15">
        <f>F8 - Portfolio_Mgmt!$C$10</f>
        <v>1.3426140495095829E-3</v>
      </c>
      <c r="H8" s="15">
        <f>F8 - Portfolio_Mgmt!$C$11</f>
        <v>8.4242614049509584E-2</v>
      </c>
      <c r="I8" s="15">
        <v>0</v>
      </c>
      <c r="J8" s="2">
        <v>5.2239462882061574</v>
      </c>
      <c r="K8" s="2">
        <v>9.1628099951889297</v>
      </c>
      <c r="L8" s="2">
        <v>6.5243113398084081</v>
      </c>
      <c r="M8" s="86">
        <v>8.7684502451266084</v>
      </c>
      <c r="N8" s="4">
        <v>3.8904077075852014E-2</v>
      </c>
      <c r="O8" s="4">
        <v>7.3047858942065488E-2</v>
      </c>
      <c r="P8" s="15">
        <v>8.3114411724224596E-2</v>
      </c>
      <c r="Q8" s="15">
        <v>1.8509098960546238E-2</v>
      </c>
      <c r="R8" s="92">
        <v>1.1933697905849452</v>
      </c>
      <c r="S8" s="86">
        <v>11.511512740854835</v>
      </c>
      <c r="T8" s="13" t="s">
        <v>166</v>
      </c>
      <c r="U8" s="11" t="s">
        <v>167</v>
      </c>
      <c r="V8" s="14">
        <v>45900</v>
      </c>
      <c r="W8" s="11" t="s">
        <v>163</v>
      </c>
    </row>
    <row r="9" spans="1:23">
      <c r="B9" s="11" t="s">
        <v>244</v>
      </c>
      <c r="C9" s="11" t="s">
        <v>245</v>
      </c>
      <c r="D9" s="2">
        <v>14.64</v>
      </c>
      <c r="E9" s="12" t="s">
        <v>160</v>
      </c>
      <c r="F9" s="15">
        <v>9.919795200818049E-2</v>
      </c>
      <c r="G9" s="15">
        <f>F9 - Portfolio_Mgmt!$C$10</f>
        <v>-1.8202047991819514E-2</v>
      </c>
      <c r="H9" s="15">
        <f>F9 - Portfolio_Mgmt!$C$11</f>
        <v>6.4697952008180487E-2</v>
      </c>
      <c r="I9" s="15">
        <v>0</v>
      </c>
      <c r="J9" s="2">
        <v>9.1086666437717536</v>
      </c>
      <c r="K9" s="2">
        <v>16.688564338966547</v>
      </c>
      <c r="L9" s="2">
        <v>11.412172410513048</v>
      </c>
      <c r="M9" s="86">
        <v>15.394323329007381</v>
      </c>
      <c r="N9" s="4">
        <v>0.10480665350528036</v>
      </c>
      <c r="O9" s="4">
        <v>5.6890454918032782E-2</v>
      </c>
      <c r="P9" s="15">
        <v>2.2875080906148866</v>
      </c>
      <c r="Q9" s="15">
        <v>1.5035598705501618</v>
      </c>
      <c r="R9" s="92">
        <v>4.1998196571663646</v>
      </c>
      <c r="S9" s="86">
        <v>-12.129380035386257</v>
      </c>
      <c r="T9" s="13" t="s">
        <v>246</v>
      </c>
      <c r="U9" s="11" t="s">
        <v>248</v>
      </c>
      <c r="V9" s="14">
        <v>45900</v>
      </c>
      <c r="W9" s="11" t="s">
        <v>247</v>
      </c>
    </row>
    <row r="10" spans="1:23">
      <c r="B10" s="11" t="s">
        <v>255</v>
      </c>
      <c r="C10" s="11" t="s">
        <v>256</v>
      </c>
      <c r="D10" s="2">
        <v>28.81</v>
      </c>
      <c r="E10" s="12" t="s">
        <v>253</v>
      </c>
      <c r="F10" s="15">
        <v>9.408289080523935E-2</v>
      </c>
      <c r="G10" s="15">
        <f>F10 - Portfolio_Mgmt!$C$10</f>
        <v>-2.3317109194760655E-2</v>
      </c>
      <c r="H10" s="15">
        <f>F10 - Portfolio_Mgmt!$C$11</f>
        <v>5.9582890805239347E-2</v>
      </c>
      <c r="I10" s="15">
        <v>0</v>
      </c>
      <c r="J10" s="2">
        <v>17.682685147645955</v>
      </c>
      <c r="K10" s="2">
        <v>32.464859269378167</v>
      </c>
      <c r="L10" s="2">
        <v>22.157904669779033</v>
      </c>
      <c r="M10" s="86">
        <v>29.895007167811503</v>
      </c>
      <c r="N10" s="4">
        <v>8.8134932571433455E-2</v>
      </c>
      <c r="O10" s="4">
        <v>5.5536272127733433E-2</v>
      </c>
      <c r="P10" s="15">
        <v>0.78990369994931575</v>
      </c>
      <c r="Q10" s="15">
        <v>0.40281804358844397</v>
      </c>
      <c r="R10" s="92">
        <v>3.955391512509995</v>
      </c>
      <c r="S10" s="86">
        <v>-26.938493611476797</v>
      </c>
      <c r="T10" s="16" t="s">
        <v>257</v>
      </c>
      <c r="U10" s="11" t="s">
        <v>162</v>
      </c>
      <c r="V10" s="14">
        <v>45900</v>
      </c>
      <c r="W10" s="11" t="s">
        <v>247</v>
      </c>
    </row>
    <row r="11" spans="1:23">
      <c r="B11" s="11" t="s">
        <v>240</v>
      </c>
      <c r="C11" s="11" t="s">
        <v>241</v>
      </c>
      <c r="D11" s="2">
        <v>56.45</v>
      </c>
      <c r="E11" s="12" t="s">
        <v>160</v>
      </c>
      <c r="F11" s="15">
        <v>9.3068045296727409E-2</v>
      </c>
      <c r="G11" s="15">
        <f>F11 - Portfolio_Mgmt!$C$10</f>
        <v>-2.4331954703272596E-2</v>
      </c>
      <c r="H11" s="15">
        <f>F11 - Portfolio_Mgmt!$C$11</f>
        <v>5.8568045296727406E-2</v>
      </c>
      <c r="I11" s="15">
        <v>0</v>
      </c>
      <c r="J11" s="2">
        <v>34.215307295933449</v>
      </c>
      <c r="K11" s="2">
        <v>66.944798372320093</v>
      </c>
      <c r="L11" s="2">
        <v>43.084161372829577</v>
      </c>
      <c r="M11" s="86">
        <v>58.456171666660033</v>
      </c>
      <c r="N11" s="4">
        <v>3.9887806404447897E-2</v>
      </c>
      <c r="O11" s="4">
        <v>3.652280283012984E-2</v>
      </c>
      <c r="P11" s="15">
        <v>0.72207550313588764</v>
      </c>
      <c r="Q11" s="15">
        <v>9.5579625064196368E-3</v>
      </c>
      <c r="R11" s="92">
        <v>7.3592411949940734E-2</v>
      </c>
      <c r="S11" s="86">
        <v>1.3262674203270228</v>
      </c>
      <c r="T11" s="13" t="s">
        <v>242</v>
      </c>
      <c r="U11" s="11" t="s">
        <v>162</v>
      </c>
      <c r="V11" s="14">
        <v>45900</v>
      </c>
      <c r="W11" s="11" t="s">
        <v>247</v>
      </c>
    </row>
    <row r="12" spans="1:23">
      <c r="B12" s="11" t="s">
        <v>168</v>
      </c>
      <c r="C12" s="11" t="s">
        <v>169</v>
      </c>
      <c r="D12" s="2">
        <v>2.5099999999999998</v>
      </c>
      <c r="E12" s="12" t="s">
        <v>160</v>
      </c>
      <c r="F12" s="15">
        <v>6.8934165996179741E-2</v>
      </c>
      <c r="G12" s="15">
        <f>F12 - Portfolio_Mgmt!$C$10</f>
        <v>-4.8465834003820263E-2</v>
      </c>
      <c r="H12" s="15">
        <f>F12 - Portfolio_Mgmt!$C$11</f>
        <v>3.4434165996179739E-2</v>
      </c>
      <c r="I12" s="15">
        <v>0</v>
      </c>
      <c r="J12" s="2">
        <v>1.4359031078171438</v>
      </c>
      <c r="K12" s="2">
        <v>2.6984971849946402</v>
      </c>
      <c r="L12" s="2">
        <v>1.8024671110952224</v>
      </c>
      <c r="M12" s="86">
        <v>2.4367969526210818</v>
      </c>
      <c r="N12" s="4">
        <v>3.2754125309196483E-2</v>
      </c>
      <c r="O12" s="4">
        <v>4.55503243047485E-2</v>
      </c>
      <c r="P12" s="15">
        <v>0.20351769929714394</v>
      </c>
      <c r="Q12" s="15">
        <v>1.0763175939415467E-2</v>
      </c>
      <c r="R12" s="92">
        <v>0.29882156160837919</v>
      </c>
      <c r="S12" s="86">
        <v>1.8659804056246816</v>
      </c>
      <c r="T12" s="13" t="s">
        <v>170</v>
      </c>
      <c r="U12" s="11" t="s">
        <v>171</v>
      </c>
      <c r="V12" s="14">
        <v>45900</v>
      </c>
      <c r="W12" s="11" t="s">
        <v>163</v>
      </c>
    </row>
    <row r="13" spans="1:23">
      <c r="B13" s="11"/>
      <c r="C13" s="11"/>
      <c r="E13" s="12"/>
      <c r="N13" s="4"/>
      <c r="O13" s="4"/>
      <c r="T13" s="13"/>
      <c r="U13" s="11"/>
      <c r="V13" s="14"/>
    </row>
    <row r="14" spans="1:23">
      <c r="B14" s="11"/>
      <c r="C14" s="11"/>
      <c r="E14" s="12"/>
      <c r="N14" s="4"/>
      <c r="O14" s="4"/>
      <c r="T14" s="13"/>
      <c r="U14" s="11"/>
      <c r="V14" s="14"/>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4.1700000000000001E-2</v>
      </c>
      <c r="D4" s="34">
        <v>7.4999999999999997E-2</v>
      </c>
      <c r="E4" s="35">
        <f>D4-C4</f>
        <v>3.3299999999999996E-2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0.39828327116190743</v>
      </c>
      <c r="H3" s="91" t="s">
        <v>233</v>
      </c>
    </row>
    <row r="4" spans="1:8">
      <c r="B4" s="78" t="s">
        <v>232</v>
      </c>
      <c r="C4" s="75">
        <f>VLOOKUP(B4,Opportunities!B$3:E$12,3,FALSE)</f>
        <v>17.36</v>
      </c>
      <c r="D4" s="74" t="str">
        <f>VLOOKUP(B4,Opportunities!B$3:E$12,4,FALSE)</f>
        <v>HKD</v>
      </c>
      <c r="E4" s="71">
        <v>10000</v>
      </c>
      <c r="F4" s="76">
        <f>C4*E4</f>
        <v>173600</v>
      </c>
      <c r="G4" s="73">
        <f>F4/$F$9</f>
        <v>0.1967639092192075</v>
      </c>
      <c r="H4" s="73">
        <f>VLOOKUP(B4,Opportunities!B$3:I$12,8,FALSE)</f>
        <v>5.9540092257125532E-2</v>
      </c>
    </row>
    <row r="5" spans="1:8">
      <c r="B5" s="78" t="s">
        <v>231</v>
      </c>
      <c r="C5" s="75">
        <f>VLOOKUP(B5,Opportunities!B$3:E$12,3,FALSE)</f>
        <v>7.94</v>
      </c>
      <c r="D5" s="74" t="str">
        <f>VLOOKUP(B5,Opportunities!B$3:E$12,4,FALSE)</f>
        <v>HKD</v>
      </c>
      <c r="E5" s="71">
        <v>20000</v>
      </c>
      <c r="F5" s="76">
        <f>E5*C5</f>
        <v>158800</v>
      </c>
      <c r="G5" s="73">
        <f>F5/$F$9</f>
        <v>0.17998910589867598</v>
      </c>
      <c r="H5" s="73">
        <f>VLOOKUP(B5,Opportunities!B$3:I$12,8,FALSE)</f>
        <v>0</v>
      </c>
    </row>
    <row r="6" spans="1:8">
      <c r="B6" s="78" t="s">
        <v>243</v>
      </c>
      <c r="C6" s="75">
        <f>VLOOKUP(B6,Opportunities!B$3:E$12,3,FALSE)</f>
        <v>5.94</v>
      </c>
      <c r="D6" s="74" t="str">
        <f>VLOOKUP(B6,Opportunities!B$3:E$12,4,FALSE)</f>
        <v>HKD</v>
      </c>
      <c r="E6" s="71">
        <v>18000</v>
      </c>
      <c r="F6" s="76">
        <f>E6*C6</f>
        <v>106920</v>
      </c>
      <c r="G6" s="73">
        <f>F6/$F$9</f>
        <v>0.12118661966427226</v>
      </c>
      <c r="H6" s="73">
        <f>VLOOKUP(B6,Opportunities!B$3:I$12,8,FALSE)</f>
        <v>0.16861122198288883</v>
      </c>
    </row>
    <row r="7" spans="1:8">
      <c r="B7" s="78" t="s">
        <v>258</v>
      </c>
      <c r="C7" s="75">
        <f>VLOOKUP(B7,Opportunities!B$3:E$12,3,FALSE)</f>
        <v>15.26</v>
      </c>
      <c r="D7" s="74" t="str">
        <f>VLOOKUP(B7,Opportunities!B$3:E$12,4,FALSE)</f>
        <v>HKD</v>
      </c>
      <c r="E7" s="71">
        <v>6000</v>
      </c>
      <c r="F7" s="76">
        <f>C7*E7</f>
        <v>91560</v>
      </c>
      <c r="G7" s="73">
        <f>F7/$F$9</f>
        <v>0.10377709405593685</v>
      </c>
      <c r="H7" s="73">
        <f>VLOOKUP(B7,Opportunities!B$3:I$12,8,FALSE)</f>
        <v>0.2202784312360544</v>
      </c>
    </row>
    <row r="8" spans="1:8">
      <c r="B8" s="67"/>
      <c r="C8" s="70"/>
      <c r="D8" s="67"/>
      <c r="H8" s="90"/>
    </row>
    <row r="9" spans="1:8" ht="13.15">
      <c r="B9" s="79"/>
      <c r="C9" s="80"/>
      <c r="D9" s="79"/>
      <c r="E9" s="81" t="s">
        <v>263</v>
      </c>
      <c r="F9" s="81">
        <f>SUM(F3:F7)</f>
        <v>882275.62</v>
      </c>
      <c r="G9" s="82">
        <f>SUM(G3:G7)</f>
        <v>1</v>
      </c>
      <c r="H9" s="89">
        <f>SUM(H4:H7)</f>
        <v>0.44842974547606873</v>
      </c>
    </row>
    <row r="10" spans="1:8">
      <c r="B10" s="67"/>
      <c r="C10" s="70"/>
      <c r="D10" s="67"/>
      <c r="E10" s="71"/>
      <c r="F10" s="71"/>
    </row>
    <row r="11" spans="1:8" ht="13.15">
      <c r="A11" s="63"/>
      <c r="B11" s="64" t="s">
        <v>260</v>
      </c>
    </row>
    <row r="12" spans="1:8">
      <c r="B12" s="78" t="s">
        <v>258</v>
      </c>
      <c r="C12" s="75">
        <f>VLOOKUP(B12,Opportunities!B$3:E$12,3,FALSE)</f>
        <v>15.26</v>
      </c>
      <c r="D12" s="74" t="str">
        <f>VLOOKUP(B12,Opportunities!B$3:E$12,4,FALSE)</f>
        <v>HKD</v>
      </c>
      <c r="E12" s="71">
        <v>6000</v>
      </c>
      <c r="F12" s="76">
        <f>C12*E12</f>
        <v>91560</v>
      </c>
      <c r="G12" s="73">
        <f>F12/$F$9</f>
        <v>0.10377709405593685</v>
      </c>
      <c r="H12" s="73">
        <f>VLOOKUP(B12,Opportunities!B$3:I$12,8,FALSE)</f>
        <v>0.2202784312360544</v>
      </c>
    </row>
    <row r="13" spans="1:8">
      <c r="G13" s="88"/>
      <c r="H13" s="88"/>
    </row>
    <row r="14" spans="1:8" ht="13.15">
      <c r="B14" s="83" t="s">
        <v>261</v>
      </c>
      <c r="C14" s="84" t="s">
        <v>233</v>
      </c>
      <c r="D14" s="85" t="s">
        <v>160</v>
      </c>
      <c r="E14" s="84" t="s">
        <v>233</v>
      </c>
      <c r="F14" s="81">
        <f>F3-F12</f>
        <v>259835.62</v>
      </c>
      <c r="G14" s="89">
        <f t="shared" ref="G14" si="0">F14/$F$9</f>
        <v>0.2945061771059706</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5"/>
      <c r="D5" s="95"/>
    </row>
    <row r="6" spans="1:4">
      <c r="B6" s="106" t="s">
        <v>107</v>
      </c>
      <c r="C6" s="95"/>
      <c r="D6" s="95"/>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2025-05-02T07:52:01Z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