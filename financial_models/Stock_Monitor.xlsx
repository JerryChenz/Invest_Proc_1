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29A65FD2-AE42-480F-87FC-5784783A623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5" i="1" l="1"/>
  <c r="I5" i="1"/>
  <c r="O3" i="1"/>
  <c r="I3" i="1"/>
  <c r="O4" i="1"/>
  <c r="I4" i="1"/>
</calcChain>
</file>

<file path=xl/sharedStrings.xml><?xml version="1.0" encoding="utf-8"?>
<sst xmlns="http://schemas.openxmlformats.org/spreadsheetml/2006/main" count="37" uniqueCount="32">
  <si>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</si>
  <si>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</si>
  <si>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</si>
  <si>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</si>
  <si>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</si>
  <si>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</si>
  <si>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</si>
  <si>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</si>
  <si>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</si>
  <si>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</si>
  <si>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</si>
  <si>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</si>
  <si>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</si>
  <si>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</si>
  <si>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</si>
  <si>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</si>
  <si>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</si>
  <si>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</si>
  <si>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</si>
  <si>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</si>
  <si>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</si>
  <si>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</si>
  <si>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</si>
  <si>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</si>
  <si>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</si>
  <si>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</si>
  <si>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</si>
  <si>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</si>
  <si>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</si>
  <si>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</si>
  <si>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>Not Held</t>
  </si>
  <si>
    <t xml:space="preserve">Low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</si>
</sst>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G3" activePane="bottomRight" state="frozen"/>
      <selection pane="topRight" activeCell="D1" sqref="D1"/>
      <selection pane="bottomLeft" activeCell="A5" sqref="A5"/>
      <selection pane="bottomRight" activeCell="O4" sqref="O4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4</v>
      </c>
      <c r="D1" s="21" t="s">
        <v>1</v>
      </c>
      <c r="E1" s="21"/>
      <c r="F1" s="20"/>
      <c r="G1" s="23" t="s">
        <v>5</v>
      </c>
      <c r="H1" s="23"/>
      <c r="I1" s="23"/>
      <c r="J1" s="24" t="s">
        <v>10</v>
      </c>
      <c r="K1" s="24"/>
      <c r="L1" s="22"/>
      <c r="M1" s="22"/>
      <c r="N1" s="22"/>
      <c r="O1" s="7"/>
      <c r="P1" s="7"/>
    </row>
    <row r="2" spans="1:16" ht="26" customHeight="1">
      <c r="B2" s="8" t="s">
        <v>3</v>
      </c>
      <c r="C2" s="8" t="s">
        <v>0</v>
      </c>
      <c r="D2" s="9" t="s">
        <v>1</v>
      </c>
      <c r="E2" s="8" t="s">
        <v>2</v>
      </c>
      <c r="F2" s="8" t="s">
        <v>14</v>
      </c>
      <c r="G2" s="9" t="s">
        <v>8</v>
      </c>
      <c r="H2" s="9" t="s">
        <v>16</v>
      </c>
      <c r="I2" s="8" t="s">
        <v>9</v>
      </c>
      <c r="J2" s="8" t="s">
        <v>17</v>
      </c>
      <c r="K2" s="8" t="s">
        <v>7</v>
      </c>
      <c r="L2" s="8" t="s">
        <v>6</v>
      </c>
      <c r="M2" s="8" t="s">
        <v>13</v>
      </c>
      <c r="N2" s="10" t="s">
        <v>11</v>
      </c>
      <c r="O2" s="11" t="s">
        <v>18</v>
      </c>
      <c r="P2" s="11" t="s">
        <v>12</v>
      </c>
    </row>
    <row r="3" spans="1:16">
      <c r="B3" s="12" t="s">
        <v>24</v>
      </c>
      <c r="C3" s="12" t="s">
        <v>25</v>
      </c>
      <c r="D3" s="2">
        <v>14.96</v>
      </c>
      <c r="E3" s="13" t="s">
        <v>21</v>
      </c>
      <c r="F3" s="19">
        <v>0.1950811274187132</v>
      </c>
      <c r="G3" s="2">
        <v>14.789930718256866</v>
      </c>
      <c r="H3" s="2">
        <v>20.606600281147866</v>
      </c>
      <c r="I3" s="4">
        <f>IFERROR(G3/H3-1, "nm")</f>
        <v>-0.28227215957658158</v>
      </c>
      <c r="J3" s="4">
        <v>0.11542469246132268</v>
      </c>
      <c r="K3" s="4">
        <v>9.0909090909090912E-2</v>
      </c>
      <c r="L3" s="14" t="s">
        <v>22</v>
      </c>
      <c r="M3" s="12" t="s">
        <v>31</v>
      </c>
      <c r="N3" s="15">
        <v>45716</v>
      </c>
      <c r="O3" s="16">
        <f>IFERROR(D3/G3-1, "nm")</f>
        <v>1.1498991102994127E-2</v>
      </c>
      <c r="P3" s="12" t="s">
        <v>15</v>
      </c>
    </row>
    <row r="4" spans="1:16">
      <c r="B4" s="12" t="s">
        <v>19</v>
      </c>
      <c r="C4" s="12" t="s">
        <v>20</v>
      </c>
      <c r="D4" s="2">
        <v>7.79</v>
      </c>
      <c r="E4" s="13" t="s">
        <v>21</v>
      </c>
      <c r="F4" s="19">
        <v>0.12172735692567005</v>
      </c>
      <c r="G4" s="2">
        <v>6.4501768017717804</v>
      </c>
      <c r="H4" s="2">
        <v>9.0347055134616365</v>
      </c>
      <c r="I4" s="4">
        <f>IFERROR(G4/H4-1, "nm")</f>
        <v>-0.28606673541699057</v>
      </c>
      <c r="J4" s="4">
        <v>3.9909901100125003E-2</v>
      </c>
      <c r="K4" s="4">
        <v>7.4454428754813853E-2</v>
      </c>
      <c r="L4" s="14" t="s">
        <v>22</v>
      </c>
      <c r="M4" s="12" t="s">
        <v>23</v>
      </c>
      <c r="N4" s="15">
        <v>45716</v>
      </c>
      <c r="O4" s="16">
        <f>IFERROR(D4/G4-1, "nm")</f>
        <v>0.20771883304969063</v>
      </c>
      <c r="P4" s="12" t="s">
        <v>15</v>
      </c>
    </row>
    <row r="5" spans="1:16">
      <c r="B5" s="12" t="s">
        <v>27</v>
      </c>
      <c r="C5" s="12" t="s">
        <v>28</v>
      </c>
      <c r="D5" s="2">
        <v>2.1800000000000002</v>
      </c>
      <c r="E5" s="13" t="s">
        <v>21</v>
      </c>
      <c r="F5" s="19">
        <v>6.9675781490122768E-2</v>
      </c>
      <c r="G5" s="2">
        <v>1.5731270460314282</v>
      </c>
      <c r="H5" s="2">
        <v>2.2895715355423079</v>
      </c>
      <c r="I5" s="4">
        <f>IFERROR(G5/H5-1, "nm")</f>
        <v>-0.31291640308638913</v>
      </c>
      <c r="J5" s="4">
        <v>2.0974048836286365E-2</v>
      </c>
      <c r="K5" s="4">
        <v>5.4036697247706419E-2</v>
      </c>
      <c r="L5" s="14" t="s">
        <v>29</v>
      </c>
      <c r="M5" s="12" t="s">
        <v>26</v>
      </c>
      <c r="N5" s="15">
        <v>45716</v>
      </c>
      <c r="O5" s="16">
        <f>IFERROR(D5/G5-1, "nm")</f>
        <v>0.38577491595452984</v>
      </c>
      <c r="P5" s="12" t="s">
        <v>30</v>
      </c>
    </row>
    <row r="6" spans="1:16">
      <c r="B6" s="12"/>
      <c r="C6" s="12"/>
      <c r="E6" s="13"/>
      <c r="F6" s="19"/>
      <c r="J6" s="4"/>
      <c r="K6" s="4"/>
      <c r="L6" s="14"/>
      <c r="M6" s="12"/>
      <c r="N6" s="15"/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2025-03-25T03:42:38Z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