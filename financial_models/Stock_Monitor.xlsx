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DFE16CB6-A1EE-468B-B087-A67C98BA3B2E}"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externalReferences>
    <externalReference r:id="rId7"/>
  </externalReferences>
  <definedNames>
    <definedName name="_xlnm._FilterDatabase" localSheetId="1" hidden="1">Opportunities!$B$2:$Q$2</definedName>
    <definedName name="AddInfoCommentBox1">#REF!</definedName>
    <definedName name="AddInfoName1">#REF!</definedName>
    <definedName name="AddInfoTextBox1">#REF!</definedName>
    <definedName name="AURABOOKMARK4">#REF!</definedName>
    <definedName name="AuraStyleDefaultsReset" hidden="1">#N/A</definedName>
    <definedName name="AvgRate202109">#REF!</definedName>
    <definedName name="AvgRate2022">#REF!</definedName>
    <definedName name="AvgRate202409">#REF!</definedName>
    <definedName name="benchmark">Portfolio_Mgmt!$C$10</definedName>
    <definedName name="Cash_Yield">Portfolio_Mgmt!$C$11</definedName>
    <definedName name="CDC">#REF!</definedName>
    <definedName name="Chinese_Client_Name">#REF!</definedName>
    <definedName name="Client_Name">#REF!</definedName>
    <definedName name="ClosingRate202109">#REF!</definedName>
    <definedName name="ClosingRate2022">#REF!</definedName>
    <definedName name="ClosingRate202403">#REF!</definedName>
    <definedName name="ClosingRate202409">#REF!</definedName>
    <definedName name="CommentBox1a">#REF!</definedName>
    <definedName name="Currency">#REF!</definedName>
    <definedName name="CY">#REF!</definedName>
    <definedName name="exchange_rate">[1]白银数据!$F$2</definedName>
    <definedName name="GMV">#REF!</definedName>
    <definedName name="Long_term_loans">#REF!</definedName>
    <definedName name="Name10c">#REF!</definedName>
    <definedName name="Name1a">#REF!</definedName>
    <definedName name="Name1b">#REF!</definedName>
    <definedName name="Name1c">#REF!</definedName>
    <definedName name="Name1d">#REF!</definedName>
    <definedName name="Name1e">#REF!</definedName>
    <definedName name="Name1f">#REF!</definedName>
    <definedName name="Name2a">#REF!</definedName>
    <definedName name="Name2b">#REF!</definedName>
    <definedName name="Name3a">#REF!</definedName>
    <definedName name="Name3b">#REF!</definedName>
    <definedName name="Name3c">#REF!</definedName>
    <definedName name="Name4a">#REF!</definedName>
    <definedName name="Name4b">#REF!</definedName>
    <definedName name="NSProjectionMethodIndex">#REF!</definedName>
    <definedName name="NSRequiredLevelOfEvidenceItems">#REF!</definedName>
    <definedName name="NSTargetedTestingItems">#REF!</definedName>
    <definedName name="PDC">#REF!</definedName>
    <definedName name="Period_Ended">#REF!</definedName>
    <definedName name="PIE">#REF!</definedName>
    <definedName name="PY">#REF!</definedName>
    <definedName name="Scenario_Copy">#REF!</definedName>
    <definedName name="Scenario_Count">#REF!</definedName>
    <definedName name="Scenario_Paste">#REF!</definedName>
    <definedName name="Scenario_Switch">#REF!</definedName>
    <definedName name="TextBox1a">#REF!</definedName>
    <definedName name="TTDesiredLevelOfEvidenceItems">#REF!</definedName>
    <definedName name="TwoStepMisstatementIdentified">#REF!</definedName>
    <definedName name="TwoStepTolerableEstMisstmtCalc">#REF!</definedName>
    <definedName name="WW3f877d8e32714ec8a8180854ed7f8276_634328481945590045" hidden="1">#REF!</definedName>
    <definedName name="WW3f877d8e32714ec8a8180854ed7f8276_634328482352282765" hidden="1">#REF!</definedName>
    <definedName name="Year">#REF!</definedName>
    <definedName name="黄色">#REF!,#REF!,#REF!,#REF!,#REF!,#REF!,#REF!,#REF!,#REF!,#REF!,#REF!,#REF!,#REF!,#REF!,#REF!,#REF!,#REF!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E23" i="7"/>
  <c r="E7" i="7"/>
  <c r="F7" i="7" s="1"/>
  <c r="F9" i="7" s="1"/>
  <c r="G7" i="7" s="1"/>
  <c r="F12" i="7" l="1"/>
  <c r="F23" i="7"/>
  <c r="F22" i="7"/>
  <c r="F21" i="7"/>
  <c r="F20" i="7"/>
  <c r="F13" i="7"/>
  <c r="F6" i="7"/>
  <c r="F5" i="7"/>
  <c r="F4" i="7"/>
  <c r="C31" i="5"/>
  <c r="G13" i="7" l="1"/>
  <c r="F15" i="7"/>
  <c r="E60" i="5"/>
  <c r="C36" i="5"/>
  <c r="F19" i="7" l="1"/>
  <c r="F25" i="7" s="1"/>
  <c r="G15" i="7"/>
  <c r="E61" i="5"/>
  <c r="C16" i="2"/>
  <c r="C10" i="5" s="1"/>
  <c r="C11" i="5"/>
  <c r="E6" i="2"/>
  <c r="E5" i="2"/>
  <c r="E4" i="2"/>
  <c r="D112" i="5" l="1"/>
  <c r="C64" i="5"/>
  <c r="C65" i="5" s="1"/>
  <c r="G21" i="7" l="1"/>
  <c r="G19" i="7"/>
  <c r="G22" i="7"/>
  <c r="G23" i="7"/>
  <c r="G20" i="7"/>
  <c r="G5" i="7"/>
  <c r="G4" i="7"/>
  <c r="G3" i="7"/>
  <c r="G6" i="7"/>
  <c r="G25" i="7" l="1"/>
  <c r="G9" i="7"/>
</calcChain>
</file>

<file path=xl/sharedStrings.xml><?xml version="1.0" encoding="utf-8"?>
<sst xmlns="http://schemas.openxmlformats.org/spreadsheetml/2006/main" count="329" uniqueCount="267">
  <si>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</si>
  <si>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</si>
  <si>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</si>
  <si>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</si>
  <si>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</si>
  <si>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</si>
  <si>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</si>
  <si>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</si>
  <si>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</si>
  <si>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</si>
  <si>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</si>
  <si>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</si>
  <si>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</si>
  <si>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</si>
  <si>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</si>
  <si>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</si>
  <si>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</si>
  <si>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</si>
  <si>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</si>
  <si>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</si>
  <si>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</si>
  <si>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</si>
  <si>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</si>
  <si>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</si>
  <si>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</si>
  <si>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</si>
  <si>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</si>
  <si>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</si>
  <si>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</si>
  <si>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</si>
  <si>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</si>
  <si>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</si>
  <si>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</si>
  <si>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</si>
  <si>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</si>
  <si>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</si>
  <si>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</si>
  <si>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</si>
  <si>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</si>
  <si>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</si>
  <si>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</si>
  <si>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</si>
  <si>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</si>
  <si>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</si>
  <si>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</si>
  <si>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</si>
  <si>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</si>
  <si>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</si>
  <si>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</si>
  <si>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</si>
  <si>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</si>
  <si>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</si>
  <si>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</si>
  <si>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</si>
  <si>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</si>
  <si>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</si>
  <si>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</si>
  <si>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</si>
  <si>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</si>
  <si>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</si>
  <si>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</si>
  <si>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</si>
  <si>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</si>
  <si>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</si>
  <si>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</si>
  <si>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</si>
  <si>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</si>
  <si>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</si>
  <si>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</si>
  <si>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</si>
  <si>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</si>
  <si>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</si>
  <si>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</si>
  <si>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</si>
  <si>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</si>
  <si>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</si>
  <si>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</si>
  <si>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</si>
  <si>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</si>
  <si>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</si>
  <si>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</si>
  <si>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</si>
  <si>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</si>
  <si>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</si>
  <si>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</si>
  <si>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</si>
  <si>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</si>
  <si>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</si>
  <si>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</si>
  <si>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</si>
  <si>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</si>
  <si>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</si>
  <si>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</si>
  <si>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</si>
  <si>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</si>
  <si>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</si>
  <si>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</si>
  <si>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</si>
  <si>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</si>
  <si>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</si>
  <si>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</si>
  <si>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</si>
  <si>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</si>
  <si>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</si>
  <si>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</si>
  <si>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</si>
  <si>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</si>
  <si>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</si>
  <si>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</si>
  <si>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</si>
  <si>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</si>
  <si>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</si>
  <si>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</si>
  <si>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</si>
  <si>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</si>
  <si>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</si>
  <si>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</si>
  <si>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</si>
  <si>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</si>
  <si>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</si>
  <si>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</si>
  <si>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</si>
  <si>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</si>
  <si>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</si>
  <si>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</si>
  <si>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</si>
  <si>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</si>
  <si>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</si>
  <si>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</si>
  <si>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</si>
  <si>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</si>
  <si>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</si>
  <si>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</si>
  <si>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</si>
  <si>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</si>
  <si>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</si>
  <si>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</si>
  <si>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</si>
  <si>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</si>
  <si>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</si>
  <si>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</si>
  <si>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</si>
  <si>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</si>
  <si>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</si>
  <si>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</si>
  <si>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</si>
  <si>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</si>
  <si>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</si>
  <si>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</si>
  <si>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</si>
  <si>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</si>
  <si>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</si>
  <si>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</si>
  <si>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</si>
  <si>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</si>
  <si>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</si>
  <si>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</si>
  <si>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</si>
  <si>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</si>
  <si>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</si>
  <si>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</si>
  <si>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</si>
  <si>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</si>
  <si>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</si>
  <si>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</si>
  <si>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</si>
  <si>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</si>
  <si>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</si>
  <si>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</si>
  <si>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</si>
  <si>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</si>
  <si>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</si>
  <si>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</si>
  <si>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</si>
  <si>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</si>
  <si>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</si>
  <si>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</si>
  <si>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</si>
  <si>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</si>
  <si>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</si>
  <si>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</si>
  <si>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</si>
  <si>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</si>
  <si>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</si>
  <si>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</si>
  <si>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</si>
  <si>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</si>
  <si>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</si>
  <si>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</si>
  <si>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</si>
  <si>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</si>
  <si>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</si>
  <si>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</si>
  <si>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</si>
  <si>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</si>
  <si>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</si>
  <si>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</si>
  <si>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</si>
  <si>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</si>
  <si>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</si>
  <si>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</si>
  <si>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</si>
  <si>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</si>
  <si>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</si>
  <si>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</si>
  <si>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</si>
  <si>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</si>
  <si>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</si>
  <si>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</si>
  <si>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</si>
  <si>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</si>
  <si>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</si>
  <si>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</si>
  <si>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</si>
  <si>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</si>
  <si>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</si>
  <si>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</si>
  <si>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</si>
  <si>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</si>
  <si>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</si>
  <si>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</si>
  <si>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</si>
  <si>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</si>
  <si>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</si>
  <si>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</si>
  <si>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</si>
  <si>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</si>
  <si>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</si>
  <si>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</si>
  <si>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</si>
  <si>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</si>
  <si>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</si>
  <si>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</si>
  <si>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</si>
  <si>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Total</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</si>
  <si>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</si>
  <si>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</si>
  <si>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</si>
  <si>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</si>
  <si>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</si>
  <si>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</si>
  <si>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</si>
  <si>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</si>
  <si>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</si>
  <si>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</si>
  <si>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</si>
  <si>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</si>
  <si>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</si>
  <si>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</si>
  <si>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</si>
  <si>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</si>
  <si>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</si>
  <si>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</si>
  <si>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</si>
  <si>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</si>
  <si>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</si>
  <si>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</si>
  <si>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</si>
  <si>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</si>
  <si>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</si>
  <si>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</si>
  <si>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</si>
  <si>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2331.HK</t>
    <phoneticPr fontId="2" type="noConversion"/>
  </si>
  <si>
    <t>Planning</t>
    <phoneticPr fontId="2" type="noConversion"/>
  </si>
  <si>
    <t>Beg. Cash Balance</t>
    <phoneticPr fontId="2" type="noConversion"/>
  </si>
  <si>
    <t>End. Cash Balance</t>
    <phoneticPr fontId="2" type="noConversion"/>
  </si>
  <si>
    <t>Projected Holdings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</si>
</sst>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34">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98">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79" fontId="33" fillId="0" borderId="0" xfId="0" applyNumberFormat="1" applyFont="1" applyAlignment="1">
      <alignment horizontal="right"/>
    </xf>
    <xf numFmtId="180"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79" fontId="30" fillId="0" borderId="3" xfId="0" applyNumberFormat="1" applyFont="1" applyBorder="1" applyAlignment="1">
      <alignment horizontal="right"/>
    </xf>
    <xf numFmtId="180"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79" fontId="31" fillId="0" borderId="3" xfId="0" applyNumberFormat="1" applyFont="1" applyBorder="1" applyAlignment="1">
      <alignment horizontal="right"/>
    </xf>
    <xf numFmtId="0" fontId="31" fillId="0" borderId="3" xfId="0" applyFont="1" applyBorder="1" applyAlignment="1">
      <alignment horizontal="center"/>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 Id="rId1"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财务预测&gt;"/>
      <sheetName val="数商时代"/>
      <sheetName val="PSP计划"/>
      <sheetName val="PSP相关费用"/>
      <sheetName val="财务分析&gt;"/>
      <sheetName val="审计数据"/>
      <sheetName val="白银数据"/>
      <sheetName val="PSP分析"/>
      <sheetName val="原始数据&gt;"/>
      <sheetName val="CK12_PL 20240930"/>
      <sheetName val="白银智勤 TB 20240930"/>
      <sheetName val="白银智勤审计数据"/>
      <sheetName val="智勤商城数据"/>
      <sheetName val="智勤优品数据"/>
      <sheetName val="2024年3月31日年度(12個月)"/>
      <sheetName val="2023年3月31日年度(12個月)"/>
      <sheetName val="2024年4月至12月(9個月)"/>
      <sheetName val="利润表2024年9期"/>
      <sheetName val="链嬴"/>
      <sheetName val="Sheet1"/>
    </sheetNames>
    <sheetDataSet>
      <sheetData sheetId="0" refreshError="1"/>
      <sheetData sheetId="1" refreshError="1"/>
      <sheetData sheetId="2" refreshError="1"/>
      <sheetData sheetId="3" refreshError="1"/>
      <sheetData sheetId="4" refreshError="1"/>
      <sheetData sheetId="5" refreshError="1"/>
      <sheetData sheetId="6">
        <row r="2">
          <cell r="F2">
            <v>0.92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F13" sqref="F13"/>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88" t="s">
        <v>221</v>
      </c>
      <c r="C4" s="88"/>
      <c r="D4" s="88"/>
      <c r="E4" s="88"/>
    </row>
    <row r="6" spans="1:5">
      <c r="A6" s="20" t="s">
        <v>66</v>
      </c>
      <c r="B6" s="19" t="s">
        <v>204</v>
      </c>
      <c r="C6" s="62"/>
    </row>
    <row r="7" spans="1:5">
      <c r="B7" s="88" t="s">
        <v>209</v>
      </c>
      <c r="C7" s="88"/>
      <c r="D7" s="88"/>
      <c r="E7" s="88"/>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2"/>
    </row>
    <row r="24" spans="1:5">
      <c r="A24" s="18"/>
      <c r="B24" s="88" t="s">
        <v>220</v>
      </c>
      <c r="C24" s="88"/>
      <c r="D24" s="88"/>
      <c r="E24" s="88"/>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0.25</v>
      </c>
      <c r="D35" s="18" t="s">
        <v>56</v>
      </c>
      <c r="E35" s="50">
        <v>3</v>
      </c>
    </row>
    <row r="36" spans="1:5">
      <c r="B36" s="1" t="s">
        <v>17</v>
      </c>
      <c r="C36" s="49">
        <f>MAX(8%,Market_Yield!C4:D6)</f>
        <v>0.08</v>
      </c>
    </row>
    <row r="38" spans="1:5">
      <c r="B38" s="20" t="s">
        <v>87</v>
      </c>
    </row>
    <row r="39" spans="1:5">
      <c r="B39" s="88" t="s">
        <v>156</v>
      </c>
      <c r="C39" s="88"/>
      <c r="D39" s="88"/>
      <c r="E39" s="88"/>
    </row>
    <row r="40" spans="1:5" ht="46.6" customHeight="1">
      <c r="B40" s="88" t="s">
        <v>236</v>
      </c>
      <c r="C40" s="88"/>
      <c r="D40" s="88"/>
      <c r="E40" s="88"/>
    </row>
    <row r="42" spans="1:5">
      <c r="A42" s="21" t="s">
        <v>187</v>
      </c>
      <c r="B42" s="21"/>
      <c r="C42" s="21"/>
      <c r="D42" s="21"/>
      <c r="E42" s="21"/>
    </row>
    <row r="44" spans="1:5">
      <c r="B44" s="88" t="s">
        <v>208</v>
      </c>
      <c r="C44" s="88"/>
      <c r="D44" s="88"/>
      <c r="E44" s="88"/>
    </row>
    <row r="46" spans="1:5">
      <c r="B46" s="23" t="s">
        <v>92</v>
      </c>
    </row>
    <row r="48" spans="1:5">
      <c r="B48" s="51" t="s">
        <v>93</v>
      </c>
      <c r="C48" s="51" t="s">
        <v>199</v>
      </c>
      <c r="D48" s="57"/>
      <c r="E48" s="57"/>
    </row>
    <row r="49" spans="2:5">
      <c r="B49" s="26" t="s">
        <v>89</v>
      </c>
      <c r="C49" s="29">
        <v>0.6</v>
      </c>
      <c r="D49" s="58"/>
      <c r="E49" s="56"/>
    </row>
    <row r="50" spans="2:5">
      <c r="B50" s="26" t="s">
        <v>90</v>
      </c>
      <c r="C50" s="29">
        <v>0.4</v>
      </c>
      <c r="D50" s="58"/>
      <c r="E50" s="56"/>
    </row>
    <row r="51" spans="2:5">
      <c r="B51" s="26" t="s">
        <v>91</v>
      </c>
      <c r="C51" s="29">
        <v>0.3</v>
      </c>
      <c r="D51" s="63" t="s">
        <v>222</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4" t="s">
        <v>173</v>
      </c>
      <c r="C64" s="55">
        <f>-E61*(C35-Cash_Yield)</f>
        <v>-8.6199999999999999E-2</v>
      </c>
    </row>
    <row r="65" spans="1:5">
      <c r="B65" s="54" t="s">
        <v>174</v>
      </c>
      <c r="C65" s="55">
        <f>C35+C64</f>
        <v>0.1638</v>
      </c>
    </row>
    <row r="66" spans="1:5">
      <c r="B66" s="45"/>
      <c r="C66" s="46"/>
    </row>
    <row r="67" spans="1:5">
      <c r="B67" s="39" t="s">
        <v>202</v>
      </c>
    </row>
    <row r="69" spans="1:5">
      <c r="A69" s="21" t="s">
        <v>82</v>
      </c>
      <c r="B69" s="21"/>
      <c r="C69" s="21"/>
      <c r="D69" s="21"/>
      <c r="E69" s="21"/>
    </row>
    <row r="71" spans="1:5">
      <c r="B71" s="88" t="s">
        <v>196</v>
      </c>
      <c r="C71" s="88"/>
      <c r="D71" s="88"/>
      <c r="E71" s="88"/>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89" t="s">
        <v>192</v>
      </c>
      <c r="C85" s="89"/>
      <c r="D85" s="89"/>
      <c r="E85" s="89"/>
    </row>
    <row r="86" spans="1:5">
      <c r="B86" s="87" t="s">
        <v>190</v>
      </c>
      <c r="C86" s="87"/>
      <c r="D86" s="87"/>
      <c r="E86" s="87"/>
    </row>
    <row r="87" spans="1:5" ht="24.4" customHeight="1">
      <c r="B87" s="88" t="s">
        <v>189</v>
      </c>
      <c r="C87" s="88"/>
      <c r="D87" s="88"/>
      <c r="E87" s="88"/>
    </row>
    <row r="88" spans="1:5" ht="24.4" customHeight="1">
      <c r="B88" s="88" t="s">
        <v>225</v>
      </c>
      <c r="C88" s="88"/>
      <c r="D88" s="88"/>
      <c r="E88" s="88"/>
    </row>
    <row r="90" spans="1:5">
      <c r="B90" s="24" t="s">
        <v>194</v>
      </c>
    </row>
    <row r="91" spans="1:5">
      <c r="B91" s="1" t="s">
        <v>193</v>
      </c>
    </row>
    <row r="92" spans="1:5">
      <c r="B92" s="61" t="s">
        <v>182</v>
      </c>
    </row>
    <row r="93" spans="1:5">
      <c r="B93" s="24" t="s">
        <v>195</v>
      </c>
    </row>
    <row r="94" spans="1:5">
      <c r="B94" s="24" t="s">
        <v>183</v>
      </c>
    </row>
    <row r="96" spans="1:5">
      <c r="B96" s="24" t="s">
        <v>210</v>
      </c>
    </row>
    <row r="97" spans="1:5">
      <c r="B97" s="90" t="s">
        <v>211</v>
      </c>
      <c r="C97" s="90"/>
      <c r="D97" s="90"/>
      <c r="E97" s="90"/>
    </row>
    <row r="99" spans="1:5">
      <c r="B99" s="24" t="s">
        <v>215</v>
      </c>
    </row>
    <row r="100" spans="1:5" ht="12.4">
      <c r="B100" s="90" t="s">
        <v>212</v>
      </c>
      <c r="C100" s="90"/>
      <c r="D100" s="90"/>
      <c r="E100" s="90"/>
    </row>
    <row r="101" spans="1:5" ht="58.5" customHeight="1">
      <c r="B101" s="88" t="s">
        <v>219</v>
      </c>
      <c r="C101" s="88"/>
      <c r="D101" s="88"/>
      <c r="E101" s="88"/>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0.13078963304662303</v>
      </c>
      <c r="D112" s="62" t="str">
        <f>IF(C112&lt;benchmark,"Warning: Return is lower than the Benchmark.","")</f>
        <v/>
      </c>
    </row>
    <row r="114" spans="1:5" ht="24.4" customHeight="1">
      <c r="B114" s="88" t="s">
        <v>217</v>
      </c>
      <c r="C114" s="88"/>
      <c r="D114" s="88"/>
      <c r="E114" s="88"/>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F2" sqref="F2"/>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94" t="s">
        <v>1</v>
      </c>
      <c r="E1" s="94"/>
      <c r="F1" s="94"/>
      <c r="G1" s="95" t="s">
        <v>101</v>
      </c>
      <c r="H1" s="95"/>
      <c r="I1" s="95"/>
      <c r="J1" s="91" t="s">
        <v>5</v>
      </c>
      <c r="K1" s="91"/>
      <c r="L1" s="92" t="s">
        <v>9</v>
      </c>
      <c r="M1" s="92"/>
      <c r="N1" s="93" t="s">
        <v>53</v>
      </c>
      <c r="O1" s="93"/>
      <c r="P1" s="93"/>
      <c r="Q1" s="93"/>
    </row>
    <row r="2" spans="1:17" ht="26" customHeight="1">
      <c r="B2" s="7" t="s">
        <v>3</v>
      </c>
      <c r="C2" s="7" t="s">
        <v>0</v>
      </c>
      <c r="D2" s="8" t="s">
        <v>1</v>
      </c>
      <c r="E2" s="7" t="s">
        <v>2</v>
      </c>
      <c r="F2" s="7" t="s">
        <v>11</v>
      </c>
      <c r="G2" s="7" t="s">
        <v>61</v>
      </c>
      <c r="H2" s="7" t="s">
        <v>62</v>
      </c>
      <c r="I2" s="7" t="s">
        <v>214</v>
      </c>
      <c r="J2" s="8" t="s">
        <v>8</v>
      </c>
      <c r="K2" s="8" t="s">
        <v>12</v>
      </c>
      <c r="L2" s="7" t="s">
        <v>13</v>
      </c>
      <c r="M2" s="7" t="s">
        <v>7</v>
      </c>
      <c r="N2" s="7" t="s">
        <v>6</v>
      </c>
      <c r="O2" s="7" t="s">
        <v>14</v>
      </c>
      <c r="P2" s="9" t="s">
        <v>10</v>
      </c>
      <c r="Q2" s="10" t="s">
        <v>52</v>
      </c>
    </row>
    <row r="3" spans="1:17">
      <c r="B3" s="11" t="s">
        <v>260</v>
      </c>
      <c r="C3" s="11" t="s">
        <v>261</v>
      </c>
      <c r="D3" s="2">
        <v>14.62</v>
      </c>
      <c r="E3" s="12" t="s">
        <v>160</v>
      </c>
      <c r="F3" s="15">
        <v>0.22170440631904209</v>
      </c>
      <c r="G3" s="15">
        <f>F3 - Portfolio_Mgmt!$C$10</f>
        <v>0.10430440631904209</v>
      </c>
      <c r="H3" s="15">
        <f>F3 - Portfolio_Mgmt!$C$11</f>
        <v>0.18720440631904209</v>
      </c>
      <c r="I3" s="15">
        <v>0.26604528758285051</v>
      </c>
      <c r="J3" s="2">
        <v>13.677042438413379</v>
      </c>
      <c r="K3" s="2">
        <v>24.622857747833486</v>
      </c>
      <c r="L3" s="4">
        <v>6.4508135967563232E-2</v>
      </c>
      <c r="M3" s="4">
        <v>3.749843268269646E-2</v>
      </c>
      <c r="N3" s="13" t="s">
        <v>248</v>
      </c>
      <c r="O3" s="11" t="s">
        <v>162</v>
      </c>
      <c r="P3" s="14">
        <v>45900</v>
      </c>
      <c r="Q3" s="11" t="s">
        <v>163</v>
      </c>
    </row>
    <row r="4" spans="1:17">
      <c r="B4" s="11" t="s">
        <v>237</v>
      </c>
      <c r="C4" s="11" t="s">
        <v>238</v>
      </c>
      <c r="D4" s="2">
        <v>5.8</v>
      </c>
      <c r="E4" s="12" t="s">
        <v>160</v>
      </c>
      <c r="F4" s="15">
        <v>0.1784289263913903</v>
      </c>
      <c r="G4" s="15">
        <f>F4 - Portfolio_Mgmt!$C$10</f>
        <v>6.1028926391390292E-2</v>
      </c>
      <c r="H4" s="15">
        <f>F4 - Portfolio_Mgmt!$C$11</f>
        <v>0.14392892639139029</v>
      </c>
      <c r="I4" s="15">
        <v>0.21411471166966836</v>
      </c>
      <c r="J4" s="2">
        <v>4.91520725037517</v>
      </c>
      <c r="K4" s="2">
        <v>7.9151197774737954</v>
      </c>
      <c r="L4" s="4">
        <v>0.13256816715305939</v>
      </c>
      <c r="M4" s="4">
        <v>7.6196467311032592E-2</v>
      </c>
      <c r="N4" s="13" t="s">
        <v>240</v>
      </c>
      <c r="O4" s="11" t="s">
        <v>239</v>
      </c>
      <c r="P4" s="14">
        <v>45900</v>
      </c>
      <c r="Q4" s="11" t="s">
        <v>163</v>
      </c>
    </row>
    <row r="5" spans="1:17">
      <c r="B5" s="11" t="s">
        <v>241</v>
      </c>
      <c r="C5" s="11" t="s">
        <v>242</v>
      </c>
      <c r="D5" s="2">
        <v>54.25</v>
      </c>
      <c r="E5" s="12" t="s">
        <v>160</v>
      </c>
      <c r="F5" s="15">
        <v>0.16523666770490664</v>
      </c>
      <c r="G5" s="15">
        <f>F5 - Portfolio_Mgmt!$C$10</f>
        <v>4.7836667704906632E-2</v>
      </c>
      <c r="H5" s="15">
        <f>F5 - Portfolio_Mgmt!$C$11</f>
        <v>0.13073666770490663</v>
      </c>
      <c r="I5" s="15">
        <v>0.11984000074748113</v>
      </c>
      <c r="J5" s="2">
        <v>44.250954726078248</v>
      </c>
      <c r="K5" s="2">
        <v>78.564693346218675</v>
      </c>
      <c r="L5" s="4">
        <v>4.1491316575080379E-2</v>
      </c>
      <c r="M5" s="4">
        <v>3.8016844194438813E-2</v>
      </c>
      <c r="N5" s="13" t="s">
        <v>243</v>
      </c>
      <c r="O5" s="11" t="s">
        <v>162</v>
      </c>
      <c r="P5" s="14">
        <v>45900</v>
      </c>
      <c r="Q5" s="11" t="s">
        <v>249</v>
      </c>
    </row>
    <row r="6" spans="1:17">
      <c r="B6" s="11" t="s">
        <v>253</v>
      </c>
      <c r="C6" s="11" t="s">
        <v>254</v>
      </c>
      <c r="D6" s="2">
        <v>20.079999999999998</v>
      </c>
      <c r="E6" s="12" t="s">
        <v>255</v>
      </c>
      <c r="F6" s="15">
        <v>0.16060765378265396</v>
      </c>
      <c r="G6" s="15">
        <f>F6 - Portfolio_Mgmt!$C$10</f>
        <v>4.3207653782653954E-2</v>
      </c>
      <c r="H6" s="15">
        <f>F6 - Portfolio_Mgmt!$C$11</f>
        <v>0.12610765378265396</v>
      </c>
      <c r="I6" s="15">
        <v>0</v>
      </c>
      <c r="J6" s="2">
        <v>16.165402289394244</v>
      </c>
      <c r="K6" s="2">
        <v>29.309951346473134</v>
      </c>
      <c r="L6" s="4">
        <v>0.22703991769612522</v>
      </c>
      <c r="M6" s="4">
        <v>2.956175298804781E-2</v>
      </c>
      <c r="N6" s="13" t="s">
        <v>256</v>
      </c>
      <c r="O6" s="11" t="s">
        <v>162</v>
      </c>
      <c r="P6" s="14">
        <v>45900</v>
      </c>
      <c r="Q6" s="11" t="s">
        <v>163</v>
      </c>
    </row>
    <row r="7" spans="1:17">
      <c r="B7" s="11" t="s">
        <v>158</v>
      </c>
      <c r="C7" s="11" t="s">
        <v>159</v>
      </c>
      <c r="D7" s="2">
        <v>16.440000000000001</v>
      </c>
      <c r="E7" s="12" t="s">
        <v>160</v>
      </c>
      <c r="F7" s="15">
        <v>0.15374754303551685</v>
      </c>
      <c r="G7" s="15">
        <f>F7 - Portfolio_Mgmt!$C$10</f>
        <v>3.6347543035516849E-2</v>
      </c>
      <c r="H7" s="15">
        <f>F7 - Portfolio_Mgmt!$C$11</f>
        <v>0.11924754303551685</v>
      </c>
      <c r="I7" s="15">
        <v>0</v>
      </c>
      <c r="J7" s="2">
        <v>13.155317996540354</v>
      </c>
      <c r="K7" s="2">
        <v>20.508980461992877</v>
      </c>
      <c r="L7" s="4">
        <v>0.10510863864778767</v>
      </c>
      <c r="M7" s="4">
        <v>8.2725060827250604E-2</v>
      </c>
      <c r="N7" s="13" t="s">
        <v>161</v>
      </c>
      <c r="O7" s="11" t="s">
        <v>162</v>
      </c>
      <c r="P7" s="14">
        <v>45808</v>
      </c>
      <c r="Q7" s="11" t="s">
        <v>163</v>
      </c>
    </row>
    <row r="8" spans="1:17">
      <c r="B8" s="11" t="s">
        <v>164</v>
      </c>
      <c r="C8" s="11" t="s">
        <v>165</v>
      </c>
      <c r="D8" s="2">
        <v>7.85</v>
      </c>
      <c r="E8" s="12" t="s">
        <v>160</v>
      </c>
      <c r="F8" s="15">
        <v>0.12105292184429062</v>
      </c>
      <c r="G8" s="15">
        <f>F8 - Portfolio_Mgmt!$C$10</f>
        <v>3.6529218442906131E-3</v>
      </c>
      <c r="H8" s="15">
        <f>F8 - Portfolio_Mgmt!$C$11</f>
        <v>8.6552921844290615E-2</v>
      </c>
      <c r="I8" s="15">
        <v>0</v>
      </c>
      <c r="J8" s="2">
        <v>5.7917118707600084</v>
      </c>
      <c r="K8" s="2">
        <v>9.1006872475781417</v>
      </c>
      <c r="L8" s="4">
        <v>3.9350111080543315E-2</v>
      </c>
      <c r="M8" s="4">
        <v>7.3885350318471335E-2</v>
      </c>
      <c r="N8" s="13" t="s">
        <v>166</v>
      </c>
      <c r="O8" s="11" t="s">
        <v>167</v>
      </c>
      <c r="P8" s="14">
        <v>45900</v>
      </c>
      <c r="Q8" s="11" t="s">
        <v>163</v>
      </c>
    </row>
    <row r="9" spans="1:17">
      <c r="B9" s="11" t="s">
        <v>246</v>
      </c>
      <c r="C9" s="11" t="s">
        <v>247</v>
      </c>
      <c r="D9" s="2">
        <v>14.26</v>
      </c>
      <c r="E9" s="12" t="s">
        <v>160</v>
      </c>
      <c r="F9" s="15">
        <v>0.10954171828338932</v>
      </c>
      <c r="G9" s="15">
        <f>F9 - Portfolio_Mgmt!$C$10</f>
        <v>-7.8582817166106822E-3</v>
      </c>
      <c r="H9" s="15">
        <f>F9 - Portfolio_Mgmt!$C$11</f>
        <v>7.5041718283389319E-2</v>
      </c>
      <c r="I9" s="15">
        <v>0</v>
      </c>
      <c r="J9" s="2">
        <v>10.174176386967826</v>
      </c>
      <c r="K9" s="2">
        <v>16.694869127046534</v>
      </c>
      <c r="L9" s="4">
        <v>0.10764138310388582</v>
      </c>
      <c r="M9" s="4">
        <v>5.8429064516129031E-2</v>
      </c>
      <c r="N9" s="13" t="s">
        <v>248</v>
      </c>
      <c r="O9" s="11" t="s">
        <v>250</v>
      </c>
      <c r="P9" s="14">
        <v>45900</v>
      </c>
      <c r="Q9" s="11" t="s">
        <v>249</v>
      </c>
    </row>
    <row r="10" spans="1:17">
      <c r="B10" s="11" t="s">
        <v>168</v>
      </c>
      <c r="C10" s="11" t="s">
        <v>169</v>
      </c>
      <c r="D10" s="2">
        <v>2.2999999999999998</v>
      </c>
      <c r="E10" s="12" t="s">
        <v>160</v>
      </c>
      <c r="F10" s="15">
        <v>0.10185445179346719</v>
      </c>
      <c r="G10" s="15">
        <f>F10 - Portfolio_Mgmt!$C$10</f>
        <v>-1.5545548206532811E-2</v>
      </c>
      <c r="H10" s="15">
        <f>F10 - Portfolio_Mgmt!$C$11</f>
        <v>6.735445179346719E-2</v>
      </c>
      <c r="I10" s="15">
        <v>0</v>
      </c>
      <c r="J10" s="2">
        <v>1.6044036483689859</v>
      </c>
      <c r="K10" s="2">
        <v>2.6975644131821959</v>
      </c>
      <c r="L10" s="4">
        <v>3.5732763614444767E-2</v>
      </c>
      <c r="M10" s="4">
        <v>4.972618247053226E-2</v>
      </c>
      <c r="N10" s="16" t="s">
        <v>170</v>
      </c>
      <c r="O10" s="11" t="s">
        <v>171</v>
      </c>
      <c r="P10" s="14">
        <v>45900</v>
      </c>
      <c r="Q10" s="11" t="s">
        <v>163</v>
      </c>
    </row>
    <row r="11" spans="1:17">
      <c r="B11" s="11" t="s">
        <v>257</v>
      </c>
      <c r="C11" s="11" t="s">
        <v>258</v>
      </c>
      <c r="D11" s="2">
        <v>28.81</v>
      </c>
      <c r="E11" s="12" t="s">
        <v>255</v>
      </c>
      <c r="F11" s="15">
        <v>9.408289080523935E-2</v>
      </c>
      <c r="G11" s="15">
        <f>F11 - Portfolio_Mgmt!$C$10</f>
        <v>-2.3317109194760655E-2</v>
      </c>
      <c r="H11" s="15">
        <f>F11 - Portfolio_Mgmt!$C$11</f>
        <v>5.9582890805239347E-2</v>
      </c>
      <c r="I11" s="15">
        <v>0</v>
      </c>
      <c r="J11" s="2">
        <v>19.745207945921621</v>
      </c>
      <c r="K11" s="2">
        <v>32.464859269378167</v>
      </c>
      <c r="L11" s="4">
        <v>8.8134932571433455E-2</v>
      </c>
      <c r="M11" s="4">
        <v>5.5536272127733433E-2</v>
      </c>
      <c r="N11" s="13" t="s">
        <v>259</v>
      </c>
      <c r="O11" s="11" t="s">
        <v>162</v>
      </c>
      <c r="P11" s="14">
        <v>45900</v>
      </c>
      <c r="Q11" s="11" t="s">
        <v>163</v>
      </c>
    </row>
    <row r="12" spans="1:17">
      <c r="B12" s="11" t="s">
        <v>251</v>
      </c>
      <c r="C12" s="11" t="s">
        <v>252</v>
      </c>
      <c r="D12" s="2">
        <v>52.2</v>
      </c>
      <c r="E12" s="12" t="s">
        <v>160</v>
      </c>
      <c r="F12" s="15">
        <v>9.2083708290373378E-2</v>
      </c>
      <c r="G12" s="15">
        <f>F12 - Portfolio_Mgmt!$C$10</f>
        <v>-2.5316291709626626E-2</v>
      </c>
      <c r="H12" s="15">
        <f>F12 - Portfolio_Mgmt!$C$11</f>
        <v>5.7583708290373375E-2</v>
      </c>
      <c r="I12" s="15">
        <v>0</v>
      </c>
      <c r="J12" s="2">
        <v>34.810338706696939</v>
      </c>
      <c r="K12" s="2">
        <v>67.988942786517455</v>
      </c>
      <c r="L12" s="4">
        <v>0.10069379612803481</v>
      </c>
      <c r="M12" s="4">
        <v>0</v>
      </c>
      <c r="N12" s="13" t="s">
        <v>248</v>
      </c>
      <c r="O12" s="11" t="s">
        <v>162</v>
      </c>
      <c r="P12" s="14">
        <v>45808</v>
      </c>
      <c r="Q12" s="11" t="s">
        <v>163</v>
      </c>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3"/>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6" sqref="C1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4.2900000000000001E-2</v>
      </c>
      <c r="D4" s="34">
        <v>7.4999999999999997E-2</v>
      </c>
      <c r="E4" s="35">
        <f>D4-C4</f>
        <v>3.2099999999999997E-2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G31"/>
  <sheetViews>
    <sheetView topLeftCell="A2" zoomScale="87" workbookViewId="0">
      <selection activeCell="G21" sqref="G21"/>
    </sheetView>
  </sheetViews>
  <sheetFormatPr defaultRowHeight="12.75"/>
  <cols>
    <col min="1" max="1" width="2.59765625" style="66" customWidth="1"/>
    <col min="2" max="2" width="16.59765625" style="66" bestFit="1" customWidth="1"/>
    <col min="3" max="4" width="9.06640625" style="66"/>
    <col min="5" max="6" width="15.59765625" style="66" customWidth="1"/>
    <col min="7" max="7" width="9.9296875" style="66" customWidth="1"/>
    <col min="8" max="16384" width="9.06640625" style="66"/>
  </cols>
  <sheetData>
    <row r="1" spans="1:7" ht="13.15">
      <c r="A1" s="64"/>
      <c r="B1" s="65" t="s">
        <v>226</v>
      </c>
    </row>
    <row r="2" spans="1:7" ht="29.65" customHeight="1">
      <c r="B2" s="67" t="s">
        <v>3</v>
      </c>
      <c r="C2" s="67" t="s">
        <v>229</v>
      </c>
      <c r="D2" s="67" t="s">
        <v>228</v>
      </c>
      <c r="E2" s="67" t="s">
        <v>227</v>
      </c>
      <c r="F2" s="67" t="s">
        <v>235</v>
      </c>
      <c r="G2" s="67" t="s">
        <v>245</v>
      </c>
    </row>
    <row r="3" spans="1:7">
      <c r="B3" s="78" t="s">
        <v>30</v>
      </c>
      <c r="C3" s="76" t="s">
        <v>233</v>
      </c>
      <c r="D3" s="75" t="s">
        <v>230</v>
      </c>
      <c r="E3" s="77" t="s">
        <v>233</v>
      </c>
      <c r="F3" s="72">
        <v>351395.62</v>
      </c>
      <c r="G3" s="74">
        <f>F3/$F$9</f>
        <v>0.43175061871716075</v>
      </c>
    </row>
    <row r="4" spans="1:7">
      <c r="B4" s="79" t="s">
        <v>232</v>
      </c>
      <c r="C4" s="71">
        <v>16.54</v>
      </c>
      <c r="D4" s="68" t="s">
        <v>230</v>
      </c>
      <c r="E4" s="72">
        <v>10000</v>
      </c>
      <c r="F4" s="77">
        <f>C4*E4</f>
        <v>165400</v>
      </c>
      <c r="G4" s="74">
        <f>F4/$F$9</f>
        <v>0.2032226592232948</v>
      </c>
    </row>
    <row r="5" spans="1:7">
      <c r="B5" s="79" t="s">
        <v>231</v>
      </c>
      <c r="C5" s="71">
        <v>7.4</v>
      </c>
      <c r="D5" s="68" t="s">
        <v>230</v>
      </c>
      <c r="E5" s="72">
        <v>20000</v>
      </c>
      <c r="F5" s="77">
        <f>E5*C5</f>
        <v>148000</v>
      </c>
      <c r="G5" s="74">
        <f>F5/$F$9</f>
        <v>0.18184373376691432</v>
      </c>
    </row>
    <row r="6" spans="1:7">
      <c r="B6" s="79" t="s">
        <v>244</v>
      </c>
      <c r="C6" s="71">
        <v>5.37</v>
      </c>
      <c r="D6" s="68" t="s">
        <v>230</v>
      </c>
      <c r="E6" s="72">
        <v>18000</v>
      </c>
      <c r="F6" s="77">
        <f>E6*C6</f>
        <v>96660</v>
      </c>
      <c r="G6" s="74">
        <f>F6/$F$9</f>
        <v>0.11876361693182391</v>
      </c>
    </row>
    <row r="7" spans="1:7">
      <c r="B7" s="79" t="s">
        <v>260</v>
      </c>
      <c r="C7" s="71">
        <v>14.98</v>
      </c>
      <c r="D7" s="68" t="s">
        <v>160</v>
      </c>
      <c r="E7" s="72">
        <f>500*7</f>
        <v>3500</v>
      </c>
      <c r="F7" s="77">
        <f>C7*E7</f>
        <v>52430</v>
      </c>
      <c r="G7" s="74">
        <f>F7/$F$9</f>
        <v>6.4419371360806207E-2</v>
      </c>
    </row>
    <row r="8" spans="1:7">
      <c r="B8" s="68"/>
      <c r="C8" s="71"/>
      <c r="D8" s="68"/>
    </row>
    <row r="9" spans="1:7" ht="13.15">
      <c r="B9" s="80"/>
      <c r="C9" s="81"/>
      <c r="D9" s="80"/>
      <c r="E9" s="82" t="s">
        <v>234</v>
      </c>
      <c r="F9" s="82">
        <f>SUM(F3:F7)</f>
        <v>813885.62</v>
      </c>
      <c r="G9" s="83">
        <f>SUM(G3:G7)</f>
        <v>1</v>
      </c>
    </row>
    <row r="10" spans="1:7">
      <c r="B10" s="68"/>
      <c r="C10" s="71"/>
      <c r="D10" s="68"/>
      <c r="E10" s="72"/>
      <c r="F10" s="72"/>
    </row>
    <row r="11" spans="1:7" ht="13.15">
      <c r="A11" s="64"/>
      <c r="B11" s="65" t="s">
        <v>263</v>
      </c>
      <c r="C11" s="71"/>
      <c r="D11" s="68"/>
      <c r="E11" s="72"/>
      <c r="F11" s="72"/>
    </row>
    <row r="12" spans="1:7">
      <c r="B12" s="78" t="s">
        <v>264</v>
      </c>
      <c r="C12" s="76" t="s">
        <v>233</v>
      </c>
      <c r="D12" s="75" t="s">
        <v>160</v>
      </c>
      <c r="E12" s="76" t="s">
        <v>233</v>
      </c>
      <c r="F12" s="77">
        <f>F3</f>
        <v>351395.62</v>
      </c>
      <c r="G12" s="74">
        <v>1</v>
      </c>
    </row>
    <row r="13" spans="1:7">
      <c r="B13" s="79" t="s">
        <v>260</v>
      </c>
      <c r="C13" s="71">
        <v>14.9</v>
      </c>
      <c r="D13" s="68" t="s">
        <v>160</v>
      </c>
      <c r="E13" s="72">
        <v>8000</v>
      </c>
      <c r="F13" s="77">
        <f>C13*E13</f>
        <v>119200</v>
      </c>
      <c r="G13" s="74">
        <f>F13/$F$12</f>
        <v>0.3392187984585579</v>
      </c>
    </row>
    <row r="14" spans="1:7">
      <c r="B14" s="79"/>
      <c r="C14" s="71"/>
      <c r="D14" s="68"/>
      <c r="E14" s="72"/>
      <c r="F14" s="72"/>
    </row>
    <row r="15" spans="1:7" ht="13.15">
      <c r="B15" s="84" t="s">
        <v>265</v>
      </c>
      <c r="C15" s="85" t="s">
        <v>233</v>
      </c>
      <c r="D15" s="86" t="s">
        <v>160</v>
      </c>
      <c r="E15" s="85" t="s">
        <v>233</v>
      </c>
      <c r="F15" s="82">
        <f>F12-F13</f>
        <v>232195.62</v>
      </c>
      <c r="G15" s="83">
        <f>F15/$F$12</f>
        <v>0.66078120154144204</v>
      </c>
    </row>
    <row r="16" spans="1:7">
      <c r="B16" s="68"/>
      <c r="C16" s="71"/>
      <c r="D16" s="68"/>
      <c r="E16" s="72"/>
      <c r="F16" s="72"/>
    </row>
    <row r="17" spans="1:7" ht="13.15">
      <c r="A17" s="64"/>
      <c r="B17" s="65" t="s">
        <v>266</v>
      </c>
    </row>
    <row r="18" spans="1:7" ht="26.25">
      <c r="B18" s="67" t="s">
        <v>3</v>
      </c>
      <c r="C18" s="67" t="s">
        <v>229</v>
      </c>
      <c r="D18" s="67" t="s">
        <v>228</v>
      </c>
      <c r="E18" s="67" t="s">
        <v>227</v>
      </c>
      <c r="F18" s="67" t="s">
        <v>235</v>
      </c>
      <c r="G18" s="67" t="s">
        <v>245</v>
      </c>
    </row>
    <row r="19" spans="1:7">
      <c r="B19" s="78" t="s">
        <v>30</v>
      </c>
      <c r="C19" s="76" t="s">
        <v>233</v>
      </c>
      <c r="D19" s="75" t="s">
        <v>230</v>
      </c>
      <c r="E19" s="77" t="s">
        <v>233</v>
      </c>
      <c r="F19" s="77">
        <f>F15</f>
        <v>232195.62</v>
      </c>
      <c r="G19" s="74">
        <f>F19/$F$9</f>
        <v>0.28529269260218654</v>
      </c>
    </row>
    <row r="20" spans="1:7">
      <c r="B20" s="79" t="s">
        <v>232</v>
      </c>
      <c r="C20" s="71">
        <v>16.54</v>
      </c>
      <c r="D20" s="68" t="s">
        <v>230</v>
      </c>
      <c r="E20" s="72">
        <v>10000</v>
      </c>
      <c r="F20" s="77">
        <f>C20*E20</f>
        <v>165400</v>
      </c>
      <c r="G20" s="74">
        <f t="shared" ref="G20:G23" si="0">F20/$F$9</f>
        <v>0.2032226592232948</v>
      </c>
    </row>
    <row r="21" spans="1:7">
      <c r="B21" s="79" t="s">
        <v>231</v>
      </c>
      <c r="C21" s="71">
        <v>7.4</v>
      </c>
      <c r="D21" s="68" t="s">
        <v>230</v>
      </c>
      <c r="E21" s="72">
        <v>20000</v>
      </c>
      <c r="F21" s="77">
        <f>E21*C21</f>
        <v>148000</v>
      </c>
      <c r="G21" s="74">
        <f t="shared" si="0"/>
        <v>0.18184373376691432</v>
      </c>
    </row>
    <row r="22" spans="1:7">
      <c r="B22" s="79" t="s">
        <v>244</v>
      </c>
      <c r="C22" s="71">
        <v>5.37</v>
      </c>
      <c r="D22" s="68" t="s">
        <v>230</v>
      </c>
      <c r="E22" s="72">
        <v>18000</v>
      </c>
      <c r="F22" s="77">
        <f>E22*C22</f>
        <v>96660</v>
      </c>
      <c r="G22" s="74">
        <f t="shared" si="0"/>
        <v>0.11876361693182391</v>
      </c>
    </row>
    <row r="23" spans="1:7">
      <c r="B23" s="79" t="s">
        <v>262</v>
      </c>
      <c r="C23" s="71">
        <v>14.9</v>
      </c>
      <c r="D23" s="68" t="s">
        <v>230</v>
      </c>
      <c r="E23" s="72">
        <f>E7+E13</f>
        <v>11500</v>
      </c>
      <c r="F23" s="77">
        <f>E23*C23</f>
        <v>171350</v>
      </c>
      <c r="G23" s="74">
        <f t="shared" si="0"/>
        <v>0.21053326879027548</v>
      </c>
    </row>
    <row r="24" spans="1:7">
      <c r="B24" s="68"/>
      <c r="C24" s="71"/>
      <c r="D24" s="68"/>
    </row>
    <row r="25" spans="1:7" ht="13.15">
      <c r="B25" s="80"/>
      <c r="C25" s="81"/>
      <c r="D25" s="80"/>
      <c r="E25" s="82" t="s">
        <v>234</v>
      </c>
      <c r="F25" s="82">
        <f>SUM(F19:F23)</f>
        <v>813605.62</v>
      </c>
      <c r="G25" s="83">
        <f>SUM(G19:G23)</f>
        <v>0.99965597131449502</v>
      </c>
    </row>
    <row r="26" spans="1:7">
      <c r="B26" s="68"/>
      <c r="C26" s="71"/>
      <c r="D26" s="68"/>
      <c r="E26" s="72"/>
      <c r="F26" s="72"/>
    </row>
    <row r="27" spans="1:7">
      <c r="B27" s="68"/>
      <c r="C27" s="71"/>
      <c r="D27" s="68"/>
      <c r="E27" s="72"/>
      <c r="F27" s="72"/>
    </row>
    <row r="28" spans="1:7">
      <c r="B28" s="68"/>
      <c r="C28" s="71"/>
      <c r="D28" s="68"/>
      <c r="E28" s="72"/>
      <c r="F28" s="72"/>
    </row>
    <row r="29" spans="1:7">
      <c r="B29" s="68"/>
      <c r="C29" s="71"/>
      <c r="D29" s="68"/>
      <c r="E29" s="72"/>
      <c r="F29" s="72"/>
    </row>
    <row r="30" spans="1:7">
      <c r="B30" s="68"/>
      <c r="C30" s="71"/>
      <c r="D30" s="68"/>
      <c r="E30" s="72"/>
      <c r="F30" s="72"/>
    </row>
    <row r="31" spans="1:7">
      <c r="B31" s="68"/>
      <c r="C31" s="69"/>
      <c r="D31" s="68"/>
      <c r="E31" s="70"/>
      <c r="F31" s="70"/>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topLeftCell="A25"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96" t="s">
        <v>104</v>
      </c>
      <c r="C3" s="96"/>
      <c r="D3" s="96"/>
    </row>
    <row r="5" spans="1:4">
      <c r="B5" s="97" t="s">
        <v>106</v>
      </c>
      <c r="C5" s="90"/>
      <c r="D5" s="90"/>
    </row>
    <row r="6" spans="1:4">
      <c r="B6" s="97" t="s">
        <v>107</v>
      </c>
      <c r="C6" s="90"/>
      <c r="D6" s="90"/>
    </row>
    <row r="8" spans="1:4">
      <c r="B8" s="1" t="s">
        <v>105</v>
      </c>
    </row>
    <row r="10" spans="1:4">
      <c r="A10" s="5"/>
      <c r="B10" s="6" t="s">
        <v>108</v>
      </c>
    </row>
    <row r="11" spans="1:4">
      <c r="B11" s="96" t="s">
        <v>109</v>
      </c>
      <c r="C11" s="96"/>
      <c r="D11" s="96"/>
    </row>
    <row r="12" spans="1:4">
      <c r="B12" s="96" t="s">
        <v>110</v>
      </c>
      <c r="C12" s="96"/>
      <c r="D12" s="96"/>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96" t="s">
        <v>122</v>
      </c>
      <c r="C28" s="96"/>
      <c r="D28" s="96"/>
    </row>
    <row r="29" spans="1:4">
      <c r="B29" s="96" t="s">
        <v>123</v>
      </c>
      <c r="C29" s="96"/>
      <c r="D29" s="96"/>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2025-04-29T09:42:47Z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