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BD2AB94-C53D-4179-B1D1-39EB4DF40E6C}"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<sst xmlns="http://schemas.openxmlformats.org/spreadsheetml/2006/main" count="308" uniqueCount="270">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</sst>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66"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D36" sqref="D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2"/>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4" t="s">
        <v>220</v>
      </c>
      <c r="C24" s="94"/>
      <c r="D24" s="94"/>
      <c r="E24" s="9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0.13547956846156287</v>
      </c>
      <c r="D112" s="62"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7" sqref="L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3" customWidth="1"/>
    <col min="18" max="18" width="8.6640625" style="87"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8"/>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0.23821680012512947</v>
      </c>
      <c r="G3" s="15">
        <f>F3 - Portfolio_Mgmt!$C$10</f>
        <v>0.12081680012512946</v>
      </c>
      <c r="H3" s="15">
        <f>F3 - Portfolio_Mgmt!$C$11</f>
        <v>0.20371680012512947</v>
      </c>
      <c r="I3" s="15">
        <v>0.28586016015015536</v>
      </c>
      <c r="J3" s="2">
        <v>14.221973350893821</v>
      </c>
      <c r="K3" s="2">
        <v>25.687175936271849</v>
      </c>
      <c r="L3" s="87">
        <v>21.804142810167097</v>
      </c>
      <c r="M3" s="4">
        <v>6.8306347295356576E-2</v>
      </c>
      <c r="N3" s="4">
        <v>3.7498432682696467E-2</v>
      </c>
      <c r="O3" s="15">
        <v>0.36794481423679237</v>
      </c>
      <c r="P3" s="15">
        <v>7.4171010848313429E-2</v>
      </c>
      <c r="Q3" s="93">
        <v>0.60402076709908736</v>
      </c>
      <c r="R3" s="87">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87">
        <v>7.4221982517030112</v>
      </c>
      <c r="M4" s="4">
        <v>0.13256816715305936</v>
      </c>
      <c r="N4" s="4">
        <v>7.6196467311032592E-2</v>
      </c>
      <c r="O4" s="15">
        <v>0.61007460831657279</v>
      </c>
      <c r="P4" s="15">
        <v>0.16360901428944893</v>
      </c>
      <c r="Q4" s="93">
        <v>1.1309485990394448</v>
      </c>
      <c r="R4" s="87">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v>
      </c>
      <c r="J5" s="2">
        <v>16.165402289394244</v>
      </c>
      <c r="K5" s="2">
        <v>29.309951346473134</v>
      </c>
      <c r="L5" s="87">
        <v>24.796949133193245</v>
      </c>
      <c r="M5" s="4">
        <v>0.22703991769612522</v>
      </c>
      <c r="N5" s="4">
        <v>2.956175298804781E-2</v>
      </c>
      <c r="O5" s="15">
        <v>1.4851905363915479</v>
      </c>
      <c r="P5" s="15">
        <v>0.95241105291674188</v>
      </c>
      <c r="Q5" s="93">
        <v>4.0148803043206254</v>
      </c>
      <c r="R5" s="87">
        <v>-38.360607814419353</v>
      </c>
      <c r="S5" s="13" t="s">
        <v>254</v>
      </c>
      <c r="T5" s="11" t="s">
        <v>162</v>
      </c>
      <c r="U5" s="14">
        <v>45900</v>
      </c>
      <c r="V5" s="11" t="s">
        <v>247</v>
      </c>
    </row>
    <row r="6" spans="1:22">
      <c r="B6" s="11" t="s">
        <v>158</v>
      </c>
      <c r="C6" s="11" t="s">
        <v>159</v>
      </c>
      <c r="D6" s="2">
        <v>16.440000000000001</v>
      </c>
      <c r="E6" s="12" t="s">
        <v>160</v>
      </c>
      <c r="F6" s="15">
        <v>0.15374754303551685</v>
      </c>
      <c r="G6" s="15">
        <f>F6 - Portfolio_Mgmt!$C$10</f>
        <v>3.6347543035516849E-2</v>
      </c>
      <c r="H6" s="15">
        <f>F6 - Portfolio_Mgmt!$C$11</f>
        <v>0.11924754303551685</v>
      </c>
      <c r="I6" s="15">
        <v>0.100025128180176</v>
      </c>
      <c r="J6" s="2">
        <v>13.155317996540354</v>
      </c>
      <c r="K6" s="2">
        <v>20.508980461992877</v>
      </c>
      <c r="L6" s="87">
        <v>19.785541823839793</v>
      </c>
      <c r="M6" s="4">
        <v>0.10510863864778767</v>
      </c>
      <c r="N6" s="4">
        <v>8.2725060827250604E-2</v>
      </c>
      <c r="O6" s="15">
        <v>0.31018327415220487</v>
      </c>
      <c r="P6" s="15">
        <v>0.15818859882129041</v>
      </c>
      <c r="Q6" s="93">
        <v>1.4550387206421544</v>
      </c>
      <c r="R6" s="87">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87">
        <v>8.7684502451266084</v>
      </c>
      <c r="M7" s="4">
        <v>3.9350111080543315E-2</v>
      </c>
      <c r="N7" s="4">
        <v>7.3885350318471335E-2</v>
      </c>
      <c r="O7" s="15">
        <v>8.3114411724224596E-2</v>
      </c>
      <c r="P7" s="15">
        <v>1.8509098960546238E-2</v>
      </c>
      <c r="Q7" s="93">
        <v>1.1933697905849452</v>
      </c>
      <c r="R7" s="87">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7">
        <v>15.400158613707365</v>
      </c>
      <c r="M8" s="4">
        <v>0.10764138310388582</v>
      </c>
      <c r="N8" s="4">
        <v>5.8429064516129031E-2</v>
      </c>
      <c r="O8" s="15">
        <v>2.2875080906148866</v>
      </c>
      <c r="P8" s="15">
        <v>1.5035598705501618</v>
      </c>
      <c r="Q8" s="93">
        <v>4.1998196571663646</v>
      </c>
      <c r="R8" s="87">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7">
        <v>58.439865108322181</v>
      </c>
      <c r="M9" s="4">
        <v>4.1491316575080373E-2</v>
      </c>
      <c r="N9" s="4">
        <v>3.801684419443882E-2</v>
      </c>
      <c r="O9" s="15">
        <v>0.72207550313588764</v>
      </c>
      <c r="P9" s="15">
        <v>9.5579625064196368E-3</v>
      </c>
      <c r="Q9" s="93">
        <v>7.3592411949940734E-2</v>
      </c>
      <c r="R9" s="87">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7">
        <v>2.4361567519866192</v>
      </c>
      <c r="M10" s="4">
        <v>3.573276361444476E-2</v>
      </c>
      <c r="N10" s="4">
        <v>4.9726182470532274E-2</v>
      </c>
      <c r="O10" s="15">
        <v>0.20351769929714394</v>
      </c>
      <c r="P10" s="15">
        <v>1.0763175939415467E-2</v>
      </c>
      <c r="Q10" s="93">
        <v>0.29882156160837919</v>
      </c>
      <c r="R10" s="87">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7">
        <v>29.895007167811503</v>
      </c>
      <c r="M11" s="4">
        <v>8.8134932571433455E-2</v>
      </c>
      <c r="N11" s="4">
        <v>5.5536272127733433E-2</v>
      </c>
      <c r="O11" s="15">
        <v>0.78990369994931575</v>
      </c>
      <c r="P11" s="15">
        <v>0.40281804358844397</v>
      </c>
      <c r="Q11" s="93">
        <v>3.955391512509995</v>
      </c>
      <c r="R11" s="87">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7">
        <v>53.971814816813243</v>
      </c>
      <c r="M12" s="4">
        <v>0.10069379612803481</v>
      </c>
      <c r="N12" s="4">
        <v>0</v>
      </c>
      <c r="O12" s="15">
        <v>1.2907496012759174</v>
      </c>
      <c r="P12" s="15">
        <v>0.24768740031897937</v>
      </c>
      <c r="Q12" s="93">
        <v>0.73855199466278643</v>
      </c>
      <c r="R12" s="87">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6" customWidth="1"/>
    <col min="2" max="2" width="16.59765625" style="66" bestFit="1" customWidth="1"/>
    <col min="3" max="4" width="9.06640625" style="66"/>
    <col min="5" max="6" width="15.59765625" style="66" customWidth="1"/>
    <col min="7" max="8" width="9.9296875" style="66" customWidth="1"/>
    <col min="9" max="16384" width="9.06640625" style="66"/>
  </cols>
  <sheetData>
    <row r="1" spans="1:8" ht="13.15">
      <c r="A1" s="64"/>
      <c r="B1" s="65" t="s">
        <v>226</v>
      </c>
    </row>
    <row r="2" spans="1:8" ht="29.65" customHeight="1">
      <c r="B2" s="67" t="s">
        <v>3</v>
      </c>
      <c r="C2" s="67" t="s">
        <v>229</v>
      </c>
      <c r="D2" s="67" t="s">
        <v>228</v>
      </c>
      <c r="E2" s="67" t="s">
        <v>227</v>
      </c>
      <c r="F2" s="67" t="s">
        <v>234</v>
      </c>
      <c r="G2" s="67" t="s">
        <v>264</v>
      </c>
      <c r="H2" s="67" t="s">
        <v>214</v>
      </c>
    </row>
    <row r="3" spans="1:8">
      <c r="B3" s="78" t="s">
        <v>30</v>
      </c>
      <c r="C3" s="76" t="s">
        <v>233</v>
      </c>
      <c r="D3" s="75" t="s">
        <v>230</v>
      </c>
      <c r="E3" s="77" t="s">
        <v>233</v>
      </c>
      <c r="F3" s="72">
        <v>351395.62</v>
      </c>
      <c r="G3" s="74">
        <f>F3/$F$9</f>
        <v>0.40627734298520357</v>
      </c>
      <c r="H3" s="92" t="s">
        <v>233</v>
      </c>
    </row>
    <row r="4" spans="1:8">
      <c r="B4" s="79" t="s">
        <v>232</v>
      </c>
      <c r="C4" s="76">
        <f>VLOOKUP(B4,Opportunities!B$3:E$12,3,FALSE)</f>
        <v>16.440000000000001</v>
      </c>
      <c r="D4" s="75" t="str">
        <f>VLOOKUP(B4,Opportunities!B$3:E$12,4,FALSE)</f>
        <v>HKD</v>
      </c>
      <c r="E4" s="72">
        <v>10000</v>
      </c>
      <c r="F4" s="77">
        <f>C4*E4</f>
        <v>164400</v>
      </c>
      <c r="G4" s="74">
        <f>F4/$F$9</f>
        <v>0.19007634525088124</v>
      </c>
      <c r="H4" s="74">
        <f>VLOOKUP(B4,Opportunities!B$3:I$12,8,FALSE)</f>
        <v>0.100025128180176</v>
      </c>
    </row>
    <row r="5" spans="1:8">
      <c r="B5" s="79" t="s">
        <v>231</v>
      </c>
      <c r="C5" s="76">
        <f>VLOOKUP(B5,Opportunities!B$3:E$12,3,FALSE)</f>
        <v>7.85</v>
      </c>
      <c r="D5" s="75" t="str">
        <f>VLOOKUP(B5,Opportunities!B$3:E$12,4,FALSE)</f>
        <v>HKD</v>
      </c>
      <c r="E5" s="72">
        <v>20000</v>
      </c>
      <c r="F5" s="77">
        <f>E5*C5</f>
        <v>157000</v>
      </c>
      <c r="G5" s="74">
        <f>F5/$F$9</f>
        <v>0.18152059735029413</v>
      </c>
      <c r="H5" s="74">
        <f>VLOOKUP(B5,Opportunities!B$3:I$12,8,FALSE)</f>
        <v>0</v>
      </c>
    </row>
    <row r="6" spans="1:8">
      <c r="B6" s="79" t="s">
        <v>243</v>
      </c>
      <c r="C6" s="76">
        <f>VLOOKUP(B6,Opportunities!B$3:E$12,3,FALSE)</f>
        <v>5.8</v>
      </c>
      <c r="D6" s="75" t="str">
        <f>VLOOKUP(B6,Opportunities!B$3:E$12,4,FALSE)</f>
        <v>HKD</v>
      </c>
      <c r="E6" s="72">
        <v>18000</v>
      </c>
      <c r="F6" s="77">
        <f>E6*C6</f>
        <v>104400</v>
      </c>
      <c r="G6" s="74">
        <f>F6/$F$9</f>
        <v>0.12070541632720196</v>
      </c>
      <c r="H6" s="74">
        <f>VLOOKUP(B6,Opportunities!B$3:I$12,8,FALSE)</f>
        <v>0.21411471166966861</v>
      </c>
    </row>
    <row r="7" spans="1:8">
      <c r="B7" s="79" t="s">
        <v>258</v>
      </c>
      <c r="C7" s="76">
        <f>VLOOKUP(B7,Opportunities!B$3:E$12,3,FALSE)</f>
        <v>14.62</v>
      </c>
      <c r="D7" s="75" t="str">
        <f>VLOOKUP(B7,Opportunities!B$3:E$12,4,FALSE)</f>
        <v>HKD</v>
      </c>
      <c r="E7" s="72">
        <v>6000</v>
      </c>
      <c r="F7" s="77">
        <f>C7*E7</f>
        <v>87720</v>
      </c>
      <c r="G7" s="74">
        <f>F7/$F$9</f>
        <v>0.10142029808641911</v>
      </c>
      <c r="H7" s="74">
        <f>VLOOKUP(B7,Opportunities!B$3:I$12,8,FALSE)</f>
        <v>0.28586016015015536</v>
      </c>
    </row>
    <row r="8" spans="1:8">
      <c r="B8" s="68"/>
      <c r="C8" s="71"/>
      <c r="D8" s="68"/>
      <c r="H8" s="91"/>
    </row>
    <row r="9" spans="1:8" ht="13.15">
      <c r="B9" s="80"/>
      <c r="C9" s="81"/>
      <c r="D9" s="80"/>
      <c r="E9" s="82" t="s">
        <v>263</v>
      </c>
      <c r="F9" s="82">
        <f>SUM(F3:F7)</f>
        <v>864915.62</v>
      </c>
      <c r="G9" s="83">
        <f>SUM(G3:G7)</f>
        <v>1</v>
      </c>
      <c r="H9" s="90">
        <f>SUM(H4:H7)</f>
        <v>0.6</v>
      </c>
    </row>
    <row r="10" spans="1:8">
      <c r="B10" s="68"/>
      <c r="C10" s="71"/>
      <c r="D10" s="68"/>
      <c r="E10" s="72"/>
      <c r="F10" s="72"/>
    </row>
    <row r="11" spans="1:8" ht="13.15">
      <c r="A11" s="64"/>
      <c r="B11" s="65" t="s">
        <v>260</v>
      </c>
    </row>
    <row r="12" spans="1:8">
      <c r="B12" s="79" t="s">
        <v>258</v>
      </c>
      <c r="C12" s="76">
        <f>VLOOKUP(B12,Opportunities!B$3:E$12,3,FALSE)</f>
        <v>14.62</v>
      </c>
      <c r="D12" s="75" t="str">
        <f>VLOOKUP(B12,Opportunities!B$3:E$12,4,FALSE)</f>
        <v>HKD</v>
      </c>
      <c r="E12" s="72">
        <v>6000</v>
      </c>
      <c r="F12" s="77">
        <f>C12*E12</f>
        <v>87720</v>
      </c>
      <c r="G12" s="74">
        <f>F12/$F$9</f>
        <v>0.10142029808641911</v>
      </c>
      <c r="H12" s="74">
        <f>VLOOKUP(B12,Opportunities!B$3:I$12,8,FALSE)</f>
        <v>0.28586016015015536</v>
      </c>
    </row>
    <row r="13" spans="1:8">
      <c r="G13" s="89"/>
      <c r="H13" s="89"/>
    </row>
    <row r="14" spans="1:8" ht="13.15">
      <c r="B14" s="84" t="s">
        <v>261</v>
      </c>
      <c r="C14" s="85" t="s">
        <v>233</v>
      </c>
      <c r="D14" s="86" t="s">
        <v>160</v>
      </c>
      <c r="E14" s="85" t="s">
        <v>233</v>
      </c>
      <c r="F14" s="82">
        <f>F3-F12</f>
        <v>263675.62</v>
      </c>
      <c r="G14" s="90">
        <f t="shared" ref="G14" si="0">F14/$F$9</f>
        <v>0.30485704489878446</v>
      </c>
      <c r="H14" s="90">
        <f>Portfolio_Mgmt!E61</f>
        <v>0.4</v>
      </c>
    </row>
    <row r="16" spans="1:8">
      <c r="B16" s="68"/>
      <c r="C16" s="71"/>
      <c r="D16" s="68"/>
      <c r="E16" s="72"/>
      <c r="F16"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2025-05-01T14:28:09Z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