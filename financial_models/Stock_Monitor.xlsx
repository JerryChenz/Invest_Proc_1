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FE309A25-F26E-4DC9-8A06-0C9155EC4469}"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G3" i="1"/>
  <c r="G4" i="1"/>
  <c r="G5" i="1"/>
  <c r="G6" i="1"/>
  <c r="G7"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<sst xmlns="http://schemas.openxmlformats.org/spreadsheetml/2006/main" count="266" uniqueCount="247">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</sst>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C66" sqref="C6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7" t="s">
        <v>221</v>
      </c>
      <c r="C4" s="77"/>
      <c r="D4" s="77"/>
      <c r="E4" s="77"/>
    </row>
    <row r="6" spans="1:5">
      <c r="A6" s="20" t="s">
        <v>66</v>
      </c>
      <c r="B6" s="19" t="s">
        <v>204</v>
      </c>
      <c r="C6" s="62"/>
    </row>
    <row r="7" spans="1:5">
      <c r="B7" s="77" t="s">
        <v>209</v>
      </c>
      <c r="C7" s="77"/>
      <c r="D7" s="77"/>
      <c r="E7" s="77"/>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7" t="s">
        <v>220</v>
      </c>
      <c r="C24" s="77"/>
      <c r="D24" s="77"/>
      <c r="E24" s="77"/>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7" t="s">
        <v>156</v>
      </c>
      <c r="C39" s="77"/>
      <c r="D39" s="77"/>
      <c r="E39" s="77"/>
    </row>
    <row r="40" spans="1:5" ht="46.6" customHeight="1">
      <c r="B40" s="77" t="s">
        <v>237</v>
      </c>
      <c r="C40" s="77"/>
      <c r="D40" s="77"/>
      <c r="E40" s="77"/>
    </row>
    <row r="42" spans="1:5">
      <c r="A42" s="21" t="s">
        <v>187</v>
      </c>
      <c r="B42" s="21"/>
      <c r="C42" s="21"/>
      <c r="D42" s="21"/>
      <c r="E42" s="21"/>
    </row>
    <row r="44" spans="1:5">
      <c r="B44" s="77" t="s">
        <v>208</v>
      </c>
      <c r="C44" s="77"/>
      <c r="D44" s="77"/>
      <c r="E44" s="77"/>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7" t="s">
        <v>196</v>
      </c>
      <c r="C71" s="77"/>
      <c r="D71" s="77"/>
      <c r="E71" s="77"/>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8" t="s">
        <v>192</v>
      </c>
      <c r="C85" s="78"/>
      <c r="D85" s="78"/>
      <c r="E85" s="78"/>
    </row>
    <row r="86" spans="1:5">
      <c r="B86" s="76" t="s">
        <v>190</v>
      </c>
      <c r="C86" s="76"/>
      <c r="D86" s="76"/>
      <c r="E86" s="76"/>
    </row>
    <row r="87" spans="1:5" ht="24.4" customHeight="1">
      <c r="B87" s="77" t="s">
        <v>189</v>
      </c>
      <c r="C87" s="77"/>
      <c r="D87" s="77"/>
      <c r="E87" s="77"/>
    </row>
    <row r="88" spans="1:5" ht="24.4" customHeight="1">
      <c r="B88" s="77" t="s">
        <v>225</v>
      </c>
      <c r="C88" s="77"/>
      <c r="D88" s="77"/>
      <c r="E88" s="77"/>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9" t="s">
        <v>211</v>
      </c>
      <c r="C97" s="79"/>
      <c r="D97" s="79"/>
      <c r="E97" s="79"/>
    </row>
    <row r="99" spans="1:5">
      <c r="B99" s="24" t="s">
        <v>215</v>
      </c>
    </row>
    <row r="100" spans="1:5" ht="12.4">
      <c r="B100" s="79" t="s">
        <v>212</v>
      </c>
      <c r="C100" s="79"/>
      <c r="D100" s="79"/>
      <c r="E100" s="79"/>
    </row>
    <row r="101" spans="1:5" ht="58.5" customHeight="1">
      <c r="B101" s="77" t="s">
        <v>219</v>
      </c>
      <c r="C101" s="77"/>
      <c r="D101" s="77"/>
      <c r="E101" s="77"/>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0.13270624043020399</v>
      </c>
      <c r="D112" s="62" t="str">
        <f>IF(C112&lt;benchmark,"Warning: Return is lower than the Benchmark.","")</f>
        <v/>
      </c>
    </row>
    <row r="114" spans="1:5" ht="24.4" customHeight="1">
      <c r="B114" s="77" t="s">
        <v>217</v>
      </c>
      <c r="C114" s="77"/>
      <c r="D114" s="77"/>
      <c r="E114" s="77"/>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J3" sqref="J3:L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158</v>
      </c>
      <c r="C3" s="11" t="s">
        <v>159</v>
      </c>
      <c r="D3" s="2">
        <v>14.44</v>
      </c>
      <c r="E3" s="12" t="s">
        <v>160</v>
      </c>
      <c r="F3" s="15">
        <v>0.20871253483792285</v>
      </c>
      <c r="G3" s="15">
        <f>F3 - Portfolio_Mgmt!$C$10</f>
        <v>9.1312534837922843E-2</v>
      </c>
      <c r="H3" s="15">
        <f>F3 - Portfolio_Mgmt!$C$11</f>
        <v>0.17421253483792284</v>
      </c>
      <c r="I3" s="15">
        <v>0.25045504180550743</v>
      </c>
      <c r="J3" s="2">
        <v>13.155317996540354</v>
      </c>
      <c r="K3" s="2">
        <v>20.508980461992877</v>
      </c>
      <c r="L3" s="4">
        <v>0.11966662184000204</v>
      </c>
      <c r="M3" s="4">
        <v>9.418282548476456E-2</v>
      </c>
      <c r="N3" s="13" t="s">
        <v>161</v>
      </c>
      <c r="O3" s="11" t="s">
        <v>162</v>
      </c>
      <c r="P3" s="14">
        <v>45808</v>
      </c>
      <c r="Q3" s="11" t="s">
        <v>163</v>
      </c>
    </row>
    <row r="4" spans="1:17">
      <c r="B4" s="11" t="s">
        <v>238</v>
      </c>
      <c r="C4" s="11" t="s">
        <v>239</v>
      </c>
      <c r="D4" s="2">
        <v>5.38</v>
      </c>
      <c r="E4" s="12" t="s">
        <v>160</v>
      </c>
      <c r="F4" s="15">
        <v>0.20806555381768388</v>
      </c>
      <c r="G4" s="15">
        <f>F4 - Portfolio_Mgmt!$C$10</f>
        <v>9.0665553817683875E-2</v>
      </c>
      <c r="H4" s="15">
        <f>F4 - Portfolio_Mgmt!$C$11</f>
        <v>0.17356555381768388</v>
      </c>
      <c r="I4" s="15">
        <v>0.24967866458122065</v>
      </c>
      <c r="J4" s="2">
        <v>4.8893162027611039</v>
      </c>
      <c r="K4" s="2">
        <v>7.8645513251025703</v>
      </c>
      <c r="L4" s="4">
        <v>0.14200427847492361</v>
      </c>
      <c r="M4" s="4">
        <v>8.2144890409663482E-2</v>
      </c>
      <c r="N4" s="13" t="s">
        <v>241</v>
      </c>
      <c r="O4" s="11" t="s">
        <v>240</v>
      </c>
      <c r="P4" s="14">
        <v>45900</v>
      </c>
      <c r="Q4" s="11" t="s">
        <v>163</v>
      </c>
    </row>
    <row r="5" spans="1:17">
      <c r="B5" s="11" t="s">
        <v>168</v>
      </c>
      <c r="C5" s="11" t="s">
        <v>169</v>
      </c>
      <c r="D5" s="2">
        <v>2.04</v>
      </c>
      <c r="E5" s="12" t="s">
        <v>160</v>
      </c>
      <c r="F5" s="15">
        <v>0.14703263371672559</v>
      </c>
      <c r="G5" s="15">
        <f>F5 - Portfolio_Mgmt!$C$10</f>
        <v>2.9632633716725587E-2</v>
      </c>
      <c r="H5" s="15">
        <f>F5 - Portfolio_Mgmt!$C$11</f>
        <v>0.11253263371672559</v>
      </c>
      <c r="I5" s="15">
        <v>9.9866293613271928E-2</v>
      </c>
      <c r="J5" s="2">
        <v>1.5968726986927759</v>
      </c>
      <c r="K5" s="2">
        <v>2.6800518466090013</v>
      </c>
      <c r="L5" s="4">
        <v>4.0033864694300855E-2</v>
      </c>
      <c r="M5" s="4">
        <v>5.6424319257515447E-2</v>
      </c>
      <c r="N5" s="13" t="s">
        <v>170</v>
      </c>
      <c r="O5" s="11" t="s">
        <v>171</v>
      </c>
      <c r="P5" s="14">
        <v>45900</v>
      </c>
      <c r="Q5" s="11" t="s">
        <v>163</v>
      </c>
    </row>
    <row r="6" spans="1:17">
      <c r="B6" s="11" t="s">
        <v>164</v>
      </c>
      <c r="C6" s="11" t="s">
        <v>165</v>
      </c>
      <c r="D6" s="2">
        <v>7.69</v>
      </c>
      <c r="E6" s="12" t="s">
        <v>160</v>
      </c>
      <c r="F6" s="15">
        <v>0.12930348429833716</v>
      </c>
      <c r="G6" s="15">
        <f>F6 - Portfolio_Mgmt!$C$10</f>
        <v>1.1903484298337152E-2</v>
      </c>
      <c r="H6" s="15">
        <f>F6 - Portfolio_Mgmt!$C$11</f>
        <v>9.4803484298337154E-2</v>
      </c>
      <c r="I6" s="15">
        <v>0</v>
      </c>
      <c r="J6" s="2">
        <v>5.7917118707600084</v>
      </c>
      <c r="K6" s="2">
        <v>9.1006872475781417</v>
      </c>
      <c r="L6" s="4">
        <v>4.0168839009397266E-2</v>
      </c>
      <c r="M6" s="4">
        <v>7.5422626788036407E-2</v>
      </c>
      <c r="N6" s="13" t="s">
        <v>166</v>
      </c>
      <c r="O6" s="11" t="s">
        <v>167</v>
      </c>
      <c r="P6" s="14">
        <v>45900</v>
      </c>
      <c r="Q6" s="11" t="s">
        <v>163</v>
      </c>
    </row>
    <row r="7" spans="1:17">
      <c r="B7" s="11" t="s">
        <v>242</v>
      </c>
      <c r="C7" s="11" t="s">
        <v>243</v>
      </c>
      <c r="D7" s="2">
        <v>54.75</v>
      </c>
      <c r="E7" s="12" t="s">
        <v>160</v>
      </c>
      <c r="F7" s="15">
        <v>-2.7445446695169684E-2</v>
      </c>
      <c r="G7" s="15">
        <f>F7 - Portfolio_Mgmt!$C$10</f>
        <v>-0.14484544669516969</v>
      </c>
      <c r="H7" s="15">
        <f>F7 - Portfolio_Mgmt!$C$11</f>
        <v>-6.1945446695169687E-2</v>
      </c>
      <c r="I7" s="15">
        <v>0</v>
      </c>
      <c r="J7" s="2">
        <v>26.736896573077772</v>
      </c>
      <c r="K7" s="2">
        <v>44.30699034342598</v>
      </c>
      <c r="L7" s="4">
        <v>4.0850840664093072E-2</v>
      </c>
      <c r="M7" s="4">
        <v>3.7911871371768754E-2</v>
      </c>
      <c r="N7" s="13" t="s">
        <v>244</v>
      </c>
      <c r="O7" s="11" t="s">
        <v>162</v>
      </c>
      <c r="P7" s="14">
        <v>45900</v>
      </c>
      <c r="Q7" s="11" t="s">
        <v>163</v>
      </c>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4.0099999999999997E-2</v>
      </c>
      <c r="D4" s="34">
        <v>7.4999999999999997E-2</v>
      </c>
      <c r="E4" s="35">
        <f>D4-C4</f>
        <v>3.49E-2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tabSelected="1"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9"/>
      <c r="D5" s="79"/>
    </row>
    <row r="6" spans="1:4">
      <c r="B6" s="86" t="s">
        <v>107</v>
      </c>
      <c r="C6" s="79"/>
      <c r="D6" s="79"/>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2025-04-08T08:39:05Z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