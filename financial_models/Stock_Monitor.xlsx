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69BA2C08-964F-4B5F-815A-ED799F5A3906}" xr6:coauthVersionLast="47" xr6:coauthVersionMax="47" xr10:uidLastSave="{00000000-0000-0000-0000-000000000000}"/>
  <bookViews>
    <workbookView xWindow="33720" yWindow="-120" windowWidth="29040" windowHeight="15720"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F6" i="7" l="1"/>
  <c r="H3" i="1"/>
  <c r="H4" i="1"/>
  <c r="H5" i="1"/>
  <c r="H6" i="1"/>
  <c r="H7" i="1"/>
  <c r="G3" i="1"/>
  <c r="G4" i="1"/>
  <c r="G5" i="1"/>
  <c r="G6" i="1"/>
  <c r="G7" i="1"/>
  <c r="F5" i="7"/>
  <c r="F4" i="7"/>
  <c r="C31" i="5"/>
  <c r="F8" i="7" l="1"/>
  <c r="E60" i="5"/>
  <c r="C36" i="5"/>
  <c r="E61" i="5" l="1"/>
  <c r="C16" i="2"/>
  <c r="C10" i="5" s="1"/>
  <c r="C11" i="5"/>
  <c r="E6" i="2"/>
  <c r="E5" i="2"/>
  <c r="E4" i="2"/>
  <c r="D112" i="5" l="1"/>
  <c r="C64" i="5"/>
  <c r="C65" i="5" s="1"/>
</calcChain>
</file>

<file path=xl/sharedStrings.xml><?xml version="1.0" encoding="utf-8"?>
<sst xmlns="http://schemas.openxmlformats.org/spreadsheetml/2006/main" count="265" uniqueCount="246">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</sst>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workbookViewId="0">
      <selection activeCell="C119" sqref="C11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0.5</v>
      </c>
      <c r="D49" s="58"/>
      <c r="E49" s="56"/>
    </row>
    <row r="50" spans="2:5">
      <c r="B50" s="26" t="s">
        <v>90</v>
      </c>
      <c r="C50" s="29">
        <v>0.3</v>
      </c>
      <c r="D50" s="58"/>
      <c r="E50" s="56"/>
    </row>
    <row r="51" spans="2:5">
      <c r="B51" s="26" t="s">
        <v>91</v>
      </c>
      <c r="C51" s="29">
        <v>0.2</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0.3</v>
      </c>
    </row>
    <row r="62" spans="2:5" ht="12" thickTop="1"/>
    <row r="63" spans="2:5">
      <c r="B63" s="23" t="s">
        <v>198</v>
      </c>
    </row>
    <row r="64" spans="2:5">
      <c r="B64" s="54" t="s">
        <v>173</v>
      </c>
      <c r="C64" s="55">
        <f>-E61*(C35-Cash_Yield)</f>
        <v>-6.4649999999999999E-2</v>
      </c>
    </row>
    <row r="65" spans="1:5">
      <c r="B65" s="54" t="s">
        <v>174</v>
      </c>
      <c r="C65" s="55">
        <f>C35+C64</f>
        <v>0.18535000000000001</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7" t="s">
        <v>192</v>
      </c>
      <c r="C85" s="77"/>
      <c r="D85" s="77"/>
      <c r="E85" s="77"/>
    </row>
    <row r="86" spans="1:5">
      <c r="B86" s="75" t="s">
        <v>190</v>
      </c>
      <c r="C86" s="75"/>
      <c r="D86" s="75"/>
      <c r="E86" s="75"/>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8" t="s">
        <v>211</v>
      </c>
      <c r="C97" s="78"/>
      <c r="D97" s="78"/>
      <c r="E97" s="78"/>
    </row>
    <row r="99" spans="1:5">
      <c r="B99" s="24" t="s">
        <v>215</v>
      </c>
    </row>
    <row r="100" spans="1:5" ht="12.4">
      <c r="B100" s="78" t="s">
        <v>212</v>
      </c>
      <c r="C100" s="78"/>
      <c r="D100" s="78"/>
      <c r="E100" s="78"/>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0.30000000000000004</v>
      </c>
    </row>
    <row r="112" spans="1:5">
      <c r="B112" s="1" t="s">
        <v>176</v>
      </c>
      <c r="C112" s="44">
        <v>0.14354416065775896</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H26" sqref="H26"/>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2" t="s">
        <v>1</v>
      </c>
      <c r="E1" s="82"/>
      <c r="F1" s="82"/>
      <c r="G1" s="83" t="s">
        <v>101</v>
      </c>
      <c r="H1" s="83"/>
      <c r="I1" s="83"/>
      <c r="J1" s="79" t="s">
        <v>5</v>
      </c>
      <c r="K1" s="79"/>
      <c r="L1" s="80" t="s">
        <v>9</v>
      </c>
      <c r="M1" s="80"/>
      <c r="N1" s="81" t="s">
        <v>53</v>
      </c>
      <c r="O1" s="81"/>
      <c r="P1" s="81"/>
      <c r="Q1" s="81"/>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158</v>
      </c>
      <c r="C3" s="11" t="s">
        <v>159</v>
      </c>
      <c r="D3" s="2">
        <v>14.44</v>
      </c>
      <c r="E3" s="12" t="s">
        <v>160</v>
      </c>
      <c r="F3" s="15">
        <v>0.20871253483792285</v>
      </c>
      <c r="G3" s="15">
        <f>F3 - Portfolio_Mgmt!$C$10</f>
        <v>9.1312534837922843E-2</v>
      </c>
      <c r="H3" s="15">
        <f>F3 - Portfolio_Mgmt!$C$11</f>
        <v>0.17421253483792284</v>
      </c>
      <c r="I3" s="15">
        <v>0.25045504180550743</v>
      </c>
      <c r="J3" s="2">
        <v>13.155317996540354</v>
      </c>
      <c r="K3" s="2">
        <v>20.508980461992877</v>
      </c>
      <c r="L3" s="4">
        <v>0.11966662184000204</v>
      </c>
      <c r="M3" s="4">
        <v>9.418282548476456E-2</v>
      </c>
      <c r="N3" s="13" t="s">
        <v>161</v>
      </c>
      <c r="O3" s="11" t="s">
        <v>162</v>
      </c>
      <c r="P3" s="14">
        <v>45808</v>
      </c>
      <c r="Q3" s="11" t="s">
        <v>163</v>
      </c>
    </row>
    <row r="4" spans="1:17">
      <c r="B4" s="11" t="s">
        <v>238</v>
      </c>
      <c r="C4" s="11" t="s">
        <v>239</v>
      </c>
      <c r="D4" s="2">
        <v>5.38</v>
      </c>
      <c r="E4" s="12" t="s">
        <v>160</v>
      </c>
      <c r="F4" s="15">
        <v>0.20806555381768388</v>
      </c>
      <c r="G4" s="15">
        <f>F4 - Portfolio_Mgmt!$C$10</f>
        <v>9.0665553817683875E-2</v>
      </c>
      <c r="H4" s="15">
        <f>F4 - Portfolio_Mgmt!$C$11</f>
        <v>0.17356555381768388</v>
      </c>
      <c r="I4" s="15">
        <v>0.24967866458122065</v>
      </c>
      <c r="J4" s="2">
        <v>4.8893162027611039</v>
      </c>
      <c r="K4" s="2">
        <v>7.8645513251025703</v>
      </c>
      <c r="L4" s="4">
        <v>0.14200427847492361</v>
      </c>
      <c r="M4" s="4">
        <v>8.2144890409663482E-2</v>
      </c>
      <c r="N4" s="13" t="s">
        <v>241</v>
      </c>
      <c r="O4" s="11" t="s">
        <v>240</v>
      </c>
      <c r="P4" s="14">
        <v>45900</v>
      </c>
      <c r="Q4" s="11" t="s">
        <v>163</v>
      </c>
    </row>
    <row r="5" spans="1:17">
      <c r="B5" s="11" t="s">
        <v>168</v>
      </c>
      <c r="C5" s="11" t="s">
        <v>169</v>
      </c>
      <c r="D5" s="2">
        <v>2.04</v>
      </c>
      <c r="E5" s="12" t="s">
        <v>160</v>
      </c>
      <c r="F5" s="15">
        <v>0.14703263371672559</v>
      </c>
      <c r="G5" s="15">
        <f>F5 - Portfolio_Mgmt!$C$10</f>
        <v>2.9632633716725587E-2</v>
      </c>
      <c r="H5" s="15">
        <f>F5 - Portfolio_Mgmt!$C$11</f>
        <v>0.11253263371672559</v>
      </c>
      <c r="I5" s="15">
        <v>0.17643916046007072</v>
      </c>
      <c r="J5" s="2">
        <v>1.5968726986927759</v>
      </c>
      <c r="K5" s="2">
        <v>2.6800518466090013</v>
      </c>
      <c r="L5" s="4">
        <v>4.0033864694300855E-2</v>
      </c>
      <c r="M5" s="4">
        <v>5.6424319257515447E-2</v>
      </c>
      <c r="N5" s="13" t="s">
        <v>170</v>
      </c>
      <c r="O5" s="11" t="s">
        <v>171</v>
      </c>
      <c r="P5" s="14">
        <v>45900</v>
      </c>
      <c r="Q5" s="11" t="s">
        <v>163</v>
      </c>
    </row>
    <row r="6" spans="1:17">
      <c r="B6" s="11" t="s">
        <v>164</v>
      </c>
      <c r="C6" s="11" t="s">
        <v>165</v>
      </c>
      <c r="D6" s="2">
        <v>7.69</v>
      </c>
      <c r="E6" s="12" t="s">
        <v>160</v>
      </c>
      <c r="F6" s="15">
        <v>0.12930348429833716</v>
      </c>
      <c r="G6" s="15">
        <f>F6 - Portfolio_Mgmt!$C$10</f>
        <v>1.1903484298337152E-2</v>
      </c>
      <c r="H6" s="15">
        <f>F6 - Portfolio_Mgmt!$C$11</f>
        <v>9.4803484298337154E-2</v>
      </c>
      <c r="I6" s="15">
        <v>2.3427133153201218E-2</v>
      </c>
      <c r="J6" s="2">
        <v>5.7917118707600084</v>
      </c>
      <c r="K6" s="2">
        <v>9.1006872475781417</v>
      </c>
      <c r="L6" s="4">
        <v>4.0168839009397266E-2</v>
      </c>
      <c r="M6" s="4">
        <v>7.5422626788036407E-2</v>
      </c>
      <c r="N6" s="13" t="s">
        <v>166</v>
      </c>
      <c r="O6" s="11" t="s">
        <v>167</v>
      </c>
      <c r="P6" s="14">
        <v>45900</v>
      </c>
      <c r="Q6" s="11" t="s">
        <v>163</v>
      </c>
    </row>
    <row r="7" spans="1:17">
      <c r="B7" s="11" t="s">
        <v>242</v>
      </c>
      <c r="C7" s="11" t="s">
        <v>243</v>
      </c>
      <c r="D7" s="2">
        <v>54.75</v>
      </c>
      <c r="E7" s="12" t="s">
        <v>160</v>
      </c>
      <c r="F7" s="15">
        <v>-2.7445446695169684E-2</v>
      </c>
      <c r="G7" s="15">
        <f>F7 - Portfolio_Mgmt!$C$10</f>
        <v>-0.14484544669516969</v>
      </c>
      <c r="H7" s="15">
        <f>F7 - Portfolio_Mgmt!$C$11</f>
        <v>-6.1945446695169687E-2</v>
      </c>
      <c r="I7" s="15">
        <v>0</v>
      </c>
      <c r="J7" s="2">
        <v>26.736896573077772</v>
      </c>
      <c r="K7" s="2">
        <v>44.30699034342598</v>
      </c>
      <c r="L7" s="4">
        <v>4.0850840664093072E-2</v>
      </c>
      <c r="M7" s="4">
        <v>3.7911871371768754E-2</v>
      </c>
      <c r="N7" s="13" t="s">
        <v>244</v>
      </c>
      <c r="O7" s="11" t="s">
        <v>162</v>
      </c>
      <c r="P7" s="14">
        <v>45900</v>
      </c>
      <c r="Q7" s="11" t="s">
        <v>163</v>
      </c>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4.0099999999999997E-2</v>
      </c>
      <c r="D4" s="34">
        <v>7.4999999999999997E-2</v>
      </c>
      <c r="E4" s="35">
        <f>D4-C4</f>
        <v>3.49E-2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zoomScale="87" workbookViewId="0">
      <selection activeCell="F38" sqref="F38"/>
    </sheetView>
  </sheetViews>
  <sheetFormatPr defaultRowHeight="12.75"/>
  <cols>
    <col min="1" max="1" width="2.59765625" style="66" customWidth="1"/>
    <col min="2" max="2" width="16.59765625" style="66" bestFit="1" customWidth="1"/>
    <col min="3" max="4" width="9.06640625" style="66"/>
    <col min="5" max="6" width="15.59765625" style="66" customWidth="1"/>
    <col min="7" max="16384" width="9.06640625" style="66"/>
  </cols>
  <sheetData>
    <row r="1" spans="1:6" ht="13.15">
      <c r="A1" s="64"/>
      <c r="B1" s="65" t="s">
        <v>226</v>
      </c>
    </row>
    <row r="2" spans="1:6" ht="26.25">
      <c r="B2" s="67" t="s">
        <v>3</v>
      </c>
      <c r="C2" s="67" t="s">
        <v>229</v>
      </c>
      <c r="D2" s="67" t="s">
        <v>228</v>
      </c>
      <c r="E2" s="67" t="s">
        <v>227</v>
      </c>
      <c r="F2" s="67" t="s">
        <v>236</v>
      </c>
    </row>
    <row r="3" spans="1:6">
      <c r="B3" s="68" t="s">
        <v>233</v>
      </c>
      <c r="C3" s="71" t="s">
        <v>234</v>
      </c>
      <c r="D3" s="68" t="s">
        <v>230</v>
      </c>
      <c r="E3" s="72" t="s">
        <v>234</v>
      </c>
      <c r="F3" s="72">
        <v>395673.88</v>
      </c>
    </row>
    <row r="4" spans="1:6">
      <c r="B4" s="68" t="s">
        <v>232</v>
      </c>
      <c r="C4" s="71">
        <v>14.62</v>
      </c>
      <c r="D4" s="68" t="s">
        <v>230</v>
      </c>
      <c r="E4" s="72">
        <v>10000</v>
      </c>
      <c r="F4" s="72">
        <f>C4*E4</f>
        <v>146200</v>
      </c>
    </row>
    <row r="5" spans="1:6">
      <c r="B5" s="68" t="s">
        <v>231</v>
      </c>
      <c r="C5" s="71">
        <v>7.7</v>
      </c>
      <c r="D5" s="68" t="s">
        <v>230</v>
      </c>
      <c r="E5" s="72">
        <v>20000</v>
      </c>
      <c r="F5" s="72">
        <f>E5*C5</f>
        <v>154000</v>
      </c>
    </row>
    <row r="6" spans="1:6">
      <c r="B6" s="68" t="s">
        <v>245</v>
      </c>
      <c r="C6" s="71">
        <v>5.37</v>
      </c>
      <c r="D6" s="68" t="s">
        <v>230</v>
      </c>
      <c r="E6" s="72">
        <v>18000</v>
      </c>
      <c r="F6" s="72">
        <f>E6*C6</f>
        <v>96660</v>
      </c>
    </row>
    <row r="7" spans="1:6">
      <c r="B7" s="68"/>
      <c r="C7" s="71"/>
      <c r="D7" s="68"/>
    </row>
    <row r="8" spans="1:6" ht="13.15">
      <c r="B8" s="68"/>
      <c r="C8" s="71"/>
      <c r="D8" s="68"/>
      <c r="E8" s="73" t="s">
        <v>235</v>
      </c>
      <c r="F8" s="73">
        <f>SUM(F3:F7)</f>
        <v>792533.88</v>
      </c>
    </row>
    <row r="9" spans="1:6">
      <c r="B9" s="68"/>
      <c r="C9" s="71"/>
      <c r="D9" s="68"/>
      <c r="E9" s="72"/>
      <c r="F9" s="72"/>
    </row>
    <row r="10" spans="1:6">
      <c r="B10" s="68"/>
      <c r="C10" s="71"/>
      <c r="D10" s="68"/>
      <c r="E10" s="72"/>
      <c r="F10" s="72"/>
    </row>
    <row r="11" spans="1:6">
      <c r="B11" s="68"/>
      <c r="C11" s="71"/>
      <c r="D11" s="68"/>
      <c r="E11" s="72"/>
      <c r="F11" s="72"/>
    </row>
    <row r="12" spans="1:6">
      <c r="B12" s="68"/>
      <c r="C12" s="71"/>
      <c r="D12" s="68"/>
      <c r="E12" s="72"/>
      <c r="F12" s="72"/>
    </row>
    <row r="13" spans="1:6">
      <c r="B13" s="68"/>
      <c r="C13" s="71"/>
      <c r="D13" s="68"/>
      <c r="E13" s="72"/>
      <c r="F13" s="72"/>
    </row>
    <row r="14" spans="1:6">
      <c r="B14" s="68"/>
      <c r="C14" s="71"/>
      <c r="D14" s="68"/>
      <c r="E14" s="72"/>
      <c r="F14" s="72"/>
    </row>
    <row r="15" spans="1:6">
      <c r="B15" s="68"/>
      <c r="C15" s="71"/>
      <c r="D15" s="68"/>
      <c r="E15" s="72"/>
      <c r="F15" s="72"/>
    </row>
    <row r="16" spans="1:6">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4" t="s">
        <v>104</v>
      </c>
      <c r="C3" s="84"/>
      <c r="D3" s="84"/>
    </row>
    <row r="5" spans="1:4">
      <c r="B5" s="85" t="s">
        <v>106</v>
      </c>
      <c r="C5" s="78"/>
      <c r="D5" s="78"/>
    </row>
    <row r="6" spans="1:4">
      <c r="B6" s="85" t="s">
        <v>107</v>
      </c>
      <c r="C6" s="78"/>
      <c r="D6" s="78"/>
    </row>
    <row r="8" spans="1:4">
      <c r="B8" s="1" t="s">
        <v>105</v>
      </c>
    </row>
    <row r="10" spans="1:4">
      <c r="A10" s="5"/>
      <c r="B10" s="6" t="s">
        <v>108</v>
      </c>
    </row>
    <row r="11" spans="1:4">
      <c r="B11" s="84" t="s">
        <v>109</v>
      </c>
      <c r="C11" s="84"/>
      <c r="D11" s="84"/>
    </row>
    <row r="12" spans="1:4">
      <c r="B12" s="84" t="s">
        <v>110</v>
      </c>
      <c r="C12" s="84"/>
      <c r="D12" s="8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4" t="s">
        <v>122</v>
      </c>
      <c r="C28" s="84"/>
      <c r="D28" s="84"/>
    </row>
    <row r="29" spans="1:4">
      <c r="B29" s="84" t="s">
        <v>123</v>
      </c>
      <c r="C29" s="84"/>
      <c r="D29" s="8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2025-04-08T02:28:45Z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