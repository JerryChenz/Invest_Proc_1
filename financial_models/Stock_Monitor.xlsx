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2C57EFB0-01C5-46F9-B6C5-5EE9ECF71851}"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C36" i="5"/>
  <c r="G9" i="7" l="1"/>
  <c r="G7" i="7"/>
  <c r="G14" i="7"/>
  <c r="G16" i="7"/>
  <c r="E61" i="5"/>
  <c r="C16" i="2"/>
  <c r="C10" i="5" s="1"/>
  <c r="C11" i="5"/>
  <c r="E6" i="2"/>
  <c r="E5" i="2"/>
  <c r="E4" i="2"/>
  <c r="H16" i="7" l="1"/>
  <c r="H3" i="7"/>
  <c r="H11" i="7" s="1"/>
  <c r="D112" i="5"/>
  <c r="C64" i="5"/>
  <c r="C65" i="5" s="1"/>
  <c r="G5" i="7" l="1"/>
  <c r="G4" i="7"/>
  <c r="G3" i="7"/>
  <c r="G6" i="7"/>
  <c r="G11" i="7" l="1"/>
</calcChain>
</file>

<file path=xl/sharedStrings.xml><?xml version="1.0" encoding="utf-8"?>
<sst xmlns="http://schemas.openxmlformats.org/spreadsheetml/2006/main" count="349" uniqueCount="288">
  <si>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</si>
  <si>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</si>
  <si>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</si>
  <si>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</si>
  <si>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</si>
  <si>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</si>
  <si>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</si>
  <si>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</si>
  <si>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</si>
  <si>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</si>
  <si>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</si>
  <si>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</si>
  <si>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</si>
  <si>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</si>
  <si>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</si>
  <si>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</si>
  <si>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</si>
  <si>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</si>
  <si>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</si>
  <si>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</si>
  <si>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</si>
  <si>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</si>
  <si>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</si>
  <si>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</si>
  <si>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</si>
  <si>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</si>
  <si>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</si>
  <si>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</si>
  <si>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</si>
  <si>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</si>
  <si>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</si>
  <si>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</si>
  <si>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</si>
  <si>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</si>
  <si>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</si>
  <si>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</si>
  <si>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</si>
  <si>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</si>
  <si>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</si>
  <si>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</si>
  <si>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</si>
  <si>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</si>
  <si>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</si>
  <si>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</si>
  <si>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</si>
  <si>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</si>
  <si>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</si>
  <si>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</si>
  <si>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</si>
  <si>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</si>
  <si>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</si>
  <si>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</si>
  <si>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</si>
  <si>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</si>
  <si>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</si>
  <si>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</si>
  <si>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</si>
  <si>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</si>
  <si>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</si>
  <si>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</si>
  <si>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</si>
  <si>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</si>
  <si>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</si>
  <si>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</si>
  <si>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</si>
  <si>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</si>
  <si>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</si>
  <si>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</si>
  <si>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</si>
  <si>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</si>
  <si>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</si>
  <si>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</si>
  <si>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</si>
  <si>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</si>
  <si>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</si>
  <si>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</si>
  <si>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</si>
  <si>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</si>
  <si>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</si>
  <si>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</si>
  <si>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</si>
  <si>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</si>
  <si>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</si>
  <si>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</si>
  <si>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</si>
  <si>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</si>
  <si>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</si>
  <si>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</si>
  <si>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</si>
  <si>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</si>
  <si>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</si>
  <si>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</si>
  <si>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</si>
  <si>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</si>
  <si>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</si>
  <si>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</si>
  <si>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</si>
  <si>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</si>
  <si>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</si>
  <si>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</si>
  <si>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</si>
  <si>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</si>
  <si>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</si>
  <si>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</si>
  <si>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</si>
  <si>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</si>
  <si>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</si>
  <si>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</si>
  <si>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</si>
  <si>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</si>
  <si>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</si>
  <si>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</si>
  <si>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</si>
  <si>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</si>
  <si>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</si>
  <si>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</si>
  <si>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</si>
  <si>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</si>
  <si>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</si>
  <si>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</si>
  <si>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</si>
  <si>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</si>
  <si>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</si>
  <si>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</si>
  <si>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</si>
  <si>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</si>
  <si>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</si>
  <si>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</si>
  <si>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</si>
  <si>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</si>
  <si>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</si>
  <si>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</si>
  <si>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</si>
  <si>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</si>
  <si>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</si>
  <si>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</si>
  <si>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</si>
  <si>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</si>
  <si>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</si>
  <si>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</si>
  <si>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</si>
  <si>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</si>
  <si>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</si>
  <si>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</si>
  <si>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</si>
  <si>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</si>
  <si>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</si>
  <si>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</si>
  <si>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</si>
  <si>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</si>
  <si>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</si>
  <si>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</si>
  <si>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</si>
  <si>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</si>
  <si>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</si>
  <si>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</si>
  <si>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</si>
  <si>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</si>
  <si>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</si>
  <si>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</si>
  <si>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</si>
  <si>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</si>
  <si>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</si>
  <si>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</si>
  <si>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</si>
  <si>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</si>
  <si>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</si>
  <si>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</si>
  <si>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</si>
  <si>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</si>
  <si>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</si>
  <si>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</si>
  <si>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</si>
  <si>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</si>
  <si>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</si>
  <si>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</si>
  <si>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</si>
  <si>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</si>
  <si>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</si>
  <si>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</si>
  <si>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</si>
  <si>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</si>
  <si>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</si>
  <si>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</si>
  <si>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</si>
  <si>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</si>
  <si>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</si>
  <si>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</si>
  <si>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</si>
  <si>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</si>
  <si>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</si>
  <si>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</si>
  <si>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</si>
  <si>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</si>
  <si>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</si>
  <si>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</si>
  <si>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</si>
  <si>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</si>
  <si>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</si>
  <si>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</si>
  <si>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</si>
  <si>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</si>
  <si>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</si>
  <si>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</si>
  <si>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</si>
  <si>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</si>
  <si>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</si>
  <si>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</si>
  <si>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</si>
  <si>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</si>
  <si>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</si>
  <si>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</si>
  <si>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</si>
  <si>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</si>
  <si>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</si>
  <si>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</si>
  <si>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</si>
  <si>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</si>
  <si>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</si>
  <si>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</si>
  <si>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</si>
  <si>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</si>
  <si>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</si>
  <si>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</si>
  <si>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</si>
  <si>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</si>
  <si>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</si>
  <si>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</si>
  <si>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</si>
  <si>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</si>
  <si>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</si>
  <si>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</si>
  <si>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</si>
  <si>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</si>
  <si>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</si>
  <si>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</si>
  <si>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</si>
  <si>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</si>
  <si>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</si>
  <si>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</si>
  <si>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</si>
  <si>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</si>
  <si>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</si>
  <si>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</si>
  <si>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</si>
  <si>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</si>
  <si>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</si>
  <si>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</si>
  <si>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</si>
  <si>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</si>
  <si>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</si>
  <si>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</si>
  <si>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</si>
  <si>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</si>
  <si>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</si>
  <si>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</si>
  <si>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</si>
  <si>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</si>
  <si>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</si>
  <si>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</si>
  <si>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</si>
  <si>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</si>
  <si>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</si>
  <si>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</si>
  <si>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</si>
  <si>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</si>
  <si>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</si>
  <si>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</si>
  <si>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</si>
  <si>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</si>
  <si>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</si>
  <si>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</si>
  <si>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</si>
  <si>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</si>
  <si>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</si>
  <si>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</si>
  <si>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</si>
  <si>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</si>
  <si>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</si>
  <si>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</si>
  <si>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</si>
  <si>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</si>
  <si>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</si>
  <si>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</si>
  <si>
    <t>0883.HK</t>
  </si>
  <si>
    <t>中国海油</t>
  </si>
  <si>
    <t>Exit 
Price</t>
  </si>
  <si>
    <t>Sell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</si>
</sst>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7">
    <dxf>
      <fill>
        <patternFill>
          <bgColor theme="9"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workbookViewId="0">
      <selection activeCell="E56" sqref="E5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160</v>
      </c>
    </row>
    <row r="2" spans="1:5">
      <c r="A2" s="21" t="s">
        <v>55</v>
      </c>
      <c r="B2" s="21"/>
      <c r="C2" s="21"/>
      <c r="D2" s="21"/>
      <c r="E2" s="21"/>
    </row>
    <row r="4" spans="1:5" ht="24.4" customHeight="1">
      <c r="B4" s="94" t="s">
        <v>209</v>
      </c>
      <c r="C4" s="94"/>
      <c r="D4" s="94"/>
      <c r="E4" s="94"/>
    </row>
    <row r="6" spans="1:5">
      <c r="A6" s="20" t="s">
        <v>66</v>
      </c>
      <c r="B6" s="19" t="s">
        <v>192</v>
      </c>
      <c r="C6" s="61"/>
    </row>
    <row r="7" spans="1:5">
      <c r="B7" s="94" t="s">
        <v>197</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194</v>
      </c>
      <c r="C14" s="4" t="s">
        <v>195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193</v>
      </c>
    </row>
    <row r="23" spans="1:5">
      <c r="A23" s="25" t="s">
        <v>67</v>
      </c>
      <c r="B23" s="19" t="s">
        <v>191</v>
      </c>
      <c r="C23" s="61"/>
    </row>
    <row r="24" spans="1:5">
      <c r="A24" s="18"/>
      <c r="B24" s="94" t="s">
        <v>208</v>
      </c>
      <c r="C24" s="94"/>
      <c r="D24" s="94"/>
      <c r="E24" s="94"/>
    </row>
    <row r="25" spans="1:5">
      <c r="A25" s="18"/>
    </row>
    <row r="26" spans="1:5">
      <c r="A26" s="18"/>
      <c r="B26" s="50" t="s">
        <v>152</v>
      </c>
      <c r="C26" s="50" t="s">
        <v>146</v>
      </c>
    </row>
    <row r="27" spans="1:5">
      <c r="B27" s="26" t="s">
        <v>84</v>
      </c>
      <c r="C27" s="51">
        <v>6</v>
      </c>
    </row>
    <row r="28" spans="1:5">
      <c r="B28" s="26" t="s">
        <v>63</v>
      </c>
      <c r="C28" s="52">
        <v>0.3</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0.4</v>
      </c>
      <c r="D35" s="18" t="s">
        <v>56</v>
      </c>
      <c r="E35" s="93">
        <v>3</v>
      </c>
    </row>
    <row r="36" spans="1:5">
      <c r="B36" s="1" t="s">
        <v>17</v>
      </c>
      <c r="C36" s="49">
        <f>MAX(8%,Market_Yield!C4:D6)</f>
        <v>0.08</v>
      </c>
      <c r="D36" s="1" t="s">
        <v>235</v>
      </c>
      <c r="E36" s="48">
        <v>0.2</v>
      </c>
    </row>
    <row r="38" spans="1:5">
      <c r="B38" s="20" t="s">
        <v>85</v>
      </c>
    </row>
    <row r="39" spans="1:5">
      <c r="B39" s="94" t="s">
        <v>154</v>
      </c>
      <c r="C39" s="94"/>
      <c r="D39" s="94"/>
      <c r="E39" s="94"/>
    </row>
    <row r="40" spans="1:5" ht="46.6" customHeight="1">
      <c r="B40" s="94" t="s">
        <v>222</v>
      </c>
      <c r="C40" s="94"/>
      <c r="D40" s="94"/>
      <c r="E40" s="94"/>
    </row>
    <row r="42" spans="1:5">
      <c r="A42" s="21" t="s">
        <v>175</v>
      </c>
      <c r="B42" s="21"/>
      <c r="C42" s="21"/>
      <c r="D42" s="21"/>
      <c r="E42" s="21"/>
    </row>
    <row r="44" spans="1:5">
      <c r="B44" s="94" t="s">
        <v>196</v>
      </c>
      <c r="C44" s="94"/>
      <c r="D44" s="94"/>
      <c r="E44" s="94"/>
    </row>
    <row r="46" spans="1:5">
      <c r="B46" s="23" t="s">
        <v>90</v>
      </c>
    </row>
    <row r="48" spans="1:5">
      <c r="B48" s="50" t="s">
        <v>91</v>
      </c>
      <c r="C48" s="50" t="s">
        <v>187</v>
      </c>
      <c r="D48" s="56"/>
      <c r="E48" s="56"/>
    </row>
    <row r="49" spans="2:5">
      <c r="B49" s="26" t="s">
        <v>87</v>
      </c>
      <c r="C49" s="29">
        <v>0.5</v>
      </c>
      <c r="D49" s="57"/>
      <c r="E49" s="55"/>
    </row>
    <row r="50" spans="2:5">
      <c r="B50" s="26" t="s">
        <v>88</v>
      </c>
      <c r="C50" s="29">
        <v>0.3</v>
      </c>
      <c r="D50" s="57"/>
      <c r="E50" s="55"/>
    </row>
    <row r="51" spans="2:5">
      <c r="B51" s="26" t="s">
        <v>89</v>
      </c>
      <c r="C51" s="29">
        <v>0.2</v>
      </c>
      <c r="D51" s="62" t="s">
        <v>210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1</v>
      </c>
    </row>
    <row r="58" spans="2:5">
      <c r="B58" s="26" t="s">
        <v>71</v>
      </c>
      <c r="C58" s="26" t="s">
        <v>239</v>
      </c>
      <c r="D58" s="26" t="s">
        <v>240</v>
      </c>
      <c r="E58" s="41">
        <v>2</v>
      </c>
    </row>
    <row r="59" spans="2:5">
      <c r="B59" s="26" t="s">
        <v>72</v>
      </c>
      <c r="C59" s="26" t="s">
        <v>74</v>
      </c>
      <c r="D59" s="26" t="s">
        <v>78</v>
      </c>
      <c r="E59" s="41">
        <v>1</v>
      </c>
    </row>
    <row r="60" spans="2:5">
      <c r="D60" s="27" t="s">
        <v>79</v>
      </c>
      <c r="E60" s="40">
        <f>SUM(E56:E59)</f>
        <v>5</v>
      </c>
    </row>
    <row r="61" spans="2:5" ht="12" thickBot="1">
      <c r="D61" s="42" t="s">
        <v>185</v>
      </c>
      <c r="E61" s="43">
        <f>IF(E60&lt;=2,C49,IF(E60&gt;=6,C51,C50))</f>
        <v>0.3</v>
      </c>
    </row>
    <row r="62" spans="2:5" ht="12" thickTop="1"/>
    <row r="63" spans="2:5">
      <c r="B63" s="23" t="s">
        <v>186</v>
      </c>
    </row>
    <row r="64" spans="2:5">
      <c r="B64" s="53" t="s">
        <v>161</v>
      </c>
      <c r="C64" s="54">
        <f>-E61*(C35-Cash_Yield)</f>
        <v>-0.10965000000000001</v>
      </c>
    </row>
    <row r="65" spans="1:5">
      <c r="B65" s="53" t="s">
        <v>162</v>
      </c>
      <c r="C65" s="54">
        <f>C35+C64</f>
        <v>0.29035</v>
      </c>
    </row>
    <row r="66" spans="1:5">
      <c r="B66" s="45"/>
      <c r="C66" s="46"/>
    </row>
    <row r="67" spans="1:5">
      <c r="B67" s="39" t="s">
        <v>190</v>
      </c>
    </row>
    <row r="69" spans="1:5">
      <c r="A69" s="21" t="s">
        <v>80</v>
      </c>
      <c r="B69" s="21"/>
      <c r="C69" s="21"/>
      <c r="D69" s="21"/>
      <c r="E69" s="21"/>
    </row>
    <row r="71" spans="1:5">
      <c r="B71" s="94" t="s">
        <v>184</v>
      </c>
      <c r="C71" s="94"/>
      <c r="D71" s="94"/>
      <c r="E71" s="94"/>
    </row>
    <row r="73" spans="1:5">
      <c r="A73" s="28" t="s">
        <v>66</v>
      </c>
      <c r="B73" s="20" t="s">
        <v>166</v>
      </c>
    </row>
    <row r="74" spans="1:5">
      <c r="B74" s="24" t="s">
        <v>212</v>
      </c>
    </row>
    <row r="75" spans="1:5">
      <c r="B75" s="24" t="s">
        <v>211</v>
      </c>
    </row>
    <row r="77" spans="1:5">
      <c r="A77" s="28" t="s">
        <v>126</v>
      </c>
      <c r="B77" s="20" t="s">
        <v>165</v>
      </c>
    </row>
    <row r="78" spans="1:5">
      <c r="B78" s="39" t="s">
        <v>167</v>
      </c>
    </row>
    <row r="79" spans="1:5">
      <c r="B79" s="24" t="s">
        <v>168</v>
      </c>
    </row>
    <row r="80" spans="1:5">
      <c r="B80" s="24" t="s">
        <v>169</v>
      </c>
    </row>
    <row r="81" spans="1:5">
      <c r="B81" s="24" t="s">
        <v>176</v>
      </c>
    </row>
    <row r="83" spans="1:5">
      <c r="A83" s="28" t="s">
        <v>144</v>
      </c>
      <c r="B83" s="20" t="s">
        <v>204</v>
      </c>
    </row>
    <row r="84" spans="1:5">
      <c r="B84" s="24" t="s">
        <v>179</v>
      </c>
    </row>
    <row r="85" spans="1:5">
      <c r="B85" s="97" t="s">
        <v>180</v>
      </c>
      <c r="C85" s="97"/>
      <c r="D85" s="97"/>
      <c r="E85" s="97"/>
    </row>
    <row r="86" spans="1:5">
      <c r="B86" s="96" t="s">
        <v>178</v>
      </c>
      <c r="C86" s="96"/>
      <c r="D86" s="96"/>
      <c r="E86" s="96"/>
    </row>
    <row r="87" spans="1:5" ht="24.4" customHeight="1">
      <c r="B87" s="94" t="s">
        <v>177</v>
      </c>
      <c r="C87" s="94"/>
      <c r="D87" s="94"/>
      <c r="E87" s="94"/>
    </row>
    <row r="88" spans="1:5" ht="24.4" customHeight="1">
      <c r="B88" s="94" t="s">
        <v>213</v>
      </c>
      <c r="C88" s="94"/>
      <c r="D88" s="94"/>
      <c r="E88" s="94"/>
    </row>
    <row r="90" spans="1:5">
      <c r="B90" s="24" t="s">
        <v>182</v>
      </c>
    </row>
    <row r="91" spans="1:5">
      <c r="B91" s="1" t="s">
        <v>181</v>
      </c>
    </row>
    <row r="92" spans="1:5">
      <c r="B92" s="60" t="s">
        <v>170</v>
      </c>
    </row>
    <row r="93" spans="1:5">
      <c r="B93" s="24" t="s">
        <v>183</v>
      </c>
    </row>
    <row r="94" spans="1:5">
      <c r="B94" s="24" t="s">
        <v>171</v>
      </c>
    </row>
    <row r="96" spans="1:5">
      <c r="B96" s="24" t="s">
        <v>198</v>
      </c>
    </row>
    <row r="97" spans="1:5">
      <c r="B97" s="95" t="s">
        <v>199</v>
      </c>
      <c r="C97" s="95"/>
      <c r="D97" s="95"/>
      <c r="E97" s="95"/>
    </row>
    <row r="99" spans="1:5">
      <c r="B99" s="24" t="s">
        <v>203</v>
      </c>
    </row>
    <row r="100" spans="1:5" ht="12.4">
      <c r="B100" s="95" t="s">
        <v>200</v>
      </c>
      <c r="C100" s="95"/>
      <c r="D100" s="95"/>
      <c r="E100" s="95"/>
    </row>
    <row r="101" spans="1:5" ht="58.5" customHeight="1">
      <c r="B101" s="94" t="s">
        <v>207</v>
      </c>
      <c r="C101" s="94"/>
      <c r="D101" s="94"/>
      <c r="E101" s="94"/>
    </row>
    <row r="103" spans="1:5">
      <c r="A103" s="28" t="s">
        <v>173</v>
      </c>
      <c r="B103" s="20" t="s">
        <v>172</v>
      </c>
    </row>
    <row r="104" spans="1:5">
      <c r="B104" s="1" t="s">
        <v>188</v>
      </c>
    </row>
    <row r="105" spans="1:5">
      <c r="B105" s="1" t="s">
        <v>189</v>
      </c>
    </row>
    <row r="107" spans="1:5">
      <c r="B107" s="1" t="s">
        <v>174</v>
      </c>
    </row>
    <row r="108" spans="1:5">
      <c r="B108" s="1" t="s">
        <v>201</v>
      </c>
    </row>
    <row r="110" spans="1:5">
      <c r="B110" s="23" t="s">
        <v>155</v>
      </c>
    </row>
    <row r="111" spans="1:5">
      <c r="B111" s="1" t="s">
        <v>163</v>
      </c>
      <c r="C111" s="44">
        <v>0.30000000000000004</v>
      </c>
    </row>
    <row r="112" spans="1:5">
      <c r="B112" s="1" t="s">
        <v>164</v>
      </c>
      <c r="C112" s="44">
        <v>0.16314146973611079</v>
      </c>
      <c r="D112" s="61" t="str">
        <f>IF(C112&lt;benchmark,"Warning: Return is lower than the Benchmark.","")</f>
        <v/>
      </c>
    </row>
    <row r="114" spans="1:5" ht="24.4" customHeight="1">
      <c r="B114" s="94" t="s">
        <v>205</v>
      </c>
      <c r="C114" s="94"/>
      <c r="D114" s="94"/>
      <c r="E114" s="94"/>
    </row>
    <row r="116" spans="1:5">
      <c r="A116" s="21" t="s">
        <v>81</v>
      </c>
      <c r="B116" s="21"/>
      <c r="C116" s="21"/>
      <c r="D116" s="21"/>
      <c r="E116" s="21"/>
    </row>
    <row r="118" spans="1:5">
      <c r="B118" s="20" t="s">
        <v>82</v>
      </c>
    </row>
    <row r="119" spans="1:5">
      <c r="B119" s="24" t="s">
        <v>96</v>
      </c>
    </row>
    <row r="120" spans="1:5">
      <c r="B120" s="24" t="s">
        <v>97</v>
      </c>
    </row>
    <row r="121" spans="1:5">
      <c r="B121" s="24" t="s">
        <v>206</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E3" activePane="bottomRight" state="frozen"/>
      <selection pane="topRight" activeCell="D1" sqref="D1"/>
      <selection pane="bottomLeft" activeCell="A5" sqref="A5"/>
      <selection pane="bottomRight" activeCell="N13" sqref="N1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4" width="8.6640625" style="2" customWidth="1"/>
    <col min="15" max="16" width="8.6640625" style="1" customWidth="1"/>
    <col min="17" max="18" width="8.6640625" style="15" customWidth="1"/>
    <col min="19" max="19" width="8.6640625" style="92" customWidth="1"/>
    <col min="20" max="20" width="8.6640625" style="86" customWidth="1"/>
    <col min="21" max="21" width="8.6640625" style="1" customWidth="1"/>
    <col min="22" max="22" width="22.73046875" style="1" bestFit="1" customWidth="1"/>
    <col min="23" max="23" width="14.796875" style="3" bestFit="1" customWidth="1"/>
    <col min="24" max="24" width="8.796875" style="11"/>
    <col min="25" max="16384" width="8.796875" style="1"/>
  </cols>
  <sheetData>
    <row r="1" spans="1:24">
      <c r="A1" s="5"/>
      <c r="B1" s="6" t="s">
        <v>4</v>
      </c>
      <c r="C1" s="87"/>
      <c r="D1" s="100" t="s">
        <v>1</v>
      </c>
      <c r="E1" s="100"/>
      <c r="F1" s="100"/>
      <c r="G1" s="101" t="s">
        <v>99</v>
      </c>
      <c r="H1" s="101"/>
      <c r="I1" s="101"/>
      <c r="J1" s="104" t="s">
        <v>5</v>
      </c>
      <c r="K1" s="104"/>
      <c r="L1" s="104"/>
      <c r="M1" s="103" t="s">
        <v>237</v>
      </c>
      <c r="N1" s="103"/>
      <c r="O1" s="98" t="s">
        <v>9</v>
      </c>
      <c r="P1" s="98"/>
      <c r="Q1" s="102" t="s">
        <v>234</v>
      </c>
      <c r="R1" s="102"/>
      <c r="S1" s="102"/>
      <c r="T1" s="102"/>
      <c r="U1" s="99" t="s">
        <v>53</v>
      </c>
      <c r="V1" s="99"/>
      <c r="W1" s="99"/>
      <c r="X1" s="99"/>
    </row>
    <row r="2" spans="1:24" ht="26" customHeight="1">
      <c r="B2" s="7" t="s">
        <v>3</v>
      </c>
      <c r="C2" s="7" t="s">
        <v>0</v>
      </c>
      <c r="D2" s="8" t="s">
        <v>1</v>
      </c>
      <c r="E2" s="7" t="s">
        <v>2</v>
      </c>
      <c r="F2" s="7" t="s">
        <v>11</v>
      </c>
      <c r="G2" s="7" t="s">
        <v>61</v>
      </c>
      <c r="H2" s="7" t="s">
        <v>62</v>
      </c>
      <c r="I2" s="7" t="s">
        <v>202</v>
      </c>
      <c r="J2" s="8" t="s">
        <v>8</v>
      </c>
      <c r="K2" s="8" t="s">
        <v>12</v>
      </c>
      <c r="L2" s="8" t="s">
        <v>287</v>
      </c>
      <c r="M2" s="8" t="s">
        <v>236</v>
      </c>
      <c r="N2" s="8" t="s">
        <v>286</v>
      </c>
      <c r="O2" s="7" t="s">
        <v>13</v>
      </c>
      <c r="P2" s="7" t="s">
        <v>7</v>
      </c>
      <c r="Q2" s="7" t="s">
        <v>231</v>
      </c>
      <c r="R2" s="7" t="s">
        <v>230</v>
      </c>
      <c r="S2" s="7" t="s">
        <v>233</v>
      </c>
      <c r="T2" s="7" t="s">
        <v>232</v>
      </c>
      <c r="U2" s="7" t="s">
        <v>6</v>
      </c>
      <c r="V2" s="7" t="s">
        <v>14</v>
      </c>
      <c r="W2" s="9" t="s">
        <v>10</v>
      </c>
      <c r="X2" s="10" t="s">
        <v>52</v>
      </c>
    </row>
    <row r="3" spans="1:24">
      <c r="B3" s="11" t="s">
        <v>284</v>
      </c>
      <c r="C3" s="11" t="s">
        <v>285</v>
      </c>
      <c r="D3" s="2">
        <v>17.239999999999998</v>
      </c>
      <c r="E3" s="12" t="s">
        <v>156</v>
      </c>
      <c r="F3" s="15">
        <v>0.240328434530378</v>
      </c>
      <c r="G3" s="15">
        <f>F3 - Portfolio_Mgmt!$C$10</f>
        <v>0.12292843453037799</v>
      </c>
      <c r="H3" s="15">
        <f>F3 - Portfolio_Mgmt!$C$11</f>
        <v>0.205828434530378</v>
      </c>
      <c r="I3" s="15">
        <v>0.18024632589778347</v>
      </c>
      <c r="J3" s="2">
        <v>12.285015686177186</v>
      </c>
      <c r="K3" s="2">
        <v>27.606083042870196</v>
      </c>
      <c r="L3" s="86">
        <v>25.522534549857582</v>
      </c>
      <c r="M3" s="2">
        <v>18.924816575735068</v>
      </c>
      <c r="N3" s="2">
        <v>23.164591307721029</v>
      </c>
      <c r="O3" s="4">
        <v>0.11899915097966768</v>
      </c>
      <c r="P3" s="4">
        <v>8.1206496519721574E-2</v>
      </c>
      <c r="Q3" s="15">
        <v>0.40943456145688223</v>
      </c>
      <c r="R3" s="15">
        <v>0.12260820136742831</v>
      </c>
      <c r="S3" s="92">
        <v>0.75207444874659302</v>
      </c>
      <c r="T3" s="86">
        <v>-0.45457942708552379</v>
      </c>
      <c r="U3" s="13" t="s">
        <v>223</v>
      </c>
      <c r="V3" s="11" t="s">
        <v>157</v>
      </c>
      <c r="W3" s="14">
        <v>45900</v>
      </c>
      <c r="X3" s="11" t="s">
        <v>158</v>
      </c>
    </row>
    <row r="4" spans="1:24">
      <c r="B4" s="11" t="s">
        <v>238</v>
      </c>
      <c r="C4" s="11" t="s">
        <v>266</v>
      </c>
      <c r="D4" s="2">
        <v>1.1399999999999999</v>
      </c>
      <c r="E4" s="12" t="s">
        <v>156</v>
      </c>
      <c r="F4" s="15">
        <v>0.22664312414291476</v>
      </c>
      <c r="G4" s="15">
        <f>F4 - Portfolio_Mgmt!$C$10</f>
        <v>0.10924312414291476</v>
      </c>
      <c r="H4" s="15">
        <f>F4 - Portfolio_Mgmt!$C$11</f>
        <v>0.19214312414291476</v>
      </c>
      <c r="I4" s="15">
        <v>0.16998234310718607</v>
      </c>
      <c r="J4" s="2">
        <v>0.76678821707017375</v>
      </c>
      <c r="K4" s="2">
        <v>2.1040668676405563</v>
      </c>
      <c r="L4" s="86">
        <v>1.6702761167953912</v>
      </c>
      <c r="M4" s="2">
        <v>1.2176312891438406</v>
      </c>
      <c r="N4" s="2">
        <v>1.5081117949794698</v>
      </c>
      <c r="O4" s="4">
        <v>8.4102247759095753E-3</v>
      </c>
      <c r="P4" s="4">
        <v>0</v>
      </c>
      <c r="Q4" s="15">
        <v>9.7057481271370302E-2</v>
      </c>
      <c r="R4" s="15">
        <v>1.4790654865358754E-2</v>
      </c>
      <c r="S4" s="92">
        <v>3.4432102574884196</v>
      </c>
      <c r="T4" s="86">
        <v>2.0258239687205015</v>
      </c>
      <c r="U4" s="13" t="s">
        <v>267</v>
      </c>
      <c r="V4" s="11" t="s">
        <v>268</v>
      </c>
      <c r="W4" s="14">
        <v>45900</v>
      </c>
      <c r="X4" s="11" t="s">
        <v>158</v>
      </c>
    </row>
    <row r="5" spans="1:24">
      <c r="B5" s="11" t="s">
        <v>269</v>
      </c>
      <c r="C5" s="11" t="s">
        <v>270</v>
      </c>
      <c r="D5" s="2">
        <v>1.95</v>
      </c>
      <c r="E5" s="12" t="s">
        <v>156</v>
      </c>
      <c r="F5" s="15">
        <v>0.21752951885117988</v>
      </c>
      <c r="G5" s="15">
        <f>F5 - Portfolio_Mgmt!$C$10</f>
        <v>0.10012951885117988</v>
      </c>
      <c r="H5" s="15">
        <f>F5 - Portfolio_Mgmt!$C$11</f>
        <v>0.18302951885117988</v>
      </c>
      <c r="I5" s="15">
        <v>0.16314713913838488</v>
      </c>
      <c r="J5" s="2">
        <v>1.3066492491416455</v>
      </c>
      <c r="K5" s="2">
        <v>3.1494455396446743</v>
      </c>
      <c r="L5" s="86">
        <v>2.7578411094318973</v>
      </c>
      <c r="M5" s="2">
        <v>2.0332439465536307</v>
      </c>
      <c r="N5" s="2">
        <v>2.4986581353682991</v>
      </c>
      <c r="O5" s="4">
        <v>6.8668510239619146E-2</v>
      </c>
      <c r="P5" s="4">
        <v>5.1282051282051287E-2</v>
      </c>
      <c r="Q5" s="15">
        <v>0.23422582328431374</v>
      </c>
      <c r="R5" s="15">
        <v>0.10863424600069688</v>
      </c>
      <c r="S5" s="92">
        <v>2.2824569622635926</v>
      </c>
      <c r="T5" s="86">
        <v>1.8322700564371563</v>
      </c>
      <c r="U5" s="13" t="s">
        <v>271</v>
      </c>
      <c r="V5" s="11" t="s">
        <v>157</v>
      </c>
      <c r="W5" s="14">
        <v>45900</v>
      </c>
      <c r="X5" s="11" t="s">
        <v>158</v>
      </c>
    </row>
    <row r="6" spans="1:24">
      <c r="B6" s="11" t="s">
        <v>225</v>
      </c>
      <c r="C6" s="11" t="s">
        <v>259</v>
      </c>
      <c r="D6" s="2">
        <v>15.28</v>
      </c>
      <c r="E6" s="12" t="s">
        <v>156</v>
      </c>
      <c r="F6" s="15">
        <v>0.19513328682324205</v>
      </c>
      <c r="G6" s="15">
        <f>F6 - Portfolio_Mgmt!$C$10</f>
        <v>7.7733286823242043E-2</v>
      </c>
      <c r="H6" s="15">
        <f>F6 - Portfolio_Mgmt!$C$11</f>
        <v>0.16063328682324204</v>
      </c>
      <c r="I6" s="15">
        <v>0.14634996511743154</v>
      </c>
      <c r="J6" s="2">
        <v>9.6505192185354964</v>
      </c>
      <c r="K6" s="2">
        <v>24.130111840577843</v>
      </c>
      <c r="L6" s="86">
        <v>20.54483198306086</v>
      </c>
      <c r="M6" s="2">
        <v>15.100000340190643</v>
      </c>
      <c r="N6" s="2">
        <v>18.596384547143732</v>
      </c>
      <c r="O6" s="4">
        <v>6.6448187927637556E-2</v>
      </c>
      <c r="P6" s="4">
        <v>3.5287971550680156E-2</v>
      </c>
      <c r="Q6" s="15">
        <v>0.36794481423679237</v>
      </c>
      <c r="R6" s="15">
        <v>7.4171010848313429E-2</v>
      </c>
      <c r="S6" s="92">
        <v>0.60402076709908736</v>
      </c>
      <c r="T6" s="86">
        <v>4.5723349078697169</v>
      </c>
      <c r="U6" s="13" t="s">
        <v>246</v>
      </c>
      <c r="V6" s="11" t="s">
        <v>157</v>
      </c>
      <c r="W6" s="14">
        <v>45900</v>
      </c>
      <c r="X6" s="11" t="s">
        <v>158</v>
      </c>
    </row>
    <row r="7" spans="1:24">
      <c r="B7" s="11" t="s">
        <v>244</v>
      </c>
      <c r="C7" s="11" t="s">
        <v>245</v>
      </c>
      <c r="D7" s="2">
        <v>51.75</v>
      </c>
      <c r="E7" s="12" t="s">
        <v>156</v>
      </c>
      <c r="F7" s="15">
        <v>0.17134418888864666</v>
      </c>
      <c r="G7" s="15">
        <f>F7 - Portfolio_Mgmt!$C$10</f>
        <v>5.394418888864666E-2</v>
      </c>
      <c r="H7" s="15">
        <f>F7 - Portfolio_Mgmt!$C$11</f>
        <v>0.13684418888864666</v>
      </c>
      <c r="I7" s="15">
        <v>4.0274226739213992E-2</v>
      </c>
      <c r="J7" s="2">
        <v>31.821083851628465</v>
      </c>
      <c r="K7" s="2">
        <v>65.172461488868507</v>
      </c>
      <c r="L7" s="86">
        <v>64.825166953135721</v>
      </c>
      <c r="M7" s="2">
        <v>48.4144380143915</v>
      </c>
      <c r="N7" s="2">
        <v>58.966734828255284</v>
      </c>
      <c r="O7" s="4">
        <v>0.10230256777637912</v>
      </c>
      <c r="P7" s="4">
        <v>9.814560386473431E-2</v>
      </c>
      <c r="Q7" s="15">
        <v>1.2907496012759174</v>
      </c>
      <c r="R7" s="15">
        <v>0.24768740031897937</v>
      </c>
      <c r="S7" s="92">
        <v>0.73855199466278643</v>
      </c>
      <c r="T7" s="86">
        <v>-2.6625266244343737</v>
      </c>
      <c r="U7" s="13" t="s">
        <v>246</v>
      </c>
      <c r="V7" s="11" t="s">
        <v>157</v>
      </c>
      <c r="W7" s="14">
        <v>45808</v>
      </c>
      <c r="X7" s="11" t="s">
        <v>158</v>
      </c>
    </row>
    <row r="8" spans="1:24">
      <c r="B8" s="11" t="s">
        <v>260</v>
      </c>
      <c r="C8" s="11" t="s">
        <v>261</v>
      </c>
      <c r="D8" s="2">
        <v>68.31</v>
      </c>
      <c r="E8" s="12" t="s">
        <v>262</v>
      </c>
      <c r="F8" s="15">
        <v>0.15993573478625023</v>
      </c>
      <c r="G8" s="15">
        <f>F8 - Portfolio_Mgmt!$C$10</f>
        <v>4.2535734786250223E-2</v>
      </c>
      <c r="H8" s="15">
        <f>F8 - Portfolio_Mgmt!$C$11</f>
        <v>0.12543573478625022</v>
      </c>
      <c r="I8" s="15">
        <v>0</v>
      </c>
      <c r="J8" s="2">
        <v>40.298277562480884</v>
      </c>
      <c r="K8" s="2">
        <v>90.317553631447524</v>
      </c>
      <c r="L8" s="86">
        <v>83.672755702452235</v>
      </c>
      <c r="M8" s="2">
        <v>62.055922240421019</v>
      </c>
      <c r="N8" s="2">
        <v>75.94741196324874</v>
      </c>
      <c r="O8" s="4">
        <v>7.6856328396378931E-2</v>
      </c>
      <c r="P8" s="4">
        <v>6.8028107158541948E-2</v>
      </c>
      <c r="Q8" s="15">
        <v>0.30279158651211824</v>
      </c>
      <c r="R8" s="15">
        <v>7.7640983998987034E-4</v>
      </c>
      <c r="S8" s="92">
        <v>3.8209153156820415E-3</v>
      </c>
      <c r="T8" s="86">
        <v>15.284602440692964</v>
      </c>
      <c r="U8" s="13" t="s">
        <v>249</v>
      </c>
      <c r="V8" s="11" t="s">
        <v>157</v>
      </c>
      <c r="W8" s="14">
        <v>45900</v>
      </c>
      <c r="X8" s="11" t="s">
        <v>250</v>
      </c>
    </row>
    <row r="9" spans="1:24">
      <c r="B9" s="11" t="s">
        <v>251</v>
      </c>
      <c r="C9" s="11" t="s">
        <v>252</v>
      </c>
      <c r="D9" s="2">
        <v>6.19</v>
      </c>
      <c r="E9" s="12" t="s">
        <v>156</v>
      </c>
      <c r="F9" s="15">
        <v>0.15722725609816002</v>
      </c>
      <c r="G9" s="15">
        <f>F9 - Portfolio_Mgmt!$C$10</f>
        <v>3.9827256098160013E-2</v>
      </c>
      <c r="H9" s="15">
        <f>F9 - Portfolio_Mgmt!$C$11</f>
        <v>0.12272725609816001</v>
      </c>
      <c r="I9" s="15">
        <v>0</v>
      </c>
      <c r="J9" s="2">
        <v>3.6350163883857007</v>
      </c>
      <c r="K9" s="2">
        <v>8.0476287043689698</v>
      </c>
      <c r="L9" s="86">
        <v>7.5273881100953863</v>
      </c>
      <c r="M9" s="2">
        <v>5.5881299318515572</v>
      </c>
      <c r="N9" s="2">
        <v>6.8344461572571689</v>
      </c>
      <c r="O9" s="4">
        <v>0.12629525558807667</v>
      </c>
      <c r="P9" s="4">
        <v>7.1395720582227623E-2</v>
      </c>
      <c r="Q9" s="15">
        <v>0.61007460831657279</v>
      </c>
      <c r="R9" s="15">
        <v>0.16360901428944893</v>
      </c>
      <c r="S9" s="92">
        <v>1.1309485990394448</v>
      </c>
      <c r="T9" s="86">
        <v>-3.848347181301202</v>
      </c>
      <c r="U9" s="13" t="s">
        <v>223</v>
      </c>
      <c r="V9" s="11" t="s">
        <v>253</v>
      </c>
      <c r="W9" s="14">
        <v>45900</v>
      </c>
      <c r="X9" s="11" t="s">
        <v>158</v>
      </c>
    </row>
    <row r="10" spans="1:24">
      <c r="B10" s="11" t="s">
        <v>254</v>
      </c>
      <c r="C10" s="11" t="s">
        <v>255</v>
      </c>
      <c r="D10" s="2">
        <v>3.57</v>
      </c>
      <c r="E10" s="12" t="s">
        <v>156</v>
      </c>
      <c r="F10" s="15">
        <v>0.14834835832623461</v>
      </c>
      <c r="G10" s="15">
        <f>F10 - Portfolio_Mgmt!$C$10</f>
        <v>3.0948358326234604E-2</v>
      </c>
      <c r="H10" s="15">
        <f>F10 - Portfolio_Mgmt!$C$11</f>
        <v>0.11384835832623461</v>
      </c>
      <c r="I10" s="15">
        <v>0</v>
      </c>
      <c r="J10" s="2">
        <v>2.0118297468067095</v>
      </c>
      <c r="K10" s="2">
        <v>4.9623808252376094</v>
      </c>
      <c r="L10" s="86">
        <v>4.2691663056616189</v>
      </c>
      <c r="M10" s="2">
        <v>3.1413777923828756</v>
      </c>
      <c r="N10" s="2">
        <v>3.8656512307065762</v>
      </c>
      <c r="O10" s="4">
        <v>7.9541327003833207E-2</v>
      </c>
      <c r="P10" s="4">
        <v>3.5854341736694682E-2</v>
      </c>
      <c r="Q10" s="15">
        <v>0.40000523965699897</v>
      </c>
      <c r="R10" s="15">
        <v>0.10646655543311496</v>
      </c>
      <c r="S10" s="92">
        <v>0.9804830051022897</v>
      </c>
      <c r="T10" s="86">
        <v>1.6698226477450393</v>
      </c>
      <c r="U10" s="16" t="s">
        <v>256</v>
      </c>
      <c r="V10" s="11" t="s">
        <v>157</v>
      </c>
      <c r="W10" s="14">
        <v>45808</v>
      </c>
      <c r="X10" s="11" t="s">
        <v>158</v>
      </c>
    </row>
    <row r="11" spans="1:24">
      <c r="B11" s="11" t="s">
        <v>257</v>
      </c>
      <c r="C11" s="11" t="s">
        <v>258</v>
      </c>
      <c r="D11" s="2">
        <v>17.420000000000002</v>
      </c>
      <c r="E11" s="12" t="s">
        <v>156</v>
      </c>
      <c r="F11" s="15">
        <v>0.13011393728241316</v>
      </c>
      <c r="G11" s="15">
        <f>F11 - Portfolio_Mgmt!$C$10</f>
        <v>1.2713937282413157E-2</v>
      </c>
      <c r="H11" s="15">
        <f>F11 - Portfolio_Mgmt!$C$11</f>
        <v>9.5613937282413158E-2</v>
      </c>
      <c r="I11" s="15">
        <v>0</v>
      </c>
      <c r="J11" s="2">
        <v>9.6350511887729162</v>
      </c>
      <c r="K11" s="2">
        <v>20.508980461992877</v>
      </c>
      <c r="L11" s="86">
        <v>19.785541823839793</v>
      </c>
      <c r="M11" s="2">
        <v>14.733437767356989</v>
      </c>
      <c r="N11" s="2">
        <v>17.981165147547486</v>
      </c>
      <c r="O11" s="4">
        <v>9.9195523499978705E-2</v>
      </c>
      <c r="P11" s="4">
        <v>7.8071182548794485E-2</v>
      </c>
      <c r="Q11" s="15">
        <v>0.31018327415220487</v>
      </c>
      <c r="R11" s="15">
        <v>0.15818859882129041</v>
      </c>
      <c r="S11" s="92">
        <v>1.4550387206421544</v>
      </c>
      <c r="T11" s="86">
        <v>5.8696003638854428</v>
      </c>
      <c r="U11" s="13" t="s">
        <v>256</v>
      </c>
      <c r="V11" s="11" t="s">
        <v>157</v>
      </c>
      <c r="W11" s="14">
        <v>45808</v>
      </c>
      <c r="X11" s="11" t="s">
        <v>158</v>
      </c>
    </row>
    <row r="12" spans="1:24">
      <c r="B12" s="11" t="s">
        <v>263</v>
      </c>
      <c r="C12" s="11" t="s">
        <v>264</v>
      </c>
      <c r="D12" s="2">
        <v>13.98</v>
      </c>
      <c r="E12" s="12" t="s">
        <v>156</v>
      </c>
      <c r="F12" s="15">
        <v>0.12006981785810078</v>
      </c>
      <c r="G12" s="15">
        <f>F12 - Portfolio_Mgmt!$C$10</f>
        <v>2.6698178581007759E-3</v>
      </c>
      <c r="H12" s="15">
        <f>F12 - Portfolio_Mgmt!$C$11</f>
        <v>8.5569817858100777E-2</v>
      </c>
      <c r="I12" s="15">
        <v>0</v>
      </c>
      <c r="J12" s="2">
        <v>7.4604610446780413</v>
      </c>
      <c r="K12" s="2">
        <v>16.812537036996542</v>
      </c>
      <c r="L12" s="86">
        <v>15.509066886479243</v>
      </c>
      <c r="M12" s="2">
        <v>11.497263800576702</v>
      </c>
      <c r="N12" s="2">
        <v>14.07524822357748</v>
      </c>
      <c r="O12" s="4">
        <v>0.11059408175537334</v>
      </c>
      <c r="P12" s="4">
        <v>6.0029532188841196E-2</v>
      </c>
      <c r="Q12" s="15">
        <v>2.2875080906148866</v>
      </c>
      <c r="R12" s="15">
        <v>1.5035598705501618</v>
      </c>
      <c r="S12" s="92">
        <v>4.1998196571663646</v>
      </c>
      <c r="T12" s="86">
        <v>-12.221661486093266</v>
      </c>
      <c r="U12" s="13" t="s">
        <v>246</v>
      </c>
      <c r="V12" s="11" t="s">
        <v>265</v>
      </c>
      <c r="W12" s="14">
        <v>45900</v>
      </c>
      <c r="X12" s="11" t="s">
        <v>250</v>
      </c>
    </row>
    <row r="13" spans="1:24">
      <c r="B13" s="11" t="s">
        <v>275</v>
      </c>
      <c r="C13" s="11" t="s">
        <v>276</v>
      </c>
      <c r="D13" s="2">
        <v>22.48</v>
      </c>
      <c r="E13" s="12" t="s">
        <v>277</v>
      </c>
      <c r="F13" s="15">
        <v>0.11672702458118978</v>
      </c>
      <c r="G13" s="15">
        <f>F13 - Portfolio_Mgmt!$C$10</f>
        <v>-6.7297541881022882E-4</v>
      </c>
      <c r="H13" s="15">
        <f>F13 - Portfolio_Mgmt!$C$11</f>
        <v>8.2227024581189773E-2</v>
      </c>
      <c r="I13" s="15">
        <v>0</v>
      </c>
      <c r="J13" s="2">
        <v>11.624652823058726</v>
      </c>
      <c r="K13" s="2">
        <v>29.309951346473134</v>
      </c>
      <c r="L13" s="2">
        <v>24.796949133193245</v>
      </c>
      <c r="M13" s="2">
        <v>18.21218480698677</v>
      </c>
      <c r="N13" s="2">
        <v>22.440333461900007</v>
      </c>
      <c r="O13" s="4">
        <v>0.20280078057554243</v>
      </c>
      <c r="P13" s="4">
        <v>2.6405693950177937E-2</v>
      </c>
      <c r="Q13" s="15">
        <v>1.4851905363915479</v>
      </c>
      <c r="R13" s="15">
        <v>0.95241105291674188</v>
      </c>
      <c r="S13" s="92">
        <v>4.0148803043206254</v>
      </c>
      <c r="T13" s="86">
        <v>-38.360607814419353</v>
      </c>
      <c r="U13" s="13" t="s">
        <v>278</v>
      </c>
      <c r="V13" s="11" t="s">
        <v>157</v>
      </c>
      <c r="W13" s="14">
        <v>45900</v>
      </c>
      <c r="X13" s="11" t="s">
        <v>250</v>
      </c>
    </row>
    <row r="14" spans="1:24">
      <c r="B14" s="11" t="s">
        <v>279</v>
      </c>
      <c r="C14" s="11" t="s">
        <v>280</v>
      </c>
      <c r="D14" s="2">
        <v>27.414999999999999</v>
      </c>
      <c r="E14" s="12" t="s">
        <v>277</v>
      </c>
      <c r="F14" s="15">
        <v>0.11330244753933805</v>
      </c>
      <c r="G14" s="15">
        <f>F14 - Portfolio_Mgmt!$C$10</f>
        <v>-4.0975524606619573E-3</v>
      </c>
      <c r="H14" s="15">
        <f>F14 - Portfolio_Mgmt!$C$11</f>
        <v>7.8802447539338044E-2</v>
      </c>
      <c r="I14" s="15">
        <v>0</v>
      </c>
      <c r="J14" s="2">
        <v>14.373490987382715</v>
      </c>
      <c r="K14" s="2">
        <v>32.464859269378167</v>
      </c>
      <c r="L14" s="2">
        <v>29.895007167811503</v>
      </c>
      <c r="M14" s="2">
        <v>22.157904669779033</v>
      </c>
      <c r="N14" s="2">
        <v>27.12969029059159</v>
      </c>
      <c r="O14" s="4">
        <v>9.2619639153127764E-2</v>
      </c>
      <c r="P14" s="4">
        <v>5.8362210468721511E-2</v>
      </c>
      <c r="Q14" s="15">
        <v>0.78990369994931575</v>
      </c>
      <c r="R14" s="15">
        <v>0.40281804358844397</v>
      </c>
      <c r="S14" s="92">
        <v>3.955391512509995</v>
      </c>
      <c r="T14" s="86">
        <v>-26.938493611476797</v>
      </c>
      <c r="U14" s="13" t="s">
        <v>281</v>
      </c>
      <c r="V14" s="11" t="s">
        <v>157</v>
      </c>
      <c r="W14" s="14">
        <v>45900</v>
      </c>
      <c r="X14" s="11" t="s">
        <v>250</v>
      </c>
    </row>
    <row r="15" spans="1:24">
      <c r="B15" s="11" t="s">
        <v>159</v>
      </c>
      <c r="C15" s="11" t="s">
        <v>241</v>
      </c>
      <c r="D15" s="2">
        <v>8.1199999999999992</v>
      </c>
      <c r="E15" s="12" t="s">
        <v>156</v>
      </c>
      <c r="F15" s="15">
        <v>0.10986015090978096</v>
      </c>
      <c r="G15" s="15">
        <f>F15 - Portfolio_Mgmt!$C$10</f>
        <v>-7.5398490902190418E-3</v>
      </c>
      <c r="H15" s="15">
        <f>F15 - Portfolio_Mgmt!$C$11</f>
        <v>7.536015090978096E-2</v>
      </c>
      <c r="I15" s="15">
        <v>0</v>
      </c>
      <c r="J15" s="2">
        <v>4.2607908145732249</v>
      </c>
      <c r="K15" s="2">
        <v>9.1628099951889297</v>
      </c>
      <c r="L15" s="2">
        <v>8.7684502451266084</v>
      </c>
      <c r="M15" s="2">
        <v>6.5243113398084081</v>
      </c>
      <c r="N15" s="2">
        <v>7.966849106315995</v>
      </c>
      <c r="O15" s="4">
        <v>3.804167142638732E-2</v>
      </c>
      <c r="P15" s="4">
        <v>7.1428571428571425E-2</v>
      </c>
      <c r="Q15" s="15">
        <v>8.3114411724224596E-2</v>
      </c>
      <c r="R15" s="15">
        <v>1.8509098960546238E-2</v>
      </c>
      <c r="S15" s="92">
        <v>1.1933697905849452</v>
      </c>
      <c r="T15" s="86">
        <v>11.511512740854835</v>
      </c>
      <c r="U15" s="13" t="s">
        <v>243</v>
      </c>
      <c r="V15" s="11" t="s">
        <v>242</v>
      </c>
      <c r="W15" s="14">
        <v>45900</v>
      </c>
      <c r="X15" s="11" t="s">
        <v>158</v>
      </c>
    </row>
    <row r="16" spans="1:24">
      <c r="B16" s="11" t="s">
        <v>247</v>
      </c>
      <c r="C16" s="11" t="s">
        <v>248</v>
      </c>
      <c r="D16" s="2">
        <v>55.3</v>
      </c>
      <c r="E16" s="12" t="s">
        <v>156</v>
      </c>
      <c r="F16" s="15">
        <v>0.1059109318546132</v>
      </c>
      <c r="G16" s="15">
        <f>F16 - Portfolio_Mgmt!$C$10</f>
        <v>-1.1489068145386805E-2</v>
      </c>
      <c r="H16" s="15">
        <f>F16 - Portfolio_Mgmt!$C$11</f>
        <v>7.1410931854613197E-2</v>
      </c>
      <c r="I16" s="15">
        <v>0</v>
      </c>
      <c r="J16" s="2">
        <v>28.02065621001972</v>
      </c>
      <c r="K16" s="2">
        <v>68.044617081498245</v>
      </c>
      <c r="L16" s="2">
        <v>59.243535993862672</v>
      </c>
      <c r="M16" s="2">
        <v>43.650574699146979</v>
      </c>
      <c r="N16" s="2">
        <v>53.665543222232159</v>
      </c>
      <c r="O16" s="4">
        <v>4.1382077971811766E-2</v>
      </c>
      <c r="P16" s="4">
        <v>3.6680921241915881E-2</v>
      </c>
      <c r="Q16" s="15">
        <v>0.72207550313588764</v>
      </c>
      <c r="R16" s="15">
        <v>9.5579625064196368E-3</v>
      </c>
      <c r="S16" s="92">
        <v>7.3592411949940734E-2</v>
      </c>
      <c r="T16" s="86">
        <v>1.3480120691529707</v>
      </c>
      <c r="U16" s="13" t="s">
        <v>249</v>
      </c>
      <c r="V16" s="11" t="s">
        <v>157</v>
      </c>
      <c r="W16" s="14">
        <v>45900</v>
      </c>
      <c r="X16" s="11" t="s">
        <v>250</v>
      </c>
    </row>
    <row r="17" spans="2:24">
      <c r="B17" s="11" t="s">
        <v>272</v>
      </c>
      <c r="C17" s="11" t="s">
        <v>273</v>
      </c>
      <c r="D17" s="2">
        <v>2.31</v>
      </c>
      <c r="E17" s="12" t="s">
        <v>156</v>
      </c>
      <c r="F17" s="15">
        <v>0.10510633756869536</v>
      </c>
      <c r="G17" s="15">
        <f>F17 - Portfolio_Mgmt!$C$10</f>
        <v>-1.2293662431304642E-2</v>
      </c>
      <c r="H17" s="15">
        <f>F17 - Portfolio_Mgmt!$C$11</f>
        <v>7.060633756869536E-2</v>
      </c>
      <c r="I17" s="15">
        <v>0</v>
      </c>
      <c r="J17" s="2">
        <v>1.1785341266910694</v>
      </c>
      <c r="K17" s="2">
        <v>2.7434541190161603</v>
      </c>
      <c r="L17" s="2">
        <v>2.4677323611878443</v>
      </c>
      <c r="M17" s="2">
        <v>1.8245989408849264</v>
      </c>
      <c r="N17" s="2">
        <v>2.2377858536201924</v>
      </c>
      <c r="O17" s="4">
        <v>3.6163718507586665E-2</v>
      </c>
      <c r="P17" s="4">
        <v>4.8695691312615044E-2</v>
      </c>
      <c r="Q17" s="15">
        <v>0.20351769929714394</v>
      </c>
      <c r="R17" s="15">
        <v>1.0763175939415467E-2</v>
      </c>
      <c r="S17" s="92">
        <v>0.29882156160837919</v>
      </c>
      <c r="T17" s="86">
        <v>1.8965738500647205</v>
      </c>
      <c r="U17" s="13" t="s">
        <v>274</v>
      </c>
      <c r="V17" s="11" t="s">
        <v>268</v>
      </c>
      <c r="W17" s="14">
        <v>45900</v>
      </c>
      <c r="X17" s="11" t="s">
        <v>158</v>
      </c>
    </row>
    <row r="18" spans="2:24">
      <c r="B18" s="11" t="s">
        <v>282</v>
      </c>
      <c r="C18" s="11" t="s">
        <v>283</v>
      </c>
      <c r="D18" s="2">
        <v>56.86</v>
      </c>
      <c r="E18" s="12" t="s">
        <v>262</v>
      </c>
      <c r="F18" s="15">
        <v>9.4210132770872423E-2</v>
      </c>
      <c r="G18" s="15">
        <f>F18 - Portfolio_Mgmt!$C$10</f>
        <v>-2.3189867229127581E-2</v>
      </c>
      <c r="H18" s="15">
        <f>F18 - Portfolio_Mgmt!$C$11</f>
        <v>5.9710132770872421E-2</v>
      </c>
      <c r="I18" s="15">
        <v>0</v>
      </c>
      <c r="J18" s="2">
        <v>28.081736799883384</v>
      </c>
      <c r="K18" s="2">
        <v>66.592285778879997</v>
      </c>
      <c r="L18" s="2">
        <v>59.048136223898794</v>
      </c>
      <c r="M18" s="2">
        <v>43.592757973888887</v>
      </c>
      <c r="N18" s="2">
        <v>53.520960428876833</v>
      </c>
      <c r="O18" s="4">
        <v>8.081439043489845E-2</v>
      </c>
      <c r="P18" s="4">
        <v>4.2208934224410834E-2</v>
      </c>
      <c r="Q18" s="15">
        <v>3.4701988818540461</v>
      </c>
      <c r="R18" s="15">
        <v>5.0341856510546588E-2</v>
      </c>
      <c r="S18" s="92">
        <v>3.9546057100127742E-2</v>
      </c>
      <c r="T18" s="86">
        <v>-13.312996389940134</v>
      </c>
      <c r="U18" s="13" t="s">
        <v>249</v>
      </c>
      <c r="V18" s="11" t="s">
        <v>157</v>
      </c>
      <c r="W18" s="14">
        <v>45900</v>
      </c>
      <c r="X18" s="11" t="s">
        <v>250</v>
      </c>
    </row>
    <row r="19" spans="2:24">
      <c r="B19" s="11"/>
      <c r="C19" s="11"/>
      <c r="E19" s="12"/>
      <c r="O19" s="4"/>
      <c r="P19" s="4"/>
      <c r="U19" s="13"/>
      <c r="V19" s="11"/>
      <c r="W19" s="14"/>
    </row>
    <row r="20" spans="2:24">
      <c r="B20" s="11"/>
      <c r="C20" s="11"/>
      <c r="E20" s="12"/>
      <c r="O20" s="4"/>
      <c r="P20" s="4"/>
      <c r="U20" s="13"/>
      <c r="V20" s="11"/>
      <c r="W20" s="14"/>
    </row>
    <row r="21" spans="2:24">
      <c r="B21" s="11"/>
      <c r="C21" s="11"/>
      <c r="E21" s="12"/>
      <c r="O21" s="4"/>
      <c r="P21" s="4"/>
      <c r="U21" s="13"/>
      <c r="V21" s="11"/>
      <c r="W21" s="14"/>
    </row>
    <row r="22" spans="2:24">
      <c r="B22" s="11"/>
      <c r="C22" s="11"/>
      <c r="E22" s="12"/>
      <c r="O22" s="4"/>
      <c r="P22" s="4"/>
      <c r="U22" s="13"/>
      <c r="V22" s="11"/>
      <c r="W22" s="14"/>
    </row>
    <row r="23" spans="2:24">
      <c r="B23" s="11"/>
      <c r="C23" s="11"/>
      <c r="E23" s="12"/>
      <c r="O23" s="4"/>
      <c r="P23" s="4"/>
      <c r="U23" s="13"/>
      <c r="V23" s="11"/>
      <c r="W23" s="14"/>
    </row>
    <row r="24" spans="2:24">
      <c r="B24" s="11"/>
      <c r="C24" s="11"/>
      <c r="E24" s="12"/>
      <c r="O24" s="4"/>
      <c r="P24" s="4"/>
      <c r="U24" s="13"/>
      <c r="V24" s="11"/>
      <c r="W24" s="14"/>
    </row>
    <row r="25" spans="2:24">
      <c r="B25" s="11"/>
      <c r="C25" s="11"/>
      <c r="E25" s="12"/>
      <c r="O25" s="4"/>
      <c r="P25" s="4"/>
      <c r="U25" s="13"/>
      <c r="V25" s="11"/>
      <c r="W25" s="14"/>
    </row>
    <row r="26" spans="2:24">
      <c r="B26" s="11"/>
      <c r="C26" s="11"/>
      <c r="E26" s="12"/>
      <c r="O26" s="4"/>
      <c r="P26" s="4"/>
      <c r="U26" s="13"/>
      <c r="V26" s="11"/>
      <c r="W26" s="14"/>
    </row>
    <row r="27" spans="2:24">
      <c r="B27" s="11"/>
      <c r="C27" s="11"/>
      <c r="E27" s="12"/>
      <c r="O27" s="4"/>
      <c r="P27" s="4"/>
      <c r="U27" s="13"/>
      <c r="V27" s="11"/>
      <c r="W27" s="14"/>
    </row>
    <row r="28" spans="2:24">
      <c r="B28" s="11"/>
      <c r="C28" s="11"/>
      <c r="E28" s="12"/>
      <c r="O28" s="4"/>
      <c r="P28" s="4"/>
      <c r="U28" s="13"/>
      <c r="V28" s="11"/>
      <c r="W28" s="14"/>
    </row>
    <row r="29" spans="2:24">
      <c r="B29" s="11"/>
      <c r="C29" s="11"/>
      <c r="E29" s="12"/>
      <c r="O29" s="4"/>
      <c r="P29" s="4"/>
      <c r="U29" s="13"/>
      <c r="V29" s="11"/>
      <c r="W29" s="14"/>
    </row>
    <row r="30" spans="2:24">
      <c r="B30" s="11"/>
      <c r="C30" s="11"/>
      <c r="E30" s="12"/>
      <c r="O30" s="4"/>
      <c r="P30" s="4"/>
      <c r="U30" s="13"/>
      <c r="V30" s="11"/>
      <c r="W30" s="14"/>
    </row>
    <row r="31" spans="2:24">
      <c r="B31" s="11"/>
      <c r="C31" s="11"/>
      <c r="E31" s="12"/>
      <c r="O31" s="4"/>
      <c r="P31" s="4"/>
      <c r="U31" s="16"/>
      <c r="V31" s="11"/>
      <c r="W31" s="14"/>
    </row>
    <row r="32" spans="2:24">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2" priority="6">
      <formula>J3&gt;D3</formula>
    </cfRule>
    <cfRule type="expression" dxfId="1" priority="1">
      <formula>J3&gt;D3</formula>
    </cfRule>
  </conditionalFormatting>
  <conditionalFormatting sqref="M3:M1048576">
    <cfRule type="expression" dxfId="6" priority="9">
      <formula>M3&gt;D3</formula>
    </cfRule>
  </conditionalFormatting>
  <conditionalFormatting sqref="W3:W1048576">
    <cfRule type="expression" dxfId="5" priority="4">
      <formula>W3&lt;TODAY()</formula>
    </cfRule>
  </conditionalFormatting>
  <conditionalFormatting sqref="N3:N1048576">
    <cfRule type="expression" dxfId="4" priority="3">
      <formula>N3&lt;D3</formula>
    </cfRule>
  </conditionalFormatting>
  <conditionalFormatting sqref="L3:L1048576">
    <cfRule type="expression" dxfId="3" priority="2">
      <formula>L3&lt;D3</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4.53E-2</v>
      </c>
      <c r="D4" s="34">
        <v>7.4999999999999997E-2</v>
      </c>
      <c r="E4" s="35">
        <f>D4-C4</f>
        <v>2.9699999999999997E-2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214</v>
      </c>
    </row>
    <row r="2" spans="1:8" ht="29.65" customHeight="1">
      <c r="B2" s="66" t="s">
        <v>3</v>
      </c>
      <c r="C2" s="66" t="s">
        <v>217</v>
      </c>
      <c r="D2" s="66" t="s">
        <v>216</v>
      </c>
      <c r="E2" s="66" t="s">
        <v>215</v>
      </c>
      <c r="F2" s="66" t="s">
        <v>221</v>
      </c>
      <c r="G2" s="66" t="s">
        <v>229</v>
      </c>
      <c r="H2" s="66" t="s">
        <v>202</v>
      </c>
    </row>
    <row r="3" spans="1:8">
      <c r="B3" s="77" t="s">
        <v>30</v>
      </c>
      <c r="C3" s="75" t="s">
        <v>220</v>
      </c>
      <c r="D3" s="74" t="s">
        <v>218</v>
      </c>
      <c r="E3" s="76" t="s">
        <v>220</v>
      </c>
      <c r="F3" s="71">
        <v>241805.8</v>
      </c>
      <c r="G3" s="73">
        <f t="shared" ref="G3:G9" si="0">F3/$F$11</f>
        <v>0.28240891596585849</v>
      </c>
      <c r="H3" s="91">
        <f>Portfolio_Mgmt!E61</f>
        <v>0.3</v>
      </c>
    </row>
    <row r="4" spans="1:8">
      <c r="B4" s="78" t="s">
        <v>219</v>
      </c>
      <c r="C4" s="75">
        <f>VLOOKUP(B4,Opportunities!B$3:E$30,3,FALSE)</f>
        <v>17.420000000000002</v>
      </c>
      <c r="D4" s="74" t="str">
        <f>VLOOKUP(B4,Opportunities!B$3:E$30,4,FALSE)</f>
        <v>HKD</v>
      </c>
      <c r="E4" s="71">
        <v>10000</v>
      </c>
      <c r="F4" s="76">
        <f>C4*E4</f>
        <v>174200.00000000003</v>
      </c>
      <c r="G4" s="73">
        <f t="shared" si="0"/>
        <v>0.20345100556418647</v>
      </c>
      <c r="H4" s="73">
        <f>VLOOKUP(B4,Opportunities!B$3:I$30,8,FALSE)</f>
        <v>0</v>
      </c>
    </row>
    <row r="5" spans="1:8">
      <c r="B5" s="78" t="s">
        <v>238</v>
      </c>
      <c r="C5" s="75">
        <f>VLOOKUP(B5,Opportunities!B$3:E$30,3,FALSE)</f>
        <v>1.1399999999999999</v>
      </c>
      <c r="D5" s="74" t="str">
        <f>VLOOKUP(B5,Opportunities!B$3:E$30,4,FALSE)</f>
        <v>HKD</v>
      </c>
      <c r="E5" s="71">
        <v>60000</v>
      </c>
      <c r="F5" s="76">
        <f>E5*C5</f>
        <v>68400</v>
      </c>
      <c r="G5" s="73">
        <f t="shared" si="0"/>
        <v>7.9885469463779293E-2</v>
      </c>
      <c r="H5" s="73">
        <f>VLOOKUP(B5,Opportunities!B$3:I$30,8,FALSE)</f>
        <v>0.16998234310718607</v>
      </c>
    </row>
    <row r="6" spans="1:8">
      <c r="B6" s="78" t="s">
        <v>224</v>
      </c>
      <c r="C6" s="75">
        <f>VLOOKUP(B6,Opportunities!B$3:E$30,3,FALSE)</f>
        <v>6.19</v>
      </c>
      <c r="D6" s="74" t="str">
        <f>VLOOKUP(B6,Opportunities!B$3:E$30,4,FALSE)</f>
        <v>HKD</v>
      </c>
      <c r="E6" s="71">
        <v>18000</v>
      </c>
      <c r="F6" s="76">
        <f>E6*C6</f>
        <v>111420</v>
      </c>
      <c r="G6" s="73">
        <f t="shared" si="0"/>
        <v>0.13012922525810364</v>
      </c>
      <c r="H6" s="73">
        <f>VLOOKUP(B6,Opportunities!B$3:I$30,8,FALSE)</f>
        <v>0</v>
      </c>
    </row>
    <row r="7" spans="1:8">
      <c r="B7" s="78" t="s">
        <v>225</v>
      </c>
      <c r="C7" s="75">
        <f>VLOOKUP(B7,Opportunities!B$3:E$30,3,FALSE)</f>
        <v>15.28</v>
      </c>
      <c r="D7" s="74" t="str">
        <f>VLOOKUP(B7,Opportunities!B$3:E$30,4,FALSE)</f>
        <v>HKD</v>
      </c>
      <c r="E7" s="71">
        <v>6000</v>
      </c>
      <c r="F7" s="76">
        <f>C7*E7</f>
        <v>91680</v>
      </c>
      <c r="G7" s="73">
        <f t="shared" si="0"/>
        <v>0.10707455907074979</v>
      </c>
      <c r="H7" s="73">
        <f>VLOOKUP(B7,Opportunities!B$3:I$30,8,FALSE)</f>
        <v>0.14634996511743154</v>
      </c>
    </row>
    <row r="8" spans="1:8">
      <c r="B8" s="78" t="s">
        <v>284</v>
      </c>
      <c r="C8" s="75">
        <f>VLOOKUP(B8,Opportunities!B$3:E$30,3,FALSE)</f>
        <v>17.239999999999998</v>
      </c>
      <c r="D8" s="74" t="str">
        <f>VLOOKUP(B8,Opportunities!B$3:E$30,4,FALSE)</f>
        <v>HKD</v>
      </c>
      <c r="E8" s="71">
        <v>3000</v>
      </c>
      <c r="F8" s="76">
        <f>C8*E8</f>
        <v>51719.999999999993</v>
      </c>
      <c r="G8" s="73">
        <f t="shared" si="0"/>
        <v>6.0404626910331355E-2</v>
      </c>
      <c r="H8" s="73">
        <f>VLOOKUP(B8,Opportunities!B$3:I$30,8,FALSE)</f>
        <v>0.18024632589778347</v>
      </c>
    </row>
    <row r="9" spans="1:8">
      <c r="B9" s="78" t="s">
        <v>269</v>
      </c>
      <c r="C9" s="75">
        <f>VLOOKUP(B9,Opportunities!B$3:E$30,3,FALSE)</f>
        <v>1.95</v>
      </c>
      <c r="D9" s="74" t="str">
        <f>VLOOKUP(B9,Opportunities!B$3:E$30,4,FALSE)</f>
        <v>HKD</v>
      </c>
      <c r="E9" s="71">
        <f>2000*30</f>
        <v>60000</v>
      </c>
      <c r="F9" s="76">
        <f>C9*E9</f>
        <v>117000</v>
      </c>
      <c r="G9" s="73">
        <f t="shared" si="0"/>
        <v>0.13664619776699088</v>
      </c>
      <c r="H9" s="73">
        <f>VLOOKUP(B9,Opportunities!B$3:I$30,8,FALSE)</f>
        <v>0.16314713913838488</v>
      </c>
    </row>
    <row r="10" spans="1:8">
      <c r="B10" s="67"/>
      <c r="C10" s="70"/>
      <c r="D10" s="67"/>
      <c r="H10" s="90"/>
    </row>
    <row r="11" spans="1:8" ht="13.15">
      <c r="B11" s="79"/>
      <c r="C11" s="80"/>
      <c r="D11" s="79"/>
      <c r="E11" s="81" t="s">
        <v>228</v>
      </c>
      <c r="F11" s="81">
        <f>SUM(F3:F9)</f>
        <v>856225.8</v>
      </c>
      <c r="G11" s="82">
        <f>SUM(G3:G9)</f>
        <v>1</v>
      </c>
      <c r="H11" s="89">
        <f>SUM(H3:H9)</f>
        <v>0.9597257732607859</v>
      </c>
    </row>
    <row r="12" spans="1:8">
      <c r="B12" s="67"/>
      <c r="C12" s="70"/>
      <c r="D12" s="67"/>
      <c r="E12" s="71"/>
      <c r="F12" s="71"/>
    </row>
    <row r="13" spans="1:8" ht="13.15">
      <c r="A13" s="63"/>
      <c r="B13" s="64" t="s">
        <v>226</v>
      </c>
    </row>
    <row r="14" spans="1:8">
      <c r="B14" s="78" t="s">
        <v>238</v>
      </c>
      <c r="C14" s="75">
        <f>VLOOKUP(B14,Opportunities!B$3:E$30,3,FALSE)</f>
        <v>1.1399999999999999</v>
      </c>
      <c r="D14" s="74" t="str">
        <f>VLOOKUP(B14,Opportunities!B$3:E$30,4,FALSE)</f>
        <v>HKD</v>
      </c>
      <c r="E14" s="71">
        <f>60000-E5</f>
        <v>0</v>
      </c>
      <c r="F14" s="76">
        <f>-C14*E14</f>
        <v>0</v>
      </c>
      <c r="G14" s="73">
        <f>-F14/$F$11</f>
        <v>0</v>
      </c>
      <c r="H14" s="73">
        <f>VLOOKUP(B14,Opportunities!B$3:I$30,8,FALSE)</f>
        <v>0.16998234310718607</v>
      </c>
    </row>
    <row r="15" spans="1:8">
      <c r="G15" s="88"/>
      <c r="H15" s="88"/>
    </row>
    <row r="16" spans="1:8" ht="13.15">
      <c r="B16" s="83" t="s">
        <v>227</v>
      </c>
      <c r="C16" s="84" t="s">
        <v>220</v>
      </c>
      <c r="D16" s="85" t="s">
        <v>156</v>
      </c>
      <c r="E16" s="84" t="s">
        <v>220</v>
      </c>
      <c r="F16" s="81">
        <f>F3+SUM(F14:F14)</f>
        <v>241805.8</v>
      </c>
      <c r="G16" s="89">
        <f t="shared" ref="G16" si="1">F16/$F$11</f>
        <v>0.28240891596585849</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5"/>
      <c r="D5" s="95"/>
    </row>
    <row r="6" spans="1:4">
      <c r="B6" s="106" t="s">
        <v>105</v>
      </c>
      <c r="C6" s="95"/>
      <c r="D6" s="95"/>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2025-05-16T13:43:45Z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