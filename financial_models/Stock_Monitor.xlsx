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D2E10F7A-7C19-4CD3-8964-255BE53EADD0}"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F6" i="7"/>
  <c r="F5" i="7"/>
  <c r="F4" i="7"/>
  <c r="C31" i="5"/>
  <c r="F8" i="7" l="1"/>
  <c r="E60" i="5"/>
  <c r="C36" i="5"/>
  <c r="G4" i="7" l="1"/>
  <c r="G6" i="7"/>
  <c r="G3" i="7"/>
  <c r="G5" i="7"/>
  <c r="E61" i="5"/>
  <c r="C16" i="2"/>
  <c r="C10" i="5" s="1"/>
  <c r="C11" i="5"/>
  <c r="E6" i="2"/>
  <c r="E5" i="2"/>
  <c r="E4" i="2"/>
  <c r="D112" i="5" l="1"/>
  <c r="C64" i="5"/>
  <c r="C65" i="5" s="1"/>
</calcChain>
</file>

<file path=xl/sharedStrings.xml><?xml version="1.0" encoding="utf-8"?>
<sst xmlns="http://schemas.openxmlformats.org/spreadsheetml/2006/main" count="296" uniqueCount="264">
  <si>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</si>
  <si>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</si>
  <si>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</si>
  <si>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</si>
  <si>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</si>
  <si>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</si>
  <si>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</si>
  <si>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</si>
  <si>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</si>
  <si>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</si>
  <si>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</si>
  <si>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</si>
  <si>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</si>
  <si>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</si>
  <si>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</si>
  <si>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</si>
  <si>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</si>
  <si>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</si>
  <si>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</si>
  <si>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</si>
  <si>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</si>
  <si>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</si>
  <si>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</si>
  <si>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</si>
  <si>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</si>
  <si>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</si>
  <si>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</si>
  <si>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</si>
  <si>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</si>
  <si>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</si>
  <si>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</si>
  <si>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</si>
  <si>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</si>
  <si>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</si>
  <si>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</si>
  <si>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</si>
  <si>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</si>
  <si>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</si>
  <si>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</si>
  <si>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</si>
  <si>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</si>
  <si>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</si>
  <si>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</si>
  <si>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</si>
  <si>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</si>
  <si>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</si>
  <si>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</si>
  <si>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</si>
  <si>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</si>
  <si>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</si>
  <si>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</si>
  <si>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</si>
  <si>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</si>
  <si>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</si>
  <si>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</si>
  <si>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</si>
  <si>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</si>
  <si>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</si>
  <si>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</si>
  <si>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</si>
  <si>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</si>
  <si>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</si>
  <si>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</si>
  <si>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</si>
  <si>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</si>
  <si>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</si>
  <si>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</si>
  <si>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</si>
  <si>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</si>
  <si>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</si>
  <si>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</si>
  <si>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</si>
  <si>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</si>
  <si>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</si>
  <si>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</si>
  <si>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</si>
  <si>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</si>
  <si>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</si>
  <si>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</si>
  <si>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</si>
  <si>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</si>
  <si>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</si>
  <si>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</si>
  <si>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</si>
  <si>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</si>
  <si>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</si>
  <si>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</si>
  <si>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</si>
  <si>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</si>
  <si>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</si>
  <si>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</si>
  <si>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</si>
  <si>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</si>
  <si>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</si>
  <si>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</si>
  <si>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</si>
  <si>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</si>
  <si>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</si>
  <si>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</si>
  <si>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</si>
  <si>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</si>
  <si>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</si>
  <si>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</si>
  <si>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</si>
  <si>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</si>
  <si>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</si>
  <si>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</si>
  <si>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</si>
  <si>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</si>
  <si>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</si>
  <si>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</si>
  <si>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</si>
  <si>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</si>
  <si>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</si>
  <si>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</si>
  <si>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</si>
  <si>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</si>
  <si>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</si>
  <si>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</si>
  <si>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</si>
  <si>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</si>
  <si>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</si>
  <si>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</si>
  <si>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</si>
  <si>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</si>
  <si>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</si>
  <si>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</si>
  <si>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</si>
  <si>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</si>
  <si>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</si>
  <si>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</si>
  <si>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</si>
  <si>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</si>
  <si>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</si>
  <si>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</si>
  <si>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</si>
  <si>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</si>
  <si>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</si>
  <si>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</si>
  <si>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</si>
  <si>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</si>
  <si>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</si>
  <si>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</si>
  <si>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</si>
  <si>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</si>
  <si>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</si>
  <si>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</si>
  <si>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</si>
  <si>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</si>
  <si>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</si>
  <si>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</si>
  <si>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</si>
  <si>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</si>
  <si>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</si>
  <si>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</si>
  <si>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</si>
  <si>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</si>
  <si>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</si>
  <si>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</si>
  <si>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</si>
  <si>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</si>
  <si>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</si>
  <si>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</si>
  <si>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</si>
  <si>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</si>
  <si>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</si>
  <si>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</si>
  <si>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</si>
  <si>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</si>
  <si>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</si>
  <si>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</si>
  <si>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</si>
  <si>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</si>
  <si>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</si>
  <si>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</si>
  <si>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</si>
  <si>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</si>
  <si>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</si>
  <si>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</si>
  <si>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</si>
  <si>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</si>
  <si>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</si>
  <si>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</si>
  <si>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</si>
  <si>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</si>
  <si>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</si>
  <si>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</si>
  <si>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</si>
  <si>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</si>
  <si>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</si>
  <si>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</si>
  <si>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</si>
  <si>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</si>
  <si>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</si>
  <si>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</si>
  <si>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</si>
  <si>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</si>
  <si>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</si>
  <si>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</si>
  <si>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</si>
  <si>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</si>
  <si>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</si>
  <si>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</si>
  <si>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</si>
  <si>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</si>
  <si>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</si>
  <si>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</si>
  <si>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</si>
  <si>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</si>
  <si>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</si>
  <si>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</si>
  <si>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</si>
  <si>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</si>
  <si>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</si>
  <si>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</si>
  <si>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</si>
  <si>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</si>
  <si>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</si>
  <si>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</si>
  <si>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</si>
  <si>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</si>
  <si>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</si>
  <si>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</si>
  <si>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</si>
  <si>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</si>
  <si>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</si>
  <si>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</si>
  <si>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</si>
  <si>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</si>
  <si>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</si>
  <si>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</si>
  <si>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</si>
  <si>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</si>
  <si>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</si>
  <si>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</si>
  <si>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</si>
  <si>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</si>
  <si>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</si>
  <si>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</si>
  <si>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</si>
  <si>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</si>
  <si>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</si>
  <si>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</si>
  <si>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</si>
  <si>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</si>
  <si>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</si>
  <si>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</si>
  <si>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</si>
  <si>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</si>
  <si>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</si>
  <si>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</si>
  <si>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</si>
  <si>
    <t>0303.HK</t>
  </si>
  <si>
    <t>偉易達</t>
  </si>
  <si>
    <t>0806.HK</t>
  </si>
  <si>
    <t>惠理集團</t>
  </si>
  <si>
    <t>FIN_02</t>
  </si>
  <si>
    <t>SIRI</t>
  </si>
  <si>
    <t>Sirius XM Holdings Inc.</t>
  </si>
  <si>
    <t>USD</t>
  </si>
  <si>
    <t>TMT_05</t>
  </si>
  <si>
    <t>KHC</t>
  </si>
  <si>
    <t>The Kraft Heinz Company</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</si>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</sst>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7">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10"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31" workbookViewId="0">
      <selection activeCell="F69" sqref="F6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76" t="s">
        <v>221</v>
      </c>
      <c r="C4" s="76"/>
      <c r="D4" s="76"/>
      <c r="E4" s="76"/>
    </row>
    <row r="6" spans="1:5">
      <c r="A6" s="20" t="s">
        <v>66</v>
      </c>
      <c r="B6" s="19" t="s">
        <v>204</v>
      </c>
      <c r="C6" s="62"/>
    </row>
    <row r="7" spans="1:5">
      <c r="B7" s="76" t="s">
        <v>209</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76" t="s">
        <v>220</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237</v>
      </c>
      <c r="C40" s="76"/>
      <c r="D40" s="76"/>
      <c r="E40" s="76"/>
    </row>
    <row r="42" spans="1:5">
      <c r="A42" s="21" t="s">
        <v>187</v>
      </c>
      <c r="B42" s="21"/>
      <c r="C42" s="21"/>
      <c r="D42" s="21"/>
      <c r="E42" s="21"/>
    </row>
    <row r="44" spans="1:5">
      <c r="B44" s="76" t="s">
        <v>208</v>
      </c>
      <c r="C44" s="76"/>
      <c r="D44" s="76"/>
      <c r="E44" s="76"/>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76" t="s">
        <v>196</v>
      </c>
      <c r="C71" s="76"/>
      <c r="D71" s="76"/>
      <c r="E71" s="76"/>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79" t="s">
        <v>192</v>
      </c>
      <c r="C85" s="79"/>
      <c r="D85" s="79"/>
      <c r="E85" s="79"/>
    </row>
    <row r="86" spans="1:5">
      <c r="B86" s="78" t="s">
        <v>190</v>
      </c>
      <c r="C86" s="78"/>
      <c r="D86" s="78"/>
      <c r="E86" s="78"/>
    </row>
    <row r="87" spans="1:5" ht="24.4" customHeight="1">
      <c r="B87" s="76" t="s">
        <v>189</v>
      </c>
      <c r="C87" s="76"/>
      <c r="D87" s="76"/>
      <c r="E87" s="76"/>
    </row>
    <row r="88" spans="1:5" ht="24.4" customHeight="1">
      <c r="B88" s="76" t="s">
        <v>225</v>
      </c>
      <c r="C88" s="76"/>
      <c r="D88" s="76"/>
      <c r="E88" s="76"/>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77" t="s">
        <v>211</v>
      </c>
      <c r="C97" s="77"/>
      <c r="D97" s="77"/>
      <c r="E97" s="77"/>
    </row>
    <row r="99" spans="1:5">
      <c r="B99" s="24" t="s">
        <v>215</v>
      </c>
    </row>
    <row r="100" spans="1:5" ht="12.4">
      <c r="B100" s="77" t="s">
        <v>212</v>
      </c>
      <c r="C100" s="77"/>
      <c r="D100" s="77"/>
      <c r="E100" s="77"/>
    </row>
    <row r="101" spans="1:5" ht="58.5" customHeight="1">
      <c r="B101" s="76" t="s">
        <v>219</v>
      </c>
      <c r="C101" s="76"/>
      <c r="D101" s="76"/>
      <c r="E101" s="76"/>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0.1214850482523553</v>
      </c>
      <c r="D112" s="62" t="str">
        <f>IF(C112&lt;benchmark,"Warning: Return is lower than the Benchmark.","")</f>
        <v/>
      </c>
    </row>
    <row r="114" spans="1:5" ht="24.4" customHeight="1">
      <c r="B114" s="76" t="s">
        <v>217</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F4" sqref="F4"/>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3" t="s">
        <v>1</v>
      </c>
      <c r="E1" s="83"/>
      <c r="F1" s="83"/>
      <c r="G1" s="84" t="s">
        <v>101</v>
      </c>
      <c r="H1" s="84"/>
      <c r="I1" s="84"/>
      <c r="J1" s="80" t="s">
        <v>5</v>
      </c>
      <c r="K1" s="80"/>
      <c r="L1" s="81" t="s">
        <v>9</v>
      </c>
      <c r="M1" s="81"/>
      <c r="N1" s="82" t="s">
        <v>53</v>
      </c>
      <c r="O1" s="82"/>
      <c r="P1" s="82"/>
      <c r="Q1" s="82"/>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238</v>
      </c>
      <c r="C3" s="11" t="s">
        <v>239</v>
      </c>
      <c r="D3" s="2">
        <v>5.65</v>
      </c>
      <c r="E3" s="12" t="s">
        <v>160</v>
      </c>
      <c r="F3" s="15">
        <v>0.18805346196285577</v>
      </c>
      <c r="G3" s="15">
        <f>F3 - Portfolio_Mgmt!$C$10</f>
        <v>7.0653461962855768E-2</v>
      </c>
      <c r="H3" s="15">
        <f>F3 - Portfolio_Mgmt!$C$11</f>
        <v>0.15355346196285577</v>
      </c>
      <c r="I3" s="15">
        <v>0.22566415435542692</v>
      </c>
      <c r="J3" s="2">
        <v>4.8991357331780589</v>
      </c>
      <c r="K3" s="2">
        <v>7.8837300954481879</v>
      </c>
      <c r="L3" s="4">
        <v>0.13554798122911768</v>
      </c>
      <c r="M3" s="4">
        <v>7.821938237238743E-2</v>
      </c>
      <c r="N3" s="13" t="s">
        <v>241</v>
      </c>
      <c r="O3" s="11" t="s">
        <v>240</v>
      </c>
      <c r="P3" s="14">
        <v>45900</v>
      </c>
      <c r="Q3" s="11" t="s">
        <v>163</v>
      </c>
    </row>
    <row r="4" spans="1:17">
      <c r="B4" s="11" t="s">
        <v>158</v>
      </c>
      <c r="C4" s="11" t="s">
        <v>159</v>
      </c>
      <c r="D4" s="2">
        <v>15.3</v>
      </c>
      <c r="E4" s="12" t="s">
        <v>160</v>
      </c>
      <c r="F4" s="15">
        <v>0.18384675850766619</v>
      </c>
      <c r="G4" s="15">
        <f>F4 - Portfolio_Mgmt!$C$10</f>
        <v>6.6446758507666182E-2</v>
      </c>
      <c r="H4" s="15">
        <f>F4 - Portfolio_Mgmt!$C$11</f>
        <v>0.14934675850766618</v>
      </c>
      <c r="I4" s="15">
        <v>0.22061611020919941</v>
      </c>
      <c r="J4" s="2">
        <v>13.155317996540354</v>
      </c>
      <c r="K4" s="2">
        <v>20.508980461992877</v>
      </c>
      <c r="L4" s="4">
        <v>0.11294026270389734</v>
      </c>
      <c r="M4" s="4">
        <v>8.8888888888888892E-2</v>
      </c>
      <c r="N4" s="13" t="s">
        <v>161</v>
      </c>
      <c r="O4" s="11" t="s">
        <v>162</v>
      </c>
      <c r="P4" s="14">
        <v>45808</v>
      </c>
      <c r="Q4" s="11" t="s">
        <v>163</v>
      </c>
    </row>
    <row r="5" spans="1:17">
      <c r="B5" s="11" t="s">
        <v>257</v>
      </c>
      <c r="C5" s="11" t="s">
        <v>258</v>
      </c>
      <c r="D5" s="2">
        <v>20.079999999999998</v>
      </c>
      <c r="E5" s="12" t="s">
        <v>259</v>
      </c>
      <c r="F5" s="15">
        <v>0.16060765378265396</v>
      </c>
      <c r="G5" s="15">
        <f>F5 - Portfolio_Mgmt!$C$10</f>
        <v>4.3207653782653954E-2</v>
      </c>
      <c r="H5" s="15">
        <f>F5 - Portfolio_Mgmt!$C$11</f>
        <v>0.12610765378265396</v>
      </c>
      <c r="I5" s="15">
        <v>0.15371973543537365</v>
      </c>
      <c r="J5" s="2">
        <v>16.165402289394244</v>
      </c>
      <c r="K5" s="2">
        <v>29.309951346473134</v>
      </c>
      <c r="L5" s="4">
        <v>0.22703991769612522</v>
      </c>
      <c r="M5" s="4">
        <v>2.956175298804781E-2</v>
      </c>
      <c r="N5" s="13" t="s">
        <v>260</v>
      </c>
      <c r="O5" s="11" t="s">
        <v>162</v>
      </c>
      <c r="P5" s="14">
        <v>45900</v>
      </c>
      <c r="Q5" s="11" t="s">
        <v>163</v>
      </c>
    </row>
    <row r="6" spans="1:17">
      <c r="B6" s="11" t="s">
        <v>164</v>
      </c>
      <c r="C6" s="11" t="s">
        <v>165</v>
      </c>
      <c r="D6" s="2">
        <v>7.6</v>
      </c>
      <c r="E6" s="12" t="s">
        <v>160</v>
      </c>
      <c r="F6" s="15">
        <v>0.13405026456260738</v>
      </c>
      <c r="G6" s="15">
        <f>F6 - Portfolio_Mgmt!$C$10</f>
        <v>1.6650264562607375E-2</v>
      </c>
      <c r="H6" s="15">
        <f>F6 - Portfolio_Mgmt!$C$11</f>
        <v>9.9550264562607377E-2</v>
      </c>
      <c r="I6" s="15">
        <v>0</v>
      </c>
      <c r="J6" s="2">
        <v>5.7917118707600084</v>
      </c>
      <c r="K6" s="2">
        <v>9.1006872475781417</v>
      </c>
      <c r="L6" s="4">
        <v>4.0644522629245394E-2</v>
      </c>
      <c r="M6" s="4">
        <v>7.6315789473684212E-2</v>
      </c>
      <c r="N6" s="13" t="s">
        <v>166</v>
      </c>
      <c r="O6" s="11" t="s">
        <v>167</v>
      </c>
      <c r="P6" s="14">
        <v>45900</v>
      </c>
      <c r="Q6" s="11" t="s">
        <v>163</v>
      </c>
    </row>
    <row r="7" spans="1:17">
      <c r="B7" s="11" t="s">
        <v>168</v>
      </c>
      <c r="C7" s="11" t="s">
        <v>169</v>
      </c>
      <c r="D7" s="2">
        <v>2.12</v>
      </c>
      <c r="E7" s="12" t="s">
        <v>160</v>
      </c>
      <c r="F7" s="15">
        <v>0.13244092382946393</v>
      </c>
      <c r="G7" s="15">
        <f>F7 - Portfolio_Mgmt!$C$10</f>
        <v>1.5040923829463926E-2</v>
      </c>
      <c r="H7" s="15">
        <f>F7 - Portfolio_Mgmt!$C$11</f>
        <v>9.7940923829463927E-2</v>
      </c>
      <c r="I7" s="15">
        <v>0</v>
      </c>
      <c r="J7" s="2">
        <v>1.5997267456616144</v>
      </c>
      <c r="K7" s="2">
        <v>2.6866937246321601</v>
      </c>
      <c r="L7" s="4">
        <v>3.8615512854405329E-2</v>
      </c>
      <c r="M7" s="4">
        <v>5.4163015835221838E-2</v>
      </c>
      <c r="N7" s="13" t="s">
        <v>170</v>
      </c>
      <c r="O7" s="11" t="s">
        <v>171</v>
      </c>
      <c r="P7" s="14">
        <v>45900</v>
      </c>
      <c r="Q7" s="11" t="s">
        <v>163</v>
      </c>
    </row>
    <row r="8" spans="1:17">
      <c r="B8" s="11" t="s">
        <v>247</v>
      </c>
      <c r="C8" s="11" t="s">
        <v>248</v>
      </c>
      <c r="D8" s="2">
        <v>13.48</v>
      </c>
      <c r="E8" s="12" t="s">
        <v>160</v>
      </c>
      <c r="F8" s="15">
        <v>0.13185476539875873</v>
      </c>
      <c r="G8" s="15">
        <f>F8 - Portfolio_Mgmt!$C$10</f>
        <v>1.4454765398758729E-2</v>
      </c>
      <c r="H8" s="15">
        <f>F8 - Portfolio_Mgmt!$C$11</f>
        <v>9.735476539875873E-2</v>
      </c>
      <c r="I8" s="15">
        <v>0</v>
      </c>
      <c r="J8" s="2">
        <v>10.178161876153645</v>
      </c>
      <c r="K8" s="2">
        <v>16.701383951862589</v>
      </c>
      <c r="L8" s="4">
        <v>0.11391563292899698</v>
      </c>
      <c r="M8" s="4">
        <v>6.1834673590504444E-2</v>
      </c>
      <c r="N8" s="13" t="s">
        <v>249</v>
      </c>
      <c r="O8" s="11" t="s">
        <v>251</v>
      </c>
      <c r="P8" s="14">
        <v>45900</v>
      </c>
      <c r="Q8" s="11" t="s">
        <v>250</v>
      </c>
    </row>
    <row r="9" spans="1:17">
      <c r="B9" s="11" t="s">
        <v>242</v>
      </c>
      <c r="C9" s="11" t="s">
        <v>243</v>
      </c>
      <c r="D9" s="2">
        <v>59.9</v>
      </c>
      <c r="E9" s="12" t="s">
        <v>160</v>
      </c>
      <c r="F9" s="15">
        <v>0.12493740306462042</v>
      </c>
      <c r="G9" s="15">
        <f>F9 - Portfolio_Mgmt!$C$10</f>
        <v>7.5374030646204182E-3</v>
      </c>
      <c r="H9" s="15">
        <f>F9 - Portfolio_Mgmt!$C$11</f>
        <v>9.043740306462042E-2</v>
      </c>
      <c r="I9" s="15">
        <v>0</v>
      </c>
      <c r="J9" s="2">
        <v>44.107282041660923</v>
      </c>
      <c r="K9" s="2">
        <v>78.252775679635405</v>
      </c>
      <c r="L9" s="4">
        <v>3.7429294343278158E-2</v>
      </c>
      <c r="M9" s="4">
        <v>3.456803769335158E-2</v>
      </c>
      <c r="N9" s="13" t="s">
        <v>244</v>
      </c>
      <c r="O9" s="11" t="s">
        <v>162</v>
      </c>
      <c r="P9" s="14">
        <v>45900</v>
      </c>
      <c r="Q9" s="11" t="s">
        <v>250</v>
      </c>
    </row>
    <row r="10" spans="1:17">
      <c r="B10" s="11" t="s">
        <v>252</v>
      </c>
      <c r="C10" s="11" t="s">
        <v>253</v>
      </c>
      <c r="D10" s="2">
        <v>49.05</v>
      </c>
      <c r="E10" s="12" t="s">
        <v>160</v>
      </c>
      <c r="F10" s="15">
        <v>0.1151268191287802</v>
      </c>
      <c r="G10" s="15">
        <f>F10 - Portfolio_Mgmt!$C$10</f>
        <v>-2.2731808712198043E-3</v>
      </c>
      <c r="H10" s="15">
        <f>F10 - Portfolio_Mgmt!$C$11</f>
        <v>8.0626819128780197E-2</v>
      </c>
      <c r="I10" s="15">
        <v>0</v>
      </c>
      <c r="J10" s="2">
        <v>34.82424866299835</v>
      </c>
      <c r="K10" s="2">
        <v>68.016110669918646</v>
      </c>
      <c r="L10" s="4">
        <v>0.10720319069009697</v>
      </c>
      <c r="M10" s="4">
        <v>0</v>
      </c>
      <c r="N10" s="16" t="s">
        <v>249</v>
      </c>
      <c r="O10" s="11" t="s">
        <v>162</v>
      </c>
      <c r="P10" s="14">
        <v>45808</v>
      </c>
      <c r="Q10" s="11" t="s">
        <v>163</v>
      </c>
    </row>
    <row r="11" spans="1:17">
      <c r="B11" s="11" t="s">
        <v>261</v>
      </c>
      <c r="C11" s="11" t="s">
        <v>262</v>
      </c>
      <c r="D11" s="2">
        <v>28.81</v>
      </c>
      <c r="E11" s="12" t="s">
        <v>259</v>
      </c>
      <c r="F11" s="15">
        <v>9.408289080523935E-2</v>
      </c>
      <c r="G11" s="15">
        <f>F11 - Portfolio_Mgmt!$C$10</f>
        <v>-2.3317109194760655E-2</v>
      </c>
      <c r="H11" s="15">
        <f>F11 - Portfolio_Mgmt!$C$11</f>
        <v>5.9582890805239347E-2</v>
      </c>
      <c r="I11" s="15">
        <v>0</v>
      </c>
      <c r="J11" s="2">
        <v>19.745207945921621</v>
      </c>
      <c r="K11" s="2">
        <v>32.464859269378167</v>
      </c>
      <c r="L11" s="4">
        <v>8.8134932571433455E-2</v>
      </c>
      <c r="M11" s="4">
        <v>5.5536272127733433E-2</v>
      </c>
      <c r="N11" s="13" t="s">
        <v>263</v>
      </c>
      <c r="O11" s="11" t="s">
        <v>162</v>
      </c>
      <c r="P11" s="14">
        <v>45900</v>
      </c>
      <c r="Q11" s="11" t="s">
        <v>163</v>
      </c>
    </row>
    <row r="12" spans="1:17">
      <c r="B12" s="11" t="s">
        <v>254</v>
      </c>
      <c r="C12" s="11" t="s">
        <v>255</v>
      </c>
      <c r="D12" s="2">
        <v>1.35</v>
      </c>
      <c r="E12" s="12" t="s">
        <v>160</v>
      </c>
      <c r="F12" s="15">
        <v>-0.26037178228763347</v>
      </c>
      <c r="G12" s="15">
        <f>F12 - Portfolio_Mgmt!$C$10</f>
        <v>-0.37777178228763347</v>
      </c>
      <c r="H12" s="15">
        <f>F12 - Portfolio_Mgmt!$C$11</f>
        <v>-0.29487178228763344</v>
      </c>
      <c r="I12" s="15">
        <v>0</v>
      </c>
      <c r="J12" s="2">
        <v>0.28748108885958823</v>
      </c>
      <c r="K12" s="2">
        <v>0.52336150167888329</v>
      </c>
      <c r="L12" s="4">
        <v>1.6563974747231462E-3</v>
      </c>
      <c r="M12" s="4">
        <v>7.4074074074074068E-3</v>
      </c>
      <c r="N12" s="13" t="s">
        <v>256</v>
      </c>
      <c r="O12" s="11" t="s">
        <v>171</v>
      </c>
      <c r="P12" s="14">
        <v>45900</v>
      </c>
      <c r="Q12" s="11" t="s">
        <v>250</v>
      </c>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E33" sqref="E33"/>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4.3499999999999997E-2</v>
      </c>
      <c r="D4" s="34">
        <v>7.4999999999999997E-2</v>
      </c>
      <c r="E4" s="35">
        <f>D4-C4</f>
        <v>3.15E-2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zoomScale="87" workbookViewId="0">
      <selection activeCell="B4" sqref="B4"/>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236</v>
      </c>
      <c r="G2" s="67" t="s">
        <v>246</v>
      </c>
    </row>
    <row r="3" spans="1:7">
      <c r="B3" s="68" t="s">
        <v>233</v>
      </c>
      <c r="C3" s="71" t="s">
        <v>234</v>
      </c>
      <c r="D3" s="68" t="s">
        <v>230</v>
      </c>
      <c r="E3" s="72" t="s">
        <v>234</v>
      </c>
      <c r="F3" s="72">
        <v>395673.88</v>
      </c>
      <c r="G3" s="75">
        <f>F3/$F$8</f>
        <v>0.50576089073376196</v>
      </c>
    </row>
    <row r="4" spans="1:7">
      <c r="B4" s="68" t="s">
        <v>232</v>
      </c>
      <c r="C4" s="71">
        <v>14.2</v>
      </c>
      <c r="D4" s="68" t="s">
        <v>230</v>
      </c>
      <c r="E4" s="72">
        <v>10000</v>
      </c>
      <c r="F4" s="72">
        <f>C4*E4</f>
        <v>142000</v>
      </c>
      <c r="G4" s="75">
        <f t="shared" ref="G4:G6" si="0">F4/$F$8</f>
        <v>0.18150818164745722</v>
      </c>
    </row>
    <row r="5" spans="1:7">
      <c r="B5" s="68" t="s">
        <v>231</v>
      </c>
      <c r="C5" s="71">
        <v>7.4</v>
      </c>
      <c r="D5" s="68" t="s">
        <v>230</v>
      </c>
      <c r="E5" s="72">
        <v>20000</v>
      </c>
      <c r="F5" s="72">
        <f>E5*C5</f>
        <v>148000</v>
      </c>
      <c r="G5" s="75">
        <f t="shared" si="0"/>
        <v>0.18917754143537796</v>
      </c>
    </row>
    <row r="6" spans="1:7">
      <c r="B6" s="68" t="s">
        <v>245</v>
      </c>
      <c r="C6" s="71">
        <v>5.37</v>
      </c>
      <c r="D6" s="68" t="s">
        <v>230</v>
      </c>
      <c r="E6" s="72">
        <v>18000</v>
      </c>
      <c r="F6" s="72">
        <f>E6*C6</f>
        <v>96660</v>
      </c>
      <c r="G6" s="75">
        <f t="shared" si="0"/>
        <v>0.12355338618340292</v>
      </c>
    </row>
    <row r="7" spans="1:7">
      <c r="B7" s="68"/>
      <c r="C7" s="71"/>
      <c r="D7" s="68"/>
    </row>
    <row r="8" spans="1:7" ht="13.15">
      <c r="B8" s="68"/>
      <c r="C8" s="71"/>
      <c r="D8" s="68"/>
      <c r="E8" s="73" t="s">
        <v>235</v>
      </c>
      <c r="F8" s="73">
        <f>SUM(F3:F7)</f>
        <v>782333.88</v>
      </c>
    </row>
    <row r="9" spans="1:7">
      <c r="B9" s="68"/>
      <c r="C9" s="71"/>
      <c r="D9" s="68"/>
      <c r="E9" s="72"/>
      <c r="F9" s="72"/>
    </row>
    <row r="10" spans="1:7">
      <c r="B10" s="68"/>
      <c r="C10" s="71"/>
      <c r="D10" s="68"/>
      <c r="E10" s="72"/>
      <c r="F10" s="72"/>
    </row>
    <row r="11" spans="1:7">
      <c r="B11" s="68"/>
      <c r="C11" s="71"/>
      <c r="D11" s="68"/>
      <c r="E11" s="72"/>
      <c r="F11" s="72"/>
    </row>
    <row r="12" spans="1:7">
      <c r="B12" s="68"/>
      <c r="C12" s="71"/>
      <c r="D12" s="68"/>
      <c r="E12" s="72"/>
      <c r="F12" s="72"/>
    </row>
    <row r="13" spans="1:7">
      <c r="B13" s="68"/>
      <c r="C13" s="71"/>
      <c r="D13" s="68"/>
      <c r="E13" s="72"/>
      <c r="F13" s="72"/>
    </row>
    <row r="14" spans="1:7">
      <c r="B14" s="68"/>
      <c r="C14" s="71"/>
      <c r="D14" s="68"/>
      <c r="E14" s="72"/>
      <c r="F14" s="72"/>
    </row>
    <row r="15" spans="1:7">
      <c r="B15" s="68"/>
      <c r="C15" s="71"/>
      <c r="D15" s="68"/>
      <c r="E15" s="72"/>
      <c r="F15" s="72"/>
    </row>
    <row r="16" spans="1:7">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5" t="s">
        <v>104</v>
      </c>
      <c r="C3" s="85"/>
      <c r="D3" s="85"/>
    </row>
    <row r="5" spans="1:4">
      <c r="B5" s="86" t="s">
        <v>106</v>
      </c>
      <c r="C5" s="77"/>
      <c r="D5" s="77"/>
    </row>
    <row r="6" spans="1:4">
      <c r="B6" s="86" t="s">
        <v>107</v>
      </c>
      <c r="C6" s="77"/>
      <c r="D6" s="77"/>
    </row>
    <row r="8" spans="1:4">
      <c r="B8" s="1" t="s">
        <v>105</v>
      </c>
    </row>
    <row r="10" spans="1:4">
      <c r="A10" s="5"/>
      <c r="B10" s="6" t="s">
        <v>108</v>
      </c>
    </row>
    <row r="11" spans="1:4">
      <c r="B11" s="85" t="s">
        <v>109</v>
      </c>
      <c r="C11" s="85"/>
      <c r="D11" s="85"/>
    </row>
    <row r="12" spans="1:4">
      <c r="B12" s="85" t="s">
        <v>110</v>
      </c>
      <c r="C12" s="85"/>
      <c r="D12" s="8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5" t="s">
        <v>122</v>
      </c>
      <c r="C28" s="85"/>
      <c r="D28" s="85"/>
    </row>
    <row r="29" spans="1:4">
      <c r="B29" s="85" t="s">
        <v>123</v>
      </c>
      <c r="C29" s="85"/>
      <c r="D29" s="8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2025-04-18T03:07:40Z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