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C5CBE852-C440-45D2-9783-7F0B53670D4A}" xr6:coauthVersionLast="47" xr6:coauthVersionMax="47" xr10:uidLastSave="{00000000-0000-0000-0000-000000000000}"/>
  <bookViews>
    <workbookView xWindow="-98" yWindow="-98" windowWidth="17115" windowHeight="10755"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E12" i="7" l="1"/>
  <c r="H3" i="1"/>
  <c r="H4" i="1"/>
  <c r="H5" i="1"/>
  <c r="H6" i="1"/>
  <c r="H7" i="1"/>
  <c r="H8" i="1"/>
  <c r="H9" i="1"/>
  <c r="H10" i="1"/>
  <c r="H11" i="1"/>
  <c r="H12" i="1"/>
  <c r="H13" i="1"/>
  <c r="H14" i="1"/>
  <c r="H15" i="1"/>
  <c r="G3" i="1"/>
  <c r="G4" i="1"/>
  <c r="G5" i="1"/>
  <c r="G6" i="1"/>
  <c r="G7" i="1"/>
  <c r="G8" i="1"/>
  <c r="G9" i="1"/>
  <c r="G10" i="1"/>
  <c r="G11" i="1"/>
  <c r="G12" i="1"/>
  <c r="G13" i="1"/>
  <c r="G14" i="1"/>
  <c r="G15"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<sst xmlns="http://schemas.openxmlformats.org/spreadsheetml/2006/main" count="329" uniqueCount="281">
  <si>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</si>
  <si>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</si>
  <si>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</si>
  <si>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</si>
  <si>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</si>
  <si>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</si>
  <si>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</si>
  <si>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</si>
  <si>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</si>
  <si>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</si>
  <si>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</si>
  <si>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</si>
  <si>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</si>
  <si>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</si>
  <si>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</si>
  <si>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</si>
  <si>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</si>
  <si>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</si>
  <si>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</si>
  <si>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</si>
  <si>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</si>
  <si>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</si>
  <si>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</si>
  <si>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</si>
  <si>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</si>
  <si>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</si>
  <si>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</si>
  <si>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</si>
  <si>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</si>
  <si>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</si>
  <si>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</si>
  <si>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</si>
  <si>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</si>
  <si>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</si>
  <si>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</si>
  <si>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</si>
  <si>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</si>
  <si>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</si>
  <si>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</si>
  <si>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</si>
  <si>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</si>
  <si>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</si>
  <si>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</si>
  <si>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</si>
  <si>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</si>
  <si>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</si>
  <si>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</si>
  <si>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</si>
  <si>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</si>
  <si>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</si>
  <si>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</si>
  <si>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</si>
  <si>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</si>
  <si>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</si>
  <si>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</si>
  <si>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</si>
  <si>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</si>
  <si>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</si>
  <si>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</si>
  <si>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</si>
  <si>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</si>
  <si>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</si>
  <si>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</si>
  <si>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</si>
  <si>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</si>
  <si>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</si>
  <si>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</si>
  <si>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</si>
  <si>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</si>
  <si>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</si>
  <si>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</si>
  <si>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</si>
  <si>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</si>
  <si>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</si>
  <si>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</si>
  <si>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</si>
  <si>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</si>
  <si>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</si>
  <si>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</si>
  <si>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</si>
  <si>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</si>
  <si>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</si>
  <si>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</si>
  <si>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</si>
  <si>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</si>
  <si>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</si>
  <si>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</si>
  <si>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</si>
  <si>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</si>
  <si>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</si>
  <si>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</si>
  <si>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</si>
  <si>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</si>
  <si>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</si>
  <si>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</si>
  <si>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</si>
  <si>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</si>
  <si>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</si>
  <si>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</si>
  <si>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</si>
  <si>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</si>
  <si>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</si>
  <si>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</si>
  <si>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</si>
  <si>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</si>
  <si>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</si>
  <si>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</si>
  <si>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</si>
  <si>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</si>
  <si>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</si>
  <si>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</si>
  <si>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</si>
  <si>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</si>
  <si>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</si>
  <si>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</si>
  <si>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</si>
  <si>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</si>
  <si>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</si>
  <si>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</si>
  <si>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</si>
  <si>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</si>
  <si>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</si>
  <si>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</si>
  <si>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</si>
  <si>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</si>
  <si>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</si>
  <si>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</si>
  <si>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</si>
  <si>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</si>
  <si>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</si>
  <si>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</si>
  <si>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</si>
  <si>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</si>
  <si>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</si>
  <si>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</si>
  <si>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</si>
  <si>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</si>
  <si>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</si>
  <si>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</si>
  <si>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</si>
  <si>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</si>
  <si>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</si>
  <si>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</si>
  <si>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</si>
  <si>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</si>
  <si>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</si>
  <si>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</si>
  <si>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</si>
  <si>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</si>
  <si>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</si>
  <si>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</si>
  <si>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</si>
  <si>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</si>
  <si>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</si>
  <si>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</si>
  <si>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</si>
  <si>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</si>
  <si>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</si>
  <si>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</si>
  <si>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</si>
  <si>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</si>
  <si>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</si>
  <si>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</si>
  <si>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</si>
  <si>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</si>
  <si>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</si>
  <si>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</si>
  <si>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</si>
  <si>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</si>
  <si>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</si>
  <si>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</si>
  <si>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</si>
  <si>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</si>
  <si>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</si>
  <si>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</si>
  <si>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</si>
  <si>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</si>
  <si>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</si>
  <si>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</si>
  <si>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</si>
  <si>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</si>
  <si>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</si>
  <si>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</si>
  <si>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</si>
  <si>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</si>
  <si>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</si>
  <si>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</si>
  <si>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</si>
  <si>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</si>
  <si>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</si>
  <si>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</si>
  <si>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</si>
  <si>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</si>
  <si>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</si>
  <si>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</si>
  <si>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</si>
  <si>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</si>
  <si>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</si>
  <si>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</si>
  <si>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</si>
  <si>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</si>
  <si>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</si>
  <si>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</si>
  <si>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</si>
  <si>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</si>
  <si>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</si>
  <si>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</si>
  <si>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</si>
  <si>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</si>
  <si>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</si>
  <si>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</si>
  <si>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</si>
  <si>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</si>
  <si>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</si>
  <si>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</si>
  <si>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</si>
  <si>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</si>
  <si>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</si>
  <si>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</si>
  <si>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</si>
  <si>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</si>
  <si>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</si>
  <si>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</si>
  <si>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</si>
  <si>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</si>
  <si>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</si>
  <si>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</si>
  <si>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</si>
  <si>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</si>
  <si>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</si>
  <si>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</si>
  <si>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</si>
  <si>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</si>
  <si>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</si>
  <si>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</si>
  <si>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</si>
  <si>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</si>
  <si>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</si>
  <si>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</si>
  <si>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</si>
  <si>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</si>
  <si>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</si>
  <si>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</si>
  <si>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</si>
  <si>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</si>
  <si>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</si>
  <si>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</si>
  <si>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</si>
  <si>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</si>
  <si>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</si>
  <si>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</si>
  <si>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</si>
  <si>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</si>
  <si>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</si>
  <si>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</si>
  <si>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</si>
  <si>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</si>
  <si>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</si>
  <si>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</si>
  <si>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</si>
  <si>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</si>
  <si>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</si>
  <si>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</si>
  <si>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</si>
  <si>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</si>
  <si>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</si>
  <si>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</si>
  <si>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</si>
  <si>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</si>
  <si>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</si>
  <si>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</si>
  <si>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</si>
  <si>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</si>
  <si>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600132.SS</t>
  </si>
  <si>
    <t>重庆啤酒</t>
  </si>
  <si>
    <t>CNY</t>
  </si>
  <si>
    <t>002304.SZ</t>
  </si>
  <si>
    <t>洋河股份</t>
  </si>
  <si>
    <t>9959.HK</t>
  </si>
  <si>
    <t>聯易融科技</t>
  </si>
  <si>
    <t>FIN_03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</si>
</sst>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3">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19" workbookViewId="0">
      <selection activeCell="E36" sqref="E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4" t="s">
        <v>221</v>
      </c>
      <c r="C4" s="94"/>
      <c r="D4" s="94"/>
      <c r="E4" s="94"/>
    </row>
    <row r="6" spans="1:5">
      <c r="A6" s="20" t="s">
        <v>66</v>
      </c>
      <c r="B6" s="19" t="s">
        <v>204</v>
      </c>
      <c r="C6" s="61"/>
    </row>
    <row r="7" spans="1:5">
      <c r="B7" s="94" t="s">
        <v>209</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1"/>
    </row>
    <row r="24" spans="1:5">
      <c r="A24" s="18"/>
      <c r="B24" s="94" t="s">
        <v>220</v>
      </c>
      <c r="C24" s="94"/>
      <c r="D24" s="94"/>
      <c r="E24" s="94"/>
    </row>
    <row r="25" spans="1:5">
      <c r="A25" s="18"/>
    </row>
    <row r="26" spans="1:5">
      <c r="A26" s="18"/>
      <c r="B26" s="50" t="s">
        <v>154</v>
      </c>
      <c r="C26" s="50" t="s">
        <v>148</v>
      </c>
    </row>
    <row r="27" spans="1:5">
      <c r="B27" s="26" t="s">
        <v>86</v>
      </c>
      <c r="C27" s="51">
        <v>6</v>
      </c>
    </row>
    <row r="28" spans="1:5">
      <c r="B28" s="26" t="s">
        <v>63</v>
      </c>
      <c r="C28" s="52">
        <v>0.3</v>
      </c>
    </row>
    <row r="30" spans="1:5">
      <c r="B30" s="50" t="s">
        <v>155</v>
      </c>
      <c r="C30" s="50" t="s">
        <v>148</v>
      </c>
    </row>
    <row r="31" spans="1:5">
      <c r="B31" s="26" t="s">
        <v>149</v>
      </c>
      <c r="C31" s="59">
        <f>C27-C32</f>
        <v>5</v>
      </c>
    </row>
    <row r="32" spans="1:5">
      <c r="B32" s="26" t="s">
        <v>147</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270</v>
      </c>
      <c r="E36" s="48">
        <v>0.2</v>
      </c>
    </row>
    <row r="38" spans="1:5">
      <c r="B38" s="20" t="s">
        <v>87</v>
      </c>
    </row>
    <row r="39" spans="1:5">
      <c r="B39" s="94" t="s">
        <v>156</v>
      </c>
      <c r="C39" s="94"/>
      <c r="D39" s="94"/>
      <c r="E39" s="94"/>
    </row>
    <row r="40" spans="1:5" ht="46.6" customHeight="1">
      <c r="B40" s="94" t="s">
        <v>235</v>
      </c>
      <c r="C40" s="94"/>
      <c r="D40" s="94"/>
      <c r="E40" s="94"/>
    </row>
    <row r="42" spans="1:5">
      <c r="A42" s="21" t="s">
        <v>187</v>
      </c>
      <c r="B42" s="21"/>
      <c r="C42" s="21"/>
      <c r="D42" s="21"/>
      <c r="E42" s="21"/>
    </row>
    <row r="44" spans="1:5">
      <c r="B44" s="94" t="s">
        <v>208</v>
      </c>
      <c r="C44" s="94"/>
      <c r="D44" s="94"/>
      <c r="E44" s="94"/>
    </row>
    <row r="46" spans="1:5">
      <c r="B46" s="23" t="s">
        <v>92</v>
      </c>
    </row>
    <row r="48" spans="1:5">
      <c r="B48" s="50" t="s">
        <v>93</v>
      </c>
      <c r="C48" s="50" t="s">
        <v>199</v>
      </c>
      <c r="D48" s="56"/>
      <c r="E48" s="56"/>
    </row>
    <row r="49" spans="2:5">
      <c r="B49" s="26" t="s">
        <v>89</v>
      </c>
      <c r="C49" s="29">
        <v>0.6</v>
      </c>
      <c r="D49" s="57"/>
      <c r="E49" s="55"/>
    </row>
    <row r="50" spans="2:5">
      <c r="B50" s="26" t="s">
        <v>90</v>
      </c>
      <c r="C50" s="29">
        <v>0.4</v>
      </c>
      <c r="D50" s="57"/>
      <c r="E50" s="55"/>
    </row>
    <row r="51" spans="2:5">
      <c r="B51" s="26" t="s">
        <v>91</v>
      </c>
      <c r="C51" s="29">
        <v>0.3</v>
      </c>
      <c r="D51" s="62" t="s">
        <v>222</v>
      </c>
      <c r="E51" s="55"/>
    </row>
    <row r="53" spans="2:5">
      <c r="B53" s="23" t="s">
        <v>88</v>
      </c>
    </row>
    <row r="55" spans="2:5">
      <c r="B55" s="50" t="s">
        <v>94</v>
      </c>
      <c r="C55" s="50" t="s">
        <v>95</v>
      </c>
      <c r="D55" s="50" t="s">
        <v>96</v>
      </c>
      <c r="E55" s="50"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3" t="s">
        <v>173</v>
      </c>
      <c r="C64" s="54">
        <f>-E61*(C35-Cash_Yield)</f>
        <v>-0.10619999999999999</v>
      </c>
    </row>
    <row r="65" spans="1:5">
      <c r="B65" s="53" t="s">
        <v>174</v>
      </c>
      <c r="C65" s="54">
        <f>C35+C64</f>
        <v>0.1938</v>
      </c>
    </row>
    <row r="66" spans="1:5">
      <c r="B66" s="45"/>
      <c r="C66" s="46"/>
    </row>
    <row r="67" spans="1:5">
      <c r="B67" s="39" t="s">
        <v>202</v>
      </c>
    </row>
    <row r="69" spans="1:5">
      <c r="A69" s="21" t="s">
        <v>82</v>
      </c>
      <c r="B69" s="21"/>
      <c r="C69" s="21"/>
      <c r="D69" s="21"/>
      <c r="E69" s="21"/>
    </row>
    <row r="71" spans="1:5">
      <c r="B71" s="94" t="s">
        <v>196</v>
      </c>
      <c r="C71" s="94"/>
      <c r="D71" s="94"/>
      <c r="E71" s="94"/>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7" t="s">
        <v>192</v>
      </c>
      <c r="C85" s="97"/>
      <c r="D85" s="97"/>
      <c r="E85" s="97"/>
    </row>
    <row r="86" spans="1:5">
      <c r="B86" s="96" t="s">
        <v>190</v>
      </c>
      <c r="C86" s="96"/>
      <c r="D86" s="96"/>
      <c r="E86" s="96"/>
    </row>
    <row r="87" spans="1:5" ht="24.4" customHeight="1">
      <c r="B87" s="94" t="s">
        <v>189</v>
      </c>
      <c r="C87" s="94"/>
      <c r="D87" s="94"/>
      <c r="E87" s="94"/>
    </row>
    <row r="88" spans="1:5" ht="24.4" customHeight="1">
      <c r="B88" s="94" t="s">
        <v>225</v>
      </c>
      <c r="C88" s="94"/>
      <c r="D88" s="94"/>
      <c r="E88" s="94"/>
    </row>
    <row r="90" spans="1:5">
      <c r="B90" s="24" t="s">
        <v>194</v>
      </c>
    </row>
    <row r="91" spans="1:5">
      <c r="B91" s="1" t="s">
        <v>193</v>
      </c>
    </row>
    <row r="92" spans="1:5">
      <c r="B92" s="60" t="s">
        <v>182</v>
      </c>
    </row>
    <row r="93" spans="1:5">
      <c r="B93" s="24" t="s">
        <v>195</v>
      </c>
    </row>
    <row r="94" spans="1:5">
      <c r="B94" s="24" t="s">
        <v>183</v>
      </c>
    </row>
    <row r="96" spans="1:5">
      <c r="B96" s="24" t="s">
        <v>210</v>
      </c>
    </row>
    <row r="97" spans="1:5">
      <c r="B97" s="95" t="s">
        <v>211</v>
      </c>
      <c r="C97" s="95"/>
      <c r="D97" s="95"/>
      <c r="E97" s="95"/>
    </row>
    <row r="99" spans="1:5">
      <c r="B99" s="24" t="s">
        <v>215</v>
      </c>
    </row>
    <row r="100" spans="1:5" ht="12.4">
      <c r="B100" s="95" t="s">
        <v>212</v>
      </c>
      <c r="C100" s="95"/>
      <c r="D100" s="95"/>
      <c r="E100" s="95"/>
    </row>
    <row r="101" spans="1:5" ht="58.5" customHeight="1">
      <c r="B101" s="94" t="s">
        <v>219</v>
      </c>
      <c r="C101" s="94"/>
      <c r="D101" s="94"/>
      <c r="E101" s="94"/>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0.12655471362938422</v>
      </c>
      <c r="D112" s="61" t="str">
        <f>IF(C112&lt;benchmark,"Warning: Return is lower than the Benchmark.","")</f>
        <v/>
      </c>
    </row>
    <row r="114" spans="1:5" ht="24.4" customHeight="1">
      <c r="B114" s="94" t="s">
        <v>217</v>
      </c>
      <c r="C114" s="94"/>
      <c r="D114" s="94"/>
      <c r="E114" s="94"/>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zoomScaleNormal="100" workbookViewId="0">
      <pane xSplit="3" ySplit="2" topLeftCell="D3" activePane="bottomRight" state="frozen"/>
      <selection pane="topRight" activeCell="D1" sqref="D1"/>
      <selection pane="bottomLeft" activeCell="A5" sqref="A5"/>
      <selection pane="bottomRight" activeCell="N4" sqref="N4"/>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101</v>
      </c>
      <c r="H1" s="101"/>
      <c r="I1" s="101"/>
      <c r="J1" s="103" t="s">
        <v>5</v>
      </c>
      <c r="K1" s="103"/>
      <c r="L1" s="104" t="s">
        <v>272</v>
      </c>
      <c r="M1" s="104"/>
      <c r="N1" s="98" t="s">
        <v>9</v>
      </c>
      <c r="O1" s="98"/>
      <c r="P1" s="102" t="s">
        <v>269</v>
      </c>
      <c r="Q1" s="102"/>
      <c r="R1" s="102"/>
      <c r="S1" s="102"/>
      <c r="T1" s="99" t="s">
        <v>53</v>
      </c>
      <c r="U1" s="99"/>
      <c r="V1" s="99"/>
      <c r="W1" s="99"/>
    </row>
    <row r="2" spans="1:23" ht="26" customHeight="1">
      <c r="B2" s="7" t="s">
        <v>3</v>
      </c>
      <c r="C2" s="7" t="s">
        <v>0</v>
      </c>
      <c r="D2" s="8" t="s">
        <v>1</v>
      </c>
      <c r="E2" s="7" t="s">
        <v>2</v>
      </c>
      <c r="F2" s="7" t="s">
        <v>11</v>
      </c>
      <c r="G2" s="7" t="s">
        <v>61</v>
      </c>
      <c r="H2" s="7" t="s">
        <v>62</v>
      </c>
      <c r="I2" s="7" t="s">
        <v>214</v>
      </c>
      <c r="J2" s="8" t="s">
        <v>8</v>
      </c>
      <c r="K2" s="8" t="s">
        <v>12</v>
      </c>
      <c r="L2" s="8" t="s">
        <v>271</v>
      </c>
      <c r="M2" s="8" t="s">
        <v>262</v>
      </c>
      <c r="N2" s="7" t="s">
        <v>13</v>
      </c>
      <c r="O2" s="7" t="s">
        <v>7</v>
      </c>
      <c r="P2" s="7" t="s">
        <v>266</v>
      </c>
      <c r="Q2" s="7" t="s">
        <v>265</v>
      </c>
      <c r="R2" s="7" t="s">
        <v>268</v>
      </c>
      <c r="S2" s="7" t="s">
        <v>267</v>
      </c>
      <c r="T2" s="7" t="s">
        <v>6</v>
      </c>
      <c r="U2" s="7" t="s">
        <v>14</v>
      </c>
      <c r="V2" s="9" t="s">
        <v>10</v>
      </c>
      <c r="W2" s="10" t="s">
        <v>52</v>
      </c>
    </row>
    <row r="3" spans="1:23">
      <c r="B3" s="11" t="s">
        <v>278</v>
      </c>
      <c r="C3" s="11" t="s">
        <v>279</v>
      </c>
      <c r="D3" s="2">
        <v>1.1499999999999999</v>
      </c>
      <c r="E3" s="12" t="s">
        <v>160</v>
      </c>
      <c r="F3" s="15">
        <v>0.21644266614219942</v>
      </c>
      <c r="G3" s="15">
        <f>F3 - Portfolio_Mgmt!$C$10</f>
        <v>9.904266614219942E-2</v>
      </c>
      <c r="H3" s="15">
        <f>F3 - Portfolio_Mgmt!$C$11</f>
        <v>0.18194266614219942</v>
      </c>
      <c r="I3" s="15">
        <v>0.21644266614219942</v>
      </c>
      <c r="J3" s="2">
        <v>0.9421991685622978</v>
      </c>
      <c r="K3" s="2">
        <v>2.0700115733313686</v>
      </c>
      <c r="L3" s="2">
        <v>1.197923364196394</v>
      </c>
      <c r="M3" s="86">
        <v>1.6432419261953275</v>
      </c>
      <c r="N3" s="4">
        <v>6.3476783162570317E-3</v>
      </c>
      <c r="O3" s="4">
        <v>0</v>
      </c>
      <c r="P3" s="15">
        <v>9.7057481271370302E-2</v>
      </c>
      <c r="Q3" s="15">
        <v>1.4790654865358754E-2</v>
      </c>
      <c r="R3" s="92">
        <v>3.4432102574884196</v>
      </c>
      <c r="S3" s="86">
        <v>2.0258239687205015</v>
      </c>
      <c r="T3" s="13" t="s">
        <v>280</v>
      </c>
      <c r="U3" s="11" t="s">
        <v>171</v>
      </c>
      <c r="V3" s="14">
        <v>45900</v>
      </c>
      <c r="W3" s="11" t="s">
        <v>163</v>
      </c>
    </row>
    <row r="4" spans="1:23">
      <c r="B4" s="11" t="s">
        <v>258</v>
      </c>
      <c r="C4" s="11" t="s">
        <v>259</v>
      </c>
      <c r="D4" s="2">
        <v>15.44</v>
      </c>
      <c r="E4" s="12" t="s">
        <v>160</v>
      </c>
      <c r="F4" s="15">
        <v>0.18737363316325828</v>
      </c>
      <c r="G4" s="15">
        <f>F4 - Portfolio_Mgmt!$C$10</f>
        <v>6.9973633163258275E-2</v>
      </c>
      <c r="H4" s="15">
        <f>F4 - Portfolio_Mgmt!$C$11</f>
        <v>0.15287363316325828</v>
      </c>
      <c r="I4" s="15">
        <v>0.18737363316325828</v>
      </c>
      <c r="J4" s="2">
        <v>11.862033069653084</v>
      </c>
      <c r="K4" s="2">
        <v>23.887705575274836</v>
      </c>
      <c r="L4" s="2">
        <v>14.971213388216997</v>
      </c>
      <c r="M4" s="86">
        <v>20.366464536567324</v>
      </c>
      <c r="N4" s="4">
        <v>6.5101907277916274E-2</v>
      </c>
      <c r="O4" s="4">
        <v>3.5275706733689696E-2</v>
      </c>
      <c r="P4" s="15">
        <v>0.36794481423679237</v>
      </c>
      <c r="Q4" s="15">
        <v>7.4171010848313429E-2</v>
      </c>
      <c r="R4" s="92">
        <v>0.60402076709908736</v>
      </c>
      <c r="S4" s="86">
        <v>4.5265264551387059</v>
      </c>
      <c r="T4" s="13" t="s">
        <v>246</v>
      </c>
      <c r="U4" s="11" t="s">
        <v>162</v>
      </c>
      <c r="V4" s="14">
        <v>45900</v>
      </c>
      <c r="W4" s="11" t="s">
        <v>163</v>
      </c>
    </row>
    <row r="5" spans="1:23">
      <c r="B5" s="11" t="s">
        <v>236</v>
      </c>
      <c r="C5" s="11" t="s">
        <v>237</v>
      </c>
      <c r="D5" s="2">
        <v>6.08</v>
      </c>
      <c r="E5" s="12" t="s">
        <v>160</v>
      </c>
      <c r="F5" s="15">
        <v>0.16112633203079096</v>
      </c>
      <c r="G5" s="15">
        <f>F5 - Portfolio_Mgmt!$C$10</f>
        <v>4.372633203079096E-2</v>
      </c>
      <c r="H5" s="15">
        <f>F5 - Portfolio_Mgmt!$C$11</f>
        <v>0.12662633203079096</v>
      </c>
      <c r="I5" s="15">
        <v>0.16112633203079096</v>
      </c>
      <c r="J5" s="2">
        <v>4.428921836807783</v>
      </c>
      <c r="K5" s="2">
        <v>7.9670026289547851</v>
      </c>
      <c r="L5" s="2">
        <v>5.5414713233942736</v>
      </c>
      <c r="M5" s="86">
        <v>7.4633845319646834</v>
      </c>
      <c r="N5" s="4">
        <v>0.12729200739087043</v>
      </c>
      <c r="O5" s="4">
        <v>7.2687419474340292E-2</v>
      </c>
      <c r="P5" s="15">
        <v>0.61007460831657279</v>
      </c>
      <c r="Q5" s="15">
        <v>0.16360901428944893</v>
      </c>
      <c r="R5" s="92">
        <v>1.1309485990394448</v>
      </c>
      <c r="S5" s="86">
        <v>-3.8097920812266781</v>
      </c>
      <c r="T5" s="13" t="s">
        <v>239</v>
      </c>
      <c r="U5" s="11" t="s">
        <v>238</v>
      </c>
      <c r="V5" s="14">
        <v>45900</v>
      </c>
      <c r="W5" s="11" t="s">
        <v>163</v>
      </c>
    </row>
    <row r="6" spans="1:23">
      <c r="B6" s="11" t="s">
        <v>276</v>
      </c>
      <c r="C6" s="11" t="s">
        <v>277</v>
      </c>
      <c r="D6" s="2">
        <v>69.39</v>
      </c>
      <c r="E6" s="12" t="s">
        <v>275</v>
      </c>
      <c r="F6" s="15">
        <v>0.15518819500348435</v>
      </c>
      <c r="G6" s="15">
        <f>F6 - Portfolio_Mgmt!$C$10</f>
        <v>3.7788195003484348E-2</v>
      </c>
      <c r="H6" s="15">
        <f>F6 - Portfolio_Mgmt!$C$11</f>
        <v>0.12068819500348435</v>
      </c>
      <c r="I6" s="15">
        <v>0</v>
      </c>
      <c r="J6" s="2">
        <v>49.746673136282389</v>
      </c>
      <c r="K6" s="2">
        <v>90.751910880412424</v>
      </c>
      <c r="L6" s="2">
        <v>62.307286389127562</v>
      </c>
      <c r="M6" s="86">
        <v>84.017562490801396</v>
      </c>
      <c r="N6" s="4">
        <v>7.6091679799215661E-2</v>
      </c>
      <c r="O6" s="4">
        <v>6.6969303934284477E-2</v>
      </c>
      <c r="P6" s="15">
        <v>0.30279158651211824</v>
      </c>
      <c r="Q6" s="15">
        <v>7.7640983998987034E-4</v>
      </c>
      <c r="R6" s="92">
        <v>3.8209153156820415E-3</v>
      </c>
      <c r="S6" s="86">
        <v>15.284602440692964</v>
      </c>
      <c r="T6" s="13" t="s">
        <v>242</v>
      </c>
      <c r="U6" s="11" t="s">
        <v>162</v>
      </c>
      <c r="V6" s="14">
        <v>45900</v>
      </c>
      <c r="W6" s="11" t="s">
        <v>247</v>
      </c>
    </row>
    <row r="7" spans="1:23">
      <c r="B7" s="11" t="s">
        <v>251</v>
      </c>
      <c r="C7" s="11" t="s">
        <v>252</v>
      </c>
      <c r="D7" s="2">
        <v>21.15</v>
      </c>
      <c r="E7" s="12" t="s">
        <v>253</v>
      </c>
      <c r="F7" s="15">
        <v>0.14021163259405034</v>
      </c>
      <c r="G7" s="15">
        <f>F7 - Portfolio_Mgmt!$C$10</f>
        <v>2.2811632594050335E-2</v>
      </c>
      <c r="H7" s="15">
        <f>F7 - Portfolio_Mgmt!$C$11</f>
        <v>0.10571163259405034</v>
      </c>
      <c r="I7" s="15">
        <v>0</v>
      </c>
      <c r="J7" s="2">
        <v>14.418941896437474</v>
      </c>
      <c r="K7" s="2">
        <v>29.309951346473134</v>
      </c>
      <c r="L7" s="2">
        <v>18.21218480698677</v>
      </c>
      <c r="M7" s="86">
        <v>24.796949133193245</v>
      </c>
      <c r="N7" s="4">
        <v>0.21555373746279879</v>
      </c>
      <c r="O7" s="4">
        <v>2.8066193853427897E-2</v>
      </c>
      <c r="P7" s="15">
        <v>1.4851905363915479</v>
      </c>
      <c r="Q7" s="15">
        <v>0.95241105291674188</v>
      </c>
      <c r="R7" s="92">
        <v>4.0148803043206254</v>
      </c>
      <c r="S7" s="86">
        <v>-38.360607814419353</v>
      </c>
      <c r="T7" s="13" t="s">
        <v>254</v>
      </c>
      <c r="U7" s="11" t="s">
        <v>162</v>
      </c>
      <c r="V7" s="14">
        <v>45900</v>
      </c>
      <c r="W7" s="11" t="s">
        <v>247</v>
      </c>
    </row>
    <row r="8" spans="1:23">
      <c r="B8" s="11" t="s">
        <v>249</v>
      </c>
      <c r="C8" s="11" t="s">
        <v>250</v>
      </c>
      <c r="D8" s="2">
        <v>55.75</v>
      </c>
      <c r="E8" s="12" t="s">
        <v>160</v>
      </c>
      <c r="F8" s="15">
        <v>0.13796564912031539</v>
      </c>
      <c r="G8" s="15">
        <f>F8 - Portfolio_Mgmt!$C$10</f>
        <v>2.0565649120315388E-2</v>
      </c>
      <c r="H8" s="15">
        <f>F8 - Portfolio_Mgmt!$C$11</f>
        <v>0.10346564912031539</v>
      </c>
      <c r="I8" s="15">
        <v>3.5057368663751309E-2</v>
      </c>
      <c r="J8" s="2">
        <v>38.67449654927848</v>
      </c>
      <c r="K8" s="2">
        <v>64.818448718764827</v>
      </c>
      <c r="L8" s="2">
        <v>48.148365693729644</v>
      </c>
      <c r="M8" s="86">
        <v>64.469262649530066</v>
      </c>
      <c r="N8" s="4">
        <v>9.4419233289180268E-2</v>
      </c>
      <c r="O8" s="4">
        <v>9.0582600896860987E-2</v>
      </c>
      <c r="P8" s="15">
        <v>1.2907496012759174</v>
      </c>
      <c r="Q8" s="15">
        <v>0.24768740031897937</v>
      </c>
      <c r="R8" s="92">
        <v>0.73855199466278643</v>
      </c>
      <c r="S8" s="86">
        <v>-2.6472954415279868</v>
      </c>
      <c r="T8" s="13" t="s">
        <v>246</v>
      </c>
      <c r="U8" s="11" t="s">
        <v>162</v>
      </c>
      <c r="V8" s="14">
        <v>45808</v>
      </c>
      <c r="W8" s="11" t="s">
        <v>163</v>
      </c>
    </row>
    <row r="9" spans="1:23">
      <c r="B9" s="11" t="s">
        <v>158</v>
      </c>
      <c r="C9" s="11" t="s">
        <v>159</v>
      </c>
      <c r="D9" s="2">
        <v>17.899999999999999</v>
      </c>
      <c r="E9" s="12" t="s">
        <v>160</v>
      </c>
      <c r="F9" s="15">
        <v>0.11920444715894019</v>
      </c>
      <c r="G9" s="15">
        <f>F9 - Portfolio_Mgmt!$C$10</f>
        <v>1.8044471589401812E-3</v>
      </c>
      <c r="H9" s="15">
        <f>F9 - Portfolio_Mgmt!$C$11</f>
        <v>8.4704447158940183E-2</v>
      </c>
      <c r="I9" s="15">
        <v>0</v>
      </c>
      <c r="J9" s="2">
        <v>11.804906901225705</v>
      </c>
      <c r="K9" s="2">
        <v>20.508980461992877</v>
      </c>
      <c r="L9" s="2">
        <v>14.733437767356989</v>
      </c>
      <c r="M9" s="86">
        <v>19.785541823839793</v>
      </c>
      <c r="N9" s="4">
        <v>9.6535531808359179E-2</v>
      </c>
      <c r="O9" s="4">
        <v>7.5977653631284933E-2</v>
      </c>
      <c r="P9" s="15">
        <v>0.31018327415220487</v>
      </c>
      <c r="Q9" s="15">
        <v>0.15818859882129041</v>
      </c>
      <c r="R9" s="92">
        <v>1.4550387206421544</v>
      </c>
      <c r="S9" s="86">
        <v>5.8696003638854428</v>
      </c>
      <c r="T9" s="13" t="s">
        <v>161</v>
      </c>
      <c r="U9" s="11" t="s">
        <v>162</v>
      </c>
      <c r="V9" s="14">
        <v>45808</v>
      </c>
      <c r="W9" s="11" t="s">
        <v>163</v>
      </c>
    </row>
    <row r="10" spans="1:23">
      <c r="B10" s="11" t="s">
        <v>240</v>
      </c>
      <c r="C10" s="11" t="s">
        <v>241</v>
      </c>
      <c r="D10" s="2">
        <v>54</v>
      </c>
      <c r="E10" s="12" t="s">
        <v>160</v>
      </c>
      <c r="F10" s="15">
        <v>0.11184849157270471</v>
      </c>
      <c r="G10" s="15">
        <f>F10 - Portfolio_Mgmt!$C$10</f>
        <v>-5.551508427295293E-3</v>
      </c>
      <c r="H10" s="15">
        <f>F10 - Portfolio_Mgmt!$C$11</f>
        <v>7.7348491572704708E-2</v>
      </c>
      <c r="I10" s="15">
        <v>0</v>
      </c>
      <c r="J10" s="2">
        <v>34.381875852171149</v>
      </c>
      <c r="K10" s="2">
        <v>67.361539432485785</v>
      </c>
      <c r="L10" s="2">
        <v>43.298516914573895</v>
      </c>
      <c r="M10" s="86">
        <v>58.754189493018607</v>
      </c>
      <c r="N10" s="4">
        <v>4.1955491566384277E-2</v>
      </c>
      <c r="O10" s="4">
        <v>3.7944127980758587E-2</v>
      </c>
      <c r="P10" s="15">
        <v>0.72207550313588764</v>
      </c>
      <c r="Q10" s="15">
        <v>9.5579625064196368E-3</v>
      </c>
      <c r="R10" s="92">
        <v>7.3592411949940734E-2</v>
      </c>
      <c r="S10" s="86">
        <v>1.334506858271689</v>
      </c>
      <c r="T10" s="16" t="s">
        <v>242</v>
      </c>
      <c r="U10" s="11" t="s">
        <v>162</v>
      </c>
      <c r="V10" s="14">
        <v>45900</v>
      </c>
      <c r="W10" s="11" t="s">
        <v>247</v>
      </c>
    </row>
    <row r="11" spans="1:23">
      <c r="B11" s="11" t="s">
        <v>164</v>
      </c>
      <c r="C11" s="11" t="s">
        <v>165</v>
      </c>
      <c r="D11" s="2">
        <v>8.1</v>
      </c>
      <c r="E11" s="12" t="s">
        <v>160</v>
      </c>
      <c r="F11" s="15">
        <v>0.11083350655450119</v>
      </c>
      <c r="G11" s="15">
        <f>F11 - Portfolio_Mgmt!$C$10</f>
        <v>-6.5664934454988111E-3</v>
      </c>
      <c r="H11" s="15">
        <f>F11 - Portfolio_Mgmt!$C$11</f>
        <v>7.633350655450119E-2</v>
      </c>
      <c r="I11" s="15">
        <v>0</v>
      </c>
      <c r="J11" s="2">
        <v>5.2239462882061574</v>
      </c>
      <c r="K11" s="2">
        <v>9.1628099951889297</v>
      </c>
      <c r="L11" s="2">
        <v>6.5243113398084081</v>
      </c>
      <c r="M11" s="86">
        <v>8.7684502451266084</v>
      </c>
      <c r="N11" s="4">
        <v>3.8135601479291979E-2</v>
      </c>
      <c r="O11" s="4">
        <v>7.160493827160494E-2</v>
      </c>
      <c r="P11" s="15">
        <v>8.3114411724224596E-2</v>
      </c>
      <c r="Q11" s="15">
        <v>1.8509098960546238E-2</v>
      </c>
      <c r="R11" s="92">
        <v>1.1933697905849452</v>
      </c>
      <c r="S11" s="86">
        <v>11.511512740854835</v>
      </c>
      <c r="T11" s="13" t="s">
        <v>166</v>
      </c>
      <c r="U11" s="11" t="s">
        <v>167</v>
      </c>
      <c r="V11" s="14">
        <v>45900</v>
      </c>
      <c r="W11" s="11" t="s">
        <v>163</v>
      </c>
    </row>
    <row r="12" spans="1:23">
      <c r="B12" s="11" t="s">
        <v>244</v>
      </c>
      <c r="C12" s="11" t="s">
        <v>245</v>
      </c>
      <c r="D12" s="2">
        <v>14.3</v>
      </c>
      <c r="E12" s="12" t="s">
        <v>160</v>
      </c>
      <c r="F12" s="15">
        <v>0.1090060893695004</v>
      </c>
      <c r="G12" s="15">
        <f>F12 - Portfolio_Mgmt!$C$10</f>
        <v>-8.3939106304996014E-3</v>
      </c>
      <c r="H12" s="15">
        <f>F12 - Portfolio_Mgmt!$C$11</f>
        <v>7.45060893695004E-2</v>
      </c>
      <c r="I12" s="15">
        <v>0</v>
      </c>
      <c r="J12" s="2">
        <v>9.1251344157607761</v>
      </c>
      <c r="K12" s="2">
        <v>16.718616112226428</v>
      </c>
      <c r="L12" s="2">
        <v>11.432798659390293</v>
      </c>
      <c r="M12" s="86">
        <v>15.422137352615858</v>
      </c>
      <c r="N12" s="4">
        <v>0.10749746672561937</v>
      </c>
      <c r="O12" s="4">
        <v>5.8350495104895095E-2</v>
      </c>
      <c r="P12" s="15">
        <v>2.2875080906148866</v>
      </c>
      <c r="Q12" s="15">
        <v>1.5035598705501618</v>
      </c>
      <c r="R12" s="92">
        <v>4.1998196571663646</v>
      </c>
      <c r="S12" s="86">
        <v>-12.151746556489819</v>
      </c>
      <c r="T12" s="13" t="s">
        <v>246</v>
      </c>
      <c r="U12" s="11" t="s">
        <v>248</v>
      </c>
      <c r="V12" s="14">
        <v>45900</v>
      </c>
      <c r="W12" s="11" t="s">
        <v>247</v>
      </c>
    </row>
    <row r="13" spans="1:23">
      <c r="B13" s="11" t="s">
        <v>255</v>
      </c>
      <c r="C13" s="11" t="s">
        <v>256</v>
      </c>
      <c r="D13" s="2">
        <v>28.23</v>
      </c>
      <c r="E13" s="12" t="s">
        <v>253</v>
      </c>
      <c r="F13" s="15">
        <v>0.10191457699731421</v>
      </c>
      <c r="G13" s="15">
        <f>F13 - Portfolio_Mgmt!$C$10</f>
        <v>-1.5485423002685794E-2</v>
      </c>
      <c r="H13" s="15">
        <f>F13 - Portfolio_Mgmt!$C$11</f>
        <v>6.7414576997314207E-2</v>
      </c>
      <c r="I13" s="15">
        <v>0</v>
      </c>
      <c r="J13" s="2">
        <v>17.682685147645955</v>
      </c>
      <c r="K13" s="2">
        <v>32.464859269378167</v>
      </c>
      <c r="L13" s="2">
        <v>22.157904669779033</v>
      </c>
      <c r="M13" s="2">
        <v>29.895007167811503</v>
      </c>
      <c r="N13" s="4">
        <v>8.9945710498866363E-2</v>
      </c>
      <c r="O13" s="4">
        <v>5.6677293659227773E-2</v>
      </c>
      <c r="P13" s="15">
        <v>0.78990369994931575</v>
      </c>
      <c r="Q13" s="15">
        <v>0.40281804358844397</v>
      </c>
      <c r="R13" s="92">
        <v>3.955391512509995</v>
      </c>
      <c r="S13" s="86">
        <v>-26.938493611476797</v>
      </c>
      <c r="T13" s="13" t="s">
        <v>257</v>
      </c>
      <c r="U13" s="11" t="s">
        <v>162</v>
      </c>
      <c r="V13" s="14">
        <v>45900</v>
      </c>
      <c r="W13" s="11" t="s">
        <v>247</v>
      </c>
    </row>
    <row r="14" spans="1:23">
      <c r="B14" s="11" t="s">
        <v>168</v>
      </c>
      <c r="C14" s="11" t="s">
        <v>169</v>
      </c>
      <c r="D14" s="2">
        <v>2.35</v>
      </c>
      <c r="E14" s="12" t="s">
        <v>160</v>
      </c>
      <c r="F14" s="15">
        <v>9.5546776071535167E-2</v>
      </c>
      <c r="G14" s="15">
        <f>F14 - Portfolio_Mgmt!$C$10</f>
        <v>-2.1853223928464838E-2</v>
      </c>
      <c r="H14" s="15">
        <f>F14 - Portfolio_Mgmt!$C$11</f>
        <v>6.1046776071535164E-2</v>
      </c>
      <c r="I14" s="15">
        <v>0</v>
      </c>
      <c r="J14" s="2">
        <v>1.442374867722968</v>
      </c>
      <c r="K14" s="2">
        <v>2.7155321746611896</v>
      </c>
      <c r="L14" s="2">
        <v>1.8108383615725383</v>
      </c>
      <c r="M14" s="2">
        <v>2.4485007089485338</v>
      </c>
      <c r="N14" s="4">
        <v>3.5197892699834928E-2</v>
      </c>
      <c r="O14" s="4">
        <v>4.8351240838924094E-2</v>
      </c>
      <c r="P14" s="15">
        <v>0.20351769929714394</v>
      </c>
      <c r="Q14" s="15">
        <v>1.0763175939415467E-2</v>
      </c>
      <c r="R14" s="92">
        <v>0.29882156160837919</v>
      </c>
      <c r="S14" s="86">
        <v>1.8775728111399408</v>
      </c>
      <c r="T14" s="13" t="s">
        <v>170</v>
      </c>
      <c r="U14" s="11" t="s">
        <v>171</v>
      </c>
      <c r="V14" s="14">
        <v>45900</v>
      </c>
      <c r="W14" s="11" t="s">
        <v>163</v>
      </c>
    </row>
    <row r="15" spans="1:23">
      <c r="B15" s="11" t="s">
        <v>273</v>
      </c>
      <c r="C15" s="11" t="s">
        <v>274</v>
      </c>
      <c r="D15" s="2">
        <v>57.4</v>
      </c>
      <c r="E15" s="12" t="s">
        <v>275</v>
      </c>
      <c r="F15" s="15">
        <v>9.0634582120934004E-2</v>
      </c>
      <c r="G15" s="15">
        <f>F15 - Portfolio_Mgmt!$C$10</f>
        <v>-2.6765417879066E-2</v>
      </c>
      <c r="H15" s="15">
        <f>F15 - Portfolio_Mgmt!$C$11</f>
        <v>5.6134582120934001E-2</v>
      </c>
      <c r="I15" s="15">
        <v>0</v>
      </c>
      <c r="J15" s="2">
        <v>34.669224296258527</v>
      </c>
      <c r="K15" s="2">
        <v>66.592285778879997</v>
      </c>
      <c r="L15" s="2">
        <v>43.592757973888887</v>
      </c>
      <c r="M15" s="2">
        <v>59.048136223898794</v>
      </c>
      <c r="N15" s="4">
        <v>8.005411568167814E-2</v>
      </c>
      <c r="O15" s="4">
        <v>4.1811846689895467E-2</v>
      </c>
      <c r="P15" s="15">
        <v>3.4701988818540461</v>
      </c>
      <c r="Q15" s="15">
        <v>5.0341856510546588E-2</v>
      </c>
      <c r="R15" s="92">
        <v>3.9546057100127742E-2</v>
      </c>
      <c r="S15" s="86">
        <v>-13.312996389940134</v>
      </c>
      <c r="T15" s="13" t="s">
        <v>242</v>
      </c>
      <c r="U15" s="11" t="s">
        <v>162</v>
      </c>
      <c r="V15" s="14">
        <v>45716</v>
      </c>
      <c r="W15" s="11" t="s">
        <v>247</v>
      </c>
    </row>
    <row r="16" spans="1:23">
      <c r="B16" s="11"/>
      <c r="C16" s="11"/>
      <c r="E16" s="12"/>
      <c r="N16" s="4"/>
      <c r="O16" s="4"/>
      <c r="T16" s="13"/>
      <c r="U16" s="11"/>
      <c r="V16" s="14"/>
    </row>
    <row r="17" spans="2:22">
      <c r="B17" s="11"/>
      <c r="C17" s="11"/>
      <c r="E17" s="12"/>
      <c r="N17" s="4"/>
      <c r="O17" s="4"/>
      <c r="T17" s="13"/>
      <c r="U17" s="11"/>
      <c r="V17" s="14"/>
    </row>
    <row r="18" spans="2:22">
      <c r="B18" s="11"/>
      <c r="C18" s="11"/>
      <c r="E18" s="12"/>
      <c r="N18" s="4"/>
      <c r="O18" s="4"/>
      <c r="T18" s="13"/>
      <c r="U18" s="11"/>
      <c r="V18" s="14"/>
    </row>
    <row r="19" spans="2:22">
      <c r="B19" s="11"/>
      <c r="C19" s="11"/>
      <c r="E19" s="12"/>
      <c r="N19" s="4"/>
      <c r="O19" s="4"/>
      <c r="T19" s="13"/>
      <c r="U19" s="11"/>
      <c r="V19" s="14"/>
    </row>
    <row r="20" spans="2:22">
      <c r="B20" s="11"/>
      <c r="C20" s="11"/>
      <c r="E20" s="12"/>
      <c r="N20" s="4"/>
      <c r="O20" s="4"/>
      <c r="T20" s="13"/>
      <c r="U20" s="11"/>
      <c r="V20" s="14"/>
    </row>
    <row r="21" spans="2:22">
      <c r="B21" s="11"/>
      <c r="C21" s="11"/>
      <c r="E21" s="12"/>
      <c r="N21" s="4"/>
      <c r="O21" s="4"/>
      <c r="T21" s="13"/>
      <c r="U21" s="11"/>
      <c r="V21" s="14"/>
    </row>
    <row r="22" spans="2:22">
      <c r="B22" s="11"/>
      <c r="C22" s="11"/>
      <c r="E22" s="12"/>
      <c r="N22" s="4"/>
      <c r="O22" s="4"/>
      <c r="T22" s="13"/>
      <c r="U22" s="11"/>
      <c r="V22" s="14"/>
    </row>
    <row r="23" spans="2:22">
      <c r="B23" s="11"/>
      <c r="C23" s="11"/>
      <c r="E23" s="12"/>
      <c r="N23" s="4"/>
      <c r="O23" s="4"/>
      <c r="T23" s="13"/>
      <c r="U23" s="11"/>
      <c r="V23" s="14"/>
    </row>
    <row r="24" spans="2:22">
      <c r="B24" s="11"/>
      <c r="C24" s="11"/>
      <c r="E24" s="12"/>
      <c r="N24" s="4"/>
      <c r="O24" s="4"/>
      <c r="T24" s="13"/>
      <c r="U24" s="11"/>
      <c r="V24" s="14"/>
    </row>
    <row r="25" spans="2:22">
      <c r="B25" s="11"/>
      <c r="C25" s="11"/>
      <c r="E25" s="12"/>
      <c r="N25" s="4"/>
      <c r="O25" s="4"/>
      <c r="T25" s="13"/>
      <c r="U25" s="11"/>
      <c r="V25" s="14"/>
    </row>
    <row r="26" spans="2:22">
      <c r="B26" s="11"/>
      <c r="C26" s="11"/>
      <c r="E26" s="12"/>
      <c r="N26" s="4"/>
      <c r="O26" s="4"/>
      <c r="T26" s="13"/>
      <c r="U26" s="11"/>
      <c r="V26" s="14"/>
    </row>
    <row r="27" spans="2:22">
      <c r="B27" s="11"/>
      <c r="C27" s="11"/>
      <c r="E27" s="12"/>
      <c r="N27" s="4"/>
      <c r="O27" s="4"/>
      <c r="T27" s="13"/>
      <c r="U27" s="11"/>
      <c r="V27" s="14"/>
    </row>
    <row r="28" spans="2:22">
      <c r="B28" s="11"/>
      <c r="C28" s="11"/>
      <c r="E28" s="12"/>
      <c r="N28" s="4"/>
      <c r="O28" s="4"/>
      <c r="T28" s="13"/>
      <c r="U28" s="11"/>
      <c r="V28" s="14"/>
    </row>
    <row r="29" spans="2:22">
      <c r="B29" s="11"/>
      <c r="C29" s="11"/>
      <c r="E29" s="12"/>
      <c r="N29" s="4"/>
      <c r="O29" s="4"/>
      <c r="T29" s="13"/>
      <c r="U29" s="11"/>
      <c r="V29" s="14"/>
    </row>
    <row r="30" spans="2:22">
      <c r="B30" s="11"/>
      <c r="C30" s="11"/>
      <c r="E30" s="12"/>
      <c r="N30" s="4"/>
      <c r="O30" s="4"/>
      <c r="T30" s="13"/>
      <c r="U30" s="11"/>
      <c r="V30" s="14"/>
    </row>
    <row r="31" spans="2:22">
      <c r="B31" s="11"/>
      <c r="C31" s="11"/>
      <c r="E31" s="12"/>
      <c r="N31" s="4"/>
      <c r="O31" s="4"/>
      <c r="T31" s="16"/>
      <c r="U31" s="11"/>
      <c r="V31" s="14"/>
    </row>
    <row r="32" spans="2:22">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2" priority="1">
      <formula>J3&gt;D3</formula>
    </cfRule>
  </conditionalFormatting>
  <conditionalFormatting sqref="L3:L1048576">
    <cfRule type="expression" dxfId="1" priority="4">
      <formula>L3&gt;D3</formula>
    </cfRule>
  </conditionalFormatting>
  <conditionalFormatting sqref="M3:M1048576">
    <cfRule type="expression" dxfId="0" priority="2">
      <formula>D3&gt;M3</formula>
    </cfRule>
  </conditionalFormatting>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4.2999999999999997E-2</v>
      </c>
      <c r="D4" s="34">
        <v>7.4999999999999997E-2</v>
      </c>
      <c r="E4" s="35">
        <f>D4-C4</f>
        <v>3.2000000000000001E-2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tabSelected="1" zoomScale="87" workbookViewId="0">
      <selection activeCell="F13" sqref="F13"/>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226</v>
      </c>
    </row>
    <row r="2" spans="1:8" ht="29.65" customHeight="1">
      <c r="B2" s="66" t="s">
        <v>3</v>
      </c>
      <c r="C2" s="66" t="s">
        <v>229</v>
      </c>
      <c r="D2" s="66" t="s">
        <v>228</v>
      </c>
      <c r="E2" s="66" t="s">
        <v>227</v>
      </c>
      <c r="F2" s="66" t="s">
        <v>234</v>
      </c>
      <c r="G2" s="66" t="s">
        <v>264</v>
      </c>
      <c r="H2" s="66" t="s">
        <v>214</v>
      </c>
    </row>
    <row r="3" spans="1:8">
      <c r="B3" s="77" t="s">
        <v>30</v>
      </c>
      <c r="C3" s="75" t="s">
        <v>233</v>
      </c>
      <c r="D3" s="74" t="s">
        <v>230</v>
      </c>
      <c r="E3" s="76" t="s">
        <v>233</v>
      </c>
      <c r="F3" s="71">
        <v>351395.62</v>
      </c>
      <c r="G3" s="73">
        <f>F3/$F$9</f>
        <v>0.39285097563642929</v>
      </c>
      <c r="H3" s="91" t="s">
        <v>233</v>
      </c>
    </row>
    <row r="4" spans="1:8">
      <c r="B4" s="78" t="s">
        <v>232</v>
      </c>
      <c r="C4" s="75">
        <f>VLOOKUP(B4,Opportunities!B$3:E$12,3,FALSE)</f>
        <v>17.899999999999999</v>
      </c>
      <c r="D4" s="74" t="str">
        <f>VLOOKUP(B4,Opportunities!B$3:E$12,4,FALSE)</f>
        <v>HKD</v>
      </c>
      <c r="E4" s="71">
        <v>10000</v>
      </c>
      <c r="F4" s="76">
        <f>C4*E4</f>
        <v>179000</v>
      </c>
      <c r="G4" s="73">
        <f>F4/$F$9</f>
        <v>0.20011724858414812</v>
      </c>
      <c r="H4" s="73">
        <f>VLOOKUP(B4,Opportunities!B$3:I$12,8,FALSE)</f>
        <v>0</v>
      </c>
    </row>
    <row r="5" spans="1:8">
      <c r="B5" s="78" t="s">
        <v>231</v>
      </c>
      <c r="C5" s="75">
        <f>VLOOKUP(B5,Opportunities!B$3:E$12,3,FALSE)</f>
        <v>8.1</v>
      </c>
      <c r="D5" s="74" t="str">
        <f>VLOOKUP(B5,Opportunities!B$3:E$12,4,FALSE)</f>
        <v>HKD</v>
      </c>
      <c r="E5" s="71">
        <v>20000</v>
      </c>
      <c r="F5" s="76">
        <f>E5*C5</f>
        <v>162000</v>
      </c>
      <c r="G5" s="73">
        <f>F5/$F$9</f>
        <v>0.18111169983593292</v>
      </c>
      <c r="H5" s="73">
        <f>VLOOKUP(B5,Opportunities!B$3:I$12,8,FALSE)</f>
        <v>0</v>
      </c>
    </row>
    <row r="6" spans="1:8">
      <c r="B6" s="78" t="s">
        <v>243</v>
      </c>
      <c r="C6" s="75">
        <f>VLOOKUP(B6,Opportunities!B$3:E$12,3,FALSE)</f>
        <v>6.08</v>
      </c>
      <c r="D6" s="74" t="str">
        <f>VLOOKUP(B6,Opportunities!B$3:E$12,4,FALSE)</f>
        <v>HKD</v>
      </c>
      <c r="E6" s="71">
        <v>18000</v>
      </c>
      <c r="F6" s="76">
        <f>E6*C6</f>
        <v>109440</v>
      </c>
      <c r="G6" s="73">
        <f>F6/$F$9</f>
        <v>0.12235101500027469</v>
      </c>
      <c r="H6" s="73">
        <f>VLOOKUP(B6,Opportunities!B$3:I$12,8,FALSE)</f>
        <v>0.16112633203079096</v>
      </c>
    </row>
    <row r="7" spans="1:8">
      <c r="B7" s="78" t="s">
        <v>258</v>
      </c>
      <c r="C7" s="75">
        <f>VLOOKUP(B7,Opportunities!B$3:E$12,3,FALSE)</f>
        <v>15.44</v>
      </c>
      <c r="D7" s="74" t="str">
        <f>VLOOKUP(B7,Opportunities!B$3:E$12,4,FALSE)</f>
        <v>HKD</v>
      </c>
      <c r="E7" s="71">
        <v>6000</v>
      </c>
      <c r="F7" s="76">
        <f>C7*E7</f>
        <v>92640</v>
      </c>
      <c r="G7" s="73">
        <f>F7/$F$9</f>
        <v>0.10356906094321498</v>
      </c>
      <c r="H7" s="73">
        <f>VLOOKUP(B7,Opportunities!B$3:I$12,8,FALSE)</f>
        <v>0.18737363316325828</v>
      </c>
    </row>
    <row r="8" spans="1:8">
      <c r="B8" s="67"/>
      <c r="C8" s="70"/>
      <c r="D8" s="67"/>
      <c r="H8" s="90"/>
    </row>
    <row r="9" spans="1:8" ht="13.15">
      <c r="B9" s="79"/>
      <c r="C9" s="80"/>
      <c r="D9" s="79"/>
      <c r="E9" s="81" t="s">
        <v>263</v>
      </c>
      <c r="F9" s="81">
        <f>SUM(F3:F7)</f>
        <v>894475.62</v>
      </c>
      <c r="G9" s="82">
        <f>SUM(G3:G7)</f>
        <v>0.99999999999999989</v>
      </c>
      <c r="H9" s="89">
        <f>SUM(H4:H7)</f>
        <v>0.34849996519404924</v>
      </c>
    </row>
    <row r="10" spans="1:8">
      <c r="B10" s="67"/>
      <c r="C10" s="70"/>
      <c r="D10" s="67"/>
      <c r="E10" s="71"/>
      <c r="F10" s="71"/>
    </row>
    <row r="11" spans="1:8" ht="13.15">
      <c r="A11" s="63"/>
      <c r="B11" s="64" t="s">
        <v>260</v>
      </c>
    </row>
    <row r="12" spans="1:8">
      <c r="B12" s="78" t="s">
        <v>278</v>
      </c>
      <c r="C12" s="75">
        <f>VLOOKUP(B12,Opportunities!B$3:E$12,3,FALSE)</f>
        <v>1.1499999999999999</v>
      </c>
      <c r="D12" s="74" t="str">
        <f>VLOOKUP(B12,Opportunities!B$3:E$12,4,FALSE)</f>
        <v>HKD</v>
      </c>
      <c r="E12" s="71">
        <f>500*100</f>
        <v>50000</v>
      </c>
      <c r="F12" s="76">
        <f>C12*E12</f>
        <v>57499.999999999993</v>
      </c>
      <c r="G12" s="73">
        <f>F12/$F$9</f>
        <v>6.4283473707198405E-2</v>
      </c>
      <c r="H12" s="73">
        <f>VLOOKUP(B12,Opportunities!B$3:I$12,8,FALSE)</f>
        <v>0.21644266614219942</v>
      </c>
    </row>
    <row r="13" spans="1:8">
      <c r="G13" s="88"/>
      <c r="H13" s="88"/>
    </row>
    <row r="14" spans="1:8" ht="13.15">
      <c r="B14" s="83" t="s">
        <v>261</v>
      </c>
      <c r="C14" s="84" t="s">
        <v>233</v>
      </c>
      <c r="D14" s="85" t="s">
        <v>160</v>
      </c>
      <c r="E14" s="84" t="s">
        <v>233</v>
      </c>
      <c r="F14" s="81">
        <f>F3-F12</f>
        <v>293895.62</v>
      </c>
      <c r="G14" s="89">
        <f t="shared" ref="G14" si="0">F14/$F$9</f>
        <v>0.3285675019292309</v>
      </c>
      <c r="H14" s="89">
        <f>Portfolio_Mgmt!E61</f>
        <v>0.4</v>
      </c>
    </row>
    <row r="16" spans="1:8">
      <c r="B16" s="67"/>
      <c r="C16" s="70"/>
      <c r="D16" s="67"/>
      <c r="E16" s="71"/>
      <c r="F16" s="71"/>
    </row>
    <row r="26" spans="2:6">
      <c r="B26" s="67"/>
      <c r="C26" s="70"/>
      <c r="D26" s="67"/>
      <c r="E26" s="71"/>
      <c r="F26"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68"/>
      <c r="D31" s="67"/>
      <c r="E31" s="69"/>
      <c r="F31"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5" t="s">
        <v>104</v>
      </c>
      <c r="C3" s="105"/>
      <c r="D3" s="105"/>
    </row>
    <row r="5" spans="1:4">
      <c r="B5" s="106" t="s">
        <v>106</v>
      </c>
      <c r="C5" s="95"/>
      <c r="D5" s="95"/>
    </row>
    <row r="6" spans="1:4">
      <c r="B6" s="106" t="s">
        <v>107</v>
      </c>
      <c r="C6" s="95"/>
      <c r="D6" s="95"/>
    </row>
    <row r="8" spans="1:4">
      <c r="B8" s="1" t="s">
        <v>105</v>
      </c>
    </row>
    <row r="10" spans="1:4">
      <c r="A10" s="5"/>
      <c r="B10" s="6" t="s">
        <v>108</v>
      </c>
    </row>
    <row r="11" spans="1:4">
      <c r="B11" s="105" t="s">
        <v>109</v>
      </c>
      <c r="C11" s="105"/>
      <c r="D11" s="105"/>
    </row>
    <row r="12" spans="1:4">
      <c r="B12" s="105" t="s">
        <v>110</v>
      </c>
      <c r="C12" s="105"/>
      <c r="D12" s="10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5" t="s">
        <v>122</v>
      </c>
      <c r="C28" s="105"/>
      <c r="D28" s="105"/>
    </row>
    <row r="29" spans="1:4">
      <c r="B29" s="105" t="s">
        <v>123</v>
      </c>
      <c r="C29" s="105"/>
      <c r="D29" s="10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2025-05-09T07:57:12Z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