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CE4BC036-5925-4ED1-B215-6D3B640CF8C4}"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<sst xmlns="http://schemas.openxmlformats.org/spreadsheetml/2006/main" count="296" uniqueCount="263">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</sst>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0.12368197076027623</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D5" sqref="D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261</v>
      </c>
      <c r="C3" s="11" t="s">
        <v>262</v>
      </c>
      <c r="D3" s="2">
        <v>14.96</v>
      </c>
      <c r="E3" s="12" t="s">
        <v>160</v>
      </c>
      <c r="F3" s="15">
        <v>0.20236403420229543</v>
      </c>
      <c r="G3" s="15">
        <f>F3 - Portfolio_Mgmt!$C$10</f>
        <v>8.4964034202295424E-2</v>
      </c>
      <c r="H3" s="15">
        <f>F3 - Portfolio_Mgmt!$C$11</f>
        <v>0.16786403420229543</v>
      </c>
      <c r="I3" s="15">
        <v>0.24283684104275449</v>
      </c>
      <c r="J3" s="2">
        <v>13.36048258046131</v>
      </c>
      <c r="K3" s="2">
        <v>23.991343483359721</v>
      </c>
      <c r="L3" s="4">
        <v>7.7204543835549769E-2</v>
      </c>
      <c r="M3" s="4">
        <v>3.687821612349914E-2</v>
      </c>
      <c r="N3" s="13" t="s">
        <v>249</v>
      </c>
      <c r="O3" s="11" t="s">
        <v>162</v>
      </c>
      <c r="P3" s="14">
        <v>45900</v>
      </c>
      <c r="Q3" s="11" t="s">
        <v>163</v>
      </c>
    </row>
    <row r="4" spans="1:17">
      <c r="B4" s="11" t="s">
        <v>238</v>
      </c>
      <c r="C4" s="11" t="s">
        <v>239</v>
      </c>
      <c r="D4" s="2">
        <v>5.82</v>
      </c>
      <c r="E4" s="12" t="s">
        <v>160</v>
      </c>
      <c r="F4" s="15">
        <v>0.17654933116845006</v>
      </c>
      <c r="G4" s="15">
        <f>F4 - Portfolio_Mgmt!$C$10</f>
        <v>5.9149331168450059E-2</v>
      </c>
      <c r="H4" s="15">
        <f>F4 - Portfolio_Mgmt!$C$11</f>
        <v>0.14204933116845006</v>
      </c>
      <c r="I4" s="15">
        <v>0.21185919740214007</v>
      </c>
      <c r="J4" s="2">
        <v>4.9100950691878094</v>
      </c>
      <c r="K4" s="2">
        <v>7.905135048592232</v>
      </c>
      <c r="L4" s="4">
        <v>0.13194594963823414</v>
      </c>
      <c r="M4" s="4">
        <v>7.5934623780754121E-2</v>
      </c>
      <c r="N4" s="13" t="s">
        <v>241</v>
      </c>
      <c r="O4" s="11" t="s">
        <v>240</v>
      </c>
      <c r="P4" s="14">
        <v>45900</v>
      </c>
      <c r="Q4" s="11" t="s">
        <v>163</v>
      </c>
    </row>
    <row r="5" spans="1:17">
      <c r="B5" s="11" t="s">
        <v>254</v>
      </c>
      <c r="C5" s="11" t="s">
        <v>255</v>
      </c>
      <c r="D5" s="2">
        <v>20.079999999999998</v>
      </c>
      <c r="E5" s="12" t="s">
        <v>256</v>
      </c>
      <c r="F5" s="15">
        <v>0.16060765378265396</v>
      </c>
      <c r="G5" s="15">
        <f>F5 - Portfolio_Mgmt!$C$10</f>
        <v>4.3207653782653954E-2</v>
      </c>
      <c r="H5" s="15">
        <f>F5 - Portfolio_Mgmt!$C$11</f>
        <v>0.12610765378265396</v>
      </c>
      <c r="I5" s="15">
        <v>0.14530396155510539</v>
      </c>
      <c r="J5" s="2">
        <v>16.165402289394244</v>
      </c>
      <c r="K5" s="2">
        <v>29.309951346473134</v>
      </c>
      <c r="L5" s="4">
        <v>0.22703991769612522</v>
      </c>
      <c r="M5" s="4">
        <v>2.956175298804781E-2</v>
      </c>
      <c r="N5" s="13" t="s">
        <v>257</v>
      </c>
      <c r="O5" s="11" t="s">
        <v>162</v>
      </c>
      <c r="P5" s="14">
        <v>45900</v>
      </c>
      <c r="Q5" s="11" t="s">
        <v>163</v>
      </c>
    </row>
    <row r="6" spans="1:17">
      <c r="B6" s="11" t="s">
        <v>158</v>
      </c>
      <c r="C6" s="11" t="s">
        <v>159</v>
      </c>
      <c r="D6" s="2">
        <v>16.420000000000002</v>
      </c>
      <c r="E6" s="12" t="s">
        <v>160</v>
      </c>
      <c r="F6" s="15">
        <v>0.15425024630514339</v>
      </c>
      <c r="G6" s="15">
        <f>F6 - Portfolio_Mgmt!$C$10</f>
        <v>3.6850246305143386E-2</v>
      </c>
      <c r="H6" s="15">
        <f>F6 - Portfolio_Mgmt!$C$11</f>
        <v>0.11975024630514339</v>
      </c>
      <c r="I6" s="15">
        <v>0</v>
      </c>
      <c r="J6" s="2">
        <v>13.155317996540354</v>
      </c>
      <c r="K6" s="2">
        <v>20.508980461992877</v>
      </c>
      <c r="L6" s="4">
        <v>0.1052366637862137</v>
      </c>
      <c r="M6" s="4">
        <v>8.282582216808769E-2</v>
      </c>
      <c r="N6" s="13" t="s">
        <v>161</v>
      </c>
      <c r="O6" s="11" t="s">
        <v>162</v>
      </c>
      <c r="P6" s="14">
        <v>45808</v>
      </c>
      <c r="Q6" s="11" t="s">
        <v>163</v>
      </c>
    </row>
    <row r="7" spans="1:17">
      <c r="B7" s="11" t="s">
        <v>242</v>
      </c>
      <c r="C7" s="11" t="s">
        <v>243</v>
      </c>
      <c r="D7" s="2">
        <v>58.45</v>
      </c>
      <c r="E7" s="12" t="s">
        <v>160</v>
      </c>
      <c r="F7" s="15">
        <v>0.13533159592642741</v>
      </c>
      <c r="G7" s="15">
        <f>F7 - Portfolio_Mgmt!$C$10</f>
        <v>1.7931595926427402E-2</v>
      </c>
      <c r="H7" s="15">
        <f>F7 - Portfolio_Mgmt!$C$11</f>
        <v>0.1008315959264274</v>
      </c>
      <c r="I7" s="15">
        <v>0</v>
      </c>
      <c r="J7" s="2">
        <v>44.205240144973352</v>
      </c>
      <c r="K7" s="2">
        <v>78.465475605444368</v>
      </c>
      <c r="L7" s="4">
        <v>3.8461528914527629E-2</v>
      </c>
      <c r="M7" s="4">
        <v>3.5329662411002084E-2</v>
      </c>
      <c r="N7" s="13" t="s">
        <v>244</v>
      </c>
      <c r="O7" s="11" t="s">
        <v>162</v>
      </c>
      <c r="P7" s="14">
        <v>45900</v>
      </c>
      <c r="Q7" s="11" t="s">
        <v>250</v>
      </c>
    </row>
    <row r="8" spans="1:17">
      <c r="B8" s="11" t="s">
        <v>164</v>
      </c>
      <c r="C8" s="11" t="s">
        <v>165</v>
      </c>
      <c r="D8" s="2">
        <v>7.81</v>
      </c>
      <c r="E8" s="12" t="s">
        <v>160</v>
      </c>
      <c r="F8" s="15">
        <v>0.12309347362957457</v>
      </c>
      <c r="G8" s="15">
        <f>F8 - Portfolio_Mgmt!$C$10</f>
        <v>5.6934736295745636E-3</v>
      </c>
      <c r="H8" s="15">
        <f>F8 - Portfolio_Mgmt!$C$11</f>
        <v>8.8593473629574565E-2</v>
      </c>
      <c r="I8" s="15">
        <v>0</v>
      </c>
      <c r="J8" s="2">
        <v>5.7917118707600084</v>
      </c>
      <c r="K8" s="2">
        <v>9.1006872475781417</v>
      </c>
      <c r="L8" s="4">
        <v>3.9551648141135085E-2</v>
      </c>
      <c r="M8" s="4">
        <v>7.4263764404609467E-2</v>
      </c>
      <c r="N8" s="13" t="s">
        <v>166</v>
      </c>
      <c r="O8" s="11" t="s">
        <v>167</v>
      </c>
      <c r="P8" s="14">
        <v>45900</v>
      </c>
      <c r="Q8" s="11" t="s">
        <v>163</v>
      </c>
    </row>
    <row r="9" spans="1:17">
      <c r="B9" s="11" t="s">
        <v>168</v>
      </c>
      <c r="C9" s="11" t="s">
        <v>169</v>
      </c>
      <c r="D9" s="2">
        <v>2.21</v>
      </c>
      <c r="E9" s="12" t="s">
        <v>160</v>
      </c>
      <c r="F9" s="15">
        <v>0.11692472124626607</v>
      </c>
      <c r="G9" s="15">
        <f>F9 - Portfolio_Mgmt!$C$10</f>
        <v>-4.7527875373393202E-4</v>
      </c>
      <c r="H9" s="15">
        <f>F9 - Portfolio_Mgmt!$C$11</f>
        <v>8.2424721246266069E-2</v>
      </c>
      <c r="I9" s="15">
        <v>0</v>
      </c>
      <c r="J9" s="2">
        <v>1.6029152090321055</v>
      </c>
      <c r="K9" s="2">
        <v>2.6941065610816408</v>
      </c>
      <c r="L9" s="4">
        <v>3.7141818309151198E-2</v>
      </c>
      <c r="M9" s="4">
        <v>5.1816595986551785E-2</v>
      </c>
      <c r="N9" s="13" t="s">
        <v>170</v>
      </c>
      <c r="O9" s="11" t="s">
        <v>171</v>
      </c>
      <c r="P9" s="14">
        <v>45900</v>
      </c>
      <c r="Q9" s="11" t="s">
        <v>163</v>
      </c>
    </row>
    <row r="10" spans="1:17">
      <c r="B10" s="11" t="s">
        <v>247</v>
      </c>
      <c r="C10" s="11" t="s">
        <v>248</v>
      </c>
      <c r="D10" s="2">
        <v>14.24</v>
      </c>
      <c r="E10" s="12" t="s">
        <v>160</v>
      </c>
      <c r="F10" s="15">
        <v>0.11016267230709409</v>
      </c>
      <c r="G10" s="15">
        <f>F10 - Portfolio_Mgmt!$C$10</f>
        <v>-7.2373276929059149E-3</v>
      </c>
      <c r="H10" s="15">
        <f>F10 - Portfolio_Mgmt!$C$11</f>
        <v>7.5662672307094087E-2</v>
      </c>
      <c r="I10" s="15">
        <v>0</v>
      </c>
      <c r="J10" s="2">
        <v>10.176104857461148</v>
      </c>
      <c r="K10" s="2">
        <v>16.698021477228806</v>
      </c>
      <c r="L10" s="4">
        <v>0.10781351698346985</v>
      </c>
      <c r="M10" s="4">
        <v>5.8522441011235951E-2</v>
      </c>
      <c r="N10" s="16" t="s">
        <v>249</v>
      </c>
      <c r="O10" s="11" t="s">
        <v>251</v>
      </c>
      <c r="P10" s="14">
        <v>45900</v>
      </c>
      <c r="Q10" s="11" t="s">
        <v>250</v>
      </c>
    </row>
    <row r="11" spans="1:17">
      <c r="B11" s="11" t="s">
        <v>252</v>
      </c>
      <c r="C11" s="11" t="s">
        <v>253</v>
      </c>
      <c r="D11" s="2">
        <v>50.7</v>
      </c>
      <c r="E11" s="12" t="s">
        <v>160</v>
      </c>
      <c r="F11" s="15">
        <v>0.10282033117906053</v>
      </c>
      <c r="G11" s="15">
        <f>F11 - Portfolio_Mgmt!$C$10</f>
        <v>-1.4579668820939473E-2</v>
      </c>
      <c r="H11" s="15">
        <f>F11 - Portfolio_Mgmt!$C$11</f>
        <v>6.8320331179060528E-2</v>
      </c>
      <c r="I11" s="15">
        <v>0</v>
      </c>
      <c r="J11" s="2">
        <v>34.81706933071375</v>
      </c>
      <c r="K11" s="2">
        <v>68.002088536550289</v>
      </c>
      <c r="L11" s="4">
        <v>0.10369294781216104</v>
      </c>
      <c r="M11" s="4">
        <v>0</v>
      </c>
      <c r="N11" s="13" t="s">
        <v>249</v>
      </c>
      <c r="O11" s="11" t="s">
        <v>162</v>
      </c>
      <c r="P11" s="14">
        <v>45808</v>
      </c>
      <c r="Q11" s="11" t="s">
        <v>163</v>
      </c>
    </row>
    <row r="12" spans="1:17">
      <c r="B12" s="11" t="s">
        <v>258</v>
      </c>
      <c r="C12" s="11" t="s">
        <v>259</v>
      </c>
      <c r="D12" s="2">
        <v>28.81</v>
      </c>
      <c r="E12" s="12" t="s">
        <v>256</v>
      </c>
      <c r="F12" s="15">
        <v>9.408289080523935E-2</v>
      </c>
      <c r="G12" s="15">
        <f>F12 - Portfolio_Mgmt!$C$10</f>
        <v>-2.3317109194760655E-2</v>
      </c>
      <c r="H12" s="15">
        <f>F12 - Portfolio_Mgmt!$C$11</f>
        <v>5.9582890805239347E-2</v>
      </c>
      <c r="I12" s="15">
        <v>0</v>
      </c>
      <c r="J12" s="2">
        <v>19.745207945921621</v>
      </c>
      <c r="K12" s="2">
        <v>32.464859269378167</v>
      </c>
      <c r="L12" s="4">
        <v>8.8134932571433455E-2</v>
      </c>
      <c r="M12" s="4">
        <v>5.5536272127733433E-2</v>
      </c>
      <c r="N12" s="13" t="s">
        <v>260</v>
      </c>
      <c r="O12" s="11" t="s">
        <v>162</v>
      </c>
      <c r="P12" s="14">
        <v>45900</v>
      </c>
      <c r="Q12" s="11" t="s">
        <v>163</v>
      </c>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4.4199999999999996E-2</v>
      </c>
      <c r="D4" s="34">
        <v>7.4999999999999997E-2</v>
      </c>
      <c r="E4" s="35">
        <f>D4-C4</f>
        <v>3.0800000000000001E-2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2025-04-24T13:39:09Z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