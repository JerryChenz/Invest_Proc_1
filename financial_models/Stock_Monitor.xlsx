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C8F306A4-887F-4A52-93C3-E0CED764DA87}"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Opportunities!$B$2:$V$2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<sst xmlns="http://schemas.openxmlformats.org/spreadsheetml/2006/main" count="308" uniqueCount="270">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</sst>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66"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5" borderId="3" xfId="0" applyNumberFormat="1" applyFont="1" applyFill="1" applyBorder="1" applyAlignment="1">
      <alignment horizontal="center"/>
    </xf>
    <xf numFmtId="0" fontId="8"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1" workbookViewId="0">
      <selection activeCell="D36" sqref="D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4" t="s">
        <v>221</v>
      </c>
      <c r="C4" s="94"/>
      <c r="D4" s="94"/>
      <c r="E4" s="94"/>
    </row>
    <row r="6" spans="1:5">
      <c r="A6" s="20" t="s">
        <v>66</v>
      </c>
      <c r="B6" s="19" t="s">
        <v>204</v>
      </c>
      <c r="C6" s="62"/>
    </row>
    <row r="7" spans="1:5">
      <c r="B7" s="94" t="s">
        <v>209</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94" t="s">
        <v>220</v>
      </c>
      <c r="C24" s="94"/>
      <c r="D24" s="94"/>
      <c r="E24" s="94"/>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94" t="s">
        <v>156</v>
      </c>
      <c r="C39" s="94"/>
      <c r="D39" s="94"/>
      <c r="E39" s="94"/>
    </row>
    <row r="40" spans="1:5" ht="46.6" customHeight="1">
      <c r="B40" s="94" t="s">
        <v>235</v>
      </c>
      <c r="C40" s="94"/>
      <c r="D40" s="94"/>
      <c r="E40" s="94"/>
    </row>
    <row r="42" spans="1:5">
      <c r="A42" s="21" t="s">
        <v>187</v>
      </c>
      <c r="B42" s="21"/>
      <c r="C42" s="21"/>
      <c r="D42" s="21"/>
      <c r="E42" s="21"/>
    </row>
    <row r="44" spans="1:5">
      <c r="B44" s="94" t="s">
        <v>208</v>
      </c>
      <c r="C44" s="94"/>
      <c r="D44" s="94"/>
      <c r="E44" s="94"/>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94" t="s">
        <v>196</v>
      </c>
      <c r="C71" s="94"/>
      <c r="D71" s="94"/>
      <c r="E71" s="94"/>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7" t="s">
        <v>192</v>
      </c>
      <c r="C85" s="97"/>
      <c r="D85" s="97"/>
      <c r="E85" s="97"/>
    </row>
    <row r="86" spans="1:5">
      <c r="B86" s="96" t="s">
        <v>190</v>
      </c>
      <c r="C86" s="96"/>
      <c r="D86" s="96"/>
      <c r="E86" s="96"/>
    </row>
    <row r="87" spans="1:5" ht="24.4" customHeight="1">
      <c r="B87" s="94" t="s">
        <v>189</v>
      </c>
      <c r="C87" s="94"/>
      <c r="D87" s="94"/>
      <c r="E87" s="94"/>
    </row>
    <row r="88" spans="1:5" ht="24.4" customHeight="1">
      <c r="B88" s="94" t="s">
        <v>225</v>
      </c>
      <c r="C88" s="94"/>
      <c r="D88" s="94"/>
      <c r="E88" s="94"/>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95" t="s">
        <v>211</v>
      </c>
      <c r="C97" s="95"/>
      <c r="D97" s="95"/>
      <c r="E97" s="95"/>
    </row>
    <row r="99" spans="1:5">
      <c r="B99" s="24" t="s">
        <v>215</v>
      </c>
    </row>
    <row r="100" spans="1:5" ht="12.4">
      <c r="B100" s="95" t="s">
        <v>212</v>
      </c>
      <c r="C100" s="95"/>
      <c r="D100" s="95"/>
      <c r="E100" s="95"/>
    </row>
    <row r="101" spans="1:5" ht="58.5" customHeight="1">
      <c r="B101" s="94" t="s">
        <v>219</v>
      </c>
      <c r="C101" s="94"/>
      <c r="D101" s="94"/>
      <c r="E101" s="94"/>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0.13547956846156287</v>
      </c>
      <c r="D112" s="62" t="str">
        <f>IF(C112&lt;benchmark,"Warning: Return is lower than the Benchmark.","")</f>
        <v/>
      </c>
    </row>
    <row r="114" spans="1:5" ht="24.4" customHeight="1">
      <c r="B114" s="94" t="s">
        <v>217</v>
      </c>
      <c r="C114" s="94"/>
      <c r="D114" s="94"/>
      <c r="E114" s="94"/>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V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L7" sqref="L7"/>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2" width="8.6640625" style="2" customWidth="1"/>
    <col min="13" max="14" width="8.6640625" style="1" customWidth="1"/>
    <col min="15" max="16" width="8.6640625" style="15" customWidth="1"/>
    <col min="17" max="17" width="8.6640625" style="93" customWidth="1"/>
    <col min="18" max="18" width="8.6640625" style="87" customWidth="1"/>
    <col min="19" max="19" width="8.6640625" style="1" customWidth="1"/>
    <col min="20" max="20" width="22.73046875" style="1" bestFit="1" customWidth="1"/>
    <col min="21" max="21" width="14.796875" style="3" bestFit="1" customWidth="1"/>
    <col min="22" max="22" width="8.796875" style="11"/>
    <col min="23" max="16384" width="8.796875" style="1"/>
  </cols>
  <sheetData>
    <row r="1" spans="1:22">
      <c r="A1" s="5"/>
      <c r="B1" s="6" t="s">
        <v>4</v>
      </c>
      <c r="C1" s="88"/>
      <c r="D1" s="100" t="s">
        <v>1</v>
      </c>
      <c r="E1" s="100"/>
      <c r="F1" s="100"/>
      <c r="G1" s="101" t="s">
        <v>101</v>
      </c>
      <c r="H1" s="101"/>
      <c r="I1" s="101"/>
      <c r="J1" s="102" t="s">
        <v>5</v>
      </c>
      <c r="K1" s="102"/>
      <c r="L1" s="102"/>
      <c r="M1" s="98" t="s">
        <v>9</v>
      </c>
      <c r="N1" s="98"/>
      <c r="O1" s="103" t="s">
        <v>269</v>
      </c>
      <c r="P1" s="103"/>
      <c r="Q1" s="103"/>
      <c r="R1" s="103"/>
      <c r="S1" s="99" t="s">
        <v>53</v>
      </c>
      <c r="T1" s="99"/>
      <c r="U1" s="99"/>
      <c r="V1" s="99"/>
    </row>
    <row r="2" spans="1:22" ht="26" customHeight="1">
      <c r="B2" s="7" t="s">
        <v>3</v>
      </c>
      <c r="C2" s="7" t="s">
        <v>0</v>
      </c>
      <c r="D2" s="8" t="s">
        <v>1</v>
      </c>
      <c r="E2" s="7" t="s">
        <v>2</v>
      </c>
      <c r="F2" s="7" t="s">
        <v>11</v>
      </c>
      <c r="G2" s="7" t="s">
        <v>61</v>
      </c>
      <c r="H2" s="7" t="s">
        <v>62</v>
      </c>
      <c r="I2" s="7" t="s">
        <v>214</v>
      </c>
      <c r="J2" s="8" t="s">
        <v>8</v>
      </c>
      <c r="K2" s="8" t="s">
        <v>12</v>
      </c>
      <c r="L2" s="8" t="s">
        <v>262</v>
      </c>
      <c r="M2" s="7" t="s">
        <v>13</v>
      </c>
      <c r="N2" s="7" t="s">
        <v>7</v>
      </c>
      <c r="O2" s="7" t="s">
        <v>266</v>
      </c>
      <c r="P2" s="7" t="s">
        <v>265</v>
      </c>
      <c r="Q2" s="7" t="s">
        <v>268</v>
      </c>
      <c r="R2" s="7" t="s">
        <v>267</v>
      </c>
      <c r="S2" s="7" t="s">
        <v>6</v>
      </c>
      <c r="T2" s="7" t="s">
        <v>14</v>
      </c>
      <c r="U2" s="9" t="s">
        <v>10</v>
      </c>
      <c r="V2" s="10" t="s">
        <v>52</v>
      </c>
    </row>
    <row r="3" spans="1:22">
      <c r="B3" s="11" t="s">
        <v>258</v>
      </c>
      <c r="C3" s="11" t="s">
        <v>259</v>
      </c>
      <c r="D3" s="2">
        <v>14.62</v>
      </c>
      <c r="E3" s="12" t="s">
        <v>160</v>
      </c>
      <c r="F3" s="15">
        <v>0.23821680012512947</v>
      </c>
      <c r="G3" s="15">
        <f>F3 - Portfolio_Mgmt!$C$10</f>
        <v>0.12081680012512946</v>
      </c>
      <c r="H3" s="15">
        <f>F3 - Portfolio_Mgmt!$C$11</f>
        <v>0.20371680012512947</v>
      </c>
      <c r="I3" s="15">
        <v>0.28586016015015536</v>
      </c>
      <c r="J3" s="2">
        <v>14.221973350893821</v>
      </c>
      <c r="K3" s="2">
        <v>25.687175936271849</v>
      </c>
      <c r="L3" s="87">
        <v>23.032865794155285</v>
      </c>
      <c r="M3" s="4">
        <v>6.8306347295356576E-2</v>
      </c>
      <c r="N3" s="4">
        <v>3.7498432682696467E-2</v>
      </c>
      <c r="O3" s="15">
        <v>0.36794481423679237</v>
      </c>
      <c r="P3" s="15">
        <v>7.4171010848313429E-2</v>
      </c>
      <c r="Q3" s="93">
        <v>0.60402076709908736</v>
      </c>
      <c r="R3" s="87">
        <v>4.4970487317420522</v>
      </c>
      <c r="S3" s="13" t="s">
        <v>246</v>
      </c>
      <c r="T3" s="11" t="s">
        <v>162</v>
      </c>
      <c r="U3" s="14">
        <v>45900</v>
      </c>
      <c r="V3" s="11" t="s">
        <v>163</v>
      </c>
    </row>
    <row r="4" spans="1:22">
      <c r="B4" s="11" t="s">
        <v>236</v>
      </c>
      <c r="C4" s="11" t="s">
        <v>237</v>
      </c>
      <c r="D4" s="2">
        <v>5.8</v>
      </c>
      <c r="E4" s="12" t="s">
        <v>160</v>
      </c>
      <c r="F4" s="15">
        <v>0.17842892639139052</v>
      </c>
      <c r="G4" s="15">
        <f>F4 - Portfolio_Mgmt!$C$10</f>
        <v>6.1028926391390514E-2</v>
      </c>
      <c r="H4" s="15">
        <f>F4 - Portfolio_Mgmt!$C$11</f>
        <v>0.14392892639139052</v>
      </c>
      <c r="I4" s="15">
        <v>0.21411471166966861</v>
      </c>
      <c r="J4" s="2">
        <v>4.9152072503751691</v>
      </c>
      <c r="K4" s="2">
        <v>7.9151197774737936</v>
      </c>
      <c r="L4" s="87">
        <v>7.8269967849264273</v>
      </c>
      <c r="M4" s="4">
        <v>0.13256816715305936</v>
      </c>
      <c r="N4" s="4">
        <v>7.6196467311032592E-2</v>
      </c>
      <c r="O4" s="15">
        <v>0.61007460831657279</v>
      </c>
      <c r="P4" s="15">
        <v>0.16360901428944893</v>
      </c>
      <c r="Q4" s="93">
        <v>1.1309485990394448</v>
      </c>
      <c r="R4" s="87">
        <v>-3.7849818877411923</v>
      </c>
      <c r="S4" s="13" t="s">
        <v>239</v>
      </c>
      <c r="T4" s="11" t="s">
        <v>238</v>
      </c>
      <c r="U4" s="14">
        <v>45900</v>
      </c>
      <c r="V4" s="11" t="s">
        <v>163</v>
      </c>
    </row>
    <row r="5" spans="1:22">
      <c r="B5" s="11" t="s">
        <v>251</v>
      </c>
      <c r="C5" s="11" t="s">
        <v>252</v>
      </c>
      <c r="D5" s="2">
        <v>20.079999999999998</v>
      </c>
      <c r="E5" s="12" t="s">
        <v>253</v>
      </c>
      <c r="F5" s="15">
        <v>0.16060765378265396</v>
      </c>
      <c r="G5" s="15">
        <f>F5 - Portfolio_Mgmt!$C$10</f>
        <v>4.3207653782653954E-2</v>
      </c>
      <c r="H5" s="15">
        <f>F5 - Portfolio_Mgmt!$C$11</f>
        <v>0.12610765378265396</v>
      </c>
      <c r="I5" s="15">
        <v>0</v>
      </c>
      <c r="J5" s="2">
        <v>16.165402289394244</v>
      </c>
      <c r="K5" s="2">
        <v>29.309951346473134</v>
      </c>
      <c r="L5" s="87">
        <v>26.195900228437846</v>
      </c>
      <c r="M5" s="4">
        <v>0.22703991769612522</v>
      </c>
      <c r="N5" s="4">
        <v>2.956175298804781E-2</v>
      </c>
      <c r="O5" s="15">
        <v>1.4851905363915479</v>
      </c>
      <c r="P5" s="15">
        <v>0.95241105291674188</v>
      </c>
      <c r="Q5" s="93">
        <v>4.0148803043206254</v>
      </c>
      <c r="R5" s="87">
        <v>-38.360607814419353</v>
      </c>
      <c r="S5" s="13" t="s">
        <v>254</v>
      </c>
      <c r="T5" s="11" t="s">
        <v>162</v>
      </c>
      <c r="U5" s="14">
        <v>45900</v>
      </c>
      <c r="V5" s="11" t="s">
        <v>247</v>
      </c>
    </row>
    <row r="6" spans="1:22">
      <c r="B6" s="11" t="s">
        <v>158</v>
      </c>
      <c r="C6" s="11" t="s">
        <v>159</v>
      </c>
      <c r="D6" s="2">
        <v>16.440000000000001</v>
      </c>
      <c r="E6" s="12" t="s">
        <v>160</v>
      </c>
      <c r="F6" s="15">
        <v>0.15374754303551685</v>
      </c>
      <c r="G6" s="15">
        <f>F6 - Portfolio_Mgmt!$C$10</f>
        <v>3.6347543035516849E-2</v>
      </c>
      <c r="H6" s="15">
        <f>F6 - Portfolio_Mgmt!$C$11</f>
        <v>0.11924754303551685</v>
      </c>
      <c r="I6" s="15">
        <v>0.100025128180176</v>
      </c>
      <c r="J6" s="2">
        <v>13.155317996540354</v>
      </c>
      <c r="K6" s="2">
        <v>20.508980461992877</v>
      </c>
      <c r="L6" s="87">
        <v>20.855031722489773</v>
      </c>
      <c r="M6" s="4">
        <v>0.10510863864778767</v>
      </c>
      <c r="N6" s="4">
        <v>8.2725060827250604E-2</v>
      </c>
      <c r="O6" s="15">
        <v>0.31018327415220487</v>
      </c>
      <c r="P6" s="15">
        <v>0.15818859882129041</v>
      </c>
      <c r="Q6" s="93">
        <v>1.4550387206421544</v>
      </c>
      <c r="R6" s="87">
        <v>5.8696003638854428</v>
      </c>
      <c r="S6" s="13" t="s">
        <v>161</v>
      </c>
      <c r="T6" s="11" t="s">
        <v>162</v>
      </c>
      <c r="U6" s="14">
        <v>45808</v>
      </c>
      <c r="V6" s="11" t="s">
        <v>163</v>
      </c>
    </row>
    <row r="7" spans="1:22">
      <c r="B7" s="11" t="s">
        <v>164</v>
      </c>
      <c r="C7" s="11" t="s">
        <v>165</v>
      </c>
      <c r="D7" s="2">
        <v>7.85</v>
      </c>
      <c r="E7" s="12" t="s">
        <v>160</v>
      </c>
      <c r="F7" s="15">
        <v>0.12328963999428066</v>
      </c>
      <c r="G7" s="15">
        <f>F7 - Portfolio_Mgmt!$C$10</f>
        <v>5.8896399942806599E-3</v>
      </c>
      <c r="H7" s="15">
        <f>F7 - Portfolio_Mgmt!$C$11</f>
        <v>8.8789639994280661E-2</v>
      </c>
      <c r="I7" s="15">
        <v>0</v>
      </c>
      <c r="J7" s="2">
        <v>5.8235187175367322</v>
      </c>
      <c r="K7" s="2">
        <v>9.1628099951889297</v>
      </c>
      <c r="L7" s="87">
        <v>9.2436188894094862</v>
      </c>
      <c r="M7" s="4">
        <v>3.9350111080543315E-2</v>
      </c>
      <c r="N7" s="4">
        <v>7.3885350318471335E-2</v>
      </c>
      <c r="O7" s="15">
        <v>8.3114411724224596E-2</v>
      </c>
      <c r="P7" s="15">
        <v>1.8509098960546238E-2</v>
      </c>
      <c r="Q7" s="93">
        <v>1.1933697905849452</v>
      </c>
      <c r="R7" s="87">
        <v>11.511512740854835</v>
      </c>
      <c r="S7" s="13" t="s">
        <v>166</v>
      </c>
      <c r="T7" s="11" t="s">
        <v>167</v>
      </c>
      <c r="U7" s="14">
        <v>45900</v>
      </c>
      <c r="V7" s="11" t="s">
        <v>163</v>
      </c>
    </row>
    <row r="8" spans="1:22">
      <c r="B8" s="11" t="s">
        <v>244</v>
      </c>
      <c r="C8" s="11" t="s">
        <v>245</v>
      </c>
      <c r="D8" s="2">
        <v>14.26</v>
      </c>
      <c r="E8" s="12" t="s">
        <v>160</v>
      </c>
      <c r="F8" s="15">
        <v>0.10954171828338932</v>
      </c>
      <c r="G8" s="15">
        <f>F8 - Portfolio_Mgmt!$C$10</f>
        <v>-7.8582817166106822E-3</v>
      </c>
      <c r="H8" s="15">
        <f>F8 - Portfolio_Mgmt!$C$11</f>
        <v>7.5041718283389319E-2</v>
      </c>
      <c r="I8" s="15">
        <v>0</v>
      </c>
      <c r="J8" s="2">
        <v>10.174176386967826</v>
      </c>
      <c r="K8" s="2">
        <v>16.694869127046534</v>
      </c>
      <c r="L8" s="87">
        <v>16.244483486621952</v>
      </c>
      <c r="M8" s="4">
        <v>0.10764138310388582</v>
      </c>
      <c r="N8" s="4">
        <v>5.8429064516129031E-2</v>
      </c>
      <c r="O8" s="15">
        <v>2.2875080906148866</v>
      </c>
      <c r="P8" s="15">
        <v>1.5035598705501618</v>
      </c>
      <c r="Q8" s="93">
        <v>4.1998196571663646</v>
      </c>
      <c r="R8" s="87">
        <v>-12.13407231254085</v>
      </c>
      <c r="S8" s="13" t="s">
        <v>246</v>
      </c>
      <c r="T8" s="11" t="s">
        <v>248</v>
      </c>
      <c r="U8" s="14">
        <v>45900</v>
      </c>
      <c r="V8" s="11" t="s">
        <v>247</v>
      </c>
    </row>
    <row r="9" spans="1:22">
      <c r="B9" s="11" t="s">
        <v>240</v>
      </c>
      <c r="C9" s="11" t="s">
        <v>241</v>
      </c>
      <c r="D9" s="2">
        <v>54.25</v>
      </c>
      <c r="E9" s="12" t="s">
        <v>160</v>
      </c>
      <c r="F9" s="15">
        <v>0.10804060157997641</v>
      </c>
      <c r="G9" s="15">
        <f>F9 - Portfolio_Mgmt!$C$10</f>
        <v>-9.3593984200235902E-3</v>
      </c>
      <c r="H9" s="15">
        <f>F9 - Portfolio_Mgmt!$C$11</f>
        <v>7.3540601579976411E-2</v>
      </c>
      <c r="I9" s="15">
        <v>0</v>
      </c>
      <c r="J9" s="2">
        <v>38.289885084736952</v>
      </c>
      <c r="K9" s="2">
        <v>66.921979202973944</v>
      </c>
      <c r="L9" s="87">
        <v>61.70184092308476</v>
      </c>
      <c r="M9" s="4">
        <v>4.1491316575080373E-2</v>
      </c>
      <c r="N9" s="4">
        <v>3.801684419443882E-2</v>
      </c>
      <c r="O9" s="15">
        <v>0.72207550313588764</v>
      </c>
      <c r="P9" s="15">
        <v>9.5579625064196368E-3</v>
      </c>
      <c r="Q9" s="93">
        <v>7.3592411949940734E-2</v>
      </c>
      <c r="R9" s="87">
        <v>1.3258162597677496</v>
      </c>
      <c r="S9" s="13" t="s">
        <v>242</v>
      </c>
      <c r="T9" s="11" t="s">
        <v>162</v>
      </c>
      <c r="U9" s="14">
        <v>45900</v>
      </c>
      <c r="V9" s="11" t="s">
        <v>247</v>
      </c>
    </row>
    <row r="10" spans="1:22">
      <c r="B10" s="11" t="s">
        <v>168</v>
      </c>
      <c r="C10" s="11" t="s">
        <v>169</v>
      </c>
      <c r="D10" s="2">
        <v>2.2999999999999998</v>
      </c>
      <c r="E10" s="12" t="s">
        <v>160</v>
      </c>
      <c r="F10" s="15">
        <v>0.10185445179346697</v>
      </c>
      <c r="G10" s="15">
        <f>F10 - Portfolio_Mgmt!$C$10</f>
        <v>-1.5545548206533033E-2</v>
      </c>
      <c r="H10" s="15">
        <f>F10 - Portfolio_Mgmt!$C$11</f>
        <v>6.7354451793466968E-2</v>
      </c>
      <c r="I10" s="15">
        <v>0</v>
      </c>
      <c r="J10" s="2">
        <v>1.6044036483689856</v>
      </c>
      <c r="K10" s="2">
        <v>2.697564413182195</v>
      </c>
      <c r="L10" s="87">
        <v>2.570640062402624</v>
      </c>
      <c r="M10" s="4">
        <v>3.573276361444476E-2</v>
      </c>
      <c r="N10" s="4">
        <v>4.9726182470532274E-2</v>
      </c>
      <c r="O10" s="15">
        <v>0.20351769929714394</v>
      </c>
      <c r="P10" s="15">
        <v>1.0763175939415467E-2</v>
      </c>
      <c r="Q10" s="93">
        <v>0.29882156160837919</v>
      </c>
      <c r="R10" s="87">
        <v>1.8653456492018881</v>
      </c>
      <c r="S10" s="16" t="s">
        <v>170</v>
      </c>
      <c r="T10" s="11" t="s">
        <v>171</v>
      </c>
      <c r="U10" s="14">
        <v>45900</v>
      </c>
      <c r="V10" s="11" t="s">
        <v>163</v>
      </c>
    </row>
    <row r="11" spans="1:22">
      <c r="B11" s="11" t="s">
        <v>255</v>
      </c>
      <c r="C11" s="11" t="s">
        <v>256</v>
      </c>
      <c r="D11" s="2">
        <v>28.81</v>
      </c>
      <c r="E11" s="12" t="s">
        <v>253</v>
      </c>
      <c r="F11" s="15">
        <v>9.408289080523935E-2</v>
      </c>
      <c r="G11" s="15">
        <f>F11 - Portfolio_Mgmt!$C$10</f>
        <v>-2.3317109194760655E-2</v>
      </c>
      <c r="H11" s="15">
        <f>F11 - Portfolio_Mgmt!$C$11</f>
        <v>5.9582890805239347E-2</v>
      </c>
      <c r="I11" s="15">
        <v>0</v>
      </c>
      <c r="J11" s="2">
        <v>19.745207945921621</v>
      </c>
      <c r="K11" s="2">
        <v>32.464859269378167</v>
      </c>
      <c r="L11" s="87">
        <v>31.534940982638489</v>
      </c>
      <c r="M11" s="4">
        <v>8.8134932571433455E-2</v>
      </c>
      <c r="N11" s="4">
        <v>5.5536272127733433E-2</v>
      </c>
      <c r="O11" s="15">
        <v>0.78990369994931575</v>
      </c>
      <c r="P11" s="15">
        <v>0.40281804358844397</v>
      </c>
      <c r="Q11" s="93">
        <v>3.955391512509995</v>
      </c>
      <c r="R11" s="87">
        <v>-26.938493611476797</v>
      </c>
      <c r="S11" s="13" t="s">
        <v>257</v>
      </c>
      <c r="T11" s="11" t="s">
        <v>162</v>
      </c>
      <c r="U11" s="14">
        <v>45900</v>
      </c>
      <c r="V11" s="11" t="s">
        <v>163</v>
      </c>
    </row>
    <row r="12" spans="1:22">
      <c r="B12" s="11" t="s">
        <v>249</v>
      </c>
      <c r="C12" s="11" t="s">
        <v>250</v>
      </c>
      <c r="D12" s="2">
        <v>52.2</v>
      </c>
      <c r="E12" s="12" t="s">
        <v>160</v>
      </c>
      <c r="F12" s="15">
        <v>9.2083708290373378E-2</v>
      </c>
      <c r="G12" s="15">
        <f>F12 - Portfolio_Mgmt!$C$10</f>
        <v>-2.5316291709626626E-2</v>
      </c>
      <c r="H12" s="15">
        <f>F12 - Portfolio_Mgmt!$C$11</f>
        <v>5.7583708290373375E-2</v>
      </c>
      <c r="I12" s="15">
        <v>0</v>
      </c>
      <c r="J12" s="2">
        <v>34.810338706696939</v>
      </c>
      <c r="K12" s="2">
        <v>67.988942786517455</v>
      </c>
      <c r="L12" s="87">
        <v>57.084827396539964</v>
      </c>
      <c r="M12" s="4">
        <v>0.10069379612803481</v>
      </c>
      <c r="N12" s="4">
        <v>0</v>
      </c>
      <c r="O12" s="15">
        <v>1.2907496012759174</v>
      </c>
      <c r="P12" s="15">
        <v>0.24768740031897937</v>
      </c>
      <c r="Q12" s="93">
        <v>0.73855199466278643</v>
      </c>
      <c r="R12" s="87">
        <v>-2.643445053008028</v>
      </c>
      <c r="S12" s="13" t="s">
        <v>246</v>
      </c>
      <c r="T12" s="11" t="s">
        <v>162</v>
      </c>
      <c r="U12" s="14">
        <v>45808</v>
      </c>
      <c r="V12" s="11" t="s">
        <v>163</v>
      </c>
    </row>
    <row r="13" spans="1:22">
      <c r="B13" s="11"/>
      <c r="C13" s="11"/>
      <c r="E13" s="12"/>
      <c r="M13" s="4"/>
      <c r="N13" s="4"/>
      <c r="S13" s="13"/>
      <c r="T13" s="11"/>
      <c r="U13" s="14"/>
    </row>
    <row r="14" spans="1:22">
      <c r="B14" s="11"/>
      <c r="C14" s="11"/>
      <c r="E14" s="12"/>
      <c r="M14" s="4"/>
      <c r="N14" s="4"/>
      <c r="S14" s="13"/>
      <c r="T14" s="11"/>
      <c r="U14" s="14"/>
    </row>
    <row r="15" spans="1:22">
      <c r="B15" s="11"/>
      <c r="C15" s="11"/>
      <c r="E15" s="12"/>
      <c r="M15" s="4"/>
      <c r="N15" s="4"/>
      <c r="S15" s="13"/>
      <c r="T15" s="11"/>
      <c r="U15" s="14"/>
    </row>
    <row r="16" spans="1:22">
      <c r="B16" s="11"/>
      <c r="C16" s="11"/>
      <c r="E16" s="12"/>
      <c r="M16" s="4"/>
      <c r="N16" s="4"/>
      <c r="S16" s="13"/>
      <c r="T16" s="11"/>
      <c r="U16" s="14"/>
    </row>
    <row r="17" spans="2:21">
      <c r="B17" s="11"/>
      <c r="C17" s="11"/>
      <c r="E17" s="12"/>
      <c r="M17" s="4"/>
      <c r="N17" s="4"/>
      <c r="S17" s="13"/>
      <c r="T17" s="11"/>
      <c r="U17" s="14"/>
    </row>
    <row r="18" spans="2:21">
      <c r="B18" s="11"/>
      <c r="C18" s="11"/>
      <c r="E18" s="12"/>
      <c r="M18" s="4"/>
      <c r="N18" s="4"/>
      <c r="S18" s="13"/>
      <c r="T18" s="11"/>
      <c r="U18" s="14"/>
    </row>
    <row r="19" spans="2:21">
      <c r="B19" s="11"/>
      <c r="C19" s="11"/>
      <c r="E19" s="12"/>
      <c r="M19" s="4"/>
      <c r="N19" s="4"/>
      <c r="S19" s="13"/>
      <c r="T19" s="11"/>
      <c r="U19" s="14"/>
    </row>
    <row r="20" spans="2:21">
      <c r="B20" s="11"/>
      <c r="C20" s="11"/>
      <c r="E20" s="12"/>
      <c r="M20" s="4"/>
      <c r="N20" s="4"/>
      <c r="S20" s="13"/>
      <c r="T20" s="11"/>
      <c r="U20" s="14"/>
    </row>
    <row r="21" spans="2:21">
      <c r="B21" s="11"/>
      <c r="C21" s="11"/>
      <c r="E21" s="12"/>
      <c r="M21" s="4"/>
      <c r="N21" s="4"/>
      <c r="S21" s="13"/>
      <c r="T21" s="11"/>
      <c r="U21" s="14"/>
    </row>
    <row r="22" spans="2:21">
      <c r="B22" s="11"/>
      <c r="C22" s="11"/>
      <c r="E22" s="12"/>
      <c r="M22" s="4"/>
      <c r="N22" s="4"/>
      <c r="S22" s="13"/>
      <c r="T22" s="11"/>
      <c r="U22" s="14"/>
    </row>
    <row r="23" spans="2:21">
      <c r="B23" s="11"/>
      <c r="C23" s="11"/>
      <c r="E23" s="12"/>
      <c r="M23" s="4"/>
      <c r="N23" s="4"/>
      <c r="S23" s="13"/>
      <c r="T23" s="11"/>
      <c r="U23" s="14"/>
    </row>
    <row r="24" spans="2:21">
      <c r="B24" s="11"/>
      <c r="C24" s="11"/>
      <c r="E24" s="12"/>
      <c r="M24" s="4"/>
      <c r="N24" s="4"/>
      <c r="S24" s="13"/>
      <c r="T24" s="11"/>
      <c r="U24" s="14"/>
    </row>
    <row r="25" spans="2:21">
      <c r="B25" s="11"/>
      <c r="C25" s="11"/>
      <c r="E25" s="12"/>
      <c r="M25" s="4"/>
      <c r="N25" s="4"/>
      <c r="S25" s="13"/>
      <c r="T25" s="11"/>
      <c r="U25" s="14"/>
    </row>
    <row r="26" spans="2:21">
      <c r="B26" s="11"/>
      <c r="C26" s="11"/>
      <c r="E26" s="12"/>
      <c r="M26" s="4"/>
      <c r="N26" s="4"/>
      <c r="S26" s="13"/>
      <c r="T26" s="11"/>
      <c r="U26" s="14"/>
    </row>
    <row r="27" spans="2:21">
      <c r="B27" s="11"/>
      <c r="C27" s="11"/>
      <c r="E27" s="12"/>
      <c r="M27" s="4"/>
      <c r="N27" s="4"/>
      <c r="S27" s="13"/>
      <c r="T27" s="11"/>
      <c r="U27" s="14"/>
    </row>
    <row r="28" spans="2:21">
      <c r="B28" s="11"/>
      <c r="C28" s="11"/>
      <c r="E28" s="12"/>
      <c r="M28" s="4"/>
      <c r="N28" s="4"/>
      <c r="S28" s="13"/>
      <c r="T28" s="11"/>
      <c r="U28" s="14"/>
    </row>
    <row r="29" spans="2:21">
      <c r="B29" s="11"/>
      <c r="C29" s="11"/>
      <c r="E29" s="12"/>
      <c r="M29" s="4"/>
      <c r="N29" s="4"/>
      <c r="S29" s="13"/>
      <c r="T29" s="11"/>
      <c r="U29" s="14"/>
    </row>
    <row r="30" spans="2:21">
      <c r="B30" s="11"/>
      <c r="C30" s="11"/>
      <c r="E30" s="12"/>
      <c r="M30" s="4"/>
      <c r="N30" s="4"/>
      <c r="S30" s="13"/>
      <c r="T30" s="11"/>
      <c r="U30" s="14"/>
    </row>
    <row r="31" spans="2:21">
      <c r="B31" s="11"/>
      <c r="C31" s="11"/>
      <c r="E31" s="12"/>
      <c r="M31" s="4"/>
      <c r="N31" s="4"/>
      <c r="S31" s="16"/>
      <c r="T31" s="11"/>
      <c r="U31" s="14"/>
    </row>
    <row r="32" spans="2:21">
      <c r="B32" s="11"/>
      <c r="C32" s="11"/>
      <c r="E32" s="12"/>
      <c r="M32" s="4"/>
      <c r="N32" s="4"/>
      <c r="S32" s="13"/>
      <c r="T32" s="11"/>
      <c r="U32" s="14"/>
    </row>
    <row r="33" spans="2:21">
      <c r="B33" s="11"/>
      <c r="C33" s="11"/>
      <c r="E33" s="12"/>
      <c r="M33" s="4"/>
      <c r="N33" s="4"/>
      <c r="S33" s="13"/>
      <c r="T33" s="11"/>
      <c r="U33" s="14"/>
    </row>
    <row r="34" spans="2:21">
      <c r="B34" s="11"/>
      <c r="C34" s="11"/>
      <c r="E34" s="12"/>
      <c r="M34" s="4"/>
      <c r="N34" s="4"/>
      <c r="S34" s="16"/>
      <c r="T34" s="11"/>
      <c r="U34" s="14"/>
    </row>
    <row r="35" spans="2:21">
      <c r="B35" s="11"/>
      <c r="C35" s="11"/>
      <c r="E35" s="12"/>
      <c r="M35" s="4"/>
      <c r="N35" s="4"/>
      <c r="S35" s="13"/>
      <c r="T35" s="11"/>
      <c r="U35" s="14"/>
    </row>
    <row r="36" spans="2:21">
      <c r="B36" s="11"/>
      <c r="C36" s="11"/>
      <c r="E36" s="12"/>
      <c r="M36" s="4"/>
      <c r="N36" s="4"/>
      <c r="S36" s="13"/>
      <c r="T36" s="11"/>
      <c r="U36" s="14"/>
    </row>
    <row r="37" spans="2:21">
      <c r="B37" s="11"/>
      <c r="C37" s="11"/>
      <c r="E37" s="12"/>
      <c r="M37" s="4"/>
      <c r="N37" s="4"/>
      <c r="S37" s="13"/>
      <c r="T37" s="11"/>
      <c r="U37" s="14"/>
    </row>
    <row r="38" spans="2:21">
      <c r="B38" s="11"/>
      <c r="C38" s="11"/>
      <c r="E38" s="12"/>
      <c r="M38" s="4"/>
      <c r="N38" s="4"/>
      <c r="S38" s="13"/>
      <c r="T38" s="11"/>
      <c r="U38" s="14"/>
    </row>
    <row r="39" spans="2:21">
      <c r="B39" s="11"/>
      <c r="C39" s="11"/>
      <c r="E39" s="12"/>
      <c r="M39" s="4"/>
      <c r="N39" s="4"/>
      <c r="S39" s="13"/>
      <c r="T39" s="11"/>
      <c r="U39" s="14"/>
    </row>
    <row r="40" spans="2:21">
      <c r="B40" s="11"/>
      <c r="C40" s="11"/>
      <c r="E40" s="12"/>
      <c r="M40" s="4"/>
      <c r="N40" s="4"/>
      <c r="S40" s="13"/>
      <c r="T40" s="11"/>
      <c r="U40" s="14"/>
    </row>
    <row r="41" spans="2:21">
      <c r="B41" s="11"/>
      <c r="C41" s="11"/>
      <c r="E41" s="12"/>
      <c r="M41" s="4"/>
      <c r="N41" s="4"/>
      <c r="S41" s="13"/>
      <c r="T41" s="11"/>
      <c r="U41" s="14"/>
    </row>
    <row r="42" spans="2:21">
      <c r="B42" s="11"/>
      <c r="C42" s="11"/>
      <c r="E42" s="12"/>
      <c r="M42" s="4"/>
      <c r="N42" s="4"/>
      <c r="S42" s="13"/>
      <c r="T42" s="11"/>
      <c r="U42" s="14"/>
    </row>
    <row r="43" spans="2:21">
      <c r="B43" s="11"/>
      <c r="C43" s="11"/>
      <c r="E43" s="12"/>
      <c r="M43" s="4"/>
      <c r="N43" s="4"/>
      <c r="S43" s="13"/>
      <c r="T43" s="11"/>
      <c r="U43" s="14"/>
    </row>
    <row r="44" spans="2:21">
      <c r="B44" s="11"/>
      <c r="C44" s="11"/>
      <c r="E44" s="12"/>
      <c r="M44" s="4"/>
      <c r="N44" s="4"/>
      <c r="S44" s="13"/>
      <c r="T44" s="11"/>
      <c r="U44" s="14"/>
    </row>
    <row r="45" spans="2:21">
      <c r="B45" s="11"/>
      <c r="C45" s="11"/>
      <c r="E45" s="12"/>
      <c r="M45" s="4"/>
      <c r="N45" s="4"/>
      <c r="S45" s="13"/>
      <c r="T45" s="11"/>
      <c r="U45" s="14"/>
    </row>
    <row r="46" spans="2:21">
      <c r="B46" s="11"/>
      <c r="C46" s="11"/>
      <c r="E46" s="12"/>
      <c r="M46" s="4"/>
      <c r="N46" s="4"/>
      <c r="S46" s="13"/>
      <c r="T46" s="11"/>
      <c r="U46" s="14"/>
    </row>
    <row r="47" spans="2:21">
      <c r="B47" s="11"/>
      <c r="C47" s="11"/>
      <c r="E47" s="12"/>
      <c r="M47" s="4"/>
      <c r="N47" s="4"/>
      <c r="S47" s="13"/>
      <c r="T47" s="11"/>
      <c r="U47" s="14"/>
    </row>
    <row r="48" spans="2:21">
      <c r="B48" s="11"/>
      <c r="C48" s="11"/>
      <c r="E48" s="12"/>
      <c r="M48" s="4"/>
      <c r="N48" s="4"/>
      <c r="S48" s="13"/>
      <c r="T48" s="11"/>
      <c r="U48" s="14"/>
    </row>
    <row r="49" spans="2:21">
      <c r="B49" s="11"/>
      <c r="C49" s="11"/>
      <c r="E49" s="12"/>
      <c r="M49" s="4"/>
      <c r="N49" s="4"/>
      <c r="S49" s="13"/>
      <c r="T49" s="11"/>
      <c r="U49" s="14"/>
    </row>
    <row r="50" spans="2:21">
      <c r="B50" s="11"/>
      <c r="C50" s="11"/>
      <c r="E50" s="12"/>
      <c r="M50" s="4"/>
      <c r="N50" s="4"/>
      <c r="S50" s="13"/>
      <c r="T50" s="11"/>
      <c r="U50" s="14"/>
    </row>
    <row r="51" spans="2:21">
      <c r="B51" s="11"/>
      <c r="C51" s="11"/>
      <c r="E51" s="12"/>
      <c r="M51" s="4"/>
      <c r="N51" s="4"/>
      <c r="S51" s="13"/>
      <c r="T51" s="11"/>
      <c r="U51" s="14"/>
    </row>
    <row r="52" spans="2:21">
      <c r="B52" s="11"/>
      <c r="C52" s="11"/>
      <c r="E52" s="12"/>
      <c r="M52" s="4"/>
      <c r="N52" s="4"/>
      <c r="S52" s="13"/>
      <c r="T52" s="11"/>
      <c r="U52" s="14"/>
    </row>
    <row r="53" spans="2:21">
      <c r="B53" s="11"/>
      <c r="C53" s="11"/>
      <c r="E53" s="12"/>
      <c r="M53" s="4"/>
      <c r="N53" s="4"/>
      <c r="S53" s="13"/>
      <c r="T53" s="11"/>
      <c r="U53" s="14"/>
    </row>
    <row r="54" spans="2:21">
      <c r="B54" s="11"/>
      <c r="C54" s="11"/>
      <c r="E54" s="12"/>
      <c r="M54" s="4"/>
      <c r="N54" s="4"/>
      <c r="S54" s="13"/>
      <c r="T54" s="11"/>
      <c r="U54" s="14"/>
    </row>
    <row r="55" spans="2:21">
      <c r="B55" s="11"/>
      <c r="C55" s="11"/>
      <c r="E55" s="12"/>
      <c r="M55" s="4"/>
      <c r="N55" s="4"/>
      <c r="S55" s="13"/>
      <c r="T55" s="11"/>
      <c r="U55" s="14"/>
    </row>
    <row r="56" spans="2:21">
      <c r="B56" s="11"/>
      <c r="C56" s="11"/>
      <c r="E56" s="12"/>
      <c r="M56" s="4"/>
      <c r="N56" s="4"/>
      <c r="S56" s="13"/>
      <c r="T56" s="11"/>
      <c r="U56" s="14"/>
    </row>
    <row r="57" spans="2:21">
      <c r="B57" s="11"/>
      <c r="C57" s="11"/>
      <c r="E57" s="12"/>
      <c r="M57" s="4"/>
      <c r="N57" s="4"/>
      <c r="S57" s="13"/>
      <c r="T57" s="11"/>
      <c r="U57" s="14"/>
    </row>
    <row r="58" spans="2:21">
      <c r="B58" s="11"/>
      <c r="C58" s="11"/>
      <c r="E58" s="12"/>
      <c r="M58" s="4"/>
      <c r="N58" s="4"/>
      <c r="S58" s="13"/>
      <c r="T58" s="11"/>
      <c r="U58" s="14"/>
    </row>
    <row r="59" spans="2:21">
      <c r="B59" s="11"/>
      <c r="C59" s="11"/>
      <c r="E59" s="12"/>
      <c r="M59" s="4"/>
      <c r="N59" s="4"/>
      <c r="S59" s="13"/>
      <c r="T59" s="11"/>
      <c r="U59" s="14"/>
    </row>
    <row r="60" spans="2:21">
      <c r="B60" s="11"/>
      <c r="C60" s="11"/>
      <c r="E60" s="12"/>
      <c r="M60" s="4"/>
      <c r="N60" s="4"/>
      <c r="S60" s="13"/>
      <c r="T60" s="11"/>
      <c r="U60" s="14"/>
    </row>
    <row r="61" spans="2:21">
      <c r="B61" s="11"/>
      <c r="C61" s="11"/>
      <c r="E61" s="12"/>
      <c r="M61" s="4"/>
      <c r="N61" s="4"/>
      <c r="S61" s="13"/>
      <c r="T61" s="11"/>
      <c r="U61" s="14"/>
    </row>
    <row r="62" spans="2:21">
      <c r="B62" s="11"/>
      <c r="C62" s="11"/>
      <c r="E62" s="12"/>
      <c r="M62" s="4"/>
      <c r="N62" s="4"/>
      <c r="S62" s="13"/>
      <c r="T62" s="11"/>
      <c r="U62" s="14"/>
    </row>
    <row r="63" spans="2:21">
      <c r="B63" s="11"/>
      <c r="C63" s="11"/>
      <c r="E63" s="12"/>
      <c r="M63" s="4"/>
      <c r="N63" s="4"/>
      <c r="S63" s="13"/>
      <c r="T63" s="11"/>
      <c r="U63" s="14"/>
    </row>
    <row r="64" spans="2:21">
      <c r="B64" s="11"/>
      <c r="C64" s="11"/>
      <c r="E64" s="12"/>
      <c r="M64" s="4"/>
      <c r="N64" s="4"/>
      <c r="S64" s="13"/>
      <c r="T64" s="11"/>
      <c r="U64" s="14"/>
    </row>
    <row r="65" spans="2:21">
      <c r="B65" s="11"/>
      <c r="C65" s="11"/>
      <c r="E65" s="12"/>
      <c r="M65" s="4"/>
      <c r="N65" s="4"/>
      <c r="S65" s="13"/>
      <c r="T65" s="11"/>
      <c r="U65" s="14"/>
    </row>
    <row r="66" spans="2:21">
      <c r="B66" s="11"/>
      <c r="C66" s="11"/>
      <c r="E66" s="12"/>
      <c r="M66" s="4"/>
      <c r="N66" s="4"/>
      <c r="S66" s="13"/>
      <c r="T66" s="11"/>
      <c r="U66" s="14"/>
    </row>
    <row r="67" spans="2:21">
      <c r="B67" s="11"/>
      <c r="C67" s="11"/>
      <c r="E67" s="12"/>
      <c r="M67" s="4"/>
      <c r="N67" s="4"/>
      <c r="S67" s="13"/>
      <c r="T67" s="11"/>
      <c r="U67" s="14"/>
    </row>
    <row r="68" spans="2:21">
      <c r="B68" s="11"/>
      <c r="C68" s="11"/>
      <c r="E68" s="12"/>
      <c r="M68" s="4"/>
      <c r="N68" s="4"/>
      <c r="S68" s="13"/>
      <c r="T68" s="11"/>
      <c r="U68" s="14"/>
    </row>
    <row r="69" spans="2:21">
      <c r="B69" s="11"/>
      <c r="C69" s="11"/>
      <c r="E69" s="12"/>
      <c r="M69" s="4"/>
      <c r="N69" s="4"/>
      <c r="S69" s="13"/>
      <c r="T69" s="11"/>
      <c r="U69" s="14"/>
    </row>
    <row r="70" spans="2:21">
      <c r="B70" s="11"/>
      <c r="C70" s="11"/>
      <c r="E70" s="12"/>
      <c r="M70" s="4"/>
      <c r="N70" s="4"/>
      <c r="S70" s="13"/>
      <c r="T70" s="11"/>
      <c r="U70" s="14"/>
    </row>
    <row r="71" spans="2:21">
      <c r="B71" s="11"/>
      <c r="C71" s="11"/>
      <c r="E71" s="12"/>
      <c r="M71" s="4"/>
      <c r="N71" s="4"/>
      <c r="S71" s="13"/>
      <c r="T71" s="11"/>
      <c r="U71" s="14"/>
    </row>
    <row r="72" spans="2:21">
      <c r="B72" s="11"/>
      <c r="C72" s="11"/>
      <c r="E72" s="12"/>
      <c r="M72" s="4"/>
      <c r="N72" s="4"/>
      <c r="S72" s="13"/>
      <c r="T72" s="11"/>
      <c r="U72" s="14"/>
    </row>
    <row r="73" spans="2:21">
      <c r="B73" s="11"/>
      <c r="C73" s="11"/>
      <c r="E73" s="12"/>
      <c r="M73" s="4"/>
      <c r="N73" s="4"/>
      <c r="S73" s="13"/>
      <c r="T73" s="11"/>
      <c r="U73" s="14"/>
    </row>
    <row r="74" spans="2:21">
      <c r="B74" s="11"/>
      <c r="C74" s="11"/>
      <c r="E74" s="12"/>
      <c r="M74" s="4"/>
      <c r="N74" s="4"/>
      <c r="S74" s="13"/>
      <c r="T74" s="11"/>
      <c r="U74" s="14"/>
    </row>
    <row r="75" spans="2:21">
      <c r="B75" s="11"/>
      <c r="C75" s="11"/>
      <c r="E75" s="12"/>
      <c r="M75" s="4"/>
      <c r="N75" s="4"/>
      <c r="S75" s="13"/>
      <c r="T75" s="11"/>
      <c r="U75" s="14"/>
    </row>
    <row r="76" spans="2:21">
      <c r="B76" s="11"/>
      <c r="C76" s="11"/>
      <c r="E76" s="12"/>
      <c r="M76" s="4"/>
      <c r="N76" s="4"/>
      <c r="S76" s="13"/>
      <c r="T76" s="11"/>
      <c r="U76" s="14"/>
    </row>
    <row r="77" spans="2:21">
      <c r="B77" s="11"/>
      <c r="C77" s="11"/>
      <c r="E77" s="12"/>
      <c r="M77" s="4"/>
      <c r="N77" s="4"/>
      <c r="S77" s="13"/>
      <c r="T77" s="11"/>
      <c r="U77" s="14"/>
    </row>
    <row r="78" spans="2:21">
      <c r="B78" s="11"/>
      <c r="C78" s="11"/>
      <c r="E78" s="12"/>
      <c r="M78" s="4"/>
      <c r="N78" s="4"/>
      <c r="S78" s="13"/>
      <c r="T78" s="11"/>
      <c r="U78" s="14"/>
    </row>
    <row r="79" spans="2:21">
      <c r="B79" s="11"/>
      <c r="C79" s="11"/>
      <c r="E79" s="12"/>
      <c r="M79" s="4"/>
      <c r="N79" s="4"/>
      <c r="S79" s="13"/>
      <c r="T79" s="11"/>
      <c r="U79" s="14"/>
    </row>
    <row r="80" spans="2:21">
      <c r="B80" s="11"/>
      <c r="C80" s="11"/>
      <c r="E80" s="12"/>
      <c r="M80" s="4"/>
      <c r="N80" s="4"/>
      <c r="S80" s="13"/>
      <c r="T80" s="11"/>
      <c r="U80" s="14"/>
    </row>
    <row r="81" spans="2:21">
      <c r="B81" s="11"/>
      <c r="C81" s="11"/>
      <c r="E81" s="12"/>
      <c r="M81" s="4"/>
      <c r="N81" s="4"/>
      <c r="S81" s="13"/>
      <c r="T81" s="11"/>
      <c r="U81" s="14"/>
    </row>
    <row r="82" spans="2:21">
      <c r="B82" s="11"/>
      <c r="C82" s="11"/>
      <c r="E82" s="12"/>
      <c r="M82" s="4"/>
      <c r="N82" s="4"/>
      <c r="S82" s="13"/>
      <c r="T82" s="11"/>
      <c r="U82" s="14"/>
    </row>
    <row r="83" spans="2:21">
      <c r="B83" s="11"/>
      <c r="C83" s="11"/>
      <c r="E83" s="12"/>
      <c r="M83" s="4"/>
      <c r="N83" s="4"/>
      <c r="S83" s="13"/>
      <c r="T83" s="11"/>
      <c r="U83" s="14"/>
    </row>
    <row r="84" spans="2:21">
      <c r="B84" s="11"/>
      <c r="C84" s="11"/>
      <c r="E84" s="12"/>
      <c r="M84" s="4"/>
      <c r="N84" s="4"/>
      <c r="S84" s="13"/>
      <c r="T84" s="11"/>
      <c r="U84" s="14"/>
    </row>
    <row r="85" spans="2:21">
      <c r="B85" s="11"/>
      <c r="C85" s="11"/>
      <c r="E85" s="12"/>
      <c r="M85" s="4"/>
      <c r="N85" s="4"/>
      <c r="S85" s="13"/>
      <c r="T85" s="11"/>
      <c r="U85" s="14"/>
    </row>
    <row r="86" spans="2:21">
      <c r="B86" s="11"/>
      <c r="C86" s="11"/>
      <c r="E86" s="12"/>
      <c r="M86" s="4"/>
      <c r="N86" s="4"/>
      <c r="S86" s="13"/>
      <c r="T86" s="11"/>
      <c r="U86" s="14"/>
    </row>
    <row r="87" spans="2:21">
      <c r="B87" s="11"/>
      <c r="C87" s="11"/>
      <c r="E87" s="12"/>
      <c r="M87" s="4"/>
      <c r="N87" s="4"/>
      <c r="S87" s="13"/>
      <c r="T87" s="11"/>
      <c r="U87" s="14"/>
    </row>
    <row r="88" spans="2:21">
      <c r="B88" s="11"/>
      <c r="C88" s="11"/>
      <c r="E88" s="12"/>
      <c r="M88" s="4"/>
      <c r="N88" s="4"/>
      <c r="S88" s="13"/>
      <c r="T88" s="11"/>
      <c r="U88" s="14"/>
    </row>
    <row r="89" spans="2:21">
      <c r="B89" s="11"/>
      <c r="C89" s="11"/>
      <c r="E89" s="12"/>
      <c r="M89" s="4"/>
      <c r="N89" s="4"/>
      <c r="S89" s="13"/>
      <c r="T89" s="11"/>
      <c r="U89" s="14"/>
    </row>
    <row r="90" spans="2:21">
      <c r="B90" s="11"/>
      <c r="C90" s="11"/>
      <c r="E90" s="12"/>
      <c r="M90" s="4"/>
      <c r="N90" s="4"/>
      <c r="S90" s="13"/>
      <c r="T90" s="11"/>
      <c r="U90" s="14"/>
    </row>
    <row r="91" spans="2:21">
      <c r="B91" s="11"/>
      <c r="C91" s="11"/>
      <c r="E91" s="12"/>
      <c r="M91" s="4"/>
      <c r="N91" s="4"/>
      <c r="S91" s="13"/>
      <c r="T91" s="11"/>
      <c r="U91" s="14"/>
    </row>
    <row r="92" spans="2:21">
      <c r="B92" s="11"/>
      <c r="C92" s="11"/>
      <c r="E92" s="12"/>
      <c r="M92" s="4"/>
      <c r="N92" s="4"/>
      <c r="S92" s="13"/>
      <c r="T92" s="11"/>
      <c r="U92" s="14"/>
    </row>
    <row r="93" spans="2:21">
      <c r="B93" s="11"/>
      <c r="C93" s="11"/>
      <c r="E93" s="12"/>
      <c r="M93" s="4"/>
      <c r="N93" s="4"/>
      <c r="S93" s="13"/>
      <c r="T93" s="11"/>
      <c r="U93" s="14"/>
    </row>
    <row r="94" spans="2:21">
      <c r="B94" s="11"/>
      <c r="C94" s="11"/>
      <c r="E94" s="12"/>
      <c r="M94" s="4"/>
      <c r="N94" s="4"/>
      <c r="S94" s="13"/>
      <c r="T94" s="11"/>
      <c r="U94" s="14"/>
    </row>
    <row r="95" spans="2:21">
      <c r="B95" s="11"/>
      <c r="C95" s="11"/>
      <c r="E95" s="12"/>
      <c r="M95" s="4"/>
      <c r="N95" s="4"/>
      <c r="S95" s="13"/>
      <c r="T95" s="11"/>
      <c r="U95" s="14"/>
    </row>
    <row r="96" spans="2:21">
      <c r="B96" s="11"/>
      <c r="C96" s="11"/>
      <c r="E96" s="12"/>
      <c r="M96" s="4"/>
      <c r="N96" s="4"/>
      <c r="S96" s="13"/>
      <c r="T96" s="11"/>
      <c r="U96" s="14"/>
    </row>
    <row r="97" spans="2:21">
      <c r="B97" s="11"/>
      <c r="C97" s="11"/>
      <c r="E97" s="12"/>
      <c r="M97" s="4"/>
      <c r="N97" s="4"/>
      <c r="S97" s="13"/>
      <c r="T97" s="11"/>
      <c r="U97" s="14"/>
    </row>
    <row r="98" spans="2:21">
      <c r="B98" s="11"/>
      <c r="C98" s="11"/>
      <c r="E98" s="12"/>
      <c r="M98" s="4"/>
      <c r="N98" s="4"/>
      <c r="S98" s="13"/>
      <c r="T98" s="11"/>
      <c r="U98" s="14"/>
    </row>
    <row r="99" spans="2:21">
      <c r="B99" s="11"/>
      <c r="C99" s="11"/>
      <c r="E99" s="12"/>
      <c r="M99" s="4"/>
      <c r="N99" s="4"/>
      <c r="S99" s="13"/>
      <c r="T99" s="11"/>
      <c r="U99" s="14"/>
    </row>
    <row r="100" spans="2:21">
      <c r="B100" s="11"/>
      <c r="C100" s="11"/>
      <c r="E100" s="12"/>
      <c r="M100" s="4"/>
      <c r="N100" s="4"/>
      <c r="S100" s="13"/>
      <c r="T100" s="11"/>
      <c r="U100" s="14"/>
    </row>
    <row r="101" spans="2:21">
      <c r="B101" s="11"/>
      <c r="C101" s="11"/>
      <c r="E101" s="12"/>
      <c r="M101" s="4"/>
      <c r="N101" s="4"/>
      <c r="S101" s="13"/>
      <c r="T101" s="11"/>
      <c r="U101" s="14"/>
    </row>
    <row r="102" spans="2:21">
      <c r="B102" s="11"/>
      <c r="C102" s="11"/>
      <c r="E102" s="12"/>
      <c r="M102" s="4"/>
      <c r="N102" s="4"/>
      <c r="S102" s="13"/>
      <c r="T102" s="11"/>
      <c r="U102" s="14"/>
    </row>
    <row r="103" spans="2:21">
      <c r="B103" s="11"/>
      <c r="C103" s="11"/>
      <c r="E103" s="12"/>
      <c r="M103" s="4"/>
      <c r="N103" s="4"/>
      <c r="S103" s="13"/>
      <c r="T103" s="11"/>
      <c r="U103" s="14"/>
    </row>
    <row r="104" spans="2:21">
      <c r="B104" s="11"/>
      <c r="C104" s="11"/>
      <c r="E104" s="12"/>
      <c r="M104" s="4"/>
      <c r="N104" s="4"/>
      <c r="S104" s="13"/>
      <c r="T104" s="11"/>
      <c r="U104" s="14"/>
    </row>
    <row r="105" spans="2:21">
      <c r="B105" s="11"/>
      <c r="C105" s="11"/>
      <c r="E105" s="12"/>
      <c r="M105" s="4"/>
      <c r="N105" s="4"/>
      <c r="S105" s="13"/>
      <c r="T105" s="11"/>
      <c r="U105" s="14"/>
    </row>
    <row r="106" spans="2:21">
      <c r="B106" s="11"/>
      <c r="C106" s="11"/>
      <c r="E106" s="12"/>
      <c r="M106" s="4"/>
      <c r="N106" s="4"/>
      <c r="S106" s="13"/>
      <c r="T106" s="11"/>
      <c r="U106" s="14"/>
    </row>
    <row r="107" spans="2:21">
      <c r="B107" s="11"/>
      <c r="C107" s="11"/>
      <c r="E107" s="12"/>
      <c r="M107" s="4"/>
      <c r="N107" s="4"/>
      <c r="S107" s="13"/>
      <c r="T107" s="11"/>
      <c r="U107" s="14"/>
    </row>
    <row r="108" spans="2:21">
      <c r="B108" s="11"/>
      <c r="C108" s="11"/>
      <c r="E108" s="12"/>
      <c r="M108" s="4"/>
      <c r="N108" s="4"/>
      <c r="S108" s="13"/>
      <c r="T108" s="11"/>
      <c r="U108" s="14"/>
    </row>
    <row r="109" spans="2:21">
      <c r="B109" s="11"/>
      <c r="C109" s="11"/>
      <c r="E109" s="12"/>
      <c r="M109" s="4"/>
      <c r="N109" s="4"/>
      <c r="S109" s="13"/>
      <c r="T109" s="11"/>
      <c r="U109" s="14"/>
    </row>
    <row r="110" spans="2:21">
      <c r="B110" s="11"/>
      <c r="C110" s="11"/>
      <c r="E110" s="12"/>
      <c r="M110" s="4"/>
      <c r="N110" s="4"/>
      <c r="S110" s="13"/>
      <c r="T110" s="11"/>
      <c r="U110" s="14"/>
    </row>
    <row r="111" spans="2:21">
      <c r="B111" s="11"/>
      <c r="C111" s="11"/>
      <c r="E111" s="12"/>
      <c r="M111" s="4"/>
      <c r="N111" s="4"/>
      <c r="S111" s="13"/>
      <c r="T111" s="11"/>
      <c r="U111" s="14"/>
    </row>
    <row r="112" spans="2:21">
      <c r="B112" s="11"/>
      <c r="C112" s="11"/>
      <c r="E112" s="12"/>
      <c r="M112" s="4"/>
      <c r="N112" s="4"/>
      <c r="S112" s="13"/>
      <c r="T112" s="11"/>
      <c r="U112" s="14"/>
    </row>
    <row r="113" spans="2:21">
      <c r="B113" s="11"/>
      <c r="C113" s="11"/>
      <c r="E113" s="12"/>
      <c r="M113" s="4"/>
      <c r="N113" s="4"/>
      <c r="S113" s="13"/>
      <c r="T113" s="11"/>
      <c r="U113" s="14"/>
    </row>
    <row r="114" spans="2:21">
      <c r="B114" s="11"/>
      <c r="C114" s="11"/>
      <c r="E114" s="12"/>
      <c r="M114" s="4"/>
      <c r="N114" s="4"/>
      <c r="S114" s="13"/>
      <c r="T114" s="11"/>
      <c r="U114" s="14"/>
    </row>
    <row r="115" spans="2:21">
      <c r="B115" s="11"/>
      <c r="C115" s="11"/>
      <c r="E115" s="12"/>
      <c r="M115" s="4"/>
      <c r="N115" s="4"/>
      <c r="S115" s="13"/>
      <c r="T115" s="11"/>
      <c r="U115" s="14"/>
    </row>
    <row r="116" spans="2:21">
      <c r="B116" s="11"/>
      <c r="C116" s="11"/>
      <c r="E116" s="12"/>
      <c r="M116" s="4"/>
      <c r="N116" s="4"/>
      <c r="S116" s="13"/>
      <c r="T116" s="11"/>
      <c r="U116" s="14"/>
    </row>
    <row r="117" spans="2:21">
      <c r="B117" s="11"/>
      <c r="C117" s="11"/>
      <c r="E117" s="12"/>
      <c r="M117" s="4"/>
      <c r="N117" s="4"/>
      <c r="S117" s="13"/>
      <c r="T117" s="11"/>
      <c r="U117" s="14"/>
    </row>
    <row r="118" spans="2:21">
      <c r="B118" s="11"/>
      <c r="C118" s="11"/>
      <c r="E118" s="12"/>
      <c r="M118" s="4"/>
      <c r="N118" s="4"/>
      <c r="S118" s="13"/>
      <c r="T118" s="11"/>
      <c r="U118" s="14"/>
    </row>
    <row r="119" spans="2:21">
      <c r="B119" s="11"/>
      <c r="C119" s="11"/>
      <c r="E119" s="12"/>
      <c r="M119" s="4"/>
      <c r="N119" s="4"/>
      <c r="S119" s="13"/>
      <c r="T119" s="11"/>
      <c r="U119" s="14"/>
    </row>
    <row r="120" spans="2:21">
      <c r="B120" s="11"/>
      <c r="C120" s="11"/>
      <c r="E120" s="12"/>
      <c r="M120" s="4"/>
      <c r="N120" s="4"/>
      <c r="S120" s="13"/>
      <c r="T120" s="11"/>
      <c r="U120" s="14"/>
    </row>
    <row r="121" spans="2:21">
      <c r="B121" s="11"/>
      <c r="C121" s="11"/>
      <c r="E121" s="12"/>
      <c r="M121" s="4"/>
      <c r="N121" s="4"/>
      <c r="S121" s="13"/>
      <c r="T121" s="11"/>
      <c r="U121" s="14"/>
    </row>
    <row r="122" spans="2:21">
      <c r="B122" s="11"/>
      <c r="C122" s="11"/>
      <c r="E122" s="12"/>
      <c r="M122" s="4"/>
      <c r="N122" s="4"/>
      <c r="S122" s="13"/>
      <c r="T122" s="11"/>
      <c r="U122" s="14"/>
    </row>
    <row r="123" spans="2:21">
      <c r="B123" s="11"/>
      <c r="C123" s="11"/>
      <c r="E123" s="12"/>
      <c r="M123" s="4"/>
      <c r="N123" s="4"/>
      <c r="S123" s="13"/>
      <c r="T123" s="11"/>
      <c r="U123" s="14"/>
    </row>
    <row r="124" spans="2:21">
      <c r="B124" s="11"/>
      <c r="C124" s="11"/>
      <c r="E124" s="12"/>
      <c r="M124" s="4"/>
      <c r="N124" s="4"/>
      <c r="S124" s="13"/>
      <c r="T124" s="11"/>
      <c r="U124" s="14"/>
    </row>
    <row r="125" spans="2:21">
      <c r="B125" s="11"/>
      <c r="C125" s="11"/>
      <c r="E125" s="12"/>
      <c r="M125" s="4"/>
      <c r="N125" s="4"/>
      <c r="S125" s="13"/>
      <c r="T125" s="11"/>
      <c r="U125" s="14"/>
    </row>
    <row r="126" spans="2:21">
      <c r="B126" s="11"/>
      <c r="C126" s="11"/>
      <c r="E126" s="12"/>
      <c r="M126" s="4"/>
      <c r="N126" s="4"/>
      <c r="S126" s="13"/>
      <c r="T126" s="11"/>
      <c r="U126" s="14"/>
    </row>
    <row r="127" spans="2:21">
      <c r="B127" s="11"/>
      <c r="C127" s="11"/>
      <c r="E127" s="12"/>
      <c r="M127" s="4"/>
      <c r="N127" s="4"/>
      <c r="S127" s="13"/>
      <c r="T127" s="11"/>
      <c r="U127" s="14"/>
    </row>
    <row r="128" spans="2:21">
      <c r="B128" s="11"/>
      <c r="C128" s="11"/>
      <c r="E128" s="12"/>
      <c r="M128" s="4"/>
      <c r="N128" s="4"/>
      <c r="S128" s="13"/>
      <c r="T128" s="11"/>
      <c r="U128" s="14"/>
    </row>
    <row r="129" spans="2:21">
      <c r="B129" s="11"/>
      <c r="C129" s="11"/>
      <c r="E129" s="12"/>
      <c r="M129" s="4"/>
      <c r="N129" s="4"/>
      <c r="S129" s="13"/>
      <c r="T129" s="11"/>
      <c r="U129" s="14"/>
    </row>
    <row r="130" spans="2:21">
      <c r="B130" s="11"/>
      <c r="C130" s="11"/>
      <c r="E130" s="12"/>
      <c r="M130" s="4"/>
      <c r="N130" s="4"/>
      <c r="S130" s="13"/>
      <c r="T130" s="11"/>
      <c r="U130" s="14"/>
    </row>
    <row r="131" spans="2:21">
      <c r="B131" s="11"/>
      <c r="C131" s="11"/>
      <c r="E131" s="12"/>
      <c r="M131" s="4"/>
      <c r="N131" s="4"/>
      <c r="S131" s="13"/>
      <c r="T131" s="11"/>
      <c r="U131" s="14"/>
    </row>
    <row r="132" spans="2:21">
      <c r="B132" s="11"/>
      <c r="C132" s="11"/>
      <c r="E132" s="12"/>
      <c r="M132" s="4"/>
      <c r="N132" s="4"/>
      <c r="S132" s="13"/>
      <c r="T132" s="11"/>
      <c r="U132" s="14"/>
    </row>
    <row r="133" spans="2:21">
      <c r="B133" s="11"/>
      <c r="C133" s="11"/>
      <c r="E133" s="12"/>
      <c r="M133" s="4"/>
      <c r="N133" s="4"/>
      <c r="S133" s="13"/>
      <c r="T133" s="11"/>
      <c r="U133" s="14"/>
    </row>
    <row r="134" spans="2:21">
      <c r="B134" s="11"/>
      <c r="C134" s="11"/>
      <c r="E134" s="12"/>
      <c r="M134" s="4"/>
      <c r="N134" s="4"/>
      <c r="S134" s="13"/>
      <c r="T134" s="11"/>
      <c r="U134" s="14"/>
    </row>
    <row r="135" spans="2:21">
      <c r="B135" s="11"/>
      <c r="C135" s="11"/>
      <c r="E135" s="12"/>
      <c r="M135" s="4"/>
      <c r="N135" s="4"/>
      <c r="S135" s="13"/>
      <c r="T135" s="11"/>
      <c r="U135" s="14"/>
    </row>
    <row r="136" spans="2:21">
      <c r="B136" s="11"/>
      <c r="C136" s="11"/>
      <c r="E136" s="12"/>
      <c r="M136" s="4"/>
      <c r="N136" s="4"/>
      <c r="S136" s="13"/>
      <c r="T136" s="11"/>
      <c r="U136" s="14"/>
    </row>
    <row r="137" spans="2:21">
      <c r="B137" s="11"/>
      <c r="C137" s="11"/>
      <c r="E137" s="12"/>
      <c r="M137" s="4"/>
      <c r="N137" s="4"/>
      <c r="S137" s="13"/>
      <c r="T137" s="11"/>
      <c r="U137" s="14"/>
    </row>
    <row r="138" spans="2:21">
      <c r="B138" s="11"/>
      <c r="C138" s="11"/>
      <c r="E138" s="12"/>
      <c r="M138" s="4"/>
      <c r="N138" s="4"/>
      <c r="S138" s="13"/>
      <c r="T138" s="11"/>
      <c r="U138" s="14"/>
    </row>
    <row r="139" spans="2:21">
      <c r="B139" s="11"/>
      <c r="C139" s="11"/>
      <c r="E139" s="12"/>
      <c r="M139" s="4"/>
      <c r="N139" s="4"/>
      <c r="S139" s="13"/>
      <c r="T139" s="11"/>
      <c r="U139" s="14"/>
    </row>
    <row r="140" spans="2:21">
      <c r="B140" s="11"/>
      <c r="C140" s="11"/>
      <c r="E140" s="12"/>
      <c r="M140" s="4"/>
      <c r="N140" s="4"/>
      <c r="S140" s="13"/>
      <c r="T140" s="11"/>
      <c r="U140" s="14"/>
    </row>
    <row r="141" spans="2:21">
      <c r="B141" s="11"/>
      <c r="C141" s="11"/>
      <c r="E141" s="12"/>
      <c r="M141" s="4"/>
      <c r="N141" s="4"/>
      <c r="S141" s="13"/>
      <c r="T141" s="11"/>
      <c r="U141" s="14"/>
    </row>
    <row r="142" spans="2:21">
      <c r="B142" s="11"/>
      <c r="C142" s="11"/>
      <c r="E142" s="12"/>
      <c r="M142" s="4"/>
      <c r="N142" s="4"/>
      <c r="S142" s="13"/>
      <c r="T142" s="11"/>
      <c r="U142" s="14"/>
    </row>
    <row r="143" spans="2:21">
      <c r="B143" s="11"/>
      <c r="C143" s="11"/>
      <c r="E143" s="12"/>
      <c r="M143" s="4"/>
      <c r="N143" s="4"/>
      <c r="S143" s="13"/>
      <c r="T143" s="11"/>
      <c r="U143" s="14"/>
    </row>
    <row r="144" spans="2:21">
      <c r="B144" s="11"/>
      <c r="C144" s="11"/>
      <c r="E144" s="12"/>
      <c r="M144" s="4"/>
      <c r="N144" s="4"/>
      <c r="S144" s="13"/>
      <c r="T144" s="11"/>
      <c r="U144" s="14"/>
    </row>
    <row r="145" spans="2:21">
      <c r="B145" s="11"/>
      <c r="C145" s="11"/>
      <c r="E145" s="12"/>
      <c r="M145" s="4"/>
      <c r="N145" s="4"/>
      <c r="S145" s="13"/>
      <c r="T145" s="11"/>
      <c r="U145" s="14"/>
    </row>
    <row r="146" spans="2:21">
      <c r="B146" s="11"/>
      <c r="C146" s="11"/>
      <c r="E146" s="12"/>
      <c r="M146" s="4"/>
      <c r="N146" s="4"/>
      <c r="S146" s="13"/>
      <c r="T146" s="11"/>
      <c r="U146" s="14"/>
    </row>
    <row r="147" spans="2:21">
      <c r="B147" s="11"/>
      <c r="C147" s="11"/>
      <c r="E147" s="12"/>
      <c r="M147" s="4"/>
      <c r="N147" s="4"/>
      <c r="S147" s="13"/>
      <c r="T147" s="11"/>
      <c r="U147" s="14"/>
    </row>
    <row r="148" spans="2:21">
      <c r="B148" s="11"/>
      <c r="C148" s="11"/>
      <c r="E148" s="12"/>
      <c r="M148" s="4"/>
      <c r="N148" s="4"/>
      <c r="S148" s="13"/>
      <c r="T148" s="11"/>
      <c r="U148" s="14"/>
    </row>
    <row r="149" spans="2:21">
      <c r="B149" s="11"/>
      <c r="C149" s="11"/>
      <c r="E149" s="12"/>
      <c r="M149" s="4"/>
      <c r="N149" s="4"/>
      <c r="S149" s="13"/>
      <c r="T149" s="11"/>
      <c r="U149" s="14"/>
    </row>
    <row r="150" spans="2:21">
      <c r="B150" s="11"/>
      <c r="C150" s="11"/>
      <c r="E150" s="12"/>
      <c r="M150" s="4"/>
      <c r="N150" s="4"/>
      <c r="S150" s="13"/>
      <c r="T150" s="11"/>
      <c r="U150" s="14"/>
    </row>
    <row r="151" spans="2:21">
      <c r="B151" s="11"/>
      <c r="C151" s="11"/>
      <c r="E151" s="12"/>
      <c r="M151" s="4"/>
      <c r="N151" s="4"/>
      <c r="S151" s="13"/>
      <c r="T151" s="11"/>
      <c r="U151" s="14"/>
    </row>
    <row r="152" spans="2:21">
      <c r="B152" s="11"/>
      <c r="C152" s="11"/>
      <c r="E152" s="12"/>
      <c r="M152" s="4"/>
      <c r="N152" s="4"/>
      <c r="S152" s="13"/>
      <c r="T152" s="11"/>
      <c r="U152" s="14"/>
    </row>
    <row r="153" spans="2:21">
      <c r="B153" s="11"/>
      <c r="C153" s="11"/>
      <c r="E153" s="12"/>
      <c r="M153" s="4"/>
      <c r="N153" s="4"/>
      <c r="S153" s="13"/>
      <c r="T153" s="11"/>
      <c r="U153" s="14"/>
    </row>
    <row r="154" spans="2:21">
      <c r="B154" s="11"/>
      <c r="C154" s="11"/>
      <c r="E154" s="12"/>
      <c r="M154" s="4"/>
      <c r="N154" s="4"/>
      <c r="S154" s="13"/>
      <c r="T154" s="11"/>
      <c r="U154" s="14"/>
    </row>
    <row r="155" spans="2:21">
      <c r="B155" s="11"/>
      <c r="C155" s="11"/>
      <c r="E155" s="12"/>
      <c r="M155" s="4"/>
      <c r="N155" s="4"/>
      <c r="S155" s="13"/>
      <c r="T155" s="11"/>
      <c r="U155" s="14"/>
    </row>
    <row r="156" spans="2:21">
      <c r="B156" s="11"/>
      <c r="C156" s="11"/>
      <c r="E156" s="12"/>
      <c r="M156" s="4"/>
      <c r="N156" s="4"/>
      <c r="S156" s="13"/>
      <c r="T156" s="11"/>
      <c r="U156" s="14"/>
    </row>
    <row r="157" spans="2:21">
      <c r="B157" s="11"/>
      <c r="C157" s="11"/>
      <c r="E157" s="12"/>
      <c r="M157" s="4"/>
      <c r="N157" s="4"/>
      <c r="S157" s="13"/>
      <c r="T157" s="11"/>
      <c r="U157" s="14"/>
    </row>
    <row r="158" spans="2:21">
      <c r="B158" s="11"/>
      <c r="C158" s="11"/>
      <c r="E158" s="12"/>
      <c r="M158" s="4"/>
      <c r="N158" s="4"/>
      <c r="S158" s="13"/>
      <c r="T158" s="11"/>
      <c r="U158" s="14"/>
    </row>
    <row r="159" spans="2:21">
      <c r="S159" s="17"/>
    </row>
    <row r="160" spans="2:21">
      <c r="S160" s="17"/>
    </row>
    <row r="161" spans="19:19">
      <c r="S161" s="17"/>
    </row>
    <row r="162" spans="19:19">
      <c r="S162" s="17"/>
    </row>
    <row r="163" spans="19:19">
      <c r="S163" s="17"/>
    </row>
    <row r="164" spans="19:19">
      <c r="S164" s="17"/>
    </row>
    <row r="165" spans="19:19">
      <c r="S165" s="17"/>
    </row>
    <row r="166" spans="19:19">
      <c r="S166" s="17"/>
    </row>
    <row r="167" spans="19:19">
      <c r="S167" s="17"/>
    </row>
    <row r="168" spans="19:19">
      <c r="S168" s="17"/>
    </row>
    <row r="169" spans="19:19">
      <c r="S169" s="17"/>
    </row>
    <row r="170" spans="19:19">
      <c r="S170" s="17"/>
    </row>
    <row r="171" spans="19:19">
      <c r="S171" s="17"/>
    </row>
    <row r="172" spans="19:19">
      <c r="S172" s="17"/>
    </row>
    <row r="173" spans="19:19">
      <c r="S173" s="17"/>
    </row>
    <row r="174" spans="19:19">
      <c r="S174" s="17"/>
    </row>
    <row r="175" spans="19:19">
      <c r="S175" s="17"/>
    </row>
    <row r="176" spans="19:19">
      <c r="S176" s="17"/>
    </row>
    <row r="177" spans="19:19">
      <c r="S177" s="17"/>
    </row>
    <row r="178" spans="19:19">
      <c r="S178" s="17"/>
    </row>
    <row r="179" spans="19:19">
      <c r="S179" s="17"/>
    </row>
    <row r="180" spans="19:19">
      <c r="S180" s="17"/>
    </row>
    <row r="181" spans="19:19">
      <c r="S181" s="17"/>
    </row>
    <row r="182" spans="19:19">
      <c r="S182" s="17"/>
    </row>
    <row r="183" spans="19:19">
      <c r="S183" s="17"/>
    </row>
    <row r="184" spans="19:19">
      <c r="S184" s="17"/>
    </row>
    <row r="185" spans="19:19">
      <c r="S185" s="17"/>
    </row>
    <row r="186" spans="19:19">
      <c r="S186" s="17"/>
    </row>
    <row r="187" spans="19:19">
      <c r="S187" s="17"/>
    </row>
    <row r="188" spans="19:19">
      <c r="S188" s="17"/>
    </row>
    <row r="189" spans="19:19">
      <c r="S189" s="17"/>
    </row>
    <row r="190" spans="19:19">
      <c r="S190" s="17"/>
    </row>
    <row r="191" spans="19:19">
      <c r="S191" s="17"/>
    </row>
    <row r="192" spans="19:19">
      <c r="S192" s="17"/>
    </row>
    <row r="193" spans="19:19">
      <c r="S193" s="17"/>
    </row>
    <row r="194" spans="19:19">
      <c r="S194" s="17"/>
    </row>
    <row r="195" spans="19:19">
      <c r="S195" s="17"/>
    </row>
    <row r="196" spans="19:19">
      <c r="S196" s="17"/>
    </row>
    <row r="197" spans="19:19">
      <c r="S197" s="17"/>
    </row>
    <row r="198" spans="19:19">
      <c r="S198" s="17"/>
    </row>
    <row r="199" spans="19:19">
      <c r="S199" s="17"/>
    </row>
    <row r="200" spans="19:19">
      <c r="S200" s="17"/>
    </row>
    <row r="201" spans="19:19">
      <c r="S201" s="17"/>
    </row>
    <row r="202" spans="19:19">
      <c r="S202" s="17"/>
    </row>
    <row r="203" spans="19:19">
      <c r="S203" s="17"/>
    </row>
    <row r="204" spans="19:19">
      <c r="S204" s="17"/>
    </row>
    <row r="205" spans="19:19">
      <c r="S205" s="17"/>
    </row>
    <row r="206" spans="19:19">
      <c r="S206" s="17"/>
    </row>
    <row r="207" spans="19:19">
      <c r="S207" s="17"/>
    </row>
    <row r="208" spans="19:19">
      <c r="S208" s="17"/>
    </row>
    <row r="209" spans="19:19">
      <c r="S209" s="17"/>
    </row>
    <row r="210" spans="19:19">
      <c r="S210" s="17"/>
    </row>
    <row r="211" spans="19:19">
      <c r="S211" s="17"/>
    </row>
    <row r="212" spans="19:19">
      <c r="S212" s="17"/>
    </row>
    <row r="213" spans="19:19">
      <c r="S213" s="17"/>
    </row>
    <row r="214" spans="19:19">
      <c r="S214" s="17"/>
    </row>
    <row r="215" spans="19:19">
      <c r="S215" s="17"/>
    </row>
    <row r="216" spans="19:19">
      <c r="S216" s="17"/>
    </row>
    <row r="217" spans="19:19">
      <c r="S217" s="17"/>
    </row>
    <row r="218" spans="19:19">
      <c r="S218" s="17"/>
    </row>
    <row r="219" spans="19:19">
      <c r="S219" s="17"/>
    </row>
    <row r="220" spans="19:19">
      <c r="S220" s="17"/>
    </row>
    <row r="221" spans="19:19">
      <c r="S221" s="17"/>
    </row>
    <row r="222" spans="19:19">
      <c r="S222" s="17"/>
    </row>
    <row r="223" spans="19:19">
      <c r="S223" s="17"/>
    </row>
    <row r="224" spans="19:19">
      <c r="S224" s="17"/>
    </row>
    <row r="225" spans="19:19">
      <c r="S225" s="17"/>
    </row>
    <row r="226" spans="19:19">
      <c r="S226" s="17"/>
    </row>
    <row r="227" spans="19:19">
      <c r="S227" s="17"/>
    </row>
    <row r="228" spans="19:19">
      <c r="S228" s="17"/>
    </row>
    <row r="229" spans="19:19">
      <c r="S229" s="17"/>
    </row>
    <row r="230" spans="19:19">
      <c r="S230" s="17"/>
    </row>
    <row r="231" spans="19:19">
      <c r="S231" s="17"/>
    </row>
    <row r="232" spans="19:19">
      <c r="S232" s="17"/>
    </row>
    <row r="233" spans="19:19">
      <c r="S233" s="17"/>
    </row>
    <row r="234" spans="19:19">
      <c r="S234" s="17"/>
    </row>
    <row r="235" spans="19:19">
      <c r="S235" s="17"/>
    </row>
    <row r="236" spans="19:19">
      <c r="S236" s="17"/>
    </row>
    <row r="237" spans="19:19">
      <c r="S237" s="17"/>
    </row>
    <row r="238" spans="19:19">
      <c r="S238" s="17"/>
    </row>
    <row r="239" spans="19:19">
      <c r="S239" s="17"/>
    </row>
    <row r="240" spans="19:19">
      <c r="S240" s="17"/>
    </row>
    <row r="241" spans="19:19">
      <c r="S241" s="17"/>
    </row>
    <row r="242" spans="19:19">
      <c r="S242" s="17"/>
    </row>
    <row r="243" spans="19:19">
      <c r="S243" s="17"/>
    </row>
    <row r="244" spans="19:19">
      <c r="S244" s="17"/>
    </row>
    <row r="245" spans="19:19">
      <c r="S245" s="17"/>
    </row>
    <row r="246" spans="19:19">
      <c r="S246" s="17"/>
    </row>
    <row r="247" spans="19:19">
      <c r="S247" s="17"/>
    </row>
    <row r="248" spans="19:19">
      <c r="S248" s="17"/>
    </row>
    <row r="249" spans="19:19">
      <c r="S249" s="17"/>
    </row>
    <row r="250" spans="19:19">
      <c r="S250" s="17"/>
    </row>
    <row r="251" spans="19:19">
      <c r="S251" s="17"/>
    </row>
    <row r="252" spans="19:19">
      <c r="S252" s="17"/>
    </row>
    <row r="253" spans="19:19">
      <c r="S253" s="17"/>
    </row>
    <row r="254" spans="19:19">
      <c r="S254" s="17"/>
    </row>
    <row r="255" spans="19:19">
      <c r="S255" s="17"/>
    </row>
    <row r="256" spans="19:19">
      <c r="S256" s="17"/>
    </row>
    <row r="257" spans="19:19">
      <c r="S257" s="17"/>
    </row>
    <row r="258" spans="19:19">
      <c r="S258" s="17"/>
    </row>
    <row r="259" spans="19:19">
      <c r="S259" s="17"/>
    </row>
    <row r="260" spans="19:19">
      <c r="S260" s="17"/>
    </row>
    <row r="261" spans="19:19">
      <c r="S261" s="17"/>
    </row>
    <row r="262" spans="19:19">
      <c r="S262" s="17"/>
    </row>
    <row r="263" spans="19:19">
      <c r="S263" s="17"/>
    </row>
    <row r="264" spans="19:19">
      <c r="S264" s="17"/>
    </row>
    <row r="265" spans="19:19">
      <c r="S265" s="17"/>
    </row>
    <row r="266" spans="19:19">
      <c r="S266" s="17"/>
    </row>
    <row r="267" spans="19:19">
      <c r="S267" s="17"/>
    </row>
    <row r="268" spans="19:19">
      <c r="S268" s="17"/>
    </row>
    <row r="269" spans="19:19">
      <c r="S269" s="17"/>
    </row>
    <row r="270" spans="19:19">
      <c r="S270" s="17"/>
    </row>
    <row r="271" spans="19:19">
      <c r="S271" s="17"/>
    </row>
    <row r="272" spans="19:19">
      <c r="S272" s="17"/>
    </row>
    <row r="273" spans="19:19">
      <c r="S273" s="17"/>
    </row>
    <row r="274" spans="19:19">
      <c r="S274" s="17"/>
    </row>
    <row r="275" spans="19:19">
      <c r="S275" s="17"/>
    </row>
    <row r="276" spans="19:19">
      <c r="S276" s="17"/>
    </row>
    <row r="277" spans="19:19">
      <c r="S277" s="17"/>
    </row>
    <row r="278" spans="19:19">
      <c r="S278" s="17"/>
    </row>
    <row r="279" spans="19:19">
      <c r="S279" s="17"/>
    </row>
    <row r="280" spans="19:19">
      <c r="S280" s="17"/>
    </row>
    <row r="281" spans="19:19">
      <c r="S281" s="17"/>
    </row>
    <row r="282" spans="19:19">
      <c r="S282" s="17"/>
    </row>
    <row r="283" spans="19:19">
      <c r="S283" s="17"/>
    </row>
    <row r="284" spans="19:19">
      <c r="S284" s="17"/>
    </row>
    <row r="285" spans="19:19">
      <c r="S285" s="17"/>
    </row>
    <row r="286" spans="19:19">
      <c r="S286" s="17"/>
    </row>
    <row r="287" spans="19:19">
      <c r="S287" s="17"/>
    </row>
    <row r="288" spans="19:19">
      <c r="S288" s="17"/>
    </row>
    <row r="289" spans="19:19">
      <c r="S289" s="17"/>
    </row>
    <row r="290" spans="19:19">
      <c r="S290" s="17"/>
    </row>
    <row r="291" spans="19:19">
      <c r="S291" s="17"/>
    </row>
    <row r="292" spans="19:19">
      <c r="S292" s="17"/>
    </row>
    <row r="293" spans="19:19">
      <c r="S293" s="17"/>
    </row>
    <row r="294" spans="19:19">
      <c r="S294" s="17"/>
    </row>
    <row r="295" spans="19:19">
      <c r="S295" s="17"/>
    </row>
    <row r="296" spans="19:19">
      <c r="S296" s="17"/>
    </row>
    <row r="297" spans="19:19">
      <c r="S297" s="17"/>
    </row>
    <row r="298" spans="19:19">
      <c r="S298" s="17"/>
    </row>
    <row r="299" spans="19:19">
      <c r="S299" s="17"/>
    </row>
    <row r="300" spans="19:19">
      <c r="S300" s="17"/>
    </row>
    <row r="301" spans="19:19">
      <c r="S301" s="17"/>
    </row>
    <row r="302" spans="19:19">
      <c r="S302" s="17"/>
    </row>
    <row r="303" spans="19:19">
      <c r="S303" s="17"/>
    </row>
    <row r="304" spans="19:19">
      <c r="S304" s="17"/>
    </row>
    <row r="305" spans="19:19">
      <c r="S305" s="17"/>
    </row>
    <row r="306" spans="19:19">
      <c r="S306" s="17"/>
    </row>
    <row r="307" spans="19:19">
      <c r="S307" s="17"/>
    </row>
    <row r="308" spans="19:19">
      <c r="S308" s="17"/>
    </row>
    <row r="309" spans="19:19">
      <c r="S309" s="17"/>
    </row>
    <row r="310" spans="19:19">
      <c r="S310" s="17"/>
    </row>
    <row r="311" spans="19:19">
      <c r="S311" s="17"/>
    </row>
    <row r="312" spans="19:19">
      <c r="S312" s="17"/>
    </row>
    <row r="313" spans="19:19">
      <c r="S313" s="17"/>
    </row>
    <row r="314" spans="19:19">
      <c r="S314" s="17"/>
    </row>
    <row r="315" spans="19:19">
      <c r="S315" s="17"/>
    </row>
    <row r="316" spans="19:19">
      <c r="S316" s="17"/>
    </row>
    <row r="317" spans="19:19">
      <c r="S317" s="17"/>
    </row>
    <row r="318" spans="19:19">
      <c r="S318" s="17"/>
    </row>
    <row r="319" spans="19:19">
      <c r="S319" s="17"/>
    </row>
    <row r="320" spans="19:19">
      <c r="S320" s="17"/>
    </row>
    <row r="321" spans="19:19">
      <c r="S321" s="17"/>
    </row>
    <row r="322" spans="19:19">
      <c r="S322" s="17"/>
    </row>
    <row r="323" spans="19:19">
      <c r="S323" s="17"/>
    </row>
    <row r="324" spans="19:19">
      <c r="S324" s="17"/>
    </row>
    <row r="325" spans="19:19">
      <c r="S325" s="17"/>
    </row>
    <row r="326" spans="19:19">
      <c r="S326" s="17"/>
    </row>
    <row r="327" spans="19:19">
      <c r="S327" s="17"/>
    </row>
    <row r="328" spans="19:19">
      <c r="S328" s="17"/>
    </row>
    <row r="329" spans="19:19">
      <c r="S329" s="17"/>
    </row>
    <row r="330" spans="19:19">
      <c r="S330" s="17"/>
    </row>
    <row r="331" spans="19:19">
      <c r="S331" s="17"/>
    </row>
    <row r="332" spans="19:19">
      <c r="S332" s="17"/>
    </row>
    <row r="333" spans="19:19">
      <c r="S333" s="17"/>
    </row>
    <row r="334" spans="19:19">
      <c r="S334" s="17"/>
    </row>
    <row r="335" spans="19:19">
      <c r="S335" s="17"/>
    </row>
    <row r="336" spans="19:19">
      <c r="S336" s="17"/>
    </row>
    <row r="337" spans="19:19">
      <c r="S337" s="17"/>
    </row>
    <row r="338" spans="19:19">
      <c r="S338" s="17"/>
    </row>
    <row r="339" spans="19:19">
      <c r="S339" s="17"/>
    </row>
    <row r="340" spans="19:19">
      <c r="S340" s="17"/>
    </row>
    <row r="341" spans="19:19">
      <c r="S341" s="17"/>
    </row>
    <row r="342" spans="19:19">
      <c r="S342" s="17"/>
    </row>
    <row r="343" spans="19:19">
      <c r="S343" s="17"/>
    </row>
    <row r="344" spans="19:19">
      <c r="S344" s="17"/>
    </row>
    <row r="345" spans="19:19">
      <c r="S345" s="17"/>
    </row>
    <row r="346" spans="19:19">
      <c r="S346" s="17"/>
    </row>
    <row r="347" spans="19:19">
      <c r="S347" s="17"/>
    </row>
    <row r="348" spans="19:19">
      <c r="S348" s="17"/>
    </row>
    <row r="349" spans="19:19">
      <c r="S349" s="17"/>
    </row>
    <row r="350" spans="19:19">
      <c r="S350" s="17"/>
    </row>
    <row r="351" spans="19:19">
      <c r="S351" s="17"/>
    </row>
    <row r="352" spans="19:19">
      <c r="S352" s="17"/>
    </row>
    <row r="353" spans="19:19">
      <c r="S353" s="17"/>
    </row>
    <row r="354" spans="19:19">
      <c r="S354" s="17"/>
    </row>
    <row r="355" spans="19:19">
      <c r="S355" s="17"/>
    </row>
    <row r="356" spans="19:19">
      <c r="S356" s="17"/>
    </row>
    <row r="357" spans="19:19">
      <c r="S357" s="17"/>
    </row>
    <row r="358" spans="19:19">
      <c r="S358" s="17"/>
    </row>
  </sheetData>
  <mergeCells count="6">
    <mergeCell ref="M1:N1"/>
    <mergeCell ref="S1:V1"/>
    <mergeCell ref="D1:F1"/>
    <mergeCell ref="G1:I1"/>
    <mergeCell ref="J1:L1"/>
    <mergeCell ref="O1:R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3"/>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6" sqref="C1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4.2900000000000001E-2</v>
      </c>
      <c r="D4" s="34">
        <v>7.4999999999999997E-2</v>
      </c>
      <c r="E4" s="35">
        <f>D4-C4</f>
        <v>3.2099999999999997E-2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C7" sqref="C7"/>
    </sheetView>
  </sheetViews>
  <sheetFormatPr defaultRowHeight="12.75"/>
  <cols>
    <col min="1" max="1" width="2.59765625" style="66" customWidth="1"/>
    <col min="2" max="2" width="16.59765625" style="66" bestFit="1" customWidth="1"/>
    <col min="3" max="4" width="9.06640625" style="66"/>
    <col min="5" max="6" width="15.59765625" style="66" customWidth="1"/>
    <col min="7" max="8" width="9.9296875" style="66" customWidth="1"/>
    <col min="9" max="16384" width="9.06640625" style="66"/>
  </cols>
  <sheetData>
    <row r="1" spans="1:8" ht="13.15">
      <c r="A1" s="64"/>
      <c r="B1" s="65" t="s">
        <v>226</v>
      </c>
    </row>
    <row r="2" spans="1:8" ht="29.65" customHeight="1">
      <c r="B2" s="67" t="s">
        <v>3</v>
      </c>
      <c r="C2" s="67" t="s">
        <v>229</v>
      </c>
      <c r="D2" s="67" t="s">
        <v>228</v>
      </c>
      <c r="E2" s="67" t="s">
        <v>227</v>
      </c>
      <c r="F2" s="67" t="s">
        <v>234</v>
      </c>
      <c r="G2" s="67" t="s">
        <v>264</v>
      </c>
      <c r="H2" s="67" t="s">
        <v>214</v>
      </c>
    </row>
    <row r="3" spans="1:8">
      <c r="B3" s="78" t="s">
        <v>30</v>
      </c>
      <c r="C3" s="76" t="s">
        <v>233</v>
      </c>
      <c r="D3" s="75" t="s">
        <v>230</v>
      </c>
      <c r="E3" s="77" t="s">
        <v>233</v>
      </c>
      <c r="F3" s="72">
        <v>351395.62</v>
      </c>
      <c r="G3" s="74">
        <f>F3/$F$9</f>
        <v>0.40627734298520357</v>
      </c>
      <c r="H3" s="92" t="s">
        <v>233</v>
      </c>
    </row>
    <row r="4" spans="1:8">
      <c r="B4" s="79" t="s">
        <v>232</v>
      </c>
      <c r="C4" s="76">
        <f>VLOOKUP(B4,Opportunities!B$3:E$12,3,FALSE)</f>
        <v>16.440000000000001</v>
      </c>
      <c r="D4" s="75" t="str">
        <f>VLOOKUP(B4,Opportunities!B$3:E$12,4,FALSE)</f>
        <v>HKD</v>
      </c>
      <c r="E4" s="72">
        <v>10000</v>
      </c>
      <c r="F4" s="77">
        <f>C4*E4</f>
        <v>164400</v>
      </c>
      <c r="G4" s="74">
        <f>F4/$F$9</f>
        <v>0.19007634525088124</v>
      </c>
      <c r="H4" s="74">
        <f>VLOOKUP(B4,Opportunities!B$3:I$12,8,FALSE)</f>
        <v>0.100025128180176</v>
      </c>
    </row>
    <row r="5" spans="1:8">
      <c r="B5" s="79" t="s">
        <v>231</v>
      </c>
      <c r="C5" s="76">
        <f>VLOOKUP(B5,Opportunities!B$3:E$12,3,FALSE)</f>
        <v>7.85</v>
      </c>
      <c r="D5" s="75" t="str">
        <f>VLOOKUP(B5,Opportunities!B$3:E$12,4,FALSE)</f>
        <v>HKD</v>
      </c>
      <c r="E5" s="72">
        <v>20000</v>
      </c>
      <c r="F5" s="77">
        <f>E5*C5</f>
        <v>157000</v>
      </c>
      <c r="G5" s="74">
        <f>F5/$F$9</f>
        <v>0.18152059735029413</v>
      </c>
      <c r="H5" s="74">
        <f>VLOOKUP(B5,Opportunities!B$3:I$12,8,FALSE)</f>
        <v>0</v>
      </c>
    </row>
    <row r="6" spans="1:8">
      <c r="B6" s="79" t="s">
        <v>243</v>
      </c>
      <c r="C6" s="76">
        <f>VLOOKUP(B6,Opportunities!B$3:E$12,3,FALSE)</f>
        <v>5.8</v>
      </c>
      <c r="D6" s="75" t="str">
        <f>VLOOKUP(B6,Opportunities!B$3:E$12,4,FALSE)</f>
        <v>HKD</v>
      </c>
      <c r="E6" s="72">
        <v>18000</v>
      </c>
      <c r="F6" s="77">
        <f>E6*C6</f>
        <v>104400</v>
      </c>
      <c r="G6" s="74">
        <f>F6/$F$9</f>
        <v>0.12070541632720196</v>
      </c>
      <c r="H6" s="74">
        <f>VLOOKUP(B6,Opportunities!B$3:I$12,8,FALSE)</f>
        <v>0.21411471166966861</v>
      </c>
    </row>
    <row r="7" spans="1:8">
      <c r="B7" s="79" t="s">
        <v>258</v>
      </c>
      <c r="C7" s="76">
        <f>VLOOKUP(B7,Opportunities!B$3:E$12,3,FALSE)</f>
        <v>14.62</v>
      </c>
      <c r="D7" s="75" t="str">
        <f>VLOOKUP(B7,Opportunities!B$3:E$12,4,FALSE)</f>
        <v>HKD</v>
      </c>
      <c r="E7" s="72">
        <v>6000</v>
      </c>
      <c r="F7" s="77">
        <f>C7*E7</f>
        <v>87720</v>
      </c>
      <c r="G7" s="74">
        <f>F7/$F$9</f>
        <v>0.10142029808641911</v>
      </c>
      <c r="H7" s="74">
        <f>VLOOKUP(B7,Opportunities!B$3:I$12,8,FALSE)</f>
        <v>0.28586016015015536</v>
      </c>
    </row>
    <row r="8" spans="1:8">
      <c r="B8" s="68"/>
      <c r="C8" s="71"/>
      <c r="D8" s="68"/>
      <c r="H8" s="91"/>
    </row>
    <row r="9" spans="1:8" ht="13.15">
      <c r="B9" s="80"/>
      <c r="C9" s="81"/>
      <c r="D9" s="80"/>
      <c r="E9" s="82" t="s">
        <v>263</v>
      </c>
      <c r="F9" s="82">
        <f>SUM(F3:F7)</f>
        <v>864915.62</v>
      </c>
      <c r="G9" s="83">
        <f>SUM(G3:G7)</f>
        <v>1</v>
      </c>
      <c r="H9" s="90">
        <f>SUM(H4:H7)</f>
        <v>0.6</v>
      </c>
    </row>
    <row r="10" spans="1:8">
      <c r="B10" s="68"/>
      <c r="C10" s="71"/>
      <c r="D10" s="68"/>
      <c r="E10" s="72"/>
      <c r="F10" s="72"/>
    </row>
    <row r="11" spans="1:8" ht="13.15">
      <c r="A11" s="64"/>
      <c r="B11" s="65" t="s">
        <v>260</v>
      </c>
    </row>
    <row r="12" spans="1:8">
      <c r="B12" s="79" t="s">
        <v>258</v>
      </c>
      <c r="C12" s="76">
        <f>VLOOKUP(B12,Opportunities!B$3:E$12,3,FALSE)</f>
        <v>14.62</v>
      </c>
      <c r="D12" s="75" t="str">
        <f>VLOOKUP(B12,Opportunities!B$3:E$12,4,FALSE)</f>
        <v>HKD</v>
      </c>
      <c r="E12" s="72">
        <v>4000</v>
      </c>
      <c r="F12" s="77">
        <f>C12*E12</f>
        <v>58480</v>
      </c>
      <c r="G12" s="74">
        <f>F12/$F$9</f>
        <v>6.7613532057612738E-2</v>
      </c>
      <c r="H12" s="74">
        <f>VLOOKUP(B12,Opportunities!B$3:I$12,8,FALSE)</f>
        <v>0.28586016015015536</v>
      </c>
    </row>
    <row r="13" spans="1:8">
      <c r="G13" s="89"/>
      <c r="H13" s="89"/>
    </row>
    <row r="14" spans="1:8" ht="13.15">
      <c r="B14" s="84" t="s">
        <v>261</v>
      </c>
      <c r="C14" s="85" t="s">
        <v>233</v>
      </c>
      <c r="D14" s="86" t="s">
        <v>160</v>
      </c>
      <c r="E14" s="85" t="s">
        <v>233</v>
      </c>
      <c r="F14" s="82">
        <f>F3-F12</f>
        <v>292915.62</v>
      </c>
      <c r="G14" s="90">
        <f t="shared" ref="G14" si="0">F14/$F$9</f>
        <v>0.33866381092759085</v>
      </c>
      <c r="H14" s="90">
        <f>Portfolio_Mgmt!E61</f>
        <v>0.4</v>
      </c>
    </row>
    <row r="16" spans="1:8">
      <c r="B16" s="68"/>
      <c r="C16" s="71"/>
      <c r="D16" s="68"/>
      <c r="E16" s="72"/>
      <c r="F16"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4" t="s">
        <v>104</v>
      </c>
      <c r="C3" s="104"/>
      <c r="D3" s="104"/>
    </row>
    <row r="5" spans="1:4">
      <c r="B5" s="105" t="s">
        <v>106</v>
      </c>
      <c r="C5" s="95"/>
      <c r="D5" s="95"/>
    </row>
    <row r="6" spans="1:4">
      <c r="B6" s="105" t="s">
        <v>107</v>
      </c>
      <c r="C6" s="95"/>
      <c r="D6" s="95"/>
    </row>
    <row r="8" spans="1:4">
      <c r="B8" s="1" t="s">
        <v>105</v>
      </c>
    </row>
    <row r="10" spans="1:4">
      <c r="A10" s="5"/>
      <c r="B10" s="6" t="s">
        <v>108</v>
      </c>
    </row>
    <row r="11" spans="1:4">
      <c r="B11" s="104" t="s">
        <v>109</v>
      </c>
      <c r="C11" s="104"/>
      <c r="D11" s="104"/>
    </row>
    <row r="12" spans="1:4">
      <c r="B12" s="104" t="s">
        <v>110</v>
      </c>
      <c r="C12" s="104"/>
      <c r="D12" s="104"/>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4" t="s">
        <v>122</v>
      </c>
      <c r="C28" s="104"/>
      <c r="D28" s="104"/>
    </row>
    <row r="29" spans="1:4">
      <c r="B29" s="104" t="s">
        <v>123</v>
      </c>
      <c r="C29" s="104"/>
      <c r="D29" s="104"/>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2025-05-01T12:48:58Z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