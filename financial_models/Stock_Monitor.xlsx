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4EE2DD8-E7B4-4F28-B820-65A815E8153A}"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5" i="7" l="1"/>
  <c r="E13" i="7"/>
  <c r="E12" i="7"/>
  <c r="F12" i="7" s="1"/>
  <c r="H13" i="7"/>
  <c r="F13" i="7"/>
  <c r="D13" i="7"/>
  <c r="C13" i="7"/>
  <c r="H3" i="1"/>
  <c r="H4" i="1"/>
  <c r="H5" i="1"/>
  <c r="H6" i="1"/>
  <c r="H7" i="1"/>
  <c r="H8" i="1"/>
  <c r="H9" i="1"/>
  <c r="H10" i="1"/>
  <c r="H11" i="1"/>
  <c r="H12" i="1"/>
  <c r="H13" i="1"/>
  <c r="H14" i="1"/>
  <c r="H15" i="1"/>
  <c r="H16" i="1"/>
  <c r="G3" i="1"/>
  <c r="G4" i="1"/>
  <c r="G5" i="1"/>
  <c r="G6" i="1"/>
  <c r="G7" i="1"/>
  <c r="G8" i="1"/>
  <c r="G9" i="1"/>
  <c r="G10" i="1"/>
  <c r="G11" i="1"/>
  <c r="G12" i="1"/>
  <c r="G13" i="1"/>
  <c r="G14" i="1"/>
  <c r="G15" i="1"/>
  <c r="G16" i="1"/>
  <c r="D12" i="7"/>
  <c r="D5" i="7"/>
  <c r="D6" i="7"/>
  <c r="D7" i="7"/>
  <c r="D4" i="7"/>
  <c r="C12" i="7"/>
  <c r="C7" i="7"/>
  <c r="C6" i="7"/>
  <c r="C5" i="7"/>
  <c r="C4" i="7"/>
  <c r="H12" i="7"/>
  <c r="H5" i="7"/>
  <c r="H6" i="7"/>
  <c r="H7" i="7"/>
  <c r="H4" i="7"/>
  <c r="F15" i="7" l="1"/>
  <c r="H9" i="7"/>
  <c r="F7" i="7"/>
  <c r="F6" i="7" l="1"/>
  <c r="F5" i="7"/>
  <c r="F4" i="7"/>
  <c r="C31" i="5"/>
  <c r="F9" i="7" l="1"/>
  <c r="E60" i="5"/>
  <c r="C36" i="5"/>
  <c r="G7" i="7" l="1"/>
  <c r="G12" i="7"/>
  <c r="G13" i="7"/>
  <c r="G15" i="7"/>
  <c r="E61" i="5"/>
  <c r="C16" i="2"/>
  <c r="C10" i="5" s="1"/>
  <c r="C11" i="5"/>
  <c r="E6" i="2"/>
  <c r="E5" i="2"/>
  <c r="E4" i="2"/>
  <c r="H15" i="7" l="1"/>
  <c r="H3" i="7"/>
  <c r="D112" i="5"/>
  <c r="C64" i="5"/>
  <c r="C65" i="5" s="1"/>
  <c r="G5" i="7" l="1"/>
  <c r="G4" i="7"/>
  <c r="G3" i="7"/>
  <c r="G6" i="7"/>
  <c r="G9" i="7" l="1"/>
</calcChain>
</file>

<file path=xl/sharedStrings.xml><?xml version="1.0" encoding="utf-8"?>
<sst xmlns="http://schemas.openxmlformats.org/spreadsheetml/2006/main" count="335" uniqueCount="283">
  <si>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</si>
  <si>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</si>
  <si>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</si>
  <si>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</si>
  <si>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</si>
  <si>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</si>
  <si>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</si>
  <si>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</si>
  <si>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</si>
  <si>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</si>
  <si>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</si>
  <si>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</si>
  <si>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</si>
  <si>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</si>
  <si>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</si>
  <si>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</si>
  <si>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</si>
  <si>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</si>
  <si>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</si>
  <si>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</si>
  <si>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</si>
  <si>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</si>
  <si>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</si>
  <si>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</si>
  <si>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</si>
  <si>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</si>
  <si>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</si>
  <si>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</si>
  <si>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</si>
  <si>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</si>
  <si>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</si>
  <si>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</si>
  <si>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</si>
  <si>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</si>
  <si>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</si>
  <si>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</si>
  <si>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</si>
  <si>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</si>
  <si>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</si>
  <si>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</si>
  <si>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</si>
  <si>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</si>
  <si>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</si>
  <si>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</si>
  <si>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</si>
  <si>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</si>
  <si>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</si>
  <si>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</si>
  <si>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</si>
  <si>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</si>
  <si>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</si>
  <si>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</si>
  <si>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</si>
  <si>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</si>
  <si>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</si>
  <si>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</si>
  <si>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</si>
  <si>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</si>
  <si>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</si>
  <si>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</si>
  <si>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</si>
  <si>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</si>
  <si>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</si>
  <si>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</si>
  <si>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</si>
  <si>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</si>
  <si>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</si>
  <si>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</si>
  <si>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</si>
  <si>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</si>
  <si>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</si>
  <si>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</si>
  <si>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</si>
  <si>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</si>
  <si>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</si>
  <si>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</si>
  <si>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</si>
  <si>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</si>
  <si>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</si>
  <si>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</si>
  <si>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</si>
  <si>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</si>
  <si>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</si>
  <si>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</si>
  <si>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</si>
  <si>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</si>
  <si>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</si>
  <si>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</si>
  <si>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</si>
  <si>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</si>
  <si>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</si>
  <si>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</si>
  <si>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</si>
  <si>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</si>
  <si>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</si>
  <si>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</si>
  <si>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</si>
  <si>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</si>
  <si>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</si>
  <si>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</si>
  <si>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</si>
  <si>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</si>
  <si>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</si>
  <si>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</si>
  <si>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</si>
  <si>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</si>
  <si>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</si>
  <si>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</si>
  <si>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</si>
  <si>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</si>
  <si>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</si>
  <si>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</si>
  <si>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</si>
  <si>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</si>
  <si>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</si>
  <si>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</si>
  <si>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</si>
  <si>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</si>
  <si>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</si>
  <si>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</si>
  <si>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</si>
  <si>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</si>
  <si>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</si>
  <si>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</si>
  <si>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</si>
  <si>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</si>
  <si>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</si>
  <si>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</si>
  <si>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</si>
  <si>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</si>
  <si>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</si>
  <si>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</si>
  <si>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</si>
  <si>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</si>
  <si>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</si>
  <si>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</si>
  <si>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</si>
  <si>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</si>
  <si>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</si>
  <si>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</si>
  <si>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</si>
  <si>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</si>
  <si>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</si>
  <si>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</si>
  <si>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</si>
  <si>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</si>
  <si>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</si>
  <si>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</si>
  <si>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</si>
  <si>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</si>
  <si>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</si>
  <si>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</si>
  <si>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</si>
  <si>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</si>
  <si>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</si>
  <si>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</si>
  <si>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</si>
  <si>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</si>
  <si>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</si>
  <si>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</si>
  <si>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</si>
  <si>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</si>
  <si>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</si>
  <si>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</si>
  <si>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</si>
  <si>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</si>
  <si>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</si>
  <si>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</si>
  <si>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</si>
  <si>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</si>
  <si>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</si>
  <si>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</si>
  <si>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</si>
  <si>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</si>
  <si>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</si>
  <si>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</si>
  <si>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</si>
  <si>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</si>
  <si>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</si>
  <si>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</si>
  <si>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</si>
  <si>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</si>
  <si>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</si>
  <si>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</si>
  <si>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</si>
  <si>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</si>
  <si>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</si>
  <si>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</si>
  <si>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</si>
  <si>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</si>
  <si>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</si>
  <si>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</si>
  <si>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</si>
  <si>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</si>
  <si>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</si>
  <si>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</si>
  <si>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</si>
  <si>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</si>
  <si>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</si>
  <si>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</si>
  <si>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</si>
  <si>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</si>
  <si>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</si>
  <si>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</si>
  <si>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</si>
  <si>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</si>
  <si>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</si>
  <si>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</si>
  <si>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</si>
  <si>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</si>
  <si>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</si>
  <si>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</si>
  <si>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</si>
  <si>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</si>
  <si>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</si>
  <si>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</si>
  <si>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</si>
  <si>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</si>
  <si>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</si>
  <si>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</si>
  <si>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</si>
  <si>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</si>
  <si>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</si>
  <si>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</si>
  <si>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</si>
  <si>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</si>
  <si>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</si>
  <si>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</si>
  <si>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</si>
  <si>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</si>
  <si>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</si>
  <si>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</si>
  <si>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</si>
  <si>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</si>
  <si>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</si>
  <si>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</si>
  <si>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</si>
  <si>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</si>
  <si>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</si>
  <si>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</si>
  <si>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</si>
  <si>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</si>
  <si>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</si>
  <si>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</si>
  <si>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</si>
  <si>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</si>
  <si>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</si>
  <si>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</si>
  <si>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</si>
  <si>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</si>
  <si>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</si>
  <si>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</si>
  <si>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</si>
  <si>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</si>
  <si>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</si>
  <si>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</si>
  <si>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</si>
  <si>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</si>
  <si>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</si>
  <si>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</si>
  <si>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</si>
  <si>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</si>
  <si>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</si>
  <si>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</si>
  <si>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</si>
  <si>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</si>
  <si>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</si>
  <si>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</si>
  <si>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</si>
  <si>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</si>
  <si>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</si>
  <si>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</si>
  <si>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</si>
  <si>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</si>
  <si>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</si>
  <si>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</si>
  <si>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</si>
  <si>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</si>
  <si>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</si>
  <si>
    <t>0398.HK</t>
  </si>
  <si>
    <t>東方表行集團</t>
  </si>
  <si>
    <t>Expansion expected</t>
  </si>
  <si>
    <t>Recession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</si>
</sst>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E59" sqref="E5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170</v>
      </c>
    </row>
    <row r="2" spans="1:5">
      <c r="A2" s="21" t="s">
        <v>55</v>
      </c>
      <c r="B2" s="21"/>
      <c r="C2" s="21"/>
      <c r="D2" s="21"/>
      <c r="E2" s="21"/>
    </row>
    <row r="4" spans="1:5" ht="24.4" customHeight="1">
      <c r="B4" s="94" t="s">
        <v>219</v>
      </c>
      <c r="C4" s="94"/>
      <c r="D4" s="94"/>
      <c r="E4" s="94"/>
    </row>
    <row r="6" spans="1:5">
      <c r="A6" s="20" t="s">
        <v>66</v>
      </c>
      <c r="B6" s="19" t="s">
        <v>202</v>
      </c>
      <c r="C6" s="61"/>
    </row>
    <row r="7" spans="1:5">
      <c r="B7" s="94" t="s">
        <v>207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204</v>
      </c>
      <c r="C14" s="4" t="s">
        <v>205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203</v>
      </c>
    </row>
    <row r="23" spans="1:5">
      <c r="A23" s="25" t="s">
        <v>67</v>
      </c>
      <c r="B23" s="19" t="s">
        <v>201</v>
      </c>
      <c r="C23" s="61"/>
    </row>
    <row r="24" spans="1:5">
      <c r="A24" s="18"/>
      <c r="B24" s="94" t="s">
        <v>218</v>
      </c>
      <c r="C24" s="94"/>
      <c r="D24" s="94"/>
      <c r="E24" s="94"/>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268</v>
      </c>
      <c r="E36" s="48">
        <v>0.2</v>
      </c>
    </row>
    <row r="38" spans="1:5">
      <c r="B38" s="20" t="s">
        <v>85</v>
      </c>
    </row>
    <row r="39" spans="1:5">
      <c r="B39" s="94" t="s">
        <v>154</v>
      </c>
      <c r="C39" s="94"/>
      <c r="D39" s="94"/>
      <c r="E39" s="94"/>
    </row>
    <row r="40" spans="1:5" ht="46.6" customHeight="1">
      <c r="B40" s="94" t="s">
        <v>233</v>
      </c>
      <c r="C40" s="94"/>
      <c r="D40" s="94"/>
      <c r="E40" s="94"/>
    </row>
    <row r="42" spans="1:5">
      <c r="A42" s="21" t="s">
        <v>185</v>
      </c>
      <c r="B42" s="21"/>
      <c r="C42" s="21"/>
      <c r="D42" s="21"/>
      <c r="E42" s="21"/>
    </row>
    <row r="44" spans="1:5">
      <c r="B44" s="94" t="s">
        <v>206</v>
      </c>
      <c r="C44" s="94"/>
      <c r="D44" s="94"/>
      <c r="E44" s="94"/>
    </row>
    <row r="46" spans="1:5">
      <c r="B46" s="23" t="s">
        <v>90</v>
      </c>
    </row>
    <row r="48" spans="1:5">
      <c r="B48" s="50" t="s">
        <v>91</v>
      </c>
      <c r="C48" s="50" t="s">
        <v>197</v>
      </c>
      <c r="D48" s="56"/>
      <c r="E48" s="56"/>
    </row>
    <row r="49" spans="2:5">
      <c r="B49" s="26" t="s">
        <v>87</v>
      </c>
      <c r="C49" s="29">
        <v>0.6</v>
      </c>
      <c r="D49" s="57"/>
      <c r="E49" s="55"/>
    </row>
    <row r="50" spans="2:5">
      <c r="B50" s="26" t="s">
        <v>88</v>
      </c>
      <c r="C50" s="29">
        <v>0.4</v>
      </c>
      <c r="D50" s="57"/>
      <c r="E50" s="55"/>
    </row>
    <row r="51" spans="2:5">
      <c r="B51" s="26" t="s">
        <v>89</v>
      </c>
      <c r="C51" s="29">
        <v>0.3</v>
      </c>
      <c r="D51" s="62" t="s">
        <v>220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281</v>
      </c>
      <c r="D58" s="26" t="s">
        <v>282</v>
      </c>
      <c r="E58" s="41">
        <v>2</v>
      </c>
    </row>
    <row r="59" spans="2:5">
      <c r="B59" s="26" t="s">
        <v>72</v>
      </c>
      <c r="C59" s="26" t="s">
        <v>74</v>
      </c>
      <c r="D59" s="26" t="s">
        <v>78</v>
      </c>
      <c r="E59" s="41">
        <v>1</v>
      </c>
    </row>
    <row r="60" spans="2:5">
      <c r="D60" s="27" t="s">
        <v>79</v>
      </c>
      <c r="E60" s="40">
        <f>SUM(E56:E59)</f>
        <v>6</v>
      </c>
    </row>
    <row r="61" spans="2:5" ht="12" thickBot="1">
      <c r="D61" s="42" t="s">
        <v>195</v>
      </c>
      <c r="E61" s="43">
        <f>IF(E60&lt;=2,C49,IF(E60&gt;=6,C51,C50))</f>
        <v>0.3</v>
      </c>
    </row>
    <row r="62" spans="2:5" ht="12" thickTop="1"/>
    <row r="63" spans="2:5">
      <c r="B63" s="23" t="s">
        <v>196</v>
      </c>
    </row>
    <row r="64" spans="2:5">
      <c r="B64" s="53" t="s">
        <v>171</v>
      </c>
      <c r="C64" s="54">
        <f>-E61*(C35-Cash_Yield)</f>
        <v>-7.9649999999999985E-2</v>
      </c>
    </row>
    <row r="65" spans="1:5">
      <c r="B65" s="53" t="s">
        <v>172</v>
      </c>
      <c r="C65" s="54">
        <f>C35+C64</f>
        <v>0.22034999999999999</v>
      </c>
    </row>
    <row r="66" spans="1:5">
      <c r="B66" s="45"/>
      <c r="C66" s="46"/>
    </row>
    <row r="67" spans="1:5">
      <c r="B67" s="39" t="s">
        <v>200</v>
      </c>
    </row>
    <row r="69" spans="1:5">
      <c r="A69" s="21" t="s">
        <v>80</v>
      </c>
      <c r="B69" s="21"/>
      <c r="C69" s="21"/>
      <c r="D69" s="21"/>
      <c r="E69" s="21"/>
    </row>
    <row r="71" spans="1:5">
      <c r="B71" s="94" t="s">
        <v>194</v>
      </c>
      <c r="C71" s="94"/>
      <c r="D71" s="94"/>
      <c r="E71" s="94"/>
    </row>
    <row r="73" spans="1:5">
      <c r="A73" s="28" t="s">
        <v>66</v>
      </c>
      <c r="B73" s="20" t="s">
        <v>176</v>
      </c>
    </row>
    <row r="74" spans="1:5">
      <c r="B74" s="24" t="s">
        <v>222</v>
      </c>
    </row>
    <row r="75" spans="1:5">
      <c r="B75" s="24" t="s">
        <v>221</v>
      </c>
    </row>
    <row r="77" spans="1:5">
      <c r="A77" s="28" t="s">
        <v>126</v>
      </c>
      <c r="B77" s="20" t="s">
        <v>175</v>
      </c>
    </row>
    <row r="78" spans="1:5">
      <c r="B78" s="39" t="s">
        <v>177</v>
      </c>
    </row>
    <row r="79" spans="1:5">
      <c r="B79" s="24" t="s">
        <v>178</v>
      </c>
    </row>
    <row r="80" spans="1:5">
      <c r="B80" s="24" t="s">
        <v>179</v>
      </c>
    </row>
    <row r="81" spans="1:5">
      <c r="B81" s="24" t="s">
        <v>186</v>
      </c>
    </row>
    <row r="83" spans="1:5">
      <c r="A83" s="28" t="s">
        <v>144</v>
      </c>
      <c r="B83" s="20" t="s">
        <v>214</v>
      </c>
    </row>
    <row r="84" spans="1:5">
      <c r="B84" s="24" t="s">
        <v>189</v>
      </c>
    </row>
    <row r="85" spans="1:5">
      <c r="B85" s="97" t="s">
        <v>190</v>
      </c>
      <c r="C85" s="97"/>
      <c r="D85" s="97"/>
      <c r="E85" s="97"/>
    </row>
    <row r="86" spans="1:5">
      <c r="B86" s="96" t="s">
        <v>188</v>
      </c>
      <c r="C86" s="96"/>
      <c r="D86" s="96"/>
      <c r="E86" s="96"/>
    </row>
    <row r="87" spans="1:5" ht="24.4" customHeight="1">
      <c r="B87" s="94" t="s">
        <v>187</v>
      </c>
      <c r="C87" s="94"/>
      <c r="D87" s="94"/>
      <c r="E87" s="94"/>
    </row>
    <row r="88" spans="1:5" ht="24.4" customHeight="1">
      <c r="B88" s="94" t="s">
        <v>223</v>
      </c>
      <c r="C88" s="94"/>
      <c r="D88" s="94"/>
      <c r="E88" s="94"/>
    </row>
    <row r="90" spans="1:5">
      <c r="B90" s="24" t="s">
        <v>192</v>
      </c>
    </row>
    <row r="91" spans="1:5">
      <c r="B91" s="1" t="s">
        <v>191</v>
      </c>
    </row>
    <row r="92" spans="1:5">
      <c r="B92" s="60" t="s">
        <v>180</v>
      </c>
    </row>
    <row r="93" spans="1:5">
      <c r="B93" s="24" t="s">
        <v>193</v>
      </c>
    </row>
    <row r="94" spans="1:5">
      <c r="B94" s="24" t="s">
        <v>181</v>
      </c>
    </row>
    <row r="96" spans="1:5">
      <c r="B96" s="24" t="s">
        <v>208</v>
      </c>
    </row>
    <row r="97" spans="1:5">
      <c r="B97" s="95" t="s">
        <v>209</v>
      </c>
      <c r="C97" s="95"/>
      <c r="D97" s="95"/>
      <c r="E97" s="95"/>
    </row>
    <row r="99" spans="1:5">
      <c r="B99" s="24" t="s">
        <v>213</v>
      </c>
    </row>
    <row r="100" spans="1:5" ht="12.4">
      <c r="B100" s="95" t="s">
        <v>210</v>
      </c>
      <c r="C100" s="95"/>
      <c r="D100" s="95"/>
      <c r="E100" s="95"/>
    </row>
    <row r="101" spans="1:5" ht="58.5" customHeight="1">
      <c r="B101" s="94" t="s">
        <v>217</v>
      </c>
      <c r="C101" s="94"/>
      <c r="D101" s="94"/>
      <c r="E101" s="94"/>
    </row>
    <row r="103" spans="1:5">
      <c r="A103" s="28" t="s">
        <v>183</v>
      </c>
      <c r="B103" s="20" t="s">
        <v>182</v>
      </c>
    </row>
    <row r="104" spans="1:5">
      <c r="B104" s="1" t="s">
        <v>198</v>
      </c>
    </row>
    <row r="105" spans="1:5">
      <c r="B105" s="1" t="s">
        <v>199</v>
      </c>
    </row>
    <row r="107" spans="1:5">
      <c r="B107" s="1" t="s">
        <v>184</v>
      </c>
    </row>
    <row r="108" spans="1:5">
      <c r="B108" s="1" t="s">
        <v>211</v>
      </c>
    </row>
    <row r="110" spans="1:5">
      <c r="B110" s="23" t="s">
        <v>155</v>
      </c>
    </row>
    <row r="111" spans="1:5">
      <c r="B111" s="1" t="s">
        <v>173</v>
      </c>
      <c r="C111" s="44">
        <v>0.4</v>
      </c>
    </row>
    <row r="112" spans="1:5">
      <c r="B112" s="1" t="s">
        <v>174</v>
      </c>
      <c r="C112" s="44">
        <v>0.12601445728348953</v>
      </c>
      <c r="D112" s="61" t="str">
        <f>IF(C112&lt;benchmark,"Warning: Return is lower than the Benchmark.","")</f>
        <v/>
      </c>
    </row>
    <row r="114" spans="1:5" ht="24.4" customHeight="1">
      <c r="B114" s="94" t="s">
        <v>215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216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K12" sqref="D12:K12"/>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270</v>
      </c>
      <c r="M1" s="104"/>
      <c r="N1" s="98" t="s">
        <v>9</v>
      </c>
      <c r="O1" s="98"/>
      <c r="P1" s="102" t="s">
        <v>267</v>
      </c>
      <c r="Q1" s="102"/>
      <c r="R1" s="102"/>
      <c r="S1" s="102"/>
      <c r="T1" s="99" t="s">
        <v>53</v>
      </c>
      <c r="U1" s="99"/>
      <c r="V1" s="99"/>
      <c r="W1" s="99"/>
    </row>
    <row r="2" spans="1:23" ht="26" customHeight="1">
      <c r="B2" s="7" t="s">
        <v>3</v>
      </c>
      <c r="C2" s="7" t="s">
        <v>0</v>
      </c>
      <c r="D2" s="8" t="s">
        <v>1</v>
      </c>
      <c r="E2" s="7" t="s">
        <v>2</v>
      </c>
      <c r="F2" s="7" t="s">
        <v>11</v>
      </c>
      <c r="G2" s="7" t="s">
        <v>61</v>
      </c>
      <c r="H2" s="7" t="s">
        <v>62</v>
      </c>
      <c r="I2" s="7" t="s">
        <v>212</v>
      </c>
      <c r="J2" s="8" t="s">
        <v>8</v>
      </c>
      <c r="K2" s="8" t="s">
        <v>12</v>
      </c>
      <c r="L2" s="8" t="s">
        <v>269</v>
      </c>
      <c r="M2" s="8" t="s">
        <v>260</v>
      </c>
      <c r="N2" s="7" t="s">
        <v>13</v>
      </c>
      <c r="O2" s="7" t="s">
        <v>7</v>
      </c>
      <c r="P2" s="7" t="s">
        <v>264</v>
      </c>
      <c r="Q2" s="7" t="s">
        <v>263</v>
      </c>
      <c r="R2" s="7" t="s">
        <v>266</v>
      </c>
      <c r="S2" s="7" t="s">
        <v>265</v>
      </c>
      <c r="T2" s="7" t="s">
        <v>6</v>
      </c>
      <c r="U2" s="7" t="s">
        <v>14</v>
      </c>
      <c r="V2" s="9" t="s">
        <v>10</v>
      </c>
      <c r="W2" s="10" t="s">
        <v>52</v>
      </c>
    </row>
    <row r="3" spans="1:23">
      <c r="B3" s="11" t="s">
        <v>276</v>
      </c>
      <c r="C3" s="11" t="s">
        <v>277</v>
      </c>
      <c r="D3" s="2">
        <v>1.1599999999999999</v>
      </c>
      <c r="E3" s="12" t="s">
        <v>158</v>
      </c>
      <c r="F3" s="15">
        <v>0.21293704824312565</v>
      </c>
      <c r="G3" s="15">
        <f>F3 - Portfolio_Mgmt!$C$10</f>
        <v>9.5537048243125644E-2</v>
      </c>
      <c r="H3" s="15">
        <f>F3 - Portfolio_Mgmt!$C$11</f>
        <v>0.17843704824312565</v>
      </c>
      <c r="I3" s="15">
        <v>0.21293704824312568</v>
      </c>
      <c r="J3" s="2">
        <v>0.9421991685622978</v>
      </c>
      <c r="K3" s="2">
        <v>2.0700115733313686</v>
      </c>
      <c r="L3" s="2">
        <v>1.197923364196394</v>
      </c>
      <c r="M3" s="86">
        <v>1.6432419261953275</v>
      </c>
      <c r="N3" s="4">
        <v>6.2929569514617121E-3</v>
      </c>
      <c r="O3" s="4">
        <v>0</v>
      </c>
      <c r="P3" s="15">
        <v>9.7057481271370302E-2</v>
      </c>
      <c r="Q3" s="15">
        <v>1.4790654865358754E-2</v>
      </c>
      <c r="R3" s="92">
        <v>3.4432102574884196</v>
      </c>
      <c r="S3" s="86">
        <v>1.9115679363188245</v>
      </c>
      <c r="T3" s="13" t="s">
        <v>278</v>
      </c>
      <c r="U3" s="11" t="s">
        <v>169</v>
      </c>
      <c r="V3" s="14">
        <v>45900</v>
      </c>
      <c r="W3" s="11" t="s">
        <v>161</v>
      </c>
    </row>
    <row r="4" spans="1:23">
      <c r="B4" s="11" t="s">
        <v>256</v>
      </c>
      <c r="C4" s="11" t="s">
        <v>257</v>
      </c>
      <c r="D4" s="2">
        <v>15.38</v>
      </c>
      <c r="E4" s="12" t="s">
        <v>158</v>
      </c>
      <c r="F4" s="15">
        <v>0.18912881948046301</v>
      </c>
      <c r="G4" s="15">
        <f>F4 - Portfolio_Mgmt!$C$10</f>
        <v>7.1728819480463002E-2</v>
      </c>
      <c r="H4" s="15">
        <f>F4 - Portfolio_Mgmt!$C$11</f>
        <v>0.154628819480463</v>
      </c>
      <c r="I4" s="15">
        <v>0.18912881948046303</v>
      </c>
      <c r="J4" s="2">
        <v>11.866845734983505</v>
      </c>
      <c r="K4" s="2">
        <v>23.899333440997744</v>
      </c>
      <c r="L4" s="2">
        <v>14.977385795894701</v>
      </c>
      <c r="M4" s="86">
        <v>20.375014060112886</v>
      </c>
      <c r="N4" s="4">
        <v>6.5387552793081283E-2</v>
      </c>
      <c r="O4" s="4">
        <v>3.5396140526234639E-2</v>
      </c>
      <c r="P4" s="15">
        <v>0.36794481423679237</v>
      </c>
      <c r="Q4" s="15">
        <v>7.4171010848313429E-2</v>
      </c>
      <c r="R4" s="92">
        <v>0.60402076709908736</v>
      </c>
      <c r="S4" s="86">
        <v>4.5287238180520148</v>
      </c>
      <c r="T4" s="13" t="s">
        <v>244</v>
      </c>
      <c r="U4" s="11" t="s">
        <v>160</v>
      </c>
      <c r="V4" s="14">
        <v>45900</v>
      </c>
      <c r="W4" s="11" t="s">
        <v>161</v>
      </c>
    </row>
    <row r="5" spans="1:23">
      <c r="B5" s="11" t="s">
        <v>234</v>
      </c>
      <c r="C5" s="11" t="s">
        <v>235</v>
      </c>
      <c r="D5" s="2">
        <v>6.11</v>
      </c>
      <c r="E5" s="12" t="s">
        <v>158</v>
      </c>
      <c r="F5" s="15">
        <v>0.15926921829883645</v>
      </c>
      <c r="G5" s="15">
        <f>F5 - Portfolio_Mgmt!$C$10</f>
        <v>4.1869218298836441E-2</v>
      </c>
      <c r="H5" s="15">
        <f>F5 - Portfolio_Mgmt!$C$11</f>
        <v>0.12476921829883644</v>
      </c>
      <c r="I5" s="15">
        <v>0.15926921829883645</v>
      </c>
      <c r="J5" s="2">
        <v>4.4306821973721187</v>
      </c>
      <c r="K5" s="2">
        <v>7.970870141114629</v>
      </c>
      <c r="L5" s="2">
        <v>5.5437094670052947</v>
      </c>
      <c r="M5" s="86">
        <v>7.4664546878097049</v>
      </c>
      <c r="N5" s="4">
        <v>0.12672849511458295</v>
      </c>
      <c r="O5" s="4">
        <v>7.2330525434368076E-2</v>
      </c>
      <c r="P5" s="15">
        <v>0.61007460831657279</v>
      </c>
      <c r="Q5" s="15">
        <v>0.16360901428944893</v>
      </c>
      <c r="R5" s="92">
        <v>1.1309485990394448</v>
      </c>
      <c r="S5" s="86">
        <v>-3.8116415116695737</v>
      </c>
      <c r="T5" s="13" t="s">
        <v>237</v>
      </c>
      <c r="U5" s="11" t="s">
        <v>236</v>
      </c>
      <c r="V5" s="14">
        <v>45900</v>
      </c>
      <c r="W5" s="11" t="s">
        <v>161</v>
      </c>
    </row>
    <row r="6" spans="1:23">
      <c r="B6" s="11" t="s">
        <v>274</v>
      </c>
      <c r="C6" s="11" t="s">
        <v>275</v>
      </c>
      <c r="D6" s="2">
        <v>68.8</v>
      </c>
      <c r="E6" s="12" t="s">
        <v>273</v>
      </c>
      <c r="F6" s="15">
        <v>0.15867473171661994</v>
      </c>
      <c r="G6" s="15">
        <f>F6 - Portfolio_Mgmt!$C$10</f>
        <v>4.1274731716619939E-2</v>
      </c>
      <c r="H6" s="15">
        <f>F6 - Portfolio_Mgmt!$C$11</f>
        <v>0.12417473171661994</v>
      </c>
      <c r="I6" s="15">
        <v>0</v>
      </c>
      <c r="J6" s="2">
        <v>49.746673136282389</v>
      </c>
      <c r="K6" s="2">
        <v>90.751910880412424</v>
      </c>
      <c r="L6" s="2">
        <v>62.307286389127562</v>
      </c>
      <c r="M6" s="86">
        <v>84.017562490801396</v>
      </c>
      <c r="N6" s="4">
        <v>7.6744210192842666E-2</v>
      </c>
      <c r="O6" s="4">
        <v>6.7543604651162797E-2</v>
      </c>
      <c r="P6" s="15">
        <v>0.30279158651211824</v>
      </c>
      <c r="Q6" s="15">
        <v>7.7640983998987034E-4</v>
      </c>
      <c r="R6" s="92">
        <v>3.8209153156820415E-3</v>
      </c>
      <c r="S6" s="86">
        <v>15.284602440692964</v>
      </c>
      <c r="T6" s="13" t="s">
        <v>240</v>
      </c>
      <c r="U6" s="11" t="s">
        <v>160</v>
      </c>
      <c r="V6" s="14">
        <v>45900</v>
      </c>
      <c r="W6" s="11" t="s">
        <v>245</v>
      </c>
    </row>
    <row r="7" spans="1:23">
      <c r="B7" s="11" t="s">
        <v>279</v>
      </c>
      <c r="C7" s="11" t="s">
        <v>280</v>
      </c>
      <c r="D7" s="2">
        <v>3.57</v>
      </c>
      <c r="E7" s="12" t="s">
        <v>158</v>
      </c>
      <c r="F7" s="15">
        <v>0.14834835832623461</v>
      </c>
      <c r="G7" s="15">
        <f>F7 - Portfolio_Mgmt!$C$10</f>
        <v>3.0948358326234604E-2</v>
      </c>
      <c r="H7" s="15">
        <f>F7 - Portfolio_Mgmt!$C$11</f>
        <v>0.11384835832623461</v>
      </c>
      <c r="I7" s="15">
        <v>3.8664913977574877E-2</v>
      </c>
      <c r="J7" s="2">
        <v>2.4911701525888064</v>
      </c>
      <c r="K7" s="2">
        <v>4.9623808252376094</v>
      </c>
      <c r="L7" s="2">
        <v>3.1413777923828756</v>
      </c>
      <c r="M7" s="86">
        <v>4.2691663056616189</v>
      </c>
      <c r="N7" s="4">
        <v>7.9541327003833207E-2</v>
      </c>
      <c r="O7" s="4">
        <v>3.5854341736694682E-2</v>
      </c>
      <c r="P7" s="15">
        <v>0.40000523965699897</v>
      </c>
      <c r="Q7" s="15">
        <v>0.10646655543311496</v>
      </c>
      <c r="R7" s="92">
        <v>0.9804830051022897</v>
      </c>
      <c r="S7" s="86">
        <v>1.6698226477450393</v>
      </c>
      <c r="T7" s="13" t="s">
        <v>159</v>
      </c>
      <c r="U7" s="11" t="s">
        <v>160</v>
      </c>
      <c r="V7" s="14">
        <v>45808</v>
      </c>
      <c r="W7" s="11" t="s">
        <v>161</v>
      </c>
    </row>
    <row r="8" spans="1:23">
      <c r="B8" s="11" t="s">
        <v>247</v>
      </c>
      <c r="C8" s="11" t="s">
        <v>248</v>
      </c>
      <c r="D8" s="2">
        <v>55.65</v>
      </c>
      <c r="E8" s="12" t="s">
        <v>158</v>
      </c>
      <c r="F8" s="15">
        <v>0.13918053194738822</v>
      </c>
      <c r="G8" s="15">
        <f>F8 - Portfolio_Mgmt!$C$10</f>
        <v>2.1780531947388215E-2</v>
      </c>
      <c r="H8" s="15">
        <f>F8 - Portfolio_Mgmt!$C$11</f>
        <v>0.10468053194738822</v>
      </c>
      <c r="I8" s="15">
        <v>0</v>
      </c>
      <c r="J8" s="2">
        <v>38.719486313520228</v>
      </c>
      <c r="K8" s="2">
        <v>64.892912330803952</v>
      </c>
      <c r="L8" s="2">
        <v>48.204328663659695</v>
      </c>
      <c r="M8" s="86">
        <v>64.544120328141631</v>
      </c>
      <c r="N8" s="4">
        <v>9.4703343132953519E-2</v>
      </c>
      <c r="O8" s="4">
        <v>9.085516621743038E-2</v>
      </c>
      <c r="P8" s="15">
        <v>1.2907496012759174</v>
      </c>
      <c r="Q8" s="15">
        <v>0.24768740031897937</v>
      </c>
      <c r="R8" s="92">
        <v>0.73855199466278643</v>
      </c>
      <c r="S8" s="86">
        <v>-2.6504984195888377</v>
      </c>
      <c r="T8" s="13" t="s">
        <v>244</v>
      </c>
      <c r="U8" s="11" t="s">
        <v>160</v>
      </c>
      <c r="V8" s="14">
        <v>45808</v>
      </c>
      <c r="W8" s="11" t="s">
        <v>161</v>
      </c>
    </row>
    <row r="9" spans="1:23">
      <c r="B9" s="11" t="s">
        <v>249</v>
      </c>
      <c r="C9" s="11" t="s">
        <v>250</v>
      </c>
      <c r="D9" s="2">
        <v>21.72</v>
      </c>
      <c r="E9" s="12" t="s">
        <v>251</v>
      </c>
      <c r="F9" s="15">
        <v>0.12990849663525528</v>
      </c>
      <c r="G9" s="15">
        <f>F9 - Portfolio_Mgmt!$C$10</f>
        <v>1.2508496635255273E-2</v>
      </c>
      <c r="H9" s="15">
        <f>F9 - Portfolio_Mgmt!$C$11</f>
        <v>9.5408496635255274E-2</v>
      </c>
      <c r="I9" s="15">
        <v>0</v>
      </c>
      <c r="J9" s="2">
        <v>14.418941896437474</v>
      </c>
      <c r="K9" s="2">
        <v>29.309951346473134</v>
      </c>
      <c r="L9" s="2">
        <v>18.21218480698677</v>
      </c>
      <c r="M9" s="86">
        <v>24.796949133193245</v>
      </c>
      <c r="N9" s="4">
        <v>0.2098969404851839</v>
      </c>
      <c r="O9" s="4">
        <v>2.7329650092081034E-2</v>
      </c>
      <c r="P9" s="15">
        <v>1.4851905363915479</v>
      </c>
      <c r="Q9" s="15">
        <v>0.95241105291674188</v>
      </c>
      <c r="R9" s="92">
        <v>4.0148803043206254</v>
      </c>
      <c r="S9" s="86">
        <v>-38.360607814419353</v>
      </c>
      <c r="T9" s="13" t="s">
        <v>252</v>
      </c>
      <c r="U9" s="11" t="s">
        <v>160</v>
      </c>
      <c r="V9" s="14">
        <v>45900</v>
      </c>
      <c r="W9" s="11" t="s">
        <v>245</v>
      </c>
    </row>
    <row r="10" spans="1:23">
      <c r="B10" s="11" t="s">
        <v>156</v>
      </c>
      <c r="C10" s="11" t="s">
        <v>157</v>
      </c>
      <c r="D10" s="2">
        <v>17.82</v>
      </c>
      <c r="E10" s="12" t="s">
        <v>158</v>
      </c>
      <c r="F10" s="15">
        <v>0.1209941874823961</v>
      </c>
      <c r="G10" s="15">
        <f>F10 - Portfolio_Mgmt!$C$10</f>
        <v>3.594187482396094E-3</v>
      </c>
      <c r="H10" s="15">
        <f>F10 - Portfolio_Mgmt!$C$11</f>
        <v>8.6494187482396095E-2</v>
      </c>
      <c r="I10" s="15">
        <v>0</v>
      </c>
      <c r="J10" s="2">
        <v>11.804906901225705</v>
      </c>
      <c r="K10" s="2">
        <v>20.508980461992877</v>
      </c>
      <c r="L10" s="2">
        <v>14.733437767356989</v>
      </c>
      <c r="M10" s="86">
        <v>19.785541823839793</v>
      </c>
      <c r="N10" s="4">
        <v>9.696891242253812E-2</v>
      </c>
      <c r="O10" s="4">
        <v>7.6318742985409652E-2</v>
      </c>
      <c r="P10" s="15">
        <v>0.31018327415220487</v>
      </c>
      <c r="Q10" s="15">
        <v>0.15818859882129041</v>
      </c>
      <c r="R10" s="92">
        <v>1.4550387206421544</v>
      </c>
      <c r="S10" s="86">
        <v>5.8696003638854428</v>
      </c>
      <c r="T10" s="16" t="s">
        <v>159</v>
      </c>
      <c r="U10" s="11" t="s">
        <v>160</v>
      </c>
      <c r="V10" s="14">
        <v>45808</v>
      </c>
      <c r="W10" s="11" t="s">
        <v>161</v>
      </c>
    </row>
    <row r="11" spans="1:23">
      <c r="B11" s="11" t="s">
        <v>238</v>
      </c>
      <c r="C11" s="11" t="s">
        <v>239</v>
      </c>
      <c r="D11" s="2">
        <v>53.55</v>
      </c>
      <c r="E11" s="12" t="s">
        <v>158</v>
      </c>
      <c r="F11" s="15">
        <v>0.11521291318800975</v>
      </c>
      <c r="G11" s="15">
        <f>F11 - Portfolio_Mgmt!$C$10</f>
        <v>-2.1870868119902576E-3</v>
      </c>
      <c r="H11" s="15">
        <f>F11 - Portfolio_Mgmt!$C$11</f>
        <v>8.0712913188009744E-2</v>
      </c>
      <c r="I11" s="15">
        <v>0</v>
      </c>
      <c r="J11" s="2">
        <v>34.394984382396515</v>
      </c>
      <c r="K11" s="2">
        <v>67.394305644906538</v>
      </c>
      <c r="L11" s="2">
        <v>43.315384624827814</v>
      </c>
      <c r="M11" s="86">
        <v>58.777638274888893</v>
      </c>
      <c r="N11" s="4">
        <v>4.2328511280438831E-2</v>
      </c>
      <c r="O11" s="4">
        <v>3.8244420777520896E-2</v>
      </c>
      <c r="P11" s="15">
        <v>0.72207550313588764</v>
      </c>
      <c r="Q11" s="15">
        <v>9.5579625064196368E-3</v>
      </c>
      <c r="R11" s="92">
        <v>7.3592411949940734E-2</v>
      </c>
      <c r="S11" s="86">
        <v>1.3351546830236229</v>
      </c>
      <c r="T11" s="13" t="s">
        <v>240</v>
      </c>
      <c r="U11" s="11" t="s">
        <v>160</v>
      </c>
      <c r="V11" s="14">
        <v>45900</v>
      </c>
      <c r="W11" s="11" t="s">
        <v>245</v>
      </c>
    </row>
    <row r="12" spans="1:23">
      <c r="B12" s="11" t="s">
        <v>162</v>
      </c>
      <c r="C12" s="11" t="s">
        <v>163</v>
      </c>
      <c r="D12" s="2">
        <v>8.15</v>
      </c>
      <c r="E12" s="12" t="s">
        <v>158</v>
      </c>
      <c r="F12" s="15">
        <v>0.10840635294497614</v>
      </c>
      <c r="G12" s="15">
        <f>F12 - Portfolio_Mgmt!$C$10</f>
        <v>-8.9936470550238679E-3</v>
      </c>
      <c r="H12" s="15">
        <f>F12 - Portfolio_Mgmt!$C$11</f>
        <v>7.3906352944976134E-2</v>
      </c>
      <c r="I12" s="15">
        <v>0</v>
      </c>
      <c r="J12" s="2">
        <v>5.2239462882061574</v>
      </c>
      <c r="K12" s="2">
        <v>9.1628099951889297</v>
      </c>
      <c r="L12" s="2">
        <v>6.5243113398084081</v>
      </c>
      <c r="M12" s="86">
        <v>8.7684502451266084</v>
      </c>
      <c r="N12" s="4">
        <v>3.7901640734020248E-2</v>
      </c>
      <c r="O12" s="4">
        <v>7.1165644171779133E-2</v>
      </c>
      <c r="P12" s="15">
        <v>8.3114411724224596E-2</v>
      </c>
      <c r="Q12" s="15">
        <v>1.8509098960546238E-2</v>
      </c>
      <c r="R12" s="92">
        <v>1.1933697905849452</v>
      </c>
      <c r="S12" s="86">
        <v>11.511512740854835</v>
      </c>
      <c r="T12" s="13" t="s">
        <v>164</v>
      </c>
      <c r="U12" s="11" t="s">
        <v>165</v>
      </c>
      <c r="V12" s="14">
        <v>45900</v>
      </c>
      <c r="W12" s="11" t="s">
        <v>161</v>
      </c>
    </row>
    <row r="13" spans="1:23">
      <c r="B13" s="11" t="s">
        <v>166</v>
      </c>
      <c r="C13" s="11" t="s">
        <v>167</v>
      </c>
      <c r="D13" s="2">
        <v>2.2999999999999998</v>
      </c>
      <c r="E13" s="12" t="s">
        <v>158</v>
      </c>
      <c r="F13" s="15">
        <v>0.10392879009854439</v>
      </c>
      <c r="G13" s="15">
        <f>F13 - Portfolio_Mgmt!$C$10</f>
        <v>-1.3471209901455616E-2</v>
      </c>
      <c r="H13" s="15">
        <f>F13 - Portfolio_Mgmt!$C$11</f>
        <v>6.9428790098544385E-2</v>
      </c>
      <c r="I13" s="15">
        <v>0</v>
      </c>
      <c r="J13" s="2">
        <v>1.4428843799519049</v>
      </c>
      <c r="K13" s="2">
        <v>2.7168715485394852</v>
      </c>
      <c r="L13" s="2">
        <v>1.8114973282765074</v>
      </c>
      <c r="M13" s="2">
        <v>2.4494218673596402</v>
      </c>
      <c r="N13" s="4">
        <v>3.5980231621691262E-2</v>
      </c>
      <c r="O13" s="4">
        <v>4.9378384462771097E-2</v>
      </c>
      <c r="P13" s="15">
        <v>0.20351769929714394</v>
      </c>
      <c r="Q13" s="15">
        <v>1.0763175939415467E-2</v>
      </c>
      <c r="R13" s="92">
        <v>0.29882156160837919</v>
      </c>
      <c r="S13" s="86">
        <v>1.8784842625371931</v>
      </c>
      <c r="T13" s="13" t="s">
        <v>168</v>
      </c>
      <c r="U13" s="11" t="s">
        <v>169</v>
      </c>
      <c r="V13" s="14">
        <v>45900</v>
      </c>
      <c r="W13" s="11" t="s">
        <v>161</v>
      </c>
    </row>
    <row r="14" spans="1:23">
      <c r="B14" s="11" t="s">
        <v>242</v>
      </c>
      <c r="C14" s="11" t="s">
        <v>243</v>
      </c>
      <c r="D14" s="2">
        <v>14.62</v>
      </c>
      <c r="E14" s="12" t="s">
        <v>158</v>
      </c>
      <c r="F14" s="15">
        <v>0.10088016442395631</v>
      </c>
      <c r="G14" s="15">
        <f>F14 - Portfolio_Mgmt!$C$10</f>
        <v>-1.6519835576043695E-2</v>
      </c>
      <c r="H14" s="15">
        <f>F14 - Portfolio_Mgmt!$C$11</f>
        <v>6.6380164423956306E-2</v>
      </c>
      <c r="I14" s="15">
        <v>0</v>
      </c>
      <c r="J14" s="2">
        <v>9.1359587259076722</v>
      </c>
      <c r="K14" s="2">
        <v>16.73836897721916</v>
      </c>
      <c r="L14" s="2">
        <v>11.446356334964792</v>
      </c>
      <c r="M14" s="2">
        <v>15.440419547734052</v>
      </c>
      <c r="N14" s="4">
        <v>0.10527247112980752</v>
      </c>
      <c r="O14" s="4">
        <v>5.7142383036935702E-2</v>
      </c>
      <c r="P14" s="15">
        <v>2.2875080906148866</v>
      </c>
      <c r="Q14" s="15">
        <v>1.5035598705501618</v>
      </c>
      <c r="R14" s="92">
        <v>4.1998196571663646</v>
      </c>
      <c r="S14" s="86">
        <v>-12.166449024907546</v>
      </c>
      <c r="T14" s="13" t="s">
        <v>244</v>
      </c>
      <c r="U14" s="11" t="s">
        <v>246</v>
      </c>
      <c r="V14" s="14">
        <v>45900</v>
      </c>
      <c r="W14" s="11" t="s">
        <v>245</v>
      </c>
    </row>
    <row r="15" spans="1:23">
      <c r="B15" s="11" t="s">
        <v>253</v>
      </c>
      <c r="C15" s="11" t="s">
        <v>254</v>
      </c>
      <c r="D15" s="2">
        <v>28.49</v>
      </c>
      <c r="E15" s="12" t="s">
        <v>251</v>
      </c>
      <c r="F15" s="15">
        <v>9.8376640230496193E-2</v>
      </c>
      <c r="G15" s="15">
        <f>F15 - Portfolio_Mgmt!$C$10</f>
        <v>-1.9023359769503811E-2</v>
      </c>
      <c r="H15" s="15">
        <f>F15 - Portfolio_Mgmt!$C$11</f>
        <v>6.387664023049619E-2</v>
      </c>
      <c r="I15" s="15">
        <v>0</v>
      </c>
      <c r="J15" s="2">
        <v>17.682685147645955</v>
      </c>
      <c r="K15" s="2">
        <v>32.464859269378167</v>
      </c>
      <c r="L15" s="2">
        <v>22.157904669779033</v>
      </c>
      <c r="M15" s="2">
        <v>29.895007167811503</v>
      </c>
      <c r="N15" s="4">
        <v>8.9124865124008343E-2</v>
      </c>
      <c r="O15" s="4">
        <v>5.616005616005617E-2</v>
      </c>
      <c r="P15" s="15">
        <v>0.78990369994931575</v>
      </c>
      <c r="Q15" s="15">
        <v>0.40281804358844397</v>
      </c>
      <c r="R15" s="92">
        <v>3.955391512509995</v>
      </c>
      <c r="S15" s="86">
        <v>-26.938493611476797</v>
      </c>
      <c r="T15" s="13" t="s">
        <v>255</v>
      </c>
      <c r="U15" s="11" t="s">
        <v>160</v>
      </c>
      <c r="V15" s="14">
        <v>45900</v>
      </c>
      <c r="W15" s="11" t="s">
        <v>245</v>
      </c>
    </row>
    <row r="16" spans="1:23">
      <c r="B16" s="11" t="s">
        <v>271</v>
      </c>
      <c r="C16" s="11" t="s">
        <v>272</v>
      </c>
      <c r="D16" s="2">
        <v>57.21</v>
      </c>
      <c r="E16" s="12" t="s">
        <v>273</v>
      </c>
      <c r="F16" s="15">
        <v>9.1887382418681218E-2</v>
      </c>
      <c r="G16" s="15">
        <f>F16 - Portfolio_Mgmt!$C$10</f>
        <v>-2.5512617581318786E-2</v>
      </c>
      <c r="H16" s="15">
        <f>F16 - Portfolio_Mgmt!$C$11</f>
        <v>5.7387382418681215E-2</v>
      </c>
      <c r="I16" s="15">
        <v>0</v>
      </c>
      <c r="J16" s="2">
        <v>34.669224296258527</v>
      </c>
      <c r="K16" s="2">
        <v>66.592285778879997</v>
      </c>
      <c r="L16" s="2">
        <v>43.592757973888887</v>
      </c>
      <c r="M16" s="2">
        <v>59.048136223898794</v>
      </c>
      <c r="N16" s="4">
        <v>8.0319983221959892E-2</v>
      </c>
      <c r="O16" s="4">
        <v>4.195070791819612E-2</v>
      </c>
      <c r="P16" s="15">
        <v>3.4701988818540461</v>
      </c>
      <c r="Q16" s="15">
        <v>5.0341856510546588E-2</v>
      </c>
      <c r="R16" s="92">
        <v>3.9546057100127742E-2</v>
      </c>
      <c r="S16" s="86">
        <v>-13.312996389940134</v>
      </c>
      <c r="T16" s="13" t="s">
        <v>240</v>
      </c>
      <c r="U16" s="11" t="s">
        <v>160</v>
      </c>
      <c r="V16" s="14">
        <v>45716</v>
      </c>
      <c r="W16" s="11" t="s">
        <v>245</v>
      </c>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tabSelected="1" zoomScale="87" workbookViewId="0">
      <selection activeCell="E6" sqref="E6"/>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224</v>
      </c>
    </row>
    <row r="2" spans="1:8" ht="29.65" customHeight="1">
      <c r="B2" s="66" t="s">
        <v>3</v>
      </c>
      <c r="C2" s="66" t="s">
        <v>227</v>
      </c>
      <c r="D2" s="66" t="s">
        <v>226</v>
      </c>
      <c r="E2" s="66" t="s">
        <v>225</v>
      </c>
      <c r="F2" s="66" t="s">
        <v>232</v>
      </c>
      <c r="G2" s="66" t="s">
        <v>262</v>
      </c>
      <c r="H2" s="66" t="s">
        <v>212</v>
      </c>
    </row>
    <row r="3" spans="1:8">
      <c r="B3" s="77" t="s">
        <v>30</v>
      </c>
      <c r="C3" s="75" t="s">
        <v>231</v>
      </c>
      <c r="D3" s="74" t="s">
        <v>228</v>
      </c>
      <c r="E3" s="76" t="s">
        <v>231</v>
      </c>
      <c r="F3" s="71">
        <v>351395.62</v>
      </c>
      <c r="G3" s="73">
        <f>F3/$F$9</f>
        <v>0.39268415166236537</v>
      </c>
      <c r="H3" s="91">
        <f>Portfolio_Mgmt!E61</f>
        <v>0.3</v>
      </c>
    </row>
    <row r="4" spans="1:8">
      <c r="B4" s="78" t="s">
        <v>230</v>
      </c>
      <c r="C4" s="75">
        <f>VLOOKUP(B4,Opportunities!B$3:E$12,3,FALSE)</f>
        <v>17.82</v>
      </c>
      <c r="D4" s="74" t="str">
        <f>VLOOKUP(B4,Opportunities!B$3:E$12,4,FALSE)</f>
        <v>HKD</v>
      </c>
      <c r="E4" s="71">
        <v>10000</v>
      </c>
      <c r="F4" s="76">
        <f>C4*E4</f>
        <v>178200</v>
      </c>
      <c r="G4" s="73">
        <f>F4/$F$9</f>
        <v>0.19913826992559985</v>
      </c>
      <c r="H4" s="73">
        <f>VLOOKUP(B4,Opportunities!B$3:I$12,8,FALSE)</f>
        <v>0</v>
      </c>
    </row>
    <row r="5" spans="1:8">
      <c r="B5" s="78" t="s">
        <v>229</v>
      </c>
      <c r="C5" s="75">
        <f>VLOOKUP(B5,Opportunities!B$3:E$12,3,FALSE)</f>
        <v>8.15</v>
      </c>
      <c r="D5" s="74" t="str">
        <f>VLOOKUP(B5,Opportunities!B$3:E$12,4,FALSE)</f>
        <v>HKD</v>
      </c>
      <c r="E5" s="71">
        <f>2000*10</f>
        <v>20000</v>
      </c>
      <c r="F5" s="76">
        <f>E5*C5</f>
        <v>163000</v>
      </c>
      <c r="G5" s="73">
        <f>F5/$F$9</f>
        <v>0.18215228955035226</v>
      </c>
      <c r="H5" s="73">
        <f>VLOOKUP(B5,Opportunities!B$3:I$12,8,FALSE)</f>
        <v>0</v>
      </c>
    </row>
    <row r="6" spans="1:8">
      <c r="B6" s="78" t="s">
        <v>241</v>
      </c>
      <c r="C6" s="75">
        <f>VLOOKUP(B6,Opportunities!B$3:E$12,3,FALSE)</f>
        <v>6.11</v>
      </c>
      <c r="D6" s="74" t="str">
        <f>VLOOKUP(B6,Opportunities!B$3:E$12,4,FALSE)</f>
        <v>HKD</v>
      </c>
      <c r="E6" s="71">
        <v>18000</v>
      </c>
      <c r="F6" s="76">
        <f>E6*C6</f>
        <v>109980</v>
      </c>
      <c r="G6" s="73">
        <f>F6/$F$9</f>
        <v>0.12290250800458738</v>
      </c>
      <c r="H6" s="73">
        <f>VLOOKUP(B6,Opportunities!B$3:I$12,8,FALSE)</f>
        <v>0.15926921829883645</v>
      </c>
    </row>
    <row r="7" spans="1:8">
      <c r="B7" s="78" t="s">
        <v>256</v>
      </c>
      <c r="C7" s="75">
        <f>VLOOKUP(B7,Opportunities!B$3:E$12,3,FALSE)</f>
        <v>15.38</v>
      </c>
      <c r="D7" s="74" t="str">
        <f>VLOOKUP(B7,Opportunities!B$3:E$12,4,FALSE)</f>
        <v>HKD</v>
      </c>
      <c r="E7" s="71">
        <v>6000</v>
      </c>
      <c r="F7" s="76">
        <f>C7*E7</f>
        <v>92280</v>
      </c>
      <c r="G7" s="73">
        <f>F7/$F$9</f>
        <v>0.10312278085709514</v>
      </c>
      <c r="H7" s="73">
        <f>VLOOKUP(B7,Opportunities!B$3:I$12,8,FALSE)</f>
        <v>0.18912881948046303</v>
      </c>
    </row>
    <row r="8" spans="1:8">
      <c r="B8" s="67"/>
      <c r="C8" s="70"/>
      <c r="D8" s="67"/>
      <c r="H8" s="90"/>
    </row>
    <row r="9" spans="1:8" ht="13.15">
      <c r="B9" s="79"/>
      <c r="C9" s="80"/>
      <c r="D9" s="79"/>
      <c r="E9" s="81" t="s">
        <v>261</v>
      </c>
      <c r="F9" s="81">
        <f>SUM(F3:F7)</f>
        <v>894855.62</v>
      </c>
      <c r="G9" s="82">
        <f>SUM(G3:G7)</f>
        <v>1</v>
      </c>
      <c r="H9" s="89">
        <f>SUM(H4:H7)</f>
        <v>0.34839803777929945</v>
      </c>
    </row>
    <row r="10" spans="1:8">
      <c r="B10" s="67"/>
      <c r="C10" s="70"/>
      <c r="D10" s="67"/>
      <c r="E10" s="71"/>
      <c r="F10" s="71"/>
    </row>
    <row r="11" spans="1:8" ht="13.15">
      <c r="A11" s="63"/>
      <c r="B11" s="64" t="s">
        <v>258</v>
      </c>
    </row>
    <row r="12" spans="1:8">
      <c r="B12" s="78" t="s">
        <v>276</v>
      </c>
      <c r="C12" s="75">
        <f>VLOOKUP(B12,Opportunities!B$3:E$12,3,FALSE)</f>
        <v>1.1599999999999999</v>
      </c>
      <c r="D12" s="74" t="str">
        <f>VLOOKUP(B12,Opportunities!B$3:E$12,4,FALSE)</f>
        <v>HKD</v>
      </c>
      <c r="E12" s="71">
        <f>500*140</f>
        <v>70000</v>
      </c>
      <c r="F12" s="76">
        <f>-C12*E12</f>
        <v>-81200</v>
      </c>
      <c r="G12" s="73">
        <f>-F12/$F$9</f>
        <v>9.0740895162506774E-2</v>
      </c>
      <c r="H12" s="73">
        <f>VLOOKUP(B12,Opportunities!B$3:I$12,8,FALSE)</f>
        <v>0.21293704824312568</v>
      </c>
    </row>
    <row r="13" spans="1:8">
      <c r="B13" s="78" t="s">
        <v>162</v>
      </c>
      <c r="C13" s="75">
        <f>VLOOKUP(B13,Opportunities!B$3:E$12,3,FALSE)</f>
        <v>8.15</v>
      </c>
      <c r="D13" s="74" t="str">
        <f>VLOOKUP(B13,Opportunities!B$3:E$12,4,FALSE)</f>
        <v>HKD</v>
      </c>
      <c r="E13" s="71">
        <f>-2000*5</f>
        <v>-10000</v>
      </c>
      <c r="F13" s="76">
        <f>-C13*E13</f>
        <v>81500</v>
      </c>
      <c r="G13" s="73">
        <f>-F13/$F$9</f>
        <v>-9.1076144775176129E-2</v>
      </c>
      <c r="H13" s="73">
        <f>VLOOKUP(B13,Opportunities!B$3:I$12,8,FALSE)</f>
        <v>0</v>
      </c>
    </row>
    <row r="14" spans="1:8">
      <c r="G14" s="88"/>
      <c r="H14" s="88"/>
    </row>
    <row r="15" spans="1:8" ht="13.15">
      <c r="B15" s="83" t="s">
        <v>259</v>
      </c>
      <c r="C15" s="84" t="s">
        <v>231</v>
      </c>
      <c r="D15" s="85" t="s">
        <v>158</v>
      </c>
      <c r="E15" s="84" t="s">
        <v>231</v>
      </c>
      <c r="F15" s="81">
        <f>F3+F12</f>
        <v>270195.62</v>
      </c>
      <c r="G15" s="89">
        <f t="shared" ref="G15" si="0">F15/$F$9</f>
        <v>0.30194325649985859</v>
      </c>
      <c r="H15" s="89">
        <f>Portfolio_Mgmt!E61</f>
        <v>0.3</v>
      </c>
    </row>
    <row r="17" spans="2:6">
      <c r="B17" s="67"/>
      <c r="C17" s="70"/>
      <c r="D17" s="67"/>
      <c r="E17" s="71"/>
      <c r="F17"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68"/>
      <c r="D32" s="67"/>
      <c r="E32" s="69"/>
      <c r="F32"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2025-05-09T12:33:09Z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