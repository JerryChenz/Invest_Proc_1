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FF7E1463-6930-41A3-9209-A42D29C452A2}" xr6:coauthVersionLast="47" xr6:coauthVersionMax="47" xr10:uidLastSave="{00000000-0000-0000-0000-000000000000}"/>
  <bookViews>
    <workbookView xWindow="33720" yWindow="-120" windowWidth="29040" windowHeight="15720"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E23" i="7"/>
  <c r="E7" i="7"/>
  <c r="F7" i="7" s="1"/>
  <c r="F9" i="7" s="1"/>
  <c r="G7" i="7" s="1"/>
  <c r="F12" i="7" l="1"/>
  <c r="F23" i="7"/>
  <c r="F22" i="7"/>
  <c r="F21" i="7"/>
  <c r="F20" i="7"/>
  <c r="F13" i="7"/>
  <c r="F6" i="7"/>
  <c r="F5" i="7"/>
  <c r="F4" i="7"/>
  <c r="C31" i="5"/>
  <c r="G13" i="7" l="1"/>
  <c r="F15" i="7"/>
  <c r="E60" i="5"/>
  <c r="C36" i="5"/>
  <c r="F19" i="7" l="1"/>
  <c r="F25" i="7" s="1"/>
  <c r="G15" i="7"/>
  <c r="E61" i="5"/>
  <c r="C16" i="2"/>
  <c r="C10" i="5" s="1"/>
  <c r="C11" i="5"/>
  <c r="E6" i="2"/>
  <c r="E5" i="2"/>
  <c r="E4" i="2"/>
  <c r="D112" i="5" l="1"/>
  <c r="C64" i="5"/>
  <c r="C65" i="5" s="1"/>
  <c r="G21" i="7" l="1"/>
  <c r="G19" i="7"/>
  <c r="G22" i="7"/>
  <c r="G23" i="7"/>
  <c r="G20" i="7"/>
  <c r="G5" i="7"/>
  <c r="G4" i="7"/>
  <c r="G3" i="7"/>
  <c r="G6" i="7"/>
  <c r="G25" i="7" l="1"/>
  <c r="G9" i="7"/>
</calcChain>
</file>

<file path=xl/sharedStrings.xml><?xml version="1.0" encoding="utf-8"?>
<sst xmlns="http://schemas.openxmlformats.org/spreadsheetml/2006/main" count="331" uniqueCount="269">
  <si>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</si>
  <si>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</si>
  <si>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</si>
  <si>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</si>
  <si>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</si>
  <si>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</si>
  <si>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</si>
  <si>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</si>
  <si>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</si>
  <si>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</si>
  <si>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</si>
  <si>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</si>
  <si>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</si>
  <si>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</si>
  <si>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</si>
  <si>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</si>
  <si>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</si>
  <si>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</si>
  <si>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</si>
  <si>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</si>
  <si>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</si>
  <si>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</si>
  <si>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</si>
  <si>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</si>
  <si>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</si>
  <si>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</si>
  <si>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</si>
  <si>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</si>
  <si>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</si>
  <si>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</si>
  <si>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</si>
  <si>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</si>
  <si>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</si>
  <si>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</si>
  <si>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</si>
  <si>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</si>
  <si>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</si>
  <si>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</si>
  <si>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</si>
  <si>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</si>
  <si>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</si>
  <si>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</si>
  <si>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</si>
  <si>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</si>
  <si>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</si>
  <si>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</si>
  <si>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</si>
  <si>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</si>
  <si>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</si>
  <si>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</si>
  <si>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</si>
  <si>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</si>
  <si>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</si>
  <si>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</si>
  <si>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</si>
  <si>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</si>
  <si>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</si>
  <si>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</si>
  <si>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</si>
  <si>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</si>
  <si>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</si>
  <si>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</si>
  <si>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</si>
  <si>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</si>
  <si>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</si>
  <si>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</si>
  <si>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</si>
  <si>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</si>
  <si>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</si>
  <si>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</si>
  <si>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</si>
  <si>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</si>
  <si>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</si>
  <si>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</si>
  <si>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</si>
  <si>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</si>
  <si>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</si>
  <si>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</si>
  <si>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</si>
  <si>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</si>
  <si>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</si>
  <si>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</si>
  <si>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</si>
  <si>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</si>
  <si>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</si>
  <si>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</si>
  <si>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</si>
  <si>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</si>
  <si>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</si>
  <si>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</si>
  <si>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</si>
  <si>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</si>
  <si>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</si>
  <si>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</si>
  <si>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</si>
  <si>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</si>
  <si>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</si>
  <si>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</si>
  <si>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</si>
  <si>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</si>
  <si>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</si>
  <si>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</si>
  <si>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</si>
  <si>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</si>
  <si>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</si>
  <si>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</si>
  <si>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</si>
  <si>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</si>
  <si>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</si>
  <si>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</si>
  <si>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</si>
  <si>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</si>
  <si>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</si>
  <si>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</si>
  <si>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</si>
  <si>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</si>
  <si>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</si>
  <si>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</si>
  <si>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</si>
  <si>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</si>
  <si>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</si>
  <si>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</si>
  <si>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</si>
  <si>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</si>
  <si>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</si>
  <si>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</si>
  <si>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</si>
  <si>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</si>
  <si>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</si>
  <si>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</si>
  <si>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</si>
  <si>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</si>
  <si>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</si>
  <si>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</si>
  <si>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</si>
  <si>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</si>
  <si>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</si>
  <si>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</si>
  <si>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</si>
  <si>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</si>
  <si>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</si>
  <si>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</si>
  <si>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</si>
  <si>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</si>
  <si>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</si>
  <si>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</si>
  <si>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</si>
  <si>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</si>
  <si>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</si>
  <si>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</si>
  <si>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</si>
  <si>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</si>
  <si>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</si>
  <si>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</si>
  <si>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</si>
  <si>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</si>
  <si>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</si>
  <si>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</si>
  <si>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</si>
  <si>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</si>
  <si>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</si>
  <si>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</si>
  <si>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</si>
  <si>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</si>
  <si>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</si>
  <si>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</si>
  <si>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</si>
  <si>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</si>
  <si>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</si>
  <si>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</si>
  <si>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</si>
  <si>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</si>
  <si>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</si>
  <si>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</si>
  <si>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</si>
  <si>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</si>
  <si>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</si>
  <si>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</si>
  <si>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</si>
  <si>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</si>
  <si>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</si>
  <si>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</si>
  <si>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</si>
  <si>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</si>
  <si>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</si>
  <si>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</si>
  <si>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</si>
  <si>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</si>
  <si>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</si>
  <si>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</si>
  <si>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</si>
  <si>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</si>
  <si>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</si>
  <si>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</si>
  <si>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</si>
  <si>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</si>
  <si>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</si>
  <si>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</si>
  <si>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</si>
  <si>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</si>
  <si>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</si>
  <si>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</si>
  <si>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</si>
  <si>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</si>
  <si>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</si>
  <si>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</si>
  <si>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</si>
  <si>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</si>
  <si>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</si>
  <si>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</si>
  <si>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</si>
  <si>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</si>
  <si>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</si>
  <si>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</si>
  <si>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</si>
  <si>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</si>
  <si>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</si>
  <si>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</si>
  <si>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</si>
  <si>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</si>
  <si>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</si>
  <si>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</si>
  <si>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</si>
  <si>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</si>
  <si>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</si>
  <si>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</si>
  <si>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</si>
  <si>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</si>
  <si>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</si>
  <si>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</si>
  <si>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</si>
  <si>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</si>
  <si>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</si>
  <si>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</si>
  <si>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</si>
  <si>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</si>
  <si>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</si>
  <si>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</si>
  <si>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</si>
  <si>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</si>
  <si>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</si>
  <si>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</si>
  <si>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</si>
  <si>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</si>
  <si>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</si>
  <si>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</si>
  <si>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</si>
  <si>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</si>
  <si>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</si>
  <si>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</si>
  <si>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</si>
  <si>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</si>
  <si>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</si>
  <si>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</si>
  <si>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</si>
  <si>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</si>
  <si>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</si>
  <si>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</si>
  <si>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</si>
  <si>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</si>
  <si>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</si>
  <si>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</si>
  <si>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2331.HK</t>
    <phoneticPr fontId="2" type="noConversion"/>
  </si>
  <si>
    <t>Planning</t>
    <phoneticPr fontId="2" type="noConversion"/>
  </si>
  <si>
    <t>Beg. Cash Balance</t>
    <phoneticPr fontId="2" type="noConversion"/>
  </si>
  <si>
    <t>End. Cash Balance</t>
    <phoneticPr fontId="2" type="noConversion"/>
  </si>
  <si>
    <t>Projected Holdings</t>
    <phoneticPr fontId="2" type="noConversion"/>
  </si>
  <si>
    <t>Sell Price</t>
    <phoneticPr fontId="2" type="noConversion"/>
  </si>
  <si>
    <t>Sell</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</si>
</sst>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4">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0">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79" fontId="33" fillId="0" borderId="0" xfId="0" applyNumberFormat="1" applyFont="1" applyAlignment="1">
      <alignment horizontal="right"/>
    </xf>
    <xf numFmtId="180"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79" fontId="30" fillId="0" borderId="3" xfId="0" applyNumberFormat="1" applyFont="1" applyBorder="1" applyAlignment="1">
      <alignment horizontal="right"/>
    </xf>
    <xf numFmtId="180"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79" fontId="31" fillId="0" borderId="3" xfId="0" applyNumberFormat="1" applyFont="1" applyBorder="1" applyAlignment="1">
      <alignment horizontal="right"/>
    </xf>
    <xf numFmtId="0" fontId="31" fillId="0" borderId="3" xfId="0" applyFont="1" applyBorder="1" applyAlignment="1">
      <alignment horizontal="center"/>
    </xf>
    <xf numFmtId="4" fontId="6" fillId="5" borderId="3" xfId="0" applyNumberFormat="1" applyFont="1" applyFill="1" applyBorder="1" applyAlignment="1">
      <alignment horizontal="center"/>
    </xf>
    <xf numFmtId="179"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11" sqref="C11"/>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0" t="s">
        <v>221</v>
      </c>
      <c r="C4" s="90"/>
      <c r="D4" s="90"/>
      <c r="E4" s="90"/>
    </row>
    <row r="6" spans="1:5">
      <c r="A6" s="20" t="s">
        <v>66</v>
      </c>
      <c r="B6" s="19" t="s">
        <v>204</v>
      </c>
      <c r="C6" s="62"/>
    </row>
    <row r="7" spans="1:5">
      <c r="B7" s="90" t="s">
        <v>209</v>
      </c>
      <c r="C7" s="90"/>
      <c r="D7" s="90"/>
      <c r="E7" s="90"/>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90" t="s">
        <v>220</v>
      </c>
      <c r="C24" s="90"/>
      <c r="D24" s="90"/>
      <c r="E24" s="90"/>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90" t="s">
        <v>156</v>
      </c>
      <c r="C39" s="90"/>
      <c r="D39" s="90"/>
      <c r="E39" s="90"/>
    </row>
    <row r="40" spans="1:5" ht="46.6" customHeight="1">
      <c r="B40" s="90" t="s">
        <v>236</v>
      </c>
      <c r="C40" s="90"/>
      <c r="D40" s="90"/>
      <c r="E40" s="90"/>
    </row>
    <row r="42" spans="1:5">
      <c r="A42" s="21" t="s">
        <v>187</v>
      </c>
      <c r="B42" s="21"/>
      <c r="C42" s="21"/>
      <c r="D42" s="21"/>
      <c r="E42" s="21"/>
    </row>
    <row r="44" spans="1:5">
      <c r="B44" s="90" t="s">
        <v>208</v>
      </c>
      <c r="C44" s="90"/>
      <c r="D44" s="90"/>
      <c r="E44" s="90"/>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90" t="s">
        <v>196</v>
      </c>
      <c r="C71" s="90"/>
      <c r="D71" s="90"/>
      <c r="E71" s="90"/>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1" t="s">
        <v>192</v>
      </c>
      <c r="C85" s="91"/>
      <c r="D85" s="91"/>
      <c r="E85" s="91"/>
    </row>
    <row r="86" spans="1:5">
      <c r="B86" s="89" t="s">
        <v>190</v>
      </c>
      <c r="C86" s="89"/>
      <c r="D86" s="89"/>
      <c r="E86" s="89"/>
    </row>
    <row r="87" spans="1:5" ht="24.4" customHeight="1">
      <c r="B87" s="90" t="s">
        <v>189</v>
      </c>
      <c r="C87" s="90"/>
      <c r="D87" s="90"/>
      <c r="E87" s="90"/>
    </row>
    <row r="88" spans="1:5" ht="24.4" customHeight="1">
      <c r="B88" s="90" t="s">
        <v>225</v>
      </c>
      <c r="C88" s="90"/>
      <c r="D88" s="90"/>
      <c r="E88" s="90"/>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92" t="s">
        <v>211</v>
      </c>
      <c r="C97" s="92"/>
      <c r="D97" s="92"/>
      <c r="E97" s="92"/>
    </row>
    <row r="99" spans="1:5">
      <c r="B99" s="24" t="s">
        <v>215</v>
      </c>
    </row>
    <row r="100" spans="1:5" ht="12.4">
      <c r="B100" s="92" t="s">
        <v>212</v>
      </c>
      <c r="C100" s="92"/>
      <c r="D100" s="92"/>
      <c r="E100" s="92"/>
    </row>
    <row r="101" spans="1:5" ht="58.5" customHeight="1">
      <c r="B101" s="90" t="s">
        <v>219</v>
      </c>
      <c r="C101" s="90"/>
      <c r="D101" s="90"/>
      <c r="E101" s="90"/>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0.13023489201472013</v>
      </c>
      <c r="D112" s="62" t="str">
        <f>IF(C112&lt;benchmark,"Warning: Return is lower than the Benchmark.","")</f>
        <v/>
      </c>
    </row>
    <row r="114" spans="1:5" ht="24.4" customHeight="1">
      <c r="B114" s="90" t="s">
        <v>217</v>
      </c>
      <c r="C114" s="90"/>
      <c r="D114" s="90"/>
      <c r="E114" s="90"/>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R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Q7" sqref="Q7"/>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8.796875" style="88"/>
    <col min="19" max="16384" width="8.796875" style="1"/>
  </cols>
  <sheetData>
    <row r="1" spans="1:18">
      <c r="A1" s="5"/>
      <c r="B1" s="6" t="s">
        <v>4</v>
      </c>
      <c r="D1" s="96" t="s">
        <v>1</v>
      </c>
      <c r="E1" s="96"/>
      <c r="F1" s="96"/>
      <c r="G1" s="97" t="s">
        <v>101</v>
      </c>
      <c r="H1" s="97"/>
      <c r="I1" s="97"/>
      <c r="J1" s="93" t="s">
        <v>5</v>
      </c>
      <c r="K1" s="93"/>
      <c r="L1" s="94" t="s">
        <v>9</v>
      </c>
      <c r="M1" s="94"/>
      <c r="N1" s="95" t="s">
        <v>53</v>
      </c>
      <c r="O1" s="95"/>
      <c r="P1" s="95"/>
      <c r="Q1" s="95"/>
      <c r="R1" s="87" t="s">
        <v>268</v>
      </c>
    </row>
    <row r="2" spans="1:18"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c r="R2" s="8" t="s">
        <v>267</v>
      </c>
    </row>
    <row r="3" spans="1:18">
      <c r="B3" s="11" t="s">
        <v>260</v>
      </c>
      <c r="C3" s="11" t="s">
        <v>261</v>
      </c>
      <c r="D3" s="2">
        <v>14.62</v>
      </c>
      <c r="E3" s="12" t="s">
        <v>160</v>
      </c>
      <c r="F3" s="15">
        <v>0.22170440631904187</v>
      </c>
      <c r="G3" s="15">
        <f>F3 - Portfolio_Mgmt!$C$10</f>
        <v>0.10430440631904186</v>
      </c>
      <c r="H3" s="15">
        <f>F3 - Portfolio_Mgmt!$C$11</f>
        <v>0.18720440631904187</v>
      </c>
      <c r="I3" s="15">
        <v>0.26604528758285023</v>
      </c>
      <c r="J3" s="2">
        <v>13.677042438413375</v>
      </c>
      <c r="K3" s="2">
        <v>24.622857747833478</v>
      </c>
      <c r="L3" s="4">
        <v>6.4508135967563204E-2</v>
      </c>
      <c r="M3" s="4">
        <v>3.7498432682696467E-2</v>
      </c>
      <c r="N3" s="13" t="s">
        <v>248</v>
      </c>
      <c r="O3" s="11" t="s">
        <v>162</v>
      </c>
      <c r="P3" s="14">
        <v>45900</v>
      </c>
      <c r="Q3" s="11" t="s">
        <v>163</v>
      </c>
      <c r="R3" s="88">
        <v>23.77802559054318</v>
      </c>
    </row>
    <row r="4" spans="1:18">
      <c r="B4" s="11" t="s">
        <v>237</v>
      </c>
      <c r="C4" s="11" t="s">
        <v>238</v>
      </c>
      <c r="D4" s="2">
        <v>5.8</v>
      </c>
      <c r="E4" s="12" t="s">
        <v>160</v>
      </c>
      <c r="F4" s="15">
        <v>0.17842892639139052</v>
      </c>
      <c r="G4" s="15">
        <f>F4 - Portfolio_Mgmt!$C$10</f>
        <v>6.1028926391390514E-2</v>
      </c>
      <c r="H4" s="15">
        <f>F4 - Portfolio_Mgmt!$C$11</f>
        <v>0.14392892639139052</v>
      </c>
      <c r="I4" s="15">
        <v>0.21411471166966861</v>
      </c>
      <c r="J4" s="2">
        <v>4.9152072503751691</v>
      </c>
      <c r="K4" s="2">
        <v>7.9151197774737936</v>
      </c>
      <c r="L4" s="4">
        <v>0.13256816715305936</v>
      </c>
      <c r="M4" s="4">
        <v>7.6196467311032592E-2</v>
      </c>
      <c r="N4" s="13" t="s">
        <v>240</v>
      </c>
      <c r="O4" s="11" t="s">
        <v>239</v>
      </c>
      <c r="P4" s="14">
        <v>45900</v>
      </c>
      <c r="Q4" s="11" t="s">
        <v>163</v>
      </c>
      <c r="R4" s="88">
        <v>8.3886784986115117</v>
      </c>
    </row>
    <row r="5" spans="1:18">
      <c r="B5" s="11" t="s">
        <v>253</v>
      </c>
      <c r="C5" s="11" t="s">
        <v>254</v>
      </c>
      <c r="D5" s="2">
        <v>20.079999999999998</v>
      </c>
      <c r="E5" s="12" t="s">
        <v>255</v>
      </c>
      <c r="F5" s="15">
        <v>0.16060765378265396</v>
      </c>
      <c r="G5" s="15">
        <f>F5 - Portfolio_Mgmt!$C$10</f>
        <v>4.3207653782653954E-2</v>
      </c>
      <c r="H5" s="15">
        <f>F5 - Portfolio_Mgmt!$C$11</f>
        <v>0.12610765378265396</v>
      </c>
      <c r="I5" s="15">
        <v>0.11984000074748113</v>
      </c>
      <c r="J5" s="2">
        <v>16.165402289394244</v>
      </c>
      <c r="K5" s="2">
        <v>29.309951346473134</v>
      </c>
      <c r="L5" s="4">
        <v>0.22703991769612522</v>
      </c>
      <c r="M5" s="4">
        <v>2.956175298804781E-2</v>
      </c>
      <c r="N5" s="13" t="s">
        <v>256</v>
      </c>
      <c r="O5" s="11" t="s">
        <v>162</v>
      </c>
      <c r="P5" s="14">
        <v>45900</v>
      </c>
      <c r="Q5" s="11" t="s">
        <v>163</v>
      </c>
      <c r="R5" s="88">
        <v>28.138888137115678</v>
      </c>
    </row>
    <row r="6" spans="1:18">
      <c r="B6" s="11" t="s">
        <v>158</v>
      </c>
      <c r="C6" s="11" t="s">
        <v>159</v>
      </c>
      <c r="D6" s="2">
        <v>16.440000000000001</v>
      </c>
      <c r="E6" s="12" t="s">
        <v>160</v>
      </c>
      <c r="F6" s="15">
        <v>0.15374754303551685</v>
      </c>
      <c r="G6" s="15">
        <f>F6 - Portfolio_Mgmt!$C$10</f>
        <v>3.6347543035516849E-2</v>
      </c>
      <c r="H6" s="15">
        <f>F6 - Portfolio_Mgmt!$C$11</f>
        <v>0.11924754303551685</v>
      </c>
      <c r="I6" s="15">
        <v>0</v>
      </c>
      <c r="J6" s="2">
        <v>13.155317996540354</v>
      </c>
      <c r="K6" s="2">
        <v>20.508980461992877</v>
      </c>
      <c r="L6" s="4">
        <v>0.10510863864778767</v>
      </c>
      <c r="M6" s="4">
        <v>8.2725060827250604E-2</v>
      </c>
      <c r="N6" s="13" t="s">
        <v>161</v>
      </c>
      <c r="O6" s="11" t="s">
        <v>162</v>
      </c>
      <c r="P6" s="14">
        <v>45808</v>
      </c>
      <c r="Q6" s="11" t="s">
        <v>163</v>
      </c>
      <c r="R6" s="88">
        <v>22.338628219506891</v>
      </c>
    </row>
    <row r="7" spans="1:18">
      <c r="B7" s="11" t="s">
        <v>164</v>
      </c>
      <c r="C7" s="11" t="s">
        <v>165</v>
      </c>
      <c r="D7" s="2">
        <v>7.85</v>
      </c>
      <c r="E7" s="12" t="s">
        <v>160</v>
      </c>
      <c r="F7" s="15">
        <v>0.12328963999428066</v>
      </c>
      <c r="G7" s="15">
        <f>F7 - Portfolio_Mgmt!$C$10</f>
        <v>5.8896399942806599E-3</v>
      </c>
      <c r="H7" s="15">
        <f>F7 - Portfolio_Mgmt!$C$11</f>
        <v>8.8789639994280661E-2</v>
      </c>
      <c r="I7" s="15">
        <v>0</v>
      </c>
      <c r="J7" s="2">
        <v>5.8235187175367322</v>
      </c>
      <c r="K7" s="2">
        <v>9.1628099951889297</v>
      </c>
      <c r="L7" s="4">
        <v>3.9350111080543315E-2</v>
      </c>
      <c r="M7" s="4">
        <v>7.3885350318471335E-2</v>
      </c>
      <c r="N7" s="13" t="s">
        <v>166</v>
      </c>
      <c r="O7" s="11" t="s">
        <v>167</v>
      </c>
      <c r="P7" s="14">
        <v>45900</v>
      </c>
      <c r="Q7" s="11" t="s">
        <v>163</v>
      </c>
      <c r="R7" s="88">
        <v>9.9028212013122712</v>
      </c>
    </row>
    <row r="8" spans="1:18">
      <c r="B8" s="11" t="s">
        <v>246</v>
      </c>
      <c r="C8" s="11" t="s">
        <v>247</v>
      </c>
      <c r="D8" s="2">
        <v>14.26</v>
      </c>
      <c r="E8" s="12" t="s">
        <v>160</v>
      </c>
      <c r="F8" s="15">
        <v>0.10954171828338932</v>
      </c>
      <c r="G8" s="15">
        <f>F8 - Portfolio_Mgmt!$C$10</f>
        <v>-7.8582817166106822E-3</v>
      </c>
      <c r="H8" s="15">
        <f>F8 - Portfolio_Mgmt!$C$11</f>
        <v>7.5041718283389319E-2</v>
      </c>
      <c r="I8" s="15">
        <v>0</v>
      </c>
      <c r="J8" s="2">
        <v>10.174176386967826</v>
      </c>
      <c r="K8" s="2">
        <v>16.694869127046534</v>
      </c>
      <c r="L8" s="4">
        <v>0.10764138310388582</v>
      </c>
      <c r="M8" s="4">
        <v>5.8429064516129031E-2</v>
      </c>
      <c r="N8" s="13" t="s">
        <v>248</v>
      </c>
      <c r="O8" s="11" t="s">
        <v>250</v>
      </c>
      <c r="P8" s="14">
        <v>45900</v>
      </c>
      <c r="Q8" s="11" t="s">
        <v>249</v>
      </c>
      <c r="R8" s="88">
        <v>17.416210381668485</v>
      </c>
    </row>
    <row r="9" spans="1:18">
      <c r="B9" s="11" t="s">
        <v>241</v>
      </c>
      <c r="C9" s="11" t="s">
        <v>242</v>
      </c>
      <c r="D9" s="2">
        <v>54.25</v>
      </c>
      <c r="E9" s="12" t="s">
        <v>160</v>
      </c>
      <c r="F9" s="15">
        <v>0.10804060157997641</v>
      </c>
      <c r="G9" s="15">
        <f>F9 - Portfolio_Mgmt!$C$10</f>
        <v>-9.3593984200235902E-3</v>
      </c>
      <c r="H9" s="15">
        <f>F9 - Portfolio_Mgmt!$C$11</f>
        <v>7.3540601579976411E-2</v>
      </c>
      <c r="I9" s="15">
        <v>0</v>
      </c>
      <c r="J9" s="2">
        <v>38.289885084736952</v>
      </c>
      <c r="K9" s="2">
        <v>66.921979202973944</v>
      </c>
      <c r="L9" s="4">
        <v>4.1491316575080373E-2</v>
      </c>
      <c r="M9" s="4">
        <v>3.801684419443882E-2</v>
      </c>
      <c r="N9" s="13" t="s">
        <v>243</v>
      </c>
      <c r="O9" s="11" t="s">
        <v>162</v>
      </c>
      <c r="P9" s="14">
        <v>45900</v>
      </c>
      <c r="Q9" s="11" t="s">
        <v>249</v>
      </c>
      <c r="R9" s="88">
        <v>66.231011456376947</v>
      </c>
    </row>
    <row r="10" spans="1:18">
      <c r="B10" s="11" t="s">
        <v>168</v>
      </c>
      <c r="C10" s="11" t="s">
        <v>169</v>
      </c>
      <c r="D10" s="2">
        <v>2.2999999999999998</v>
      </c>
      <c r="E10" s="12" t="s">
        <v>160</v>
      </c>
      <c r="F10" s="15">
        <v>0.10185445179346697</v>
      </c>
      <c r="G10" s="15">
        <f>F10 - Portfolio_Mgmt!$C$10</f>
        <v>-1.5545548206533033E-2</v>
      </c>
      <c r="H10" s="15">
        <f>F10 - Portfolio_Mgmt!$C$11</f>
        <v>6.7354451793466968E-2</v>
      </c>
      <c r="I10" s="15">
        <v>0</v>
      </c>
      <c r="J10" s="2">
        <v>1.6044036483689856</v>
      </c>
      <c r="K10" s="2">
        <v>2.697564413182195</v>
      </c>
      <c r="L10" s="4">
        <v>3.573276361444476E-2</v>
      </c>
      <c r="M10" s="4">
        <v>4.9726182470532274E-2</v>
      </c>
      <c r="N10" s="16" t="s">
        <v>170</v>
      </c>
      <c r="O10" s="11" t="s">
        <v>171</v>
      </c>
      <c r="P10" s="14">
        <v>45900</v>
      </c>
      <c r="Q10" s="11" t="s">
        <v>163</v>
      </c>
      <c r="R10" s="88">
        <v>2.7573082335059835</v>
      </c>
    </row>
    <row r="11" spans="1:18">
      <c r="B11" s="11" t="s">
        <v>257</v>
      </c>
      <c r="C11" s="11" t="s">
        <v>258</v>
      </c>
      <c r="D11" s="2">
        <v>28.81</v>
      </c>
      <c r="E11" s="12" t="s">
        <v>255</v>
      </c>
      <c r="F11" s="15">
        <v>9.408289080523935E-2</v>
      </c>
      <c r="G11" s="15">
        <f>F11 - Portfolio_Mgmt!$C$10</f>
        <v>-2.3317109194760655E-2</v>
      </c>
      <c r="H11" s="15">
        <f>F11 - Portfolio_Mgmt!$C$11</f>
        <v>5.9582890805239347E-2</v>
      </c>
      <c r="I11" s="15">
        <v>0</v>
      </c>
      <c r="J11" s="2">
        <v>19.745207945921621</v>
      </c>
      <c r="K11" s="2">
        <v>32.464859269378167</v>
      </c>
      <c r="L11" s="4">
        <v>8.8134932571433455E-2</v>
      </c>
      <c r="M11" s="4">
        <v>5.5536272127733433E-2</v>
      </c>
      <c r="N11" s="13" t="s">
        <v>259</v>
      </c>
      <c r="O11" s="11" t="s">
        <v>162</v>
      </c>
      <c r="P11" s="14">
        <v>45900</v>
      </c>
      <c r="Q11" s="11" t="s">
        <v>163</v>
      </c>
      <c r="R11" s="88">
        <v>33.810824894744755</v>
      </c>
    </row>
    <row r="12" spans="1:18">
      <c r="B12" s="11" t="s">
        <v>251</v>
      </c>
      <c r="C12" s="11" t="s">
        <v>252</v>
      </c>
      <c r="D12" s="2">
        <v>52.2</v>
      </c>
      <c r="E12" s="12" t="s">
        <v>160</v>
      </c>
      <c r="F12" s="15">
        <v>9.2083708290373378E-2</v>
      </c>
      <c r="G12" s="15">
        <f>F12 - Portfolio_Mgmt!$C$10</f>
        <v>-2.5316291709626626E-2</v>
      </c>
      <c r="H12" s="15">
        <f>F12 - Portfolio_Mgmt!$C$11</f>
        <v>5.7583708290373375E-2</v>
      </c>
      <c r="I12" s="15">
        <v>0</v>
      </c>
      <c r="J12" s="2">
        <v>34.810338706696939</v>
      </c>
      <c r="K12" s="2">
        <v>67.988942786517455</v>
      </c>
      <c r="L12" s="4">
        <v>0.10069379612803481</v>
      </c>
      <c r="M12" s="4">
        <v>0</v>
      </c>
      <c r="N12" s="13" t="s">
        <v>248</v>
      </c>
      <c r="O12" s="11" t="s">
        <v>162</v>
      </c>
      <c r="P12" s="14">
        <v>45808</v>
      </c>
      <c r="Q12" s="11" t="s">
        <v>163</v>
      </c>
      <c r="R12" s="88">
        <v>61.41108960250569</v>
      </c>
    </row>
    <row r="13" spans="1:18">
      <c r="B13" s="11"/>
      <c r="C13" s="11"/>
      <c r="E13" s="12"/>
      <c r="L13" s="4"/>
      <c r="M13" s="4"/>
      <c r="N13" s="13"/>
      <c r="O13" s="11"/>
      <c r="P13" s="14"/>
    </row>
    <row r="14" spans="1:18">
      <c r="B14" s="11"/>
      <c r="C14" s="11"/>
      <c r="E14" s="12"/>
      <c r="L14" s="4"/>
      <c r="M14" s="4"/>
      <c r="N14" s="13"/>
      <c r="O14" s="11"/>
      <c r="P14" s="14"/>
    </row>
    <row r="15" spans="1:18">
      <c r="B15" s="11"/>
      <c r="C15" s="11"/>
      <c r="E15" s="12"/>
      <c r="L15" s="4"/>
      <c r="M15" s="4"/>
      <c r="N15" s="13"/>
      <c r="O15" s="11"/>
      <c r="P15" s="14"/>
    </row>
    <row r="16" spans="1:18">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3"/>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6" sqref="C1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4.2900000000000001E-2</v>
      </c>
      <c r="D4" s="34">
        <v>7.4999999999999997E-2</v>
      </c>
      <c r="E4" s="35">
        <f>D4-C4</f>
        <v>3.2099999999999997E-2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topLeftCell="A2" zoomScale="87" workbookViewId="0">
      <selection activeCell="G21" sqref="G21"/>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235</v>
      </c>
      <c r="G2" s="67" t="s">
        <v>245</v>
      </c>
    </row>
    <row r="3" spans="1:7">
      <c r="B3" s="78" t="s">
        <v>30</v>
      </c>
      <c r="C3" s="76" t="s">
        <v>233</v>
      </c>
      <c r="D3" s="75" t="s">
        <v>230</v>
      </c>
      <c r="E3" s="77" t="s">
        <v>233</v>
      </c>
      <c r="F3" s="72">
        <v>351395.62</v>
      </c>
      <c r="G3" s="74">
        <f>F3/$F$9</f>
        <v>0.43175061871716075</v>
      </c>
    </row>
    <row r="4" spans="1:7">
      <c r="B4" s="79" t="s">
        <v>232</v>
      </c>
      <c r="C4" s="71">
        <v>16.54</v>
      </c>
      <c r="D4" s="68" t="s">
        <v>230</v>
      </c>
      <c r="E4" s="72">
        <v>10000</v>
      </c>
      <c r="F4" s="77">
        <f>C4*E4</f>
        <v>165400</v>
      </c>
      <c r="G4" s="74">
        <f>F4/$F$9</f>
        <v>0.2032226592232948</v>
      </c>
    </row>
    <row r="5" spans="1:7">
      <c r="B5" s="79" t="s">
        <v>231</v>
      </c>
      <c r="C5" s="71">
        <v>7.4</v>
      </c>
      <c r="D5" s="68" t="s">
        <v>230</v>
      </c>
      <c r="E5" s="72">
        <v>20000</v>
      </c>
      <c r="F5" s="77">
        <f>E5*C5</f>
        <v>148000</v>
      </c>
      <c r="G5" s="74">
        <f>F5/$F$9</f>
        <v>0.18184373376691432</v>
      </c>
    </row>
    <row r="6" spans="1:7">
      <c r="B6" s="79" t="s">
        <v>244</v>
      </c>
      <c r="C6" s="71">
        <v>5.37</v>
      </c>
      <c r="D6" s="68" t="s">
        <v>230</v>
      </c>
      <c r="E6" s="72">
        <v>18000</v>
      </c>
      <c r="F6" s="77">
        <f>E6*C6</f>
        <v>96660</v>
      </c>
      <c r="G6" s="74">
        <f>F6/$F$9</f>
        <v>0.11876361693182391</v>
      </c>
    </row>
    <row r="7" spans="1:7">
      <c r="B7" s="79" t="s">
        <v>260</v>
      </c>
      <c r="C7" s="71">
        <v>14.98</v>
      </c>
      <c r="D7" s="68" t="s">
        <v>160</v>
      </c>
      <c r="E7" s="72">
        <f>500*7</f>
        <v>3500</v>
      </c>
      <c r="F7" s="77">
        <f>C7*E7</f>
        <v>52430</v>
      </c>
      <c r="G7" s="74">
        <f>F7/$F$9</f>
        <v>6.4419371360806207E-2</v>
      </c>
    </row>
    <row r="8" spans="1:7">
      <c r="B8" s="68"/>
      <c r="C8" s="71"/>
      <c r="D8" s="68"/>
    </row>
    <row r="9" spans="1:7" ht="13.15">
      <c r="B9" s="80"/>
      <c r="C9" s="81"/>
      <c r="D9" s="80"/>
      <c r="E9" s="82" t="s">
        <v>234</v>
      </c>
      <c r="F9" s="82">
        <f>SUM(F3:F7)</f>
        <v>813885.62</v>
      </c>
      <c r="G9" s="83">
        <f>SUM(G3:G7)</f>
        <v>1</v>
      </c>
    </row>
    <row r="10" spans="1:7">
      <c r="B10" s="68"/>
      <c r="C10" s="71"/>
      <c r="D10" s="68"/>
      <c r="E10" s="72"/>
      <c r="F10" s="72"/>
    </row>
    <row r="11" spans="1:7" ht="13.15">
      <c r="A11" s="64"/>
      <c r="B11" s="65" t="s">
        <v>263</v>
      </c>
      <c r="C11" s="71"/>
      <c r="D11" s="68"/>
      <c r="E11" s="72"/>
      <c r="F11" s="72"/>
    </row>
    <row r="12" spans="1:7">
      <c r="B12" s="78" t="s">
        <v>264</v>
      </c>
      <c r="C12" s="76" t="s">
        <v>233</v>
      </c>
      <c r="D12" s="75" t="s">
        <v>160</v>
      </c>
      <c r="E12" s="76" t="s">
        <v>233</v>
      </c>
      <c r="F12" s="77">
        <f>F3</f>
        <v>351395.62</v>
      </c>
      <c r="G12" s="74">
        <v>1</v>
      </c>
    </row>
    <row r="13" spans="1:7">
      <c r="B13" s="79" t="s">
        <v>260</v>
      </c>
      <c r="C13" s="71">
        <v>14.9</v>
      </c>
      <c r="D13" s="68" t="s">
        <v>160</v>
      </c>
      <c r="E13" s="72">
        <v>8000</v>
      </c>
      <c r="F13" s="77">
        <f>C13*E13</f>
        <v>119200</v>
      </c>
      <c r="G13" s="74">
        <f>F13/$F$12</f>
        <v>0.3392187984585579</v>
      </c>
    </row>
    <row r="14" spans="1:7">
      <c r="B14" s="79"/>
      <c r="C14" s="71"/>
      <c r="D14" s="68"/>
      <c r="E14" s="72"/>
      <c r="F14" s="72"/>
    </row>
    <row r="15" spans="1:7" ht="13.15">
      <c r="B15" s="84" t="s">
        <v>265</v>
      </c>
      <c r="C15" s="85" t="s">
        <v>233</v>
      </c>
      <c r="D15" s="86" t="s">
        <v>160</v>
      </c>
      <c r="E15" s="85" t="s">
        <v>233</v>
      </c>
      <c r="F15" s="82">
        <f>F12-F13</f>
        <v>232195.62</v>
      </c>
      <c r="G15" s="83">
        <f>F15/$F$12</f>
        <v>0.66078120154144204</v>
      </c>
    </row>
    <row r="16" spans="1:7">
      <c r="B16" s="68"/>
      <c r="C16" s="71"/>
      <c r="D16" s="68"/>
      <c r="E16" s="72"/>
      <c r="F16" s="72"/>
    </row>
    <row r="17" spans="1:7" ht="13.15">
      <c r="A17" s="64"/>
      <c r="B17" s="65" t="s">
        <v>266</v>
      </c>
    </row>
    <row r="18" spans="1:7" ht="26.25">
      <c r="B18" s="67" t="s">
        <v>3</v>
      </c>
      <c r="C18" s="67" t="s">
        <v>229</v>
      </c>
      <c r="D18" s="67" t="s">
        <v>228</v>
      </c>
      <c r="E18" s="67" t="s">
        <v>227</v>
      </c>
      <c r="F18" s="67" t="s">
        <v>235</v>
      </c>
      <c r="G18" s="67" t="s">
        <v>245</v>
      </c>
    </row>
    <row r="19" spans="1:7">
      <c r="B19" s="78" t="s">
        <v>30</v>
      </c>
      <c r="C19" s="76" t="s">
        <v>233</v>
      </c>
      <c r="D19" s="75" t="s">
        <v>230</v>
      </c>
      <c r="E19" s="77" t="s">
        <v>233</v>
      </c>
      <c r="F19" s="77">
        <f>F15</f>
        <v>232195.62</v>
      </c>
      <c r="G19" s="74">
        <f>F19/$F$9</f>
        <v>0.28529269260218654</v>
      </c>
    </row>
    <row r="20" spans="1:7">
      <c r="B20" s="79" t="s">
        <v>232</v>
      </c>
      <c r="C20" s="71">
        <v>16.54</v>
      </c>
      <c r="D20" s="68" t="s">
        <v>230</v>
      </c>
      <c r="E20" s="72">
        <v>10000</v>
      </c>
      <c r="F20" s="77">
        <f>C20*E20</f>
        <v>165400</v>
      </c>
      <c r="G20" s="74">
        <f t="shared" ref="G20:G23" si="0">F20/$F$9</f>
        <v>0.2032226592232948</v>
      </c>
    </row>
    <row r="21" spans="1:7">
      <c r="B21" s="79" t="s">
        <v>231</v>
      </c>
      <c r="C21" s="71">
        <v>7.4</v>
      </c>
      <c r="D21" s="68" t="s">
        <v>230</v>
      </c>
      <c r="E21" s="72">
        <v>20000</v>
      </c>
      <c r="F21" s="77">
        <f>E21*C21</f>
        <v>148000</v>
      </c>
      <c r="G21" s="74">
        <f t="shared" si="0"/>
        <v>0.18184373376691432</v>
      </c>
    </row>
    <row r="22" spans="1:7">
      <c r="B22" s="79" t="s">
        <v>244</v>
      </c>
      <c r="C22" s="71">
        <v>5.37</v>
      </c>
      <c r="D22" s="68" t="s">
        <v>230</v>
      </c>
      <c r="E22" s="72">
        <v>18000</v>
      </c>
      <c r="F22" s="77">
        <f>E22*C22</f>
        <v>96660</v>
      </c>
      <c r="G22" s="74">
        <f t="shared" si="0"/>
        <v>0.11876361693182391</v>
      </c>
    </row>
    <row r="23" spans="1:7">
      <c r="B23" s="79" t="s">
        <v>262</v>
      </c>
      <c r="C23" s="71">
        <v>14.9</v>
      </c>
      <c r="D23" s="68" t="s">
        <v>230</v>
      </c>
      <c r="E23" s="72">
        <f>E7+E13</f>
        <v>11500</v>
      </c>
      <c r="F23" s="77">
        <f>E23*C23</f>
        <v>171350</v>
      </c>
      <c r="G23" s="74">
        <f t="shared" si="0"/>
        <v>0.21053326879027548</v>
      </c>
    </row>
    <row r="24" spans="1:7">
      <c r="B24" s="68"/>
      <c r="C24" s="71"/>
      <c r="D24" s="68"/>
    </row>
    <row r="25" spans="1:7" ht="13.15">
      <c r="B25" s="80"/>
      <c r="C25" s="81"/>
      <c r="D25" s="80"/>
      <c r="E25" s="82" t="s">
        <v>234</v>
      </c>
      <c r="F25" s="82">
        <f>SUM(F19:F23)</f>
        <v>813605.62</v>
      </c>
      <c r="G25" s="83">
        <f>SUM(G19:G23)</f>
        <v>0.99965597131449502</v>
      </c>
    </row>
    <row r="26" spans="1:7">
      <c r="B26" s="68"/>
      <c r="C26" s="71"/>
      <c r="D26" s="68"/>
      <c r="E26" s="72"/>
      <c r="F26" s="72"/>
    </row>
    <row r="27" spans="1:7">
      <c r="B27" s="68"/>
      <c r="C27" s="71"/>
      <c r="D27" s="68"/>
      <c r="E27" s="72"/>
      <c r="F27" s="72"/>
    </row>
    <row r="28" spans="1:7">
      <c r="B28" s="68"/>
      <c r="C28" s="71"/>
      <c r="D28" s="68"/>
      <c r="E28" s="72"/>
      <c r="F28" s="72"/>
    </row>
    <row r="29" spans="1:7">
      <c r="B29" s="68"/>
      <c r="C29" s="71"/>
      <c r="D29" s="68"/>
      <c r="E29" s="72"/>
      <c r="F29" s="72"/>
    </row>
    <row r="30" spans="1:7">
      <c r="B30" s="68"/>
      <c r="C30" s="71"/>
      <c r="D30" s="68"/>
      <c r="E30" s="72"/>
      <c r="F30" s="72"/>
    </row>
    <row r="31" spans="1:7">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98" t="s">
        <v>104</v>
      </c>
      <c r="C3" s="98"/>
      <c r="D3" s="98"/>
    </row>
    <row r="5" spans="1:4">
      <c r="B5" s="99" t="s">
        <v>106</v>
      </c>
      <c r="C5" s="92"/>
      <c r="D5" s="92"/>
    </row>
    <row r="6" spans="1:4">
      <c r="B6" s="99" t="s">
        <v>107</v>
      </c>
      <c r="C6" s="92"/>
      <c r="D6" s="92"/>
    </row>
    <row r="8" spans="1:4">
      <c r="B8" s="1" t="s">
        <v>105</v>
      </c>
    </row>
    <row r="10" spans="1:4">
      <c r="A10" s="5"/>
      <c r="B10" s="6" t="s">
        <v>108</v>
      </c>
    </row>
    <row r="11" spans="1:4">
      <c r="B11" s="98" t="s">
        <v>109</v>
      </c>
      <c r="C11" s="98"/>
      <c r="D11" s="98"/>
    </row>
    <row r="12" spans="1:4">
      <c r="B12" s="98" t="s">
        <v>110</v>
      </c>
      <c r="C12" s="98"/>
      <c r="D12" s="98"/>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98" t="s">
        <v>122</v>
      </c>
      <c r="C28" s="98"/>
      <c r="D28" s="98"/>
    </row>
    <row r="29" spans="1:4">
      <c r="B29" s="98" t="s">
        <v>123</v>
      </c>
      <c r="C29" s="98"/>
      <c r="D29" s="98"/>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2025-04-29T10:05:51Z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