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0299C4C5-0495-4EE8-B361-1387724AE238}"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E13" i="7"/>
  <c r="E14" i="7"/>
  <c r="F3" i="7"/>
  <c r="E8" i="7"/>
  <c r="H8" i="7"/>
  <c r="C8" i="7"/>
  <c r="F8" i="7" s="1"/>
  <c r="D8" i="7"/>
  <c r="H14" i="7"/>
  <c r="C14" i="7"/>
  <c r="D14" i="7"/>
  <c r="D5" i="7"/>
  <c r="D6" i="7"/>
  <c r="D7" i="7"/>
  <c r="D4" i="7"/>
  <c r="D13" i="7"/>
  <c r="H13" i="7"/>
  <c r="H5" i="7"/>
  <c r="H6" i="7"/>
  <c r="H7" i="7"/>
  <c r="H4" i="7"/>
  <c r="C13" i="7"/>
  <c r="C5" i="7"/>
  <c r="C6" i="7"/>
  <c r="C7" i="7"/>
  <c r="C4" i="7"/>
  <c r="F14" i="7" l="1"/>
  <c r="F13" i="7"/>
  <c r="F16" i="7" s="1"/>
  <c r="H10" i="7"/>
  <c r="F7" i="7"/>
  <c r="F6" i="7" l="1"/>
  <c r="F5" i="7"/>
  <c r="F4" i="7"/>
  <c r="C31" i="5"/>
  <c r="F10" i="7" l="1"/>
  <c r="E60" i="5"/>
  <c r="C36" i="5"/>
  <c r="G14" i="7" l="1"/>
  <c r="G8" i="7"/>
  <c r="G7" i="7"/>
  <c r="G13" i="7"/>
  <c r="G16" i="7"/>
  <c r="E61" i="5"/>
  <c r="C16" i="2"/>
  <c r="C10" i="5" s="1"/>
  <c r="C11" i="5"/>
  <c r="E6" i="2"/>
  <c r="E5" i="2"/>
  <c r="E4" i="2"/>
  <c r="H16" i="7" l="1"/>
  <c r="H3" i="7"/>
  <c r="D112" i="5"/>
  <c r="C64" i="5"/>
  <c r="C65" i="5" s="1"/>
  <c r="G5" i="7" l="1"/>
  <c r="G4" i="7"/>
  <c r="G3" i="7"/>
  <c r="G6" i="7"/>
  <c r="G10" i="7" l="1"/>
</calcChain>
</file>

<file path=xl/sharedStrings.xml><?xml version="1.0" encoding="utf-8"?>
<sst xmlns="http://schemas.openxmlformats.org/spreadsheetml/2006/main" count="348" uniqueCount="287">
  <si>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</si>
  <si>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</si>
  <si>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</si>
  <si>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</si>
  <si>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</si>
  <si>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</si>
  <si>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</si>
  <si>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</si>
  <si>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</si>
  <si>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</si>
  <si>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</si>
  <si>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</si>
  <si>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</si>
  <si>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</si>
  <si>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</si>
  <si>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</si>
  <si>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</si>
  <si>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</si>
  <si>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</si>
  <si>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</si>
  <si>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</si>
  <si>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</si>
  <si>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</si>
  <si>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</si>
  <si>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</si>
  <si>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</si>
  <si>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</si>
  <si>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</si>
  <si>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</si>
  <si>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</si>
  <si>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</si>
  <si>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</si>
  <si>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</si>
  <si>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</si>
  <si>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</si>
  <si>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</si>
  <si>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</si>
  <si>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</si>
  <si>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</si>
  <si>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</si>
  <si>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</si>
  <si>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</si>
  <si>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</si>
  <si>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</si>
  <si>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</si>
  <si>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</si>
  <si>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</si>
  <si>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</si>
  <si>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</si>
  <si>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</si>
  <si>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</si>
  <si>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</si>
  <si>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</si>
  <si>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</si>
  <si>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</si>
  <si>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</si>
  <si>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</si>
  <si>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</si>
  <si>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</si>
  <si>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</si>
  <si>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</si>
  <si>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</si>
  <si>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</si>
  <si>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</si>
  <si>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</si>
  <si>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</si>
  <si>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</si>
  <si>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</si>
  <si>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</si>
  <si>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</si>
  <si>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</si>
  <si>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</si>
  <si>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</si>
  <si>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</si>
  <si>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</si>
  <si>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</si>
  <si>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</si>
  <si>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</si>
  <si>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</si>
  <si>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</si>
  <si>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</si>
  <si>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</si>
  <si>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</si>
  <si>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</si>
  <si>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</si>
  <si>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</si>
  <si>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</si>
  <si>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</si>
  <si>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</si>
  <si>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</si>
  <si>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</si>
  <si>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</si>
  <si>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</si>
  <si>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</si>
  <si>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</si>
  <si>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</si>
  <si>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</si>
  <si>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</si>
  <si>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</si>
  <si>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</si>
  <si>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</si>
  <si>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</si>
  <si>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</si>
  <si>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</si>
  <si>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</si>
  <si>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</si>
  <si>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</si>
  <si>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</si>
  <si>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</si>
  <si>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</si>
  <si>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</si>
  <si>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</si>
  <si>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</si>
  <si>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</si>
  <si>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</si>
  <si>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</si>
  <si>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</si>
  <si>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</si>
  <si>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</si>
  <si>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</si>
  <si>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</si>
  <si>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</si>
  <si>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</si>
  <si>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</si>
  <si>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</si>
  <si>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</si>
  <si>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</si>
  <si>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</si>
  <si>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</si>
  <si>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</si>
  <si>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</si>
  <si>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</si>
  <si>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</si>
  <si>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</si>
  <si>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</si>
  <si>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</si>
  <si>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</si>
  <si>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</si>
  <si>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</si>
  <si>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</si>
  <si>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</si>
  <si>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</si>
  <si>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</si>
  <si>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</si>
  <si>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</si>
  <si>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</si>
  <si>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</si>
  <si>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</si>
  <si>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</si>
  <si>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</si>
  <si>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</si>
  <si>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</si>
  <si>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</si>
  <si>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</si>
  <si>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</si>
  <si>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</si>
  <si>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</si>
  <si>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</si>
  <si>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</si>
  <si>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</si>
  <si>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</si>
  <si>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</si>
  <si>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</si>
  <si>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</si>
  <si>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</si>
  <si>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</si>
  <si>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</si>
  <si>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</si>
  <si>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</si>
  <si>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</si>
  <si>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</si>
  <si>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</si>
  <si>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</si>
  <si>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</si>
  <si>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</si>
  <si>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</si>
  <si>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</si>
  <si>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</si>
  <si>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</si>
  <si>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</si>
  <si>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</si>
  <si>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</si>
  <si>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</si>
  <si>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</si>
  <si>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</si>
  <si>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</si>
  <si>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</si>
  <si>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</si>
  <si>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</si>
  <si>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</si>
  <si>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</si>
  <si>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</si>
  <si>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</si>
  <si>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</si>
  <si>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</si>
  <si>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</si>
  <si>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</si>
  <si>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</si>
  <si>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</si>
  <si>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</si>
  <si>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</si>
  <si>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</si>
  <si>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</si>
  <si>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</si>
  <si>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</si>
  <si>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</si>
  <si>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</si>
  <si>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</si>
  <si>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</si>
  <si>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</si>
  <si>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</si>
  <si>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</si>
  <si>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</si>
  <si>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</si>
  <si>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</si>
  <si>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</si>
  <si>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</si>
  <si>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</si>
  <si>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</si>
  <si>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</si>
  <si>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</si>
  <si>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</si>
  <si>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</si>
  <si>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</si>
  <si>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</si>
  <si>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</si>
  <si>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</si>
  <si>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</si>
  <si>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</si>
  <si>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</si>
  <si>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</si>
  <si>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</si>
  <si>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</si>
  <si>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</si>
  <si>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</si>
  <si>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</si>
  <si>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</si>
  <si>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</si>
  <si>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</si>
  <si>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</si>
  <si>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</si>
  <si>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</si>
  <si>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</si>
  <si>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</si>
  <si>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</si>
  <si>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</si>
  <si>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</si>
  <si>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</si>
  <si>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</si>
  <si>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</si>
  <si>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</si>
  <si>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</si>
  <si>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</si>
  <si>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</si>
  <si>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</si>
  <si>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</si>
  <si>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</si>
  <si>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</si>
  <si>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</si>
  <si>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</si>
  <si>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</si>
  <si>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</si>
  <si>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</si>
  <si>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</si>
  <si>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</si>
  <si>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</si>
  <si>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</si>
  <si>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</si>
  <si>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</si>
  <si>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</si>
  <si>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</si>
  <si>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</si>
  <si>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</si>
  <si>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</si>
  <si>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</si>
  <si>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</si>
  <si>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</si>
  <si>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</si>
  <si>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</si>
  <si>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</si>
  <si>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</si>
  <si>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</si>
  <si>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</si>
  <si>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</si>
  <si>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</si>
  <si>
    <t>0883.HK</t>
  </si>
  <si>
    <t>中国海油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</si>
</sst>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39" sqref="B39:E3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5" t="s">
        <v>209</v>
      </c>
      <c r="C4" s="95"/>
      <c r="D4" s="95"/>
      <c r="E4" s="95"/>
    </row>
    <row r="6" spans="1:5">
      <c r="A6" s="20" t="s">
        <v>66</v>
      </c>
      <c r="B6" s="19" t="s">
        <v>192</v>
      </c>
      <c r="C6" s="61"/>
    </row>
    <row r="7" spans="1:5">
      <c r="B7" s="95" t="s">
        <v>197</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5" t="s">
        <v>208</v>
      </c>
      <c r="C24" s="95"/>
      <c r="D24" s="95"/>
      <c r="E24" s="95"/>
    </row>
    <row r="25" spans="1:5">
      <c r="A25" s="18"/>
    </row>
    <row r="26" spans="1:5">
      <c r="A26" s="18"/>
      <c r="B26" s="50" t="s">
        <v>152</v>
      </c>
      <c r="C26" s="50" t="s">
        <v>146</v>
      </c>
    </row>
    <row r="27" spans="1:5">
      <c r="B27" s="26" t="s">
        <v>84</v>
      </c>
      <c r="C27" s="51">
        <v>6</v>
      </c>
    </row>
    <row r="28" spans="1:5">
      <c r="B28" s="26" t="s">
        <v>63</v>
      </c>
      <c r="C28" s="52">
        <v>0.4</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0.4</v>
      </c>
      <c r="D35" s="18" t="s">
        <v>56</v>
      </c>
      <c r="E35" s="93">
        <v>3</v>
      </c>
    </row>
    <row r="36" spans="1:5">
      <c r="B36" s="1" t="s">
        <v>17</v>
      </c>
      <c r="C36" s="49">
        <f>MAX(8%,Market_Yield!C4:D6)</f>
        <v>0.08</v>
      </c>
      <c r="D36" s="1" t="s">
        <v>236</v>
      </c>
      <c r="E36" s="48">
        <v>0.2</v>
      </c>
    </row>
    <row r="38" spans="1:5">
      <c r="B38" s="20" t="s">
        <v>85</v>
      </c>
    </row>
    <row r="39" spans="1:5">
      <c r="B39" s="95" t="s">
        <v>154</v>
      </c>
      <c r="C39" s="95"/>
      <c r="D39" s="95"/>
      <c r="E39" s="95"/>
    </row>
    <row r="40" spans="1:5" ht="46.6" customHeight="1">
      <c r="B40" s="95" t="s">
        <v>222</v>
      </c>
      <c r="C40" s="95"/>
      <c r="D40" s="95"/>
      <c r="E40" s="95"/>
    </row>
    <row r="42" spans="1:5">
      <c r="A42" s="21" t="s">
        <v>175</v>
      </c>
      <c r="B42" s="21"/>
      <c r="C42" s="21"/>
      <c r="D42" s="21"/>
      <c r="E42" s="21"/>
    </row>
    <row r="44" spans="1:5">
      <c r="B44" s="95" t="s">
        <v>196</v>
      </c>
      <c r="C44" s="95"/>
      <c r="D44" s="95"/>
      <c r="E44" s="95"/>
    </row>
    <row r="46" spans="1:5">
      <c r="B46" s="23" t="s">
        <v>90</v>
      </c>
    </row>
    <row r="48" spans="1:5">
      <c r="B48" s="50" t="s">
        <v>91</v>
      </c>
      <c r="C48" s="50" t="s">
        <v>187</v>
      </c>
      <c r="D48" s="56"/>
      <c r="E48" s="56"/>
    </row>
    <row r="49" spans="2:5">
      <c r="B49" s="26" t="s">
        <v>87</v>
      </c>
      <c r="C49" s="29">
        <v>0.6</v>
      </c>
      <c r="D49" s="57"/>
      <c r="E49" s="55"/>
    </row>
    <row r="50" spans="2:5">
      <c r="B50" s="26" t="s">
        <v>88</v>
      </c>
      <c r="C50" s="29">
        <v>0.4</v>
      </c>
      <c r="D50" s="57"/>
      <c r="E50" s="55"/>
    </row>
    <row r="51" spans="2:5">
      <c r="B51" s="26" t="s">
        <v>89</v>
      </c>
      <c r="C51" s="29">
        <v>0.3</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240</v>
      </c>
      <c r="D58" s="26" t="s">
        <v>241</v>
      </c>
      <c r="E58" s="41">
        <v>2</v>
      </c>
    </row>
    <row r="59" spans="2:5">
      <c r="B59" s="26" t="s">
        <v>72</v>
      </c>
      <c r="C59" s="26" t="s">
        <v>74</v>
      </c>
      <c r="D59" s="26" t="s">
        <v>78</v>
      </c>
      <c r="E59" s="41">
        <v>1</v>
      </c>
    </row>
    <row r="60" spans="2:5">
      <c r="D60" s="27" t="s">
        <v>79</v>
      </c>
      <c r="E60" s="40">
        <f>SUM(E56:E59)</f>
        <v>6</v>
      </c>
    </row>
    <row r="61" spans="2:5" ht="12" thickBot="1">
      <c r="D61" s="42" t="s">
        <v>185</v>
      </c>
      <c r="E61" s="43">
        <f>IF(E60&lt;=2,C49,IF(E60&gt;=6,C51,C50))</f>
        <v>0.3</v>
      </c>
    </row>
    <row r="62" spans="2:5" ht="12" thickTop="1"/>
    <row r="63" spans="2:5">
      <c r="B63" s="23" t="s">
        <v>186</v>
      </c>
    </row>
    <row r="64" spans="2:5">
      <c r="B64" s="53" t="s">
        <v>161</v>
      </c>
      <c r="C64" s="54">
        <f>-E61*(C35-Cash_Yield)</f>
        <v>-0.10965000000000001</v>
      </c>
    </row>
    <row r="65" spans="1:5">
      <c r="B65" s="53" t="s">
        <v>162</v>
      </c>
      <c r="C65" s="54">
        <f>C35+C64</f>
        <v>0.29035</v>
      </c>
    </row>
    <row r="66" spans="1:5">
      <c r="B66" s="45"/>
      <c r="C66" s="46"/>
    </row>
    <row r="67" spans="1:5">
      <c r="B67" s="39" t="s">
        <v>190</v>
      </c>
    </row>
    <row r="69" spans="1:5">
      <c r="A69" s="21" t="s">
        <v>80</v>
      </c>
      <c r="B69" s="21"/>
      <c r="C69" s="21"/>
      <c r="D69" s="21"/>
      <c r="E69" s="21"/>
    </row>
    <row r="71" spans="1:5">
      <c r="B71" s="95" t="s">
        <v>184</v>
      </c>
      <c r="C71" s="95"/>
      <c r="D71" s="95"/>
      <c r="E71" s="95"/>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6" t="s">
        <v>180</v>
      </c>
      <c r="C85" s="96"/>
      <c r="D85" s="96"/>
      <c r="E85" s="96"/>
    </row>
    <row r="86" spans="1:5">
      <c r="B86" s="94" t="s">
        <v>178</v>
      </c>
      <c r="C86" s="94"/>
      <c r="D86" s="94"/>
      <c r="E86" s="94"/>
    </row>
    <row r="87" spans="1:5" ht="24.4" customHeight="1">
      <c r="B87" s="95" t="s">
        <v>177</v>
      </c>
      <c r="C87" s="95"/>
      <c r="D87" s="95"/>
      <c r="E87" s="95"/>
    </row>
    <row r="88" spans="1:5" ht="24.4" customHeight="1">
      <c r="B88" s="95" t="s">
        <v>213</v>
      </c>
      <c r="C88" s="95"/>
      <c r="D88" s="95"/>
      <c r="E88" s="95"/>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7" t="s">
        <v>199</v>
      </c>
      <c r="C97" s="97"/>
      <c r="D97" s="97"/>
      <c r="E97" s="97"/>
    </row>
    <row r="99" spans="1:5">
      <c r="B99" s="24" t="s">
        <v>203</v>
      </c>
    </row>
    <row r="100" spans="1:5" ht="12.4">
      <c r="B100" s="97" t="s">
        <v>200</v>
      </c>
      <c r="C100" s="97"/>
      <c r="D100" s="97"/>
      <c r="E100" s="97"/>
    </row>
    <row r="101" spans="1:5" ht="58.5" customHeight="1">
      <c r="B101" s="95" t="s">
        <v>207</v>
      </c>
      <c r="C101" s="95"/>
      <c r="D101" s="95"/>
      <c r="E101" s="95"/>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0.20113853859511621</v>
      </c>
      <c r="D112" s="61" t="str">
        <f>IF(C112&lt;benchmark,"Warning: Return is lower than the Benchmark.","")</f>
        <v/>
      </c>
    </row>
    <row r="114" spans="1:5" ht="24.4" customHeight="1">
      <c r="B114" s="95" t="s">
        <v>205</v>
      </c>
      <c r="C114" s="95"/>
      <c r="D114" s="95"/>
      <c r="E114" s="95"/>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I3" sqref="I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238</v>
      </c>
      <c r="M1" s="104"/>
      <c r="N1" s="98" t="s">
        <v>9</v>
      </c>
      <c r="O1" s="98"/>
      <c r="P1" s="102" t="s">
        <v>235</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237</v>
      </c>
      <c r="M2" s="8" t="s">
        <v>228</v>
      </c>
      <c r="N2" s="7" t="s">
        <v>13</v>
      </c>
      <c r="O2" s="7" t="s">
        <v>7</v>
      </c>
      <c r="P2" s="7" t="s">
        <v>232</v>
      </c>
      <c r="Q2" s="7" t="s">
        <v>231</v>
      </c>
      <c r="R2" s="7" t="s">
        <v>234</v>
      </c>
      <c r="S2" s="7" t="s">
        <v>233</v>
      </c>
      <c r="T2" s="7" t="s">
        <v>6</v>
      </c>
      <c r="U2" s="7" t="s">
        <v>14</v>
      </c>
      <c r="V2" s="9" t="s">
        <v>10</v>
      </c>
      <c r="W2" s="10" t="s">
        <v>52</v>
      </c>
    </row>
    <row r="3" spans="1:23">
      <c r="B3" s="11" t="s">
        <v>285</v>
      </c>
      <c r="C3" s="11" t="s">
        <v>286</v>
      </c>
      <c r="D3" s="2">
        <v>17.54</v>
      </c>
      <c r="E3" s="12" t="s">
        <v>156</v>
      </c>
      <c r="F3" s="15">
        <v>0.34266014643955889</v>
      </c>
      <c r="G3" s="15">
        <f>F3 - Portfolio_Mgmt!$C$10</f>
        <v>0.22526014643955888</v>
      </c>
      <c r="H3" s="15">
        <f>F3 - Portfolio_Mgmt!$C$11</f>
        <v>0.30816014643955891</v>
      </c>
      <c r="I3" s="15">
        <v>0.34266014643955889</v>
      </c>
      <c r="J3" s="2">
        <v>15.581396137654423</v>
      </c>
      <c r="K3" s="2">
        <v>36.651351001723732</v>
      </c>
      <c r="L3" s="2">
        <v>24.159346644516049</v>
      </c>
      <c r="M3" s="86">
        <v>32.702959884262221</v>
      </c>
      <c r="N3" s="4">
        <v>0.15508330935322556</v>
      </c>
      <c r="O3" s="4">
        <v>7.9817559863169893E-2</v>
      </c>
      <c r="P3" s="15">
        <v>0.40943456145688223</v>
      </c>
      <c r="Q3" s="15">
        <v>0.12260820136742831</v>
      </c>
      <c r="R3" s="92">
        <v>0.55676370950656873</v>
      </c>
      <c r="S3" s="86">
        <v>-0.44428159991714977</v>
      </c>
      <c r="T3" s="13" t="s">
        <v>223</v>
      </c>
      <c r="U3" s="11" t="s">
        <v>157</v>
      </c>
      <c r="V3" s="14">
        <v>45900</v>
      </c>
      <c r="W3" s="11" t="s">
        <v>158</v>
      </c>
    </row>
    <row r="4" spans="1:23">
      <c r="B4" s="11" t="s">
        <v>239</v>
      </c>
      <c r="C4" s="11" t="s">
        <v>267</v>
      </c>
      <c r="D4" s="2">
        <v>1.2</v>
      </c>
      <c r="E4" s="12" t="s">
        <v>156</v>
      </c>
      <c r="F4" s="15">
        <v>0.2058485455024226</v>
      </c>
      <c r="G4" s="15">
        <f>F4 - Portfolio_Mgmt!$C$10</f>
        <v>8.8448545502422593E-2</v>
      </c>
      <c r="H4" s="15">
        <f>F4 - Portfolio_Mgmt!$C$11</f>
        <v>0.17134854550242259</v>
      </c>
      <c r="I4" s="15">
        <v>0.20584854550242257</v>
      </c>
      <c r="J4" s="2">
        <v>0.76678821707017375</v>
      </c>
      <c r="K4" s="2">
        <v>2.1040668676405563</v>
      </c>
      <c r="L4" s="2">
        <v>1.2176312891438406</v>
      </c>
      <c r="M4" s="86">
        <v>1.6702761167953912</v>
      </c>
      <c r="N4" s="4">
        <v>7.9897135371140952E-3</v>
      </c>
      <c r="O4" s="4">
        <v>0</v>
      </c>
      <c r="P4" s="15">
        <v>9.7057481271370302E-2</v>
      </c>
      <c r="Q4" s="15">
        <v>1.4790654865358754E-2</v>
      </c>
      <c r="R4" s="92">
        <v>3.4432102574884196</v>
      </c>
      <c r="S4" s="86">
        <v>2.0258239687205015</v>
      </c>
      <c r="T4" s="13" t="s">
        <v>268</v>
      </c>
      <c r="U4" s="11" t="s">
        <v>269</v>
      </c>
      <c r="V4" s="14">
        <v>45900</v>
      </c>
      <c r="W4" s="11" t="s">
        <v>158</v>
      </c>
    </row>
    <row r="5" spans="1:23">
      <c r="B5" s="11" t="s">
        <v>270</v>
      </c>
      <c r="C5" s="11" t="s">
        <v>271</v>
      </c>
      <c r="D5" s="2">
        <v>1.97</v>
      </c>
      <c r="E5" s="12" t="s">
        <v>156</v>
      </c>
      <c r="F5" s="15">
        <v>0.20462519829719406</v>
      </c>
      <c r="G5" s="15">
        <f>F5 - Portfolio_Mgmt!$C$10</f>
        <v>8.7225198297194051E-2</v>
      </c>
      <c r="H5" s="15">
        <f>F5 - Portfolio_Mgmt!$C$11</f>
        <v>0.17012519829719405</v>
      </c>
      <c r="I5" s="15">
        <v>0.15149130805801847</v>
      </c>
      <c r="J5" s="2">
        <v>1.2806485026105419</v>
      </c>
      <c r="K5" s="2">
        <v>3.0780994911633259</v>
      </c>
      <c r="L5" s="2">
        <v>1.9919557240528507</v>
      </c>
      <c r="M5" s="86">
        <v>2.7012043158780146</v>
      </c>
      <c r="N5" s="4">
        <v>6.6431576806824072E-2</v>
      </c>
      <c r="O5" s="4">
        <v>5.0761421319796961E-2</v>
      </c>
      <c r="P5" s="15">
        <v>0.23422582328431374</v>
      </c>
      <c r="Q5" s="15">
        <v>0.10863424600069688</v>
      </c>
      <c r="R5" s="92">
        <v>2.2824569622635926</v>
      </c>
      <c r="S5" s="86">
        <v>1.7907626778741865</v>
      </c>
      <c r="T5" s="13" t="s">
        <v>272</v>
      </c>
      <c r="U5" s="11" t="s">
        <v>157</v>
      </c>
      <c r="V5" s="14">
        <v>45900</v>
      </c>
      <c r="W5" s="11" t="s">
        <v>158</v>
      </c>
    </row>
    <row r="6" spans="1:23">
      <c r="B6" s="11" t="s">
        <v>225</v>
      </c>
      <c r="C6" s="11" t="s">
        <v>260</v>
      </c>
      <c r="D6" s="2">
        <v>15.62</v>
      </c>
      <c r="E6" s="12" t="s">
        <v>156</v>
      </c>
      <c r="F6" s="15">
        <v>0.18283075466126464</v>
      </c>
      <c r="G6" s="15">
        <f>F6 - Portfolio_Mgmt!$C$10</f>
        <v>6.5430754661264634E-2</v>
      </c>
      <c r="H6" s="15">
        <f>F6 - Portfolio_Mgmt!$C$11</f>
        <v>0.14833075466126464</v>
      </c>
      <c r="I6" s="15">
        <v>0</v>
      </c>
      <c r="J6" s="2">
        <v>9.5746666753051599</v>
      </c>
      <c r="K6" s="2">
        <v>23.899333440997744</v>
      </c>
      <c r="L6" s="2">
        <v>14.977385795894701</v>
      </c>
      <c r="M6" s="86">
        <v>20.375014060112886</v>
      </c>
      <c r="N6" s="4">
        <v>6.438287848640141E-2</v>
      </c>
      <c r="O6" s="4">
        <v>3.4852281772950626E-2</v>
      </c>
      <c r="P6" s="15">
        <v>0.36794481423679237</v>
      </c>
      <c r="Q6" s="15">
        <v>7.4171010848313429E-2</v>
      </c>
      <c r="R6" s="92">
        <v>0.60402076709908736</v>
      </c>
      <c r="S6" s="86">
        <v>4.5287238180520148</v>
      </c>
      <c r="T6" s="13" t="s">
        <v>247</v>
      </c>
      <c r="U6" s="11" t="s">
        <v>157</v>
      </c>
      <c r="V6" s="14">
        <v>45900</v>
      </c>
      <c r="W6" s="11" t="s">
        <v>158</v>
      </c>
    </row>
    <row r="7" spans="1:23">
      <c r="B7" s="11" t="s">
        <v>245</v>
      </c>
      <c r="C7" s="11" t="s">
        <v>246</v>
      </c>
      <c r="D7" s="2">
        <v>53.15</v>
      </c>
      <c r="E7" s="12" t="s">
        <v>156</v>
      </c>
      <c r="F7" s="15">
        <v>0.15825743289603778</v>
      </c>
      <c r="G7" s="15">
        <f>F7 - Portfolio_Mgmt!$C$10</f>
        <v>4.0857432896037771E-2</v>
      </c>
      <c r="H7" s="15">
        <f>F7 - Portfolio_Mgmt!$C$11</f>
        <v>0.12375743289603777</v>
      </c>
      <c r="I7" s="15">
        <v>0</v>
      </c>
      <c r="J7" s="2">
        <v>31.682749537465</v>
      </c>
      <c r="K7" s="2">
        <v>64.892912330803952</v>
      </c>
      <c r="L7" s="2">
        <v>48.204328663659695</v>
      </c>
      <c r="M7" s="86">
        <v>64.544120328141631</v>
      </c>
      <c r="N7" s="4">
        <v>9.915787479489864E-2</v>
      </c>
      <c r="O7" s="4">
        <v>9.5128692380056445E-2</v>
      </c>
      <c r="P7" s="15">
        <v>1.2907496012759174</v>
      </c>
      <c r="Q7" s="15">
        <v>0.24768740031897937</v>
      </c>
      <c r="R7" s="92">
        <v>0.73855199466278643</v>
      </c>
      <c r="S7" s="86">
        <v>-2.6504984195888377</v>
      </c>
      <c r="T7" s="13" t="s">
        <v>247</v>
      </c>
      <c r="U7" s="11" t="s">
        <v>157</v>
      </c>
      <c r="V7" s="14">
        <v>45808</v>
      </c>
      <c r="W7" s="11" t="s">
        <v>158</v>
      </c>
    </row>
    <row r="8" spans="1:23">
      <c r="B8" s="11" t="s">
        <v>261</v>
      </c>
      <c r="C8" s="11" t="s">
        <v>262</v>
      </c>
      <c r="D8" s="2">
        <v>69.47</v>
      </c>
      <c r="E8" s="12" t="s">
        <v>263</v>
      </c>
      <c r="F8" s="15">
        <v>0.15471860434131091</v>
      </c>
      <c r="G8" s="15">
        <f>F8 - Portfolio_Mgmt!$C$10</f>
        <v>3.7318604341310901E-2</v>
      </c>
      <c r="H8" s="15">
        <f>F8 - Portfolio_Mgmt!$C$11</f>
        <v>0.1202186043413109</v>
      </c>
      <c r="I8" s="15">
        <v>0</v>
      </c>
      <c r="J8" s="2">
        <v>40.456571020558471</v>
      </c>
      <c r="K8" s="2">
        <v>90.751910880412424</v>
      </c>
      <c r="L8" s="2">
        <v>62.307286389127562</v>
      </c>
      <c r="M8" s="86">
        <v>84.017562490801396</v>
      </c>
      <c r="N8" s="4">
        <v>7.6004054430222762E-2</v>
      </c>
      <c r="O8" s="4">
        <v>6.6892183676407091E-2</v>
      </c>
      <c r="P8" s="15">
        <v>0.30279158651211824</v>
      </c>
      <c r="Q8" s="15">
        <v>7.7640983998987034E-4</v>
      </c>
      <c r="R8" s="92">
        <v>3.8209153156820415E-3</v>
      </c>
      <c r="S8" s="86">
        <v>15.284602440692964</v>
      </c>
      <c r="T8" s="13" t="s">
        <v>250</v>
      </c>
      <c r="U8" s="11" t="s">
        <v>157</v>
      </c>
      <c r="V8" s="14">
        <v>45900</v>
      </c>
      <c r="W8" s="11" t="s">
        <v>251</v>
      </c>
    </row>
    <row r="9" spans="1:23">
      <c r="B9" s="11" t="s">
        <v>255</v>
      </c>
      <c r="C9" s="11" t="s">
        <v>256</v>
      </c>
      <c r="D9" s="2">
        <v>3.57</v>
      </c>
      <c r="E9" s="12" t="s">
        <v>156</v>
      </c>
      <c r="F9" s="15">
        <v>0.14834835832623461</v>
      </c>
      <c r="G9" s="15">
        <f>F9 - Portfolio_Mgmt!$C$10</f>
        <v>3.0948358326234604E-2</v>
      </c>
      <c r="H9" s="15">
        <f>F9 - Portfolio_Mgmt!$C$11</f>
        <v>0.11384835832623461</v>
      </c>
      <c r="I9" s="15">
        <v>0</v>
      </c>
      <c r="J9" s="2">
        <v>2.0118297468067095</v>
      </c>
      <c r="K9" s="2">
        <v>4.9623808252376094</v>
      </c>
      <c r="L9" s="2">
        <v>3.1413777923828756</v>
      </c>
      <c r="M9" s="86">
        <v>4.2691663056616189</v>
      </c>
      <c r="N9" s="4">
        <v>7.9541327003833207E-2</v>
      </c>
      <c r="O9" s="4">
        <v>3.5854341736694682E-2</v>
      </c>
      <c r="P9" s="15">
        <v>0.40000523965699897</v>
      </c>
      <c r="Q9" s="15">
        <v>0.10646655543311496</v>
      </c>
      <c r="R9" s="92">
        <v>0.9804830051022897</v>
      </c>
      <c r="S9" s="86">
        <v>1.6698226477450393</v>
      </c>
      <c r="T9" s="13" t="s">
        <v>257</v>
      </c>
      <c r="U9" s="11" t="s">
        <v>157</v>
      </c>
      <c r="V9" s="14">
        <v>45808</v>
      </c>
      <c r="W9" s="11" t="s">
        <v>158</v>
      </c>
    </row>
    <row r="10" spans="1:23">
      <c r="B10" s="11" t="s">
        <v>252</v>
      </c>
      <c r="C10" s="11" t="s">
        <v>253</v>
      </c>
      <c r="D10" s="2">
        <v>6.29</v>
      </c>
      <c r="E10" s="12" t="s">
        <v>156</v>
      </c>
      <c r="F10" s="15">
        <v>0.14740643085297989</v>
      </c>
      <c r="G10" s="15">
        <f>F10 - Portfolio_Mgmt!$C$10</f>
        <v>3.0006430852979882E-2</v>
      </c>
      <c r="H10" s="15">
        <f>F10 - Portfolio_Mgmt!$C$11</f>
        <v>0.11290643085297988</v>
      </c>
      <c r="I10" s="15">
        <v>0</v>
      </c>
      <c r="J10" s="2">
        <v>3.6070431510481131</v>
      </c>
      <c r="K10" s="2">
        <v>7.970870141114629</v>
      </c>
      <c r="L10" s="2">
        <v>5.5437094670052947</v>
      </c>
      <c r="M10" s="86">
        <v>7.4664546878097049</v>
      </c>
      <c r="N10" s="4">
        <v>0.12310192450717039</v>
      </c>
      <c r="O10" s="4">
        <v>7.0260653482351193E-2</v>
      </c>
      <c r="P10" s="15">
        <v>0.61007460831657279</v>
      </c>
      <c r="Q10" s="15">
        <v>0.16360901428944893</v>
      </c>
      <c r="R10" s="92">
        <v>1.1309485990394448</v>
      </c>
      <c r="S10" s="86">
        <v>-3.8116415116695737</v>
      </c>
      <c r="T10" s="16" t="s">
        <v>223</v>
      </c>
      <c r="U10" s="11" t="s">
        <v>254</v>
      </c>
      <c r="V10" s="14">
        <v>45900</v>
      </c>
      <c r="W10" s="11" t="s">
        <v>158</v>
      </c>
    </row>
    <row r="11" spans="1:23">
      <c r="B11" s="11" t="s">
        <v>258</v>
      </c>
      <c r="C11" s="11" t="s">
        <v>259</v>
      </c>
      <c r="D11" s="2">
        <v>17.54</v>
      </c>
      <c r="E11" s="12" t="s">
        <v>156</v>
      </c>
      <c r="F11" s="15">
        <v>0.12734758401343882</v>
      </c>
      <c r="G11" s="15">
        <f>F11 - Portfolio_Mgmt!$C$10</f>
        <v>9.9475840134388149E-3</v>
      </c>
      <c r="H11" s="15">
        <f>F11 - Portfolio_Mgmt!$C$11</f>
        <v>9.2847584013438816E-2</v>
      </c>
      <c r="I11" s="15">
        <v>0</v>
      </c>
      <c r="J11" s="2">
        <v>9.6350511887729162</v>
      </c>
      <c r="K11" s="2">
        <v>20.508980461992877</v>
      </c>
      <c r="L11" s="2">
        <v>14.733437767356989</v>
      </c>
      <c r="M11" s="86">
        <v>19.785541823839793</v>
      </c>
      <c r="N11" s="4">
        <v>9.8516876816968607E-2</v>
      </c>
      <c r="O11" s="4">
        <v>7.7537058152793617E-2</v>
      </c>
      <c r="P11" s="15">
        <v>0.31018327415220487</v>
      </c>
      <c r="Q11" s="15">
        <v>0.15818859882129041</v>
      </c>
      <c r="R11" s="92">
        <v>1.4550387206421544</v>
      </c>
      <c r="S11" s="86">
        <v>5.8696003638854428</v>
      </c>
      <c r="T11" s="13" t="s">
        <v>257</v>
      </c>
      <c r="U11" s="11" t="s">
        <v>157</v>
      </c>
      <c r="V11" s="14">
        <v>45808</v>
      </c>
      <c r="W11" s="11" t="s">
        <v>158</v>
      </c>
    </row>
    <row r="12" spans="1:23">
      <c r="B12" s="11" t="s">
        <v>276</v>
      </c>
      <c r="C12" s="11" t="s">
        <v>277</v>
      </c>
      <c r="D12" s="2">
        <v>21.88</v>
      </c>
      <c r="E12" s="12" t="s">
        <v>278</v>
      </c>
      <c r="F12" s="15">
        <v>0.12708202937377311</v>
      </c>
      <c r="G12" s="15">
        <f>F12 - Portfolio_Mgmt!$C$10</f>
        <v>9.6820293737731045E-3</v>
      </c>
      <c r="H12" s="15">
        <f>F12 - Portfolio_Mgmt!$C$11</f>
        <v>9.2582029373773106E-2</v>
      </c>
      <c r="I12" s="15">
        <v>0</v>
      </c>
      <c r="J12" s="2">
        <v>11.624652823058726</v>
      </c>
      <c r="K12" s="2">
        <v>29.309951346473134</v>
      </c>
      <c r="L12" s="2">
        <v>18.21218480698677</v>
      </c>
      <c r="M12" s="86">
        <v>24.796949133193245</v>
      </c>
      <c r="N12" s="4">
        <v>0.20836204512514597</v>
      </c>
      <c r="O12" s="4">
        <v>2.7129798903107863E-2</v>
      </c>
      <c r="P12" s="15">
        <v>1.4851905363915479</v>
      </c>
      <c r="Q12" s="15">
        <v>0.95241105291674188</v>
      </c>
      <c r="R12" s="92">
        <v>4.0148803043206254</v>
      </c>
      <c r="S12" s="86">
        <v>-38.360607814419353</v>
      </c>
      <c r="T12" s="13" t="s">
        <v>279</v>
      </c>
      <c r="U12" s="11" t="s">
        <v>157</v>
      </c>
      <c r="V12" s="14">
        <v>45900</v>
      </c>
      <c r="W12" s="11" t="s">
        <v>251</v>
      </c>
    </row>
    <row r="13" spans="1:23">
      <c r="B13" s="11" t="s">
        <v>264</v>
      </c>
      <c r="C13" s="11" t="s">
        <v>265</v>
      </c>
      <c r="D13" s="2">
        <v>13.8</v>
      </c>
      <c r="E13" s="12" t="s">
        <v>156</v>
      </c>
      <c r="F13" s="15">
        <v>0.12343060589714883</v>
      </c>
      <c r="G13" s="15">
        <f>F13 - Portfolio_Mgmt!$C$10</f>
        <v>6.0306058971488219E-3</v>
      </c>
      <c r="H13" s="15">
        <f>F13 - Portfolio_Mgmt!$C$11</f>
        <v>8.8930605897148823E-2</v>
      </c>
      <c r="I13" s="15">
        <v>0</v>
      </c>
      <c r="J13" s="2">
        <v>7.4274079182285586</v>
      </c>
      <c r="K13" s="2">
        <v>16.73836897721916</v>
      </c>
      <c r="L13" s="2">
        <v>11.446356334964792</v>
      </c>
      <c r="M13" s="2">
        <v>15.440419547734052</v>
      </c>
      <c r="N13" s="4">
        <v>0.11152779187810041</v>
      </c>
      <c r="O13" s="4">
        <v>6.0537799999999996E-2</v>
      </c>
      <c r="P13" s="15">
        <v>2.2875080906148866</v>
      </c>
      <c r="Q13" s="15">
        <v>1.5035598705501618</v>
      </c>
      <c r="R13" s="92">
        <v>4.1998196571663646</v>
      </c>
      <c r="S13" s="86">
        <v>-12.166449024907546</v>
      </c>
      <c r="T13" s="13" t="s">
        <v>247</v>
      </c>
      <c r="U13" s="11" t="s">
        <v>266</v>
      </c>
      <c r="V13" s="14">
        <v>45900</v>
      </c>
      <c r="W13" s="11" t="s">
        <v>251</v>
      </c>
    </row>
    <row r="14" spans="1:23">
      <c r="B14" s="11" t="s">
        <v>280</v>
      </c>
      <c r="C14" s="11" t="s">
        <v>281</v>
      </c>
      <c r="D14" s="2">
        <v>27.17</v>
      </c>
      <c r="E14" s="12" t="s">
        <v>278</v>
      </c>
      <c r="F14" s="15">
        <v>0.11681748174457507</v>
      </c>
      <c r="G14" s="15">
        <f>F14 - Portfolio_Mgmt!$C$10</f>
        <v>-5.8251825542493529E-4</v>
      </c>
      <c r="H14" s="15">
        <f>F14 - Portfolio_Mgmt!$C$11</f>
        <v>8.2317481744575066E-2</v>
      </c>
      <c r="I14" s="15">
        <v>0</v>
      </c>
      <c r="J14" s="2">
        <v>14.373490987382715</v>
      </c>
      <c r="K14" s="2">
        <v>32.464859269378167</v>
      </c>
      <c r="L14" s="2">
        <v>22.157904669779033</v>
      </c>
      <c r="M14" s="2">
        <v>29.895007167811503</v>
      </c>
      <c r="N14" s="4">
        <v>9.3454818085498617E-2</v>
      </c>
      <c r="O14" s="4">
        <v>5.8888479941111523E-2</v>
      </c>
      <c r="P14" s="15">
        <v>0.78990369994931575</v>
      </c>
      <c r="Q14" s="15">
        <v>0.40281804358844397</v>
      </c>
      <c r="R14" s="92">
        <v>3.955391512509995</v>
      </c>
      <c r="S14" s="86">
        <v>-26.938493611476797</v>
      </c>
      <c r="T14" s="13" t="s">
        <v>282</v>
      </c>
      <c r="U14" s="11" t="s">
        <v>157</v>
      </c>
      <c r="V14" s="14">
        <v>45900</v>
      </c>
      <c r="W14" s="11" t="s">
        <v>251</v>
      </c>
    </row>
    <row r="15" spans="1:23">
      <c r="B15" s="11" t="s">
        <v>159</v>
      </c>
      <c r="C15" s="11" t="s">
        <v>242</v>
      </c>
      <c r="D15" s="2">
        <v>8.01</v>
      </c>
      <c r="E15" s="12" t="s">
        <v>156</v>
      </c>
      <c r="F15" s="15">
        <v>0.11525533914742447</v>
      </c>
      <c r="G15" s="15">
        <f>F15 - Portfolio_Mgmt!$C$10</f>
        <v>-2.1446608525755306E-3</v>
      </c>
      <c r="H15" s="15">
        <f>F15 - Portfolio_Mgmt!$C$11</f>
        <v>8.0755339147424471E-2</v>
      </c>
      <c r="I15" s="15">
        <v>0</v>
      </c>
      <c r="J15" s="2">
        <v>4.2607908145732249</v>
      </c>
      <c r="K15" s="2">
        <v>9.1628099951889297</v>
      </c>
      <c r="L15" s="2">
        <v>6.5243113398084081</v>
      </c>
      <c r="M15" s="2">
        <v>8.7684502451266084</v>
      </c>
      <c r="N15" s="4">
        <v>3.8564091383553684E-2</v>
      </c>
      <c r="O15" s="4">
        <v>7.2409488139825215E-2</v>
      </c>
      <c r="P15" s="15">
        <v>8.3114411724224596E-2</v>
      </c>
      <c r="Q15" s="15">
        <v>1.8509098960546238E-2</v>
      </c>
      <c r="R15" s="92">
        <v>1.1933697905849452</v>
      </c>
      <c r="S15" s="86">
        <v>11.511512740854835</v>
      </c>
      <c r="T15" s="13" t="s">
        <v>244</v>
      </c>
      <c r="U15" s="11" t="s">
        <v>243</v>
      </c>
      <c r="V15" s="14">
        <v>45900</v>
      </c>
      <c r="W15" s="11" t="s">
        <v>158</v>
      </c>
    </row>
    <row r="16" spans="1:23">
      <c r="B16" s="11" t="s">
        <v>273</v>
      </c>
      <c r="C16" s="11" t="s">
        <v>274</v>
      </c>
      <c r="D16" s="2">
        <v>2.2799999999999998</v>
      </c>
      <c r="E16" s="12" t="s">
        <v>156</v>
      </c>
      <c r="F16" s="15">
        <v>0.10729360249768782</v>
      </c>
      <c r="G16" s="15">
        <f>F16 - Portfolio_Mgmt!$C$10</f>
        <v>-1.0106397502312181E-2</v>
      </c>
      <c r="H16" s="15">
        <f>F16 - Portfolio_Mgmt!$C$11</f>
        <v>7.279360249768782E-2</v>
      </c>
      <c r="I16" s="15">
        <v>0</v>
      </c>
      <c r="J16" s="2">
        <v>1.1705677798586569</v>
      </c>
      <c r="K16" s="2">
        <v>2.7168715485394852</v>
      </c>
      <c r="L16" s="2">
        <v>1.8114973282765074</v>
      </c>
      <c r="M16" s="2">
        <v>2.4494218673596402</v>
      </c>
      <c r="N16" s="4">
        <v>3.6295847688548204E-2</v>
      </c>
      <c r="O16" s="4">
        <v>4.9811528186128738E-2</v>
      </c>
      <c r="P16" s="15">
        <v>0.20351769929714394</v>
      </c>
      <c r="Q16" s="15">
        <v>1.0763175939415467E-2</v>
      </c>
      <c r="R16" s="92">
        <v>0.29882156160837919</v>
      </c>
      <c r="S16" s="86">
        <v>1.8784842625371931</v>
      </c>
      <c r="T16" s="13" t="s">
        <v>275</v>
      </c>
      <c r="U16" s="11" t="s">
        <v>269</v>
      </c>
      <c r="V16" s="14">
        <v>45900</v>
      </c>
      <c r="W16" s="11" t="s">
        <v>158</v>
      </c>
    </row>
    <row r="17" spans="2:23">
      <c r="B17" s="11" t="s">
        <v>248</v>
      </c>
      <c r="C17" s="11" t="s">
        <v>249</v>
      </c>
      <c r="D17" s="2">
        <v>55</v>
      </c>
      <c r="E17" s="12" t="s">
        <v>156</v>
      </c>
      <c r="F17" s="15">
        <v>0.10499062561528705</v>
      </c>
      <c r="G17" s="15">
        <f>F17 - Portfolio_Mgmt!$C$10</f>
        <v>-1.2409374384712957E-2</v>
      </c>
      <c r="H17" s="15">
        <f>F17 - Portfolio_Mgmt!$C$11</f>
        <v>7.0490625615287045E-2</v>
      </c>
      <c r="I17" s="15">
        <v>0</v>
      </c>
      <c r="J17" s="2">
        <v>27.814699897667847</v>
      </c>
      <c r="K17" s="2">
        <v>67.394305644906538</v>
      </c>
      <c r="L17" s="2">
        <v>43.315384624827814</v>
      </c>
      <c r="M17" s="2">
        <v>58.777638274888893</v>
      </c>
      <c r="N17" s="4">
        <v>4.1212577801227258E-2</v>
      </c>
      <c r="O17" s="4">
        <v>3.7236158775204434E-2</v>
      </c>
      <c r="P17" s="15">
        <v>0.72207550313588764</v>
      </c>
      <c r="Q17" s="15">
        <v>9.5579625064196368E-3</v>
      </c>
      <c r="R17" s="92">
        <v>7.3592411949940734E-2</v>
      </c>
      <c r="S17" s="86">
        <v>1.3351546830236229</v>
      </c>
      <c r="T17" s="13" t="s">
        <v>250</v>
      </c>
      <c r="U17" s="11" t="s">
        <v>157</v>
      </c>
      <c r="V17" s="14">
        <v>45900</v>
      </c>
      <c r="W17" s="11" t="s">
        <v>251</v>
      </c>
    </row>
    <row r="18" spans="2:23">
      <c r="B18" s="11" t="s">
        <v>283</v>
      </c>
      <c r="C18" s="11" t="s">
        <v>284</v>
      </c>
      <c r="D18" s="2">
        <v>57.32</v>
      </c>
      <c r="E18" s="12" t="s">
        <v>263</v>
      </c>
      <c r="F18" s="15">
        <v>9.1161384857910033E-2</v>
      </c>
      <c r="G18" s="15">
        <f>F18 - Portfolio_Mgmt!$C$10</f>
        <v>-2.6238615142089972E-2</v>
      </c>
      <c r="H18" s="15">
        <f>F18 - Portfolio_Mgmt!$C$11</f>
        <v>5.666138485791003E-2</v>
      </c>
      <c r="I18" s="15">
        <v>0</v>
      </c>
      <c r="J18" s="2">
        <v>28.081736799883384</v>
      </c>
      <c r="K18" s="2">
        <v>66.592285778879997</v>
      </c>
      <c r="L18" s="2">
        <v>43.592757973888887</v>
      </c>
      <c r="M18" s="2">
        <v>59.048136223898794</v>
      </c>
      <c r="N18" s="4">
        <v>8.0165845082489973E-2</v>
      </c>
      <c r="O18" s="4">
        <v>4.1870202372644799E-2</v>
      </c>
      <c r="P18" s="15">
        <v>3.4701988818540461</v>
      </c>
      <c r="Q18" s="15">
        <v>5.0341856510546588E-2</v>
      </c>
      <c r="R18" s="92">
        <v>3.9546057100127742E-2</v>
      </c>
      <c r="S18" s="86">
        <v>-13.312996389940134</v>
      </c>
      <c r="T18" s="13" t="s">
        <v>250</v>
      </c>
      <c r="U18" s="11" t="s">
        <v>157</v>
      </c>
      <c r="V18" s="14">
        <v>45716</v>
      </c>
      <c r="W18" s="11" t="s">
        <v>251</v>
      </c>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4.4900000000000002E-2</v>
      </c>
      <c r="D4" s="34">
        <v>7.4999999999999997E-2</v>
      </c>
      <c r="E4" s="35">
        <f>D4-C4</f>
        <v>3.0099999999999995E-2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D13" sqref="D13"/>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221</v>
      </c>
      <c r="G2" s="66" t="s">
        <v>230</v>
      </c>
      <c r="H2" s="66" t="s">
        <v>202</v>
      </c>
    </row>
    <row r="3" spans="1:8">
      <c r="B3" s="77" t="s">
        <v>30</v>
      </c>
      <c r="C3" s="75" t="s">
        <v>220</v>
      </c>
      <c r="D3" s="74" t="s">
        <v>218</v>
      </c>
      <c r="E3" s="76" t="s">
        <v>220</v>
      </c>
      <c r="F3" s="71">
        <f>317945.34+3410.24</f>
        <v>321355.58</v>
      </c>
      <c r="G3" s="73">
        <f t="shared" ref="G3:G8" si="0">F3/$F$10</f>
        <v>0.43199017259922418</v>
      </c>
      <c r="H3" s="91">
        <f>Portfolio_Mgmt!E61</f>
        <v>0.3</v>
      </c>
    </row>
    <row r="4" spans="1:8">
      <c r="B4" s="78" t="s">
        <v>219</v>
      </c>
      <c r="C4" s="75">
        <f>VLOOKUP(B4,Opportunities!B$3:E$30,3,FALSE)</f>
        <v>17.54</v>
      </c>
      <c r="D4" s="74" t="str">
        <f>VLOOKUP(B4,Opportunities!B$3:E$30,4,FALSE)</f>
        <v>HKD</v>
      </c>
      <c r="E4" s="71">
        <v>10000</v>
      </c>
      <c r="F4" s="76">
        <f>C4*E4</f>
        <v>175400</v>
      </c>
      <c r="G4" s="73">
        <f t="shared" si="0"/>
        <v>0.23578578057958077</v>
      </c>
      <c r="H4" s="73">
        <f>VLOOKUP(B4,Opportunities!B$3:I$30,8,FALSE)</f>
        <v>0</v>
      </c>
    </row>
    <row r="5" spans="1:8">
      <c r="B5" s="78" t="s">
        <v>239</v>
      </c>
      <c r="C5" s="75">
        <f>VLOOKUP(B5,Opportunities!B$3:E$30,3,FALSE)</f>
        <v>1.2</v>
      </c>
      <c r="D5" s="74" t="str">
        <f>VLOOKUP(B5,Opportunities!B$3:E$30,4,FALSE)</f>
        <v>HKD</v>
      </c>
      <c r="E5" s="71">
        <v>33500</v>
      </c>
      <c r="F5" s="76">
        <f>E5*C5</f>
        <v>40200</v>
      </c>
      <c r="G5" s="73">
        <f t="shared" si="0"/>
        <v>5.4039842527361159E-2</v>
      </c>
      <c r="H5" s="73">
        <f>VLOOKUP(B5,Opportunities!B$3:I$30,8,FALSE)</f>
        <v>0.20584854550242257</v>
      </c>
    </row>
    <row r="6" spans="1:8">
      <c r="B6" s="78" t="s">
        <v>224</v>
      </c>
      <c r="C6" s="75">
        <f>VLOOKUP(B6,Opportunities!B$3:E$30,3,FALSE)</f>
        <v>6.29</v>
      </c>
      <c r="D6" s="74" t="str">
        <f>VLOOKUP(B6,Opportunities!B$3:E$30,4,FALSE)</f>
        <v>HKD</v>
      </c>
      <c r="E6" s="71">
        <v>18000</v>
      </c>
      <c r="F6" s="76">
        <f>E6*C6</f>
        <v>113220</v>
      </c>
      <c r="G6" s="73">
        <f t="shared" si="0"/>
        <v>0.15219878037183657</v>
      </c>
      <c r="H6" s="73">
        <f>VLOOKUP(B6,Opportunities!B$3:I$30,8,FALSE)</f>
        <v>0</v>
      </c>
    </row>
    <row r="7" spans="1:8">
      <c r="B7" s="78" t="s">
        <v>225</v>
      </c>
      <c r="C7" s="75">
        <f>VLOOKUP(B7,Opportunities!B$3:E$30,3,FALSE)</f>
        <v>15.62</v>
      </c>
      <c r="D7" s="74" t="str">
        <f>VLOOKUP(B7,Opportunities!B$3:E$30,4,FALSE)</f>
        <v>HKD</v>
      </c>
      <c r="E7" s="71">
        <v>6000</v>
      </c>
      <c r="F7" s="76">
        <f>C7*E7</f>
        <v>93720</v>
      </c>
      <c r="G7" s="73">
        <f t="shared" si="0"/>
        <v>0.12598542392199721</v>
      </c>
      <c r="H7" s="73">
        <f>VLOOKUP(B7,Opportunities!B$3:I$30,8,FALSE)</f>
        <v>0</v>
      </c>
    </row>
    <row r="8" spans="1:8">
      <c r="B8" s="78" t="s">
        <v>270</v>
      </c>
      <c r="C8" s="75">
        <f>VLOOKUP(B8,Opportunities!B$3:E$30,3,FALSE)</f>
        <v>1.97</v>
      </c>
      <c r="D8" s="74" t="str">
        <f>VLOOKUP(B8,Opportunities!B$3:E$30,4,FALSE)</f>
        <v>HKD</v>
      </c>
      <c r="E8" s="71">
        <f>2000*20</f>
        <v>40000</v>
      </c>
      <c r="F8" s="76">
        <f>C8*E8</f>
        <v>78800</v>
      </c>
      <c r="G8" s="73">
        <f t="shared" si="0"/>
        <v>0.10592884555114576</v>
      </c>
      <c r="H8" s="73">
        <f>VLOOKUP(B8,Opportunities!B$3:I$30,8,FALSE)</f>
        <v>0.15149130805801847</v>
      </c>
    </row>
    <row r="9" spans="1:8">
      <c r="B9" s="67"/>
      <c r="C9" s="70"/>
      <c r="D9" s="67"/>
      <c r="H9" s="90"/>
    </row>
    <row r="10" spans="1:8" ht="13.15">
      <c r="B10" s="79"/>
      <c r="C10" s="80"/>
      <c r="D10" s="79"/>
      <c r="E10" s="81" t="s">
        <v>229</v>
      </c>
      <c r="F10" s="81">
        <f>SUM(F3:F7)</f>
        <v>743895.58000000007</v>
      </c>
      <c r="G10" s="82">
        <f>SUM(G3:G7)</f>
        <v>0.99999999999999989</v>
      </c>
      <c r="H10" s="89">
        <f>SUM(H4:H7)</f>
        <v>0.20584854550242257</v>
      </c>
    </row>
    <row r="11" spans="1:8">
      <c r="B11" s="67"/>
      <c r="C11" s="70"/>
      <c r="D11" s="67"/>
      <c r="E11" s="71"/>
      <c r="F11" s="71"/>
    </row>
    <row r="12" spans="1:8" ht="13.15">
      <c r="A12" s="63"/>
      <c r="B12" s="64" t="s">
        <v>226</v>
      </c>
    </row>
    <row r="13" spans="1:8">
      <c r="B13" s="78" t="s">
        <v>239</v>
      </c>
      <c r="C13" s="75">
        <f>VLOOKUP(B13,Opportunities!B$3:E$30,3,FALSE)</f>
        <v>1.2</v>
      </c>
      <c r="D13" s="74" t="str">
        <f>VLOOKUP(B13,Opportunities!B$3:E$30,4,FALSE)</f>
        <v>HKD</v>
      </c>
      <c r="E13" s="71">
        <f>500*4</f>
        <v>2000</v>
      </c>
      <c r="F13" s="76">
        <f>-C13*E13</f>
        <v>-2400</v>
      </c>
      <c r="G13" s="73">
        <f>-F13/$F$10</f>
        <v>3.2262592553648456E-3</v>
      </c>
      <c r="H13" s="73">
        <f>VLOOKUP(B13,Opportunities!B$3:I$30,8,FALSE)</f>
        <v>0.20584854550242257</v>
      </c>
    </row>
    <row r="14" spans="1:8">
      <c r="B14" s="78" t="s">
        <v>270</v>
      </c>
      <c r="C14" s="75">
        <f>VLOOKUP(B14,Opportunities!B$3:E$30,3,FALSE)</f>
        <v>1.97</v>
      </c>
      <c r="D14" s="74" t="str">
        <f>VLOOKUP(B14,Opportunities!B$3:E$30,4,FALSE)</f>
        <v>HKD</v>
      </c>
      <c r="E14" s="71">
        <f>2000*10</f>
        <v>20000</v>
      </c>
      <c r="F14" s="76">
        <f>-C14*E14</f>
        <v>-39400</v>
      </c>
      <c r="G14" s="73">
        <f>-F14/$F$10</f>
        <v>5.2964422775572881E-2</v>
      </c>
      <c r="H14" s="73">
        <f>VLOOKUP(B14,Opportunities!B$3:I$30,8,FALSE)</f>
        <v>0.15149130805801847</v>
      </c>
    </row>
    <row r="15" spans="1:8">
      <c r="G15" s="88"/>
      <c r="H15" s="88"/>
    </row>
    <row r="16" spans="1:8" ht="13.15">
      <c r="B16" s="83" t="s">
        <v>227</v>
      </c>
      <c r="C16" s="84" t="s">
        <v>220</v>
      </c>
      <c r="D16" s="85" t="s">
        <v>156</v>
      </c>
      <c r="E16" s="84" t="s">
        <v>220</v>
      </c>
      <c r="F16" s="81">
        <f>F3+SUM(F13:F14)</f>
        <v>279555.58</v>
      </c>
      <c r="G16" s="89">
        <f t="shared" ref="G16" si="1">F16/$F$10</f>
        <v>0.37579949056828649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7"/>
      <c r="D5" s="97"/>
    </row>
    <row r="6" spans="1:4">
      <c r="B6" s="106" t="s">
        <v>105</v>
      </c>
      <c r="C6" s="97"/>
      <c r="D6" s="97"/>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2025-05-15T08:44:19Z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