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1FEB76F2-A99D-4B3C-B2ED-D335BBEF5017}" xr6:coauthVersionLast="47" xr6:coauthVersionMax="47" xr10:uidLastSave="{00000000-0000-0000-0000-000000000000}"/>
  <bookViews>
    <workbookView xWindow="33720" yWindow="-120" windowWidth="29040" windowHeight="1572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<sst xmlns="http://schemas.openxmlformats.org/spreadsheetml/2006/main" count="310" uniqueCount="272">
  <si>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</si>
  <si>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</si>
  <si>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</si>
  <si>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</si>
  <si>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</si>
  <si>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</si>
  <si>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</si>
  <si>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</si>
  <si>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</si>
  <si>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</si>
  <si>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</si>
  <si>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</si>
  <si>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</si>
  <si>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</si>
  <si>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</si>
  <si>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</si>
  <si>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</si>
  <si>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</si>
  <si>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</si>
  <si>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</si>
  <si>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</si>
  <si>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</si>
  <si>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</si>
  <si>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</si>
  <si>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</si>
  <si>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</si>
  <si>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</si>
  <si>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</si>
  <si>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</si>
  <si>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</si>
  <si>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</si>
  <si>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</si>
  <si>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</si>
  <si>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</si>
  <si>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</si>
  <si>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</si>
  <si>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</si>
  <si>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</si>
  <si>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</si>
  <si>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</si>
  <si>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</si>
  <si>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</si>
  <si>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</si>
  <si>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</si>
  <si>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</si>
  <si>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</si>
  <si>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</si>
  <si>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</si>
  <si>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</si>
  <si>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</si>
  <si>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</si>
  <si>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</si>
  <si>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</si>
  <si>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</si>
  <si>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</si>
  <si>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</si>
  <si>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</si>
  <si>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</si>
  <si>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</si>
  <si>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</si>
  <si>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</si>
  <si>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</si>
  <si>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</si>
  <si>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</si>
  <si>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</si>
  <si>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</si>
  <si>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</si>
  <si>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</si>
  <si>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</si>
  <si>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</si>
  <si>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</si>
  <si>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</si>
  <si>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</si>
  <si>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</si>
  <si>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</si>
  <si>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</si>
  <si>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</si>
  <si>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</si>
  <si>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</si>
  <si>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</si>
  <si>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</si>
  <si>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</si>
  <si>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</si>
  <si>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</si>
  <si>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</si>
  <si>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</si>
  <si>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</si>
  <si>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</si>
  <si>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</si>
  <si>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</si>
  <si>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</si>
  <si>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</si>
  <si>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</si>
  <si>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</si>
  <si>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</si>
  <si>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</si>
  <si>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</si>
  <si>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</si>
  <si>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</si>
  <si>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</si>
  <si>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</si>
  <si>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</si>
  <si>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</si>
  <si>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</si>
  <si>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</si>
  <si>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</si>
  <si>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</si>
  <si>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</si>
  <si>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</si>
  <si>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</si>
  <si>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</si>
  <si>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</si>
  <si>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</si>
  <si>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</si>
  <si>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</si>
  <si>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</si>
  <si>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</si>
  <si>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</si>
  <si>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</si>
  <si>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</si>
  <si>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</si>
  <si>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</si>
  <si>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</si>
  <si>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</si>
  <si>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</si>
  <si>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</si>
  <si>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</si>
  <si>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</si>
  <si>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</si>
  <si>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</si>
  <si>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</si>
  <si>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</si>
  <si>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</si>
  <si>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</si>
  <si>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</si>
  <si>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</si>
  <si>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</si>
  <si>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</si>
  <si>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</si>
  <si>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</si>
  <si>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</si>
  <si>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</si>
  <si>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</si>
  <si>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</si>
  <si>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</si>
  <si>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</si>
  <si>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</si>
  <si>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</si>
  <si>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</si>
  <si>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</si>
  <si>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</si>
  <si>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</si>
  <si>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</si>
  <si>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</si>
  <si>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</si>
  <si>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</si>
  <si>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</si>
  <si>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</si>
  <si>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</si>
  <si>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</si>
  <si>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</si>
  <si>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</si>
  <si>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</si>
  <si>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</si>
  <si>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</si>
  <si>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</si>
  <si>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</si>
  <si>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</si>
  <si>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</si>
  <si>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</si>
  <si>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</si>
  <si>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</si>
  <si>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</si>
  <si>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</si>
  <si>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</si>
  <si>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</si>
  <si>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</si>
  <si>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</si>
  <si>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</si>
  <si>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</si>
  <si>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</si>
  <si>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</si>
  <si>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</si>
  <si>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</si>
  <si>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</si>
  <si>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</si>
  <si>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</si>
  <si>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</si>
  <si>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</si>
  <si>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</si>
  <si>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</si>
  <si>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</si>
  <si>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</si>
  <si>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</si>
  <si>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</si>
  <si>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</si>
  <si>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</si>
  <si>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</si>
  <si>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</si>
  <si>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</si>
  <si>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</si>
  <si>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</si>
  <si>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</si>
  <si>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</si>
  <si>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</si>
  <si>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</si>
  <si>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</si>
  <si>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</si>
  <si>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</si>
  <si>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</si>
  <si>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</si>
  <si>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</si>
  <si>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</si>
  <si>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</si>
  <si>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</si>
  <si>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</si>
  <si>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</si>
  <si>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</si>
  <si>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</si>
  <si>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</si>
  <si>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</si>
  <si>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</si>
  <si>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</si>
  <si>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</si>
  <si>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</si>
  <si>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</si>
  <si>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</si>
  <si>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</si>
  <si>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</si>
  <si>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</si>
  <si>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</si>
  <si>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</si>
  <si>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</si>
  <si>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</si>
  <si>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</si>
  <si>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</si>
  <si>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</si>
  <si>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</si>
  <si>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</si>
  <si>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</si>
  <si>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</si>
  <si>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</si>
  <si>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</si>
  <si>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</si>
  <si>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</si>
  <si>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</si>
  <si>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</si>
  <si>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</si>
  <si>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</si>
  <si>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</si>
  <si>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</si>
  <si>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</si>
  <si>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</si>
  <si>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</si>
  <si>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</si>
  <si>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</si>
  <si>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</si>
  <si>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</si>
  <si>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</si>
  <si>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</si>
  <si>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</si>
  <si>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</si>
  <si>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</si>
  <si>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</si>
  <si>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</si>
  <si>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</si>
  <si>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</si>
  <si>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</si>
  <si>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</si>
  <si>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</si>
  <si>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</si>
  <si>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Open Position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</si>
</sst>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5" borderId="3" xfId="0" applyNumberFormat="1" applyFont="1" applyFill="1" applyBorder="1" applyAlignment="1">
      <alignment horizontal="center"/>
    </xf>
    <xf numFmtId="0" fontId="8"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1"/>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4" t="s">
        <v>220</v>
      </c>
      <c r="C24" s="94"/>
      <c r="D24" s="94"/>
      <c r="E24" s="94"/>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0.12974936050286673</v>
      </c>
      <c r="D112" s="61" t="str">
        <f>IF(C112&lt;benchmark,"Warning: Return is lower than the Benchmark.","")</f>
        <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L3" sqref="L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2" t="s">
        <v>5</v>
      </c>
      <c r="K1" s="102"/>
      <c r="L1" s="102"/>
      <c r="M1" s="102"/>
      <c r="N1" s="98" t="s">
        <v>9</v>
      </c>
      <c r="O1" s="98"/>
      <c r="P1" s="103" t="s">
        <v>269</v>
      </c>
      <c r="Q1" s="103"/>
      <c r="R1" s="103"/>
      <c r="S1" s="103"/>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258</v>
      </c>
      <c r="C3" s="11" t="s">
        <v>259</v>
      </c>
      <c r="D3" s="2">
        <v>14.62</v>
      </c>
      <c r="E3" s="12" t="s">
        <v>160</v>
      </c>
      <c r="F3" s="15">
        <v>0.23834947369112891</v>
      </c>
      <c r="G3" s="15">
        <f>F3 - Portfolio_Mgmt!$C$10</f>
        <v>0.12094947369112891</v>
      </c>
      <c r="H3" s="15">
        <f>F3 - Portfolio_Mgmt!$C$11</f>
        <v>0.20384947369112891</v>
      </c>
      <c r="I3" s="15">
        <v>0.23834947369112891</v>
      </c>
      <c r="J3" s="2">
        <v>12.691501140813982</v>
      </c>
      <c r="K3" s="2">
        <v>25.696602430940541</v>
      </c>
      <c r="M3" s="86">
        <v>21.811108833373932</v>
      </c>
      <c r="N3" s="4">
        <v>6.8331310133345272E-2</v>
      </c>
      <c r="O3" s="4">
        <v>3.7484709986796393E-2</v>
      </c>
      <c r="P3" s="15">
        <v>0.36794481423679237</v>
      </c>
      <c r="Q3" s="15">
        <v>7.4171010848313429E-2</v>
      </c>
      <c r="R3" s="92">
        <v>0.60402076709908736</v>
      </c>
      <c r="S3" s="86">
        <v>4.4986950465252065</v>
      </c>
      <c r="T3" s="13" t="s">
        <v>246</v>
      </c>
      <c r="U3" s="11" t="s">
        <v>162</v>
      </c>
      <c r="V3" s="14">
        <v>45900</v>
      </c>
      <c r="W3" s="11" t="s">
        <v>163</v>
      </c>
    </row>
    <row r="4" spans="1:23">
      <c r="B4" s="11" t="s">
        <v>236</v>
      </c>
      <c r="C4" s="11" t="s">
        <v>237</v>
      </c>
      <c r="D4" s="2">
        <v>5.8</v>
      </c>
      <c r="E4" s="12" t="s">
        <v>160</v>
      </c>
      <c r="F4" s="15">
        <v>0.17855667472343195</v>
      </c>
      <c r="G4" s="15">
        <f>F4 - Portfolio_Mgmt!$C$10</f>
        <v>6.1156674723431947E-2</v>
      </c>
      <c r="H4" s="15">
        <f>F4 - Portfolio_Mgmt!$C$11</f>
        <v>0.14405667472343195</v>
      </c>
      <c r="I4" s="15">
        <v>0.17855667472343195</v>
      </c>
      <c r="J4" s="2">
        <v>4.4066254223755825</v>
      </c>
      <c r="K4" s="2">
        <v>7.9180174064472393</v>
      </c>
      <c r="M4" s="86">
        <v>7.4244984830046468</v>
      </c>
      <c r="N4" s="4">
        <v>0.13261669874486073</v>
      </c>
      <c r="O4" s="4">
        <v>7.6196467311032592E-2</v>
      </c>
      <c r="P4" s="15">
        <v>0.61007460831657279</v>
      </c>
      <c r="Q4" s="15">
        <v>0.16360901428944893</v>
      </c>
      <c r="R4" s="92">
        <v>1.1309485990394448</v>
      </c>
      <c r="S4" s="86">
        <v>-3.7863675235231167</v>
      </c>
      <c r="T4" s="13" t="s">
        <v>239</v>
      </c>
      <c r="U4" s="11" t="s">
        <v>238</v>
      </c>
      <c r="V4" s="14">
        <v>45900</v>
      </c>
      <c r="W4" s="11" t="s">
        <v>163</v>
      </c>
    </row>
    <row r="5" spans="1:23">
      <c r="B5" s="11" t="s">
        <v>251</v>
      </c>
      <c r="C5" s="11" t="s">
        <v>252</v>
      </c>
      <c r="D5" s="2">
        <v>20.079999999999998</v>
      </c>
      <c r="E5" s="12" t="s">
        <v>253</v>
      </c>
      <c r="F5" s="15">
        <v>0.16060765378265396</v>
      </c>
      <c r="G5" s="15">
        <f>F5 - Portfolio_Mgmt!$C$10</f>
        <v>4.3207653782653954E-2</v>
      </c>
      <c r="H5" s="15">
        <f>F5 - Portfolio_Mgmt!$C$11</f>
        <v>0.12610765378265396</v>
      </c>
      <c r="I5" s="15">
        <v>0</v>
      </c>
      <c r="J5" s="2">
        <v>14.418941896437474</v>
      </c>
      <c r="K5" s="2">
        <v>29.309951346473134</v>
      </c>
      <c r="M5" s="86">
        <v>24.796949133193245</v>
      </c>
      <c r="N5" s="4">
        <v>0.22703991769612522</v>
      </c>
      <c r="O5" s="4">
        <v>2.956175298804781E-2</v>
      </c>
      <c r="P5" s="15">
        <v>1.4851905363915479</v>
      </c>
      <c r="Q5" s="15">
        <v>0.95241105291674188</v>
      </c>
      <c r="R5" s="92">
        <v>4.0148803043206254</v>
      </c>
      <c r="S5" s="86">
        <v>-38.360607814419353</v>
      </c>
      <c r="T5" s="13" t="s">
        <v>254</v>
      </c>
      <c r="U5" s="11" t="s">
        <v>162</v>
      </c>
      <c r="V5" s="14">
        <v>45900</v>
      </c>
      <c r="W5" s="11" t="s">
        <v>247</v>
      </c>
    </row>
    <row r="6" spans="1:23">
      <c r="B6" s="11" t="s">
        <v>158</v>
      </c>
      <c r="C6" s="11" t="s">
        <v>159</v>
      </c>
      <c r="D6" s="2">
        <v>16.440000000000001</v>
      </c>
      <c r="E6" s="12" t="s">
        <v>160</v>
      </c>
      <c r="F6" s="15">
        <v>0.15374754303551685</v>
      </c>
      <c r="G6" s="15">
        <f>F6 - Portfolio_Mgmt!$C$10</f>
        <v>3.6347543035516849E-2</v>
      </c>
      <c r="H6" s="15">
        <f>F6 - Portfolio_Mgmt!$C$11</f>
        <v>0.11924754303551685</v>
      </c>
      <c r="I6" s="15">
        <v>0.15374754303551685</v>
      </c>
      <c r="J6" s="2">
        <v>11.804906901225705</v>
      </c>
      <c r="K6" s="2">
        <v>20.508980461992877</v>
      </c>
      <c r="M6" s="86">
        <v>19.785541823839793</v>
      </c>
      <c r="N6" s="4">
        <v>0.10510863864778767</v>
      </c>
      <c r="O6" s="4">
        <v>8.2725060827250604E-2</v>
      </c>
      <c r="P6" s="15">
        <v>0.31018327415220487</v>
      </c>
      <c r="Q6" s="15">
        <v>0.15818859882129041</v>
      </c>
      <c r="R6" s="92">
        <v>1.4550387206421544</v>
      </c>
      <c r="S6" s="86">
        <v>5.8696003638854428</v>
      </c>
      <c r="T6" s="13" t="s">
        <v>161</v>
      </c>
      <c r="U6" s="11" t="s">
        <v>162</v>
      </c>
      <c r="V6" s="14">
        <v>45808</v>
      </c>
      <c r="W6" s="11" t="s">
        <v>163</v>
      </c>
    </row>
    <row r="7" spans="1:23">
      <c r="B7" s="11" t="s">
        <v>164</v>
      </c>
      <c r="C7" s="11" t="s">
        <v>165</v>
      </c>
      <c r="D7" s="2">
        <v>7.85</v>
      </c>
      <c r="E7" s="12" t="s">
        <v>160</v>
      </c>
      <c r="F7" s="15">
        <v>0.12328963999428066</v>
      </c>
      <c r="G7" s="15">
        <f>F7 - Portfolio_Mgmt!$C$10</f>
        <v>5.8896399942806599E-3</v>
      </c>
      <c r="H7" s="15">
        <f>F7 - Portfolio_Mgmt!$C$11</f>
        <v>8.8789639994280661E-2</v>
      </c>
      <c r="I7" s="15">
        <v>2.9346308549922262E-2</v>
      </c>
      <c r="J7" s="2">
        <v>5.2239462882061574</v>
      </c>
      <c r="K7" s="2">
        <v>9.1628099951889297</v>
      </c>
      <c r="M7" s="86">
        <v>8.7684502451266084</v>
      </c>
      <c r="N7" s="4">
        <v>3.9350111080543315E-2</v>
      </c>
      <c r="O7" s="4">
        <v>7.3885350318471335E-2</v>
      </c>
      <c r="P7" s="15">
        <v>8.3114411724224596E-2</v>
      </c>
      <c r="Q7" s="15">
        <v>1.8509098960546238E-2</v>
      </c>
      <c r="R7" s="92">
        <v>1.1933697905849452</v>
      </c>
      <c r="S7" s="86">
        <v>11.511512740854835</v>
      </c>
      <c r="T7" s="13" t="s">
        <v>166</v>
      </c>
      <c r="U7" s="11" t="s">
        <v>167</v>
      </c>
      <c r="V7" s="14">
        <v>45900</v>
      </c>
      <c r="W7" s="11" t="s">
        <v>163</v>
      </c>
    </row>
    <row r="8" spans="1:23">
      <c r="B8" s="11" t="s">
        <v>244</v>
      </c>
      <c r="C8" s="11" t="s">
        <v>245</v>
      </c>
      <c r="D8" s="2">
        <v>14.26</v>
      </c>
      <c r="E8" s="12" t="s">
        <v>160</v>
      </c>
      <c r="F8" s="15">
        <v>0.10940387682956731</v>
      </c>
      <c r="G8" s="15">
        <f>F8 - Portfolio_Mgmt!$C$10</f>
        <v>-7.9961231704326896E-3</v>
      </c>
      <c r="H8" s="15">
        <f>F8 - Portfolio_Mgmt!$C$11</f>
        <v>7.4903876829567312E-2</v>
      </c>
      <c r="I8" s="15">
        <v>0</v>
      </c>
      <c r="J8" s="2">
        <v>9.1088969706010197</v>
      </c>
      <c r="K8" s="2">
        <v>16.688984661810444</v>
      </c>
      <c r="M8" s="86">
        <v>15.394712350875789</v>
      </c>
      <c r="N8" s="4">
        <v>0.1076023273696578</v>
      </c>
      <c r="O8" s="4">
        <v>5.8407976157082743E-2</v>
      </c>
      <c r="P8" s="15">
        <v>2.2875080906148866</v>
      </c>
      <c r="Q8" s="15">
        <v>1.5035598705501618</v>
      </c>
      <c r="R8" s="92">
        <v>4.1998196571663646</v>
      </c>
      <c r="S8" s="86">
        <v>-12.129692853863228</v>
      </c>
      <c r="T8" s="13" t="s">
        <v>246</v>
      </c>
      <c r="U8" s="11" t="s">
        <v>248</v>
      </c>
      <c r="V8" s="14">
        <v>45900</v>
      </c>
      <c r="W8" s="11" t="s">
        <v>247</v>
      </c>
    </row>
    <row r="9" spans="1:23">
      <c r="B9" s="11" t="s">
        <v>240</v>
      </c>
      <c r="C9" s="11" t="s">
        <v>241</v>
      </c>
      <c r="D9" s="2">
        <v>54.25</v>
      </c>
      <c r="E9" s="12" t="s">
        <v>160</v>
      </c>
      <c r="F9" s="15">
        <v>0.10815463230293121</v>
      </c>
      <c r="G9" s="15">
        <f>F9 - Portfolio_Mgmt!$C$10</f>
        <v>-9.2453676970687959E-3</v>
      </c>
      <c r="H9" s="15">
        <f>F9 - Portfolio_Mgmt!$C$11</f>
        <v>7.3654632302931206E-2</v>
      </c>
      <c r="I9" s="15">
        <v>0</v>
      </c>
      <c r="J9" s="2">
        <v>34.215998183334875</v>
      </c>
      <c r="K9" s="2">
        <v>66.946528402184271</v>
      </c>
      <c r="M9" s="86">
        <v>58.457407994642217</v>
      </c>
      <c r="N9" s="4">
        <v>4.1506442378573941E-2</v>
      </c>
      <c r="O9" s="4">
        <v>3.8002931783848878E-2</v>
      </c>
      <c r="P9" s="15">
        <v>0.72207550313588764</v>
      </c>
      <c r="Q9" s="15">
        <v>9.5579625064196368E-3</v>
      </c>
      <c r="R9" s="92">
        <v>7.3592411949940734E-2</v>
      </c>
      <c r="S9" s="86">
        <v>1.3263016249568782</v>
      </c>
      <c r="T9" s="13" t="s">
        <v>242</v>
      </c>
      <c r="U9" s="11" t="s">
        <v>162</v>
      </c>
      <c r="V9" s="14">
        <v>45900</v>
      </c>
      <c r="W9" s="11" t="s">
        <v>247</v>
      </c>
    </row>
    <row r="10" spans="1:23">
      <c r="B10" s="11" t="s">
        <v>168</v>
      </c>
      <c r="C10" s="11" t="s">
        <v>169</v>
      </c>
      <c r="D10" s="2">
        <v>2.2999999999999998</v>
      </c>
      <c r="E10" s="12" t="s">
        <v>160</v>
      </c>
      <c r="F10" s="15">
        <v>0.10196238180241868</v>
      </c>
      <c r="G10" s="15">
        <f>F10 - Portfolio_Mgmt!$C$10</f>
        <v>-1.5437618197581326E-2</v>
      </c>
      <c r="H10" s="15">
        <f>F10 - Portfolio_Mgmt!$C$11</f>
        <v>6.7462381802418675E-2</v>
      </c>
      <c r="I10" s="15">
        <v>0</v>
      </c>
      <c r="J10" s="2">
        <v>1.435929941306664</v>
      </c>
      <c r="K10" s="2">
        <v>2.6985679028664227</v>
      </c>
      <c r="M10" s="86">
        <v>2.4368454920607938</v>
      </c>
      <c r="N10" s="4">
        <v>3.5745625781092097E-2</v>
      </c>
      <c r="O10" s="4">
        <v>4.9707984982490863E-2</v>
      </c>
      <c r="P10" s="15">
        <v>0.20351769929714394</v>
      </c>
      <c r="Q10" s="15">
        <v>1.0763175939415467E-2</v>
      </c>
      <c r="R10" s="92">
        <v>0.29882156160837919</v>
      </c>
      <c r="S10" s="86">
        <v>1.866028529531002</v>
      </c>
      <c r="T10" s="16" t="s">
        <v>170</v>
      </c>
      <c r="U10" s="11" t="s">
        <v>171</v>
      </c>
      <c r="V10" s="14">
        <v>45900</v>
      </c>
      <c r="W10" s="11" t="s">
        <v>163</v>
      </c>
    </row>
    <row r="11" spans="1:23">
      <c r="B11" s="11" t="s">
        <v>255</v>
      </c>
      <c r="C11" s="11" t="s">
        <v>256</v>
      </c>
      <c r="D11" s="2">
        <v>28.81</v>
      </c>
      <c r="E11" s="12" t="s">
        <v>253</v>
      </c>
      <c r="F11" s="15">
        <v>9.408289080523935E-2</v>
      </c>
      <c r="G11" s="15">
        <f>F11 - Portfolio_Mgmt!$C$10</f>
        <v>-2.3317109194760655E-2</v>
      </c>
      <c r="H11" s="15">
        <f>F11 - Portfolio_Mgmt!$C$11</f>
        <v>5.9582890805239347E-2</v>
      </c>
      <c r="I11" s="15">
        <v>0</v>
      </c>
      <c r="J11" s="2">
        <v>17.682685147645955</v>
      </c>
      <c r="K11" s="2">
        <v>32.464859269378167</v>
      </c>
      <c r="M11" s="86">
        <v>29.895007167811503</v>
      </c>
      <c r="N11" s="4">
        <v>8.8134932571433455E-2</v>
      </c>
      <c r="O11" s="4">
        <v>5.5536272127733433E-2</v>
      </c>
      <c r="P11" s="15">
        <v>0.78990369994931575</v>
      </c>
      <c r="Q11" s="15">
        <v>0.40281804358844397</v>
      </c>
      <c r="R11" s="92">
        <v>3.955391512509995</v>
      </c>
      <c r="S11" s="86">
        <v>-26.938493611476797</v>
      </c>
      <c r="T11" s="13" t="s">
        <v>257</v>
      </c>
      <c r="U11" s="11" t="s">
        <v>162</v>
      </c>
      <c r="V11" s="14">
        <v>45900</v>
      </c>
      <c r="W11" s="11" t="s">
        <v>163</v>
      </c>
    </row>
    <row r="12" spans="1:23">
      <c r="B12" s="11" t="s">
        <v>249</v>
      </c>
      <c r="C12" s="11" t="s">
        <v>250</v>
      </c>
      <c r="D12" s="2">
        <v>52.2</v>
      </c>
      <c r="E12" s="12" t="s">
        <v>160</v>
      </c>
      <c r="F12" s="15">
        <v>9.195230665086962E-2</v>
      </c>
      <c r="G12" s="15">
        <f>F12 - Portfolio_Mgmt!$C$10</f>
        <v>-2.5447693349130385E-2</v>
      </c>
      <c r="H12" s="15">
        <f>F12 - Portfolio_Mgmt!$C$11</f>
        <v>5.7452306650869617E-2</v>
      </c>
      <c r="I12" s="15">
        <v>0</v>
      </c>
      <c r="J12" s="2">
        <v>30.935095153902036</v>
      </c>
      <c r="K12" s="2">
        <v>67.964404053122792</v>
      </c>
      <c r="M12" s="86">
        <v>53.95233517909076</v>
      </c>
      <c r="N12" s="4">
        <v>0.10065745348000395</v>
      </c>
      <c r="O12" s="4">
        <v>0</v>
      </c>
      <c r="P12" s="15">
        <v>1.2907496012759174</v>
      </c>
      <c r="Q12" s="15">
        <v>0.24768740031897937</v>
      </c>
      <c r="R12" s="92">
        <v>0.73855199466278643</v>
      </c>
      <c r="S12" s="86">
        <v>-2.6424909744367104</v>
      </c>
      <c r="T12" s="13" t="s">
        <v>246</v>
      </c>
      <c r="U12" s="11" t="s">
        <v>162</v>
      </c>
      <c r="V12" s="14">
        <v>45808</v>
      </c>
      <c r="W12" s="11" t="s">
        <v>163</v>
      </c>
    </row>
    <row r="13" spans="1:23">
      <c r="B13" s="11"/>
      <c r="C13" s="11"/>
      <c r="E13" s="12"/>
      <c r="N13" s="4"/>
      <c r="O13" s="4"/>
      <c r="T13" s="13"/>
      <c r="U13" s="11"/>
      <c r="V13" s="14"/>
    </row>
    <row r="14" spans="1:23">
      <c r="B14" s="11"/>
      <c r="C14" s="11"/>
      <c r="E14" s="12"/>
      <c r="N14" s="4"/>
      <c r="O14" s="4"/>
      <c r="T14" s="13"/>
      <c r="U14" s="11"/>
      <c r="V14" s="14"/>
    </row>
    <row r="15" spans="1:23">
      <c r="B15" s="11"/>
      <c r="C15" s="11"/>
      <c r="E15" s="12"/>
      <c r="N15" s="4"/>
      <c r="O15" s="4"/>
      <c r="T15" s="13"/>
      <c r="U15" s="11"/>
      <c r="V15" s="14"/>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6">
    <mergeCell ref="N1:O1"/>
    <mergeCell ref="T1:W1"/>
    <mergeCell ref="D1:F1"/>
    <mergeCell ref="G1:I1"/>
    <mergeCell ref="J1:M1"/>
    <mergeCell ref="P1:S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4.1700000000000001E-2</v>
      </c>
      <c r="D4" s="34">
        <v>7.4999999999999997E-2</v>
      </c>
      <c r="E4" s="35">
        <f>D4-C4</f>
        <v>3.3299999999999996E-2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0.40627734298520357</v>
      </c>
      <c r="H3" s="91" t="s">
        <v>233</v>
      </c>
    </row>
    <row r="4" spans="1:8">
      <c r="B4" s="78" t="s">
        <v>232</v>
      </c>
      <c r="C4" s="75">
        <f>VLOOKUP(B4,Opportunities!B$3:E$12,3,FALSE)</f>
        <v>16.440000000000001</v>
      </c>
      <c r="D4" s="74" t="str">
        <f>VLOOKUP(B4,Opportunities!B$3:E$12,4,FALSE)</f>
        <v>HKD</v>
      </c>
      <c r="E4" s="71">
        <v>10000</v>
      </c>
      <c r="F4" s="76">
        <f>C4*E4</f>
        <v>164400</v>
      </c>
      <c r="G4" s="73">
        <f>F4/$F$9</f>
        <v>0.19007634525088124</v>
      </c>
      <c r="H4" s="73">
        <f>VLOOKUP(B4,Opportunities!B$3:I$12,8,FALSE)</f>
        <v>0.15374754303551685</v>
      </c>
    </row>
    <row r="5" spans="1:8">
      <c r="B5" s="78" t="s">
        <v>231</v>
      </c>
      <c r="C5" s="75">
        <f>VLOOKUP(B5,Opportunities!B$3:E$12,3,FALSE)</f>
        <v>7.85</v>
      </c>
      <c r="D5" s="74" t="str">
        <f>VLOOKUP(B5,Opportunities!B$3:E$12,4,FALSE)</f>
        <v>HKD</v>
      </c>
      <c r="E5" s="71">
        <v>20000</v>
      </c>
      <c r="F5" s="76">
        <f>E5*C5</f>
        <v>157000</v>
      </c>
      <c r="G5" s="73">
        <f>F5/$F$9</f>
        <v>0.18152059735029413</v>
      </c>
      <c r="H5" s="73">
        <f>VLOOKUP(B5,Opportunities!B$3:I$12,8,FALSE)</f>
        <v>2.9346308549922262E-2</v>
      </c>
    </row>
    <row r="6" spans="1:8">
      <c r="B6" s="78" t="s">
        <v>243</v>
      </c>
      <c r="C6" s="75">
        <f>VLOOKUP(B6,Opportunities!B$3:E$12,3,FALSE)</f>
        <v>5.8</v>
      </c>
      <c r="D6" s="74" t="str">
        <f>VLOOKUP(B6,Opportunities!B$3:E$12,4,FALSE)</f>
        <v>HKD</v>
      </c>
      <c r="E6" s="71">
        <v>18000</v>
      </c>
      <c r="F6" s="76">
        <f>E6*C6</f>
        <v>104400</v>
      </c>
      <c r="G6" s="73">
        <f>F6/$F$9</f>
        <v>0.12070541632720196</v>
      </c>
      <c r="H6" s="73">
        <f>VLOOKUP(B6,Opportunities!B$3:I$12,8,FALSE)</f>
        <v>0.17855667472343195</v>
      </c>
    </row>
    <row r="7" spans="1:8">
      <c r="B7" s="78" t="s">
        <v>258</v>
      </c>
      <c r="C7" s="75">
        <f>VLOOKUP(B7,Opportunities!B$3:E$12,3,FALSE)</f>
        <v>14.62</v>
      </c>
      <c r="D7" s="74" t="str">
        <f>VLOOKUP(B7,Opportunities!B$3:E$12,4,FALSE)</f>
        <v>HKD</v>
      </c>
      <c r="E7" s="71">
        <v>6000</v>
      </c>
      <c r="F7" s="76">
        <f>C7*E7</f>
        <v>87720</v>
      </c>
      <c r="G7" s="73">
        <f>F7/$F$9</f>
        <v>0.10142029808641911</v>
      </c>
      <c r="H7" s="73">
        <f>VLOOKUP(B7,Opportunities!B$3:I$12,8,FALSE)</f>
        <v>0.23834947369112891</v>
      </c>
    </row>
    <row r="8" spans="1:8">
      <c r="B8" s="67"/>
      <c r="C8" s="70"/>
      <c r="D8" s="67"/>
      <c r="H8" s="90"/>
    </row>
    <row r="9" spans="1:8" ht="13.15">
      <c r="B9" s="79"/>
      <c r="C9" s="80"/>
      <c r="D9" s="79"/>
      <c r="E9" s="81" t="s">
        <v>263</v>
      </c>
      <c r="F9" s="81">
        <f>SUM(F3:F7)</f>
        <v>864915.62</v>
      </c>
      <c r="G9" s="82">
        <f>SUM(G3:G7)</f>
        <v>1</v>
      </c>
      <c r="H9" s="89">
        <f>SUM(H4:H7)</f>
        <v>0.6</v>
      </c>
    </row>
    <row r="10" spans="1:8">
      <c r="B10" s="67"/>
      <c r="C10" s="70"/>
      <c r="D10" s="67"/>
      <c r="E10" s="71"/>
      <c r="F10" s="71"/>
    </row>
    <row r="11" spans="1:8" ht="13.15">
      <c r="A11" s="63"/>
      <c r="B11" s="64" t="s">
        <v>260</v>
      </c>
    </row>
    <row r="12" spans="1:8">
      <c r="B12" s="78" t="s">
        <v>258</v>
      </c>
      <c r="C12" s="75">
        <f>VLOOKUP(B12,Opportunities!B$3:E$12,3,FALSE)</f>
        <v>14.62</v>
      </c>
      <c r="D12" s="74" t="str">
        <f>VLOOKUP(B12,Opportunities!B$3:E$12,4,FALSE)</f>
        <v>HKD</v>
      </c>
      <c r="E12" s="71">
        <v>6000</v>
      </c>
      <c r="F12" s="76">
        <f>C12*E12</f>
        <v>87720</v>
      </c>
      <c r="G12" s="73">
        <f>F12/$F$9</f>
        <v>0.10142029808641911</v>
      </c>
      <c r="H12" s="73">
        <f>VLOOKUP(B12,Opportunities!B$3:I$12,8,FALSE)</f>
        <v>0.23834947369112891</v>
      </c>
    </row>
    <row r="13" spans="1:8">
      <c r="G13" s="88"/>
      <c r="H13" s="88"/>
    </row>
    <row r="14" spans="1:8" ht="13.15">
      <c r="B14" s="83" t="s">
        <v>261</v>
      </c>
      <c r="C14" s="84" t="s">
        <v>233</v>
      </c>
      <c r="D14" s="85" t="s">
        <v>160</v>
      </c>
      <c r="E14" s="84" t="s">
        <v>233</v>
      </c>
      <c r="F14" s="81">
        <f>F3-F12</f>
        <v>263675.62</v>
      </c>
      <c r="G14" s="89">
        <f t="shared" ref="G14" si="0">F14/$F$9</f>
        <v>0.30485704489878446</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4" t="s">
        <v>104</v>
      </c>
      <c r="C3" s="104"/>
      <c r="D3" s="104"/>
    </row>
    <row r="5" spans="1:4">
      <c r="B5" s="105" t="s">
        <v>106</v>
      </c>
      <c r="C5" s="95"/>
      <c r="D5" s="95"/>
    </row>
    <row r="6" spans="1:4">
      <c r="B6" s="105" t="s">
        <v>107</v>
      </c>
      <c r="C6" s="95"/>
      <c r="D6" s="95"/>
    </row>
    <row r="8" spans="1:4">
      <c r="B8" s="1" t="s">
        <v>105</v>
      </c>
    </row>
    <row r="10" spans="1:4">
      <c r="A10" s="5"/>
      <c r="B10" s="6" t="s">
        <v>108</v>
      </c>
    </row>
    <row r="11" spans="1:4">
      <c r="B11" s="104" t="s">
        <v>109</v>
      </c>
      <c r="C11" s="104"/>
      <c r="D11" s="104"/>
    </row>
    <row r="12" spans="1:4">
      <c r="B12" s="104" t="s">
        <v>110</v>
      </c>
      <c r="C12" s="104"/>
      <c r="D12" s="10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4" t="s">
        <v>122</v>
      </c>
      <c r="C28" s="104"/>
      <c r="D28" s="104"/>
    </row>
    <row r="29" spans="1:4">
      <c r="B29" s="104" t="s">
        <v>123</v>
      </c>
      <c r="C29" s="104"/>
      <c r="D29" s="10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2025-05-02T06:50:05Z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