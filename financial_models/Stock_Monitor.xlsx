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5D5BC640-7EF0-4C3D-9DEA-A919D6BE7CD6}"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Market_Yield" sheetId="2" r:id="rId3"/>
  </sheets>
  <definedNames>
    <definedName name="_xlnm._FilterDatabase" localSheetId="1" hidden="1">Opportunities!$B$2:$Q$2</definedName>
    <definedName name="benchmark">Portfolio_Mgmt!$C$10</definedName>
    <definedName name="Cash_Yield">Portfolio_Mgmt!$C$11</definedName>
  </definedNames>
  <calcPr calcId="191029"/>
</workbook>
</file>

<file path=xl/calcChain.xml><?xml version="1.0" encoding="utf-8"?>
<calcChain xmlns="http://schemas.openxmlformats.org/spreadsheetml/2006/main">
  <c r="H3" i="1" l="1"/>
  <c r="H4" i="1"/>
  <c r="H5" i="1"/>
  <c r="G3" i="1"/>
  <c r="G4" i="1"/>
  <c r="G5" i="1"/>
  <c r="B71" i="5"/>
  <c r="E55" i="5" l="1"/>
  <c r="C57" i="5" s="1"/>
  <c r="C31" i="5"/>
  <c r="C16" i="2" l="1"/>
  <c r="C10" i="5" s="1"/>
  <c r="C11" i="5"/>
  <c r="E6" i="2"/>
  <c r="E5" i="2"/>
  <c r="E4" i="2"/>
</calcChain>
</file>

<file path=xl/sharedStrings.xml><?xml version="1.0" encoding="utf-8"?>
<sst xmlns="http://schemas.openxmlformats.org/spreadsheetml/2006/main" count="154" uniqueCount="149">
  <si>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</si>
  <si>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</si>
  <si>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</si>
  <si>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</si>
  <si>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</si>
  <si>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</si>
  <si>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</si>
  <si>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</si>
  <si>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</si>
  <si>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</si>
  <si>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</si>
  <si>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</si>
  <si>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</si>
  <si>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</si>
  <si>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0083.HK</t>
  </si>
  <si>
    <t>SINO LAND</t>
  </si>
  <si>
    <t>HKD</t>
  </si>
  <si>
    <t>C0003</t>
  </si>
  <si>
    <t>Negative Growth Asset Play</t>
  </si>
  <si>
    <t>0590.HK</t>
  </si>
  <si>
    <t>六福珠宝</t>
  </si>
  <si>
    <t>Low Growth Asset Play</t>
  </si>
  <si>
    <t>6601.HK</t>
  </si>
  <si>
    <t>朝云集团</t>
  </si>
  <si>
    <t>C0001</t>
  </si>
  <si>
    <t xml:space="preserve">Low Growth </t>
  </si>
  <si>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</si>
  <si>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</si>
  <si>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</si>
  <si>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</si>
  <si>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</si>
  <si>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</si>
  <si>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</si>
  <si>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</si>
  <si>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</si>
  <si>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</si>
  <si>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</si>
  <si>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</si>
  <si>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</si>
  <si>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</si>
  <si>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</si>
  <si>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</si>
  <si>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</si>
  <si>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</si>
  <si>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</si>
  <si>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</si>
  <si>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</si>
  <si>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</si>
  <si>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</si>
  <si>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</si>
  <si>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</si>
  <si>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</si>
  <si>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</si>
  <si>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</si>
  <si>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</si>
  <si>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</si>
  <si>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</si>
  <si>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</si>
  <si>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</si>
  <si>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</si>
  <si>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</si>
  <si>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</si>
  <si>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</si>
  <si>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</si>
  <si>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</si>
  <si>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</si>
  <si>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</si>
  <si>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</si>
  <si>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Portfolio Management</t>
    <phoneticPr fontId="2" type="noConversion"/>
  </si>
  <si>
    <t>assuming a Lock-up period of</t>
    <phoneticPr fontId="2" type="noConversion"/>
  </si>
  <si>
    <t>Historical Avg Return</t>
    <phoneticPr fontId="2" type="noConversion"/>
  </si>
  <si>
    <t>Timing Risk Management</t>
    <phoneticPr fontId="2" type="noConversion"/>
  </si>
  <si>
    <t>Key Metrics:</t>
    <phoneticPr fontId="2" type="noConversion"/>
  </si>
  <si>
    <t>Excess Return over Benchmark (ERB)</t>
    <phoneticPr fontId="2" type="noConversion"/>
  </si>
  <si>
    <t>Excess Return over Cash (ERC)</t>
    <phoneticPr fontId="2" type="noConversion"/>
  </si>
  <si>
    <t>= Investment's Market Annual Return - Cash Yield</t>
    <phoneticPr fontId="2" type="noConversion"/>
  </si>
  <si>
    <t>Key Calculation:</t>
    <phoneticPr fontId="2" type="noConversion"/>
  </si>
  <si>
    <t>Decision Rules:</t>
    <phoneticPr fontId="2" type="noConversion"/>
  </si>
  <si>
    <t>ERB</t>
    <phoneticPr fontId="2" type="noConversion"/>
  </si>
  <si>
    <t>ERC</t>
    <phoneticPr fontId="2" type="noConversion"/>
  </si>
  <si>
    <t>Limits:</t>
    <phoneticPr fontId="2" type="noConversion"/>
  </si>
  <si>
    <t>Single Investment Cap</t>
    <phoneticPr fontId="2" type="noConversion"/>
  </si>
  <si>
    <t>= Investment's Market Annual Return - Benchmark Return</t>
    <phoneticPr fontId="2" type="noConversion"/>
  </si>
  <si>
    <t>Benchmark Return</t>
    <phoneticPr fontId="2" type="noConversion"/>
  </si>
  <si>
    <t>Benchmarket Return</t>
    <phoneticPr fontId="2" type="noConversion"/>
  </si>
  <si>
    <t>i.</t>
    <phoneticPr fontId="2" type="noConversion"/>
  </si>
  <si>
    <t>Concentration vs. Diversification Management</t>
    <phoneticPr fontId="2" type="noConversion"/>
  </si>
  <si>
    <t xml:space="preserve">ii. </t>
    <phoneticPr fontId="2" type="noConversion"/>
  </si>
  <si>
    <t xml:space="preserve">iii. </t>
    <phoneticPr fontId="2" type="noConversion"/>
  </si>
  <si>
    <t>Step 1: Determine Risk Appetite &amp; Cash Position</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</si>
  <si>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</si>
  <si>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</si>
  <si>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</si>
  <si>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</si>
  <si>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</si>
  <si>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</si>
  <si>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</si>
  <si>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</si>
  <si>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</si>
  <si>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</si>
  <si>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</si>
  <si>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</si>
  <si>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</si>
  <si>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</si>
  <si>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2. Calculate Attractiveness:</t>
    <phoneticPr fontId="2" type="noConversion"/>
  </si>
  <si>
    <t>A_i = ERB_i/Benchmark Return</t>
    <phoneticPr fontId="2" type="noConversion"/>
  </si>
  <si>
    <t>3. Rank &amp; Select:</t>
    <phoneticPr fontId="2" type="noConversion"/>
  </si>
  <si>
    <t>Step 3: Monitoring &amp; Rebalancing</t>
    <phoneticPr fontId="2" type="noConversion"/>
  </si>
  <si>
    <t>Rebalance if:</t>
    <phoneticPr fontId="2" type="noConversion"/>
  </si>
  <si>
    <r>
      <rPr>
        <b/>
        <i/>
        <sz val="9"/>
        <color theme="1"/>
        <rFont val="Arial"/>
        <family val="2"/>
      </rPr>
      <t xml:space="preserve">Guidance Note: </t>
    </r>
    <r>
      <rPr>
        <i/>
        <sz val="9"/>
        <color theme="1"/>
        <rFont val="Arial"/>
        <family val="2"/>
      </rPr>
      <t>This Portfolio Management plan is designed to optimize returns while managing risk by balancing Timing Risk and Concentration vs. Diversification. It ensures capital is deployed effectively during favorable market conditions and maintains diversification to mitigate uncertainties.</t>
    </r>
    <phoneticPr fontId="2" type="noConversion"/>
  </si>
  <si>
    <r>
      <rPr>
        <b/>
        <i/>
        <sz val="9"/>
        <color theme="1"/>
        <rFont val="Arial"/>
        <family val="2"/>
      </rPr>
      <t xml:space="preserve">Objective: </t>
    </r>
    <r>
      <rPr>
        <i/>
        <sz val="9"/>
        <color theme="1"/>
        <rFont val="Arial"/>
        <family val="2"/>
      </rPr>
      <t>Deploy capital when investment opportunities exceed the benchmark return, while holding sufficient cash reserves to hedge against market uncertainty.</t>
    </r>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</si>
  <si>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</si>
  <si>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r>
      <t xml:space="preserve">- Cash reserves are determined by a </t>
    </r>
    <r>
      <rPr>
        <b/>
        <sz val="9"/>
        <color theme="1"/>
        <rFont val="Arial"/>
        <family val="2"/>
      </rPr>
      <t>Risk Appetite Score</t>
    </r>
    <r>
      <rPr>
        <sz val="9"/>
        <color theme="1"/>
        <rFont val="Arial"/>
        <family val="2"/>
      </rPr>
      <t xml:space="preserve"> (see Step 1).</t>
    </r>
    <phoneticPr fontId="2" type="noConversion"/>
  </si>
  <si>
    <r>
      <rPr>
        <b/>
        <i/>
        <sz val="9"/>
        <color theme="1"/>
        <rFont val="Arial"/>
        <family val="2"/>
      </rPr>
      <t xml:space="preserve">Objective: </t>
    </r>
    <r>
      <rPr>
        <i/>
        <sz val="9"/>
        <color theme="1"/>
        <rFont val="Arial"/>
        <family val="2"/>
      </rPr>
      <t>Balance focused investments to maximize returns with diversified holdings to minimize risk, using defined allocation thresholds.</t>
    </r>
    <phoneticPr fontId="2" type="noConversion"/>
  </si>
  <si>
    <t>Maximum Number of Holdings</t>
    <phoneticPr fontId="2" type="noConversion"/>
  </si>
  <si>
    <t>Notes:</t>
    <phoneticPr fontId="2" type="noConversion"/>
  </si>
  <si>
    <r>
      <rPr>
        <b/>
        <i/>
        <sz val="9"/>
        <color theme="1"/>
        <rFont val="Arial"/>
        <family val="2"/>
      </rPr>
      <t>Target Annual Return</t>
    </r>
    <r>
      <rPr>
        <i/>
        <sz val="9"/>
        <color theme="1"/>
        <rFont val="Arial"/>
        <family val="2"/>
      </rPr>
      <t>: Represents the investor’s hurdle rate, guiding the expected performance of the portfolio over the lock-up period.</t>
    </r>
    <phoneticPr fontId="2" type="noConversion"/>
  </si>
  <si>
    <r>
      <rPr>
        <b/>
        <i/>
        <sz val="9"/>
        <color theme="1"/>
        <rFont val="Arial"/>
        <family val="2"/>
      </rPr>
      <t>Cost of Equity</t>
    </r>
    <r>
      <rPr>
        <i/>
        <sz val="9"/>
        <color theme="1"/>
        <rFont val="Arial"/>
        <family val="2"/>
      </rPr>
      <t>: Reflects the company’s risk profile and provides a consistent discount rate for valuations. Using a uniform cost of equity eliminates volatile and subjective inputs, ensuring conservative discounting of FCF and reducing downside risk.</t>
    </r>
    <phoneticPr fontId="2" type="noConversion"/>
  </si>
  <si>
    <t>Indicators and Scoring:</t>
    <phoneticPr fontId="2" type="noConversion"/>
  </si>
  <si>
    <r>
      <rPr>
        <b/>
        <i/>
        <sz val="9"/>
        <color theme="1"/>
        <rFont val="Arial"/>
        <family val="2"/>
      </rPr>
      <t xml:space="preserve">Process: </t>
    </r>
    <r>
      <rPr>
        <i/>
        <sz val="9"/>
        <color theme="1"/>
        <rFont val="Arial"/>
        <family val="2"/>
      </rPr>
      <t>Assess market cycles using four indicators to calculate a Risk Appetite Score, which determines the portfolio’s cash allocation.</t>
    </r>
    <phoneticPr fontId="2" type="noConversion"/>
  </si>
  <si>
    <t>P_i = (A_i / Sum of A_j for all selected investments) * (100% - Cash %)</t>
    <phoneticPr fontId="2" type="noConversion"/>
  </si>
  <si>
    <t>Score &lt;= 2</t>
    <phoneticPr fontId="2" type="noConversion"/>
  </si>
  <si>
    <t>Score 3–5</t>
    <phoneticPr fontId="2" type="noConversion"/>
  </si>
  <si>
    <t>Score &gt;= 6</t>
    <phoneticPr fontId="2" type="noConversion"/>
  </si>
  <si>
    <t>Cash Allocation Rule:</t>
    <phoneticPr fontId="2" type="noConversion"/>
  </si>
  <si>
    <t>Cash Allocation Decision:</t>
    <phoneticPr fontId="2" type="noConversion"/>
  </si>
  <si>
    <t>Scenario</t>
    <phoneticPr fontId="24" type="noConversion"/>
  </si>
  <si>
    <t>Cash Allocation</t>
    <phoneticPr fontId="24" type="noConversion"/>
  </si>
  <si>
    <t xml:space="preserve">Indicator	</t>
    <phoneticPr fontId="24" type="noConversion"/>
  </si>
  <si>
    <t>Low Risk Appetite (Hold Cash)</t>
    <phoneticPr fontId="24" type="noConversion"/>
  </si>
  <si>
    <t>High Risk Appetite (Deploy Cash)</t>
    <phoneticPr fontId="24" type="noConversion"/>
  </si>
  <si>
    <t>Score (0-2)</t>
    <phoneticPr fontId="24" type="noConversion"/>
  </si>
  <si>
    <t>- Rank investments by Attractiveness</t>
    <phoneticPr fontId="2" type="noConversion"/>
  </si>
  <si>
    <t>4. Allocate with Caps:</t>
    <phoneticPr fontId="2" type="noConversion"/>
  </si>
  <si>
    <t>For each selected investment i:</t>
    <phoneticPr fontId="2" type="noConversion"/>
  </si>
  <si>
    <t>- Compute Initial Weights:</t>
    <phoneticPr fontId="2" type="noConversion"/>
  </si>
  <si>
    <t>- Enforce Single Investment Cap:</t>
    <phoneticPr fontId="2" type="noConversion"/>
  </si>
  <si>
    <t>If any P_i &gt; 10%, cap it at 10% and redistribute the excess proportionally to other investments.</t>
    <phoneticPr fontId="2"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</si>
  <si>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</si>
  <si>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</si>
  <si>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</si>
  <si>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t>Note on cost of keeping cash</t>
    <phoneticPr fontId="2" type="noConversion"/>
  </si>
  <si>
    <t>1. Rank Investment Opportunities given Criteria:</t>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</si>
  <si>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</si>
  <si>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Data: Rank eligible investments by ERB. However, show all the opportunities in the Opportunities sheet regardless of ERB or is_selected flag</t>
    <phoneticPr fontId="2" type="noConversion"/>
  </si>
  <si>
    <t>Portfolio Management</t>
    <phoneticPr fontId="2" type="noConversion"/>
  </si>
  <si>
    <t>Allocation Percentage</t>
    <phoneticPr fontId="2" type="noConversion"/>
  </si>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</sst>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13C09]d\ mmm\ yyyy;@"/>
    <numFmt numFmtId="178" formatCode="0&quot; yrs&quot;"/>
  </numFmts>
  <fonts count="25">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sz val="11"/>
      <color rgb="FF000000"/>
      <name val="Times New Roman"/>
      <family val="1"/>
    </font>
    <font>
      <b/>
      <sz val="12"/>
      <color rgb="FF002060"/>
      <name val="Times New Roman"/>
      <family val="1"/>
    </font>
    <font>
      <sz val="11"/>
      <color theme="1"/>
      <name val="Times New Roman"/>
      <family val="1"/>
    </font>
    <font>
      <b/>
      <sz val="11"/>
      <color theme="1"/>
      <name val="Times New Roman"/>
      <family val="1"/>
    </font>
    <font>
      <sz val="11"/>
      <color rgb="FF0000FF"/>
      <name val="Times New Roman"/>
      <family val="1"/>
    </font>
    <font>
      <u/>
      <sz val="11"/>
      <color theme="10"/>
      <name val="Times New Roman"/>
      <family val="1"/>
    </font>
    <font>
      <b/>
      <sz val="9"/>
      <name val="Arial"/>
      <family val="2"/>
    </font>
    <font>
      <sz val="9"/>
      <name val="Arial"/>
      <family val="2"/>
    </font>
    <font>
      <sz val="9"/>
      <color theme="0"/>
      <name val="Arial"/>
      <family val="2"/>
    </font>
    <font>
      <sz val="9"/>
      <color rgb="FFFF0000"/>
      <name val="Arial"/>
      <family val="2"/>
    </font>
    <font>
      <sz val="9"/>
      <color rgb="FF00B05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5">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7" fillId="0" borderId="0" applyNumberFormat="0" applyFill="0" applyBorder="0" applyAlignment="0" applyProtection="0"/>
  </cellStyleXfs>
  <cellXfs count="60">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8" fillId="2" borderId="0" xfId="0" applyFont="1" applyFill="1"/>
    <xf numFmtId="0" fontId="9" fillId="0" borderId="2" xfId="0" applyFont="1" applyBorder="1"/>
    <xf numFmtId="0" fontId="8" fillId="0" borderId="0" xfId="0" applyFont="1"/>
    <xf numFmtId="0" fontId="9" fillId="0" borderId="0" xfId="0" applyFont="1"/>
    <xf numFmtId="0" fontId="10" fillId="0" borderId="0" xfId="0" applyFont="1"/>
    <xf numFmtId="0" fontId="11" fillId="0" borderId="0" xfId="0" applyFont="1" applyAlignment="1">
      <alignment horizontal="center"/>
    </xf>
    <xf numFmtId="0" fontId="10" fillId="0" borderId="4" xfId="0" applyFont="1" applyBorder="1" applyAlignment="1">
      <alignment horizontal="left"/>
    </xf>
    <xf numFmtId="10" fontId="12" fillId="0" borderId="4" xfId="0" applyNumberFormat="1" applyFont="1" applyBorder="1" applyAlignment="1">
      <alignment horizontal="right"/>
    </xf>
    <xf numFmtId="10" fontId="10" fillId="0" borderId="4" xfId="0" applyNumberFormat="1" applyFont="1" applyBorder="1" applyAlignment="1">
      <alignment horizontal="right"/>
    </xf>
    <xf numFmtId="0" fontId="10" fillId="0" borderId="4" xfId="0" applyFont="1" applyBorder="1"/>
    <xf numFmtId="0" fontId="11" fillId="0" borderId="4" xfId="0" applyFont="1" applyBorder="1" applyAlignment="1">
      <alignment horizontal="left" indent="1"/>
    </xf>
    <xf numFmtId="10" fontId="11" fillId="0" borderId="4" xfId="0" applyNumberFormat="1" applyFont="1" applyBorder="1"/>
    <xf numFmtId="0" fontId="13" fillId="0" borderId="0" xfId="2" applyFont="1"/>
    <xf numFmtId="0" fontId="4" fillId="0" borderId="0" xfId="0" applyFont="1"/>
    <xf numFmtId="0" fontId="14" fillId="0" borderId="2" xfId="0" applyFont="1" applyBorder="1"/>
    <xf numFmtId="0" fontId="15" fillId="0" borderId="2" xfId="0" applyFont="1" applyBorder="1"/>
    <xf numFmtId="0" fontId="6" fillId="0" borderId="0" xfId="0" applyFont="1"/>
    <xf numFmtId="0" fontId="16" fillId="6" borderId="0" xfId="0" applyFont="1" applyFill="1"/>
    <xf numFmtId="0" fontId="5" fillId="0" borderId="0" xfId="0" applyFont="1"/>
    <xf numFmtId="0" fontId="17" fillId="0" borderId="0" xfId="0" applyFont="1"/>
    <xf numFmtId="10" fontId="18" fillId="0" borderId="0" xfId="0" applyNumberFormat="1" applyFont="1" applyAlignment="1">
      <alignment horizontal="right"/>
    </xf>
    <xf numFmtId="178" fontId="18" fillId="0" borderId="0" xfId="0" applyNumberFormat="1" applyFont="1" applyAlignment="1">
      <alignment horizontal="center"/>
    </xf>
    <xf numFmtId="0" fontId="21" fillId="0" borderId="0" xfId="0" applyFont="1"/>
    <xf numFmtId="0" fontId="3" fillId="0" borderId="0" xfId="0" quotePrefix="1" applyFont="1"/>
    <xf numFmtId="0" fontId="22" fillId="0" borderId="0" xfId="0" applyFont="1"/>
    <xf numFmtId="0" fontId="3" fillId="0" borderId="4" xfId="0" applyFont="1" applyBorder="1"/>
    <xf numFmtId="0" fontId="17" fillId="0" borderId="4" xfId="0" applyFont="1" applyBorder="1" applyAlignment="1">
      <alignment horizontal="center"/>
    </xf>
    <xf numFmtId="0" fontId="6" fillId="0" borderId="0" xfId="0" applyFont="1" applyAlignment="1">
      <alignment horizontal="left" indent="1"/>
    </xf>
    <xf numFmtId="0" fontId="6" fillId="0" borderId="0" xfId="0" applyFont="1" applyAlignment="1">
      <alignment wrapText="1"/>
    </xf>
    <xf numFmtId="0" fontId="19" fillId="0" borderId="0" xfId="0" applyFont="1"/>
    <xf numFmtId="0" fontId="6" fillId="0" borderId="0" xfId="0" applyFont="1" applyAlignment="1">
      <alignment horizontal="center"/>
    </xf>
    <xf numFmtId="9" fontId="17" fillId="0" borderId="4" xfId="0" applyNumberFormat="1" applyFont="1" applyBorder="1" applyAlignment="1">
      <alignment horizontal="center"/>
    </xf>
    <xf numFmtId="9" fontId="6" fillId="0" borderId="0" xfId="0" applyNumberFormat="1" applyFont="1" applyAlignment="1">
      <alignment horizontal="center"/>
    </xf>
    <xf numFmtId="0" fontId="23" fillId="7" borderId="2" xfId="0" applyFont="1" applyFill="1" applyBorder="1" applyAlignment="1">
      <alignment horizontal="center"/>
    </xf>
    <xf numFmtId="9" fontId="17" fillId="0" borderId="0" xfId="0" applyNumberFormat="1" applyFont="1"/>
    <xf numFmtId="9" fontId="17" fillId="0" borderId="0" xfId="0" applyNumberFormat="1" applyFont="1" applyAlignment="1">
      <alignment horizontal="right"/>
    </xf>
    <xf numFmtId="0" fontId="19" fillId="0" borderId="0" xfId="0"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cellXfs>
  <cellStyles count="3">
    <cellStyle name="Normal 2" xfId="1" xr:uid="{00000000-0005-0000-0000-000001000000}"/>
    <cellStyle name="常规" xfId="0" builtinId="0"/>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3.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86"/>
  <sheetViews>
    <sheetView showGridLines="0" topLeftCell="A4" workbookViewId="0">
      <selection activeCell="C26" sqref="C2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34" t="s">
        <v>68</v>
      </c>
    </row>
    <row r="2" spans="1:5">
      <c r="A2" s="35" t="s">
        <v>67</v>
      </c>
      <c r="B2" s="35"/>
      <c r="C2" s="35"/>
      <c r="D2" s="35"/>
      <c r="E2" s="35"/>
    </row>
    <row r="4" spans="1:5" ht="36.6" customHeight="1">
      <c r="B4" s="54" t="s">
        <v>109</v>
      </c>
      <c r="C4" s="54"/>
      <c r="D4" s="54"/>
      <c r="E4" s="54"/>
    </row>
    <row r="6" spans="1:5">
      <c r="A6" s="34" t="s">
        <v>85</v>
      </c>
      <c r="B6" s="32" t="s">
        <v>71</v>
      </c>
      <c r="C6" s="33"/>
    </row>
    <row r="7" spans="1:5" ht="24.4" customHeight="1">
      <c r="B7" s="54" t="s">
        <v>110</v>
      </c>
      <c r="C7" s="54"/>
      <c r="D7" s="54"/>
      <c r="E7" s="54"/>
    </row>
    <row r="9" spans="1:5">
      <c r="B9" s="40" t="s">
        <v>72</v>
      </c>
    </row>
    <row r="10" spans="1:5">
      <c r="B10" s="1" t="s">
        <v>83</v>
      </c>
      <c r="C10" s="4">
        <f>Market_Yield!C16</f>
        <v>0.1174</v>
      </c>
    </row>
    <row r="11" spans="1:5">
      <c r="B11" s="1" t="s">
        <v>66</v>
      </c>
      <c r="C11" s="4">
        <f>Market_Yield!C6</f>
        <v>3.4500000000000003E-2</v>
      </c>
    </row>
    <row r="12" spans="1:5">
      <c r="C12" s="4"/>
    </row>
    <row r="13" spans="1:5">
      <c r="B13" s="40" t="s">
        <v>76</v>
      </c>
      <c r="C13" s="4"/>
    </row>
    <row r="14" spans="1:5">
      <c r="B14" s="1" t="s">
        <v>73</v>
      </c>
      <c r="C14" s="41" t="s">
        <v>82</v>
      </c>
    </row>
    <row r="15" spans="1:5">
      <c r="B15" s="1" t="s">
        <v>74</v>
      </c>
      <c r="C15" s="41" t="s">
        <v>75</v>
      </c>
    </row>
    <row r="17" spans="1:5">
      <c r="B17" s="40" t="s">
        <v>77</v>
      </c>
    </row>
    <row r="18" spans="1:5">
      <c r="B18" s="41" t="s">
        <v>143</v>
      </c>
    </row>
    <row r="19" spans="1:5">
      <c r="B19" s="41" t="s">
        <v>111</v>
      </c>
    </row>
    <row r="20" spans="1:5">
      <c r="B20" s="41" t="s">
        <v>112</v>
      </c>
    </row>
    <row r="22" spans="1:5">
      <c r="A22" s="42" t="s">
        <v>87</v>
      </c>
      <c r="B22" s="32" t="s">
        <v>86</v>
      </c>
      <c r="C22" s="33"/>
    </row>
    <row r="23" spans="1:5" ht="24.4" customHeight="1">
      <c r="A23" s="31"/>
      <c r="B23" s="54" t="s">
        <v>113</v>
      </c>
      <c r="C23" s="54"/>
      <c r="D23" s="54"/>
      <c r="E23" s="54"/>
    </row>
    <row r="24" spans="1:5">
      <c r="A24" s="31"/>
    </row>
    <row r="25" spans="1:5">
      <c r="A25" s="31"/>
      <c r="B25" s="40" t="s">
        <v>80</v>
      </c>
    </row>
    <row r="26" spans="1:5">
      <c r="B26" s="1" t="s">
        <v>114</v>
      </c>
      <c r="C26" s="37">
        <v>10</v>
      </c>
    </row>
    <row r="27" spans="1:5">
      <c r="B27" s="1" t="s">
        <v>81</v>
      </c>
      <c r="C27" s="52">
        <v>0.3</v>
      </c>
    </row>
    <row r="29" spans="1:5">
      <c r="A29" s="34" t="s">
        <v>88</v>
      </c>
      <c r="B29" s="32" t="s">
        <v>27</v>
      </c>
      <c r="C29" s="33"/>
      <c r="D29" s="36"/>
    </row>
    <row r="30" spans="1:5">
      <c r="B30" s="1" t="s">
        <v>28</v>
      </c>
      <c r="C30" s="53">
        <v>0.2</v>
      </c>
      <c r="D30" s="31" t="s">
        <v>69</v>
      </c>
      <c r="E30" s="39">
        <v>3</v>
      </c>
    </row>
    <row r="31" spans="1:5">
      <c r="B31" s="1" t="s">
        <v>29</v>
      </c>
      <c r="C31" s="38">
        <f>MAX(8%,Market_Yield!C4:D6)</f>
        <v>0.08</v>
      </c>
    </row>
    <row r="33" spans="1:5">
      <c r="B33" s="34" t="s">
        <v>115</v>
      </c>
    </row>
    <row r="34" spans="1:5" ht="24.4" customHeight="1">
      <c r="B34" s="54" t="s">
        <v>116</v>
      </c>
      <c r="C34" s="54"/>
      <c r="D34" s="54"/>
      <c r="E34" s="54"/>
    </row>
    <row r="35" spans="1:5" ht="24.4" customHeight="1">
      <c r="B35" s="54" t="s">
        <v>117</v>
      </c>
      <c r="C35" s="54"/>
      <c r="D35" s="54"/>
      <c r="E35" s="54"/>
    </row>
    <row r="37" spans="1:5">
      <c r="A37" s="35" t="s">
        <v>89</v>
      </c>
      <c r="B37" s="35"/>
      <c r="C37" s="35"/>
      <c r="D37" s="35"/>
      <c r="E37" s="35"/>
    </row>
    <row r="39" spans="1:5" ht="24.4" customHeight="1">
      <c r="B39" s="54" t="s">
        <v>119</v>
      </c>
      <c r="C39" s="54"/>
      <c r="D39" s="54"/>
      <c r="E39" s="54"/>
    </row>
    <row r="41" spans="1:5">
      <c r="B41" s="40" t="s">
        <v>124</v>
      </c>
    </row>
    <row r="43" spans="1:5" ht="12.4">
      <c r="B43" s="51" t="s">
        <v>126</v>
      </c>
      <c r="C43" s="51" t="s">
        <v>127</v>
      </c>
    </row>
    <row r="44" spans="1:5">
      <c r="B44" s="43" t="s">
        <v>121</v>
      </c>
      <c r="C44" s="49">
        <v>0.5</v>
      </c>
    </row>
    <row r="45" spans="1:5">
      <c r="B45" s="43" t="s">
        <v>122</v>
      </c>
      <c r="C45" s="49">
        <v>0.3</v>
      </c>
    </row>
    <row r="46" spans="1:5">
      <c r="B46" s="43" t="s">
        <v>123</v>
      </c>
      <c r="C46" s="49">
        <v>0.2</v>
      </c>
    </row>
    <row r="48" spans="1:5">
      <c r="B48" s="40" t="s">
        <v>118</v>
      </c>
    </row>
    <row r="50" spans="1:5" ht="12.4">
      <c r="B50" s="51" t="s">
        <v>128</v>
      </c>
      <c r="C50" s="51" t="s">
        <v>129</v>
      </c>
      <c r="D50" s="51" t="s">
        <v>130</v>
      </c>
      <c r="E50" s="51" t="s">
        <v>131</v>
      </c>
    </row>
    <row r="51" spans="1:5">
      <c r="B51" s="43" t="s">
        <v>90</v>
      </c>
      <c r="C51" s="43" t="s">
        <v>97</v>
      </c>
      <c r="D51" s="43" t="s">
        <v>98</v>
      </c>
      <c r="E51" s="44">
        <v>1</v>
      </c>
    </row>
    <row r="52" spans="1:5">
      <c r="B52" s="43" t="s">
        <v>91</v>
      </c>
      <c r="C52" s="43" t="s">
        <v>94</v>
      </c>
      <c r="D52" s="43" t="s">
        <v>99</v>
      </c>
      <c r="E52" s="44">
        <v>2</v>
      </c>
    </row>
    <row r="53" spans="1:5">
      <c r="B53" s="43" t="s">
        <v>92</v>
      </c>
      <c r="C53" s="43" t="s">
        <v>95</v>
      </c>
      <c r="D53" s="43" t="s">
        <v>100</v>
      </c>
      <c r="E53" s="44">
        <v>1</v>
      </c>
    </row>
    <row r="54" spans="1:5">
      <c r="B54" s="43" t="s">
        <v>93</v>
      </c>
      <c r="C54" s="43" t="s">
        <v>96</v>
      </c>
      <c r="D54" s="43" t="s">
        <v>101</v>
      </c>
      <c r="E54" s="44">
        <v>1</v>
      </c>
    </row>
    <row r="55" spans="1:5">
      <c r="D55" s="45" t="s">
        <v>102</v>
      </c>
      <c r="E55" s="48">
        <f>SUM(E51:E54)</f>
        <v>5</v>
      </c>
    </row>
    <row r="57" spans="1:5">
      <c r="B57" s="40" t="s">
        <v>125</v>
      </c>
      <c r="C57" s="50">
        <f>IF(E55&lt;=2,C44,IF(E55&gt;=6,C46,C45))</f>
        <v>0.3</v>
      </c>
    </row>
    <row r="59" spans="1:5">
      <c r="B59" s="47" t="s">
        <v>141</v>
      </c>
    </row>
    <row r="61" spans="1:5">
      <c r="A61" s="35" t="s">
        <v>103</v>
      </c>
      <c r="B61" s="35"/>
      <c r="C61" s="35"/>
      <c r="D61" s="35"/>
      <c r="E61" s="35"/>
    </row>
    <row r="63" spans="1:5">
      <c r="B63" s="34" t="s">
        <v>142</v>
      </c>
    </row>
    <row r="64" spans="1:5">
      <c r="B64" s="1" t="s">
        <v>144</v>
      </c>
    </row>
    <row r="66" spans="2:2">
      <c r="B66" s="46" t="s">
        <v>104</v>
      </c>
    </row>
    <row r="67" spans="2:2">
      <c r="B67" s="1" t="s">
        <v>105</v>
      </c>
    </row>
    <row r="69" spans="2:2">
      <c r="B69" s="34" t="s">
        <v>106</v>
      </c>
    </row>
    <row r="70" spans="2:2">
      <c r="B70" s="41" t="s">
        <v>132</v>
      </c>
    </row>
    <row r="71" spans="2:2">
      <c r="B71" s="1" t="str">
        <f>"- Select the top "&amp;C26&amp;" or fewer investments, respecting the maximum holdings limit."</f>
        <v>- Select the top 10 or fewer investments, respecting the maximum holdings limit.</v>
      </c>
    </row>
    <row r="73" spans="2:2">
      <c r="B73" s="34" t="s">
        <v>133</v>
      </c>
    </row>
    <row r="74" spans="2:2">
      <c r="B74" s="41" t="s">
        <v>135</v>
      </c>
    </row>
    <row r="75" spans="2:2">
      <c r="B75" s="1" t="s">
        <v>134</v>
      </c>
    </row>
    <row r="76" spans="2:2">
      <c r="B76" s="1" t="s">
        <v>120</v>
      </c>
    </row>
    <row r="78" spans="2:2">
      <c r="B78" s="41" t="s">
        <v>136</v>
      </c>
    </row>
    <row r="79" spans="2:2">
      <c r="B79" s="1" t="s">
        <v>137</v>
      </c>
    </row>
    <row r="81" spans="1:5">
      <c r="A81" s="35" t="s">
        <v>107</v>
      </c>
      <c r="B81" s="35"/>
      <c r="C81" s="35"/>
      <c r="D81" s="35"/>
      <c r="E81" s="35"/>
    </row>
    <row r="83" spans="1:5">
      <c r="B83" s="34" t="s">
        <v>108</v>
      </c>
    </row>
    <row r="84" spans="1:5">
      <c r="B84" s="41" t="s">
        <v>138</v>
      </c>
    </row>
    <row r="85" spans="1:5">
      <c r="B85" s="41" t="s">
        <v>140</v>
      </c>
    </row>
    <row r="86" spans="1:5">
      <c r="B86" s="41" t="s">
        <v>139</v>
      </c>
    </row>
  </sheetData>
  <mergeCells count="6">
    <mergeCell ref="B39:E39"/>
    <mergeCell ref="B4:E4"/>
    <mergeCell ref="B7:E7"/>
    <mergeCell ref="B23:E23"/>
    <mergeCell ref="B34:E34"/>
    <mergeCell ref="B35:E35"/>
  </mergeCells>
  <phoneticPr fontId="2" type="noConversion"/>
  <pageMargins left="0.25" right="0.25" top="0.75" bottom="0.75" header="0.3" footer="0.3"/>
  <pageSetup paperSize="9" scale="93"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E6" sqref="E6"/>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58" t="s">
        <v>1</v>
      </c>
      <c r="E1" s="58"/>
      <c r="F1" s="58"/>
      <c r="G1" s="59" t="s">
        <v>145</v>
      </c>
      <c r="H1" s="59"/>
      <c r="I1" s="59"/>
      <c r="J1" s="55" t="s">
        <v>5</v>
      </c>
      <c r="K1" s="55"/>
      <c r="L1" s="56" t="s">
        <v>9</v>
      </c>
      <c r="M1" s="56"/>
      <c r="N1" s="57" t="s">
        <v>65</v>
      </c>
      <c r="O1" s="57"/>
      <c r="P1" s="57"/>
      <c r="Q1" s="57"/>
    </row>
    <row r="2" spans="1:17" ht="26" customHeight="1">
      <c r="B2" s="7" t="s">
        <v>3</v>
      </c>
      <c r="C2" s="7" t="s">
        <v>0</v>
      </c>
      <c r="D2" s="8" t="s">
        <v>1</v>
      </c>
      <c r="E2" s="7" t="s">
        <v>2</v>
      </c>
      <c r="F2" s="7" t="s">
        <v>11</v>
      </c>
      <c r="G2" s="7" t="s">
        <v>78</v>
      </c>
      <c r="H2" s="7" t="s">
        <v>79</v>
      </c>
      <c r="I2" s="7" t="s">
        <v>146</v>
      </c>
      <c r="J2" s="8" t="s">
        <v>8</v>
      </c>
      <c r="K2" s="8" t="s">
        <v>12</v>
      </c>
      <c r="L2" s="7" t="s">
        <v>13</v>
      </c>
      <c r="M2" s="7" t="s">
        <v>7</v>
      </c>
      <c r="N2" s="7" t="s">
        <v>6</v>
      </c>
      <c r="O2" s="7" t="s">
        <v>26</v>
      </c>
      <c r="P2" s="9" t="s">
        <v>10</v>
      </c>
      <c r="Q2" s="10" t="s">
        <v>64</v>
      </c>
    </row>
    <row r="3" spans="1:17">
      <c r="B3" s="11" t="s">
        <v>14</v>
      </c>
      <c r="C3" s="11" t="s">
        <v>15</v>
      </c>
      <c r="D3" s="2">
        <v>7.79</v>
      </c>
      <c r="E3" s="12" t="s">
        <v>16</v>
      </c>
      <c r="F3" s="15">
        <v>0.12411921460409614</v>
      </c>
      <c r="G3" s="15">
        <f>F3 - Portfolio_Mgmt!$C$10</f>
        <v>6.7192146040961354E-3</v>
      </c>
      <c r="H3" s="15">
        <f>F3 - Portfolio_Mgmt!$C$11</f>
        <v>8.9619214604096137E-2</v>
      </c>
      <c r="I3" s="15">
        <v>0.39999999999999997</v>
      </c>
      <c r="J3" s="2">
        <v>6.4883606756817951</v>
      </c>
      <c r="K3" s="2">
        <v>9.1006872475781417</v>
      </c>
      <c r="L3" s="4">
        <v>3.9653192809019897E-2</v>
      </c>
      <c r="M3" s="4">
        <v>7.4454428754813853E-2</v>
      </c>
      <c r="N3" s="13" t="s">
        <v>17</v>
      </c>
      <c r="O3" s="11" t="s">
        <v>18</v>
      </c>
      <c r="P3" s="14">
        <v>45716</v>
      </c>
      <c r="Q3" s="11" t="s">
        <v>147</v>
      </c>
    </row>
    <row r="4" spans="1:17">
      <c r="B4" s="11" t="s">
        <v>19</v>
      </c>
      <c r="C4" s="11" t="s">
        <v>20</v>
      </c>
      <c r="D4" s="2">
        <v>14.96</v>
      </c>
      <c r="E4" s="12" t="s">
        <v>16</v>
      </c>
      <c r="F4" s="15">
        <v>0.19343775079136272</v>
      </c>
      <c r="G4" s="15">
        <f>F4 - Portfolio_Mgmt!$C$10</f>
        <v>7.6037750791362713E-2</v>
      </c>
      <c r="H4" s="15">
        <f>F4 - Portfolio_Mgmt!$C$11</f>
        <v>0.15893775079136271</v>
      </c>
      <c r="I4" s="15">
        <v>0.3</v>
      </c>
      <c r="J4" s="2">
        <v>14.733437767356989</v>
      </c>
      <c r="K4" s="2">
        <v>20.508980461992877</v>
      </c>
      <c r="L4" s="4">
        <v>0.11550708685625866</v>
      </c>
      <c r="M4" s="4">
        <v>9.0909090909090912E-2</v>
      </c>
      <c r="N4" s="13" t="s">
        <v>17</v>
      </c>
      <c r="O4" s="11" t="s">
        <v>25</v>
      </c>
      <c r="P4" s="14">
        <v>45716</v>
      </c>
      <c r="Q4" s="11" t="s">
        <v>147</v>
      </c>
    </row>
    <row r="5" spans="1:17">
      <c r="B5" s="11" t="s">
        <v>22</v>
      </c>
      <c r="C5" s="11" t="s">
        <v>23</v>
      </c>
      <c r="D5" s="2">
        <v>2.1800000000000002</v>
      </c>
      <c r="E5" s="12" t="s">
        <v>16</v>
      </c>
      <c r="F5" s="15">
        <v>6.3214262000776955E-2</v>
      </c>
      <c r="G5" s="15">
        <f>F5 - Portfolio_Mgmt!$C$10</f>
        <v>-5.4185737999223049E-2</v>
      </c>
      <c r="H5" s="15">
        <f>F5 - Portfolio_Mgmt!$C$11</f>
        <v>2.8714262000776952E-2</v>
      </c>
      <c r="I5" s="15">
        <v>0</v>
      </c>
      <c r="J5" s="2">
        <v>1.5466941106484338</v>
      </c>
      <c r="K5" s="2">
        <v>2.2438954232004935</v>
      </c>
      <c r="L5" s="4">
        <v>2.1574888673832972E-2</v>
      </c>
      <c r="M5" s="4">
        <v>5.4036697247706419E-2</v>
      </c>
      <c r="N5" s="13" t="s">
        <v>24</v>
      </c>
      <c r="O5" s="11" t="s">
        <v>21</v>
      </c>
      <c r="P5" s="14">
        <v>45716</v>
      </c>
      <c r="Q5" s="11" t="s">
        <v>148</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2:E31"/>
  <sheetViews>
    <sheetView showGridLines="0" zoomScaleNormal="100" workbookViewId="0">
      <selection activeCell="C6" sqref="C6"/>
    </sheetView>
  </sheetViews>
  <sheetFormatPr defaultColWidth="8.796875" defaultRowHeight="13.9"/>
  <cols>
    <col min="1" max="1" width="2.46484375" style="22" customWidth="1"/>
    <col min="2" max="2" width="30.19921875" style="22" bestFit="1" customWidth="1"/>
    <col min="3" max="5" width="15.59765625" style="22" customWidth="1"/>
    <col min="6" max="16384" width="8.796875" style="22"/>
  </cols>
  <sheetData>
    <row r="2" spans="1:5" ht="15">
      <c r="A2" s="18"/>
      <c r="B2" s="19" t="s">
        <v>30</v>
      </c>
      <c r="C2" s="20"/>
      <c r="D2" s="21"/>
      <c r="E2" s="20"/>
    </row>
    <row r="3" spans="1:5">
      <c r="C3" s="23" t="s">
        <v>31</v>
      </c>
      <c r="D3" s="23" t="s">
        <v>32</v>
      </c>
      <c r="E3" s="23" t="s">
        <v>33</v>
      </c>
    </row>
    <row r="4" spans="1:5">
      <c r="B4" s="24" t="s">
        <v>34</v>
      </c>
      <c r="C4" s="25">
        <v>4.2500000000000003E-2</v>
      </c>
      <c r="D4" s="25">
        <v>7.4999999999999997E-2</v>
      </c>
      <c r="E4" s="26">
        <f>D4-C4</f>
        <v>3.2499999999999994E-2</v>
      </c>
    </row>
    <row r="5" spans="1:5">
      <c r="B5" s="24" t="s">
        <v>35</v>
      </c>
      <c r="C5" s="25">
        <v>1.9E-2</v>
      </c>
      <c r="D5" s="25">
        <v>3.1E-2</v>
      </c>
      <c r="E5" s="26">
        <f>D5-C5</f>
        <v>1.2E-2</v>
      </c>
    </row>
    <row r="6" spans="1:5">
      <c r="B6" s="24" t="s">
        <v>36</v>
      </c>
      <c r="C6" s="25">
        <v>3.4500000000000003E-2</v>
      </c>
      <c r="D6" s="25">
        <v>5.2499999999999998E-2</v>
      </c>
      <c r="E6" s="26">
        <f>D6-C6</f>
        <v>1.7999999999999995E-2</v>
      </c>
    </row>
    <row r="8" spans="1:5" ht="15">
      <c r="A8" s="18"/>
      <c r="B8" s="19" t="s">
        <v>37</v>
      </c>
      <c r="C8" s="22">
        <v>4.3099999999999999E-2</v>
      </c>
      <c r="D8" s="22">
        <v>7.4999999999999997E-2</v>
      </c>
    </row>
    <row r="9" spans="1:5">
      <c r="B9" s="22" t="s">
        <v>70</v>
      </c>
      <c r="C9" s="23" t="s">
        <v>38</v>
      </c>
    </row>
    <row r="10" spans="1:5">
      <c r="B10" s="27" t="s">
        <v>39</v>
      </c>
      <c r="C10" s="25">
        <v>9.9400000000000002E-2</v>
      </c>
    </row>
    <row r="11" spans="1:5">
      <c r="B11" s="27" t="s">
        <v>40</v>
      </c>
      <c r="C11" s="25">
        <v>0.1174</v>
      </c>
    </row>
    <row r="12" spans="1:5">
      <c r="B12" s="27" t="s">
        <v>41</v>
      </c>
      <c r="C12" s="25">
        <v>3.4500000000000003E-2</v>
      </c>
    </row>
    <row r="13" spans="1:5">
      <c r="B13" s="27" t="s">
        <v>42</v>
      </c>
      <c r="C13" s="25">
        <v>3.3099999999999997E-2</v>
      </c>
    </row>
    <row r="14" spans="1:5">
      <c r="B14" s="27" t="s">
        <v>43</v>
      </c>
      <c r="C14" s="25">
        <v>4.2299999999999997E-2</v>
      </c>
    </row>
    <row r="15" spans="1:5">
      <c r="B15" s="27" t="s">
        <v>44</v>
      </c>
      <c r="C15" s="25">
        <v>5.1200000000000002E-2</v>
      </c>
    </row>
    <row r="16" spans="1:5">
      <c r="B16" s="28" t="s">
        <v>84</v>
      </c>
      <c r="C16" s="29">
        <f>MAX(Portfolio_Mgmt!C31,C10:C15)</f>
        <v>0.1174</v>
      </c>
    </row>
    <row r="18" spans="1:5" ht="15">
      <c r="A18" s="18"/>
      <c r="B18" s="19" t="s">
        <v>45</v>
      </c>
      <c r="C18" s="20"/>
      <c r="D18" s="21"/>
      <c r="E18" s="20"/>
    </row>
    <row r="19" spans="1:5">
      <c r="B19" s="20" t="s">
        <v>46</v>
      </c>
      <c r="C19" s="30" t="s">
        <v>47</v>
      </c>
    </row>
    <row r="20" spans="1:5">
      <c r="B20" s="22" t="s">
        <v>48</v>
      </c>
      <c r="C20" s="30" t="s">
        <v>49</v>
      </c>
    </row>
    <row r="21" spans="1:5">
      <c r="B21" s="22" t="s">
        <v>50</v>
      </c>
      <c r="C21" s="30" t="s">
        <v>51</v>
      </c>
    </row>
    <row r="22" spans="1:5">
      <c r="C22" s="30"/>
    </row>
    <row r="23" spans="1:5">
      <c r="B23" s="22" t="s">
        <v>52</v>
      </c>
      <c r="C23" s="30" t="s">
        <v>53</v>
      </c>
    </row>
    <row r="24" spans="1:5">
      <c r="B24" s="22" t="s">
        <v>54</v>
      </c>
      <c r="C24" s="30" t="s">
        <v>55</v>
      </c>
    </row>
    <row r="25" spans="1:5">
      <c r="C25" s="30"/>
    </row>
    <row r="26" spans="1:5">
      <c r="B26" s="22" t="s">
        <v>56</v>
      </c>
      <c r="C26" s="30" t="s">
        <v>57</v>
      </c>
    </row>
    <row r="27" spans="1:5">
      <c r="B27" s="22" t="s">
        <v>58</v>
      </c>
      <c r="C27" s="30" t="s">
        <v>59</v>
      </c>
    </row>
    <row r="28" spans="1:5">
      <c r="C28" s="30"/>
    </row>
    <row r="29" spans="1:5">
      <c r="B29" s="22" t="s">
        <v>60</v>
      </c>
      <c r="C29" s="30" t="s">
        <v>61</v>
      </c>
    </row>
    <row r="31" spans="1:5">
      <c r="B31" s="22" t="s">
        <v>62</v>
      </c>
      <c r="C31" s="30" t="s">
        <v>63</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2</vt:i4>
      </vt:variant>
    </vt:vector>
  </HeadingPairs>
  <TitlesOfParts>
    <vt:vector size="5" baseType="lpstr">
      <vt:lpstr>Portfolio_Mgmt</vt:lpstr>
      <vt:lpstr>Opportunities</vt:lpstr>
      <vt:lpstr>Market_Yield</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2025-03-27T08:11:32Z</cp:lastPrinted>
  <dcterms:created xsi:type="dcterms:W3CDTF">2022-12-06T06:37:33Z</dcterms:created>
  <dcterms:modified xsi:type="dcterms:W3CDTF">2025-03-27T16:37:13Z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