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3564080-78BF-445F-BAB9-5766E4CAB088}"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Comp_Group" sheetId="6" r:id="rId5"/>
    <sheet name="Holdings" sheetId="7"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F4" i="7" l="1"/>
  <c r="F6" i="7"/>
  <c r="F5" i="7"/>
  <c r="F8" i="7" s="1"/>
  <c r="H3" i="1"/>
  <c r="H4" i="1"/>
  <c r="H5" i="1"/>
  <c r="G3" i="1"/>
  <c r="G4" i="1"/>
  <c r="G5" i="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<sst xmlns="http://schemas.openxmlformats.org/spreadsheetml/2006/main" count="255" uniqueCount="241">
  <si>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</si>
  <si>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</si>
  <si>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</si>
  <si>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</si>
  <si>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</si>
  <si>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</si>
  <si>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</si>
  <si>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</si>
  <si>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</si>
  <si>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</si>
  <si>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</si>
  <si>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</si>
  <si>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</si>
  <si>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</si>
  <si>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</si>
  <si>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</si>
  <si>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</si>
  <si>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</si>
  <si>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</si>
  <si>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</si>
  <si>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</si>
  <si>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</si>
  <si>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</si>
  <si>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</si>
  <si>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</si>
  <si>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</si>
  <si>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</si>
  <si>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</si>
  <si>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</si>
  <si>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</si>
  <si>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</si>
  <si>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</si>
  <si>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</si>
  <si>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</si>
  <si>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</si>
  <si>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</si>
  <si>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</si>
  <si>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</si>
  <si>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</si>
  <si>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</si>
  <si>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</si>
  <si>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</si>
  <si>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</si>
  <si>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</si>
  <si>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</si>
  <si>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</si>
  <si>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</si>
  <si>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</si>
  <si>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</si>
  <si>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</si>
  <si>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</si>
  <si>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</si>
  <si>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</si>
  <si>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</si>
  <si>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</si>
  <si>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</si>
  <si>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</si>
  <si>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</si>
  <si>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</si>
  <si>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</si>
  <si>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</si>
  <si>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</si>
  <si>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</si>
  <si>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</si>
  <si>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</si>
  <si>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</si>
  <si>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</si>
  <si>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</si>
  <si>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</si>
  <si>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</si>
  <si>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</si>
  <si>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</si>
  <si>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</si>
  <si>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</si>
  <si>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</si>
  <si>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</si>
  <si>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</si>
  <si>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</si>
  <si>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</si>
  <si>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</si>
  <si>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</si>
  <si>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</si>
  <si>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</si>
  <si>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</si>
  <si>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</si>
  <si>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</si>
  <si>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</si>
  <si>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</si>
  <si>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</si>
  <si>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</si>
  <si>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</si>
  <si>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</si>
  <si>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</si>
  <si>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</si>
  <si>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</si>
  <si>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</si>
  <si>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</si>
  <si>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</si>
  <si>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</si>
  <si>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</si>
  <si>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</si>
  <si>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</si>
  <si>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</si>
  <si>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</si>
  <si>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</si>
  <si>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</si>
  <si>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</si>
  <si>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</si>
  <si>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</si>
  <si>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</si>
  <si>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</si>
  <si>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</si>
  <si>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</si>
  <si>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</si>
  <si>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</si>
  <si>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</si>
  <si>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</si>
  <si>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</si>
  <si>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</si>
  <si>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</si>
  <si>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</si>
  <si>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</si>
  <si>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</si>
  <si>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</si>
  <si>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</si>
  <si>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</si>
  <si>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</si>
  <si>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</si>
  <si>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</si>
  <si>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</si>
  <si>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</si>
  <si>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</si>
  <si>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</si>
  <si>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</si>
  <si>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</si>
  <si>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</si>
  <si>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</si>
  <si>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</si>
  <si>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</si>
  <si>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</si>
  <si>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</si>
  <si>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</si>
  <si>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</si>
  <si>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</si>
  <si>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</si>
  <si>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</si>
  <si>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</si>
  <si>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</si>
  <si>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</si>
  <si>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</si>
  <si>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</si>
  <si>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</si>
  <si>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</si>
  <si>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</si>
  <si>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</si>
  <si>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</si>
  <si>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</si>
  <si>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</si>
  <si>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</si>
  <si>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</si>
  <si>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</si>
  <si>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</si>
  <si>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</si>
  <si>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</si>
  <si>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</si>
  <si>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</si>
  <si>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</si>
  <si>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</si>
  <si>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</si>
  <si>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</si>
  <si>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</si>
  <si>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</si>
  <si>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</si>
  <si>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</si>
  <si>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</si>
  <si>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</si>
  <si>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</si>
  <si>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</si>
  <si>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</si>
  <si>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</si>
  <si>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</si>
  <si>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</si>
  <si>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</si>
  <si>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</si>
  <si>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</si>
  <si>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</si>
  <si>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</si>
  <si>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</si>
  <si>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</si>
  <si>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</si>
  <si>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</si>
  <si>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</si>
  <si>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</si>
  <si>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</si>
  <si>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</si>
  <si>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</si>
  <si>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</si>
  <si>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</si>
  <si>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</si>
  <si>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</si>
  <si>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</si>
  <si>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</si>
  <si>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</si>
  <si>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</si>
  <si>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</si>
  <si>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</si>
  <si>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</si>
  <si>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</si>
  <si>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</si>
  <si>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</si>
  <si>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</si>
  <si>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</si>
  <si>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</si>
  <si>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</si>
  <si>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</si>
  <si>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</si>
  <si>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</si>
  <si>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</si>
  <si>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</si>
  <si>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</si>
  <si>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</si>
  <si>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Cost of Equity</t>
    </r>
    <r>
      <rPr>
        <i/>
        <sz val="9"/>
        <color theme="1"/>
        <rFont val="Arial"/>
        <family val="2"/>
      </rPr>
      <t>: This plan adopts a value investing perspective, viewing true risk as the potential for permanent capital loss arising from deteriorating business fundamentals or paying too high a price, rather than short-term market price volatility (beta). Consistent with this, a uniform Base Cost of Equity is applied to all potential investments. This rate represents the minimum acceptable long-term return required for committing capital to any equity holding in this portfolio, reflecting long-term risk-free rates plus a required premium for taking on general business ownership risk.</t>
    </r>
    <phoneticPr fontId="2"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</si>
  <si>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</si>
  <si>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</si>
  <si>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</si>
  <si>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</si>
  <si>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</si>
  <si>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</si>
  <si>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</si>
  <si>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</si>
  <si>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</si>
  <si>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</si>
  <si>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</si>
  <si>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</si>
  <si>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</si>
  <si>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</si>
  <si>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</si>
  <si>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</si>
  <si>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Cash in Mainland</t>
    <phoneticPr fontId="2" type="noConversion"/>
  </si>
  <si>
    <t>CNY</t>
    <phoneticPr fontId="2" type="noConversion"/>
  </si>
  <si>
    <t>Market Value (HKD)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</si>
</sst>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workbookViewId="0">
      <selection activeCell="C18" sqref="C18"/>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65" t="s">
        <v>223</v>
      </c>
      <c r="C4" s="65"/>
      <c r="D4" s="65"/>
      <c r="E4" s="65"/>
    </row>
    <row r="6" spans="1:5">
      <c r="A6" s="20" t="s">
        <v>66</v>
      </c>
      <c r="B6" s="19" t="s">
        <v>205</v>
      </c>
      <c r="C6" s="62"/>
    </row>
    <row r="7" spans="1:5">
      <c r="B7" s="65" t="s">
        <v>210</v>
      </c>
      <c r="C7" s="65"/>
      <c r="D7" s="65"/>
      <c r="E7" s="6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65" t="s">
        <v>222</v>
      </c>
      <c r="C24" s="65"/>
      <c r="D24" s="65"/>
      <c r="E24" s="65"/>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65" t="s">
        <v>156</v>
      </c>
      <c r="C39" s="65"/>
      <c r="D39" s="65"/>
      <c r="E39" s="65"/>
    </row>
    <row r="40" spans="1:5" ht="58.5" customHeight="1">
      <c r="B40" s="65" t="s">
        <v>221</v>
      </c>
      <c r="C40" s="65"/>
      <c r="D40" s="65"/>
      <c r="E40" s="65"/>
    </row>
    <row r="42" spans="1:5">
      <c r="A42" s="21" t="s">
        <v>188</v>
      </c>
      <c r="B42" s="21"/>
      <c r="C42" s="21"/>
      <c r="D42" s="21"/>
      <c r="E42" s="21"/>
    </row>
    <row r="44" spans="1:5">
      <c r="B44" s="65" t="s">
        <v>209</v>
      </c>
      <c r="C44" s="65"/>
      <c r="D44" s="65"/>
      <c r="E44" s="65"/>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224</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65" t="s">
        <v>197</v>
      </c>
      <c r="C71" s="65"/>
      <c r="D71" s="65"/>
      <c r="E71" s="65"/>
    </row>
    <row r="73" spans="1:5">
      <c r="A73" s="28" t="s">
        <v>66</v>
      </c>
      <c r="B73" s="20" t="s">
        <v>179</v>
      </c>
    </row>
    <row r="74" spans="1:5">
      <c r="B74" s="24" t="s">
        <v>226</v>
      </c>
    </row>
    <row r="75" spans="1:5">
      <c r="B75" s="24" t="s">
        <v>225</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66" t="s">
        <v>193</v>
      </c>
      <c r="C85" s="66"/>
      <c r="D85" s="66"/>
      <c r="E85" s="66"/>
    </row>
    <row r="86" spans="1:5">
      <c r="B86" s="64" t="s">
        <v>191</v>
      </c>
      <c r="C86" s="64"/>
      <c r="D86" s="64"/>
      <c r="E86" s="64"/>
    </row>
    <row r="87" spans="1:5" ht="24.4" customHeight="1">
      <c r="B87" s="65" t="s">
        <v>190</v>
      </c>
      <c r="C87" s="65"/>
      <c r="D87" s="65"/>
      <c r="E87" s="65"/>
    </row>
    <row r="88" spans="1:5" ht="24.4" customHeight="1">
      <c r="B88" s="65" t="s">
        <v>227</v>
      </c>
      <c r="C88" s="65"/>
      <c r="D88" s="65"/>
      <c r="E88" s="65"/>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67" t="s">
        <v>212</v>
      </c>
      <c r="C97" s="67"/>
      <c r="D97" s="67"/>
      <c r="E97" s="67"/>
    </row>
    <row r="99" spans="1:5">
      <c r="B99" s="24" t="s">
        <v>216</v>
      </c>
    </row>
    <row r="100" spans="1:5" ht="12.4">
      <c r="B100" s="67" t="s">
        <v>213</v>
      </c>
      <c r="C100" s="67"/>
      <c r="D100" s="67"/>
      <c r="E100" s="67"/>
    </row>
    <row r="101" spans="1:5" ht="58.5" customHeight="1">
      <c r="B101" s="65" t="s">
        <v>220</v>
      </c>
      <c r="C101" s="65"/>
      <c r="D101" s="65"/>
      <c r="E101" s="65"/>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0.5490782759805124</v>
      </c>
    </row>
    <row r="112" spans="1:5">
      <c r="B112" s="1" t="s">
        <v>177</v>
      </c>
      <c r="C112" s="44">
        <v>8.956135035007412E-2</v>
      </c>
      <c r="D112" s="62" t="str">
        <f>IF(C112&lt;benchmark,"Warning: Return is lower than the Benchmark.","")</f>
        <v>Warning: Return is lower than the Benchmark.</v>
      </c>
    </row>
    <row r="114" spans="1:5" ht="24.4" customHeight="1">
      <c r="B114" s="65" t="s">
        <v>218</v>
      </c>
      <c r="C114" s="65"/>
      <c r="D114" s="65"/>
      <c r="E114" s="65"/>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D20" sqref="D2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71" t="s">
        <v>1</v>
      </c>
      <c r="E1" s="71"/>
      <c r="F1" s="71"/>
      <c r="G1" s="72" t="s">
        <v>101</v>
      </c>
      <c r="H1" s="72"/>
      <c r="I1" s="72"/>
      <c r="J1" s="68" t="s">
        <v>5</v>
      </c>
      <c r="K1" s="68"/>
      <c r="L1" s="69" t="s">
        <v>9</v>
      </c>
      <c r="M1" s="69"/>
      <c r="N1" s="70" t="s">
        <v>53</v>
      </c>
      <c r="O1" s="70"/>
      <c r="P1" s="70"/>
      <c r="Q1" s="70"/>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158</v>
      </c>
      <c r="C3" s="11" t="s">
        <v>159</v>
      </c>
      <c r="D3" s="2">
        <v>15.4</v>
      </c>
      <c r="E3" s="12" t="s">
        <v>160</v>
      </c>
      <c r="F3" s="15">
        <v>0.18108249888642258</v>
      </c>
      <c r="G3" s="15">
        <f t="shared" ref="G3:G5" si="0">F3 - $C$10</f>
        <v>0.18108249888642258</v>
      </c>
      <c r="H3" s="15">
        <f t="shared" ref="H3:H5" si="1">F3 - $C$11</f>
        <v>0.18108249888642258</v>
      </c>
      <c r="I3" s="15">
        <v>0.27162374832963387</v>
      </c>
      <c r="J3" s="2">
        <v>14.733437767356989</v>
      </c>
      <c r="K3" s="2">
        <v>20.508980461992877</v>
      </c>
      <c r="L3" s="4">
        <v>0.11220688437465126</v>
      </c>
      <c r="M3" s="4">
        <v>8.8311688311688313E-2</v>
      </c>
      <c r="N3" s="13" t="s">
        <v>161</v>
      </c>
      <c r="O3" s="11" t="s">
        <v>162</v>
      </c>
      <c r="P3" s="14">
        <v>45716</v>
      </c>
      <c r="Q3" s="11" t="s">
        <v>163</v>
      </c>
    </row>
    <row r="4" spans="1:17">
      <c r="B4" s="11" t="s">
        <v>164</v>
      </c>
      <c r="C4" s="11" t="s">
        <v>165</v>
      </c>
      <c r="D4" s="2">
        <v>7.88</v>
      </c>
      <c r="E4" s="12" t="s">
        <v>160</v>
      </c>
      <c r="F4" s="15">
        <v>0.11953198379323582</v>
      </c>
      <c r="G4" s="15">
        <f t="shared" si="0"/>
        <v>0.11953198379323582</v>
      </c>
      <c r="H4" s="15">
        <f t="shared" si="1"/>
        <v>0.11953198379323582</v>
      </c>
      <c r="I4" s="15">
        <v>0.17929797568985373</v>
      </c>
      <c r="J4" s="2">
        <v>6.4883606756817951</v>
      </c>
      <c r="K4" s="2">
        <v>9.1006872475781417</v>
      </c>
      <c r="L4" s="4">
        <v>3.9200301012977792E-2</v>
      </c>
      <c r="M4" s="4">
        <v>7.3604060913705582E-2</v>
      </c>
      <c r="N4" s="13" t="s">
        <v>166</v>
      </c>
      <c r="O4" s="11" t="s">
        <v>167</v>
      </c>
      <c r="P4" s="14">
        <v>45716</v>
      </c>
      <c r="Q4" s="11" t="s">
        <v>163</v>
      </c>
    </row>
    <row r="5" spans="1:17">
      <c r="B5" s="11" t="s">
        <v>168</v>
      </c>
      <c r="C5" s="11" t="s">
        <v>169</v>
      </c>
      <c r="D5" s="2">
        <v>2.15</v>
      </c>
      <c r="E5" s="12" t="s">
        <v>160</v>
      </c>
      <c r="F5" s="15">
        <v>6.6927308782200656E-2</v>
      </c>
      <c r="G5" s="15">
        <f t="shared" si="0"/>
        <v>6.6927308782200656E-2</v>
      </c>
      <c r="H5" s="15">
        <f t="shared" si="1"/>
        <v>6.6927308782200656E-2</v>
      </c>
      <c r="I5" s="15">
        <v>0</v>
      </c>
      <c r="J5" s="2">
        <v>1.5407576206248625</v>
      </c>
      <c r="K5" s="2">
        <v>2.2336371684397625</v>
      </c>
      <c r="L5" s="4">
        <v>2.1775925005107808E-2</v>
      </c>
      <c r="M5" s="4">
        <v>5.4790697674418611E-2</v>
      </c>
      <c r="N5" s="13" t="s">
        <v>170</v>
      </c>
      <c r="O5" s="11" t="s">
        <v>171</v>
      </c>
      <c r="P5" s="14">
        <v>45716</v>
      </c>
      <c r="Q5" s="11" t="s">
        <v>172</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85"/>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topLeftCell="A4" zoomScaleNormal="100" workbookViewId="0">
      <selection activeCell="B38" sqref="B38"/>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4.2500000000000003E-2</v>
      </c>
      <c r="D4" s="34">
        <v>7.4999999999999997E-2</v>
      </c>
      <c r="E4" s="35">
        <f>D4-C4</f>
        <v>3.2499999999999994E-2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c r="C8" s="1">
        <v>4.1700000000000001E-2</v>
      </c>
      <c r="D8" s="1">
        <v>7.4999999999999997E-2</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73" t="s">
        <v>104</v>
      </c>
      <c r="C3" s="73"/>
      <c r="D3" s="73"/>
    </row>
    <row r="5" spans="1:4">
      <c r="B5" s="74" t="s">
        <v>106</v>
      </c>
      <c r="C5" s="67"/>
      <c r="D5" s="67"/>
    </row>
    <row r="6" spans="1:4">
      <c r="B6" s="74" t="s">
        <v>107</v>
      </c>
      <c r="C6" s="67"/>
      <c r="D6" s="67"/>
    </row>
    <row r="8" spans="1:4">
      <c r="B8" s="1" t="s">
        <v>105</v>
      </c>
    </row>
    <row r="10" spans="1:4">
      <c r="A10" s="5"/>
      <c r="B10" s="6" t="s">
        <v>108</v>
      </c>
    </row>
    <row r="11" spans="1:4">
      <c r="B11" s="73" t="s">
        <v>109</v>
      </c>
      <c r="C11" s="73"/>
      <c r="D11" s="73"/>
    </row>
    <row r="12" spans="1:4">
      <c r="B12" s="73" t="s">
        <v>110</v>
      </c>
      <c r="C12" s="73"/>
      <c r="D12" s="73"/>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73" t="s">
        <v>122</v>
      </c>
      <c r="C28" s="73"/>
      <c r="D28" s="73"/>
    </row>
    <row r="29" spans="1:4">
      <c r="B29" s="73" t="s">
        <v>123</v>
      </c>
      <c r="C29" s="73"/>
      <c r="D29" s="73"/>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zoomScale="87" workbookViewId="0">
      <selection activeCell="C5" sqref="C5"/>
    </sheetView>
  </sheetViews>
  <sheetFormatPr defaultRowHeight="12.75"/>
  <cols>
    <col min="1" max="1" width="2.59765625" style="77" customWidth="1"/>
    <col min="2" max="2" width="16.59765625" style="77" bestFit="1" customWidth="1"/>
    <col min="3" max="4" width="9.06640625" style="77"/>
    <col min="5" max="6" width="15.59765625" style="77" customWidth="1"/>
    <col min="7" max="16384" width="9.06640625" style="77"/>
  </cols>
  <sheetData>
    <row r="1" spans="1:6" ht="13.15">
      <c r="A1" s="75"/>
      <c r="B1" s="76" t="s">
        <v>228</v>
      </c>
    </row>
    <row r="2" spans="1:6" ht="26.25">
      <c r="B2" s="78" t="s">
        <v>3</v>
      </c>
      <c r="C2" s="78" t="s">
        <v>231</v>
      </c>
      <c r="D2" s="78" t="s">
        <v>230</v>
      </c>
      <c r="E2" s="78" t="s">
        <v>229</v>
      </c>
      <c r="F2" s="78" t="s">
        <v>240</v>
      </c>
    </row>
    <row r="3" spans="1:6">
      <c r="B3" s="79" t="s">
        <v>235</v>
      </c>
      <c r="C3" s="82" t="s">
        <v>236</v>
      </c>
      <c r="D3" s="79" t="s">
        <v>232</v>
      </c>
      <c r="E3" s="83" t="s">
        <v>236</v>
      </c>
      <c r="F3" s="83">
        <v>580000</v>
      </c>
    </row>
    <row r="4" spans="1:6">
      <c r="B4" s="79" t="s">
        <v>238</v>
      </c>
      <c r="C4" s="82" t="s">
        <v>236</v>
      </c>
      <c r="D4" s="79" t="s">
        <v>239</v>
      </c>
      <c r="E4" s="83" t="s">
        <v>236</v>
      </c>
      <c r="F4" s="83">
        <f>280000*1.02</f>
        <v>285600</v>
      </c>
    </row>
    <row r="5" spans="1:6">
      <c r="B5" s="79" t="s">
        <v>234</v>
      </c>
      <c r="C5" s="82">
        <v>15.4</v>
      </c>
      <c r="D5" s="79" t="s">
        <v>232</v>
      </c>
      <c r="E5" s="83">
        <v>5500</v>
      </c>
      <c r="F5" s="83">
        <f>C5*E5</f>
        <v>84700</v>
      </c>
    </row>
    <row r="6" spans="1:6">
      <c r="B6" s="79" t="s">
        <v>233</v>
      </c>
      <c r="C6" s="82">
        <v>8</v>
      </c>
      <c r="D6" s="79" t="s">
        <v>232</v>
      </c>
      <c r="E6" s="83">
        <v>20000</v>
      </c>
      <c r="F6" s="83">
        <f>E6*C6</f>
        <v>160000</v>
      </c>
    </row>
    <row r="7" spans="1:6">
      <c r="B7" s="79"/>
      <c r="C7" s="82"/>
      <c r="D7" s="79"/>
    </row>
    <row r="8" spans="1:6" ht="13.15">
      <c r="B8" s="79"/>
      <c r="C8" s="82"/>
      <c r="D8" s="79"/>
      <c r="E8" s="84" t="s">
        <v>237</v>
      </c>
      <c r="F8" s="84">
        <f>SUM(F3:F7)</f>
        <v>1110300</v>
      </c>
    </row>
    <row r="9" spans="1:6">
      <c r="B9" s="79"/>
      <c r="C9" s="82"/>
      <c r="D9" s="79"/>
      <c r="E9" s="83"/>
      <c r="F9" s="83"/>
    </row>
    <row r="10" spans="1:6">
      <c r="B10" s="79"/>
      <c r="C10" s="82"/>
      <c r="D10" s="79"/>
      <c r="E10" s="83"/>
      <c r="F10" s="83"/>
    </row>
    <row r="11" spans="1:6">
      <c r="B11" s="79"/>
      <c r="C11" s="82"/>
      <c r="D11" s="79"/>
      <c r="E11" s="83"/>
      <c r="F11" s="83"/>
    </row>
    <row r="12" spans="1:6">
      <c r="B12" s="79"/>
      <c r="C12" s="82"/>
      <c r="D12" s="79"/>
      <c r="E12" s="83"/>
      <c r="F12" s="83"/>
    </row>
    <row r="13" spans="1:6">
      <c r="B13" s="79"/>
      <c r="C13" s="82"/>
      <c r="D13" s="79"/>
      <c r="E13" s="83"/>
      <c r="F13" s="83"/>
    </row>
    <row r="14" spans="1:6">
      <c r="B14" s="79"/>
      <c r="C14" s="82"/>
      <c r="D14" s="79"/>
      <c r="E14" s="83"/>
      <c r="F14" s="83"/>
    </row>
    <row r="15" spans="1:6">
      <c r="B15" s="79"/>
      <c r="C15" s="82"/>
      <c r="D15" s="79"/>
      <c r="E15" s="83"/>
      <c r="F15" s="83"/>
    </row>
    <row r="16" spans="1:6">
      <c r="B16" s="79"/>
      <c r="C16" s="82"/>
      <c r="D16" s="79"/>
      <c r="E16" s="83"/>
      <c r="F16" s="83"/>
    </row>
    <row r="17" spans="2:6">
      <c r="B17" s="79"/>
      <c r="C17" s="82"/>
      <c r="D17" s="79"/>
      <c r="E17" s="83"/>
      <c r="F17" s="83"/>
    </row>
    <row r="18" spans="2:6">
      <c r="B18" s="79"/>
      <c r="C18" s="82"/>
      <c r="D18" s="79"/>
      <c r="E18" s="83"/>
      <c r="F18" s="83"/>
    </row>
    <row r="19" spans="2:6">
      <c r="B19" s="79"/>
      <c r="C19" s="82"/>
      <c r="D19" s="79"/>
      <c r="E19" s="83"/>
      <c r="F19" s="83"/>
    </row>
    <row r="20" spans="2:6">
      <c r="B20" s="79"/>
      <c r="C20" s="82"/>
      <c r="D20" s="79"/>
      <c r="E20" s="83"/>
      <c r="F20" s="83"/>
    </row>
    <row r="21" spans="2:6">
      <c r="B21" s="79"/>
      <c r="C21" s="82"/>
      <c r="D21" s="79"/>
      <c r="E21" s="83"/>
      <c r="F21" s="83"/>
    </row>
    <row r="22" spans="2:6">
      <c r="B22" s="79"/>
      <c r="C22" s="82"/>
      <c r="D22" s="79"/>
      <c r="E22" s="83"/>
      <c r="F22" s="83"/>
    </row>
    <row r="23" spans="2:6">
      <c r="B23" s="79"/>
      <c r="C23" s="82"/>
      <c r="D23" s="79"/>
      <c r="E23" s="83"/>
      <c r="F23" s="83"/>
    </row>
    <row r="24" spans="2:6">
      <c r="B24" s="79"/>
      <c r="C24" s="82"/>
      <c r="D24" s="79"/>
      <c r="E24" s="83"/>
      <c r="F24" s="83"/>
    </row>
    <row r="25" spans="2:6">
      <c r="B25" s="79"/>
      <c r="C25" s="82"/>
      <c r="D25" s="79"/>
      <c r="E25" s="83"/>
      <c r="F25" s="83"/>
    </row>
    <row r="26" spans="2:6">
      <c r="B26" s="79"/>
      <c r="C26" s="82"/>
      <c r="D26" s="79"/>
      <c r="E26" s="83"/>
      <c r="F26" s="83"/>
    </row>
    <row r="27" spans="2:6">
      <c r="B27" s="79"/>
      <c r="C27" s="82"/>
      <c r="D27" s="79"/>
      <c r="E27" s="83"/>
      <c r="F27" s="83"/>
    </row>
    <row r="28" spans="2:6">
      <c r="B28" s="79"/>
      <c r="C28" s="82"/>
      <c r="D28" s="79"/>
      <c r="E28" s="83"/>
      <c r="F28" s="83"/>
    </row>
    <row r="29" spans="2:6">
      <c r="B29" s="79"/>
      <c r="C29" s="82"/>
      <c r="D29" s="79"/>
      <c r="E29" s="83"/>
      <c r="F29" s="83"/>
    </row>
    <row r="30" spans="2:6">
      <c r="B30" s="79"/>
      <c r="C30" s="82"/>
      <c r="D30" s="79"/>
      <c r="E30" s="83"/>
      <c r="F30" s="83"/>
    </row>
    <row r="31" spans="2:6">
      <c r="B31" s="79"/>
      <c r="C31" s="80"/>
      <c r="D31" s="79"/>
      <c r="E31" s="81"/>
      <c r="F31" s="81"/>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Comp_Group</vt:lpstr>
      <vt:lpstr>Holdings</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2025-04-03T12:50:39Z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