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79853F8B-94D1-40B8-87DC-823818918ED3}"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G3" i="1"/>
  <c r="G4" i="1"/>
  <c r="G5" i="1"/>
  <c r="G6" i="1"/>
  <c r="G7" i="1"/>
  <c r="F4" i="7"/>
  <c r="F6" i="7"/>
  <c r="F5" i="7"/>
  <c r="F8" i="7" s="1"/>
  <c r="C31" i="5"/>
  <c r="E60" i="5" l="1"/>
  <c r="C36" i="5"/>
  <c r="E61" i="5" l="1"/>
  <c r="C16" i="2"/>
  <c r="C10" i="5" s="1"/>
  <c r="D112" i="5" s="1"/>
  <c r="C11" i="5"/>
  <c r="E6" i="2"/>
  <c r="E5" i="2"/>
  <c r="E4" i="2"/>
  <c r="C64" i="5" l="1"/>
  <c r="C65" i="5" s="1"/>
</calcChain>
</file>

<file path=xl/sharedStrings.xml><?xml version="1.0" encoding="utf-8"?>
<sst xmlns="http://schemas.openxmlformats.org/spreadsheetml/2006/main" count="267" uniqueCount="248">
  <si>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</si>
  <si>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</si>
  <si>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</si>
  <si>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</si>
  <si>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</si>
  <si>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</si>
  <si>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</si>
  <si>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</si>
  <si>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</si>
  <si>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</si>
  <si>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</si>
  <si>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</si>
  <si>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</si>
  <si>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</si>
  <si>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</si>
  <si>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</si>
  <si>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</si>
  <si>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</si>
  <si>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</si>
  <si>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</si>
  <si>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</si>
  <si>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</si>
  <si>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</si>
  <si>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</si>
  <si>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</si>
  <si>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</si>
  <si>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</si>
  <si>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</si>
  <si>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</si>
  <si>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</si>
  <si>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</si>
  <si>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</si>
  <si>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</si>
  <si>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</si>
  <si>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</si>
  <si>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</si>
  <si>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</si>
  <si>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</si>
  <si>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</si>
  <si>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</si>
  <si>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</si>
  <si>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</si>
  <si>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</si>
  <si>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</si>
  <si>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</si>
  <si>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</si>
  <si>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</si>
  <si>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</si>
  <si>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</si>
  <si>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</si>
  <si>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</si>
  <si>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</si>
  <si>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</si>
  <si>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</si>
  <si>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</si>
  <si>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</si>
  <si>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</si>
  <si>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</si>
  <si>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</si>
  <si>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</si>
  <si>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</si>
  <si>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</si>
  <si>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</si>
  <si>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</si>
  <si>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</si>
  <si>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</si>
  <si>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</si>
  <si>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</si>
  <si>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</si>
  <si>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</si>
  <si>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</si>
  <si>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</si>
  <si>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</si>
  <si>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</si>
  <si>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</si>
  <si>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</si>
  <si>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</si>
  <si>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</si>
  <si>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</si>
  <si>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</si>
  <si>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</si>
  <si>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</si>
  <si>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</si>
  <si>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</si>
  <si>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</si>
  <si>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</si>
  <si>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</si>
  <si>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</si>
  <si>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</si>
  <si>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</si>
  <si>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</si>
  <si>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</si>
  <si>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</si>
  <si>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</si>
  <si>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</si>
  <si>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</si>
  <si>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</si>
  <si>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</si>
  <si>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</si>
  <si>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</si>
  <si>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</si>
  <si>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</si>
  <si>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</si>
  <si>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</si>
  <si>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</si>
  <si>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</si>
  <si>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</si>
  <si>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</si>
  <si>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</si>
  <si>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</si>
  <si>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</si>
  <si>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</si>
  <si>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</si>
  <si>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</si>
  <si>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</si>
  <si>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</si>
  <si>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</si>
  <si>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</si>
  <si>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</si>
  <si>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</si>
  <si>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</si>
  <si>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</si>
  <si>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</si>
  <si>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</si>
  <si>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</si>
  <si>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</si>
  <si>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</si>
  <si>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</si>
  <si>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</si>
  <si>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</si>
  <si>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</si>
  <si>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</si>
  <si>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</si>
  <si>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</si>
  <si>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</si>
  <si>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</si>
  <si>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</si>
  <si>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</si>
  <si>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</si>
  <si>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</si>
  <si>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</si>
  <si>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</si>
  <si>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</si>
  <si>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</si>
  <si>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</si>
  <si>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</si>
  <si>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</si>
  <si>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</si>
  <si>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</si>
  <si>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</si>
  <si>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</si>
  <si>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</si>
  <si>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</si>
  <si>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</si>
  <si>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</si>
  <si>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</si>
  <si>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</si>
  <si>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</si>
  <si>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</si>
  <si>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</si>
  <si>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</si>
  <si>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</si>
  <si>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</si>
  <si>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</si>
  <si>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</si>
  <si>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</si>
  <si>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</si>
  <si>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</si>
  <si>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</si>
  <si>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</si>
  <si>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</si>
  <si>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</si>
  <si>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N</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</si>
  <si>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</si>
  <si>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</si>
  <si>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</si>
  <si>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</si>
  <si>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</si>
  <si>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</si>
  <si>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</si>
  <si>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</si>
  <si>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</si>
  <si>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</si>
  <si>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</si>
  <si>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</si>
  <si>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</si>
  <si>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</si>
  <si>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</si>
  <si>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</si>
  <si>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</si>
  <si>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</si>
  <si>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</si>
  <si>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</si>
  <si>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</si>
  <si>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</si>
  <si>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</si>
  <si>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</si>
  <si>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</si>
  <si>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</si>
  <si>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</si>
  <si>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</si>
  <si>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</si>
  <si>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</si>
  <si>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</si>
  <si>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</si>
  <si>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</si>
  <si>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</si>
  <si>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</si>
  <si>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</si>
  <si>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</si>
  <si>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</si>
  <si>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</si>
  <si>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</si>
  <si>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</si>
  <si>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</si>
  <si>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</si>
  <si>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</si>
  <si>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</si>
  <si>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</si>
  <si>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</si>
  <si>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</si>
  <si>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</si>
  <si>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</si>
  <si>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</si>
  <si>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</si>
  <si>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</si>
  <si>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</si>
  <si>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</si>
  <si>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</si>
  <si>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</si>
  <si>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</si>
  <si>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</si>
  <si>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</si>
  <si>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</si>
  <si>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</si>
  <si>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</si>
  <si>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</si>
  <si>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Cash in Mainland</t>
    <phoneticPr fontId="2" type="noConversion"/>
  </si>
  <si>
    <t>CNY</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</si>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</sst>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6">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50" sqref="C50"/>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173</v>
      </c>
    </row>
    <row r="2" spans="1:5">
      <c r="A2" s="21" t="s">
        <v>55</v>
      </c>
      <c r="B2" s="21"/>
      <c r="C2" s="21"/>
      <c r="D2" s="21"/>
      <c r="E2" s="21"/>
    </row>
    <row r="4" spans="1:5" ht="24.4" customHeight="1">
      <c r="B4" s="75" t="s">
        <v>222</v>
      </c>
      <c r="C4" s="75"/>
      <c r="D4" s="75"/>
      <c r="E4" s="75"/>
    </row>
    <row r="6" spans="1:5">
      <c r="A6" s="20" t="s">
        <v>66</v>
      </c>
      <c r="B6" s="19" t="s">
        <v>205</v>
      </c>
      <c r="C6" s="62"/>
    </row>
    <row r="7" spans="1:5">
      <c r="B7" s="75" t="s">
        <v>210</v>
      </c>
      <c r="C7" s="75"/>
      <c r="D7" s="75"/>
      <c r="E7" s="7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207</v>
      </c>
      <c r="C14" s="4" t="s">
        <v>208</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206</v>
      </c>
    </row>
    <row r="23" spans="1:5">
      <c r="A23" s="25" t="s">
        <v>67</v>
      </c>
      <c r="B23" s="19" t="s">
        <v>204</v>
      </c>
      <c r="C23" s="62"/>
    </row>
    <row r="24" spans="1:5">
      <c r="A24" s="18"/>
      <c r="B24" s="75" t="s">
        <v>221</v>
      </c>
      <c r="C24" s="75"/>
      <c r="D24" s="75"/>
      <c r="E24" s="75"/>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v>
      </c>
      <c r="D35" s="18" t="s">
        <v>56</v>
      </c>
      <c r="E35" s="50">
        <v>3</v>
      </c>
    </row>
    <row r="36" spans="1:5">
      <c r="B36" s="1" t="s">
        <v>17</v>
      </c>
      <c r="C36" s="49">
        <f>MAX(8%,Market_Yield!C4:D6)</f>
        <v>0.08</v>
      </c>
    </row>
    <row r="38" spans="1:5">
      <c r="B38" s="20" t="s">
        <v>87</v>
      </c>
    </row>
    <row r="39" spans="1:5">
      <c r="B39" s="75" t="s">
        <v>156</v>
      </c>
      <c r="C39" s="75"/>
      <c r="D39" s="75"/>
      <c r="E39" s="75"/>
    </row>
    <row r="40" spans="1:5" ht="46.6" customHeight="1">
      <c r="B40" s="75" t="s">
        <v>240</v>
      </c>
      <c r="C40" s="75"/>
      <c r="D40" s="75"/>
      <c r="E40" s="75"/>
    </row>
    <row r="42" spans="1:5">
      <c r="A42" s="21" t="s">
        <v>188</v>
      </c>
      <c r="B42" s="21"/>
      <c r="C42" s="21"/>
      <c r="D42" s="21"/>
      <c r="E42" s="21"/>
    </row>
    <row r="44" spans="1:5">
      <c r="B44" s="75" t="s">
        <v>209</v>
      </c>
      <c r="C44" s="75"/>
      <c r="D44" s="75"/>
      <c r="E44" s="75"/>
    </row>
    <row r="46" spans="1:5">
      <c r="B46" s="23" t="s">
        <v>92</v>
      </c>
    </row>
    <row r="48" spans="1:5">
      <c r="B48" s="51" t="s">
        <v>93</v>
      </c>
      <c r="C48" s="51" t="s">
        <v>200</v>
      </c>
      <c r="D48" s="57"/>
      <c r="E48" s="57"/>
    </row>
    <row r="49" spans="2:5">
      <c r="B49" s="26" t="s">
        <v>89</v>
      </c>
      <c r="C49" s="29">
        <v>0.5</v>
      </c>
      <c r="D49" s="58"/>
      <c r="E49" s="56"/>
    </row>
    <row r="50" spans="2:5">
      <c r="B50" s="26" t="s">
        <v>90</v>
      </c>
      <c r="C50" s="29">
        <v>0.3</v>
      </c>
      <c r="D50" s="58"/>
      <c r="E50" s="56"/>
    </row>
    <row r="51" spans="2:5">
      <c r="B51" s="26" t="s">
        <v>91</v>
      </c>
      <c r="C51" s="29">
        <v>0.2</v>
      </c>
      <c r="D51" s="63" t="s">
        <v>223</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198</v>
      </c>
      <c r="E61" s="43">
        <f>IF(E60&lt;=2,C49,IF(E60&gt;=6,C51,C50))</f>
        <v>0.3</v>
      </c>
    </row>
    <row r="62" spans="2:5" ht="12" thickTop="1"/>
    <row r="63" spans="2:5">
      <c r="B63" s="23" t="s">
        <v>199</v>
      </c>
    </row>
    <row r="64" spans="2:5">
      <c r="B64" s="54" t="s">
        <v>174</v>
      </c>
      <c r="C64" s="55">
        <f>-E61*(C35-Cash_Yield)</f>
        <v>-4.965E-2</v>
      </c>
    </row>
    <row r="65" spans="1:5">
      <c r="B65" s="54" t="s">
        <v>175</v>
      </c>
      <c r="C65" s="55">
        <f>C35+C64</f>
        <v>0.15035000000000001</v>
      </c>
    </row>
    <row r="66" spans="1:5">
      <c r="B66" s="45"/>
      <c r="C66" s="46"/>
    </row>
    <row r="67" spans="1:5">
      <c r="B67" s="39" t="s">
        <v>203</v>
      </c>
    </row>
    <row r="69" spans="1:5">
      <c r="A69" s="21" t="s">
        <v>82</v>
      </c>
      <c r="B69" s="21"/>
      <c r="C69" s="21"/>
      <c r="D69" s="21"/>
      <c r="E69" s="21"/>
    </row>
    <row r="71" spans="1:5">
      <c r="B71" s="75" t="s">
        <v>197</v>
      </c>
      <c r="C71" s="75"/>
      <c r="D71" s="75"/>
      <c r="E71" s="75"/>
    </row>
    <row r="73" spans="1:5">
      <c r="A73" s="28" t="s">
        <v>66</v>
      </c>
      <c r="B73" s="20" t="s">
        <v>179</v>
      </c>
    </row>
    <row r="74" spans="1:5">
      <c r="B74" s="24" t="s">
        <v>225</v>
      </c>
    </row>
    <row r="75" spans="1:5">
      <c r="B75" s="24" t="s">
        <v>224</v>
      </c>
    </row>
    <row r="77" spans="1:5">
      <c r="A77" s="28" t="s">
        <v>128</v>
      </c>
      <c r="B77" s="20" t="s">
        <v>178</v>
      </c>
    </row>
    <row r="78" spans="1:5">
      <c r="B78" s="39" t="s">
        <v>180</v>
      </c>
    </row>
    <row r="79" spans="1:5">
      <c r="B79" s="24" t="s">
        <v>181</v>
      </c>
    </row>
    <row r="80" spans="1:5">
      <c r="B80" s="24" t="s">
        <v>182</v>
      </c>
    </row>
    <row r="81" spans="1:5">
      <c r="B81" s="24" t="s">
        <v>189</v>
      </c>
    </row>
    <row r="83" spans="1:5">
      <c r="A83" s="28" t="s">
        <v>146</v>
      </c>
      <c r="B83" s="20" t="s">
        <v>217</v>
      </c>
    </row>
    <row r="84" spans="1:5">
      <c r="B84" s="24" t="s">
        <v>192</v>
      </c>
    </row>
    <row r="85" spans="1:5">
      <c r="B85" s="78" t="s">
        <v>193</v>
      </c>
      <c r="C85" s="78"/>
      <c r="D85" s="78"/>
      <c r="E85" s="78"/>
    </row>
    <row r="86" spans="1:5">
      <c r="B86" s="77" t="s">
        <v>191</v>
      </c>
      <c r="C86" s="77"/>
      <c r="D86" s="77"/>
      <c r="E86" s="77"/>
    </row>
    <row r="87" spans="1:5" ht="24.4" customHeight="1">
      <c r="B87" s="75" t="s">
        <v>190</v>
      </c>
      <c r="C87" s="75"/>
      <c r="D87" s="75"/>
      <c r="E87" s="75"/>
    </row>
    <row r="88" spans="1:5" ht="24.4" customHeight="1">
      <c r="B88" s="75" t="s">
        <v>226</v>
      </c>
      <c r="C88" s="75"/>
      <c r="D88" s="75"/>
      <c r="E88" s="75"/>
    </row>
    <row r="90" spans="1:5">
      <c r="B90" s="24" t="s">
        <v>195</v>
      </c>
    </row>
    <row r="91" spans="1:5">
      <c r="B91" s="1" t="s">
        <v>194</v>
      </c>
    </row>
    <row r="92" spans="1:5">
      <c r="B92" s="61" t="s">
        <v>183</v>
      </c>
    </row>
    <row r="93" spans="1:5">
      <c r="B93" s="24" t="s">
        <v>196</v>
      </c>
    </row>
    <row r="94" spans="1:5">
      <c r="B94" s="24" t="s">
        <v>184</v>
      </c>
    </row>
    <row r="96" spans="1:5">
      <c r="B96" s="24" t="s">
        <v>211</v>
      </c>
    </row>
    <row r="97" spans="1:5">
      <c r="B97" s="76" t="s">
        <v>212</v>
      </c>
      <c r="C97" s="76"/>
      <c r="D97" s="76"/>
      <c r="E97" s="76"/>
    </row>
    <row r="99" spans="1:5">
      <c r="B99" s="24" t="s">
        <v>216</v>
      </c>
    </row>
    <row r="100" spans="1:5" ht="12.4">
      <c r="B100" s="76" t="s">
        <v>213</v>
      </c>
      <c r="C100" s="76"/>
      <c r="D100" s="76"/>
      <c r="E100" s="76"/>
    </row>
    <row r="101" spans="1:5" ht="58.5" customHeight="1">
      <c r="B101" s="75" t="s">
        <v>220</v>
      </c>
      <c r="C101" s="75"/>
      <c r="D101" s="75"/>
      <c r="E101" s="75"/>
    </row>
    <row r="103" spans="1:5">
      <c r="A103" s="28" t="s">
        <v>186</v>
      </c>
      <c r="B103" s="20" t="s">
        <v>185</v>
      </c>
    </row>
    <row r="104" spans="1:5">
      <c r="B104" s="1" t="s">
        <v>201</v>
      </c>
    </row>
    <row r="105" spans="1:5">
      <c r="B105" s="1" t="s">
        <v>202</v>
      </c>
    </row>
    <row r="107" spans="1:5">
      <c r="B107" s="1" t="s">
        <v>187</v>
      </c>
    </row>
    <row r="108" spans="1:5">
      <c r="B108" s="1" t="s">
        <v>214</v>
      </c>
    </row>
    <row r="110" spans="1:5">
      <c r="B110" s="23" t="s">
        <v>157</v>
      </c>
    </row>
    <row r="111" spans="1:5">
      <c r="B111" s="1" t="s">
        <v>176</v>
      </c>
      <c r="C111" s="44">
        <v>0.30000000000000004</v>
      </c>
    </row>
    <row r="112" spans="1:5">
      <c r="B112" s="1" t="s">
        <v>177</v>
      </c>
      <c r="C112" s="44">
        <v>0.15242394233525719</v>
      </c>
      <c r="D112" s="62" t="str">
        <f>IF(C112&lt;benchmark,"Warning: Return is lower than the Benchmark.","")</f>
        <v/>
      </c>
    </row>
    <row r="114" spans="1:5" ht="24.4" customHeight="1">
      <c r="B114" s="75" t="s">
        <v>218</v>
      </c>
      <c r="C114" s="75"/>
      <c r="D114" s="75"/>
      <c r="E114" s="75"/>
    </row>
    <row r="116" spans="1:5">
      <c r="A116" s="21" t="s">
        <v>83</v>
      </c>
      <c r="B116" s="21"/>
      <c r="C116" s="21"/>
      <c r="D116" s="21"/>
      <c r="E116" s="21"/>
    </row>
    <row r="118" spans="1:5">
      <c r="B118" s="20" t="s">
        <v>84</v>
      </c>
    </row>
    <row r="119" spans="1:5">
      <c r="B119" s="24" t="s">
        <v>98</v>
      </c>
    </row>
    <row r="120" spans="1:5">
      <c r="B120" s="24" t="s">
        <v>99</v>
      </c>
    </row>
    <row r="121" spans="1:5">
      <c r="B121" s="24" t="s">
        <v>219</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G7" sqref="G7"/>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2" t="s">
        <v>1</v>
      </c>
      <c r="E1" s="82"/>
      <c r="F1" s="82"/>
      <c r="G1" s="83" t="s">
        <v>101</v>
      </c>
      <c r="H1" s="83"/>
      <c r="I1" s="83"/>
      <c r="J1" s="79" t="s">
        <v>5</v>
      </c>
      <c r="K1" s="79"/>
      <c r="L1" s="80" t="s">
        <v>9</v>
      </c>
      <c r="M1" s="80"/>
      <c r="N1" s="81" t="s">
        <v>53</v>
      </c>
      <c r="O1" s="81"/>
      <c r="P1" s="81"/>
      <c r="Q1" s="81"/>
    </row>
    <row r="2" spans="1:17" ht="26" customHeight="1">
      <c r="B2" s="7" t="s">
        <v>3</v>
      </c>
      <c r="C2" s="7" t="s">
        <v>0</v>
      </c>
      <c r="D2" s="8" t="s">
        <v>1</v>
      </c>
      <c r="E2" s="7" t="s">
        <v>2</v>
      </c>
      <c r="F2" s="7" t="s">
        <v>11</v>
      </c>
      <c r="G2" s="7" t="s">
        <v>61</v>
      </c>
      <c r="H2" s="7" t="s">
        <v>62</v>
      </c>
      <c r="I2" s="7" t="s">
        <v>215</v>
      </c>
      <c r="J2" s="8" t="s">
        <v>8</v>
      </c>
      <c r="K2" s="8" t="s">
        <v>12</v>
      </c>
      <c r="L2" s="7" t="s">
        <v>13</v>
      </c>
      <c r="M2" s="7" t="s">
        <v>7</v>
      </c>
      <c r="N2" s="7" t="s">
        <v>6</v>
      </c>
      <c r="O2" s="7" t="s">
        <v>14</v>
      </c>
      <c r="P2" s="9" t="s">
        <v>10</v>
      </c>
      <c r="Q2" s="10" t="s">
        <v>52</v>
      </c>
    </row>
    <row r="3" spans="1:17">
      <c r="B3" s="11" t="s">
        <v>241</v>
      </c>
      <c r="C3" s="11" t="s">
        <v>242</v>
      </c>
      <c r="D3" s="2">
        <v>5.39</v>
      </c>
      <c r="E3" s="12" t="s">
        <v>160</v>
      </c>
      <c r="F3" s="15">
        <v>0.22246108266706432</v>
      </c>
      <c r="G3" s="15">
        <f t="shared" ref="G3:G7" si="0">F3 - $C$10</f>
        <v>0.22246108266706432</v>
      </c>
      <c r="H3" s="15">
        <f t="shared" ref="H3:H7" si="1">F3 - $C$11</f>
        <v>0.22246108266706432</v>
      </c>
      <c r="I3" s="15">
        <v>0.3</v>
      </c>
      <c r="J3" s="2">
        <v>5.6787033353656637</v>
      </c>
      <c r="K3" s="2">
        <v>8.2041395456413451</v>
      </c>
      <c r="L3" s="4">
        <v>0.14227671203700865</v>
      </c>
      <c r="M3" s="4">
        <v>8.1992488015582468E-2</v>
      </c>
      <c r="N3" s="13" t="s">
        <v>244</v>
      </c>
      <c r="O3" s="11" t="s">
        <v>243</v>
      </c>
      <c r="P3" s="14">
        <v>45716</v>
      </c>
      <c r="Q3" s="11" t="s">
        <v>163</v>
      </c>
    </row>
    <row r="4" spans="1:17">
      <c r="B4" s="11" t="s">
        <v>158</v>
      </c>
      <c r="C4" s="11" t="s">
        <v>159</v>
      </c>
      <c r="D4" s="2">
        <v>14.44</v>
      </c>
      <c r="E4" s="12" t="s">
        <v>160</v>
      </c>
      <c r="F4" s="15">
        <v>0.20871253483792285</v>
      </c>
      <c r="G4" s="15">
        <f t="shared" si="0"/>
        <v>0.20871253483792285</v>
      </c>
      <c r="H4" s="15">
        <f t="shared" si="1"/>
        <v>0.20871253483792285</v>
      </c>
      <c r="I4" s="15">
        <v>0.3</v>
      </c>
      <c r="J4" s="2">
        <v>14.733437767356989</v>
      </c>
      <c r="K4" s="2">
        <v>20.508980461992877</v>
      </c>
      <c r="L4" s="4">
        <v>0.11966662184000204</v>
      </c>
      <c r="M4" s="4">
        <v>9.418282548476456E-2</v>
      </c>
      <c r="N4" s="13" t="s">
        <v>161</v>
      </c>
      <c r="O4" s="11" t="s">
        <v>162</v>
      </c>
      <c r="P4" s="14">
        <v>45716</v>
      </c>
      <c r="Q4" s="11" t="s">
        <v>163</v>
      </c>
    </row>
    <row r="5" spans="1:17">
      <c r="B5" s="11" t="s">
        <v>164</v>
      </c>
      <c r="C5" s="11" t="s">
        <v>165</v>
      </c>
      <c r="D5" s="2">
        <v>7.73</v>
      </c>
      <c r="E5" s="12" t="s">
        <v>160</v>
      </c>
      <c r="F5" s="15">
        <v>0.12721857083761035</v>
      </c>
      <c r="G5" s="15">
        <f t="shared" si="0"/>
        <v>0.12721857083761035</v>
      </c>
      <c r="H5" s="15">
        <f t="shared" si="1"/>
        <v>0.12721857083761035</v>
      </c>
      <c r="I5" s="15">
        <v>9.9999999999999978E-2</v>
      </c>
      <c r="J5" s="2">
        <v>6.4883606756817951</v>
      </c>
      <c r="K5" s="2">
        <v>9.1006872475781417</v>
      </c>
      <c r="L5" s="4">
        <v>3.9960979557860932E-2</v>
      </c>
      <c r="M5" s="4">
        <v>7.5032341526520038E-2</v>
      </c>
      <c r="N5" s="13" t="s">
        <v>166</v>
      </c>
      <c r="O5" s="11" t="s">
        <v>167</v>
      </c>
      <c r="P5" s="14">
        <v>45716</v>
      </c>
      <c r="Q5" s="11" t="s">
        <v>163</v>
      </c>
    </row>
    <row r="6" spans="1:17">
      <c r="B6" s="11" t="s">
        <v>168</v>
      </c>
      <c r="C6" s="11" t="s">
        <v>169</v>
      </c>
      <c r="D6" s="2">
        <v>1.98</v>
      </c>
      <c r="E6" s="12" t="s">
        <v>160</v>
      </c>
      <c r="F6" s="15">
        <v>9.7593325788780882E-2</v>
      </c>
      <c r="G6" s="15">
        <f t="shared" si="0"/>
        <v>9.7593325788780882E-2</v>
      </c>
      <c r="H6" s="15">
        <f t="shared" si="1"/>
        <v>9.7593325788780882E-2</v>
      </c>
      <c r="I6" s="15">
        <v>0</v>
      </c>
      <c r="J6" s="2">
        <v>1.5381369358980914</v>
      </c>
      <c r="K6" s="2">
        <v>2.2291086252319019</v>
      </c>
      <c r="L6" s="4">
        <v>2.359763538126574E-2</v>
      </c>
      <c r="M6" s="4">
        <v>5.9494949494949496E-2</v>
      </c>
      <c r="N6" s="13" t="s">
        <v>170</v>
      </c>
      <c r="O6" s="11" t="s">
        <v>171</v>
      </c>
      <c r="P6" s="14">
        <v>45716</v>
      </c>
      <c r="Q6" s="11" t="s">
        <v>172</v>
      </c>
    </row>
    <row r="7" spans="1:17">
      <c r="B7" s="11" t="s">
        <v>245</v>
      </c>
      <c r="C7" s="11" t="s">
        <v>246</v>
      </c>
      <c r="D7" s="2">
        <v>54.75</v>
      </c>
      <c r="E7" s="12" t="s">
        <v>160</v>
      </c>
      <c r="F7" s="15">
        <v>-5.7047688184643786E-2</v>
      </c>
      <c r="G7" s="15">
        <f t="shared" si="0"/>
        <v>-5.7047688184643786E-2</v>
      </c>
      <c r="H7" s="15">
        <f t="shared" si="1"/>
        <v>-5.7047688184643786E-2</v>
      </c>
      <c r="I7" s="15">
        <v>0</v>
      </c>
      <c r="J7" s="2">
        <v>27.658966981315359</v>
      </c>
      <c r="K7" s="2">
        <v>39.277358206848447</v>
      </c>
      <c r="L7" s="4">
        <v>3.6256932844595753E-2</v>
      </c>
      <c r="M7" s="4">
        <v>4.2738405022151121E-2</v>
      </c>
      <c r="N7" s="13" t="s">
        <v>247</v>
      </c>
      <c r="O7" s="11" t="s">
        <v>162</v>
      </c>
      <c r="P7" s="14">
        <v>45900</v>
      </c>
      <c r="Q7" s="11" t="s">
        <v>163</v>
      </c>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5" sqref="C5"/>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4.0599999999999997E-2</v>
      </c>
      <c r="D4" s="34">
        <v>7.4999999999999997E-2</v>
      </c>
      <c r="E4" s="35">
        <f>D4-C4</f>
        <v>3.44E-2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F31"/>
  <sheetViews>
    <sheetView zoomScale="87" workbookViewId="0">
      <selection activeCell="E29" sqref="E29"/>
    </sheetView>
  </sheetViews>
  <sheetFormatPr defaultRowHeight="12.75"/>
  <cols>
    <col min="1" max="1" width="2.59765625" style="66" customWidth="1"/>
    <col min="2" max="2" width="16.59765625" style="66" bestFit="1" customWidth="1"/>
    <col min="3" max="4" width="9.06640625" style="66"/>
    <col min="5" max="6" width="15.59765625" style="66" customWidth="1"/>
    <col min="7" max="16384" width="9.06640625" style="66"/>
  </cols>
  <sheetData>
    <row r="1" spans="1:6" ht="13.15">
      <c r="A1" s="64"/>
      <c r="B1" s="65" t="s">
        <v>227</v>
      </c>
    </row>
    <row r="2" spans="1:6" ht="26.25">
      <c r="B2" s="67" t="s">
        <v>3</v>
      </c>
      <c r="C2" s="67" t="s">
        <v>230</v>
      </c>
      <c r="D2" s="67" t="s">
        <v>229</v>
      </c>
      <c r="E2" s="67" t="s">
        <v>228</v>
      </c>
      <c r="F2" s="67" t="s">
        <v>239</v>
      </c>
    </row>
    <row r="3" spans="1:6">
      <c r="B3" s="68" t="s">
        <v>234</v>
      </c>
      <c r="C3" s="71" t="s">
        <v>235</v>
      </c>
      <c r="D3" s="68" t="s">
        <v>231</v>
      </c>
      <c r="E3" s="72" t="s">
        <v>235</v>
      </c>
      <c r="F3" s="72">
        <v>580000</v>
      </c>
    </row>
    <row r="4" spans="1:6">
      <c r="B4" s="68" t="s">
        <v>237</v>
      </c>
      <c r="C4" s="71" t="s">
        <v>235</v>
      </c>
      <c r="D4" s="68" t="s">
        <v>238</v>
      </c>
      <c r="E4" s="72" t="s">
        <v>235</v>
      </c>
      <c r="F4" s="72">
        <f>280000*1.02</f>
        <v>285600</v>
      </c>
    </row>
    <row r="5" spans="1:6">
      <c r="B5" s="68" t="s">
        <v>233</v>
      </c>
      <c r="C5" s="71">
        <v>15.4</v>
      </c>
      <c r="D5" s="68" t="s">
        <v>231</v>
      </c>
      <c r="E5" s="72">
        <v>10000</v>
      </c>
      <c r="F5" s="72">
        <f>C5*E5</f>
        <v>154000</v>
      </c>
    </row>
    <row r="6" spans="1:6">
      <c r="B6" s="68" t="s">
        <v>232</v>
      </c>
      <c r="C6" s="71">
        <v>8</v>
      </c>
      <c r="D6" s="68" t="s">
        <v>231</v>
      </c>
      <c r="E6" s="72">
        <v>20000</v>
      </c>
      <c r="F6" s="72">
        <f>E6*C6</f>
        <v>160000</v>
      </c>
    </row>
    <row r="7" spans="1:6">
      <c r="B7" s="68"/>
      <c r="C7" s="71"/>
      <c r="D7" s="68"/>
    </row>
    <row r="8" spans="1:6" ht="13.15">
      <c r="B8" s="68"/>
      <c r="C8" s="71"/>
      <c r="D8" s="68"/>
      <c r="E8" s="73" t="s">
        <v>236</v>
      </c>
      <c r="F8" s="73">
        <f>SUM(F3:F7)</f>
        <v>1179600</v>
      </c>
    </row>
    <row r="9" spans="1:6">
      <c r="B9" s="68"/>
      <c r="C9" s="71"/>
      <c r="D9" s="68"/>
      <c r="E9" s="72"/>
      <c r="F9" s="72"/>
    </row>
    <row r="10" spans="1:6">
      <c r="B10" s="68"/>
      <c r="C10" s="71"/>
      <c r="D10" s="68"/>
      <c r="E10" s="72"/>
      <c r="F10" s="72"/>
    </row>
    <row r="11" spans="1:6">
      <c r="B11" s="68"/>
      <c r="C11" s="71"/>
      <c r="D11" s="68"/>
      <c r="E11" s="72"/>
      <c r="F11" s="72"/>
    </row>
    <row r="12" spans="1:6">
      <c r="B12" s="68"/>
      <c r="C12" s="71"/>
      <c r="D12" s="68"/>
      <c r="E12" s="72"/>
      <c r="F12" s="72"/>
    </row>
    <row r="13" spans="1:6">
      <c r="B13" s="68"/>
      <c r="C13" s="71"/>
      <c r="D13" s="68"/>
      <c r="E13" s="72"/>
      <c r="F13" s="72"/>
    </row>
    <row r="14" spans="1:6">
      <c r="B14" s="68"/>
      <c r="C14" s="71"/>
      <c r="D14" s="68"/>
      <c r="E14" s="72"/>
      <c r="F14" s="72"/>
    </row>
    <row r="15" spans="1:6">
      <c r="B15" s="68"/>
      <c r="C15" s="71"/>
      <c r="D15" s="68"/>
      <c r="E15" s="72"/>
      <c r="F15" s="72"/>
    </row>
    <row r="16" spans="1:6">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4" t="s">
        <v>104</v>
      </c>
      <c r="C3" s="84"/>
      <c r="D3" s="84"/>
    </row>
    <row r="5" spans="1:4">
      <c r="B5" s="85" t="s">
        <v>106</v>
      </c>
      <c r="C5" s="76"/>
      <c r="D5" s="76"/>
    </row>
    <row r="6" spans="1:4">
      <c r="B6" s="85" t="s">
        <v>107</v>
      </c>
      <c r="C6" s="76"/>
      <c r="D6" s="76"/>
    </row>
    <row r="8" spans="1:4">
      <c r="B8" s="1" t="s">
        <v>105</v>
      </c>
    </row>
    <row r="10" spans="1:4">
      <c r="A10" s="5"/>
      <c r="B10" s="6" t="s">
        <v>108</v>
      </c>
    </row>
    <row r="11" spans="1:4">
      <c r="B11" s="84" t="s">
        <v>109</v>
      </c>
      <c r="C11" s="84"/>
      <c r="D11" s="84"/>
    </row>
    <row r="12" spans="1:4">
      <c r="B12" s="84" t="s">
        <v>110</v>
      </c>
      <c r="C12" s="84"/>
      <c r="D12" s="8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4" t="s">
        <v>122</v>
      </c>
      <c r="C28" s="84"/>
      <c r="D28" s="84"/>
    </row>
    <row r="29" spans="1:4">
      <c r="B29" s="84" t="s">
        <v>123</v>
      </c>
      <c r="C29" s="84"/>
      <c r="D29" s="8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2025-04-07T14:23:22Z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