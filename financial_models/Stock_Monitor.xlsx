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B9EAE436-7FAD-4CC8-BADA-7D2A757A570C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Opportunities" sheetId="1" r:id="rId1"/>
  </sheets>
  <definedNames>
    <definedName name="_xlnm._FilterDatabase" localSheetId="0" hidden="1">Opportunities!$B$2:$P$2</definedName>
  </definedNames>
  <calcPr calcId="191029"/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</calcChain>
</file>

<file path=xl/sharedStrings.xml><?xml version="1.0" encoding="utf-8"?>
<sst xmlns="http://schemas.openxmlformats.org/spreadsheetml/2006/main" count="314" uniqueCount="184">
  <si>
    <t>Name</t>
  </si>
  <si>
    <t>Price</t>
  </si>
  <si>
    <t>Currency</t>
  </si>
  <si>
    <t>HKD</t>
  </si>
  <si>
    <t>Symbol</t>
  </si>
  <si>
    <t>Stock Monitor</t>
  </si>
  <si>
    <t>Valuation</t>
  </si>
  <si>
    <t>Comp Group</t>
  </si>
  <si>
    <t>Price Alert</t>
  </si>
  <si>
    <t>C0009</t>
  </si>
  <si>
    <t>9988.HK</t>
  </si>
  <si>
    <t>9618.HK</t>
  </si>
  <si>
    <t>AMZN</t>
  </si>
  <si>
    <t>Amazon.com, Inc.</t>
  </si>
  <si>
    <t>USD</t>
  </si>
  <si>
    <t>PDD</t>
  </si>
  <si>
    <t>C0014</t>
  </si>
  <si>
    <t>C0005</t>
  </si>
  <si>
    <t>0083.HK</t>
  </si>
  <si>
    <t>SINO LAND</t>
  </si>
  <si>
    <t>C0003</t>
  </si>
  <si>
    <t>C0006</t>
  </si>
  <si>
    <t>C0002</t>
  </si>
  <si>
    <t>C0007</t>
  </si>
  <si>
    <t>C0017</t>
  </si>
  <si>
    <t>C0008</t>
  </si>
  <si>
    <t>C0010</t>
  </si>
  <si>
    <t>C0012</t>
  </si>
  <si>
    <t>0857.HK</t>
  </si>
  <si>
    <t>C0013</t>
  </si>
  <si>
    <t>0868.HK</t>
  </si>
  <si>
    <t>0887.HK</t>
  </si>
  <si>
    <t>0939.HK</t>
  </si>
  <si>
    <t>0941.HK</t>
  </si>
  <si>
    <t>0992.HK</t>
  </si>
  <si>
    <t>0998.HK</t>
  </si>
  <si>
    <t>1044.HK</t>
  </si>
  <si>
    <t>1066.HK</t>
  </si>
  <si>
    <t>1112.HK</t>
  </si>
  <si>
    <t>H&amp;H INTL</t>
  </si>
  <si>
    <t>1171.HK</t>
  </si>
  <si>
    <t>1288.HK</t>
  </si>
  <si>
    <t>1398.HK</t>
  </si>
  <si>
    <t>1405.HK</t>
  </si>
  <si>
    <t>1448.HK</t>
  </si>
  <si>
    <t>C0015</t>
  </si>
  <si>
    <t>1475.HK</t>
  </si>
  <si>
    <t>NISSIN FOODS</t>
  </si>
  <si>
    <t>1658.HK</t>
  </si>
  <si>
    <t>1766.HK</t>
  </si>
  <si>
    <t>C0004</t>
  </si>
  <si>
    <t>1836.HK</t>
  </si>
  <si>
    <t>1910.HK</t>
  </si>
  <si>
    <t>SAMSONITE</t>
  </si>
  <si>
    <t>1929.HK</t>
  </si>
  <si>
    <t>1969.HK</t>
  </si>
  <si>
    <t>C0016</t>
  </si>
  <si>
    <t>2319.HK</t>
  </si>
  <si>
    <t>2388.HK</t>
  </si>
  <si>
    <t>2888.HK</t>
  </si>
  <si>
    <t>Standard Chartered</t>
  </si>
  <si>
    <t>3328.HK</t>
  </si>
  <si>
    <t>3606.HK</t>
  </si>
  <si>
    <t>3968.HK</t>
  </si>
  <si>
    <t>3988.HK</t>
  </si>
  <si>
    <t>6181.HK</t>
  </si>
  <si>
    <t>6186.HK</t>
  </si>
  <si>
    <t>6601.HK</t>
  </si>
  <si>
    <t>6818.HK</t>
  </si>
  <si>
    <t>9959.HK</t>
  </si>
  <si>
    <t>9992.HK</t>
  </si>
  <si>
    <t>POP MART</t>
  </si>
  <si>
    <t>KHC</t>
  </si>
  <si>
    <t>Kraft Heinz Co.</t>
  </si>
  <si>
    <t>SIRI</t>
  </si>
  <si>
    <t>SiriusXM</t>
  </si>
  <si>
    <t>中國石油股份</t>
  </si>
  <si>
    <t>信義玻璃</t>
  </si>
  <si>
    <t>英皇鐘錶珠寶</t>
  </si>
  <si>
    <t>建设银行</t>
  </si>
  <si>
    <t>中国移动</t>
  </si>
  <si>
    <t>聯想集團</t>
  </si>
  <si>
    <t>中信银行</t>
  </si>
  <si>
    <t>恒安國際</t>
  </si>
  <si>
    <t>威高股份</t>
  </si>
  <si>
    <t>兗礦能源</t>
  </si>
  <si>
    <t>农业银行</t>
  </si>
  <si>
    <t>工商银行</t>
  </si>
  <si>
    <t>達勢股份</t>
  </si>
  <si>
    <t>福壽園</t>
  </si>
  <si>
    <t>邮储银行</t>
  </si>
  <si>
    <t>中国中车</t>
  </si>
  <si>
    <t>九興控股</t>
  </si>
  <si>
    <t>周大福</t>
  </si>
  <si>
    <t>中國春來</t>
  </si>
  <si>
    <t>蒙牛乳業</t>
  </si>
  <si>
    <t>中银香港</t>
  </si>
  <si>
    <t>交通银行</t>
  </si>
  <si>
    <t>福耀玻璃</t>
  </si>
  <si>
    <t>招商银行</t>
  </si>
  <si>
    <t>中国银行</t>
  </si>
  <si>
    <t>老鋪黃金</t>
  </si>
  <si>
    <t>中国飞鹤</t>
  </si>
  <si>
    <t>朝云集团</t>
  </si>
  <si>
    <t>中国光大银行</t>
  </si>
  <si>
    <t>京东-SW</t>
  </si>
  <si>
    <t>聯易融科技－Ｗ</t>
  </si>
  <si>
    <t>阿里巴巴</t>
  </si>
  <si>
    <t>拼多多</t>
  </si>
  <si>
    <t>HOLD</t>
  </si>
  <si>
    <t>0005.HK</t>
  </si>
  <si>
    <t>HSBC</t>
  </si>
  <si>
    <t>0011.HK</t>
  </si>
  <si>
    <t>恒生銀行</t>
  </si>
  <si>
    <t>0016.HK</t>
  </si>
  <si>
    <t>新鴻基地產</t>
  </si>
  <si>
    <t>0027.HK</t>
  </si>
  <si>
    <t>銀河娛樂</t>
  </si>
  <si>
    <t>C0011</t>
  </si>
  <si>
    <t>0069.HK</t>
  </si>
  <si>
    <t>SHANGRI-LA ASIA</t>
  </si>
  <si>
    <t>0116.HK</t>
  </si>
  <si>
    <t>周生生</t>
  </si>
  <si>
    <t>0175.HK</t>
  </si>
  <si>
    <t>吉利汽車</t>
  </si>
  <si>
    <t>0179.HK</t>
  </si>
  <si>
    <t>德昌電機</t>
  </si>
  <si>
    <t>0220.HK</t>
  </si>
  <si>
    <t>统一中国</t>
  </si>
  <si>
    <t>0268.HK</t>
  </si>
  <si>
    <t>金蝶国际</t>
  </si>
  <si>
    <t>0300.HK</t>
  </si>
  <si>
    <t>美的集團</t>
  </si>
  <si>
    <t>0303.HK</t>
  </si>
  <si>
    <t>VTECH</t>
  </si>
  <si>
    <t>0322.HK</t>
  </si>
  <si>
    <t>康师傅控股</t>
  </si>
  <si>
    <t>0345.HK</t>
  </si>
  <si>
    <t>維他奶國際</t>
  </si>
  <si>
    <t>0398.HK</t>
  </si>
  <si>
    <t>東方表行集團</t>
  </si>
  <si>
    <t>0468.HK</t>
  </si>
  <si>
    <t>紛美包裝</t>
  </si>
  <si>
    <t>0564.HK</t>
  </si>
  <si>
    <t>鄭煤機</t>
  </si>
  <si>
    <t>0586.HK</t>
  </si>
  <si>
    <t>海螺創業</t>
  </si>
  <si>
    <t>0590.HK</t>
  </si>
  <si>
    <t>六福珠宝</t>
  </si>
  <si>
    <t>0639.HK</t>
  </si>
  <si>
    <t>首鋼資源</t>
  </si>
  <si>
    <t>0669.HK</t>
  </si>
  <si>
    <t>創科實業</t>
  </si>
  <si>
    <t>0683.HK</t>
  </si>
  <si>
    <t>嘉里建設</t>
  </si>
  <si>
    <t>0696.HK</t>
  </si>
  <si>
    <t>中國民航信息網絡</t>
  </si>
  <si>
    <t>0697.HK</t>
  </si>
  <si>
    <t>首程控股</t>
  </si>
  <si>
    <t>0700.HK</t>
  </si>
  <si>
    <t>騰訊控股</t>
  </si>
  <si>
    <t>0710.HK</t>
  </si>
  <si>
    <t>京东方精电</t>
  </si>
  <si>
    <t>0762.HK</t>
  </si>
  <si>
    <t>中国联通</t>
  </si>
  <si>
    <t>0788.HK</t>
  </si>
  <si>
    <t>中国铁塔</t>
  </si>
  <si>
    <t>0806.HK</t>
  </si>
  <si>
    <t>VALUE PARTNERS</t>
  </si>
  <si>
    <t>0811.HK</t>
  </si>
  <si>
    <t>新华文轩</t>
  </si>
  <si>
    <t>0831.HK</t>
  </si>
  <si>
    <t>利亞零售</t>
  </si>
  <si>
    <t>C0001</t>
  </si>
  <si>
    <t>Dividend Yield</t>
    <phoneticPr fontId="2" type="noConversion"/>
  </si>
  <si>
    <t>FCFE Yield</t>
    <phoneticPr fontId="2" type="noConversion"/>
  </si>
  <si>
    <t>Target Price</t>
    <phoneticPr fontId="2" type="noConversion"/>
  </si>
  <si>
    <t>Expected 
Equity Value</t>
    <phoneticPr fontId="2" type="noConversion"/>
  </si>
  <si>
    <t>Margin of Safety</t>
    <phoneticPr fontId="2" type="noConversion"/>
  </si>
  <si>
    <t>Yield</t>
    <phoneticPr fontId="2" type="noConversion"/>
  </si>
  <si>
    <t>Update 
Required After</t>
    <phoneticPr fontId="2" type="noConversion"/>
  </si>
  <si>
    <t>Status</t>
    <phoneticPr fontId="2" type="noConversion"/>
  </si>
  <si>
    <t>Investment Type</t>
    <phoneticPr fontId="2" type="noConversion"/>
  </si>
  <si>
    <t>Market Annual Yield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</si>
</sst>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13C09]d\ mmm\ yyyy;@"/>
  </numFmts>
  <fonts count="7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10" fontId="3" fillId="0" borderId="3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4" fontId="6" fillId="5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0" borderId="2" xfId="0" applyNumberFormat="1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</cellXfs>
  <cellStyles count="2">
    <cellStyle name="Normal 2" xfId="1" xr:uid="{00000000-0005-0000-0000-000001000000}"/>
    <cellStyle name="常规" xfId="0" builtinId="0"/>
  </cellStyles>
  <dxfs count="5">
    <dxf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numFmt numFmtId="179" formatCode="0.00_ "/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98"/>
  <sheetViews>
    <sheetView showGridLines="0" tabSelected="1" zoomScale="72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O3" sqref="O3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6" width="10.33203125" style="1" customWidth="1"/>
    <col min="7" max="8" width="13.1328125" style="2" customWidth="1"/>
    <col min="9" max="9" width="13.1328125" style="4" customWidth="1"/>
    <col min="10" max="11" width="13.1328125" style="1" customWidth="1"/>
    <col min="12" max="13" width="12" style="1" customWidth="1"/>
    <col min="14" max="14" width="14.796875" style="3" bestFit="1" customWidth="1"/>
    <col min="15" max="15" width="11.796875" style="16" customWidth="1"/>
    <col min="16" max="16" width="8.796875" style="12"/>
    <col min="17" max="16384" width="8.796875" style="1"/>
  </cols>
  <sheetData>
    <row r="1" spans="1:16">
      <c r="A1" s="5"/>
      <c r="B1" s="6" t="s">
        <v>5</v>
      </c>
      <c r="D1" s="23" t="s">
        <v>1</v>
      </c>
      <c r="E1" s="23"/>
      <c r="F1" s="24"/>
      <c r="G1" s="19" t="s">
        <v>6</v>
      </c>
      <c r="H1" s="19"/>
      <c r="I1" s="19"/>
      <c r="J1" s="22" t="s">
        <v>179</v>
      </c>
      <c r="K1" s="22"/>
      <c r="L1" s="20"/>
      <c r="M1" s="20"/>
      <c r="N1" s="20"/>
      <c r="O1" s="7"/>
      <c r="P1" s="7"/>
    </row>
    <row r="2" spans="1:16" ht="26" customHeight="1">
      <c r="B2" s="8" t="s">
        <v>4</v>
      </c>
      <c r="C2" s="8" t="s">
        <v>0</v>
      </c>
      <c r="D2" s="9" t="s">
        <v>1</v>
      </c>
      <c r="E2" s="8" t="s">
        <v>2</v>
      </c>
      <c r="F2" s="8" t="s">
        <v>183</v>
      </c>
      <c r="G2" s="9" t="s">
        <v>176</v>
      </c>
      <c r="H2" s="9" t="s">
        <v>177</v>
      </c>
      <c r="I2" s="21" t="s">
        <v>178</v>
      </c>
      <c r="J2" s="8" t="s">
        <v>175</v>
      </c>
      <c r="K2" s="8" t="s">
        <v>174</v>
      </c>
      <c r="L2" s="8" t="s">
        <v>7</v>
      </c>
      <c r="M2" s="8" t="s">
        <v>182</v>
      </c>
      <c r="N2" s="10" t="s">
        <v>180</v>
      </c>
      <c r="O2" s="11" t="s">
        <v>8</v>
      </c>
      <c r="P2" s="11" t="s">
        <v>181</v>
      </c>
    </row>
    <row r="3" spans="1:16">
      <c r="B3" s="12" t="s">
        <v>110</v>
      </c>
      <c r="C3" s="12" t="s">
        <v>111</v>
      </c>
      <c r="D3" s="2">
        <v>75.55</v>
      </c>
      <c r="E3" s="13" t="s">
        <v>3</v>
      </c>
      <c r="F3" s="13"/>
      <c r="G3" s="2">
        <v>62.986551102246409</v>
      </c>
      <c r="H3" s="2">
        <v>53.538568436909443</v>
      </c>
      <c r="J3" s="4">
        <v>6.284698307080272E-2</v>
      </c>
      <c r="K3" s="4"/>
      <c r="L3" s="14" t="s">
        <v>16</v>
      </c>
      <c r="M3" s="14"/>
      <c r="N3" s="15">
        <v>45716</v>
      </c>
      <c r="O3" s="16">
        <f>IFERROR(D3/G3-1,"nm")</f>
        <v>0.19946240392428027</v>
      </c>
    </row>
    <row r="4" spans="1:16">
      <c r="B4" s="12" t="s">
        <v>112</v>
      </c>
      <c r="C4" s="12" t="s">
        <v>113</v>
      </c>
      <c r="D4" s="2">
        <v>91.75</v>
      </c>
      <c r="E4" s="13" t="s">
        <v>3</v>
      </c>
      <c r="F4" s="13"/>
      <c r="G4" s="2">
        <v>94.092949962379592</v>
      </c>
      <c r="H4" s="2">
        <v>79.979007468022658</v>
      </c>
      <c r="J4" s="4">
        <v>7.4114441416893731E-2</v>
      </c>
      <c r="K4" s="4"/>
      <c r="L4" s="14" t="s">
        <v>16</v>
      </c>
      <c r="M4" s="14"/>
      <c r="N4" s="15">
        <v>45716</v>
      </c>
      <c r="O4" s="16">
        <f t="shared" ref="O4:O67" si="0">IFERROR(D4/G4-1,"nm")</f>
        <v>-2.4900377374886817E-2</v>
      </c>
    </row>
    <row r="5" spans="1:16">
      <c r="B5" s="12" t="s">
        <v>114</v>
      </c>
      <c r="C5" s="12" t="s">
        <v>115</v>
      </c>
      <c r="D5" s="2">
        <v>70.3</v>
      </c>
      <c r="E5" s="13" t="s">
        <v>3</v>
      </c>
      <c r="F5" s="13"/>
      <c r="G5" s="2">
        <v>35.979606182657591</v>
      </c>
      <c r="H5" s="2">
        <v>30.582665255258952</v>
      </c>
      <c r="J5" s="4">
        <v>5.3342816500711238E-2</v>
      </c>
      <c r="K5" s="4"/>
      <c r="L5" s="14" t="s">
        <v>17</v>
      </c>
      <c r="M5" s="14"/>
      <c r="N5" s="15">
        <v>45716</v>
      </c>
      <c r="O5" s="16">
        <f t="shared" si="0"/>
        <v>0.95388464351466595</v>
      </c>
    </row>
    <row r="6" spans="1:16">
      <c r="B6" s="12" t="s">
        <v>116</v>
      </c>
      <c r="C6" s="12" t="s">
        <v>117</v>
      </c>
      <c r="D6" s="2">
        <v>31.85</v>
      </c>
      <c r="E6" s="13" t="s">
        <v>3</v>
      </c>
      <c r="F6" s="13"/>
      <c r="G6" s="2">
        <v>12.948980662416149</v>
      </c>
      <c r="H6" s="2">
        <v>11.006633563053727</v>
      </c>
      <c r="J6" s="4">
        <v>1.5698587127158554E-2</v>
      </c>
      <c r="K6" s="4"/>
      <c r="L6" s="14" t="s">
        <v>118</v>
      </c>
      <c r="M6" s="14"/>
      <c r="N6" s="15">
        <v>45716</v>
      </c>
      <c r="O6" s="16">
        <f t="shared" si="0"/>
        <v>1.4596530669354721</v>
      </c>
    </row>
    <row r="7" spans="1:16">
      <c r="B7" s="12" t="s">
        <v>119</v>
      </c>
      <c r="C7" s="12" t="s">
        <v>120</v>
      </c>
      <c r="D7" s="2">
        <v>5.21</v>
      </c>
      <c r="E7" s="13" t="s">
        <v>3</v>
      </c>
      <c r="F7" s="13"/>
      <c r="G7" s="2">
        <v>2.4114308159686257</v>
      </c>
      <c r="H7" s="2">
        <v>2.0497161935733317</v>
      </c>
      <c r="J7" s="4">
        <v>3.8307758231608674E-2</v>
      </c>
      <c r="K7" s="4"/>
      <c r="L7" s="14" t="s">
        <v>118</v>
      </c>
      <c r="M7" s="14"/>
      <c r="N7" s="15">
        <v>45716</v>
      </c>
      <c r="O7" s="16">
        <f t="shared" si="0"/>
        <v>1.160543012679069</v>
      </c>
    </row>
    <row r="8" spans="1:16">
      <c r="B8" s="12" t="s">
        <v>18</v>
      </c>
      <c r="C8" s="12" t="s">
        <v>19</v>
      </c>
      <c r="D8" s="2">
        <v>7.61</v>
      </c>
      <c r="E8" s="13" t="s">
        <v>3</v>
      </c>
      <c r="F8" s="13"/>
      <c r="G8" s="2">
        <v>8.045278302904924</v>
      </c>
      <c r="H8" s="2">
        <v>6.8384865574691851</v>
      </c>
      <c r="J8" s="4">
        <v>7.6215505913272003E-2</v>
      </c>
      <c r="K8" s="4"/>
      <c r="L8" s="14" t="s">
        <v>17</v>
      </c>
      <c r="M8" s="14"/>
      <c r="N8" s="15">
        <v>45716</v>
      </c>
      <c r="O8" s="16">
        <f t="shared" si="0"/>
        <v>-5.4103573116638715E-2</v>
      </c>
      <c r="P8" s="12" t="s">
        <v>109</v>
      </c>
    </row>
    <row r="9" spans="1:16">
      <c r="B9" s="12" t="s">
        <v>121</v>
      </c>
      <c r="C9" s="12" t="s">
        <v>122</v>
      </c>
      <c r="D9" s="2">
        <v>6.4</v>
      </c>
      <c r="E9" s="13" t="s">
        <v>3</v>
      </c>
      <c r="F9" s="13"/>
      <c r="G9" s="2">
        <v>6.9593803981760711</v>
      </c>
      <c r="H9" s="2">
        <v>5.9154733384496607</v>
      </c>
      <c r="J9" s="4">
        <v>8.59375E-2</v>
      </c>
      <c r="K9" s="4"/>
      <c r="L9" s="14" t="s">
        <v>20</v>
      </c>
      <c r="M9" s="14"/>
      <c r="N9" s="15">
        <v>45716</v>
      </c>
      <c r="O9" s="16">
        <f t="shared" si="0"/>
        <v>-8.0377902366520204E-2</v>
      </c>
    </row>
    <row r="10" spans="1:16">
      <c r="B10" s="12" t="s">
        <v>123</v>
      </c>
      <c r="C10" s="12" t="s">
        <v>124</v>
      </c>
      <c r="D10" s="2">
        <v>13.72</v>
      </c>
      <c r="E10" s="13" t="s">
        <v>3</v>
      </c>
      <c r="F10" s="13"/>
      <c r="G10" s="2">
        <v>3.175480632531122</v>
      </c>
      <c r="H10" s="2">
        <v>2.6991585376514537</v>
      </c>
      <c r="J10" s="4">
        <v>1.4715758062209455E-2</v>
      </c>
      <c r="K10" s="4"/>
      <c r="L10" s="17" t="s">
        <v>21</v>
      </c>
      <c r="M10" s="17"/>
      <c r="N10" s="15">
        <v>45716</v>
      </c>
      <c r="O10" s="16">
        <f t="shared" si="0"/>
        <v>3.3206057878123536</v>
      </c>
    </row>
    <row r="11" spans="1:16">
      <c r="B11" s="12" t="s">
        <v>125</v>
      </c>
      <c r="C11" s="12" t="s">
        <v>126</v>
      </c>
      <c r="D11" s="2">
        <v>10.72</v>
      </c>
      <c r="E11" s="13" t="s">
        <v>3</v>
      </c>
      <c r="F11" s="13"/>
      <c r="G11" s="2">
        <v>9.7449160825583423</v>
      </c>
      <c r="H11" s="2">
        <v>7.7762720989696694</v>
      </c>
      <c r="J11" s="4">
        <v>5.6780738385755619E-2</v>
      </c>
      <c r="K11" s="4"/>
      <c r="L11" s="14" t="s">
        <v>21</v>
      </c>
      <c r="M11" s="14"/>
      <c r="N11" s="15">
        <v>45808</v>
      </c>
      <c r="O11" s="16">
        <f t="shared" si="0"/>
        <v>0.10006078135314933</v>
      </c>
    </row>
    <row r="12" spans="1:16">
      <c r="B12" s="12" t="s">
        <v>127</v>
      </c>
      <c r="C12" s="12" t="s">
        <v>128</v>
      </c>
      <c r="D12" s="2">
        <v>7.55</v>
      </c>
      <c r="E12" s="13" t="s">
        <v>3</v>
      </c>
      <c r="F12" s="13"/>
      <c r="G12" s="2">
        <v>2.5451227337364464</v>
      </c>
      <c r="H12" s="2">
        <v>2.1633543236759794</v>
      </c>
      <c r="J12" s="4">
        <v>5.9679958717712499E-2</v>
      </c>
      <c r="K12" s="4"/>
      <c r="L12" s="14" t="s">
        <v>22</v>
      </c>
      <c r="M12" s="14"/>
      <c r="N12" s="15">
        <v>45716</v>
      </c>
      <c r="O12" s="16">
        <f t="shared" si="0"/>
        <v>1.9664581200435816</v>
      </c>
    </row>
    <row r="13" spans="1:16">
      <c r="B13" s="12" t="s">
        <v>129</v>
      </c>
      <c r="C13" s="12" t="s">
        <v>130</v>
      </c>
      <c r="D13" s="2">
        <v>8.1199999999999992</v>
      </c>
      <c r="E13" s="13" t="s">
        <v>3</v>
      </c>
      <c r="F13" s="13"/>
      <c r="G13" s="2">
        <v>0</v>
      </c>
      <c r="H13" s="2">
        <v>0</v>
      </c>
      <c r="J13" s="4">
        <v>0</v>
      </c>
      <c r="K13" s="4"/>
      <c r="L13" s="14" t="s">
        <v>9</v>
      </c>
      <c r="M13" s="14"/>
      <c r="N13" s="15">
        <v>45716</v>
      </c>
      <c r="O13" s="16" t="str">
        <f t="shared" si="0"/>
        <v>nm</v>
      </c>
    </row>
    <row r="14" spans="1:16">
      <c r="B14" s="12" t="s">
        <v>131</v>
      </c>
      <c r="C14" s="12" t="s">
        <v>132</v>
      </c>
      <c r="D14" s="2">
        <v>75.099999999999994</v>
      </c>
      <c r="E14" s="13" t="s">
        <v>3</v>
      </c>
      <c r="F14" s="13"/>
      <c r="G14" s="2">
        <v>37.080642745641171</v>
      </c>
      <c r="H14" s="2">
        <v>31.518546333794994</v>
      </c>
      <c r="J14" s="4">
        <v>0</v>
      </c>
      <c r="K14" s="4"/>
      <c r="L14" s="14" t="s">
        <v>20</v>
      </c>
      <c r="M14" s="14"/>
      <c r="N14" s="15">
        <v>45716</v>
      </c>
      <c r="O14" s="16">
        <f t="shared" si="0"/>
        <v>1.0253154864428016</v>
      </c>
    </row>
    <row r="15" spans="1:16">
      <c r="B15" s="12" t="s">
        <v>133</v>
      </c>
      <c r="C15" s="12" t="s">
        <v>134</v>
      </c>
      <c r="D15" s="2">
        <v>50.05</v>
      </c>
      <c r="E15" s="13" t="s">
        <v>3</v>
      </c>
      <c r="F15" s="13"/>
      <c r="G15" s="2">
        <v>31.708341621722621</v>
      </c>
      <c r="H15" s="2">
        <v>26.952090378464227</v>
      </c>
      <c r="J15" s="4">
        <v>0.10108770642961774</v>
      </c>
      <c r="K15" s="4"/>
      <c r="L15" s="14" t="s">
        <v>23</v>
      </c>
      <c r="M15" s="14"/>
      <c r="N15" s="15">
        <v>45716</v>
      </c>
      <c r="O15" s="16">
        <f t="shared" si="0"/>
        <v>0.57844899607464639</v>
      </c>
    </row>
    <row r="16" spans="1:16">
      <c r="B16" s="12" t="s">
        <v>135</v>
      </c>
      <c r="C16" s="12" t="s">
        <v>136</v>
      </c>
      <c r="D16" s="2">
        <v>10.78</v>
      </c>
      <c r="E16" s="13" t="s">
        <v>3</v>
      </c>
      <c r="F16" s="13"/>
      <c r="G16" s="2">
        <v>4.5625398611204986</v>
      </c>
      <c r="H16" s="2">
        <v>3.8781588819524235</v>
      </c>
      <c r="J16" s="4">
        <v>2.7235238704699093E-2</v>
      </c>
      <c r="K16" s="4"/>
      <c r="L16" s="14" t="s">
        <v>22</v>
      </c>
      <c r="M16" s="14"/>
      <c r="N16" s="15">
        <v>45716</v>
      </c>
      <c r="O16" s="16">
        <f t="shared" si="0"/>
        <v>1.3627190836975123</v>
      </c>
    </row>
    <row r="17" spans="2:16">
      <c r="B17" s="12" t="s">
        <v>137</v>
      </c>
      <c r="C17" s="12" t="s">
        <v>138</v>
      </c>
      <c r="D17" s="2">
        <v>9.5399999999999991</v>
      </c>
      <c r="E17" s="13" t="s">
        <v>3</v>
      </c>
      <c r="F17" s="13"/>
      <c r="G17" s="2">
        <v>0</v>
      </c>
      <c r="H17" s="2">
        <v>0</v>
      </c>
      <c r="J17" s="4">
        <v>1.3587956952977557E-3</v>
      </c>
      <c r="K17" s="4"/>
      <c r="L17" s="14" t="s">
        <v>22</v>
      </c>
      <c r="M17" s="14"/>
      <c r="N17" s="15">
        <v>45626</v>
      </c>
      <c r="O17" s="16" t="str">
        <f t="shared" si="0"/>
        <v>nm</v>
      </c>
    </row>
    <row r="18" spans="2:16">
      <c r="B18" s="12" t="s">
        <v>139</v>
      </c>
      <c r="C18" s="12" t="s">
        <v>140</v>
      </c>
      <c r="D18" s="2">
        <v>3.45</v>
      </c>
      <c r="E18" s="13" t="s">
        <v>3</v>
      </c>
      <c r="F18" s="13"/>
      <c r="G18" s="2">
        <v>3.1150802359800442</v>
      </c>
      <c r="H18" s="2">
        <v>2.6478182005830377</v>
      </c>
      <c r="J18" s="4">
        <v>7.0492753623188409E-2</v>
      </c>
      <c r="K18" s="4"/>
      <c r="L18" s="14" t="s">
        <v>20</v>
      </c>
      <c r="M18" s="14"/>
      <c r="N18" s="15">
        <v>45626</v>
      </c>
      <c r="O18" s="16">
        <f t="shared" si="0"/>
        <v>0.10751561393236009</v>
      </c>
    </row>
    <row r="19" spans="2:16">
      <c r="B19" s="12" t="s">
        <v>141</v>
      </c>
      <c r="C19" s="12" t="s">
        <v>142</v>
      </c>
      <c r="D19" s="2">
        <v>2.57</v>
      </c>
      <c r="E19" s="13" t="s">
        <v>3</v>
      </c>
      <c r="F19" s="13"/>
      <c r="G19" s="2">
        <v>1.6912803965150771</v>
      </c>
      <c r="H19" s="2">
        <v>1.4375883370378155</v>
      </c>
      <c r="J19" s="4">
        <v>2.4780832839847076E-2</v>
      </c>
      <c r="K19" s="4"/>
      <c r="L19" s="14" t="s">
        <v>23</v>
      </c>
      <c r="M19" s="14"/>
      <c r="N19" s="15">
        <v>45716</v>
      </c>
      <c r="O19" s="16">
        <f t="shared" si="0"/>
        <v>0.51955879421031836</v>
      </c>
    </row>
    <row r="20" spans="2:16">
      <c r="B20" s="12" t="s">
        <v>143</v>
      </c>
      <c r="C20" s="12" t="s">
        <v>144</v>
      </c>
      <c r="D20" s="2">
        <v>9.83</v>
      </c>
      <c r="E20" s="13" t="s">
        <v>3</v>
      </c>
      <c r="F20" s="13"/>
      <c r="G20" s="2">
        <v>9.4696282976697326</v>
      </c>
      <c r="H20" s="2">
        <v>8.0491840530192729</v>
      </c>
      <c r="J20" s="4">
        <v>9.0703394260193054E-2</v>
      </c>
      <c r="K20" s="4"/>
      <c r="L20" s="14" t="s">
        <v>21</v>
      </c>
      <c r="M20" s="14"/>
      <c r="N20" s="15">
        <v>45716</v>
      </c>
      <c r="O20" s="16">
        <f t="shared" si="0"/>
        <v>3.8055527735861405E-2</v>
      </c>
    </row>
    <row r="21" spans="2:16">
      <c r="B21" s="12" t="s">
        <v>145</v>
      </c>
      <c r="C21" s="12" t="s">
        <v>146</v>
      </c>
      <c r="D21" s="2">
        <v>6.1</v>
      </c>
      <c r="E21" s="13" t="s">
        <v>3</v>
      </c>
      <c r="F21" s="13"/>
      <c r="G21" s="2">
        <v>2.5782155438595891</v>
      </c>
      <c r="H21" s="2">
        <v>2.1914832122806507</v>
      </c>
      <c r="J21" s="4">
        <v>3.2786885245901641E-2</v>
      </c>
      <c r="K21" s="4"/>
      <c r="L21" s="14" t="s">
        <v>17</v>
      </c>
      <c r="M21" s="14"/>
      <c r="N21" s="15">
        <v>45716</v>
      </c>
      <c r="O21" s="16">
        <f t="shared" si="0"/>
        <v>1.365977512829784</v>
      </c>
    </row>
    <row r="22" spans="2:16">
      <c r="B22" s="12" t="s">
        <v>147</v>
      </c>
      <c r="C22" s="12" t="s">
        <v>148</v>
      </c>
      <c r="D22" s="2">
        <v>13.82</v>
      </c>
      <c r="E22" s="13" t="s">
        <v>3</v>
      </c>
      <c r="F22" s="13"/>
      <c r="G22" s="2">
        <v>16.072921931882622</v>
      </c>
      <c r="H22" s="2">
        <v>13.661983642100228</v>
      </c>
      <c r="J22" s="4">
        <v>7.9594790159189591E-2</v>
      </c>
      <c r="K22" s="4"/>
      <c r="L22" s="14" t="s">
        <v>20</v>
      </c>
      <c r="M22" s="14"/>
      <c r="N22" s="15">
        <v>45626</v>
      </c>
      <c r="O22" s="16">
        <f t="shared" si="0"/>
        <v>-0.14016878458257631</v>
      </c>
      <c r="P22" s="12" t="s">
        <v>109</v>
      </c>
    </row>
    <row r="23" spans="2:16">
      <c r="B23" s="12" t="s">
        <v>149</v>
      </c>
      <c r="C23" s="12" t="s">
        <v>150</v>
      </c>
      <c r="D23" s="2">
        <v>2.2799999999999998</v>
      </c>
      <c r="E23" s="13" t="s">
        <v>3</v>
      </c>
      <c r="F23" s="13"/>
      <c r="G23" s="2">
        <v>2.0793011714984888</v>
      </c>
      <c r="H23" s="2">
        <v>1.7674059957737154</v>
      </c>
      <c r="J23" s="4">
        <v>7.2368421052631582E-2</v>
      </c>
      <c r="K23" s="4"/>
      <c r="L23" s="14" t="s">
        <v>24</v>
      </c>
      <c r="M23" s="14"/>
      <c r="N23" s="15">
        <v>45716</v>
      </c>
      <c r="O23" s="16">
        <f t="shared" si="0"/>
        <v>9.6522250481335226E-2</v>
      </c>
    </row>
    <row r="24" spans="2:16">
      <c r="B24" s="12" t="s">
        <v>151</v>
      </c>
      <c r="C24" s="12" t="s">
        <v>152</v>
      </c>
      <c r="D24" s="2">
        <v>96.8</v>
      </c>
      <c r="E24" s="13" t="s">
        <v>3</v>
      </c>
      <c r="F24" s="13"/>
      <c r="G24" s="2">
        <v>27.927833010475759</v>
      </c>
      <c r="H24" s="2">
        <v>23.738658058904399</v>
      </c>
      <c r="J24" s="4">
        <v>1.9974011811343107E-2</v>
      </c>
      <c r="K24" s="4"/>
      <c r="L24" s="14" t="s">
        <v>21</v>
      </c>
      <c r="M24" s="14"/>
      <c r="N24" s="15">
        <v>45716</v>
      </c>
      <c r="O24" s="16">
        <f t="shared" si="0"/>
        <v>2.4660762961340472</v>
      </c>
    </row>
    <row r="25" spans="2:16">
      <c r="B25" s="12" t="s">
        <v>153</v>
      </c>
      <c r="C25" s="12" t="s">
        <v>154</v>
      </c>
      <c r="D25" s="2">
        <v>14.92</v>
      </c>
      <c r="E25" s="13" t="s">
        <v>3</v>
      </c>
      <c r="F25" s="13"/>
      <c r="G25" s="2">
        <v>12.934469726537158</v>
      </c>
      <c r="H25" s="2">
        <v>7.6776086571019206</v>
      </c>
      <c r="J25" s="4">
        <v>9.0482322719137018E-2</v>
      </c>
      <c r="K25" s="4"/>
      <c r="L25" s="14" t="s">
        <v>17</v>
      </c>
      <c r="M25" s="14"/>
      <c r="N25" s="15">
        <v>45716</v>
      </c>
      <c r="O25" s="16">
        <f t="shared" si="0"/>
        <v>0.15350689401585638</v>
      </c>
    </row>
    <row r="26" spans="2:16">
      <c r="B26" s="12" t="s">
        <v>155</v>
      </c>
      <c r="C26" s="12" t="s">
        <v>156</v>
      </c>
      <c r="D26" s="2">
        <v>9.06</v>
      </c>
      <c r="E26" s="13" t="s">
        <v>3</v>
      </c>
      <c r="F26" s="13"/>
      <c r="G26" s="2">
        <v>1.7431606174350143</v>
      </c>
      <c r="H26" s="2">
        <v>1.4816865248197622</v>
      </c>
      <c r="J26" s="4">
        <v>1.8745177453541421E-2</v>
      </c>
      <c r="K26" s="4"/>
      <c r="L26" s="14" t="s">
        <v>9</v>
      </c>
      <c r="M26" s="14"/>
      <c r="N26" s="15">
        <v>45716</v>
      </c>
      <c r="O26" s="16">
        <f t="shared" si="0"/>
        <v>4.1974556500314932</v>
      </c>
    </row>
    <row r="27" spans="2:16">
      <c r="B27" s="12" t="s">
        <v>157</v>
      </c>
      <c r="C27" s="12" t="s">
        <v>158</v>
      </c>
      <c r="D27" s="2">
        <v>0.99</v>
      </c>
      <c r="E27" s="13" t="s">
        <v>3</v>
      </c>
      <c r="F27" s="13"/>
      <c r="G27" s="2">
        <v>0.10837595768821706</v>
      </c>
      <c r="H27" s="2">
        <v>9.2119564034984502E-2</v>
      </c>
      <c r="J27" s="4">
        <v>5.5353535353535356E-2</v>
      </c>
      <c r="K27" s="4"/>
      <c r="L27" s="14" t="s">
        <v>25</v>
      </c>
      <c r="M27" s="14"/>
      <c r="N27" s="15">
        <v>45716</v>
      </c>
      <c r="O27" s="16">
        <f t="shared" si="0"/>
        <v>8.1348673738883654</v>
      </c>
    </row>
    <row r="28" spans="2:16">
      <c r="B28" s="12" t="s">
        <v>159</v>
      </c>
      <c r="C28" s="12" t="s">
        <v>160</v>
      </c>
      <c r="D28" s="2">
        <v>371.8</v>
      </c>
      <c r="E28" s="13" t="s">
        <v>3</v>
      </c>
      <c r="F28" s="13"/>
      <c r="G28" s="2">
        <v>102.63423277834117</v>
      </c>
      <c r="H28" s="2">
        <v>87.239097861589997</v>
      </c>
      <c r="J28" s="4">
        <v>9.1447014523937595E-3</v>
      </c>
      <c r="K28" s="4"/>
      <c r="L28" s="14" t="s">
        <v>9</v>
      </c>
      <c r="M28" s="14"/>
      <c r="N28" s="15">
        <v>45716</v>
      </c>
      <c r="O28" s="16">
        <f t="shared" si="0"/>
        <v>2.6225729947528844</v>
      </c>
    </row>
    <row r="29" spans="2:16">
      <c r="B29" s="12" t="s">
        <v>161</v>
      </c>
      <c r="C29" s="12" t="s">
        <v>162</v>
      </c>
      <c r="D29" s="2">
        <v>6.04</v>
      </c>
      <c r="E29" s="13" t="s">
        <v>3</v>
      </c>
      <c r="F29" s="13"/>
      <c r="G29" s="2">
        <v>0</v>
      </c>
      <c r="H29" s="2">
        <v>0</v>
      </c>
      <c r="J29" s="4">
        <v>2.7801441310783621E-2</v>
      </c>
      <c r="K29" s="4"/>
      <c r="L29" s="14" t="s">
        <v>21</v>
      </c>
      <c r="M29" s="14"/>
      <c r="N29" s="15">
        <v>45716</v>
      </c>
      <c r="O29" s="16" t="str">
        <f t="shared" si="0"/>
        <v>nm</v>
      </c>
    </row>
    <row r="30" spans="2:16">
      <c r="B30" s="12" t="s">
        <v>163</v>
      </c>
      <c r="C30" s="12" t="s">
        <v>164</v>
      </c>
      <c r="D30" s="2">
        <v>7.28</v>
      </c>
      <c r="E30" s="13" t="s">
        <v>3</v>
      </c>
      <c r="F30" s="13"/>
      <c r="G30" s="2">
        <v>2.3399188408583842</v>
      </c>
      <c r="H30" s="2">
        <v>1.9889310147296264</v>
      </c>
      <c r="J30" s="4">
        <v>0</v>
      </c>
      <c r="K30" s="4"/>
      <c r="L30" s="14" t="s">
        <v>26</v>
      </c>
      <c r="M30" s="14"/>
      <c r="N30" s="15">
        <v>45716</v>
      </c>
      <c r="O30" s="16">
        <f t="shared" si="0"/>
        <v>2.1112190187457012</v>
      </c>
    </row>
    <row r="31" spans="2:16">
      <c r="B31" s="12" t="s">
        <v>165</v>
      </c>
      <c r="C31" s="12" t="s">
        <v>166</v>
      </c>
      <c r="D31" s="2">
        <v>1.0900000000000001</v>
      </c>
      <c r="E31" s="13" t="s">
        <v>3</v>
      </c>
      <c r="F31" s="13"/>
      <c r="G31" s="2">
        <v>0.60802806789784225</v>
      </c>
      <c r="H31" s="2">
        <v>0.51682385771316586</v>
      </c>
      <c r="J31" s="4">
        <v>4.7024964737600504E-2</v>
      </c>
      <c r="K31" s="4"/>
      <c r="L31" s="17" t="s">
        <v>26</v>
      </c>
      <c r="M31" s="17"/>
      <c r="N31" s="15">
        <v>45716</v>
      </c>
      <c r="O31" s="16">
        <f t="shared" si="0"/>
        <v>0.79268040004879547</v>
      </c>
    </row>
    <row r="32" spans="2:16">
      <c r="B32" s="12" t="s">
        <v>167</v>
      </c>
      <c r="C32" s="12" t="s">
        <v>168</v>
      </c>
      <c r="D32" s="2">
        <v>1.38</v>
      </c>
      <c r="E32" s="13" t="s">
        <v>3</v>
      </c>
      <c r="F32" s="13"/>
      <c r="G32" s="2">
        <v>0.23253409172156309</v>
      </c>
      <c r="H32" s="2">
        <v>0.19765397796332862</v>
      </c>
      <c r="J32" s="4">
        <v>2.1739130434782608E-2</v>
      </c>
      <c r="K32" s="4"/>
      <c r="L32" s="14" t="s">
        <v>25</v>
      </c>
      <c r="M32" s="14"/>
      <c r="N32" s="15">
        <v>45716</v>
      </c>
      <c r="O32" s="16">
        <f t="shared" si="0"/>
        <v>4.9346136722713991</v>
      </c>
    </row>
    <row r="33" spans="2:15">
      <c r="B33" s="12" t="s">
        <v>169</v>
      </c>
      <c r="C33" s="12" t="s">
        <v>170</v>
      </c>
      <c r="D33" s="2">
        <v>10.44</v>
      </c>
      <c r="E33" s="13" t="s">
        <v>3</v>
      </c>
      <c r="F33" s="13"/>
      <c r="G33" s="2">
        <v>7.533686568392123</v>
      </c>
      <c r="H33" s="2">
        <v>6.4036335831333044</v>
      </c>
      <c r="J33" s="4">
        <v>5.9985914487643871E-2</v>
      </c>
      <c r="K33" s="4"/>
      <c r="L33" s="14" t="s">
        <v>27</v>
      </c>
      <c r="M33" s="14"/>
      <c r="N33" s="15">
        <v>45716</v>
      </c>
      <c r="O33" s="16">
        <f t="shared" si="0"/>
        <v>0.38577572948168948</v>
      </c>
    </row>
    <row r="34" spans="2:15">
      <c r="B34" s="12" t="s">
        <v>171</v>
      </c>
      <c r="C34" s="12" t="s">
        <v>172</v>
      </c>
      <c r="D34" s="2">
        <v>0.40500000000000003</v>
      </c>
      <c r="E34" s="13" t="s">
        <v>3</v>
      </c>
      <c r="F34" s="13"/>
      <c r="G34" s="2">
        <v>0.27097481399542533</v>
      </c>
      <c r="H34" s="2">
        <v>0</v>
      </c>
      <c r="J34" s="4">
        <v>0.14814814814814814</v>
      </c>
      <c r="K34" s="4"/>
      <c r="L34" s="17" t="s">
        <v>173</v>
      </c>
      <c r="M34" s="17"/>
      <c r="N34" s="15">
        <v>45716</v>
      </c>
      <c r="O34" s="16">
        <f t="shared" si="0"/>
        <v>0.49460384907520361</v>
      </c>
    </row>
    <row r="35" spans="2:15">
      <c r="B35" s="12" t="s">
        <v>28</v>
      </c>
      <c r="C35" s="12" t="s">
        <v>76</v>
      </c>
      <c r="D35" s="2">
        <v>6.27</v>
      </c>
      <c r="E35" s="13" t="s">
        <v>3</v>
      </c>
      <c r="F35" s="13"/>
      <c r="G35" s="2">
        <v>5.3593919843092221</v>
      </c>
      <c r="H35" s="2">
        <v>4.5554831866628387</v>
      </c>
      <c r="J35" s="4">
        <v>7.6180311481348073E-2</v>
      </c>
      <c r="K35" s="4"/>
      <c r="L35" s="14" t="s">
        <v>29</v>
      </c>
      <c r="M35" s="14"/>
      <c r="N35" s="15">
        <v>45716</v>
      </c>
      <c r="O35" s="16">
        <f t="shared" si="0"/>
        <v>0.16990882890387171</v>
      </c>
    </row>
    <row r="36" spans="2:15">
      <c r="B36" s="12" t="s">
        <v>30</v>
      </c>
      <c r="C36" s="12" t="s">
        <v>77</v>
      </c>
      <c r="D36" s="2">
        <v>6.84</v>
      </c>
      <c r="E36" s="13" t="s">
        <v>3</v>
      </c>
      <c r="F36" s="13"/>
      <c r="G36" s="2">
        <v>4.9175737170431972</v>
      </c>
      <c r="H36" s="2">
        <v>4.1799376594867175</v>
      </c>
      <c r="J36" s="4">
        <v>9.2105263157894746E-2</v>
      </c>
      <c r="K36" s="4"/>
      <c r="L36" s="14" t="s">
        <v>21</v>
      </c>
      <c r="M36" s="14"/>
      <c r="N36" s="15">
        <v>45716</v>
      </c>
      <c r="O36" s="16">
        <f t="shared" si="0"/>
        <v>0.39092983523441815</v>
      </c>
    </row>
    <row r="37" spans="2:15">
      <c r="B37" s="12" t="s">
        <v>31</v>
      </c>
      <c r="C37" s="12" t="s">
        <v>78</v>
      </c>
      <c r="D37" s="2">
        <v>0.17199999999999999</v>
      </c>
      <c r="E37" s="13" t="s">
        <v>3</v>
      </c>
      <c r="F37" s="13"/>
      <c r="G37" s="2">
        <v>0.16509453059637313</v>
      </c>
      <c r="H37" s="2">
        <v>0.14033035100691715</v>
      </c>
      <c r="J37" s="4">
        <v>7.0348837209302323E-2</v>
      </c>
      <c r="K37" s="4"/>
      <c r="L37" s="14" t="s">
        <v>20</v>
      </c>
      <c r="M37" s="14"/>
      <c r="N37" s="15">
        <v>45716</v>
      </c>
      <c r="O37" s="16">
        <f t="shared" si="0"/>
        <v>4.1827366289374446E-2</v>
      </c>
    </row>
    <row r="38" spans="2:15">
      <c r="B38" s="12" t="s">
        <v>32</v>
      </c>
      <c r="C38" s="12" t="s">
        <v>79</v>
      </c>
      <c r="D38" s="2">
        <v>5.89</v>
      </c>
      <c r="E38" s="13" t="s">
        <v>3</v>
      </c>
      <c r="F38" s="13"/>
      <c r="G38" s="2">
        <v>5.3447989608771485</v>
      </c>
      <c r="H38" s="2">
        <v>4.5430791167455764</v>
      </c>
      <c r="J38" s="4">
        <v>7.208459581030785E-2</v>
      </c>
      <c r="K38" s="4"/>
      <c r="L38" s="14" t="s">
        <v>16</v>
      </c>
      <c r="M38" s="14"/>
      <c r="N38" s="15">
        <v>45716</v>
      </c>
      <c r="O38" s="16">
        <f t="shared" si="0"/>
        <v>0.10200590202056481</v>
      </c>
    </row>
    <row r="39" spans="2:15">
      <c r="B39" s="12" t="s">
        <v>33</v>
      </c>
      <c r="C39" s="12" t="s">
        <v>80</v>
      </c>
      <c r="D39" s="2">
        <v>74.3</v>
      </c>
      <c r="E39" s="13" t="s">
        <v>3</v>
      </c>
      <c r="F39" s="13"/>
      <c r="G39" s="2">
        <v>59.17375769038906</v>
      </c>
      <c r="H39" s="2">
        <v>50.297694036830698</v>
      </c>
      <c r="J39" s="4">
        <v>6.4972475399720717E-2</v>
      </c>
      <c r="K39" s="4"/>
      <c r="L39" s="14" t="s">
        <v>26</v>
      </c>
      <c r="M39" s="14"/>
      <c r="N39" s="15">
        <v>45716</v>
      </c>
      <c r="O39" s="16">
        <f t="shared" si="0"/>
        <v>0.25562416348062555</v>
      </c>
    </row>
    <row r="40" spans="2:15">
      <c r="B40" s="12" t="s">
        <v>34</v>
      </c>
      <c r="C40" s="12" t="s">
        <v>81</v>
      </c>
      <c r="D40" s="2">
        <v>9.17</v>
      </c>
      <c r="E40" s="13" t="s">
        <v>3</v>
      </c>
      <c r="F40" s="13"/>
      <c r="G40" s="2">
        <v>6.4392993083359604</v>
      </c>
      <c r="H40" s="2">
        <v>5.4734044120855661</v>
      </c>
      <c r="J40" s="4">
        <v>4.1439476553980371E-2</v>
      </c>
      <c r="K40" s="4"/>
      <c r="L40" s="14" t="s">
        <v>21</v>
      </c>
      <c r="M40" s="14"/>
      <c r="N40" s="15">
        <v>45716</v>
      </c>
      <c r="O40" s="16">
        <f t="shared" si="0"/>
        <v>0.42406798642346466</v>
      </c>
    </row>
    <row r="41" spans="2:15">
      <c r="B41" s="12" t="s">
        <v>35</v>
      </c>
      <c r="C41" s="12" t="s">
        <v>82</v>
      </c>
      <c r="D41" s="2">
        <v>5.14</v>
      </c>
      <c r="E41" s="13" t="s">
        <v>3</v>
      </c>
      <c r="F41" s="13"/>
      <c r="G41" s="2">
        <v>4.2807534371073093</v>
      </c>
      <c r="H41" s="2">
        <v>3.6386404215412127</v>
      </c>
      <c r="J41" s="4">
        <v>6.7341913242284418E-2</v>
      </c>
      <c r="K41" s="4"/>
      <c r="L41" s="14" t="s">
        <v>16</v>
      </c>
      <c r="M41" s="14"/>
      <c r="N41" s="15">
        <v>45716</v>
      </c>
      <c r="O41" s="16">
        <f t="shared" si="0"/>
        <v>0.20072320807930488</v>
      </c>
    </row>
    <row r="42" spans="2:15">
      <c r="B42" s="12" t="s">
        <v>36</v>
      </c>
      <c r="C42" s="12" t="s">
        <v>83</v>
      </c>
      <c r="D42" s="2">
        <v>20</v>
      </c>
      <c r="E42" s="13" t="s">
        <v>3</v>
      </c>
      <c r="F42" s="13"/>
      <c r="G42" s="2">
        <v>16.286981483416568</v>
      </c>
      <c r="H42" s="2">
        <v>13.843934260904083</v>
      </c>
      <c r="J42" s="4">
        <v>7.4301197131474803E-2</v>
      </c>
      <c r="K42" s="4"/>
      <c r="L42" s="14" t="s">
        <v>23</v>
      </c>
      <c r="M42" s="14"/>
      <c r="N42" s="15">
        <v>45716</v>
      </c>
      <c r="O42" s="16">
        <f t="shared" si="0"/>
        <v>0.22797462625987719</v>
      </c>
    </row>
    <row r="43" spans="2:15">
      <c r="B43" s="12" t="s">
        <v>37</v>
      </c>
      <c r="C43" s="12" t="s">
        <v>84</v>
      </c>
      <c r="D43" s="2">
        <v>4.18</v>
      </c>
      <c r="E43" s="13" t="s">
        <v>3</v>
      </c>
      <c r="F43" s="13"/>
      <c r="G43" s="2">
        <v>4.1768439125951957</v>
      </c>
      <c r="H43" s="2">
        <v>3.5503173257059162</v>
      </c>
      <c r="J43" s="4">
        <v>4.2584794118073574E-2</v>
      </c>
      <c r="K43" s="4"/>
      <c r="L43" s="14" t="s">
        <v>23</v>
      </c>
      <c r="M43" s="14"/>
      <c r="N43" s="15">
        <v>45716</v>
      </c>
      <c r="O43" s="16">
        <f t="shared" si="0"/>
        <v>7.5561535715684691E-4</v>
      </c>
    </row>
    <row r="44" spans="2:15">
      <c r="B44" s="12" t="s">
        <v>38</v>
      </c>
      <c r="C44" s="12" t="s">
        <v>39</v>
      </c>
      <c r="D44" s="2">
        <v>8.18</v>
      </c>
      <c r="E44" s="13" t="s">
        <v>3</v>
      </c>
      <c r="F44" s="13"/>
      <c r="G44" s="2">
        <v>8.3657953760452042</v>
      </c>
      <c r="H44" s="2">
        <v>7.1109260696384231</v>
      </c>
      <c r="J44" s="4">
        <v>8.0451872548924871E-2</v>
      </c>
      <c r="K44" s="4"/>
      <c r="L44" s="14" t="s">
        <v>22</v>
      </c>
      <c r="M44" s="14"/>
      <c r="N44" s="15">
        <v>45716</v>
      </c>
      <c r="O44" s="16">
        <f t="shared" si="0"/>
        <v>-2.2208931451660252E-2</v>
      </c>
    </row>
    <row r="45" spans="2:15">
      <c r="B45" s="12" t="s">
        <v>40</v>
      </c>
      <c r="C45" s="12" t="s">
        <v>85</v>
      </c>
      <c r="D45" s="2">
        <v>7.88</v>
      </c>
      <c r="E45" s="13" t="s">
        <v>3</v>
      </c>
      <c r="F45" s="13"/>
      <c r="G45" s="2">
        <v>7.2438894799757669</v>
      </c>
      <c r="H45" s="2">
        <v>4.9630722716092377</v>
      </c>
      <c r="J45" s="4">
        <v>6.7350613788501462E-2</v>
      </c>
      <c r="K45" s="4"/>
      <c r="L45" s="14" t="s">
        <v>24</v>
      </c>
      <c r="M45" s="14"/>
      <c r="N45" s="15">
        <v>45716</v>
      </c>
      <c r="O45" s="16">
        <f t="shared" si="0"/>
        <v>8.7813393865633804E-2</v>
      </c>
    </row>
    <row r="46" spans="2:15">
      <c r="B46" s="12" t="s">
        <v>41</v>
      </c>
      <c r="C46" s="12" t="s">
        <v>86</v>
      </c>
      <c r="D46" s="2">
        <v>4.17</v>
      </c>
      <c r="E46" s="13" t="s">
        <v>3</v>
      </c>
      <c r="F46" s="13"/>
      <c r="G46" s="2">
        <v>2.9348928674977937</v>
      </c>
      <c r="H46" s="2">
        <v>2.4946589373731247</v>
      </c>
      <c r="J46" s="4">
        <v>5.8774054188617787E-2</v>
      </c>
      <c r="K46" s="4"/>
      <c r="L46" s="14" t="s">
        <v>16</v>
      </c>
      <c r="M46" s="14"/>
      <c r="N46" s="15">
        <v>45716</v>
      </c>
      <c r="O46" s="16">
        <f t="shared" si="0"/>
        <v>0.42083550857351182</v>
      </c>
    </row>
    <row r="47" spans="2:15">
      <c r="B47" s="12" t="s">
        <v>42</v>
      </c>
      <c r="C47" s="12" t="s">
        <v>87</v>
      </c>
      <c r="D47" s="2">
        <v>4.83</v>
      </c>
      <c r="E47" s="13" t="s">
        <v>3</v>
      </c>
      <c r="F47" s="13"/>
      <c r="G47" s="2">
        <v>4.0220415716970601</v>
      </c>
      <c r="H47" s="2">
        <v>3.4187353359425008</v>
      </c>
      <c r="J47" s="4">
        <v>6.7334773147246021E-2</v>
      </c>
      <c r="K47" s="4"/>
      <c r="L47" s="14" t="s">
        <v>16</v>
      </c>
      <c r="M47" s="14"/>
      <c r="N47" s="15">
        <v>45716</v>
      </c>
      <c r="O47" s="16">
        <f t="shared" si="0"/>
        <v>0.20088266466177518</v>
      </c>
    </row>
    <row r="48" spans="2:15">
      <c r="B48" s="12" t="s">
        <v>43</v>
      </c>
      <c r="C48" s="12" t="s">
        <v>88</v>
      </c>
      <c r="D48" s="2">
        <v>73.349999999999994</v>
      </c>
      <c r="E48" s="13" t="s">
        <v>3</v>
      </c>
      <c r="F48" s="13"/>
      <c r="G48" s="2">
        <v>0</v>
      </c>
      <c r="H48" s="2">
        <v>0</v>
      </c>
      <c r="J48" s="4">
        <v>0</v>
      </c>
      <c r="K48" s="4"/>
      <c r="L48" s="17" t="s">
        <v>22</v>
      </c>
      <c r="M48" s="17"/>
      <c r="N48" s="15">
        <v>45716</v>
      </c>
      <c r="O48" s="16" t="str">
        <f t="shared" si="0"/>
        <v>nm</v>
      </c>
    </row>
    <row r="49" spans="2:15">
      <c r="B49" s="12" t="s">
        <v>44</v>
      </c>
      <c r="C49" s="12" t="s">
        <v>89</v>
      </c>
      <c r="D49" s="2">
        <v>3.67</v>
      </c>
      <c r="E49" s="13" t="s">
        <v>3</v>
      </c>
      <c r="F49" s="13"/>
      <c r="G49" s="2">
        <v>3.2725855442261613</v>
      </c>
      <c r="H49" s="2">
        <v>2.7816977125922366</v>
      </c>
      <c r="J49" s="4">
        <v>4.6044182885678436E-2</v>
      </c>
      <c r="K49" s="4"/>
      <c r="L49" s="14" t="s">
        <v>45</v>
      </c>
      <c r="M49" s="14"/>
      <c r="N49" s="15">
        <v>45716</v>
      </c>
      <c r="O49" s="16">
        <f t="shared" si="0"/>
        <v>0.12143745378176551</v>
      </c>
    </row>
    <row r="50" spans="2:15">
      <c r="B50" s="12" t="s">
        <v>46</v>
      </c>
      <c r="C50" s="12" t="s">
        <v>47</v>
      </c>
      <c r="D50" s="2">
        <v>5.77</v>
      </c>
      <c r="E50" s="13" t="s">
        <v>3</v>
      </c>
      <c r="F50" s="13"/>
      <c r="G50" s="2">
        <v>4.7182661671250088</v>
      </c>
      <c r="H50" s="2">
        <v>4.0105262420562573</v>
      </c>
      <c r="J50" s="4">
        <v>2.7417677642980941E-2</v>
      </c>
      <c r="K50" s="4"/>
      <c r="L50" s="14" t="s">
        <v>22</v>
      </c>
      <c r="M50" s="14"/>
      <c r="N50" s="15">
        <v>45716</v>
      </c>
      <c r="O50" s="16">
        <f t="shared" si="0"/>
        <v>0.22290684663002924</v>
      </c>
    </row>
    <row r="51" spans="2:15">
      <c r="B51" s="12" t="s">
        <v>48</v>
      </c>
      <c r="C51" s="12" t="s">
        <v>90</v>
      </c>
      <c r="D51" s="2">
        <v>4.43</v>
      </c>
      <c r="E51" s="13" t="s">
        <v>3</v>
      </c>
      <c r="F51" s="13"/>
      <c r="G51" s="2">
        <v>3.3648935418115595</v>
      </c>
      <c r="H51" s="2">
        <v>2.8601595105398254</v>
      </c>
      <c r="J51" s="4">
        <v>6.2536641249000088E-2</v>
      </c>
      <c r="K51" s="4"/>
      <c r="L51" s="14" t="s">
        <v>16</v>
      </c>
      <c r="M51" s="14"/>
      <c r="N51" s="15">
        <v>45716</v>
      </c>
      <c r="O51" s="16">
        <f t="shared" si="0"/>
        <v>0.31653496461436892</v>
      </c>
    </row>
    <row r="52" spans="2:15">
      <c r="B52" s="12" t="s">
        <v>49</v>
      </c>
      <c r="C52" s="12" t="s">
        <v>91</v>
      </c>
      <c r="D52" s="2">
        <v>4.79</v>
      </c>
      <c r="E52" s="13" t="s">
        <v>3</v>
      </c>
      <c r="F52" s="13"/>
      <c r="G52" s="2">
        <v>2.4061254319986021</v>
      </c>
      <c r="H52" s="2">
        <v>2.0452066171988119</v>
      </c>
      <c r="J52" s="4">
        <v>4.4319234793602627E-2</v>
      </c>
      <c r="K52" s="4"/>
      <c r="L52" s="14" t="s">
        <v>50</v>
      </c>
      <c r="M52" s="14"/>
      <c r="N52" s="15">
        <v>45716</v>
      </c>
      <c r="O52" s="16">
        <f t="shared" si="0"/>
        <v>0.9907524089553712</v>
      </c>
    </row>
    <row r="53" spans="2:15">
      <c r="B53" s="12" t="s">
        <v>51</v>
      </c>
      <c r="C53" s="12" t="s">
        <v>92</v>
      </c>
      <c r="D53" s="2">
        <v>17.22</v>
      </c>
      <c r="E53" s="13" t="s">
        <v>3</v>
      </c>
      <c r="F53" s="13"/>
      <c r="G53" s="2">
        <v>11.847371178678728</v>
      </c>
      <c r="H53" s="2">
        <v>10.070265501876918</v>
      </c>
      <c r="J53" s="4">
        <v>5.9814169570267139E-2</v>
      </c>
      <c r="K53" s="4"/>
      <c r="L53" s="14" t="s">
        <v>23</v>
      </c>
      <c r="M53" s="14"/>
      <c r="N53" s="15">
        <v>45716</v>
      </c>
      <c r="O53" s="16">
        <f t="shared" si="0"/>
        <v>0.45348700064282532</v>
      </c>
    </row>
    <row r="54" spans="2:15">
      <c r="B54" s="12" t="s">
        <v>52</v>
      </c>
      <c r="C54" s="12" t="s">
        <v>53</v>
      </c>
      <c r="D54" s="2">
        <v>22.7</v>
      </c>
      <c r="E54" s="13" t="s">
        <v>3</v>
      </c>
      <c r="F54" s="13"/>
      <c r="G54" s="2">
        <v>15.891475739819455</v>
      </c>
      <c r="H54" s="2">
        <v>13.507754378846537</v>
      </c>
      <c r="J54" s="4">
        <v>3.5181193759262826E-2</v>
      </c>
      <c r="K54" s="4"/>
      <c r="L54" s="14" t="s">
        <v>23</v>
      </c>
      <c r="M54" s="14"/>
      <c r="N54" s="15">
        <v>45716</v>
      </c>
      <c r="O54" s="16">
        <f t="shared" si="0"/>
        <v>0.42843876627016741</v>
      </c>
    </row>
    <row r="55" spans="2:15">
      <c r="B55" s="12" t="s">
        <v>54</v>
      </c>
      <c r="C55" s="12" t="s">
        <v>93</v>
      </c>
      <c r="D55" s="2">
        <v>6.59</v>
      </c>
      <c r="E55" s="13" t="s">
        <v>3</v>
      </c>
      <c r="F55" s="13"/>
      <c r="G55" s="2">
        <v>6.9011468861157468</v>
      </c>
      <c r="H55" s="2">
        <v>5.8659748531983844</v>
      </c>
      <c r="J55" s="4">
        <v>8.3459787556904405E-2</v>
      </c>
      <c r="K55" s="4"/>
      <c r="L55" s="14" t="s">
        <v>20</v>
      </c>
      <c r="M55" s="14"/>
      <c r="N55" s="15">
        <v>45808</v>
      </c>
      <c r="O55" s="16">
        <f t="shared" si="0"/>
        <v>-4.5086257581582023E-2</v>
      </c>
    </row>
    <row r="56" spans="2:15">
      <c r="B56" s="12" t="s">
        <v>55</v>
      </c>
      <c r="C56" s="12" t="s">
        <v>94</v>
      </c>
      <c r="D56" s="2">
        <v>4.2300000000000004</v>
      </c>
      <c r="E56" s="13" t="s">
        <v>3</v>
      </c>
      <c r="F56" s="13"/>
      <c r="G56" s="2">
        <v>3.9087842724427571</v>
      </c>
      <c r="H56" s="2">
        <v>3.3224666315763436</v>
      </c>
      <c r="J56" s="4">
        <v>4.5945792619969721E-2</v>
      </c>
      <c r="K56" s="4"/>
      <c r="L56" s="14" t="s">
        <v>56</v>
      </c>
      <c r="M56" s="14"/>
      <c r="N56" s="15">
        <v>45716</v>
      </c>
      <c r="O56" s="16">
        <f t="shared" si="0"/>
        <v>8.2177911383301439E-2</v>
      </c>
    </row>
    <row r="57" spans="2:15">
      <c r="B57" s="12" t="s">
        <v>57</v>
      </c>
      <c r="C57" s="12" t="s">
        <v>95</v>
      </c>
      <c r="D57" s="2">
        <v>15.12</v>
      </c>
      <c r="E57" s="13" t="s">
        <v>3</v>
      </c>
      <c r="F57" s="13"/>
      <c r="G57" s="2">
        <v>12.640799825099876</v>
      </c>
      <c r="H57" s="2">
        <v>10.744679851334894</v>
      </c>
      <c r="J57" s="4">
        <v>3.4328500942263022E-2</v>
      </c>
      <c r="K57" s="4"/>
      <c r="L57" s="14" t="s">
        <v>22</v>
      </c>
      <c r="M57" s="14"/>
      <c r="N57" s="15">
        <v>45716</v>
      </c>
      <c r="O57" s="16">
        <f t="shared" si="0"/>
        <v>0.19612684396578794</v>
      </c>
    </row>
    <row r="58" spans="2:15">
      <c r="B58" s="12" t="s">
        <v>58</v>
      </c>
      <c r="C58" s="12" t="s">
        <v>96</v>
      </c>
      <c r="D58" s="2">
        <v>24.35</v>
      </c>
      <c r="E58" s="13" t="s">
        <v>3</v>
      </c>
      <c r="F58" s="13"/>
      <c r="G58" s="2">
        <v>19.480918389247329</v>
      </c>
      <c r="H58" s="2">
        <v>16.55878063086023</v>
      </c>
      <c r="J58" s="4">
        <v>6.0780287474332645E-2</v>
      </c>
      <c r="K58" s="4"/>
      <c r="L58" s="14" t="s">
        <v>16</v>
      </c>
      <c r="M58" s="14"/>
      <c r="N58" s="15">
        <v>45716</v>
      </c>
      <c r="O58" s="16">
        <f t="shared" si="0"/>
        <v>0.24994107122999942</v>
      </c>
    </row>
    <row r="59" spans="2:15">
      <c r="B59" s="12" t="s">
        <v>59</v>
      </c>
      <c r="C59" s="12" t="s">
        <v>60</v>
      </c>
      <c r="D59" s="2">
        <v>96.35</v>
      </c>
      <c r="E59" s="13" t="s">
        <v>3</v>
      </c>
      <c r="F59" s="13"/>
      <c r="G59" s="2">
        <v>26.715062598200028</v>
      </c>
      <c r="H59" s="2">
        <v>22.707803208470022</v>
      </c>
      <c r="J59" s="4">
        <v>2.4235869419036535E-2</v>
      </c>
      <c r="K59" s="4"/>
      <c r="L59" s="14" t="s">
        <v>16</v>
      </c>
      <c r="M59" s="14"/>
      <c r="N59" s="15">
        <v>45716</v>
      </c>
      <c r="O59" s="16">
        <f t="shared" si="0"/>
        <v>2.6065796082578423</v>
      </c>
    </row>
    <row r="60" spans="2:15">
      <c r="B60" s="12" t="s">
        <v>61</v>
      </c>
      <c r="C60" s="12" t="s">
        <v>97</v>
      </c>
      <c r="D60" s="2">
        <v>6.11</v>
      </c>
      <c r="E60" s="13" t="s">
        <v>3</v>
      </c>
      <c r="F60" s="13"/>
      <c r="G60" s="2">
        <v>4.882283658811315</v>
      </c>
      <c r="H60" s="2">
        <v>4.1499411099896175</v>
      </c>
      <c r="J60" s="4">
        <v>6.5146011045833646E-2</v>
      </c>
      <c r="K60" s="4"/>
      <c r="L60" s="14" t="s">
        <v>16</v>
      </c>
      <c r="M60" s="14"/>
      <c r="N60" s="15">
        <v>45716</v>
      </c>
      <c r="O60" s="16">
        <f t="shared" si="0"/>
        <v>0.25146354185565611</v>
      </c>
    </row>
    <row r="61" spans="2:15">
      <c r="B61" s="12" t="s">
        <v>62</v>
      </c>
      <c r="C61" s="12" t="s">
        <v>98</v>
      </c>
      <c r="D61" s="2">
        <v>52.05</v>
      </c>
      <c r="E61" s="13" t="s">
        <v>3</v>
      </c>
      <c r="F61" s="13"/>
      <c r="G61" s="2">
        <v>39.836259703774758</v>
      </c>
      <c r="H61" s="2">
        <v>33.860820748208546</v>
      </c>
      <c r="J61" s="4">
        <v>2.6510650822263553E-2</v>
      </c>
      <c r="K61" s="4"/>
      <c r="L61" s="14" t="s">
        <v>21</v>
      </c>
      <c r="M61" s="14"/>
      <c r="N61" s="15">
        <v>45716</v>
      </c>
      <c r="O61" s="16">
        <f t="shared" si="0"/>
        <v>0.30659857092627352</v>
      </c>
    </row>
    <row r="62" spans="2:15">
      <c r="B62" s="12" t="s">
        <v>63</v>
      </c>
      <c r="C62" s="12" t="s">
        <v>99</v>
      </c>
      <c r="D62" s="2">
        <v>39.1</v>
      </c>
      <c r="E62" s="13" t="s">
        <v>3</v>
      </c>
      <c r="F62" s="13"/>
      <c r="G62" s="2">
        <v>24.572872856406878</v>
      </c>
      <c r="H62" s="2">
        <v>20.886941927945845</v>
      </c>
      <c r="J62" s="4">
        <v>5.3533781784168184E-2</v>
      </c>
      <c r="K62" s="4"/>
      <c r="L62" s="14" t="s">
        <v>16</v>
      </c>
      <c r="M62" s="14"/>
      <c r="N62" s="15">
        <v>45716</v>
      </c>
      <c r="O62" s="16">
        <f t="shared" si="0"/>
        <v>0.59118554140915069</v>
      </c>
    </row>
    <row r="63" spans="2:15">
      <c r="B63" s="12" t="s">
        <v>64</v>
      </c>
      <c r="C63" s="12" t="s">
        <v>100</v>
      </c>
      <c r="D63" s="2">
        <v>3.76</v>
      </c>
      <c r="E63" s="13" t="s">
        <v>3</v>
      </c>
      <c r="F63" s="13"/>
      <c r="G63" s="2">
        <v>4.2004774926652244</v>
      </c>
      <c r="H63" s="2">
        <v>3.5704058687654405</v>
      </c>
      <c r="J63" s="4">
        <v>8.468981435958374E-2</v>
      </c>
      <c r="K63" s="4"/>
      <c r="L63" s="14" t="s">
        <v>16</v>
      </c>
      <c r="M63" s="14"/>
      <c r="N63" s="15">
        <v>45716</v>
      </c>
      <c r="O63" s="16">
        <f t="shared" si="0"/>
        <v>-0.10486367167408372</v>
      </c>
    </row>
    <row r="64" spans="2:15">
      <c r="B64" s="12" t="s">
        <v>65</v>
      </c>
      <c r="C64" s="12" t="s">
        <v>101</v>
      </c>
      <c r="D64" s="2">
        <v>296</v>
      </c>
      <c r="E64" s="13" t="s">
        <v>3</v>
      </c>
      <c r="F64" s="13"/>
      <c r="G64" s="2">
        <v>0</v>
      </c>
      <c r="H64" s="2">
        <v>0</v>
      </c>
      <c r="J64" s="4">
        <v>0</v>
      </c>
      <c r="K64" s="4"/>
      <c r="L64" s="14" t="s">
        <v>20</v>
      </c>
      <c r="M64" s="14"/>
      <c r="N64" s="15">
        <v>45716</v>
      </c>
      <c r="O64" s="16" t="str">
        <f t="shared" si="0"/>
        <v>nm</v>
      </c>
    </row>
    <row r="65" spans="2:16">
      <c r="B65" s="12" t="s">
        <v>66</v>
      </c>
      <c r="C65" s="12" t="s">
        <v>102</v>
      </c>
      <c r="D65" s="2">
        <v>5.0999999999999996</v>
      </c>
      <c r="E65" s="13" t="s">
        <v>3</v>
      </c>
      <c r="F65" s="13"/>
      <c r="G65" s="2">
        <v>4.9737925149172781</v>
      </c>
      <c r="H65" s="2">
        <v>4.2277236376796861</v>
      </c>
      <c r="J65" s="4">
        <v>6.4852249373018353E-2</v>
      </c>
      <c r="K65" s="4"/>
      <c r="L65" s="14" t="s">
        <v>22</v>
      </c>
      <c r="M65" s="14"/>
      <c r="N65" s="15">
        <v>45716</v>
      </c>
      <c r="O65" s="16">
        <f t="shared" si="0"/>
        <v>2.5374497368799265E-2</v>
      </c>
    </row>
    <row r="66" spans="2:16">
      <c r="B66" s="12" t="s">
        <v>67</v>
      </c>
      <c r="C66" s="12" t="s">
        <v>103</v>
      </c>
      <c r="D66" s="2">
        <v>1.77</v>
      </c>
      <c r="E66" s="13" t="s">
        <v>3</v>
      </c>
      <c r="F66" s="13"/>
      <c r="G66" s="2">
        <v>1.5223126471290205</v>
      </c>
      <c r="H66" s="2">
        <v>1.2939657500596673</v>
      </c>
      <c r="J66" s="4">
        <v>7.0643107522903412E-2</v>
      </c>
      <c r="K66" s="4"/>
      <c r="L66" s="12" t="s">
        <v>23</v>
      </c>
      <c r="M66" s="12"/>
      <c r="N66" s="15">
        <v>45716</v>
      </c>
      <c r="O66" s="16">
        <f t="shared" si="0"/>
        <v>0.162704654223363</v>
      </c>
      <c r="P66" s="12" t="s">
        <v>109</v>
      </c>
    </row>
    <row r="67" spans="2:16">
      <c r="B67" s="12" t="s">
        <v>68</v>
      </c>
      <c r="C67" s="12" t="s">
        <v>104</v>
      </c>
      <c r="D67" s="2">
        <v>2.8</v>
      </c>
      <c r="E67" s="13" t="s">
        <v>3</v>
      </c>
      <c r="F67" s="13"/>
      <c r="G67" s="2">
        <v>2.8856224953599261</v>
      </c>
      <c r="H67" s="2">
        <v>2.4527791210559373</v>
      </c>
      <c r="J67" s="4">
        <v>7.9608425498008728E-2</v>
      </c>
      <c r="K67" s="4"/>
      <c r="L67" s="14" t="s">
        <v>16</v>
      </c>
      <c r="M67" s="14"/>
      <c r="N67" s="15">
        <v>45716</v>
      </c>
      <c r="O67" s="16">
        <f t="shared" si="0"/>
        <v>-2.9672105584707342E-2</v>
      </c>
    </row>
    <row r="68" spans="2:16">
      <c r="B68" s="12" t="s">
        <v>11</v>
      </c>
      <c r="C68" s="12" t="s">
        <v>105</v>
      </c>
      <c r="D68" s="2">
        <v>132</v>
      </c>
      <c r="E68" s="13" t="s">
        <v>3</v>
      </c>
      <c r="F68" s="13"/>
      <c r="G68" s="2">
        <v>0</v>
      </c>
      <c r="H68" s="2">
        <v>0</v>
      </c>
      <c r="J68" s="4">
        <v>1.8698206084121431E-2</v>
      </c>
      <c r="K68" s="4"/>
      <c r="L68" s="14" t="s">
        <v>9</v>
      </c>
      <c r="M68" s="14"/>
      <c r="N68" s="15">
        <v>45716</v>
      </c>
      <c r="O68" s="16" t="str">
        <f t="shared" ref="O68:O75" si="1">IFERROR(D68/G68-1,"nm")</f>
        <v>nm</v>
      </c>
    </row>
    <row r="69" spans="2:16">
      <c r="B69" s="12" t="s">
        <v>69</v>
      </c>
      <c r="C69" s="12" t="s">
        <v>106</v>
      </c>
      <c r="D69" s="2">
        <v>1.41</v>
      </c>
      <c r="E69" s="13" t="s">
        <v>3</v>
      </c>
      <c r="F69" s="13"/>
      <c r="G69" s="2">
        <v>1.3522007268709235</v>
      </c>
      <c r="H69" s="2">
        <v>1.1493706178402849</v>
      </c>
      <c r="J69" s="4">
        <v>7.5279834986296673E-2</v>
      </c>
      <c r="K69" s="4"/>
      <c r="L69" s="17" t="s">
        <v>25</v>
      </c>
      <c r="M69" s="17"/>
      <c r="N69" s="15">
        <v>45716</v>
      </c>
      <c r="O69" s="16">
        <f t="shared" si="1"/>
        <v>4.2744595517876682E-2</v>
      </c>
    </row>
    <row r="70" spans="2:16">
      <c r="B70" s="12" t="s">
        <v>10</v>
      </c>
      <c r="C70" s="12" t="s">
        <v>107</v>
      </c>
      <c r="D70" s="2">
        <v>79.05</v>
      </c>
      <c r="E70" s="13" t="s">
        <v>3</v>
      </c>
      <c r="F70" s="13"/>
      <c r="G70" s="2">
        <v>84.367105392034958</v>
      </c>
      <c r="H70" s="2">
        <v>71.712039583229711</v>
      </c>
      <c r="J70" s="4">
        <v>1.2084770474081023E-2</v>
      </c>
      <c r="K70" s="4"/>
      <c r="L70" s="14" t="s">
        <v>9</v>
      </c>
      <c r="M70" s="14"/>
      <c r="N70" s="15">
        <v>45626</v>
      </c>
      <c r="O70" s="16">
        <f t="shared" si="1"/>
        <v>-6.3023442221083248E-2</v>
      </c>
    </row>
    <row r="71" spans="2:16">
      <c r="B71" s="12" t="s">
        <v>70</v>
      </c>
      <c r="C71" s="12" t="s">
        <v>71</v>
      </c>
      <c r="D71" s="2">
        <v>83.4</v>
      </c>
      <c r="E71" s="13" t="s">
        <v>3</v>
      </c>
      <c r="F71" s="13"/>
      <c r="G71" s="2">
        <v>6.4774046315152001</v>
      </c>
      <c r="H71" s="2">
        <v>5.5057939367879198</v>
      </c>
      <c r="J71" s="4">
        <v>3.5903336263770204E-3</v>
      </c>
      <c r="K71" s="4"/>
      <c r="L71" s="14" t="s">
        <v>23</v>
      </c>
      <c r="M71" s="14"/>
      <c r="N71" s="15">
        <v>45716</v>
      </c>
      <c r="O71" s="16">
        <f t="shared" si="1"/>
        <v>11.875527274338427</v>
      </c>
    </row>
    <row r="72" spans="2:16">
      <c r="B72" s="12" t="s">
        <v>12</v>
      </c>
      <c r="C72" s="12" t="s">
        <v>13</v>
      </c>
      <c r="D72" s="2">
        <v>218.46</v>
      </c>
      <c r="E72" s="13" t="s">
        <v>14</v>
      </c>
      <c r="F72" s="13"/>
      <c r="G72" s="2">
        <v>4.8608451071750238</v>
      </c>
      <c r="H72" s="2">
        <v>4.1317183410987699</v>
      </c>
      <c r="J72" s="4">
        <v>0</v>
      </c>
      <c r="K72" s="4"/>
      <c r="L72" s="14" t="s">
        <v>9</v>
      </c>
      <c r="M72" s="14"/>
      <c r="N72" s="15">
        <v>45716</v>
      </c>
      <c r="O72" s="16">
        <f t="shared" si="1"/>
        <v>43.942802163667864</v>
      </c>
    </row>
    <row r="73" spans="2:16">
      <c r="B73" s="12" t="s">
        <v>72</v>
      </c>
      <c r="C73" s="12" t="s">
        <v>73</v>
      </c>
      <c r="D73" s="2">
        <v>28.78</v>
      </c>
      <c r="E73" s="13" t="s">
        <v>14</v>
      </c>
      <c r="F73" s="13"/>
      <c r="G73" s="2">
        <v>17.10038599230516</v>
      </c>
      <c r="H73" s="2">
        <v>14.535328093459386</v>
      </c>
      <c r="J73" s="4">
        <v>5.5594162612925643E-2</v>
      </c>
      <c r="K73" s="4"/>
      <c r="L73" s="14" t="s">
        <v>22</v>
      </c>
      <c r="M73" s="14"/>
      <c r="N73" s="15">
        <v>45716</v>
      </c>
      <c r="O73" s="16">
        <f t="shared" si="1"/>
        <v>0.68300294583703791</v>
      </c>
    </row>
    <row r="74" spans="2:16">
      <c r="B74" s="12" t="s">
        <v>15</v>
      </c>
      <c r="C74" s="12" t="s">
        <v>108</v>
      </c>
      <c r="D74" s="2">
        <v>95.98</v>
      </c>
      <c r="E74" s="13" t="s">
        <v>14</v>
      </c>
      <c r="F74" s="13"/>
      <c r="G74" s="2">
        <v>43.127964446940894</v>
      </c>
      <c r="H74" s="2">
        <v>36.658769779899757</v>
      </c>
      <c r="J74" s="4">
        <v>0</v>
      </c>
      <c r="K74" s="4"/>
      <c r="L74" s="14" t="s">
        <v>9</v>
      </c>
      <c r="M74" s="14"/>
      <c r="N74" s="15">
        <v>45716</v>
      </c>
      <c r="O74" s="16">
        <f t="shared" si="1"/>
        <v>1.2254702078063868</v>
      </c>
    </row>
    <row r="75" spans="2:16">
      <c r="B75" s="12" t="s">
        <v>74</v>
      </c>
      <c r="C75" s="12" t="s">
        <v>75</v>
      </c>
      <c r="D75" s="2">
        <v>20.9</v>
      </c>
      <c r="E75" s="13" t="s">
        <v>14</v>
      </c>
      <c r="F75" s="13"/>
      <c r="G75" s="2">
        <v>30.597249721884417</v>
      </c>
      <c r="H75" s="2">
        <v>26.007662263601755</v>
      </c>
      <c r="J75" s="4">
        <v>5.1674641148325366E-2</v>
      </c>
      <c r="K75" s="4"/>
      <c r="L75" s="14" t="s">
        <v>27</v>
      </c>
      <c r="M75" s="14"/>
      <c r="N75" s="15">
        <v>45716</v>
      </c>
      <c r="O75" s="16">
        <f t="shared" si="1"/>
        <v>-0.31693207102037491</v>
      </c>
    </row>
    <row r="76" spans="2:16">
      <c r="B76" s="12"/>
      <c r="C76" s="12"/>
      <c r="E76" s="13"/>
      <c r="F76" s="13"/>
      <c r="J76" s="4"/>
      <c r="K76" s="4"/>
      <c r="L76" s="14"/>
      <c r="M76" s="14"/>
      <c r="N76" s="15"/>
    </row>
    <row r="77" spans="2:16">
      <c r="B77" s="12"/>
      <c r="C77" s="12"/>
      <c r="E77" s="13"/>
      <c r="F77" s="13"/>
      <c r="J77" s="4"/>
      <c r="K77" s="4"/>
      <c r="L77" s="14"/>
      <c r="M77" s="14"/>
      <c r="N77" s="15"/>
    </row>
    <row r="78" spans="2:16">
      <c r="B78" s="12"/>
      <c r="C78" s="12"/>
      <c r="E78" s="13"/>
      <c r="F78" s="13"/>
      <c r="J78" s="4"/>
      <c r="K78" s="4"/>
      <c r="L78" s="14"/>
      <c r="M78" s="14"/>
      <c r="N78" s="15"/>
    </row>
    <row r="79" spans="2:16">
      <c r="B79" s="12"/>
      <c r="C79" s="12"/>
      <c r="E79" s="13"/>
      <c r="F79" s="13"/>
      <c r="J79" s="4"/>
      <c r="K79" s="4"/>
      <c r="L79" s="14"/>
      <c r="M79" s="14"/>
      <c r="N79" s="15"/>
    </row>
    <row r="80" spans="2:16">
      <c r="B80" s="12"/>
      <c r="C80" s="12"/>
      <c r="E80" s="13"/>
      <c r="F80" s="13"/>
      <c r="J80" s="4"/>
      <c r="K80" s="4"/>
      <c r="L80" s="14"/>
      <c r="M80" s="14"/>
      <c r="N80" s="15"/>
    </row>
    <row r="81" spans="2:14">
      <c r="B81" s="12"/>
      <c r="C81" s="12"/>
      <c r="E81" s="13"/>
      <c r="F81" s="13"/>
      <c r="J81" s="4"/>
      <c r="K81" s="4"/>
      <c r="L81" s="14"/>
      <c r="M81" s="14"/>
      <c r="N81" s="15"/>
    </row>
    <row r="82" spans="2:14">
      <c r="B82" s="12"/>
      <c r="C82" s="12"/>
      <c r="E82" s="13"/>
      <c r="F82" s="13"/>
      <c r="J82" s="4"/>
      <c r="K82" s="4"/>
      <c r="L82" s="14"/>
      <c r="M82" s="14"/>
      <c r="N82" s="15"/>
    </row>
    <row r="83" spans="2:14">
      <c r="B83" s="12"/>
      <c r="C83" s="12"/>
      <c r="E83" s="13"/>
      <c r="F83" s="13"/>
      <c r="J83" s="4"/>
      <c r="K83" s="4"/>
      <c r="L83" s="14"/>
      <c r="M83" s="14"/>
      <c r="N83" s="15"/>
    </row>
    <row r="84" spans="2:14">
      <c r="B84" s="12"/>
      <c r="C84" s="12"/>
      <c r="E84" s="13"/>
      <c r="F84" s="13"/>
      <c r="J84" s="4"/>
      <c r="K84" s="4"/>
      <c r="L84" s="14"/>
      <c r="M84" s="14"/>
      <c r="N84" s="15"/>
    </row>
    <row r="85" spans="2:14">
      <c r="B85" s="12"/>
      <c r="C85" s="12"/>
      <c r="E85" s="13"/>
      <c r="F85" s="13"/>
      <c r="J85" s="4"/>
      <c r="K85" s="4"/>
      <c r="L85" s="14"/>
      <c r="M85" s="14"/>
      <c r="N85" s="15"/>
    </row>
    <row r="86" spans="2:14">
      <c r="B86" s="12"/>
      <c r="C86" s="12"/>
      <c r="E86" s="13"/>
      <c r="F86" s="13"/>
      <c r="J86" s="4"/>
      <c r="K86" s="4"/>
      <c r="L86" s="14"/>
      <c r="M86" s="14"/>
      <c r="N86" s="15"/>
    </row>
    <row r="87" spans="2:14">
      <c r="B87" s="12"/>
      <c r="C87" s="12"/>
      <c r="E87" s="13"/>
      <c r="F87" s="13"/>
      <c r="J87" s="4"/>
      <c r="K87" s="4"/>
      <c r="L87" s="14"/>
      <c r="M87" s="14"/>
      <c r="N87" s="15"/>
    </row>
    <row r="88" spans="2:14">
      <c r="B88" s="12"/>
      <c r="C88" s="12"/>
      <c r="E88" s="13"/>
      <c r="F88" s="13"/>
      <c r="J88" s="4"/>
      <c r="K88" s="4"/>
      <c r="L88" s="14"/>
      <c r="M88" s="14"/>
      <c r="N88" s="15"/>
    </row>
    <row r="89" spans="2:14">
      <c r="B89" s="12"/>
      <c r="C89" s="12"/>
      <c r="E89" s="13"/>
      <c r="F89" s="13"/>
      <c r="J89" s="4"/>
      <c r="K89" s="4"/>
      <c r="L89" s="14"/>
      <c r="M89" s="14"/>
      <c r="N89" s="15"/>
    </row>
    <row r="90" spans="2:14">
      <c r="B90" s="12"/>
      <c r="C90" s="12"/>
      <c r="E90" s="13"/>
      <c r="F90" s="13"/>
      <c r="J90" s="4"/>
      <c r="K90" s="4"/>
      <c r="L90" s="14"/>
      <c r="M90" s="14"/>
      <c r="N90" s="15"/>
    </row>
    <row r="91" spans="2:14">
      <c r="B91" s="12"/>
      <c r="C91" s="12"/>
      <c r="E91" s="13"/>
      <c r="F91" s="13"/>
      <c r="J91" s="4"/>
      <c r="K91" s="4"/>
      <c r="L91" s="14"/>
      <c r="M91" s="14"/>
      <c r="N91" s="15"/>
    </row>
    <row r="92" spans="2:14">
      <c r="B92" s="12"/>
      <c r="C92" s="12"/>
      <c r="E92" s="13"/>
      <c r="F92" s="13"/>
      <c r="J92" s="4"/>
      <c r="K92" s="4"/>
      <c r="L92" s="14"/>
      <c r="M92" s="14"/>
      <c r="N92" s="15"/>
    </row>
    <row r="93" spans="2:14">
      <c r="B93" s="12"/>
      <c r="C93" s="12"/>
      <c r="E93" s="13"/>
      <c r="F93" s="13"/>
      <c r="J93" s="4"/>
      <c r="K93" s="4"/>
      <c r="L93" s="14"/>
      <c r="M93" s="14"/>
      <c r="N93" s="15"/>
    </row>
    <row r="94" spans="2:14">
      <c r="B94" s="12"/>
      <c r="C94" s="12"/>
      <c r="E94" s="13"/>
      <c r="F94" s="13"/>
      <c r="J94" s="4"/>
      <c r="K94" s="4"/>
      <c r="L94" s="14"/>
      <c r="M94" s="14"/>
      <c r="N94" s="15"/>
    </row>
    <row r="95" spans="2:14">
      <c r="B95" s="12"/>
      <c r="C95" s="12"/>
      <c r="E95" s="13"/>
      <c r="F95" s="13"/>
      <c r="J95" s="4"/>
      <c r="K95" s="4"/>
      <c r="L95" s="14"/>
      <c r="M95" s="14"/>
      <c r="N95" s="15"/>
    </row>
    <row r="96" spans="2:14">
      <c r="B96" s="12"/>
      <c r="C96" s="12"/>
      <c r="E96" s="13"/>
      <c r="F96" s="13"/>
      <c r="J96" s="4"/>
      <c r="K96" s="4"/>
      <c r="L96" s="14"/>
      <c r="M96" s="14"/>
      <c r="N96" s="15"/>
    </row>
    <row r="97" spans="2:14">
      <c r="B97" s="12"/>
      <c r="C97" s="12"/>
      <c r="E97" s="13"/>
      <c r="F97" s="13"/>
      <c r="J97" s="4"/>
      <c r="K97" s="4"/>
      <c r="L97" s="14"/>
      <c r="M97" s="14"/>
      <c r="N97" s="15"/>
    </row>
    <row r="98" spans="2:14">
      <c r="B98" s="12"/>
      <c r="C98" s="12"/>
      <c r="E98" s="13"/>
      <c r="F98" s="13"/>
      <c r="J98" s="4"/>
      <c r="K98" s="4"/>
      <c r="L98" s="14"/>
      <c r="M98" s="14"/>
      <c r="N98" s="15"/>
    </row>
    <row r="99" spans="2:14">
      <c r="B99" s="12"/>
      <c r="C99" s="12"/>
      <c r="E99" s="13"/>
      <c r="F99" s="13"/>
      <c r="J99" s="4"/>
      <c r="K99" s="4"/>
      <c r="L99" s="14"/>
      <c r="M99" s="14"/>
      <c r="N99" s="15"/>
    </row>
    <row r="100" spans="2:14">
      <c r="B100" s="12"/>
      <c r="C100" s="12"/>
      <c r="E100" s="13"/>
      <c r="F100" s="13"/>
      <c r="J100" s="4"/>
      <c r="K100" s="4"/>
      <c r="L100" s="14"/>
      <c r="M100" s="14"/>
      <c r="N100" s="15"/>
    </row>
    <row r="101" spans="2:14">
      <c r="B101" s="12"/>
      <c r="C101" s="12"/>
      <c r="E101" s="13"/>
      <c r="F101" s="13"/>
      <c r="J101" s="4"/>
      <c r="K101" s="4"/>
      <c r="L101" s="14"/>
      <c r="M101" s="14"/>
      <c r="N101" s="15"/>
    </row>
    <row r="102" spans="2:14">
      <c r="B102" s="12"/>
      <c r="C102" s="12"/>
      <c r="E102" s="13"/>
      <c r="F102" s="13"/>
      <c r="J102" s="4"/>
      <c r="K102" s="4"/>
      <c r="L102" s="14"/>
      <c r="M102" s="14"/>
      <c r="N102" s="15"/>
    </row>
    <row r="103" spans="2:14">
      <c r="B103" s="12"/>
      <c r="C103" s="12"/>
      <c r="E103" s="13"/>
      <c r="F103" s="13"/>
      <c r="J103" s="4"/>
      <c r="K103" s="4"/>
      <c r="L103" s="14"/>
      <c r="M103" s="14"/>
      <c r="N103" s="15"/>
    </row>
    <row r="104" spans="2:14">
      <c r="B104" s="12"/>
      <c r="C104" s="12"/>
      <c r="E104" s="13"/>
      <c r="F104" s="13"/>
      <c r="J104" s="4"/>
      <c r="K104" s="4"/>
      <c r="L104" s="14"/>
      <c r="M104" s="14"/>
      <c r="N104" s="15"/>
    </row>
    <row r="105" spans="2:14">
      <c r="B105" s="12"/>
      <c r="C105" s="12"/>
      <c r="E105" s="13"/>
      <c r="F105" s="13"/>
      <c r="J105" s="4"/>
      <c r="K105" s="4"/>
      <c r="L105" s="14"/>
      <c r="M105" s="14"/>
      <c r="N105" s="15"/>
    </row>
    <row r="106" spans="2:14">
      <c r="B106" s="12"/>
      <c r="C106" s="12"/>
      <c r="E106" s="13"/>
      <c r="F106" s="13"/>
      <c r="J106" s="4"/>
      <c r="K106" s="4"/>
      <c r="L106" s="14"/>
      <c r="M106" s="14"/>
      <c r="N106" s="15"/>
    </row>
    <row r="107" spans="2:14">
      <c r="B107" s="12"/>
      <c r="C107" s="12"/>
      <c r="E107" s="13"/>
      <c r="F107" s="13"/>
      <c r="J107" s="4"/>
      <c r="K107" s="4"/>
      <c r="L107" s="14"/>
      <c r="M107" s="14"/>
      <c r="N107" s="15"/>
    </row>
    <row r="108" spans="2:14">
      <c r="B108" s="12"/>
      <c r="C108" s="12"/>
      <c r="E108" s="13"/>
      <c r="F108" s="13"/>
      <c r="J108" s="4"/>
      <c r="K108" s="4"/>
      <c r="L108" s="14"/>
      <c r="M108" s="14"/>
      <c r="N108" s="15"/>
    </row>
    <row r="109" spans="2:14">
      <c r="B109" s="12"/>
      <c r="C109" s="12"/>
      <c r="E109" s="13"/>
      <c r="F109" s="13"/>
      <c r="J109" s="4"/>
      <c r="K109" s="4"/>
      <c r="L109" s="14"/>
      <c r="M109" s="14"/>
      <c r="N109" s="15"/>
    </row>
    <row r="110" spans="2:14">
      <c r="B110" s="12"/>
      <c r="C110" s="12"/>
      <c r="E110" s="13"/>
      <c r="F110" s="13"/>
      <c r="J110" s="4"/>
      <c r="K110" s="4"/>
      <c r="L110" s="14"/>
      <c r="M110" s="14"/>
      <c r="N110" s="15"/>
    </row>
    <row r="111" spans="2:14">
      <c r="B111" s="12"/>
      <c r="C111" s="12"/>
      <c r="E111" s="13"/>
      <c r="F111" s="13"/>
      <c r="J111" s="4"/>
      <c r="K111" s="4"/>
      <c r="L111" s="14"/>
      <c r="M111" s="14"/>
      <c r="N111" s="15"/>
    </row>
    <row r="112" spans="2:14">
      <c r="B112" s="12"/>
      <c r="C112" s="12"/>
      <c r="E112" s="13"/>
      <c r="F112" s="13"/>
      <c r="J112" s="4"/>
      <c r="K112" s="4"/>
      <c r="L112" s="14"/>
      <c r="M112" s="14"/>
      <c r="N112" s="15"/>
    </row>
    <row r="113" spans="2:14">
      <c r="B113" s="12"/>
      <c r="C113" s="12"/>
      <c r="E113" s="13"/>
      <c r="F113" s="13"/>
      <c r="J113" s="4"/>
      <c r="K113" s="4"/>
      <c r="L113" s="14"/>
      <c r="M113" s="14"/>
      <c r="N113" s="15"/>
    </row>
    <row r="114" spans="2:14">
      <c r="B114" s="12"/>
      <c r="C114" s="12"/>
      <c r="E114" s="13"/>
      <c r="F114" s="13"/>
      <c r="J114" s="4"/>
      <c r="K114" s="4"/>
      <c r="L114" s="14"/>
      <c r="M114" s="14"/>
      <c r="N114" s="15"/>
    </row>
    <row r="115" spans="2:14">
      <c r="B115" s="12"/>
      <c r="C115" s="12"/>
      <c r="E115" s="13"/>
      <c r="F115" s="13"/>
      <c r="J115" s="4"/>
      <c r="K115" s="4"/>
      <c r="L115" s="14"/>
      <c r="M115" s="14"/>
      <c r="N115" s="15"/>
    </row>
    <row r="116" spans="2:14">
      <c r="B116" s="12"/>
      <c r="C116" s="12"/>
      <c r="E116" s="13"/>
      <c r="F116" s="13"/>
      <c r="J116" s="4"/>
      <c r="K116" s="4"/>
      <c r="L116" s="14"/>
      <c r="M116" s="14"/>
      <c r="N116" s="15"/>
    </row>
    <row r="117" spans="2:14">
      <c r="B117" s="12"/>
      <c r="C117" s="12"/>
      <c r="E117" s="13"/>
      <c r="F117" s="13"/>
      <c r="J117" s="4"/>
      <c r="K117" s="4"/>
      <c r="L117" s="14"/>
      <c r="M117" s="14"/>
      <c r="N117" s="15"/>
    </row>
    <row r="118" spans="2:14">
      <c r="B118" s="12"/>
      <c r="C118" s="12"/>
      <c r="E118" s="13"/>
      <c r="F118" s="13"/>
      <c r="J118" s="4"/>
      <c r="K118" s="4"/>
      <c r="L118" s="14"/>
      <c r="M118" s="14"/>
      <c r="N118" s="15"/>
    </row>
    <row r="119" spans="2:14">
      <c r="B119" s="12"/>
      <c r="C119" s="12"/>
      <c r="E119" s="13"/>
      <c r="F119" s="13"/>
      <c r="J119" s="4"/>
      <c r="K119" s="4"/>
      <c r="L119" s="14"/>
      <c r="M119" s="14"/>
      <c r="N119" s="15"/>
    </row>
    <row r="120" spans="2:14">
      <c r="B120" s="12"/>
      <c r="C120" s="12"/>
      <c r="E120" s="13"/>
      <c r="F120" s="13"/>
      <c r="J120" s="4"/>
      <c r="K120" s="4"/>
      <c r="L120" s="14"/>
      <c r="M120" s="14"/>
      <c r="N120" s="15"/>
    </row>
    <row r="121" spans="2:14">
      <c r="B121" s="12"/>
      <c r="C121" s="12"/>
      <c r="E121" s="13"/>
      <c r="F121" s="13"/>
      <c r="J121" s="4"/>
      <c r="K121" s="4"/>
      <c r="L121" s="14"/>
      <c r="M121" s="14"/>
      <c r="N121" s="15"/>
    </row>
    <row r="122" spans="2:14">
      <c r="B122" s="12"/>
      <c r="C122" s="12"/>
      <c r="E122" s="13"/>
      <c r="F122" s="13"/>
      <c r="J122" s="4"/>
      <c r="K122" s="4"/>
      <c r="L122" s="14"/>
      <c r="M122" s="14"/>
      <c r="N122" s="15"/>
    </row>
    <row r="123" spans="2:14">
      <c r="B123" s="12"/>
      <c r="C123" s="12"/>
      <c r="E123" s="13"/>
      <c r="F123" s="13"/>
      <c r="J123" s="4"/>
      <c r="K123" s="4"/>
      <c r="L123" s="14"/>
      <c r="M123" s="14"/>
      <c r="N123" s="15"/>
    </row>
    <row r="124" spans="2:14">
      <c r="B124" s="12"/>
      <c r="C124" s="12"/>
      <c r="E124" s="13"/>
      <c r="F124" s="13"/>
      <c r="J124" s="4"/>
      <c r="K124" s="4"/>
      <c r="L124" s="14"/>
      <c r="M124" s="14"/>
      <c r="N124" s="15"/>
    </row>
    <row r="125" spans="2:14">
      <c r="B125" s="12"/>
      <c r="C125" s="12"/>
      <c r="E125" s="13"/>
      <c r="F125" s="13"/>
      <c r="J125" s="4"/>
      <c r="K125" s="4"/>
      <c r="L125" s="14"/>
      <c r="M125" s="14"/>
      <c r="N125" s="15"/>
    </row>
    <row r="126" spans="2:14">
      <c r="B126" s="12"/>
      <c r="C126" s="12"/>
      <c r="E126" s="13"/>
      <c r="F126" s="13"/>
      <c r="J126" s="4"/>
      <c r="K126" s="4"/>
      <c r="L126" s="14"/>
      <c r="M126" s="14"/>
      <c r="N126" s="15"/>
    </row>
    <row r="127" spans="2:14">
      <c r="B127" s="12"/>
      <c r="C127" s="12"/>
      <c r="E127" s="13"/>
      <c r="F127" s="13"/>
      <c r="J127" s="4"/>
      <c r="K127" s="4"/>
      <c r="L127" s="14"/>
      <c r="M127" s="14"/>
      <c r="N127" s="15"/>
    </row>
    <row r="128" spans="2:14">
      <c r="B128" s="12"/>
      <c r="C128" s="12"/>
      <c r="E128" s="13"/>
      <c r="F128" s="13"/>
      <c r="J128" s="4"/>
      <c r="K128" s="4"/>
      <c r="L128" s="14"/>
      <c r="M128" s="14"/>
      <c r="N128" s="15"/>
    </row>
    <row r="129" spans="2:14">
      <c r="B129" s="12"/>
      <c r="C129" s="12"/>
      <c r="E129" s="13"/>
      <c r="F129" s="13"/>
      <c r="J129" s="4"/>
      <c r="K129" s="4"/>
      <c r="L129" s="14"/>
      <c r="M129" s="14"/>
      <c r="N129" s="15"/>
    </row>
    <row r="130" spans="2:14">
      <c r="B130" s="12"/>
      <c r="C130" s="12"/>
      <c r="E130" s="13"/>
      <c r="F130" s="13"/>
      <c r="J130" s="4"/>
      <c r="K130" s="4"/>
      <c r="L130" s="14"/>
      <c r="M130" s="14"/>
      <c r="N130" s="15"/>
    </row>
    <row r="131" spans="2:14">
      <c r="B131" s="12"/>
      <c r="C131" s="12"/>
      <c r="E131" s="13"/>
      <c r="F131" s="13"/>
      <c r="J131" s="4"/>
      <c r="K131" s="4"/>
      <c r="L131" s="14"/>
      <c r="M131" s="14"/>
      <c r="N131" s="15"/>
    </row>
    <row r="132" spans="2:14">
      <c r="B132" s="12"/>
      <c r="C132" s="12"/>
      <c r="E132" s="13"/>
      <c r="F132" s="13"/>
      <c r="J132" s="4"/>
      <c r="K132" s="4"/>
      <c r="L132" s="14"/>
      <c r="M132" s="14"/>
      <c r="N132" s="15"/>
    </row>
    <row r="133" spans="2:14">
      <c r="B133" s="12"/>
      <c r="C133" s="12"/>
      <c r="E133" s="13"/>
      <c r="F133" s="13"/>
      <c r="J133" s="4"/>
      <c r="K133" s="4"/>
      <c r="L133" s="14"/>
      <c r="M133" s="14"/>
      <c r="N133" s="15"/>
    </row>
    <row r="134" spans="2:14">
      <c r="B134" s="12"/>
      <c r="C134" s="12"/>
      <c r="E134" s="13"/>
      <c r="F134" s="13"/>
      <c r="J134" s="4"/>
      <c r="K134" s="4"/>
      <c r="L134" s="14"/>
      <c r="M134" s="14"/>
      <c r="N134" s="15"/>
    </row>
    <row r="135" spans="2:14">
      <c r="B135" s="12"/>
      <c r="C135" s="12"/>
      <c r="E135" s="13"/>
      <c r="F135" s="13"/>
      <c r="J135" s="4"/>
      <c r="K135" s="4"/>
      <c r="L135" s="14"/>
      <c r="M135" s="14"/>
      <c r="N135" s="15"/>
    </row>
    <row r="136" spans="2:14">
      <c r="B136" s="12"/>
      <c r="C136" s="12"/>
      <c r="E136" s="13"/>
      <c r="F136" s="13"/>
      <c r="J136" s="4"/>
      <c r="K136" s="4"/>
      <c r="L136" s="14"/>
      <c r="M136" s="14"/>
      <c r="N136" s="15"/>
    </row>
    <row r="137" spans="2:14">
      <c r="B137" s="12"/>
      <c r="C137" s="12"/>
      <c r="E137" s="13"/>
      <c r="F137" s="13"/>
      <c r="J137" s="4"/>
      <c r="K137" s="4"/>
      <c r="L137" s="14"/>
      <c r="M137" s="14"/>
      <c r="N137" s="15"/>
    </row>
    <row r="138" spans="2:14">
      <c r="B138" s="12"/>
      <c r="C138" s="12"/>
      <c r="E138" s="13"/>
      <c r="F138" s="13"/>
      <c r="J138" s="4"/>
      <c r="K138" s="4"/>
      <c r="L138" s="14"/>
      <c r="M138" s="14"/>
      <c r="N138" s="15"/>
    </row>
    <row r="139" spans="2:14">
      <c r="B139" s="12"/>
      <c r="C139" s="12"/>
      <c r="E139" s="13"/>
      <c r="F139" s="13"/>
      <c r="J139" s="4"/>
      <c r="K139" s="4"/>
      <c r="L139" s="14"/>
      <c r="M139" s="14"/>
      <c r="N139" s="15"/>
    </row>
    <row r="140" spans="2:14">
      <c r="B140" s="12"/>
      <c r="C140" s="12"/>
      <c r="E140" s="13"/>
      <c r="F140" s="13"/>
      <c r="J140" s="4"/>
      <c r="K140" s="4"/>
      <c r="L140" s="14"/>
      <c r="M140" s="14"/>
      <c r="N140" s="15"/>
    </row>
    <row r="141" spans="2:14">
      <c r="B141" s="12"/>
      <c r="C141" s="12"/>
      <c r="E141" s="13"/>
      <c r="F141" s="13"/>
      <c r="J141" s="4"/>
      <c r="K141" s="4"/>
      <c r="L141" s="14"/>
      <c r="M141" s="14"/>
      <c r="N141" s="15"/>
    </row>
    <row r="142" spans="2:14">
      <c r="B142" s="12"/>
      <c r="C142" s="12"/>
      <c r="E142" s="13"/>
      <c r="F142" s="13"/>
      <c r="J142" s="4"/>
      <c r="K142" s="4"/>
      <c r="L142" s="14"/>
      <c r="M142" s="14"/>
      <c r="N142" s="15"/>
    </row>
    <row r="143" spans="2:14">
      <c r="B143" s="12"/>
      <c r="C143" s="12"/>
      <c r="E143" s="13"/>
      <c r="F143" s="13"/>
      <c r="J143" s="4"/>
      <c r="K143" s="4"/>
      <c r="L143" s="14"/>
      <c r="M143" s="14"/>
      <c r="N143" s="15"/>
    </row>
    <row r="144" spans="2:14">
      <c r="B144" s="12"/>
      <c r="C144" s="12"/>
      <c r="E144" s="13"/>
      <c r="F144" s="13"/>
      <c r="J144" s="4"/>
      <c r="K144" s="4"/>
      <c r="L144" s="14"/>
      <c r="M144" s="14"/>
      <c r="N144" s="15"/>
    </row>
    <row r="145" spans="2:14">
      <c r="B145" s="12"/>
      <c r="C145" s="12"/>
      <c r="E145" s="13"/>
      <c r="F145" s="13"/>
      <c r="J145" s="4"/>
      <c r="K145" s="4"/>
      <c r="L145" s="14"/>
      <c r="M145" s="14"/>
      <c r="N145" s="15"/>
    </row>
    <row r="146" spans="2:14">
      <c r="B146" s="12"/>
      <c r="C146" s="12"/>
      <c r="E146" s="13"/>
      <c r="F146" s="13"/>
      <c r="J146" s="4"/>
      <c r="K146" s="4"/>
      <c r="L146" s="14"/>
      <c r="M146" s="14"/>
      <c r="N146" s="15"/>
    </row>
    <row r="147" spans="2:14">
      <c r="B147" s="12"/>
      <c r="C147" s="12"/>
      <c r="E147" s="13"/>
      <c r="F147" s="13"/>
      <c r="J147" s="4"/>
      <c r="K147" s="4"/>
      <c r="L147" s="14"/>
      <c r="M147" s="14"/>
      <c r="N147" s="15"/>
    </row>
    <row r="148" spans="2:14">
      <c r="B148" s="12"/>
      <c r="C148" s="12"/>
      <c r="E148" s="13"/>
      <c r="F148" s="13"/>
      <c r="J148" s="4"/>
      <c r="K148" s="4"/>
      <c r="L148" s="14"/>
      <c r="M148" s="14"/>
      <c r="N148" s="15"/>
    </row>
    <row r="149" spans="2:14">
      <c r="B149" s="12"/>
      <c r="C149" s="12"/>
      <c r="E149" s="13"/>
      <c r="F149" s="13"/>
      <c r="J149" s="4"/>
      <c r="K149" s="4"/>
      <c r="L149" s="14"/>
      <c r="M149" s="14"/>
      <c r="N149" s="15"/>
    </row>
    <row r="150" spans="2:14">
      <c r="B150" s="12"/>
      <c r="C150" s="12"/>
      <c r="E150" s="13"/>
      <c r="F150" s="13"/>
      <c r="J150" s="4"/>
      <c r="K150" s="4"/>
      <c r="L150" s="14"/>
      <c r="M150" s="14"/>
      <c r="N150" s="15"/>
    </row>
    <row r="151" spans="2:14">
      <c r="B151" s="12"/>
      <c r="C151" s="12"/>
      <c r="E151" s="13"/>
      <c r="F151" s="13"/>
      <c r="J151" s="4"/>
      <c r="K151" s="4"/>
      <c r="L151" s="14"/>
      <c r="M151" s="14"/>
      <c r="N151" s="15"/>
    </row>
    <row r="152" spans="2:14">
      <c r="B152" s="12"/>
      <c r="C152" s="12"/>
      <c r="E152" s="13"/>
      <c r="F152" s="13"/>
      <c r="J152" s="4"/>
      <c r="K152" s="4"/>
      <c r="L152" s="14"/>
      <c r="M152" s="14"/>
      <c r="N152" s="15"/>
    </row>
    <row r="153" spans="2:14">
      <c r="B153" s="12"/>
      <c r="C153" s="12"/>
      <c r="E153" s="13"/>
      <c r="F153" s="13"/>
      <c r="J153" s="4"/>
      <c r="K153" s="4"/>
      <c r="L153" s="14"/>
      <c r="M153" s="14"/>
      <c r="N153" s="15"/>
    </row>
    <row r="154" spans="2:14">
      <c r="B154" s="12"/>
      <c r="C154" s="12"/>
      <c r="E154" s="13"/>
      <c r="F154" s="13"/>
      <c r="J154" s="4"/>
      <c r="K154" s="4"/>
      <c r="L154" s="14"/>
      <c r="M154" s="14"/>
      <c r="N154" s="15"/>
    </row>
    <row r="155" spans="2:14">
      <c r="B155" s="12"/>
      <c r="C155" s="12"/>
      <c r="E155" s="13"/>
      <c r="F155" s="13"/>
      <c r="J155" s="4"/>
      <c r="K155" s="4"/>
      <c r="L155" s="14"/>
      <c r="M155" s="14"/>
      <c r="N155" s="15"/>
    </row>
    <row r="156" spans="2:14">
      <c r="B156" s="12"/>
      <c r="C156" s="12"/>
      <c r="E156" s="13"/>
      <c r="F156" s="13"/>
      <c r="J156" s="4"/>
      <c r="K156" s="4"/>
      <c r="L156" s="14"/>
      <c r="M156" s="14"/>
      <c r="N156" s="15"/>
    </row>
    <row r="157" spans="2:14">
      <c r="B157" s="12"/>
      <c r="C157" s="12"/>
      <c r="E157" s="13"/>
      <c r="F157" s="13"/>
      <c r="J157" s="4"/>
      <c r="K157" s="4"/>
      <c r="L157" s="14"/>
      <c r="M157" s="14"/>
      <c r="N157" s="15"/>
    </row>
    <row r="158" spans="2:14">
      <c r="B158" s="12"/>
      <c r="C158" s="12"/>
      <c r="E158" s="13"/>
      <c r="F158" s="13"/>
      <c r="J158" s="4"/>
      <c r="K158" s="4"/>
      <c r="L158" s="14"/>
      <c r="M158" s="14"/>
      <c r="N158" s="15"/>
    </row>
    <row r="159" spans="2:14">
      <c r="B159" s="12"/>
      <c r="C159" s="12"/>
      <c r="E159" s="13"/>
      <c r="F159" s="13"/>
      <c r="J159" s="4"/>
      <c r="K159" s="4"/>
      <c r="L159" s="14"/>
      <c r="M159" s="14"/>
      <c r="N159" s="15"/>
    </row>
    <row r="160" spans="2:14">
      <c r="B160" s="12"/>
      <c r="C160" s="12"/>
      <c r="E160" s="13"/>
      <c r="F160" s="13"/>
      <c r="J160" s="4"/>
      <c r="K160" s="4"/>
      <c r="L160" s="14"/>
      <c r="M160" s="14"/>
      <c r="N160" s="15"/>
    </row>
    <row r="161" spans="2:14">
      <c r="B161" s="12"/>
      <c r="C161" s="12"/>
      <c r="E161" s="13"/>
      <c r="F161" s="13"/>
      <c r="J161" s="4"/>
      <c r="K161" s="4"/>
      <c r="L161" s="14"/>
      <c r="M161" s="14"/>
      <c r="N161" s="15"/>
    </row>
    <row r="162" spans="2:14">
      <c r="B162" s="12"/>
      <c r="C162" s="12"/>
      <c r="E162" s="13"/>
      <c r="F162" s="13"/>
      <c r="J162" s="4"/>
      <c r="K162" s="4"/>
      <c r="L162" s="14"/>
      <c r="M162" s="14"/>
      <c r="N162" s="15"/>
    </row>
    <row r="163" spans="2:14">
      <c r="B163" s="12"/>
      <c r="C163" s="12"/>
      <c r="E163" s="13"/>
      <c r="F163" s="13"/>
      <c r="J163" s="4"/>
      <c r="K163" s="4"/>
      <c r="L163" s="14"/>
      <c r="M163" s="14"/>
      <c r="N163" s="15"/>
    </row>
    <row r="164" spans="2:14">
      <c r="B164" s="12"/>
      <c r="C164" s="12"/>
      <c r="E164" s="13"/>
      <c r="F164" s="13"/>
      <c r="J164" s="4"/>
      <c r="K164" s="4"/>
      <c r="L164" s="14"/>
      <c r="M164" s="14"/>
      <c r="N164" s="15"/>
    </row>
    <row r="165" spans="2:14">
      <c r="B165" s="12"/>
      <c r="C165" s="12"/>
      <c r="E165" s="13"/>
      <c r="F165" s="13"/>
      <c r="J165" s="4"/>
      <c r="K165" s="4"/>
      <c r="L165" s="14"/>
      <c r="M165" s="14"/>
      <c r="N165" s="15"/>
    </row>
    <row r="166" spans="2:14">
      <c r="B166" s="12"/>
      <c r="C166" s="12"/>
      <c r="E166" s="13"/>
      <c r="F166" s="13"/>
      <c r="J166" s="4"/>
      <c r="K166" s="4"/>
      <c r="L166" s="14"/>
      <c r="M166" s="14"/>
      <c r="N166" s="15"/>
    </row>
    <row r="167" spans="2:14">
      <c r="B167" s="12"/>
      <c r="C167" s="12"/>
      <c r="E167" s="13"/>
      <c r="F167" s="13"/>
      <c r="J167" s="4"/>
      <c r="K167" s="4"/>
      <c r="L167" s="14"/>
      <c r="M167" s="14"/>
      <c r="N167" s="15"/>
    </row>
    <row r="168" spans="2:14">
      <c r="B168" s="12"/>
      <c r="C168" s="12"/>
      <c r="E168" s="13"/>
      <c r="F168" s="13"/>
      <c r="J168" s="4"/>
      <c r="K168" s="4"/>
      <c r="L168" s="14"/>
      <c r="M168" s="14"/>
      <c r="N168" s="15"/>
    </row>
    <row r="169" spans="2:14">
      <c r="B169" s="12"/>
      <c r="C169" s="12"/>
      <c r="E169" s="13"/>
      <c r="F169" s="13"/>
      <c r="J169" s="4"/>
      <c r="K169" s="4"/>
      <c r="L169" s="14"/>
      <c r="M169" s="14"/>
      <c r="N169" s="15"/>
    </row>
    <row r="170" spans="2:14">
      <c r="B170" s="12"/>
      <c r="C170" s="12"/>
      <c r="E170" s="13"/>
      <c r="F170" s="13"/>
      <c r="J170" s="4"/>
      <c r="K170" s="4"/>
      <c r="L170" s="14"/>
      <c r="M170" s="14"/>
      <c r="N170" s="15"/>
    </row>
    <row r="171" spans="2:14">
      <c r="B171" s="12"/>
      <c r="C171" s="12"/>
      <c r="E171" s="13"/>
      <c r="F171" s="13"/>
      <c r="J171" s="4"/>
      <c r="K171" s="4"/>
      <c r="L171" s="14"/>
      <c r="M171" s="14"/>
      <c r="N171" s="15"/>
    </row>
    <row r="172" spans="2:14">
      <c r="B172" s="12"/>
      <c r="C172" s="12"/>
      <c r="E172" s="13"/>
      <c r="F172" s="13"/>
      <c r="J172" s="4"/>
      <c r="K172" s="4"/>
      <c r="L172" s="14"/>
      <c r="M172" s="14"/>
      <c r="N172" s="15"/>
    </row>
    <row r="173" spans="2:14">
      <c r="B173" s="12"/>
      <c r="C173" s="12"/>
      <c r="E173" s="13"/>
      <c r="F173" s="13"/>
      <c r="J173" s="4"/>
      <c r="K173" s="4"/>
      <c r="L173" s="14"/>
      <c r="M173" s="14"/>
      <c r="N173" s="15"/>
    </row>
    <row r="174" spans="2:14">
      <c r="B174" s="12"/>
      <c r="C174" s="12"/>
      <c r="E174" s="13"/>
      <c r="F174" s="13"/>
      <c r="J174" s="4"/>
      <c r="K174" s="4"/>
      <c r="L174" s="14"/>
      <c r="M174" s="14"/>
      <c r="N174" s="15"/>
    </row>
    <row r="175" spans="2:14">
      <c r="B175" s="12"/>
      <c r="C175" s="12"/>
      <c r="E175" s="13"/>
      <c r="F175" s="13"/>
      <c r="J175" s="4"/>
      <c r="K175" s="4"/>
      <c r="L175" s="14"/>
      <c r="M175" s="14"/>
      <c r="N175" s="15"/>
    </row>
    <row r="176" spans="2:14">
      <c r="B176" s="12"/>
      <c r="C176" s="12"/>
      <c r="E176" s="13"/>
      <c r="F176" s="13"/>
      <c r="J176" s="4"/>
      <c r="K176" s="4"/>
      <c r="L176" s="14"/>
      <c r="M176" s="14"/>
      <c r="N176" s="15"/>
    </row>
    <row r="177" spans="2:14">
      <c r="B177" s="12"/>
      <c r="C177" s="12"/>
      <c r="E177" s="13"/>
      <c r="F177" s="13"/>
      <c r="J177" s="4"/>
      <c r="K177" s="4"/>
      <c r="L177" s="14"/>
      <c r="M177" s="14"/>
      <c r="N177" s="15"/>
    </row>
    <row r="178" spans="2:14">
      <c r="B178" s="12"/>
      <c r="C178" s="12"/>
      <c r="E178" s="13"/>
      <c r="F178" s="13"/>
      <c r="J178" s="4"/>
      <c r="K178" s="4"/>
      <c r="L178" s="14"/>
      <c r="M178" s="14"/>
      <c r="N178" s="15"/>
    </row>
    <row r="179" spans="2:14">
      <c r="B179" s="12"/>
      <c r="C179" s="12"/>
      <c r="E179" s="13"/>
      <c r="F179" s="13"/>
      <c r="J179" s="4"/>
      <c r="K179" s="4"/>
      <c r="L179" s="14"/>
      <c r="M179" s="14"/>
      <c r="N179" s="15"/>
    </row>
    <row r="180" spans="2:14">
      <c r="B180" s="12"/>
      <c r="C180" s="12"/>
      <c r="E180" s="13"/>
      <c r="F180" s="13"/>
      <c r="J180" s="4"/>
      <c r="K180" s="4"/>
      <c r="L180" s="14"/>
      <c r="M180" s="14"/>
      <c r="N180" s="15"/>
    </row>
    <row r="181" spans="2:14">
      <c r="B181" s="12"/>
      <c r="C181" s="12"/>
      <c r="E181" s="13"/>
      <c r="F181" s="13"/>
      <c r="J181" s="4"/>
      <c r="K181" s="4"/>
      <c r="L181" s="14"/>
      <c r="M181" s="14"/>
      <c r="N181" s="15"/>
    </row>
    <row r="182" spans="2:14">
      <c r="B182" s="12"/>
      <c r="C182" s="12"/>
      <c r="E182" s="13"/>
      <c r="F182" s="13"/>
      <c r="J182" s="4"/>
      <c r="K182" s="4"/>
      <c r="L182" s="14"/>
      <c r="M182" s="14"/>
      <c r="N182" s="15"/>
    </row>
    <row r="183" spans="2:14">
      <c r="B183" s="12"/>
      <c r="C183" s="12"/>
      <c r="E183" s="13"/>
      <c r="F183" s="13"/>
      <c r="J183" s="4"/>
      <c r="K183" s="4"/>
      <c r="L183" s="14"/>
      <c r="M183" s="14"/>
      <c r="N183" s="15"/>
    </row>
    <row r="184" spans="2:14">
      <c r="B184" s="12"/>
      <c r="C184" s="12"/>
      <c r="E184" s="13"/>
      <c r="F184" s="13"/>
      <c r="J184" s="4"/>
      <c r="K184" s="4"/>
      <c r="L184" s="14"/>
      <c r="M184" s="14"/>
      <c r="N184" s="15"/>
    </row>
    <row r="185" spans="2:14">
      <c r="B185" s="12"/>
      <c r="C185" s="12"/>
      <c r="E185" s="13"/>
      <c r="F185" s="13"/>
      <c r="J185" s="4"/>
      <c r="K185" s="4"/>
      <c r="L185" s="14"/>
      <c r="M185" s="14"/>
      <c r="N185" s="15"/>
    </row>
    <row r="186" spans="2:14">
      <c r="B186" s="12"/>
      <c r="C186" s="12"/>
      <c r="E186" s="13"/>
      <c r="F186" s="13"/>
      <c r="J186" s="4"/>
      <c r="K186" s="4"/>
      <c r="L186" s="14"/>
      <c r="M186" s="14"/>
      <c r="N186" s="15"/>
    </row>
    <row r="187" spans="2:14">
      <c r="B187" s="12"/>
      <c r="C187" s="12"/>
      <c r="E187" s="13"/>
      <c r="F187" s="13"/>
      <c r="J187" s="4"/>
      <c r="K187" s="4"/>
      <c r="L187" s="14"/>
      <c r="M187" s="14"/>
      <c r="N187" s="15"/>
    </row>
    <row r="188" spans="2:14">
      <c r="B188" s="12"/>
      <c r="C188" s="12"/>
      <c r="E188" s="13"/>
      <c r="F188" s="13"/>
      <c r="J188" s="4"/>
      <c r="K188" s="4"/>
      <c r="L188" s="14"/>
      <c r="M188" s="14"/>
      <c r="N188" s="15"/>
    </row>
    <row r="189" spans="2:14">
      <c r="B189" s="12"/>
      <c r="C189" s="12"/>
      <c r="E189" s="13"/>
      <c r="F189" s="13"/>
      <c r="J189" s="4"/>
      <c r="K189" s="4"/>
      <c r="L189" s="14"/>
      <c r="M189" s="14"/>
      <c r="N189" s="15"/>
    </row>
    <row r="190" spans="2:14">
      <c r="B190" s="12"/>
      <c r="C190" s="12"/>
      <c r="E190" s="13"/>
      <c r="F190" s="13"/>
      <c r="J190" s="4"/>
      <c r="K190" s="4"/>
      <c r="L190" s="14"/>
      <c r="M190" s="14"/>
      <c r="N190" s="15"/>
    </row>
    <row r="191" spans="2:14">
      <c r="B191" s="12"/>
      <c r="C191" s="12"/>
      <c r="E191" s="13"/>
      <c r="F191" s="13"/>
      <c r="J191" s="4"/>
      <c r="K191" s="4"/>
      <c r="L191" s="14"/>
      <c r="M191" s="14"/>
      <c r="N191" s="15"/>
    </row>
    <row r="192" spans="2:14">
      <c r="B192" s="12"/>
      <c r="C192" s="12"/>
      <c r="E192" s="13"/>
      <c r="F192" s="13"/>
      <c r="J192" s="4"/>
      <c r="K192" s="4"/>
      <c r="L192" s="14"/>
      <c r="M192" s="14"/>
      <c r="N192" s="15"/>
    </row>
    <row r="193" spans="2:14">
      <c r="B193" s="12"/>
      <c r="C193" s="12"/>
      <c r="E193" s="13"/>
      <c r="F193" s="13"/>
      <c r="J193" s="4"/>
      <c r="K193" s="4"/>
      <c r="L193" s="14"/>
      <c r="M193" s="14"/>
      <c r="N193" s="15"/>
    </row>
    <row r="194" spans="2:14">
      <c r="B194" s="12"/>
      <c r="C194" s="12"/>
      <c r="E194" s="13"/>
      <c r="F194" s="13"/>
      <c r="J194" s="4"/>
      <c r="K194" s="4"/>
      <c r="L194" s="14"/>
      <c r="M194" s="14"/>
      <c r="N194" s="15"/>
    </row>
    <row r="195" spans="2:14">
      <c r="B195" s="12"/>
      <c r="C195" s="12"/>
      <c r="E195" s="13"/>
      <c r="F195" s="13"/>
      <c r="J195" s="4"/>
      <c r="K195" s="4"/>
      <c r="L195" s="14"/>
      <c r="M195" s="14"/>
      <c r="N195" s="15"/>
    </row>
    <row r="196" spans="2:14">
      <c r="B196" s="12"/>
      <c r="C196" s="12"/>
      <c r="E196" s="13"/>
      <c r="F196" s="13"/>
      <c r="J196" s="4"/>
      <c r="K196" s="4"/>
      <c r="L196" s="14"/>
      <c r="M196" s="14"/>
      <c r="N196" s="15"/>
    </row>
    <row r="197" spans="2:14">
      <c r="B197" s="12"/>
      <c r="C197" s="12"/>
      <c r="E197" s="13"/>
      <c r="F197" s="13"/>
      <c r="J197" s="4"/>
      <c r="K197" s="4"/>
      <c r="L197" s="14"/>
      <c r="M197" s="14"/>
      <c r="N197" s="15"/>
    </row>
    <row r="198" spans="2:14">
      <c r="B198" s="12"/>
      <c r="C198" s="12"/>
      <c r="E198" s="13"/>
      <c r="F198" s="13"/>
      <c r="J198" s="4"/>
      <c r="K198" s="4"/>
      <c r="L198" s="14"/>
      <c r="M198" s="14"/>
      <c r="N198" s="15"/>
    </row>
    <row r="199" spans="2:14">
      <c r="L199" s="18"/>
      <c r="M199" s="18"/>
    </row>
    <row r="200" spans="2:14">
      <c r="L200" s="18"/>
      <c r="M200" s="18"/>
    </row>
    <row r="201" spans="2:14">
      <c r="L201" s="18"/>
      <c r="M201" s="18"/>
    </row>
    <row r="202" spans="2:14">
      <c r="L202" s="18"/>
      <c r="M202" s="18"/>
    </row>
    <row r="203" spans="2:14">
      <c r="L203" s="18"/>
      <c r="M203" s="18"/>
    </row>
    <row r="204" spans="2:14">
      <c r="L204" s="18"/>
      <c r="M204" s="18"/>
    </row>
    <row r="205" spans="2:14">
      <c r="L205" s="18"/>
      <c r="M205" s="18"/>
    </row>
    <row r="206" spans="2:14">
      <c r="L206" s="18"/>
      <c r="M206" s="18"/>
    </row>
    <row r="207" spans="2:14">
      <c r="L207" s="18"/>
      <c r="M207" s="18"/>
    </row>
    <row r="208" spans="2:14">
      <c r="L208" s="18"/>
      <c r="M208" s="18"/>
    </row>
    <row r="209" spans="12:13">
      <c r="L209" s="18"/>
      <c r="M209" s="18"/>
    </row>
    <row r="210" spans="12:13">
      <c r="L210" s="18"/>
      <c r="M210" s="18"/>
    </row>
    <row r="211" spans="12:13">
      <c r="L211" s="18"/>
      <c r="M211" s="18"/>
    </row>
    <row r="212" spans="12:13">
      <c r="L212" s="18"/>
      <c r="M212" s="18"/>
    </row>
    <row r="213" spans="12:13">
      <c r="L213" s="18"/>
      <c r="M213" s="18"/>
    </row>
    <row r="214" spans="12:13">
      <c r="L214" s="18"/>
      <c r="M214" s="18"/>
    </row>
    <row r="215" spans="12:13">
      <c r="L215" s="18"/>
      <c r="M215" s="18"/>
    </row>
    <row r="216" spans="12:13">
      <c r="L216" s="18"/>
      <c r="M216" s="18"/>
    </row>
    <row r="217" spans="12:13">
      <c r="L217" s="18"/>
      <c r="M217" s="18"/>
    </row>
    <row r="218" spans="12:13">
      <c r="L218" s="18"/>
      <c r="M218" s="18"/>
    </row>
    <row r="219" spans="12:13">
      <c r="L219" s="18"/>
      <c r="M219" s="18"/>
    </row>
    <row r="220" spans="12:13">
      <c r="L220" s="18"/>
      <c r="M220" s="18"/>
    </row>
    <row r="221" spans="12:13">
      <c r="L221" s="18"/>
      <c r="M221" s="18"/>
    </row>
    <row r="222" spans="12:13">
      <c r="L222" s="18"/>
      <c r="M222" s="18"/>
    </row>
    <row r="223" spans="12:13">
      <c r="L223" s="18"/>
      <c r="M223" s="18"/>
    </row>
    <row r="224" spans="12:13">
      <c r="L224" s="18"/>
      <c r="M224" s="18"/>
    </row>
    <row r="225" spans="12:13">
      <c r="L225" s="18"/>
      <c r="M225" s="18"/>
    </row>
    <row r="226" spans="12:13">
      <c r="L226" s="18"/>
      <c r="M226" s="18"/>
    </row>
    <row r="227" spans="12:13">
      <c r="L227" s="18"/>
      <c r="M227" s="18"/>
    </row>
    <row r="228" spans="12:13">
      <c r="L228" s="18"/>
      <c r="M228" s="18"/>
    </row>
    <row r="229" spans="12:13">
      <c r="L229" s="18"/>
      <c r="M229" s="18"/>
    </row>
    <row r="230" spans="12:13">
      <c r="L230" s="18"/>
      <c r="M230" s="18"/>
    </row>
    <row r="231" spans="12:13">
      <c r="L231" s="18"/>
      <c r="M231" s="18"/>
    </row>
    <row r="232" spans="12:13">
      <c r="L232" s="18"/>
      <c r="M232" s="18"/>
    </row>
    <row r="233" spans="12:13">
      <c r="L233" s="18"/>
      <c r="M233" s="18"/>
    </row>
    <row r="234" spans="12:13">
      <c r="L234" s="18"/>
      <c r="M234" s="18"/>
    </row>
    <row r="235" spans="12:13">
      <c r="L235" s="18"/>
      <c r="M235" s="18"/>
    </row>
    <row r="236" spans="12:13">
      <c r="L236" s="18"/>
      <c r="M236" s="18"/>
    </row>
    <row r="237" spans="12:13">
      <c r="L237" s="18"/>
      <c r="M237" s="18"/>
    </row>
    <row r="238" spans="12:13">
      <c r="L238" s="18"/>
      <c r="M238" s="18"/>
    </row>
    <row r="239" spans="12:13">
      <c r="L239" s="18"/>
      <c r="M239" s="18"/>
    </row>
    <row r="240" spans="12:13">
      <c r="L240" s="18"/>
      <c r="M240" s="18"/>
    </row>
    <row r="241" spans="12:13">
      <c r="L241" s="18"/>
      <c r="M241" s="18"/>
    </row>
    <row r="242" spans="12:13">
      <c r="L242" s="18"/>
      <c r="M242" s="18"/>
    </row>
    <row r="243" spans="12:13">
      <c r="L243" s="18"/>
      <c r="M243" s="18"/>
    </row>
    <row r="244" spans="12:13">
      <c r="L244" s="18"/>
      <c r="M244" s="18"/>
    </row>
    <row r="245" spans="12:13">
      <c r="L245" s="18"/>
      <c r="M245" s="18"/>
    </row>
    <row r="246" spans="12:13">
      <c r="L246" s="18"/>
      <c r="M246" s="18"/>
    </row>
    <row r="247" spans="12:13">
      <c r="L247" s="18"/>
      <c r="M247" s="18"/>
    </row>
    <row r="248" spans="12:13">
      <c r="L248" s="18"/>
      <c r="M248" s="18"/>
    </row>
    <row r="249" spans="12:13">
      <c r="L249" s="18"/>
      <c r="M249" s="18"/>
    </row>
    <row r="250" spans="12:13">
      <c r="L250" s="18"/>
      <c r="M250" s="18"/>
    </row>
    <row r="251" spans="12:13">
      <c r="L251" s="18"/>
      <c r="M251" s="18"/>
    </row>
    <row r="252" spans="12:13">
      <c r="L252" s="18"/>
      <c r="M252" s="18"/>
    </row>
    <row r="253" spans="12:13">
      <c r="L253" s="18"/>
      <c r="M253" s="18"/>
    </row>
    <row r="254" spans="12:13">
      <c r="L254" s="18"/>
      <c r="M254" s="18"/>
    </row>
    <row r="255" spans="12:13">
      <c r="L255" s="18"/>
      <c r="M255" s="18"/>
    </row>
    <row r="256" spans="12:13">
      <c r="L256" s="18"/>
      <c r="M256" s="18"/>
    </row>
    <row r="257" spans="12:13">
      <c r="L257" s="18"/>
      <c r="M257" s="18"/>
    </row>
    <row r="258" spans="12:13">
      <c r="L258" s="18"/>
      <c r="M258" s="18"/>
    </row>
    <row r="259" spans="12:13">
      <c r="L259" s="18"/>
      <c r="M259" s="18"/>
    </row>
    <row r="260" spans="12:13">
      <c r="L260" s="18"/>
      <c r="M260" s="18"/>
    </row>
    <row r="261" spans="12:13">
      <c r="L261" s="18"/>
      <c r="M261" s="18"/>
    </row>
    <row r="262" spans="12:13">
      <c r="L262" s="18"/>
      <c r="M262" s="18"/>
    </row>
    <row r="263" spans="12:13">
      <c r="L263" s="18"/>
      <c r="M263" s="18"/>
    </row>
    <row r="264" spans="12:13">
      <c r="L264" s="18"/>
      <c r="M264" s="18"/>
    </row>
    <row r="265" spans="12:13">
      <c r="L265" s="18"/>
      <c r="M265" s="18"/>
    </row>
    <row r="266" spans="12:13">
      <c r="L266" s="18"/>
      <c r="M266" s="18"/>
    </row>
    <row r="267" spans="12:13">
      <c r="L267" s="18"/>
      <c r="M267" s="18"/>
    </row>
    <row r="268" spans="12:13">
      <c r="L268" s="18"/>
      <c r="M268" s="18"/>
    </row>
    <row r="269" spans="12:13">
      <c r="L269" s="18"/>
      <c r="M269" s="18"/>
    </row>
    <row r="270" spans="12:13">
      <c r="L270" s="18"/>
      <c r="M270" s="18"/>
    </row>
    <row r="271" spans="12:13">
      <c r="L271" s="18"/>
      <c r="M271" s="18"/>
    </row>
    <row r="272" spans="12:13">
      <c r="L272" s="18"/>
      <c r="M272" s="18"/>
    </row>
    <row r="273" spans="12:13">
      <c r="L273" s="18"/>
      <c r="M273" s="18"/>
    </row>
    <row r="274" spans="12:13">
      <c r="L274" s="18"/>
      <c r="M274" s="18"/>
    </row>
    <row r="275" spans="12:13">
      <c r="L275" s="18"/>
      <c r="M275" s="18"/>
    </row>
    <row r="276" spans="12:13">
      <c r="L276" s="18"/>
      <c r="M276" s="18"/>
    </row>
    <row r="277" spans="12:13">
      <c r="L277" s="18"/>
      <c r="M277" s="18"/>
    </row>
    <row r="278" spans="12:13">
      <c r="L278" s="18"/>
      <c r="M278" s="18"/>
    </row>
    <row r="279" spans="12:13">
      <c r="L279" s="18"/>
      <c r="M279" s="18"/>
    </row>
    <row r="280" spans="12:13">
      <c r="L280" s="18"/>
      <c r="M280" s="18"/>
    </row>
    <row r="281" spans="12:13">
      <c r="L281" s="18"/>
      <c r="M281" s="18"/>
    </row>
    <row r="282" spans="12:13">
      <c r="L282" s="18"/>
      <c r="M282" s="18"/>
    </row>
    <row r="283" spans="12:13">
      <c r="L283" s="18"/>
      <c r="M283" s="18"/>
    </row>
    <row r="284" spans="12:13">
      <c r="L284" s="18"/>
      <c r="M284" s="18"/>
    </row>
    <row r="285" spans="12:13">
      <c r="L285" s="18"/>
      <c r="M285" s="18"/>
    </row>
    <row r="286" spans="12:13">
      <c r="L286" s="18"/>
      <c r="M286" s="18"/>
    </row>
    <row r="287" spans="12:13">
      <c r="L287" s="18"/>
      <c r="M287" s="18"/>
    </row>
    <row r="288" spans="12:13">
      <c r="L288" s="18"/>
      <c r="M288" s="18"/>
    </row>
    <row r="289" spans="12:13">
      <c r="L289" s="18"/>
      <c r="M289" s="18"/>
    </row>
    <row r="290" spans="12:13">
      <c r="L290" s="18"/>
      <c r="M290" s="18"/>
    </row>
    <row r="291" spans="12:13">
      <c r="L291" s="18"/>
      <c r="M291" s="18"/>
    </row>
    <row r="292" spans="12:13">
      <c r="L292" s="18"/>
      <c r="M292" s="18"/>
    </row>
    <row r="293" spans="12:13">
      <c r="L293" s="18"/>
      <c r="M293" s="18"/>
    </row>
    <row r="294" spans="12:13">
      <c r="L294" s="18"/>
      <c r="M294" s="18"/>
    </row>
    <row r="295" spans="12:13">
      <c r="L295" s="18"/>
      <c r="M295" s="18"/>
    </row>
    <row r="296" spans="12:13">
      <c r="L296" s="18"/>
      <c r="M296" s="18"/>
    </row>
    <row r="297" spans="12:13">
      <c r="L297" s="18"/>
      <c r="M297" s="18"/>
    </row>
    <row r="298" spans="12:13">
      <c r="L298" s="18"/>
      <c r="M298" s="18"/>
    </row>
    <row r="299" spans="12:13">
      <c r="L299" s="18"/>
      <c r="M299" s="18"/>
    </row>
    <row r="300" spans="12:13">
      <c r="L300" s="18"/>
      <c r="M300" s="18"/>
    </row>
    <row r="301" spans="12:13">
      <c r="L301" s="18"/>
      <c r="M301" s="18"/>
    </row>
    <row r="302" spans="12:13">
      <c r="L302" s="18"/>
      <c r="M302" s="18"/>
    </row>
    <row r="303" spans="12:13">
      <c r="L303" s="18"/>
      <c r="M303" s="18"/>
    </row>
    <row r="304" spans="12:13">
      <c r="L304" s="18"/>
      <c r="M304" s="18"/>
    </row>
    <row r="305" spans="12:13">
      <c r="L305" s="18"/>
      <c r="M305" s="18"/>
    </row>
    <row r="306" spans="12:13">
      <c r="L306" s="18"/>
      <c r="M306" s="18"/>
    </row>
    <row r="307" spans="12:13">
      <c r="L307" s="18"/>
      <c r="M307" s="18"/>
    </row>
    <row r="308" spans="12:13">
      <c r="L308" s="18"/>
      <c r="M308" s="18"/>
    </row>
    <row r="309" spans="12:13">
      <c r="L309" s="18"/>
      <c r="M309" s="18"/>
    </row>
    <row r="310" spans="12:13">
      <c r="L310" s="18"/>
      <c r="M310" s="18"/>
    </row>
    <row r="311" spans="12:13">
      <c r="L311" s="18"/>
      <c r="M311" s="18"/>
    </row>
    <row r="312" spans="12:13">
      <c r="L312" s="18"/>
      <c r="M312" s="18"/>
    </row>
    <row r="313" spans="12:13">
      <c r="L313" s="18"/>
      <c r="M313" s="18"/>
    </row>
    <row r="314" spans="12:13">
      <c r="L314" s="18"/>
      <c r="M314" s="18"/>
    </row>
    <row r="315" spans="12:13">
      <c r="L315" s="18"/>
      <c r="M315" s="18"/>
    </row>
    <row r="316" spans="12:13">
      <c r="L316" s="18"/>
      <c r="M316" s="18"/>
    </row>
    <row r="317" spans="12:13">
      <c r="L317" s="18"/>
      <c r="M317" s="18"/>
    </row>
    <row r="318" spans="12:13">
      <c r="L318" s="18"/>
      <c r="M318" s="18"/>
    </row>
    <row r="319" spans="12:13">
      <c r="L319" s="18"/>
      <c r="M319" s="18"/>
    </row>
    <row r="320" spans="12:13">
      <c r="L320" s="18"/>
      <c r="M320" s="18"/>
    </row>
    <row r="321" spans="12:13">
      <c r="L321" s="18"/>
      <c r="M321" s="18"/>
    </row>
    <row r="322" spans="12:13">
      <c r="L322" s="18"/>
      <c r="M322" s="18"/>
    </row>
    <row r="323" spans="12:13">
      <c r="L323" s="18"/>
      <c r="M323" s="18"/>
    </row>
    <row r="324" spans="12:13">
      <c r="L324" s="18"/>
      <c r="M324" s="18"/>
    </row>
    <row r="325" spans="12:13">
      <c r="L325" s="18"/>
      <c r="M325" s="18"/>
    </row>
    <row r="326" spans="12:13">
      <c r="L326" s="18"/>
      <c r="M326" s="18"/>
    </row>
    <row r="327" spans="12:13">
      <c r="L327" s="18"/>
      <c r="M327" s="18"/>
    </row>
    <row r="328" spans="12:13">
      <c r="L328" s="18"/>
      <c r="M328" s="18"/>
    </row>
    <row r="329" spans="12:13">
      <c r="L329" s="18"/>
      <c r="M329" s="18"/>
    </row>
    <row r="330" spans="12:13">
      <c r="L330" s="18"/>
      <c r="M330" s="18"/>
    </row>
    <row r="331" spans="12:13">
      <c r="L331" s="18"/>
      <c r="M331" s="18"/>
    </row>
    <row r="332" spans="12:13">
      <c r="L332" s="18"/>
      <c r="M332" s="18"/>
    </row>
    <row r="333" spans="12:13">
      <c r="L333" s="18"/>
      <c r="M333" s="18"/>
    </row>
    <row r="334" spans="12:13">
      <c r="L334" s="18"/>
      <c r="M334" s="18"/>
    </row>
    <row r="335" spans="12:13">
      <c r="L335" s="18"/>
      <c r="M335" s="18"/>
    </row>
    <row r="336" spans="12:13">
      <c r="L336" s="18"/>
      <c r="M336" s="18"/>
    </row>
    <row r="337" spans="12:13">
      <c r="L337" s="18"/>
      <c r="M337" s="18"/>
    </row>
    <row r="338" spans="12:13">
      <c r="L338" s="18"/>
      <c r="M338" s="18"/>
    </row>
    <row r="339" spans="12:13">
      <c r="L339" s="18"/>
      <c r="M339" s="18"/>
    </row>
    <row r="340" spans="12:13">
      <c r="L340" s="18"/>
      <c r="M340" s="18"/>
    </row>
    <row r="341" spans="12:13">
      <c r="L341" s="18"/>
      <c r="M341" s="18"/>
    </row>
    <row r="342" spans="12:13">
      <c r="L342" s="18"/>
      <c r="M342" s="18"/>
    </row>
    <row r="343" spans="12:13">
      <c r="L343" s="18"/>
      <c r="M343" s="18"/>
    </row>
    <row r="344" spans="12:13">
      <c r="L344" s="18"/>
      <c r="M344" s="18"/>
    </row>
    <row r="345" spans="12:13">
      <c r="L345" s="18"/>
      <c r="M345" s="18"/>
    </row>
    <row r="346" spans="12:13">
      <c r="L346" s="18"/>
      <c r="M346" s="18"/>
    </row>
    <row r="347" spans="12:13">
      <c r="L347" s="18"/>
      <c r="M347" s="18"/>
    </row>
    <row r="348" spans="12:13">
      <c r="L348" s="18"/>
      <c r="M348" s="18"/>
    </row>
    <row r="349" spans="12:13">
      <c r="L349" s="18"/>
      <c r="M349" s="18"/>
    </row>
    <row r="350" spans="12:13">
      <c r="L350" s="18"/>
      <c r="M350" s="18"/>
    </row>
    <row r="351" spans="12:13">
      <c r="L351" s="18"/>
      <c r="M351" s="18"/>
    </row>
    <row r="352" spans="12:13">
      <c r="L352" s="18"/>
      <c r="M352" s="18"/>
    </row>
    <row r="353" spans="12:13">
      <c r="L353" s="18"/>
      <c r="M353" s="18"/>
    </row>
    <row r="354" spans="12:13">
      <c r="L354" s="18"/>
      <c r="M354" s="18"/>
    </row>
    <row r="355" spans="12:13">
      <c r="L355" s="18"/>
      <c r="M355" s="18"/>
    </row>
    <row r="356" spans="12:13">
      <c r="L356" s="18"/>
      <c r="M356" s="18"/>
    </row>
    <row r="357" spans="12:13">
      <c r="L357" s="18"/>
      <c r="M357" s="18"/>
    </row>
    <row r="358" spans="12:13">
      <c r="L358" s="18"/>
      <c r="M358" s="18"/>
    </row>
    <row r="359" spans="12:13">
      <c r="L359" s="18"/>
      <c r="M359" s="18"/>
    </row>
    <row r="360" spans="12:13">
      <c r="L360" s="18"/>
      <c r="M360" s="18"/>
    </row>
    <row r="361" spans="12:13">
      <c r="L361" s="18"/>
      <c r="M361" s="18"/>
    </row>
    <row r="362" spans="12:13">
      <c r="L362" s="18"/>
      <c r="M362" s="18"/>
    </row>
    <row r="363" spans="12:13">
      <c r="L363" s="18"/>
      <c r="M363" s="18"/>
    </row>
    <row r="364" spans="12:13">
      <c r="L364" s="18"/>
      <c r="M364" s="18"/>
    </row>
    <row r="365" spans="12:13">
      <c r="L365" s="18"/>
      <c r="M365" s="18"/>
    </row>
    <row r="366" spans="12:13">
      <c r="L366" s="18"/>
      <c r="M366" s="18"/>
    </row>
    <row r="367" spans="12:13">
      <c r="L367" s="18"/>
      <c r="M367" s="18"/>
    </row>
    <row r="368" spans="12:13">
      <c r="L368" s="18"/>
      <c r="M368" s="18"/>
    </row>
    <row r="369" spans="12:13">
      <c r="L369" s="18"/>
      <c r="M369" s="18"/>
    </row>
    <row r="370" spans="12:13">
      <c r="L370" s="18"/>
      <c r="M370" s="18"/>
    </row>
    <row r="371" spans="12:13">
      <c r="L371" s="18"/>
      <c r="M371" s="18"/>
    </row>
    <row r="372" spans="12:13">
      <c r="L372" s="18"/>
      <c r="M372" s="18"/>
    </row>
    <row r="373" spans="12:13">
      <c r="L373" s="18"/>
      <c r="M373" s="18"/>
    </row>
    <row r="374" spans="12:13">
      <c r="L374" s="18"/>
      <c r="M374" s="18"/>
    </row>
    <row r="375" spans="12:13">
      <c r="L375" s="18"/>
      <c r="M375" s="18"/>
    </row>
    <row r="376" spans="12:13">
      <c r="L376" s="18"/>
      <c r="M376" s="18"/>
    </row>
    <row r="377" spans="12:13">
      <c r="L377" s="18"/>
      <c r="M377" s="18"/>
    </row>
    <row r="378" spans="12:13">
      <c r="L378" s="18"/>
      <c r="M378" s="18"/>
    </row>
    <row r="379" spans="12:13">
      <c r="L379" s="18"/>
      <c r="M379" s="18"/>
    </row>
    <row r="380" spans="12:13">
      <c r="L380" s="18"/>
      <c r="M380" s="18"/>
    </row>
    <row r="381" spans="12:13">
      <c r="L381" s="18"/>
      <c r="M381" s="18"/>
    </row>
    <row r="382" spans="12:13">
      <c r="L382" s="18"/>
      <c r="M382" s="18"/>
    </row>
    <row r="383" spans="12:13">
      <c r="L383" s="18"/>
      <c r="M383" s="18"/>
    </row>
    <row r="384" spans="12:13">
      <c r="L384" s="18"/>
      <c r="M384" s="18"/>
    </row>
    <row r="385" spans="12:13">
      <c r="L385" s="18"/>
      <c r="M385" s="18"/>
    </row>
    <row r="386" spans="12:13">
      <c r="L386" s="18"/>
      <c r="M386" s="18"/>
    </row>
    <row r="387" spans="12:13">
      <c r="L387" s="18"/>
      <c r="M387" s="18"/>
    </row>
    <row r="388" spans="12:13">
      <c r="L388" s="18"/>
      <c r="M388" s="18"/>
    </row>
    <row r="389" spans="12:13">
      <c r="L389" s="18"/>
      <c r="M389" s="18"/>
    </row>
    <row r="390" spans="12:13">
      <c r="L390" s="18"/>
      <c r="M390" s="18"/>
    </row>
    <row r="391" spans="12:13">
      <c r="L391" s="18"/>
      <c r="M391" s="18"/>
    </row>
    <row r="392" spans="12:13">
      <c r="L392" s="18"/>
      <c r="M392" s="18"/>
    </row>
    <row r="393" spans="12:13">
      <c r="L393" s="18"/>
      <c r="M393" s="18"/>
    </row>
    <row r="394" spans="12:13">
      <c r="L394" s="18"/>
      <c r="M394" s="18"/>
    </row>
    <row r="395" spans="12:13">
      <c r="L395" s="18"/>
      <c r="M395" s="18"/>
    </row>
    <row r="396" spans="12:13">
      <c r="L396" s="18"/>
      <c r="M396" s="18"/>
    </row>
    <row r="397" spans="12:13">
      <c r="L397" s="18"/>
      <c r="M397" s="18"/>
    </row>
    <row r="398" spans="12:13">
      <c r="L398" s="18"/>
      <c r="M398" s="18"/>
    </row>
  </sheetData>
  <autoFilter ref="B2:P2" xr:uid="{00000000-0001-0000-0000-000000000000}">
    <sortState xmlns:xlrd2="http://schemas.microsoft.com/office/spreadsheetml/2017/richdata2" ref="B3:P75">
      <sortCondition ref="O2"/>
    </sortState>
  </autoFilter>
  <mergeCells count="4">
    <mergeCell ref="D1:E1"/>
    <mergeCell ref="L1:N1"/>
    <mergeCell ref="G1:I1"/>
    <mergeCell ref="J1:K1"/>
  </mergeCells>
  <phoneticPr fontId="2" type="noConversion"/>
  <pageMargins left="0.25" right="0.25" top="0.75" bottom="0.75" header="0.3" footer="0.3"/>
  <pageSetup scale="51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Opportunities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2023-03-22T11:45:54Z</cp:lastPrinted>
  <dcterms:created xsi:type="dcterms:W3CDTF">2022-12-06T06:37:33Z</dcterms:created>
  <dcterms:modified xsi:type="dcterms:W3CDTF">2025-03-15T15:40:05Z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