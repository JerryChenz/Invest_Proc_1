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jerry\PycharmProjects\Invest_Proc_v4\financial_models\"/>
    </mc:Choice>
  </mc:AlternateContent>
  <xr:revisionPtr revIDLastSave="0" documentId="13_ncr:1_{7E8BD5C3-3265-4209-BB76-B4DC55CD0328}" xr6:coauthVersionLast="47" xr6:coauthVersionMax="47" xr10:uidLastSave="{00000000-0000-0000-0000-000000000000}"/>
  <bookViews>
    <workbookView xWindow="-98" yWindow="-98" windowWidth="17115" windowHeight="10755" activeTab="4" xr2:uid="{00000000-000D-0000-FFFF-FFFF00000000}"/>
  </bookViews>
  <sheets>
    <sheet name="Portfolio_Mgmt" sheetId="5" r:id="rId1"/>
    <sheet name="Opportunities" sheetId="1" r:id="rId2"/>
    <sheet name="Aux&gt;" sheetId="8" r:id="rId3"/>
    <sheet name="Market_Yield" sheetId="2" r:id="rId4"/>
    <sheet name="Holdings" sheetId="7" r:id="rId5"/>
    <sheet name="Comp_Group" sheetId="6" r:id="rId6"/>
  </sheets>
  <definedNames>
    <definedName name="_xlnm._FilterDatabase" localSheetId="1" hidden="1">Opportunities!$B$2:$W$2</definedName>
    <definedName name="AuraStyleDefaultsReset" hidden="1">#N/A</definedName>
    <definedName name="benchmark">Portfolio_Mgmt!$C$10</definedName>
    <definedName name="Cash_Yield">Portfolio_Mgmt!$C$11</definedName>
    <definedName name="WW3f877d8e32714ec8a8180854ed7f8276_634328481945590045" hidden="1">#REF!</definedName>
    <definedName name="WW3f877d8e32714ec8a8180854ed7f8276_634328482352282765" hidden="1">#REF!</definedName>
  </definedNames>
  <calcPr calcId="191029"/>
</workbook>
</file>

<file path=xl/calcChain.xml><?xml version="1.0" encoding="utf-8"?>
<calcChain xmlns="http://schemas.openxmlformats.org/spreadsheetml/2006/main">
  <c r="E14" i="7" l="1"/>
  <c r="F14" i="7" s="1"/>
  <c r="G14" i="7" s="1"/>
  <c r="H14" i="7"/>
  <c r="C14" i="7"/>
  <c r="D14" i="7"/>
  <c r="E13" i="7"/>
  <c r="H3" i="1"/>
  <c r="H4" i="1"/>
  <c r="H5" i="1"/>
  <c r="H6" i="1"/>
  <c r="H7" i="1"/>
  <c r="H8" i="1"/>
  <c r="H9" i="1"/>
  <c r="H10" i="1"/>
  <c r="H11" i="1"/>
  <c r="H12" i="1"/>
  <c r="H13" i="1"/>
  <c r="H14" i="1"/>
  <c r="H15" i="1"/>
  <c r="H16" i="1"/>
  <c r="H17" i="1"/>
  <c r="H18" i="1"/>
  <c r="G3" i="1"/>
  <c r="G4" i="1"/>
  <c r="G5" i="1"/>
  <c r="G6" i="1"/>
  <c r="G7" i="1"/>
  <c r="G8" i="1"/>
  <c r="G9" i="1"/>
  <c r="G10" i="1"/>
  <c r="G11" i="1"/>
  <c r="G12" i="1"/>
  <c r="G13" i="1"/>
  <c r="G14" i="1"/>
  <c r="G15" i="1"/>
  <c r="G16" i="1"/>
  <c r="G17" i="1"/>
  <c r="G18" i="1"/>
  <c r="D5" i="7"/>
  <c r="D6" i="7"/>
  <c r="D7" i="7"/>
  <c r="D4" i="7"/>
  <c r="D13" i="7"/>
  <c r="D12" i="7"/>
  <c r="H13" i="7"/>
  <c r="H12" i="7"/>
  <c r="H5" i="7"/>
  <c r="H6" i="7"/>
  <c r="H7" i="7"/>
  <c r="H4" i="7"/>
  <c r="C13" i="7"/>
  <c r="C12" i="7"/>
  <c r="C5" i="7"/>
  <c r="C6" i="7"/>
  <c r="C7" i="7"/>
  <c r="C4" i="7"/>
  <c r="E5" i="7"/>
  <c r="E12" i="7"/>
  <c r="F16" i="7" l="1"/>
  <c r="F13" i="7"/>
  <c r="F12" i="7"/>
  <c r="H9" i="7"/>
  <c r="F7" i="7"/>
  <c r="F6" i="7" l="1"/>
  <c r="F5" i="7"/>
  <c r="F4" i="7"/>
  <c r="C31" i="5"/>
  <c r="F9" i="7" l="1"/>
  <c r="E60" i="5"/>
  <c r="C36" i="5"/>
  <c r="G7" i="7" l="1"/>
  <c r="G12" i="7"/>
  <c r="G13" i="7"/>
  <c r="G16" i="7"/>
  <c r="E61" i="5"/>
  <c r="C16" i="2"/>
  <c r="C10" i="5" s="1"/>
  <c r="C11" i="5"/>
  <c r="E6" i="2"/>
  <c r="E5" i="2"/>
  <c r="E4" i="2"/>
  <c r="H16" i="7" l="1"/>
  <c r="H3" i="7"/>
  <c r="D112" i="5"/>
  <c r="C64" i="5"/>
  <c r="C65" i="5" s="1"/>
  <c r="G5" i="7" l="1"/>
  <c r="G4" i="7"/>
  <c r="G3" i="7"/>
  <c r="G6" i="7"/>
  <c r="G9" i="7" l="1"/>
</calcChain>
</file>

<file path=xl/sharedStrings.xml><?xml version="1.0" encoding="utf-8"?>
<sst xmlns="http://schemas.openxmlformats.org/spreadsheetml/2006/main" count="348" uniqueCount="288">
  <si>
    <t>Name</t>
  </si>
  <si>
    <t>Price</t>
  </si>
  <si>
    <t>Currency</t>
  </si>
  <si>
    <t>Symbol</t>
  </si>
  <si>
    <t>Stock Monitor</t>
  </si>
  <si>
    <t>Valuation</t>
  </si>
  <si>
    <t>Comp Group</t>
  </si>
  <si>
    <t>Dividend Yield</t>
    <phoneticPr fontId="2" type="noConversion"/>
  </si>
  <si>
    <t>Target Price</t>
    <phoneticPr fontId="2" type="noConversion"/>
  </si>
  <si>
    <t>Yield</t>
    <phoneticPr fontId="2" type="noConversion"/>
  </si>
  <si>
    <t>Update 
Required After</t>
    <phoneticPr fontId="2" type="noConversion"/>
  </si>
  <si>
    <t>Market Annual Yield</t>
    <phoneticPr fontId="2" type="noConversion"/>
  </si>
  <si>
    <t>Equity Value</t>
    <phoneticPr fontId="2" type="noConversion"/>
  </si>
  <si>
    <t>FCFE
 Yield</t>
    <phoneticPr fontId="2" type="noConversion"/>
  </si>
  <si>
    <t>Growth Classification</t>
    <phoneticPr fontId="2" type="noConversion"/>
  </si>
  <si>
    <t>Valuation Model Assumptions</t>
    <phoneticPr fontId="2" type="noConversion"/>
  </si>
  <si>
    <t>Target Annual Return</t>
    <phoneticPr fontId="2" type="noConversion"/>
  </si>
  <si>
    <t>Base Cost of Equity</t>
    <phoneticPr fontId="2" type="noConversion"/>
  </si>
  <si>
    <t>Market Yields:</t>
    <phoneticPr fontId="2" type="noConversion"/>
  </si>
  <si>
    <t>Riskfree rate</t>
    <phoneticPr fontId="2" type="noConversion"/>
  </si>
  <si>
    <t>Prime Rate</t>
    <phoneticPr fontId="2" type="noConversion"/>
  </si>
  <si>
    <t>Risk Premium</t>
    <phoneticPr fontId="2" type="noConversion"/>
  </si>
  <si>
    <t>US</t>
  </si>
  <si>
    <t>China</t>
    <phoneticPr fontId="2" type="noConversion"/>
  </si>
  <si>
    <t>HK</t>
    <phoneticPr fontId="2" type="noConversion"/>
  </si>
  <si>
    <t>Benchmarket Return:</t>
    <phoneticPr fontId="2" type="noConversion"/>
  </si>
  <si>
    <t>US (1928-2024)</t>
    <phoneticPr fontId="2" type="noConversion"/>
  </si>
  <si>
    <t>Stocks</t>
    <phoneticPr fontId="2" type="noConversion"/>
  </si>
  <si>
    <t>Small caps</t>
    <phoneticPr fontId="2" type="noConversion"/>
  </si>
  <si>
    <t>Bonds</t>
    <phoneticPr fontId="2" type="noConversion"/>
  </si>
  <si>
    <t>Cash</t>
    <phoneticPr fontId="2" type="noConversion"/>
  </si>
  <si>
    <t>Real estate</t>
    <phoneticPr fontId="2" type="noConversion"/>
  </si>
  <si>
    <t>Gold</t>
    <phoneticPr fontId="2" type="noConversion"/>
  </si>
  <si>
    <t>Notes</t>
    <phoneticPr fontId="2" type="noConversion"/>
  </si>
  <si>
    <t>US 10Y Treasury yield</t>
    <phoneticPr fontId="2" type="noConversion"/>
  </si>
  <si>
    <t>https://fred.stlouisfed.org/series/DGS10</t>
  </si>
  <si>
    <t>US Fed Fund Rate</t>
    <phoneticPr fontId="2" type="noConversion"/>
  </si>
  <si>
    <t>https://fred.stlouisfed.org/series/FEDFUNDS</t>
    <phoneticPr fontId="2" type="noConversion"/>
  </si>
  <si>
    <t>Bank Prime Loan Rate</t>
    <phoneticPr fontId="2" type="noConversion"/>
  </si>
  <si>
    <t>https://fred.stlouisfed.org/series/DPRIME</t>
    <phoneticPr fontId="2" type="noConversion"/>
  </si>
  <si>
    <t>CN 10Y Government Bond Yield</t>
    <phoneticPr fontId="2" type="noConversion"/>
  </si>
  <si>
    <t>https://tradingeconomics.com/china/government-bond-yield</t>
    <phoneticPr fontId="2" type="noConversion"/>
  </si>
  <si>
    <t>CN Loan Prime Rate</t>
    <phoneticPr fontId="2" type="noConversion"/>
  </si>
  <si>
    <t>https://tradingeconomics.com/china/interest-rate</t>
    <phoneticPr fontId="2" type="noConversion"/>
  </si>
  <si>
    <t>HK 10Y Government Bond Yield</t>
    <phoneticPr fontId="2" type="noConversion"/>
  </si>
  <si>
    <t>https://tradingeconomics.com/hong-kong/government-bond-yield</t>
    <phoneticPr fontId="2" type="noConversion"/>
  </si>
  <si>
    <t>HK Prime Lending Rate</t>
    <phoneticPr fontId="2" type="noConversion"/>
  </si>
  <si>
    <t>https://tradingeconomics.com/hong-kong/bank-lending-rate</t>
    <phoneticPr fontId="2" type="noConversion"/>
  </si>
  <si>
    <t>All-in-One Bond Prices</t>
    <phoneticPr fontId="2" type="noConversion"/>
  </si>
  <si>
    <t>https://tradingeconomics.com/bonds</t>
    <phoneticPr fontId="2" type="noConversion"/>
  </si>
  <si>
    <t>Historical Returns</t>
    <phoneticPr fontId="2" type="noConversion"/>
  </si>
  <si>
    <t>https://awealthofcommonsense.com/2025/01/historical-returns-for-stocks-bonds-cash-real-estate-and-gold/</t>
    <phoneticPr fontId="2" type="noConversion"/>
  </si>
  <si>
    <t>Selected</t>
    <phoneticPr fontId="2" type="noConversion"/>
  </si>
  <si>
    <t>Others</t>
    <phoneticPr fontId="2" type="noConversion"/>
  </si>
  <si>
    <t>Cash Yield</t>
    <phoneticPr fontId="2" type="noConversion"/>
  </si>
  <si>
    <t>Executive Summary</t>
    <phoneticPr fontId="2" type="noConversion"/>
  </si>
  <si>
    <t>assuming a Lock-up period of</t>
    <phoneticPr fontId="2" type="noConversion"/>
  </si>
  <si>
    <t>Historical Avg Return</t>
    <phoneticPr fontId="2" type="noConversion"/>
  </si>
  <si>
    <t>Key Metrics:</t>
    <phoneticPr fontId="2" type="noConversion"/>
  </si>
  <si>
    <t>Key Calculation:</t>
    <phoneticPr fontId="2" type="noConversion"/>
  </si>
  <si>
    <t>Decision Rules:</t>
    <phoneticPr fontId="2" type="noConversion"/>
  </si>
  <si>
    <t>ERB</t>
    <phoneticPr fontId="2" type="noConversion"/>
  </si>
  <si>
    <t>ERC</t>
    <phoneticPr fontId="2" type="noConversion"/>
  </si>
  <si>
    <t>Single Investment Cap</t>
    <phoneticPr fontId="2" type="noConversion"/>
  </si>
  <si>
    <t>Benchmark Return</t>
    <phoneticPr fontId="2" type="noConversion"/>
  </si>
  <si>
    <t>Benchmarket Return</t>
    <phoneticPr fontId="2" type="noConversion"/>
  </si>
  <si>
    <t>i.</t>
    <phoneticPr fontId="2" type="noConversion"/>
  </si>
  <si>
    <t xml:space="preserve">ii. </t>
    <phoneticPr fontId="2" type="noConversion"/>
  </si>
  <si>
    <t xml:space="preserve">iii. </t>
    <phoneticPr fontId="2" type="noConversion"/>
  </si>
  <si>
    <t>1. Market P/E Ratio</t>
    <phoneticPr fontId="2" type="noConversion"/>
  </si>
  <si>
    <t xml:space="preserve">2. Credit Spreads	</t>
    <phoneticPr fontId="2" type="noConversion"/>
  </si>
  <si>
    <t xml:space="preserve">3. Economic Growth Forecast	</t>
    <phoneticPr fontId="2" type="noConversion"/>
  </si>
  <si>
    <t xml:space="preserve">4. Investor Sentiment**	</t>
    <phoneticPr fontId="2" type="noConversion"/>
  </si>
  <si>
    <t xml:space="preserve">Narrow (below historical median)	</t>
    <phoneticPr fontId="2" type="noConversion"/>
  </si>
  <si>
    <t xml:space="preserve">Overly bullish	</t>
    <phoneticPr fontId="2" type="noConversion"/>
  </si>
  <si>
    <t xml:space="preserve">&gt; Historical 75th percentile	</t>
    <phoneticPr fontId="2" type="noConversion"/>
  </si>
  <si>
    <t>&lt; Historical 25th percentile</t>
    <phoneticPr fontId="2" type="noConversion"/>
  </si>
  <si>
    <t>Wide (above historical median)</t>
    <phoneticPr fontId="2" type="noConversion"/>
  </si>
  <si>
    <t>Panic/selling</t>
    <phoneticPr fontId="2" type="noConversion"/>
  </si>
  <si>
    <t>Risk Appetite Score</t>
    <phoneticPr fontId="2" type="noConversion"/>
  </si>
  <si>
    <t>Step 2: Portfolio Allocation</t>
    <phoneticPr fontId="2" type="noConversion"/>
  </si>
  <si>
    <t>Step 3: Monitoring &amp; Rebalancing</t>
    <phoneticPr fontId="2" type="noConversion"/>
  </si>
  <si>
    <t>Rebalance if:</t>
    <phoneticPr fontId="2" type="noConversion"/>
  </si>
  <si>
    <r>
      <t xml:space="preserve">- Only investments with </t>
    </r>
    <r>
      <rPr>
        <b/>
        <sz val="9"/>
        <color theme="1"/>
        <rFont val="Arial"/>
        <family val="2"/>
      </rPr>
      <t>ERB &gt; 0</t>
    </r>
    <r>
      <rPr>
        <sz val="9"/>
        <color theme="1"/>
        <rFont val="Arial"/>
        <family val="2"/>
      </rPr>
      <t xml:space="preserve"> are eligible for portfolio allocation.</t>
    </r>
    <phoneticPr fontId="2" type="noConversion"/>
  </si>
  <si>
    <t>Maximum Number of Holdings</t>
    <phoneticPr fontId="2" type="noConversion"/>
  </si>
  <si>
    <t>Notes:</t>
    <phoneticPr fontId="2" type="noConversion"/>
  </si>
  <si>
    <t>Indicators and Scoring:</t>
    <phoneticPr fontId="2" type="noConversion"/>
  </si>
  <si>
    <t>Score &lt;= 2</t>
    <phoneticPr fontId="2" type="noConversion"/>
  </si>
  <si>
    <t>Score 3–5</t>
    <phoneticPr fontId="2" type="noConversion"/>
  </si>
  <si>
    <t>Score &gt;= 6</t>
    <phoneticPr fontId="2" type="noConversion"/>
  </si>
  <si>
    <t>Cash Allocation Rule:</t>
    <phoneticPr fontId="2" type="noConversion"/>
  </si>
  <si>
    <t>Scenario</t>
    <phoneticPr fontId="17" type="noConversion"/>
  </si>
  <si>
    <t xml:space="preserve">Indicator	</t>
    <phoneticPr fontId="17" type="noConversion"/>
  </si>
  <si>
    <t>Low Risk Appetite (Hold Cash)</t>
    <phoneticPr fontId="17" type="noConversion"/>
  </si>
  <si>
    <t>High Risk Appetite (Deploy Cash)</t>
    <phoneticPr fontId="17" type="noConversion"/>
  </si>
  <si>
    <t>Score (0-2)</t>
    <phoneticPr fontId="17" type="noConversion"/>
  </si>
  <si>
    <r>
      <t xml:space="preserve">- </t>
    </r>
    <r>
      <rPr>
        <b/>
        <sz val="9"/>
        <color theme="1"/>
        <rFont val="Arial"/>
        <family val="2"/>
      </rPr>
      <t>New Opportunities:</t>
    </r>
    <r>
      <rPr>
        <sz val="9"/>
        <color theme="1"/>
        <rFont val="Arial"/>
        <family val="2"/>
      </rPr>
      <t xml:space="preserve"> If new investments have higher ERB than current holdings, replace underperformers.</t>
    </r>
    <phoneticPr fontId="2" type="noConversion"/>
  </si>
  <si>
    <r>
      <t xml:space="preserve">- </t>
    </r>
    <r>
      <rPr>
        <b/>
        <sz val="9"/>
        <color theme="1"/>
        <rFont val="Arial"/>
        <family val="2"/>
      </rPr>
      <t xml:space="preserve">Market Shifts: </t>
    </r>
    <r>
      <rPr>
        <sz val="9"/>
        <color theme="1"/>
        <rFont val="Arial"/>
        <family val="2"/>
      </rPr>
      <t>If market cycle indicators change significantly, reassess the Risk Appetite Score.</t>
    </r>
    <phoneticPr fontId="2" type="noConversion"/>
  </si>
  <si>
    <r>
      <t xml:space="preserve">- Only investments with </t>
    </r>
    <r>
      <rPr>
        <b/>
        <sz val="9"/>
        <color theme="1"/>
        <rFont val="Arial"/>
        <family val="2"/>
      </rPr>
      <t>the Selected Flag</t>
    </r>
    <r>
      <rPr>
        <sz val="9"/>
        <color theme="1"/>
        <rFont val="Arial"/>
        <family val="2"/>
      </rPr>
      <t xml:space="preserve"> are eligible for portfolio allocation.</t>
    </r>
    <phoneticPr fontId="2" type="noConversion"/>
  </si>
  <si>
    <t>Portfolio Management</t>
    <phoneticPr fontId="2" type="noConversion"/>
  </si>
  <si>
    <t>Guidance Note: Comparison Group Classification System</t>
    <phoneticPr fontId="2" type="noConversion"/>
  </si>
  <si>
    <t>Overview</t>
    <phoneticPr fontId="2" type="noConversion"/>
  </si>
  <si>
    <t>The classification uses two mutually exclusive and collectively exhaustive (MECE) layers:</t>
    <phoneticPr fontId="2" type="noConversion"/>
  </si>
  <si>
    <t>Format: [Layer 1 Code]_[Layer 2 Number] (e.g., TMT_02, CNS_10).</t>
    <phoneticPr fontId="2" type="noConversion"/>
  </si>
  <si>
    <t>- Layer 1: Broad industry categories (3-character codes).</t>
    <phoneticPr fontId="2" type="noConversion"/>
  </si>
  <si>
    <t>- Layer 2: Granular subcategories (two-digit numbers, 01–99).</t>
    <phoneticPr fontId="2" type="noConversion"/>
  </si>
  <si>
    <t>Layer 1: Broad Industry Categories</t>
    <phoneticPr fontId="2" type="noConversion"/>
  </si>
  <si>
    <r>
      <rPr>
        <b/>
        <sz val="9"/>
        <color theme="1"/>
        <rFont val="Arial"/>
        <family val="2"/>
      </rPr>
      <t xml:space="preserve">Purpose: </t>
    </r>
    <r>
      <rPr>
        <sz val="9"/>
        <color theme="1"/>
        <rFont val="Arial"/>
        <family val="2"/>
      </rPr>
      <t>Group investments by overarching industries.</t>
    </r>
    <phoneticPr fontId="2" type="noConversion"/>
  </si>
  <si>
    <r>
      <rPr>
        <b/>
        <sz val="9"/>
        <color theme="1"/>
        <rFont val="Arial"/>
        <family val="2"/>
      </rPr>
      <t xml:space="preserve">Structure: </t>
    </r>
    <r>
      <rPr>
        <sz val="9"/>
        <color theme="1"/>
        <rFont val="Arial"/>
        <family val="2"/>
      </rPr>
      <t>3-character codes (e.g., TMT, CNS, FIN).</t>
    </r>
    <phoneticPr fontId="2" type="noConversion"/>
  </si>
  <si>
    <t>TMT</t>
    <phoneticPr fontId="2" type="noConversion"/>
  </si>
  <si>
    <t>CNS</t>
    <phoneticPr fontId="2" type="noConversion"/>
  </si>
  <si>
    <t>FIN</t>
    <phoneticPr fontId="2" type="noConversion"/>
  </si>
  <si>
    <t>HLT</t>
    <phoneticPr fontId="2" type="noConversion"/>
  </si>
  <si>
    <t>Technology, Media, Telecom</t>
    <phoneticPr fontId="2" type="noConversion"/>
  </si>
  <si>
    <t>Consumer</t>
    <phoneticPr fontId="2" type="noConversion"/>
  </si>
  <si>
    <t>Financials</t>
    <phoneticPr fontId="2" type="noConversion"/>
  </si>
  <si>
    <t>Healthcare</t>
    <phoneticPr fontId="2" type="noConversion"/>
  </si>
  <si>
    <t>Code</t>
    <phoneticPr fontId="17" type="noConversion"/>
  </si>
  <si>
    <t>Industry</t>
    <phoneticPr fontId="17" type="noConversion"/>
  </si>
  <si>
    <t>Layer 2: Subcategory Numbering</t>
    <phoneticPr fontId="2" type="noConversion"/>
  </si>
  <si>
    <r>
      <rPr>
        <b/>
        <sz val="9"/>
        <color theme="1"/>
        <rFont val="Arial"/>
        <family val="2"/>
      </rPr>
      <t xml:space="preserve">Purpose: </t>
    </r>
    <r>
      <rPr>
        <sz val="9"/>
        <color theme="1"/>
        <rFont val="Arial"/>
        <family val="2"/>
      </rPr>
      <t>Refine peer groups into specific segments within Layer 1 industries.</t>
    </r>
    <phoneticPr fontId="2" type="noConversion"/>
  </si>
  <si>
    <r>
      <rPr>
        <b/>
        <sz val="9"/>
        <color theme="1"/>
        <rFont val="Arial"/>
        <family val="2"/>
      </rPr>
      <t xml:space="preserve">Purpose: </t>
    </r>
    <r>
      <rPr>
        <sz val="9"/>
        <color theme="1"/>
        <rFont val="Arial"/>
        <family val="2"/>
      </rPr>
      <t>Two-digit numbers (01–99), appended to Layer 1 codes (e.g., TMT_01).</t>
    </r>
    <phoneticPr fontId="2" type="noConversion"/>
  </si>
  <si>
    <t>Assigning Classifications</t>
    <phoneticPr fontId="2" type="noConversion"/>
  </si>
  <si>
    <t>Identify Layer 1:</t>
    <phoneticPr fontId="2" type="noConversion"/>
  </si>
  <si>
    <t>Map the investment to the broadest applicable industry (e.g., a fintech firm → FIN).</t>
    <phoneticPr fontId="2" type="noConversion"/>
  </si>
  <si>
    <t>Assign Layer 2:</t>
    <phoneticPr fontId="2" type="noConversion"/>
  </si>
  <si>
    <t>ii.</t>
    <phoneticPr fontId="2" type="noConversion"/>
  </si>
  <si>
    <t>Select the most specific subcategory number (e.g., fintech → FIN_10).</t>
    <phoneticPr fontId="2" type="noConversion"/>
  </si>
  <si>
    <t>Use Cases</t>
    <phoneticPr fontId="2" type="noConversion"/>
  </si>
  <si>
    <r>
      <rPr>
        <b/>
        <sz val="9"/>
        <color theme="1"/>
        <rFont val="Arial"/>
        <family val="2"/>
      </rPr>
      <t>Peer Benchmarking:</t>
    </r>
    <r>
      <rPr>
        <sz val="9"/>
        <color theme="1"/>
        <rFont val="Arial"/>
        <family val="2"/>
      </rPr>
      <t xml:space="preserve"> Compare HLT_03 (Biotech) companies against each other.</t>
    </r>
    <phoneticPr fontId="2" type="noConversion"/>
  </si>
  <si>
    <r>
      <rPr>
        <b/>
        <sz val="9"/>
        <color theme="1"/>
        <rFont val="Arial"/>
        <family val="2"/>
      </rPr>
      <t>Portfolio Analysis:</t>
    </r>
    <r>
      <rPr>
        <sz val="9"/>
        <color theme="1"/>
        <rFont val="Arial"/>
        <family val="2"/>
      </rPr>
      <t xml:space="preserve"> Aggregate exposures by Layer 1 (e.g., “30% of portfolio is in TMT”).</t>
    </r>
    <phoneticPr fontId="2" type="noConversion"/>
  </si>
  <si>
    <r>
      <rPr>
        <b/>
        <sz val="9"/>
        <color theme="1"/>
        <rFont val="Arial"/>
        <family val="2"/>
      </rPr>
      <t>Reporting:</t>
    </r>
    <r>
      <rPr>
        <sz val="9"/>
        <color theme="1"/>
        <rFont val="Arial"/>
        <family val="2"/>
      </rPr>
      <t xml:space="preserve"> Standardize disclosures using codes (e.g., “Investment X (CNS_05) outperformed peers”).</t>
    </r>
    <phoneticPr fontId="2" type="noConversion"/>
  </si>
  <si>
    <t>IND</t>
    <phoneticPr fontId="2" type="noConversion"/>
  </si>
  <si>
    <t>Industrials</t>
    <phoneticPr fontId="2" type="noConversion"/>
  </si>
  <si>
    <t>ENG</t>
    <phoneticPr fontId="2" type="noConversion"/>
  </si>
  <si>
    <t>Energy</t>
    <phoneticPr fontId="2" type="noConversion"/>
  </si>
  <si>
    <t>MAT</t>
    <phoneticPr fontId="2" type="noConversion"/>
  </si>
  <si>
    <t>Materials</t>
    <phoneticPr fontId="2" type="noConversion"/>
  </si>
  <si>
    <t>UTL</t>
    <phoneticPr fontId="2" type="noConversion"/>
  </si>
  <si>
    <t>Utilities</t>
    <phoneticPr fontId="2" type="noConversion"/>
  </si>
  <si>
    <t>9 Standard Industry Codes:</t>
    <phoneticPr fontId="2" type="noConversion"/>
  </si>
  <si>
    <t>RES</t>
    <phoneticPr fontId="2" type="noConversion"/>
  </si>
  <si>
    <t>Real Estate</t>
    <phoneticPr fontId="2" type="noConversion"/>
  </si>
  <si>
    <t>Market Yields Tracker</t>
    <phoneticPr fontId="2" type="noConversion"/>
  </si>
  <si>
    <t>iii.</t>
    <phoneticPr fontId="2" type="noConversion"/>
  </si>
  <si>
    <t>High Growth</t>
  </si>
  <si>
    <t>Cap</t>
    <phoneticPr fontId="17" type="noConversion"/>
  </si>
  <si>
    <t>Negative or Low Growth</t>
    <phoneticPr fontId="17" type="noConversion"/>
  </si>
  <si>
    <t>= R_i - Benchmark Return</t>
    <phoneticPr fontId="2" type="noConversion"/>
  </si>
  <si>
    <t>= R_i - Cash Yield</t>
    <phoneticPr fontId="2" type="noConversion"/>
  </si>
  <si>
    <t>Excess Return over Benchmark (ERB_i)</t>
    <phoneticPr fontId="2" type="noConversion"/>
  </si>
  <si>
    <t>Excess Return over Cash (ERC_i)</t>
    <phoneticPr fontId="2" type="noConversion"/>
  </si>
  <si>
    <t>Portfolio Limits</t>
    <phoneticPr fontId="17" type="noConversion"/>
  </si>
  <si>
    <t>Growth Classification Limits</t>
    <phoneticPr fontId="17" type="noConversion"/>
  </si>
  <si>
    <r>
      <rPr>
        <b/>
        <i/>
        <sz val="9"/>
        <color theme="1"/>
        <rFont val="Arial"/>
        <family val="2"/>
      </rPr>
      <t>Target Annual Return</t>
    </r>
    <r>
      <rPr>
        <i/>
        <sz val="9"/>
        <color theme="1"/>
        <rFont val="Arial"/>
        <family val="2"/>
      </rPr>
      <t>: The target return reflects the investor’s hurdle rate over the lock-up period.</t>
    </r>
    <phoneticPr fontId="2" type="noConversion"/>
  </si>
  <si>
    <t>Key Outputs:</t>
    <phoneticPr fontId="17" type="noConversion"/>
  </si>
  <si>
    <t>HKD</t>
  </si>
  <si>
    <t xml:space="preserve">Low Growth </t>
  </si>
  <si>
    <t>Y</t>
  </si>
  <si>
    <t>0083.HK</t>
  </si>
  <si>
    <t>Portfolio Management Plan</t>
    <phoneticPr fontId="2" type="noConversion"/>
  </si>
  <si>
    <t>Opportunity Cost</t>
    <phoneticPr fontId="2" type="noConversion"/>
  </si>
  <si>
    <t>Portfolio Return</t>
    <phoneticPr fontId="17" type="noConversion"/>
  </si>
  <si>
    <t>Projected Cash %</t>
    <phoneticPr fontId="17" type="noConversion"/>
  </si>
  <si>
    <t>Projected Portfolio Return</t>
    <phoneticPr fontId="17" type="noConversion"/>
  </si>
  <si>
    <t>Find Eligible Investments (Data Cleaning)</t>
    <phoneticPr fontId="2" type="noConversion"/>
  </si>
  <si>
    <t>Display Investment Opportunities (Data Preparation)</t>
    <phoneticPr fontId="2" type="noConversion"/>
  </si>
  <si>
    <t>Filters:</t>
    <phoneticPr fontId="17" type="noConversion"/>
  </si>
  <si>
    <t>- Retain investments with Selected Flag = True and ERB &gt; 0.</t>
    <phoneticPr fontId="17" type="noConversion"/>
  </si>
  <si>
    <t>- Enforce Maximum Number of Holdings and Growth Classification Limits.</t>
    <phoneticPr fontId="17" type="noConversion"/>
  </si>
  <si>
    <t>Logic:</t>
    <phoneticPr fontId="17" type="noConversion"/>
  </si>
  <si>
    <t>- If R_i &lt; Target Annual Return: Penalty proportional to the shortfall.</t>
    <phoneticPr fontId="17" type="noConversion"/>
  </si>
  <si>
    <t>Portfolio Management Output</t>
    <phoneticPr fontId="2" type="noConversion"/>
  </si>
  <si>
    <t>iv.</t>
    <phoneticPr fontId="2" type="noConversion"/>
  </si>
  <si>
    <t>2. Projected Portfolio Return:</t>
    <phoneticPr fontId="17" type="noConversion"/>
  </si>
  <si>
    <t>Step 1: Determine Risk Appetite &amp; Cash Reserve</t>
    <phoneticPr fontId="2" type="noConversion"/>
  </si>
  <si>
    <t>- If no eligible investments exist, Set Projected Cash % = 100% and Projected Portfolio Return = Cash Yield.</t>
    <phoneticPr fontId="2" type="noConversion"/>
  </si>
  <si>
    <r>
      <rPr>
        <b/>
        <i/>
        <sz val="9"/>
        <color theme="1"/>
        <rFont val="Arial"/>
        <family val="2"/>
      </rPr>
      <t>Single Investment Cap:</t>
    </r>
    <r>
      <rPr>
        <i/>
        <sz val="9"/>
        <color theme="1"/>
        <rFont val="Arial"/>
        <family val="2"/>
      </rPr>
      <t xml:space="preserve"> If If an investment’s provisional allocation exceeds the cap, set its allocation to the cap. Excess weight is moved to cash (do not redistribute to other investments).</t>
    </r>
    <phoneticPr fontId="17" type="noConversion"/>
  </si>
  <si>
    <t>Note:</t>
    <phoneticPr fontId="17" type="noConversion"/>
  </si>
  <si>
    <t>1. Provisional Weight:</t>
    <phoneticPr fontId="17" type="noConversion"/>
  </si>
  <si>
    <t>provisional_weight_i = Single Investment Cap, for each eligible investment i with ERB&gt;0.</t>
    <phoneticPr fontId="17" type="noConversion"/>
  </si>
  <si>
    <t>Δweight_i = MAX(0, (Target Annual Return - R_i)/Target Annual Return)</t>
    <phoneticPr fontId="17" type="noConversion"/>
  </si>
  <si>
    <t>2. Δweight Adjustment:</t>
    <phoneticPr fontId="17" type="noConversion"/>
  </si>
  <si>
    <t>- If R_i &gt;= Target Annual Return: Δweight_i = 0</t>
    <phoneticPr fontId="17" type="noConversion"/>
  </si>
  <si>
    <r>
      <rPr>
        <b/>
        <i/>
        <sz val="9"/>
        <color theme="1"/>
        <rFont val="Arial"/>
        <family val="2"/>
      </rPr>
      <t>Purpose:</t>
    </r>
    <r>
      <rPr>
        <i/>
        <sz val="9"/>
        <color theme="1"/>
        <rFont val="Arial"/>
        <family val="2"/>
      </rPr>
      <t xml:space="preserve"> Given current market price, how much should be allocated to each eligible investments.</t>
    </r>
    <phoneticPr fontId="2" type="noConversion"/>
  </si>
  <si>
    <t>Minimium Cash Reserve %</t>
    <phoneticPr fontId="2" type="noConversion"/>
  </si>
  <si>
    <t>Cost of the Minimium Cash Reserve when all investments are earning Targeting Annual Return</t>
    <phoneticPr fontId="2" type="noConversion"/>
  </si>
  <si>
    <t>Min. Cash Reserve</t>
    <phoneticPr fontId="17" type="noConversion"/>
  </si>
  <si>
    <t>1. Projected Cash Reserve %:</t>
    <phoneticPr fontId="17" type="noConversion"/>
  </si>
  <si>
    <t xml:space="preserve">Projected Cash Reserve % = 1 - allocated_weight </t>
    <phoneticPr fontId="17" type="noConversion"/>
  </si>
  <si>
    <r>
      <t xml:space="preserve">Note: </t>
    </r>
    <r>
      <rPr>
        <i/>
        <sz val="9"/>
        <color theme="1"/>
        <rFont val="Arial"/>
        <family val="2"/>
      </rPr>
      <t>Opportunity Cost = Minimium Cash Reserve % × (Target Annual Return - Cash Yield)</t>
    </r>
    <phoneticPr fontId="2" type="noConversion"/>
  </si>
  <si>
    <t>Diversification Rules</t>
    <phoneticPr fontId="2" type="noConversion"/>
  </si>
  <si>
    <t>Market Benchmarks</t>
    <phoneticPr fontId="2" type="noConversion"/>
  </si>
  <si>
    <r>
      <t xml:space="preserve">- Cash reserve is determined by </t>
    </r>
    <r>
      <rPr>
        <b/>
        <sz val="9"/>
        <color theme="1"/>
        <rFont val="Arial"/>
        <family val="2"/>
      </rPr>
      <t>Risk Appetite Score (Step 1)</t>
    </r>
    <r>
      <rPr>
        <sz val="9"/>
        <color theme="1"/>
        <rFont val="Arial"/>
        <family val="2"/>
      </rPr>
      <t xml:space="preserve"> and </t>
    </r>
    <r>
      <rPr>
        <b/>
        <sz val="9"/>
        <color theme="1"/>
        <rFont val="Arial"/>
        <family val="2"/>
      </rPr>
      <t>Portfolio Allocation (Step 2)</t>
    </r>
    <r>
      <rPr>
        <sz val="9"/>
        <color theme="1"/>
        <rFont val="Arial"/>
        <family val="2"/>
      </rPr>
      <t>.</t>
    </r>
    <phoneticPr fontId="2" type="noConversion"/>
  </si>
  <si>
    <t>Market Annual Return (R_i)</t>
    <phoneticPr fontId="2" type="noConversion"/>
  </si>
  <si>
    <t>Imported from Valuation models to Opportunities Sheet</t>
    <phoneticPr fontId="17" type="noConversion"/>
  </si>
  <si>
    <r>
      <rPr>
        <b/>
        <i/>
        <sz val="9"/>
        <color theme="1"/>
        <rFont val="Arial"/>
        <family val="2"/>
      </rPr>
      <t xml:space="preserve">Process: </t>
    </r>
    <r>
      <rPr>
        <i/>
        <sz val="9"/>
        <color theme="1"/>
        <rFont val="Arial"/>
        <family val="2"/>
      </rPr>
      <t>Calculate a Risk Appetite Score (0–8 scale) using four market indicators to set cash reserves.</t>
    </r>
    <phoneticPr fontId="2" type="noConversion"/>
  </si>
  <si>
    <r>
      <rPr>
        <b/>
        <i/>
        <sz val="9"/>
        <color theme="1"/>
        <rFont val="Arial"/>
        <family val="2"/>
      </rPr>
      <t xml:space="preserve">Objective: </t>
    </r>
    <r>
      <rPr>
        <i/>
        <sz val="9"/>
        <color theme="1"/>
        <rFont val="Arial"/>
        <family val="2"/>
      </rPr>
      <t>Determine the optimal capital allocation at current market prices, while reserving capital for strategic deployment.</t>
    </r>
    <phoneticPr fontId="2" type="noConversion"/>
  </si>
  <si>
    <t>3. Allocation Weight:</t>
    <phoneticPr fontId="17" type="noConversion"/>
  </si>
  <si>
    <t>allocation_weight_i = provisional_weight_i * (1-Δweight_i)</t>
    <phoneticPr fontId="17" type="noConversion"/>
  </si>
  <si>
    <r>
      <t>allocated_weight = Σ</t>
    </r>
    <r>
      <rPr>
        <sz val="9"/>
        <color theme="1"/>
        <rFont val="Microsoft YaHei UI"/>
        <family val="2"/>
        <charset val="134"/>
      </rPr>
      <t>(</t>
    </r>
    <r>
      <rPr>
        <sz val="9"/>
        <color theme="1"/>
        <rFont val="Arial"/>
        <family val="2"/>
      </rPr>
      <t>allocation_weight_i)</t>
    </r>
    <phoneticPr fontId="17" type="noConversion"/>
  </si>
  <si>
    <t>Return = Σ(allocation_weight_i× R_i) + (Projected Cash % × Cash Yield)</t>
    <phoneticPr fontId="17" type="noConversion"/>
  </si>
  <si>
    <t>Allocation Weight</t>
    <phoneticPr fontId="2" type="noConversion"/>
  </si>
  <si>
    <t>4. Total Allocated Weight:</t>
    <phoneticPr fontId="17" type="noConversion"/>
  </si>
  <si>
    <t>Calculate Allocation Weight (Data Processing)</t>
    <phoneticPr fontId="2" type="noConversion"/>
  </si>
  <si>
    <r>
      <rPr>
        <b/>
        <i/>
        <sz val="9"/>
        <color theme="1"/>
        <rFont val="Arial"/>
        <family val="2"/>
      </rPr>
      <t xml:space="preserve">Note: </t>
    </r>
    <r>
      <rPr>
        <i/>
        <sz val="9"/>
        <color theme="1"/>
        <rFont val="Arial"/>
        <family val="2"/>
      </rPr>
      <t>When the Projected Portfolio Return falls below the benchmark, it is due to overly conservative cash reserve settings or a lack of eligible opportunities. Manual corrective action is needed to address these issues.</t>
    </r>
    <phoneticPr fontId="17" type="noConversion"/>
  </si>
  <si>
    <r>
      <t xml:space="preserve">- </t>
    </r>
    <r>
      <rPr>
        <b/>
        <sz val="9"/>
        <color theme="1"/>
        <rFont val="Arial"/>
        <family val="2"/>
      </rPr>
      <t xml:space="preserve">Valuation Changes: </t>
    </r>
    <r>
      <rPr>
        <sz val="9"/>
        <color theme="1"/>
        <rFont val="Arial"/>
        <family val="2"/>
      </rPr>
      <t>If the market annual return output by valuation model changes materially.</t>
    </r>
    <phoneticPr fontId="2" type="noConversion"/>
  </si>
  <si>
    <r>
      <rPr>
        <b/>
        <i/>
        <sz val="9"/>
        <color theme="1"/>
        <rFont val="Arial"/>
        <family val="2"/>
      </rPr>
      <t xml:space="preserve">Note on Allocation: </t>
    </r>
    <r>
      <rPr>
        <i/>
        <sz val="9"/>
        <color theme="1"/>
        <rFont val="Arial"/>
        <family val="2"/>
      </rPr>
      <t>The allocation process prioritizes higher return potential relative to the benchmark. Eligible investments (meeting criteria in Step 2.ii) are ranked by ERB (descending). Capital is allocated sequentially down this ranked list. Each investment receives its calculated `allocation_weight_i` (from Step iii.3) until the total investable capital (100% - Minimum Cash Reserve % from Step 1) is exhausted. Lower-ranked investments may receive partial allocation (only the remaining capital) or no allocation if capital runs out before they are reached.</t>
    </r>
    <phoneticPr fontId="17" type="noConversion"/>
  </si>
  <si>
    <r>
      <rPr>
        <b/>
        <i/>
        <sz val="9"/>
        <color theme="1"/>
        <rFont val="Arial"/>
        <family val="2"/>
      </rPr>
      <t xml:space="preserve">Objective: </t>
    </r>
    <r>
      <rPr>
        <i/>
        <sz val="9"/>
        <color theme="1"/>
        <rFont val="Arial"/>
        <family val="2"/>
      </rPr>
      <t>Balance high-conviction bets with diversification rules.</t>
    </r>
    <phoneticPr fontId="2" type="noConversion"/>
  </si>
  <si>
    <r>
      <rPr>
        <b/>
        <i/>
        <sz val="9"/>
        <color theme="1"/>
        <rFont val="Arial"/>
        <family val="2"/>
      </rPr>
      <t xml:space="preserve">Guidance Note: </t>
    </r>
    <r>
      <rPr>
        <i/>
        <sz val="9"/>
        <color theme="1"/>
        <rFont val="Arial"/>
        <family val="2"/>
      </rPr>
      <t>This plan deploys capital into investments exceeding the benchmark return while strategically reserving cash for future opportunities.</t>
    </r>
    <phoneticPr fontId="2" type="noConversion"/>
  </si>
  <si>
    <t>Strategic reserve for compelling opportunities.</t>
    <phoneticPr fontId="17" type="noConversion"/>
  </si>
  <si>
    <t>- Display all opportunities, regardless of ERB or Selected Flag, for full visibility.</t>
    <phoneticPr fontId="2" type="noConversion"/>
  </si>
  <si>
    <t>- Sort all potential investments by ERB (descending) in the Opportunities Sheet.</t>
    <phoneticPr fontId="2" type="noConversion"/>
  </si>
  <si>
    <r>
      <rPr>
        <b/>
        <i/>
        <sz val="9"/>
        <color theme="1"/>
        <rFont val="Arial"/>
        <family val="2"/>
      </rPr>
      <t>Capital Constraints:</t>
    </r>
    <r>
      <rPr>
        <i/>
        <sz val="9"/>
        <color theme="1"/>
        <rFont val="Arial"/>
        <family val="2"/>
      </rPr>
      <t xml:space="preserve"> This step calculates the desired weight for each eligible investment before considering capital constraints</t>
    </r>
    <phoneticPr fontId="17" type="noConversion"/>
  </si>
  <si>
    <t>Current Holdings</t>
    <phoneticPr fontId="2" type="noConversion"/>
  </si>
  <si>
    <t>Number of Shares</t>
    <phoneticPr fontId="2" type="noConversion"/>
  </si>
  <si>
    <t>Price
Currency</t>
    <phoneticPr fontId="2" type="noConversion"/>
  </si>
  <si>
    <t>Market Price</t>
    <phoneticPr fontId="2" type="noConversion"/>
  </si>
  <si>
    <t>HKD</t>
    <phoneticPr fontId="2" type="noConversion"/>
  </si>
  <si>
    <t>0083.HK</t>
    <phoneticPr fontId="2" type="noConversion"/>
  </si>
  <si>
    <t>0590.HK</t>
    <phoneticPr fontId="2" type="noConversion"/>
  </si>
  <si>
    <t>nm</t>
    <phoneticPr fontId="2" type="noConversion"/>
  </si>
  <si>
    <t>Market Value (HKD)</t>
    <phoneticPr fontId="2" type="noConversion"/>
  </si>
  <si>
    <r>
      <rPr>
        <b/>
        <i/>
        <sz val="9"/>
        <color theme="1"/>
        <rFont val="Arial"/>
        <family val="2"/>
      </rPr>
      <t>Cost of Equity</t>
    </r>
    <r>
      <rPr>
        <i/>
        <sz val="9"/>
        <color theme="1"/>
        <rFont val="Arial"/>
        <family val="2"/>
      </rPr>
      <t>: This plan employs a value investing framework, defining true risk as the potential for permanent capital loss due to deteriorating business fundamentals or overvaluation, rather than short-term price volatility (beta). The model uses a standardized base cost of equity as the discount rate in DCF analysis,which serves as the minimum acceptable long-term return threshold, reflecting long-term risk-free rates plus an equity risk premium to account for ownership risks.</t>
    </r>
    <phoneticPr fontId="2" type="noConversion"/>
  </si>
  <si>
    <t>ENG_01</t>
  </si>
  <si>
    <t>0857.HK</t>
    <phoneticPr fontId="2" type="noConversion"/>
  </si>
  <si>
    <t>2331.HK</t>
  </si>
  <si>
    <t>Planning</t>
    <phoneticPr fontId="2" type="noConversion"/>
  </si>
  <si>
    <t>End. Cash Balance</t>
    <phoneticPr fontId="2" type="noConversion"/>
  </si>
  <si>
    <t>Sell Price</t>
    <phoneticPr fontId="2" type="noConversion"/>
  </si>
  <si>
    <t>Total Value</t>
    <phoneticPr fontId="2" type="noConversion"/>
  </si>
  <si>
    <t>Actual %</t>
    <phoneticPr fontId="2" type="noConversion"/>
  </si>
  <si>
    <t>Debt/
Equity</t>
    <phoneticPr fontId="2" type="noConversion"/>
  </si>
  <si>
    <t>Liabilities/
Equity</t>
    <phoneticPr fontId="2" type="noConversion"/>
  </si>
  <si>
    <t>Realizable Value</t>
    <phoneticPr fontId="2" type="noConversion"/>
  </si>
  <si>
    <t>Debt/EBIT</t>
    <phoneticPr fontId="2" type="noConversion"/>
  </si>
  <si>
    <t>Balance Sheet Strength</t>
    <phoneticPr fontId="2" type="noConversion"/>
  </si>
  <si>
    <t>open a position at a yield of</t>
  </si>
  <si>
    <t>Entry Price</t>
  </si>
  <si>
    <t>Execution</t>
  </si>
  <si>
    <t>9959.HK</t>
  </si>
  <si>
    <t>Expansion expected</t>
  </si>
  <si>
    <t>Recession expected</t>
  </si>
  <si>
    <t>中國石化</t>
  </si>
  <si>
    <t>0386.HK</t>
  </si>
  <si>
    <t>SINO LAND</t>
  </si>
  <si>
    <t>Negative Growth Asset Play</t>
  </si>
  <si>
    <t>RES_01</t>
  </si>
  <si>
    <t>0303.HK</t>
  </si>
  <si>
    <t>偉易達</t>
  </si>
  <si>
    <t>CNS_02</t>
  </si>
  <si>
    <t>0168.HK</t>
  </si>
  <si>
    <t>青島啤酒股份</t>
  </si>
  <si>
    <t>CNS_03</t>
  </si>
  <si>
    <t>N</t>
  </si>
  <si>
    <t>0857.HK</t>
  </si>
  <si>
    <t>中国石油股份</t>
  </si>
  <si>
    <t xml:space="preserve">Negative Growth </t>
  </si>
  <si>
    <t>0398.HK</t>
  </si>
  <si>
    <t>東方表行集團</t>
  </si>
  <si>
    <t>CNS_05</t>
  </si>
  <si>
    <t>0590.HK</t>
  </si>
  <si>
    <t>六福珠宝</t>
  </si>
  <si>
    <t>李宁</t>
  </si>
  <si>
    <t>002304.SZ</t>
  </si>
  <si>
    <t>洋河股份</t>
  </si>
  <si>
    <t>CNY</t>
  </si>
  <si>
    <t>1910.HK</t>
  </si>
  <si>
    <t>新秀麗</t>
  </si>
  <si>
    <t xml:space="preserve">High Growth </t>
  </si>
  <si>
    <t>聯易融科技</t>
  </si>
  <si>
    <t>FIN_03</t>
  </si>
  <si>
    <t>Low Growth Asset Play</t>
  </si>
  <si>
    <t>3983.HK</t>
  </si>
  <si>
    <t>中海石油化学</t>
  </si>
  <si>
    <t>ENG_02</t>
  </si>
  <si>
    <t>6601.HK</t>
  </si>
  <si>
    <t>朝云集团</t>
  </si>
  <si>
    <t>CNS_04</t>
  </si>
  <si>
    <t>SIRI</t>
  </si>
  <si>
    <t>Sirius XM Holdings Inc.</t>
  </si>
  <si>
    <t>USD</t>
  </si>
  <si>
    <t>TMT_05</t>
  </si>
  <si>
    <t>KHC</t>
  </si>
  <si>
    <t>The Kraft Heinz Company</t>
  </si>
  <si>
    <t>CNS_01</t>
  </si>
  <si>
    <t>600132.SS</t>
  </si>
  <si>
    <t>重庆啤酒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</si>
</sst>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13C09]d\ mmm\ yyyy;@"/>
    <numFmt numFmtId="166" formatCode="0&quot; yrs&quot;"/>
    <numFmt numFmtId="167" formatCode="#,##0.00_);\(#,##0.00\)"/>
    <numFmt numFmtId="168" formatCode="#,##0_);\(#,##0\)"/>
    <numFmt numFmtId="169" formatCode="0.0\x"/>
  </numFmts>
  <fonts count="34">
    <font>
      <sz val="11"/>
      <color theme="1"/>
      <name val="Calibri"/>
      <family val="2"/>
      <scheme val="minor"/>
    </font>
    <font>
      <sz val="10"/>
      <color rgb="FF000000"/>
      <name val="Calibri"/>
      <family val="2"/>
      <scheme val="minor"/>
    </font>
    <font>
      <sz val="9"/>
      <name val="Calibri"/>
      <family val="3"/>
      <charset val="134"/>
      <scheme val="minor"/>
    </font>
    <font>
      <sz val="9"/>
      <color theme="1"/>
      <name val="Arial"/>
      <family val="2"/>
    </font>
    <font>
      <sz val="9"/>
      <color rgb="FF000000"/>
      <name val="Arial"/>
      <family val="2"/>
    </font>
    <font>
      <b/>
      <sz val="9"/>
      <color rgb="FF002060"/>
      <name val="Arial"/>
      <family val="2"/>
    </font>
    <font>
      <b/>
      <sz val="9"/>
      <color theme="1"/>
      <name val="Arial"/>
      <family val="2"/>
    </font>
    <font>
      <u/>
      <sz val="11"/>
      <color theme="10"/>
      <name val="Calibri"/>
      <family val="2"/>
      <scheme val="minor"/>
    </font>
    <font>
      <b/>
      <sz val="9"/>
      <name val="Arial"/>
      <family val="2"/>
    </font>
    <font>
      <sz val="9"/>
      <name val="Arial"/>
      <family val="2"/>
    </font>
    <font>
      <sz val="9"/>
      <color theme="0"/>
      <name val="Arial"/>
      <family val="2"/>
    </font>
    <font>
      <sz val="9"/>
      <color rgb="FFFF0000"/>
      <name val="Arial"/>
      <family val="2"/>
    </font>
    <font>
      <i/>
      <sz val="9"/>
      <color theme="1"/>
      <name val="Arial"/>
      <family val="2"/>
    </font>
    <font>
      <b/>
      <i/>
      <sz val="9"/>
      <color theme="1"/>
      <name val="Arial"/>
      <family val="2"/>
    </font>
    <font>
      <b/>
      <u/>
      <sz val="9"/>
      <color theme="1"/>
      <name val="Arial"/>
      <family val="2"/>
    </font>
    <font>
      <b/>
      <sz val="9"/>
      <color rgb="FF000000"/>
      <name val="Arial"/>
      <family val="2"/>
    </font>
    <font>
      <sz val="9"/>
      <color theme="0"/>
      <name val="Microsoft YaHei"/>
      <family val="2"/>
    </font>
    <font>
      <sz val="9"/>
      <name val="DengXian"/>
      <family val="3"/>
      <charset val="134"/>
    </font>
    <font>
      <sz val="9"/>
      <color rgb="FF0000FF"/>
      <name val="Arial"/>
      <family val="2"/>
    </font>
    <font>
      <u/>
      <sz val="9"/>
      <color theme="10"/>
      <name val="Arial"/>
      <family val="2"/>
    </font>
    <font>
      <b/>
      <sz val="9"/>
      <color rgb="FF0000FF"/>
      <name val="Arial"/>
      <family val="2"/>
    </font>
    <font>
      <b/>
      <sz val="9"/>
      <color rgb="FFFF0000"/>
      <name val="Arial"/>
      <family val="2"/>
    </font>
    <font>
      <b/>
      <sz val="9"/>
      <color rgb="FF00B050"/>
      <name val="Arial"/>
      <family val="2"/>
    </font>
    <font>
      <i/>
      <u/>
      <sz val="9"/>
      <color theme="1"/>
      <name val="Arial"/>
      <family val="2"/>
    </font>
    <font>
      <sz val="9"/>
      <color theme="1"/>
      <name val="Microsoft YaHei UI"/>
      <family val="2"/>
      <charset val="134"/>
    </font>
    <font>
      <i/>
      <sz val="9"/>
      <color rgb="FF7030A0"/>
      <name val="Arial"/>
      <family val="2"/>
    </font>
    <font>
      <sz val="10"/>
      <color rgb="FF000000"/>
      <name val="Arial"/>
      <family val="2"/>
    </font>
    <font>
      <b/>
      <sz val="10"/>
      <color rgb="FF002060"/>
      <name val="Arial"/>
      <family val="2"/>
    </font>
    <font>
      <sz val="10"/>
      <color theme="1"/>
      <name val="Arial"/>
      <family val="2"/>
    </font>
    <font>
      <b/>
      <sz val="10"/>
      <color theme="1"/>
      <name val="Arial"/>
      <family val="2"/>
    </font>
    <font>
      <sz val="10"/>
      <color rgb="FF0000FF"/>
      <name val="Arial"/>
      <family val="2"/>
    </font>
    <font>
      <b/>
      <sz val="10"/>
      <name val="Arial"/>
      <family val="2"/>
    </font>
    <font>
      <sz val="12"/>
      <name val="Calibri"/>
      <family val="2"/>
    </font>
    <font>
      <sz val="10"/>
      <name val="Arial"/>
      <family val="2"/>
    </font>
  </fonts>
  <fills count="9">
    <fill>
      <patternFill patternType="none"/>
    </fill>
    <fill>
      <patternFill patternType="gray125"/>
    </fill>
    <fill>
      <patternFill patternType="solid">
        <fgColor rgb="FF00206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003871"/>
        <bgColor indexed="64"/>
      </patternFill>
    </fill>
    <fill>
      <patternFill patternType="solid">
        <fgColor rgb="FF0047AB"/>
        <bgColor indexed="64"/>
      </patternFill>
    </fill>
    <fill>
      <patternFill patternType="solid">
        <fgColor theme="7" tint="0.59999389629810485"/>
        <bgColor indexed="64"/>
      </patternFill>
    </fill>
  </fills>
  <borders count="6">
    <border>
      <left/>
      <right/>
      <top/>
      <bottom/>
      <diagonal/>
    </border>
    <border>
      <left/>
      <right/>
      <top/>
      <bottom style="thin">
        <color rgb="FF000000"/>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4">
    <xf numFmtId="0" fontId="0" fillId="0" borderId="0"/>
    <xf numFmtId="0" fontId="1" fillId="0" borderId="0"/>
    <xf numFmtId="0" fontId="7" fillId="0" borderId="0" applyNumberFormat="0" applyFill="0" applyBorder="0" applyAlignment="0" applyProtection="0"/>
    <xf numFmtId="0" fontId="32" fillId="0" borderId="0">
      <alignment vertical="center"/>
    </xf>
  </cellStyleXfs>
  <cellXfs count="107">
    <xf numFmtId="0" fontId="0" fillId="0" borderId="0" xfId="0"/>
    <xf numFmtId="0" fontId="3" fillId="0" borderId="0" xfId="0" applyFont="1"/>
    <xf numFmtId="4" fontId="3" fillId="0" borderId="0" xfId="0" applyNumberFormat="1" applyFont="1"/>
    <xf numFmtId="165" fontId="3" fillId="0" borderId="0" xfId="0" applyNumberFormat="1" applyFont="1"/>
    <xf numFmtId="10" fontId="3" fillId="0" borderId="0" xfId="0" applyNumberFormat="1" applyFont="1"/>
    <xf numFmtId="0" fontId="4" fillId="2" borderId="0" xfId="1" applyFont="1" applyFill="1"/>
    <xf numFmtId="0" fontId="5" fillId="0" borderId="1" xfId="1" applyFont="1" applyBorder="1" applyAlignment="1">
      <alignment vertical="center"/>
    </xf>
    <xf numFmtId="0" fontId="6" fillId="0" borderId="2" xfId="0" applyFont="1" applyBorder="1" applyAlignment="1">
      <alignment horizontal="center" vertical="center" wrapText="1"/>
    </xf>
    <xf numFmtId="4" fontId="6" fillId="0" borderId="2" xfId="0" applyNumberFormat="1" applyFont="1" applyBorder="1" applyAlignment="1">
      <alignment horizontal="center" vertical="center" wrapText="1"/>
    </xf>
    <xf numFmtId="165" fontId="6" fillId="0" borderId="2" xfId="0" applyNumberFormat="1" applyFont="1" applyBorder="1" applyAlignment="1">
      <alignment horizontal="center" vertical="center" wrapText="1"/>
    </xf>
    <xf numFmtId="10" fontId="6" fillId="0" borderId="2" xfId="0" quotePrefix="1" applyNumberFormat="1" applyFont="1" applyBorder="1" applyAlignment="1">
      <alignment horizontal="center" vertical="center" wrapText="1"/>
    </xf>
    <xf numFmtId="0" fontId="3" fillId="0" borderId="0" xfId="0" applyFont="1" applyAlignment="1">
      <alignment horizontal="center"/>
    </xf>
    <xf numFmtId="4" fontId="3" fillId="0" borderId="0" xfId="0" applyNumberFormat="1" applyFont="1" applyAlignment="1">
      <alignment horizontal="center"/>
    </xf>
    <xf numFmtId="164" fontId="3" fillId="0" borderId="0" xfId="0" applyNumberFormat="1" applyFont="1" applyAlignment="1">
      <alignment horizontal="center"/>
    </xf>
    <xf numFmtId="165" fontId="3" fillId="0" borderId="0" xfId="0" applyNumberFormat="1" applyFont="1" applyAlignment="1">
      <alignment horizontal="center"/>
    </xf>
    <xf numFmtId="10" fontId="3" fillId="0" borderId="0" xfId="0" applyNumberFormat="1" applyFont="1" applyAlignment="1">
      <alignment horizontal="right"/>
    </xf>
    <xf numFmtId="14" fontId="3" fillId="0" borderId="0" xfId="0" applyNumberFormat="1" applyFont="1" applyAlignment="1">
      <alignment horizontal="center"/>
    </xf>
    <xf numFmtId="164" fontId="3" fillId="0" borderId="0" xfId="0" applyNumberFormat="1" applyFont="1"/>
    <xf numFmtId="0" fontId="4" fillId="0" borderId="0" xfId="0" applyFont="1"/>
    <xf numFmtId="0" fontId="8" fillId="0" borderId="2" xfId="0" applyFont="1" applyBorder="1"/>
    <xf numFmtId="0" fontId="6" fillId="0" borderId="0" xfId="0" applyFont="1"/>
    <xf numFmtId="0" fontId="10" fillId="6" borderId="0" xfId="0" applyFont="1" applyFill="1"/>
    <xf numFmtId="0" fontId="5" fillId="0" borderId="0" xfId="0" applyFont="1"/>
    <xf numFmtId="0" fontId="14" fillId="0" borderId="0" xfId="0" applyFont="1"/>
    <xf numFmtId="0" fontId="3" fillId="0" borderId="0" xfId="0" quotePrefix="1" applyFont="1"/>
    <xf numFmtId="0" fontId="15" fillId="0" borderId="0" xfId="0" applyFont="1"/>
    <xf numFmtId="0" fontId="3" fillId="0" borderId="4" xfId="0" applyFont="1" applyBorder="1"/>
    <xf numFmtId="0" fontId="6" fillId="0" borderId="0" xfId="0" applyFont="1" applyAlignment="1">
      <alignment horizontal="left" indent="1"/>
    </xf>
    <xf numFmtId="0" fontId="6" fillId="0" borderId="0" xfId="0" applyFont="1" applyAlignment="1">
      <alignment horizontal="center"/>
    </xf>
    <xf numFmtId="9" fontId="11" fillId="0" borderId="4" xfId="0" applyNumberFormat="1" applyFont="1" applyBorder="1" applyAlignment="1">
      <alignment horizontal="center"/>
    </xf>
    <xf numFmtId="0" fontId="16" fillId="7" borderId="2" xfId="0" applyFont="1" applyFill="1" applyBorder="1" applyAlignment="1">
      <alignment horizontal="center"/>
    </xf>
    <xf numFmtId="0" fontId="4" fillId="2" borderId="0" xfId="0" applyFont="1" applyFill="1"/>
    <xf numFmtId="0" fontId="5" fillId="0" borderId="2" xfId="0" applyFont="1" applyBorder="1"/>
    <xf numFmtId="0" fontId="3" fillId="0" borderId="4" xfId="0" applyFont="1" applyBorder="1" applyAlignment="1">
      <alignment horizontal="left"/>
    </xf>
    <xf numFmtId="10" fontId="18" fillId="0" borderId="4" xfId="0" applyNumberFormat="1" applyFont="1" applyBorder="1" applyAlignment="1">
      <alignment horizontal="right"/>
    </xf>
    <xf numFmtId="10" fontId="3" fillId="0" borderId="4" xfId="0" applyNumberFormat="1" applyFont="1" applyBorder="1" applyAlignment="1">
      <alignment horizontal="right"/>
    </xf>
    <xf numFmtId="0" fontId="6" fillId="0" borderId="4" xfId="0" applyFont="1" applyBorder="1" applyAlignment="1">
      <alignment horizontal="left" indent="1"/>
    </xf>
    <xf numFmtId="10" fontId="6" fillId="0" borderId="4" xfId="0" applyNumberFormat="1" applyFont="1" applyBorder="1"/>
    <xf numFmtId="0" fontId="19" fillId="0" borderId="0" xfId="2" applyFont="1"/>
    <xf numFmtId="0" fontId="13" fillId="0" borderId="0" xfId="0" applyFont="1"/>
    <xf numFmtId="0" fontId="6" fillId="0" borderId="0" xfId="0" applyFont="1" applyAlignment="1">
      <alignment horizontal="right"/>
    </xf>
    <xf numFmtId="0" fontId="11" fillId="0" borderId="4" xfId="0" applyFont="1" applyBorder="1" applyAlignment="1">
      <alignment horizontal="right"/>
    </xf>
    <xf numFmtId="0" fontId="6" fillId="0" borderId="5" xfId="0" applyFont="1" applyBorder="1" applyAlignment="1">
      <alignment horizontal="left" indent="1"/>
    </xf>
    <xf numFmtId="9" fontId="6" fillId="0" borderId="5" xfId="0" applyNumberFormat="1" applyFont="1" applyBorder="1" applyAlignment="1">
      <alignment horizontal="right"/>
    </xf>
    <xf numFmtId="10" fontId="20" fillId="0" borderId="0" xfId="0" applyNumberFormat="1" applyFont="1" applyAlignment="1">
      <alignment horizontal="right"/>
    </xf>
    <xf numFmtId="0" fontId="6" fillId="0" borderId="0" xfId="0" applyFont="1" applyAlignment="1">
      <alignment horizontal="left" wrapText="1"/>
    </xf>
    <xf numFmtId="10" fontId="8" fillId="0" borderId="0" xfId="0" applyNumberFormat="1" applyFont="1" applyAlignment="1">
      <alignment horizontal="right"/>
    </xf>
    <xf numFmtId="10" fontId="6" fillId="0" borderId="0" xfId="0" applyNumberFormat="1" applyFont="1"/>
    <xf numFmtId="9" fontId="21" fillId="0" borderId="0" xfId="0" applyNumberFormat="1" applyFont="1" applyAlignment="1">
      <alignment horizontal="right"/>
    </xf>
    <xf numFmtId="10" fontId="22" fillId="0" borderId="0" xfId="0" applyNumberFormat="1" applyFont="1" applyAlignment="1">
      <alignment horizontal="right"/>
    </xf>
    <xf numFmtId="0" fontId="10" fillId="7" borderId="2" xfId="0" applyFont="1" applyFill="1" applyBorder="1" applyAlignment="1">
      <alignment horizontal="center"/>
    </xf>
    <xf numFmtId="0" fontId="11" fillId="0" borderId="4" xfId="0" applyFont="1" applyBorder="1"/>
    <xf numFmtId="9" fontId="11" fillId="0" borderId="4" xfId="0" applyNumberFormat="1" applyFont="1" applyBorder="1"/>
    <xf numFmtId="0" fontId="3" fillId="0" borderId="0" xfId="0" applyFont="1" applyAlignment="1">
      <alignment horizontal="left" wrapText="1"/>
    </xf>
    <xf numFmtId="10" fontId="9" fillId="0" borderId="0" xfId="0" applyNumberFormat="1" applyFont="1" applyAlignment="1">
      <alignment horizontal="right"/>
    </xf>
    <xf numFmtId="0" fontId="3" fillId="0" borderId="0" xfId="0" applyFont="1" applyAlignment="1">
      <alignment horizontal="left"/>
    </xf>
    <xf numFmtId="0" fontId="10" fillId="0" borderId="0" xfId="0" applyFont="1" applyAlignment="1">
      <alignment horizontal="center"/>
    </xf>
    <xf numFmtId="167" fontId="11" fillId="0" borderId="0" xfId="0" applyNumberFormat="1" applyFont="1" applyAlignment="1">
      <alignment horizontal="center"/>
    </xf>
    <xf numFmtId="168" fontId="11" fillId="0" borderId="4" xfId="0" applyNumberFormat="1" applyFont="1" applyBorder="1" applyAlignment="1">
      <alignment horizontal="right"/>
    </xf>
    <xf numFmtId="168" fontId="9" fillId="0" borderId="4" xfId="0" applyNumberFormat="1" applyFont="1" applyBorder="1" applyAlignment="1">
      <alignment horizontal="right"/>
    </xf>
    <xf numFmtId="0" fontId="12" fillId="0" borderId="0" xfId="0" applyFont="1"/>
    <xf numFmtId="0" fontId="9" fillId="0" borderId="0" xfId="0" applyFont="1"/>
    <xf numFmtId="167" fontId="25" fillId="0" borderId="0" xfId="0" applyNumberFormat="1" applyFont="1" applyAlignment="1">
      <alignment horizontal="left"/>
    </xf>
    <xf numFmtId="0" fontId="26" fillId="2" borderId="0" xfId="1" applyFont="1" applyFill="1"/>
    <xf numFmtId="0" fontId="27" fillId="0" borderId="1" xfId="1" applyFont="1" applyBorder="1" applyAlignment="1">
      <alignment vertical="center"/>
    </xf>
    <xf numFmtId="0" fontId="28" fillId="0" borderId="0" xfId="0" applyFont="1"/>
    <xf numFmtId="0" fontId="29" fillId="0" borderId="2" xfId="0" applyFont="1" applyBorder="1" applyAlignment="1">
      <alignment horizontal="center" vertical="center" wrapText="1"/>
    </xf>
    <xf numFmtId="0" fontId="30" fillId="0" borderId="0" xfId="0" applyFont="1" applyAlignment="1">
      <alignment horizontal="center"/>
    </xf>
    <xf numFmtId="167" fontId="30" fillId="0" borderId="0" xfId="0" applyNumberFormat="1" applyFont="1" applyAlignment="1">
      <alignment horizontal="center"/>
    </xf>
    <xf numFmtId="168" fontId="30" fillId="0" borderId="0" xfId="0" applyNumberFormat="1" applyFont="1" applyAlignment="1">
      <alignment horizontal="center"/>
    </xf>
    <xf numFmtId="167" fontId="30" fillId="0" borderId="0" xfId="0" applyNumberFormat="1" applyFont="1" applyAlignment="1">
      <alignment horizontal="right"/>
    </xf>
    <xf numFmtId="168" fontId="30" fillId="0" borderId="0" xfId="0" applyNumberFormat="1" applyFont="1" applyAlignment="1">
      <alignment horizontal="right"/>
    </xf>
    <xf numFmtId="0" fontId="32" fillId="0" borderId="0" xfId="3">
      <alignment vertical="center"/>
    </xf>
    <xf numFmtId="10" fontId="28" fillId="0" borderId="0" xfId="0" applyNumberFormat="1" applyFont="1"/>
    <xf numFmtId="0" fontId="33" fillId="0" borderId="0" xfId="0" applyFont="1" applyAlignment="1">
      <alignment horizontal="center"/>
    </xf>
    <xf numFmtId="167" fontId="33" fillId="0" borderId="0" xfId="0" applyNumberFormat="1" applyFont="1" applyAlignment="1">
      <alignment horizontal="right"/>
    </xf>
    <xf numFmtId="168" fontId="33" fillId="0" borderId="0" xfId="0" applyNumberFormat="1" applyFont="1" applyAlignment="1">
      <alignment horizontal="right"/>
    </xf>
    <xf numFmtId="0" fontId="33" fillId="0" borderId="0" xfId="0" applyFont="1" applyAlignment="1">
      <alignment horizontal="left"/>
    </xf>
    <xf numFmtId="0" fontId="30" fillId="0" borderId="0" xfId="0" applyFont="1" applyAlignment="1">
      <alignment horizontal="left"/>
    </xf>
    <xf numFmtId="0" fontId="30" fillId="0" borderId="3" xfId="0" applyFont="1" applyBorder="1" applyAlignment="1">
      <alignment horizontal="center"/>
    </xf>
    <xf numFmtId="167" fontId="30" fillId="0" borderId="3" xfId="0" applyNumberFormat="1" applyFont="1" applyBorder="1" applyAlignment="1">
      <alignment horizontal="right"/>
    </xf>
    <xf numFmtId="168" fontId="31" fillId="0" borderId="3" xfId="0" applyNumberFormat="1" applyFont="1" applyBorder="1" applyAlignment="1">
      <alignment horizontal="right"/>
    </xf>
    <xf numFmtId="10" fontId="29" fillId="0" borderId="3" xfId="0" applyNumberFormat="1" applyFont="1" applyBorder="1"/>
    <xf numFmtId="0" fontId="31" fillId="0" borderId="3" xfId="0" applyFont="1" applyBorder="1" applyAlignment="1">
      <alignment horizontal="left"/>
    </xf>
    <xf numFmtId="167" fontId="31" fillId="0" borderId="3" xfId="0" applyNumberFormat="1" applyFont="1" applyBorder="1" applyAlignment="1">
      <alignment horizontal="right"/>
    </xf>
    <xf numFmtId="0" fontId="31" fillId="0" borderId="3" xfId="0" applyFont="1" applyBorder="1" applyAlignment="1">
      <alignment horizontal="center"/>
    </xf>
    <xf numFmtId="167" fontId="3" fillId="0" borderId="0" xfId="0" applyNumberFormat="1" applyFont="1" applyAlignment="1">
      <alignment horizontal="right"/>
    </xf>
    <xf numFmtId="0" fontId="12" fillId="0" borderId="0" xfId="0" applyFont="1" applyAlignment="1">
      <alignment horizontal="center"/>
    </xf>
    <xf numFmtId="10" fontId="28" fillId="0" borderId="2" xfId="0" applyNumberFormat="1" applyFont="1" applyBorder="1"/>
    <xf numFmtId="10" fontId="29" fillId="0" borderId="0" xfId="0" applyNumberFormat="1" applyFont="1"/>
    <xf numFmtId="0" fontId="28" fillId="0" borderId="2" xfId="0" applyFont="1" applyBorder="1"/>
    <xf numFmtId="10" fontId="33" fillId="0" borderId="0" xfId="0" applyNumberFormat="1" applyFont="1" applyAlignment="1">
      <alignment horizontal="right"/>
    </xf>
    <xf numFmtId="169" fontId="3" fillId="0" borderId="0" xfId="0" applyNumberFormat="1" applyFont="1" applyAlignment="1">
      <alignment horizontal="right"/>
    </xf>
    <xf numFmtId="166" fontId="22" fillId="0" borderId="0" xfId="0" applyNumberFormat="1" applyFont="1" applyAlignment="1">
      <alignment horizontal="right"/>
    </xf>
    <xf numFmtId="0" fontId="12" fillId="0" borderId="0" xfId="0" applyFont="1" applyAlignment="1">
      <alignment horizontal="left" wrapText="1"/>
    </xf>
    <xf numFmtId="0" fontId="3" fillId="0" borderId="0" xfId="0" applyFont="1" applyAlignment="1">
      <alignment horizontal="left"/>
    </xf>
    <xf numFmtId="0" fontId="23" fillId="0" borderId="0" xfId="0" quotePrefix="1" applyFont="1" applyAlignment="1">
      <alignment horizontal="left" wrapText="1"/>
    </xf>
    <xf numFmtId="0" fontId="3" fillId="0" borderId="0" xfId="0" quotePrefix="1" applyFont="1" applyAlignment="1">
      <alignment horizontal="left" wrapText="1"/>
    </xf>
    <xf numFmtId="0" fontId="6" fillId="3" borderId="3" xfId="0" applyFont="1" applyFill="1" applyBorder="1" applyAlignment="1">
      <alignment horizontal="center"/>
    </xf>
    <xf numFmtId="0" fontId="6" fillId="4" borderId="3" xfId="0" applyFont="1" applyFill="1" applyBorder="1" applyAlignment="1">
      <alignment horizontal="center"/>
    </xf>
    <xf numFmtId="0" fontId="6" fillId="3" borderId="0" xfId="0" applyFont="1" applyFill="1" applyAlignment="1">
      <alignment horizontal="center"/>
    </xf>
    <xf numFmtId="0" fontId="6" fillId="8" borderId="0" xfId="0" applyFont="1" applyFill="1" applyAlignment="1">
      <alignment horizontal="center"/>
    </xf>
    <xf numFmtId="0" fontId="8" fillId="5" borderId="3" xfId="0" applyFont="1" applyFill="1" applyBorder="1" applyAlignment="1">
      <alignment horizontal="center"/>
    </xf>
    <xf numFmtId="4" fontId="6" fillId="5" borderId="3" xfId="0" applyNumberFormat="1" applyFont="1" applyFill="1" applyBorder="1" applyAlignment="1">
      <alignment horizontal="center"/>
    </xf>
    <xf numFmtId="4" fontId="6" fillId="8" borderId="3" xfId="0" applyNumberFormat="1" applyFont="1" applyFill="1" applyBorder="1" applyAlignment="1">
      <alignment horizontal="center"/>
    </xf>
    <xf numFmtId="0" fontId="3" fillId="0" borderId="0" xfId="0" applyFont="1" applyAlignment="1">
      <alignment horizontal="left" wrapText="1"/>
    </xf>
    <xf numFmtId="0" fontId="3" fillId="0" borderId="0" xfId="0" quotePrefix="1" applyFont="1" applyAlignment="1">
      <alignment horizontal="left"/>
    </xf>
  </cellXfs>
  <cellStyles count="4">
    <cellStyle name="Normal 2" xfId="1" xr:uid="{00000000-0005-0000-0000-000001000000}"/>
    <cellStyle name="常规" xfId="0" builtinId="0"/>
    <cellStyle name="常规 2" xfId="3" xr:uid="{32ADA8AA-F280-4250-ABBF-7E6B9CB799DC}"/>
    <cellStyle name="超链接" xfId="2" builtinId="8"/>
  </cellStyles>
  <dxfs count="4">
    <dxf>
      <fill>
        <patternFill>
          <bgColor theme="5" tint="0.79998168889431442"/>
        </patternFill>
      </fill>
    </dxf>
    <dxf>
      <fill>
        <patternFill>
          <bgColor theme="5"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colors>
    <mruColors>
      <color rgb="FF0000FF"/>
      <color rgb="FFFFFFCC"/>
      <color rgb="FFB6D7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fred.stlouisfed.org/series/DPRIME" TargetMode="External"/><Relationship Id="rId3" Type="http://schemas.openxmlformats.org/officeDocument/2006/relationships/hyperlink" Target="https://tradingeconomics.com/bonds" TargetMode="External"/><Relationship Id="rId7" Type="http://schemas.openxmlformats.org/officeDocument/2006/relationships/hyperlink" Target="https://tradingeconomics.com/hong-kong/bank-lending-rate" TargetMode="External"/><Relationship Id="rId2" Type="http://schemas.openxmlformats.org/officeDocument/2006/relationships/hyperlink" Target="https://fred.stlouisfed.org/series/DGS10" TargetMode="External"/><Relationship Id="rId1" Type="http://schemas.openxmlformats.org/officeDocument/2006/relationships/hyperlink" Target="https://tradingeconomics.com/china/government-bond-yield" TargetMode="External"/><Relationship Id="rId6" Type="http://schemas.openxmlformats.org/officeDocument/2006/relationships/hyperlink" Target="https://tradingeconomics.com/hong-kong/government-bond-yield" TargetMode="External"/><Relationship Id="rId5" Type="http://schemas.openxmlformats.org/officeDocument/2006/relationships/hyperlink" Target="https://tradingeconomics.com/china/interest-rate" TargetMode="External"/><Relationship Id="rId10" Type="http://schemas.openxmlformats.org/officeDocument/2006/relationships/printerSettings" Target="../printerSettings/printerSettings4.bin"/><Relationship Id="rId4" Type="http://schemas.openxmlformats.org/officeDocument/2006/relationships/hyperlink" Target="https://fred.stlouisfed.org/series/FEDFUNDS" TargetMode="External"/><Relationship Id="rId9" Type="http://schemas.openxmlformats.org/officeDocument/2006/relationships/hyperlink" Target="https://awealthofcommonsense.com/2025/01/historical-returns-for-stocks-bonds-cash-real-estate-and-gold/"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3BBF0-63C3-41BD-B5E6-C3103399E754}">
  <sheetPr>
    <pageSetUpPr fitToPage="1"/>
  </sheetPr>
  <dimension ref="A1:E121"/>
  <sheetViews>
    <sheetView showGridLines="0" topLeftCell="A16" workbookViewId="0">
      <selection activeCell="E59" sqref="E59"/>
    </sheetView>
  </sheetViews>
  <sheetFormatPr defaultRowHeight="11.65"/>
  <cols>
    <col min="1" max="1" width="2.59765625" style="1" customWidth="1"/>
    <col min="2" max="2" width="30.06640625" style="1" bestFit="1" customWidth="1"/>
    <col min="3" max="4" width="25.59765625" style="1" customWidth="1"/>
    <col min="5" max="5" width="10.59765625" style="1" customWidth="1"/>
    <col min="6" max="16384" width="9.06640625" style="1"/>
  </cols>
  <sheetData>
    <row r="1" spans="1:5">
      <c r="A1" s="20" t="s">
        <v>160</v>
      </c>
    </row>
    <row r="2" spans="1:5">
      <c r="A2" s="21" t="s">
        <v>55</v>
      </c>
      <c r="B2" s="21"/>
      <c r="C2" s="21"/>
      <c r="D2" s="21"/>
      <c r="E2" s="21"/>
    </row>
    <row r="4" spans="1:5" ht="24.4" customHeight="1">
      <c r="B4" s="94" t="s">
        <v>209</v>
      </c>
      <c r="C4" s="94"/>
      <c r="D4" s="94"/>
      <c r="E4" s="94"/>
    </row>
    <row r="6" spans="1:5">
      <c r="A6" s="20" t="s">
        <v>66</v>
      </c>
      <c r="B6" s="19" t="s">
        <v>192</v>
      </c>
      <c r="C6" s="61"/>
    </row>
    <row r="7" spans="1:5">
      <c r="B7" s="94" t="s">
        <v>197</v>
      </c>
      <c r="C7" s="94"/>
      <c r="D7" s="94"/>
      <c r="E7" s="94"/>
    </row>
    <row r="9" spans="1:5">
      <c r="B9" s="23" t="s">
        <v>58</v>
      </c>
    </row>
    <row r="10" spans="1:5">
      <c r="B10" s="1" t="s">
        <v>64</v>
      </c>
      <c r="C10" s="47">
        <f>Market_Yield!C16</f>
        <v>0.1174</v>
      </c>
    </row>
    <row r="11" spans="1:5">
      <c r="B11" s="1" t="s">
        <v>54</v>
      </c>
      <c r="C11" s="47">
        <f>Market_Yield!C6</f>
        <v>3.4500000000000003E-2</v>
      </c>
    </row>
    <row r="12" spans="1:5">
      <c r="C12" s="4"/>
    </row>
    <row r="13" spans="1:5">
      <c r="B13" s="23" t="s">
        <v>59</v>
      </c>
      <c r="C13" s="4"/>
    </row>
    <row r="14" spans="1:5">
      <c r="B14" s="1" t="s">
        <v>194</v>
      </c>
      <c r="C14" s="4" t="s">
        <v>195</v>
      </c>
    </row>
    <row r="15" spans="1:5">
      <c r="B15" s="1" t="s">
        <v>150</v>
      </c>
      <c r="C15" s="24" t="s">
        <v>148</v>
      </c>
    </row>
    <row r="16" spans="1:5">
      <c r="B16" s="1" t="s">
        <v>151</v>
      </c>
      <c r="C16" s="24" t="s">
        <v>149</v>
      </c>
    </row>
    <row r="18" spans="1:5">
      <c r="B18" s="23" t="s">
        <v>60</v>
      </c>
    </row>
    <row r="19" spans="1:5">
      <c r="B19" s="24" t="s">
        <v>98</v>
      </c>
    </row>
    <row r="20" spans="1:5">
      <c r="B20" s="24" t="s">
        <v>83</v>
      </c>
    </row>
    <row r="21" spans="1:5">
      <c r="B21" s="24" t="s">
        <v>193</v>
      </c>
    </row>
    <row r="23" spans="1:5">
      <c r="A23" s="25" t="s">
        <v>67</v>
      </c>
      <c r="B23" s="19" t="s">
        <v>191</v>
      </c>
      <c r="C23" s="61"/>
    </row>
    <row r="24" spans="1:5">
      <c r="A24" s="18"/>
      <c r="B24" s="94" t="s">
        <v>208</v>
      </c>
      <c r="C24" s="94"/>
      <c r="D24" s="94"/>
      <c r="E24" s="94"/>
    </row>
    <row r="25" spans="1:5">
      <c r="A25" s="18"/>
    </row>
    <row r="26" spans="1:5">
      <c r="A26" s="18"/>
      <c r="B26" s="50" t="s">
        <v>152</v>
      </c>
      <c r="C26" s="50" t="s">
        <v>146</v>
      </c>
    </row>
    <row r="27" spans="1:5">
      <c r="B27" s="26" t="s">
        <v>84</v>
      </c>
      <c r="C27" s="51">
        <v>6</v>
      </c>
    </row>
    <row r="28" spans="1:5">
      <c r="B28" s="26" t="s">
        <v>63</v>
      </c>
      <c r="C28" s="52">
        <v>0.3</v>
      </c>
    </row>
    <row r="30" spans="1:5">
      <c r="B30" s="50" t="s">
        <v>153</v>
      </c>
      <c r="C30" s="50" t="s">
        <v>146</v>
      </c>
    </row>
    <row r="31" spans="1:5">
      <c r="B31" s="26" t="s">
        <v>147</v>
      </c>
      <c r="C31" s="59">
        <f>C27-C32</f>
        <v>5</v>
      </c>
    </row>
    <row r="32" spans="1:5">
      <c r="B32" s="26" t="s">
        <v>145</v>
      </c>
      <c r="C32" s="58">
        <v>1</v>
      </c>
    </row>
    <row r="34" spans="1:5">
      <c r="A34" s="20" t="s">
        <v>68</v>
      </c>
      <c r="B34" s="19" t="s">
        <v>15</v>
      </c>
      <c r="C34" s="61"/>
      <c r="D34" s="22"/>
    </row>
    <row r="35" spans="1:5">
      <c r="B35" s="1" t="s">
        <v>16</v>
      </c>
      <c r="C35" s="48">
        <v>0.3</v>
      </c>
      <c r="D35" s="18" t="s">
        <v>56</v>
      </c>
      <c r="E35" s="93">
        <v>3</v>
      </c>
    </row>
    <row r="36" spans="1:5">
      <c r="B36" s="1" t="s">
        <v>17</v>
      </c>
      <c r="C36" s="49">
        <f>MAX(8%,Market_Yield!C4:D6)</f>
        <v>0.08</v>
      </c>
      <c r="D36" s="1" t="s">
        <v>237</v>
      </c>
      <c r="E36" s="48">
        <v>0.2</v>
      </c>
    </row>
    <row r="38" spans="1:5">
      <c r="B38" s="20" t="s">
        <v>85</v>
      </c>
    </row>
    <row r="39" spans="1:5">
      <c r="B39" s="94" t="s">
        <v>154</v>
      </c>
      <c r="C39" s="94"/>
      <c r="D39" s="94"/>
      <c r="E39" s="94"/>
    </row>
    <row r="40" spans="1:5" ht="46.6" customHeight="1">
      <c r="B40" s="94" t="s">
        <v>223</v>
      </c>
      <c r="C40" s="94"/>
      <c r="D40" s="94"/>
      <c r="E40" s="94"/>
    </row>
    <row r="42" spans="1:5">
      <c r="A42" s="21" t="s">
        <v>175</v>
      </c>
      <c r="B42" s="21"/>
      <c r="C42" s="21"/>
      <c r="D42" s="21"/>
      <c r="E42" s="21"/>
    </row>
    <row r="44" spans="1:5">
      <c r="B44" s="94" t="s">
        <v>196</v>
      </c>
      <c r="C44" s="94"/>
      <c r="D44" s="94"/>
      <c r="E44" s="94"/>
    </row>
    <row r="46" spans="1:5">
      <c r="B46" s="23" t="s">
        <v>90</v>
      </c>
    </row>
    <row r="48" spans="1:5">
      <c r="B48" s="50" t="s">
        <v>91</v>
      </c>
      <c r="C48" s="50" t="s">
        <v>187</v>
      </c>
      <c r="D48" s="56"/>
      <c r="E48" s="56"/>
    </row>
    <row r="49" spans="2:5">
      <c r="B49" s="26" t="s">
        <v>87</v>
      </c>
      <c r="C49" s="29">
        <v>0.6</v>
      </c>
      <c r="D49" s="57"/>
      <c r="E49" s="55"/>
    </row>
    <row r="50" spans="2:5">
      <c r="B50" s="26" t="s">
        <v>88</v>
      </c>
      <c r="C50" s="29">
        <v>0.4</v>
      </c>
      <c r="D50" s="57"/>
      <c r="E50" s="55"/>
    </row>
    <row r="51" spans="2:5">
      <c r="B51" s="26" t="s">
        <v>89</v>
      </c>
      <c r="C51" s="29">
        <v>0.3</v>
      </c>
      <c r="D51" s="62" t="s">
        <v>210</v>
      </c>
      <c r="E51" s="55"/>
    </row>
    <row r="53" spans="2:5">
      <c r="B53" s="23" t="s">
        <v>86</v>
      </c>
    </row>
    <row r="55" spans="2:5">
      <c r="B55" s="50" t="s">
        <v>92</v>
      </c>
      <c r="C55" s="50" t="s">
        <v>93</v>
      </c>
      <c r="D55" s="50" t="s">
        <v>94</v>
      </c>
      <c r="E55" s="50" t="s">
        <v>95</v>
      </c>
    </row>
    <row r="56" spans="2:5">
      <c r="B56" s="26" t="s">
        <v>69</v>
      </c>
      <c r="C56" s="26" t="s">
        <v>75</v>
      </c>
      <c r="D56" s="26" t="s">
        <v>76</v>
      </c>
      <c r="E56" s="41">
        <v>1</v>
      </c>
    </row>
    <row r="57" spans="2:5">
      <c r="B57" s="26" t="s">
        <v>70</v>
      </c>
      <c r="C57" s="26" t="s">
        <v>73</v>
      </c>
      <c r="D57" s="26" t="s">
        <v>77</v>
      </c>
      <c r="E57" s="41">
        <v>2</v>
      </c>
    </row>
    <row r="58" spans="2:5">
      <c r="B58" s="26" t="s">
        <v>71</v>
      </c>
      <c r="C58" s="26" t="s">
        <v>241</v>
      </c>
      <c r="D58" s="26" t="s">
        <v>242</v>
      </c>
      <c r="E58" s="41">
        <v>2</v>
      </c>
    </row>
    <row r="59" spans="2:5">
      <c r="B59" s="26" t="s">
        <v>72</v>
      </c>
      <c r="C59" s="26" t="s">
        <v>74</v>
      </c>
      <c r="D59" s="26" t="s">
        <v>78</v>
      </c>
      <c r="E59" s="41">
        <v>1</v>
      </c>
    </row>
    <row r="60" spans="2:5">
      <c r="D60" s="27" t="s">
        <v>79</v>
      </c>
      <c r="E60" s="40">
        <f>SUM(E56:E59)</f>
        <v>6</v>
      </c>
    </row>
    <row r="61" spans="2:5" ht="12" thickBot="1">
      <c r="D61" s="42" t="s">
        <v>185</v>
      </c>
      <c r="E61" s="43">
        <f>IF(E60&lt;=2,C49,IF(E60&gt;=6,C51,C50))</f>
        <v>0.3</v>
      </c>
    </row>
    <row r="62" spans="2:5" ht="12" thickTop="1"/>
    <row r="63" spans="2:5">
      <c r="B63" s="23" t="s">
        <v>186</v>
      </c>
    </row>
    <row r="64" spans="2:5">
      <c r="B64" s="53" t="s">
        <v>161</v>
      </c>
      <c r="C64" s="54">
        <f>-E61*(C35-Cash_Yield)</f>
        <v>-7.9649999999999985E-2</v>
      </c>
    </row>
    <row r="65" spans="1:5">
      <c r="B65" s="53" t="s">
        <v>162</v>
      </c>
      <c r="C65" s="54">
        <f>C35+C64</f>
        <v>0.22034999999999999</v>
      </c>
    </row>
    <row r="66" spans="1:5">
      <c r="B66" s="45"/>
      <c r="C66" s="46"/>
    </row>
    <row r="67" spans="1:5">
      <c r="B67" s="39" t="s">
        <v>190</v>
      </c>
    </row>
    <row r="69" spans="1:5">
      <c r="A69" s="21" t="s">
        <v>80</v>
      </c>
      <c r="B69" s="21"/>
      <c r="C69" s="21"/>
      <c r="D69" s="21"/>
      <c r="E69" s="21"/>
    </row>
    <row r="71" spans="1:5">
      <c r="B71" s="94" t="s">
        <v>184</v>
      </c>
      <c r="C71" s="94"/>
      <c r="D71" s="94"/>
      <c r="E71" s="94"/>
    </row>
    <row r="73" spans="1:5">
      <c r="A73" s="28" t="s">
        <v>66</v>
      </c>
      <c r="B73" s="20" t="s">
        <v>166</v>
      </c>
    </row>
    <row r="74" spans="1:5">
      <c r="B74" s="24" t="s">
        <v>212</v>
      </c>
    </row>
    <row r="75" spans="1:5">
      <c r="B75" s="24" t="s">
        <v>211</v>
      </c>
    </row>
    <row r="77" spans="1:5">
      <c r="A77" s="28" t="s">
        <v>126</v>
      </c>
      <c r="B77" s="20" t="s">
        <v>165</v>
      </c>
    </row>
    <row r="78" spans="1:5">
      <c r="B78" s="39" t="s">
        <v>167</v>
      </c>
    </row>
    <row r="79" spans="1:5">
      <c r="B79" s="24" t="s">
        <v>168</v>
      </c>
    </row>
    <row r="80" spans="1:5">
      <c r="B80" s="24" t="s">
        <v>169</v>
      </c>
    </row>
    <row r="81" spans="1:5">
      <c r="B81" s="24" t="s">
        <v>176</v>
      </c>
    </row>
    <row r="83" spans="1:5">
      <c r="A83" s="28" t="s">
        <v>144</v>
      </c>
      <c r="B83" s="20" t="s">
        <v>204</v>
      </c>
    </row>
    <row r="84" spans="1:5">
      <c r="B84" s="24" t="s">
        <v>179</v>
      </c>
    </row>
    <row r="85" spans="1:5">
      <c r="B85" s="97" t="s">
        <v>180</v>
      </c>
      <c r="C85" s="97"/>
      <c r="D85" s="97"/>
      <c r="E85" s="97"/>
    </row>
    <row r="86" spans="1:5">
      <c r="B86" s="96" t="s">
        <v>178</v>
      </c>
      <c r="C86" s="96"/>
      <c r="D86" s="96"/>
      <c r="E86" s="96"/>
    </row>
    <row r="87" spans="1:5" ht="24.4" customHeight="1">
      <c r="B87" s="94" t="s">
        <v>177</v>
      </c>
      <c r="C87" s="94"/>
      <c r="D87" s="94"/>
      <c r="E87" s="94"/>
    </row>
    <row r="88" spans="1:5" ht="24.4" customHeight="1">
      <c r="B88" s="94" t="s">
        <v>213</v>
      </c>
      <c r="C88" s="94"/>
      <c r="D88" s="94"/>
      <c r="E88" s="94"/>
    </row>
    <row r="90" spans="1:5">
      <c r="B90" s="24" t="s">
        <v>182</v>
      </c>
    </row>
    <row r="91" spans="1:5">
      <c r="B91" s="1" t="s">
        <v>181</v>
      </c>
    </row>
    <row r="92" spans="1:5">
      <c r="B92" s="60" t="s">
        <v>170</v>
      </c>
    </row>
    <row r="93" spans="1:5">
      <c r="B93" s="24" t="s">
        <v>183</v>
      </c>
    </row>
    <row r="94" spans="1:5">
      <c r="B94" s="24" t="s">
        <v>171</v>
      </c>
    </row>
    <row r="96" spans="1:5">
      <c r="B96" s="24" t="s">
        <v>198</v>
      </c>
    </row>
    <row r="97" spans="1:5">
      <c r="B97" s="95" t="s">
        <v>199</v>
      </c>
      <c r="C97" s="95"/>
      <c r="D97" s="95"/>
      <c r="E97" s="95"/>
    </row>
    <row r="99" spans="1:5">
      <c r="B99" s="24" t="s">
        <v>203</v>
      </c>
    </row>
    <row r="100" spans="1:5" ht="12.4">
      <c r="B100" s="95" t="s">
        <v>200</v>
      </c>
      <c r="C100" s="95"/>
      <c r="D100" s="95"/>
      <c r="E100" s="95"/>
    </row>
    <row r="101" spans="1:5" ht="58.5" customHeight="1">
      <c r="B101" s="94" t="s">
        <v>207</v>
      </c>
      <c r="C101" s="94"/>
      <c r="D101" s="94"/>
      <c r="E101" s="94"/>
    </row>
    <row r="103" spans="1:5">
      <c r="A103" s="28" t="s">
        <v>173</v>
      </c>
      <c r="B103" s="20" t="s">
        <v>172</v>
      </c>
    </row>
    <row r="104" spans="1:5">
      <c r="B104" s="1" t="s">
        <v>188</v>
      </c>
    </row>
    <row r="105" spans="1:5">
      <c r="B105" s="1" t="s">
        <v>189</v>
      </c>
    </row>
    <row r="107" spans="1:5">
      <c r="B107" s="1" t="s">
        <v>174</v>
      </c>
    </row>
    <row r="108" spans="1:5">
      <c r="B108" s="1" t="s">
        <v>201</v>
      </c>
    </row>
    <row r="110" spans="1:5">
      <c r="B110" s="23" t="s">
        <v>155</v>
      </c>
    </row>
    <row r="111" spans="1:5">
      <c r="B111" s="1" t="s">
        <v>163</v>
      </c>
      <c r="C111" s="44">
        <v>0.30000000000000004</v>
      </c>
    </row>
    <row r="112" spans="1:5">
      <c r="B112" s="1" t="s">
        <v>164</v>
      </c>
      <c r="C112" s="44">
        <v>0.15108906655309656</v>
      </c>
      <c r="D112" s="61" t="str">
        <f>IF(C112&lt;benchmark,"Warning: Return is lower than the Benchmark.","")</f>
        <v/>
      </c>
    </row>
    <row r="114" spans="1:5" ht="24.4" customHeight="1">
      <c r="B114" s="94" t="s">
        <v>205</v>
      </c>
      <c r="C114" s="94"/>
      <c r="D114" s="94"/>
      <c r="E114" s="94"/>
    </row>
    <row r="116" spans="1:5">
      <c r="A116" s="21" t="s">
        <v>81</v>
      </c>
      <c r="B116" s="21"/>
      <c r="C116" s="21"/>
      <c r="D116" s="21"/>
      <c r="E116" s="21"/>
    </row>
    <row r="118" spans="1:5">
      <c r="B118" s="20" t="s">
        <v>82</v>
      </c>
    </row>
    <row r="119" spans="1:5">
      <c r="B119" s="24" t="s">
        <v>96</v>
      </c>
    </row>
    <row r="120" spans="1:5">
      <c r="B120" s="24" t="s">
        <v>97</v>
      </c>
    </row>
    <row r="121" spans="1:5">
      <c r="B121" s="24" t="s">
        <v>206</v>
      </c>
    </row>
  </sheetData>
  <mergeCells count="15">
    <mergeCell ref="B86:E86"/>
    <mergeCell ref="B71:E71"/>
    <mergeCell ref="B85:E85"/>
    <mergeCell ref="B44:E44"/>
    <mergeCell ref="B4:E4"/>
    <mergeCell ref="B7:E7"/>
    <mergeCell ref="B24:E24"/>
    <mergeCell ref="B39:E39"/>
    <mergeCell ref="B40:E40"/>
    <mergeCell ref="B114:E114"/>
    <mergeCell ref="B97:E97"/>
    <mergeCell ref="B100:E100"/>
    <mergeCell ref="B101:E101"/>
    <mergeCell ref="B87:E87"/>
    <mergeCell ref="B88:E88"/>
  </mergeCells>
  <phoneticPr fontId="17" type="noConversion"/>
  <pageMargins left="0.25" right="0.25" top="0.75" bottom="0.75" header="0.3" footer="0.3"/>
  <pageSetup paperSize="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358"/>
  <sheetViews>
    <sheetView showGridLines="0" zoomScaleNormal="100" workbookViewId="0">
      <pane xSplit="3" ySplit="2" topLeftCell="D3" activePane="bottomRight" state="frozen"/>
      <selection pane="topRight" activeCell="D1" sqref="D1"/>
      <selection pane="bottomLeft" activeCell="A5" sqref="A5"/>
      <selection pane="bottomRight" activeCell="A4" sqref="A4"/>
    </sheetView>
  </sheetViews>
  <sheetFormatPr defaultColWidth="8.796875" defaultRowHeight="11.65"/>
  <cols>
    <col min="1" max="1" width="2.46484375" style="1" customWidth="1"/>
    <col min="2" max="2" width="13.46484375" style="1" bestFit="1" customWidth="1"/>
    <col min="3" max="3" width="18.6640625" style="1" customWidth="1"/>
    <col min="4" max="4" width="8.6640625" style="2" customWidth="1"/>
    <col min="5" max="5" width="10.33203125" style="1" customWidth="1"/>
    <col min="6" max="9" width="10.33203125" style="15" customWidth="1"/>
    <col min="10" max="13" width="8.6640625" style="2" customWidth="1"/>
    <col min="14" max="15" width="8.6640625" style="1" customWidth="1"/>
    <col min="16" max="17" width="8.6640625" style="15" customWidth="1"/>
    <col min="18" max="18" width="8.6640625" style="92" customWidth="1"/>
    <col min="19" max="19" width="8.6640625" style="86" customWidth="1"/>
    <col min="20" max="20" width="8.6640625" style="1" customWidth="1"/>
    <col min="21" max="21" width="22.73046875" style="1" bestFit="1" customWidth="1"/>
    <col min="22" max="22" width="14.796875" style="3" bestFit="1" customWidth="1"/>
    <col min="23" max="23" width="8.796875" style="11"/>
    <col min="24" max="16384" width="8.796875" style="1"/>
  </cols>
  <sheetData>
    <row r="1" spans="1:23">
      <c r="A1" s="5"/>
      <c r="B1" s="6" t="s">
        <v>4</v>
      </c>
      <c r="C1" s="87"/>
      <c r="D1" s="100" t="s">
        <v>1</v>
      </c>
      <c r="E1" s="100"/>
      <c r="F1" s="100"/>
      <c r="G1" s="101" t="s">
        <v>99</v>
      </c>
      <c r="H1" s="101"/>
      <c r="I1" s="101"/>
      <c r="J1" s="103" t="s">
        <v>5</v>
      </c>
      <c r="K1" s="103"/>
      <c r="L1" s="104" t="s">
        <v>239</v>
      </c>
      <c r="M1" s="104"/>
      <c r="N1" s="98" t="s">
        <v>9</v>
      </c>
      <c r="O1" s="98"/>
      <c r="P1" s="102" t="s">
        <v>236</v>
      </c>
      <c r="Q1" s="102"/>
      <c r="R1" s="102"/>
      <c r="S1" s="102"/>
      <c r="T1" s="99" t="s">
        <v>53</v>
      </c>
      <c r="U1" s="99"/>
      <c r="V1" s="99"/>
      <c r="W1" s="99"/>
    </row>
    <row r="2" spans="1:23" ht="26" customHeight="1">
      <c r="B2" s="7" t="s">
        <v>3</v>
      </c>
      <c r="C2" s="7" t="s">
        <v>0</v>
      </c>
      <c r="D2" s="8" t="s">
        <v>1</v>
      </c>
      <c r="E2" s="7" t="s">
        <v>2</v>
      </c>
      <c r="F2" s="7" t="s">
        <v>11</v>
      </c>
      <c r="G2" s="7" t="s">
        <v>61</v>
      </c>
      <c r="H2" s="7" t="s">
        <v>62</v>
      </c>
      <c r="I2" s="7" t="s">
        <v>202</v>
      </c>
      <c r="J2" s="8" t="s">
        <v>8</v>
      </c>
      <c r="K2" s="8" t="s">
        <v>12</v>
      </c>
      <c r="L2" s="8" t="s">
        <v>238</v>
      </c>
      <c r="M2" s="8" t="s">
        <v>229</v>
      </c>
      <c r="N2" s="7" t="s">
        <v>13</v>
      </c>
      <c r="O2" s="7" t="s">
        <v>7</v>
      </c>
      <c r="P2" s="7" t="s">
        <v>233</v>
      </c>
      <c r="Q2" s="7" t="s">
        <v>232</v>
      </c>
      <c r="R2" s="7" t="s">
        <v>235</v>
      </c>
      <c r="S2" s="7" t="s">
        <v>234</v>
      </c>
      <c r="T2" s="7" t="s">
        <v>6</v>
      </c>
      <c r="U2" s="7" t="s">
        <v>14</v>
      </c>
      <c r="V2" s="9" t="s">
        <v>10</v>
      </c>
      <c r="W2" s="10" t="s">
        <v>52</v>
      </c>
    </row>
    <row r="3" spans="1:23">
      <c r="B3" s="11" t="s">
        <v>240</v>
      </c>
      <c r="C3" s="11" t="s">
        <v>270</v>
      </c>
      <c r="D3" s="2">
        <v>1.1599999999999999</v>
      </c>
      <c r="E3" s="12" t="s">
        <v>156</v>
      </c>
      <c r="F3" s="15">
        <v>0.21955254305698646</v>
      </c>
      <c r="G3" s="15">
        <f>F3 - Portfolio_Mgmt!$C$10</f>
        <v>0.10215254305698646</v>
      </c>
      <c r="H3" s="15">
        <f>F3 - Portfolio_Mgmt!$C$11</f>
        <v>0.18505254305698646</v>
      </c>
      <c r="I3" s="15">
        <v>0.21955254305698646</v>
      </c>
      <c r="J3" s="2">
        <v>0.9576999852710768</v>
      </c>
      <c r="K3" s="2">
        <v>2.1040668676405563</v>
      </c>
      <c r="L3" s="2">
        <v>1.2176312891438406</v>
      </c>
      <c r="M3" s="86">
        <v>1.6702761167953912</v>
      </c>
      <c r="N3" s="4">
        <v>8.265220900462859E-3</v>
      </c>
      <c r="O3" s="4">
        <v>0</v>
      </c>
      <c r="P3" s="15">
        <v>9.7057481271370302E-2</v>
      </c>
      <c r="Q3" s="15">
        <v>1.4790654865358754E-2</v>
      </c>
      <c r="R3" s="92">
        <v>3.4432102574884196</v>
      </c>
      <c r="S3" s="86">
        <v>2.0258239687205015</v>
      </c>
      <c r="T3" s="13" t="s">
        <v>271</v>
      </c>
      <c r="U3" s="11" t="s">
        <v>272</v>
      </c>
      <c r="V3" s="14">
        <v>45900</v>
      </c>
      <c r="W3" s="11" t="s">
        <v>158</v>
      </c>
    </row>
    <row r="4" spans="1:23">
      <c r="B4" s="11" t="s">
        <v>273</v>
      </c>
      <c r="C4" s="11" t="s">
        <v>274</v>
      </c>
      <c r="D4" s="2">
        <v>1.95</v>
      </c>
      <c r="E4" s="12" t="s">
        <v>156</v>
      </c>
      <c r="F4" s="15">
        <v>0.20890029037251456</v>
      </c>
      <c r="G4" s="15">
        <f>F4 - Portfolio_Mgmt!$C$10</f>
        <v>9.1500290372514559E-2</v>
      </c>
      <c r="H4" s="15">
        <f>F4 - Portfolio_Mgmt!$C$11</f>
        <v>0.17440029037251456</v>
      </c>
      <c r="I4" s="15">
        <v>0.20890029037251456</v>
      </c>
      <c r="J4" s="2">
        <v>1.582657938626912</v>
      </c>
      <c r="K4" s="2">
        <v>3.0780994911633259</v>
      </c>
      <c r="L4" s="2">
        <v>1.9919557240528507</v>
      </c>
      <c r="M4" s="86">
        <v>2.7012043158780146</v>
      </c>
      <c r="N4" s="4">
        <v>6.7112926312535084E-2</v>
      </c>
      <c r="O4" s="4">
        <v>5.1282051282051287E-2</v>
      </c>
      <c r="P4" s="15">
        <v>0.23422582328431374</v>
      </c>
      <c r="Q4" s="15">
        <v>0.10863424600069688</v>
      </c>
      <c r="R4" s="92">
        <v>2.2824569622635926</v>
      </c>
      <c r="S4" s="86">
        <v>1.7907626778741865</v>
      </c>
      <c r="T4" s="13" t="s">
        <v>275</v>
      </c>
      <c r="U4" s="11" t="s">
        <v>157</v>
      </c>
      <c r="V4" s="14">
        <v>45900</v>
      </c>
      <c r="W4" s="11" t="s">
        <v>158</v>
      </c>
    </row>
    <row r="5" spans="1:23">
      <c r="B5" s="11" t="s">
        <v>226</v>
      </c>
      <c r="C5" s="11" t="s">
        <v>263</v>
      </c>
      <c r="D5" s="2">
        <v>15.38</v>
      </c>
      <c r="E5" s="12" t="s">
        <v>156</v>
      </c>
      <c r="F5" s="15">
        <v>0.18912881948046301</v>
      </c>
      <c r="G5" s="15">
        <f>F5 - Portfolio_Mgmt!$C$10</f>
        <v>7.1728819480463002E-2</v>
      </c>
      <c r="H5" s="15">
        <f>F5 - Portfolio_Mgmt!$C$11</f>
        <v>0.154628819480463</v>
      </c>
      <c r="I5" s="15">
        <v>0.18912881948046303</v>
      </c>
      <c r="J5" s="2">
        <v>11.866845734983505</v>
      </c>
      <c r="K5" s="2">
        <v>23.899333440997744</v>
      </c>
      <c r="L5" s="2">
        <v>14.977385795894701</v>
      </c>
      <c r="M5" s="86">
        <v>20.375014060112886</v>
      </c>
      <c r="N5" s="4">
        <v>6.5387552793081283E-2</v>
      </c>
      <c r="O5" s="4">
        <v>3.5396140526234639E-2</v>
      </c>
      <c r="P5" s="15">
        <v>0.36794481423679237</v>
      </c>
      <c r="Q5" s="15">
        <v>7.4171010848313429E-2</v>
      </c>
      <c r="R5" s="92">
        <v>0.60402076709908736</v>
      </c>
      <c r="S5" s="86">
        <v>4.5287238180520148</v>
      </c>
      <c r="T5" s="13" t="s">
        <v>250</v>
      </c>
      <c r="U5" s="11" t="s">
        <v>157</v>
      </c>
      <c r="V5" s="14">
        <v>45900</v>
      </c>
      <c r="W5" s="11" t="s">
        <v>158</v>
      </c>
    </row>
    <row r="6" spans="1:23">
      <c r="B6" s="11" t="s">
        <v>255</v>
      </c>
      <c r="C6" s="11" t="s">
        <v>256</v>
      </c>
      <c r="D6" s="2">
        <v>6.11</v>
      </c>
      <c r="E6" s="12" t="s">
        <v>156</v>
      </c>
      <c r="F6" s="15">
        <v>0.15926921829883645</v>
      </c>
      <c r="G6" s="15">
        <f>F6 - Portfolio_Mgmt!$C$10</f>
        <v>4.1869218298836441E-2</v>
      </c>
      <c r="H6" s="15">
        <f>F6 - Portfolio_Mgmt!$C$11</f>
        <v>0.12476921829883644</v>
      </c>
      <c r="I6" s="15">
        <v>8.2418347090035926E-2</v>
      </c>
      <c r="J6" s="2">
        <v>4.4306821973721187</v>
      </c>
      <c r="K6" s="2">
        <v>7.970870141114629</v>
      </c>
      <c r="L6" s="2">
        <v>5.5437094670052947</v>
      </c>
      <c r="M6" s="86">
        <v>7.4664546878097049</v>
      </c>
      <c r="N6" s="4">
        <v>0.12672849511458295</v>
      </c>
      <c r="O6" s="4">
        <v>7.2330525434368076E-2</v>
      </c>
      <c r="P6" s="15">
        <v>0.61007460831657279</v>
      </c>
      <c r="Q6" s="15">
        <v>0.16360901428944893</v>
      </c>
      <c r="R6" s="92">
        <v>1.1309485990394448</v>
      </c>
      <c r="S6" s="86">
        <v>-3.8116415116695737</v>
      </c>
      <c r="T6" s="13" t="s">
        <v>224</v>
      </c>
      <c r="U6" s="11" t="s">
        <v>257</v>
      </c>
      <c r="V6" s="14">
        <v>45900</v>
      </c>
      <c r="W6" s="11" t="s">
        <v>158</v>
      </c>
    </row>
    <row r="7" spans="1:23">
      <c r="B7" s="11" t="s">
        <v>264</v>
      </c>
      <c r="C7" s="11" t="s">
        <v>265</v>
      </c>
      <c r="D7" s="2">
        <v>68.8</v>
      </c>
      <c r="E7" s="12" t="s">
        <v>266</v>
      </c>
      <c r="F7" s="15">
        <v>0.15867473171661994</v>
      </c>
      <c r="G7" s="15">
        <f>F7 - Portfolio_Mgmt!$C$10</f>
        <v>4.1274731716619939E-2</v>
      </c>
      <c r="H7" s="15">
        <f>F7 - Portfolio_Mgmt!$C$11</f>
        <v>0.12417473171661994</v>
      </c>
      <c r="I7" s="15">
        <v>0</v>
      </c>
      <c r="J7" s="2">
        <v>49.746673136282389</v>
      </c>
      <c r="K7" s="2">
        <v>90.751910880412424</v>
      </c>
      <c r="L7" s="2">
        <v>62.307286389127562</v>
      </c>
      <c r="M7" s="86">
        <v>84.017562490801396</v>
      </c>
      <c r="N7" s="4">
        <v>7.6744210192842666E-2</v>
      </c>
      <c r="O7" s="4">
        <v>6.7543604651162797E-2</v>
      </c>
      <c r="P7" s="15">
        <v>0.30279158651211824</v>
      </c>
      <c r="Q7" s="15">
        <v>7.7640983998987034E-4</v>
      </c>
      <c r="R7" s="92">
        <v>3.8209153156820415E-3</v>
      </c>
      <c r="S7" s="86">
        <v>15.284602440692964</v>
      </c>
      <c r="T7" s="13" t="s">
        <v>253</v>
      </c>
      <c r="U7" s="11" t="s">
        <v>157</v>
      </c>
      <c r="V7" s="14">
        <v>45900</v>
      </c>
      <c r="W7" s="11" t="s">
        <v>254</v>
      </c>
    </row>
    <row r="8" spans="1:23">
      <c r="B8" s="11" t="s">
        <v>258</v>
      </c>
      <c r="C8" s="11" t="s">
        <v>259</v>
      </c>
      <c r="D8" s="2">
        <v>3.57</v>
      </c>
      <c r="E8" s="12" t="s">
        <v>156</v>
      </c>
      <c r="F8" s="15">
        <v>0.14834835832623461</v>
      </c>
      <c r="G8" s="15">
        <f>F8 - Portfolio_Mgmt!$C$10</f>
        <v>3.0948358326234604E-2</v>
      </c>
      <c r="H8" s="15">
        <f>F8 - Portfolio_Mgmt!$C$11</f>
        <v>0.11384835832623461</v>
      </c>
      <c r="I8" s="15">
        <v>0</v>
      </c>
      <c r="J8" s="2">
        <v>2.4911701525888064</v>
      </c>
      <c r="K8" s="2">
        <v>4.9623808252376094</v>
      </c>
      <c r="L8" s="2">
        <v>3.1413777923828756</v>
      </c>
      <c r="M8" s="86">
        <v>4.2691663056616189</v>
      </c>
      <c r="N8" s="4">
        <v>7.9541327003833207E-2</v>
      </c>
      <c r="O8" s="4">
        <v>3.5854341736694682E-2</v>
      </c>
      <c r="P8" s="15">
        <v>0.40000523965699897</v>
      </c>
      <c r="Q8" s="15">
        <v>0.10646655543311496</v>
      </c>
      <c r="R8" s="92">
        <v>0.9804830051022897</v>
      </c>
      <c r="S8" s="86">
        <v>1.6698226477450393</v>
      </c>
      <c r="T8" s="13" t="s">
        <v>260</v>
      </c>
      <c r="U8" s="11" t="s">
        <v>157</v>
      </c>
      <c r="V8" s="14">
        <v>45808</v>
      </c>
      <c r="W8" s="11" t="s">
        <v>158</v>
      </c>
    </row>
    <row r="9" spans="1:23">
      <c r="B9" s="11" t="s">
        <v>248</v>
      </c>
      <c r="C9" s="11" t="s">
        <v>249</v>
      </c>
      <c r="D9" s="2">
        <v>55.65</v>
      </c>
      <c r="E9" s="12" t="s">
        <v>156</v>
      </c>
      <c r="F9" s="15">
        <v>0.13918053194738822</v>
      </c>
      <c r="G9" s="15">
        <f>F9 - Portfolio_Mgmt!$C$10</f>
        <v>2.1780531947388215E-2</v>
      </c>
      <c r="H9" s="15">
        <f>F9 - Portfolio_Mgmt!$C$11</f>
        <v>0.10468053194738822</v>
      </c>
      <c r="I9" s="15">
        <v>0</v>
      </c>
      <c r="J9" s="2">
        <v>38.719486313520228</v>
      </c>
      <c r="K9" s="2">
        <v>64.892912330803952</v>
      </c>
      <c r="L9" s="2">
        <v>48.204328663659695</v>
      </c>
      <c r="M9" s="86">
        <v>64.544120328141631</v>
      </c>
      <c r="N9" s="4">
        <v>9.4703343132953519E-2</v>
      </c>
      <c r="O9" s="4">
        <v>9.085516621743038E-2</v>
      </c>
      <c r="P9" s="15">
        <v>1.2907496012759174</v>
      </c>
      <c r="Q9" s="15">
        <v>0.24768740031897937</v>
      </c>
      <c r="R9" s="92">
        <v>0.73855199466278643</v>
      </c>
      <c r="S9" s="86">
        <v>-2.6504984195888377</v>
      </c>
      <c r="T9" s="13" t="s">
        <v>250</v>
      </c>
      <c r="U9" s="11" t="s">
        <v>157</v>
      </c>
      <c r="V9" s="14">
        <v>45808</v>
      </c>
      <c r="W9" s="11" t="s">
        <v>158</v>
      </c>
    </row>
    <row r="10" spans="1:23">
      <c r="B10" s="11" t="s">
        <v>279</v>
      </c>
      <c r="C10" s="11" t="s">
        <v>280</v>
      </c>
      <c r="D10" s="2">
        <v>21.72</v>
      </c>
      <c r="E10" s="12" t="s">
        <v>281</v>
      </c>
      <c r="F10" s="15">
        <v>0.12990849663525528</v>
      </c>
      <c r="G10" s="15">
        <f>F10 - Portfolio_Mgmt!$C$10</f>
        <v>1.2508496635255273E-2</v>
      </c>
      <c r="H10" s="15">
        <f>F10 - Portfolio_Mgmt!$C$11</f>
        <v>9.5408496635255274E-2</v>
      </c>
      <c r="I10" s="15">
        <v>0</v>
      </c>
      <c r="J10" s="2">
        <v>14.418941896437474</v>
      </c>
      <c r="K10" s="2">
        <v>29.309951346473134</v>
      </c>
      <c r="L10" s="2">
        <v>18.21218480698677</v>
      </c>
      <c r="M10" s="86">
        <v>24.796949133193245</v>
      </c>
      <c r="N10" s="4">
        <v>0.2098969404851839</v>
      </c>
      <c r="O10" s="4">
        <v>2.7329650092081034E-2</v>
      </c>
      <c r="P10" s="15">
        <v>1.4851905363915479</v>
      </c>
      <c r="Q10" s="15">
        <v>0.95241105291674188</v>
      </c>
      <c r="R10" s="92">
        <v>4.0148803043206254</v>
      </c>
      <c r="S10" s="86">
        <v>-38.360607814419353</v>
      </c>
      <c r="T10" s="16" t="s">
        <v>282</v>
      </c>
      <c r="U10" s="11" t="s">
        <v>157</v>
      </c>
      <c r="V10" s="14">
        <v>45900</v>
      </c>
      <c r="W10" s="11" t="s">
        <v>254</v>
      </c>
    </row>
    <row r="11" spans="1:23">
      <c r="B11" s="11" t="s">
        <v>261</v>
      </c>
      <c r="C11" s="11" t="s">
        <v>262</v>
      </c>
      <c r="D11" s="2">
        <v>17.82</v>
      </c>
      <c r="E11" s="12" t="s">
        <v>156</v>
      </c>
      <c r="F11" s="15">
        <v>0.1209941874823961</v>
      </c>
      <c r="G11" s="15">
        <f>F11 - Portfolio_Mgmt!$C$10</f>
        <v>3.594187482396094E-3</v>
      </c>
      <c r="H11" s="15">
        <f>F11 - Portfolio_Mgmt!$C$11</f>
        <v>8.6494187482396095E-2</v>
      </c>
      <c r="I11" s="15">
        <v>0</v>
      </c>
      <c r="J11" s="2">
        <v>11.804906901225705</v>
      </c>
      <c r="K11" s="2">
        <v>20.508980461992877</v>
      </c>
      <c r="L11" s="2">
        <v>14.733437767356989</v>
      </c>
      <c r="M11" s="86">
        <v>19.785541823839793</v>
      </c>
      <c r="N11" s="4">
        <v>9.696891242253812E-2</v>
      </c>
      <c r="O11" s="4">
        <v>7.6318742985409652E-2</v>
      </c>
      <c r="P11" s="15">
        <v>0.31018327415220487</v>
      </c>
      <c r="Q11" s="15">
        <v>0.15818859882129041</v>
      </c>
      <c r="R11" s="92">
        <v>1.4550387206421544</v>
      </c>
      <c r="S11" s="86">
        <v>5.8696003638854428</v>
      </c>
      <c r="T11" s="13" t="s">
        <v>260</v>
      </c>
      <c r="U11" s="11" t="s">
        <v>157</v>
      </c>
      <c r="V11" s="14">
        <v>45808</v>
      </c>
      <c r="W11" s="11" t="s">
        <v>158</v>
      </c>
    </row>
    <row r="12" spans="1:23">
      <c r="B12" s="11" t="s">
        <v>251</v>
      </c>
      <c r="C12" s="11" t="s">
        <v>252</v>
      </c>
      <c r="D12" s="2">
        <v>53.55</v>
      </c>
      <c r="E12" s="12" t="s">
        <v>156</v>
      </c>
      <c r="F12" s="15">
        <v>0.11521291318800975</v>
      </c>
      <c r="G12" s="15">
        <f>F12 - Portfolio_Mgmt!$C$10</f>
        <v>-2.1870868119902576E-3</v>
      </c>
      <c r="H12" s="15">
        <f>F12 - Portfolio_Mgmt!$C$11</f>
        <v>8.0712913188009744E-2</v>
      </c>
      <c r="I12" s="15">
        <v>0</v>
      </c>
      <c r="J12" s="2">
        <v>34.394984382396515</v>
      </c>
      <c r="K12" s="2">
        <v>67.394305644906538</v>
      </c>
      <c r="L12" s="2">
        <v>43.315384624827814</v>
      </c>
      <c r="M12" s="86">
        <v>58.777638274888893</v>
      </c>
      <c r="N12" s="4">
        <v>4.2328511280438831E-2</v>
      </c>
      <c r="O12" s="4">
        <v>3.8244420777520896E-2</v>
      </c>
      <c r="P12" s="15">
        <v>0.72207550313588764</v>
      </c>
      <c r="Q12" s="15">
        <v>9.5579625064196368E-3</v>
      </c>
      <c r="R12" s="92">
        <v>7.3592411949940734E-2</v>
      </c>
      <c r="S12" s="86">
        <v>1.3351546830236229</v>
      </c>
      <c r="T12" s="13" t="s">
        <v>253</v>
      </c>
      <c r="U12" s="11" t="s">
        <v>157</v>
      </c>
      <c r="V12" s="14">
        <v>45900</v>
      </c>
      <c r="W12" s="11" t="s">
        <v>254</v>
      </c>
    </row>
    <row r="13" spans="1:23">
      <c r="B13" s="11" t="s">
        <v>159</v>
      </c>
      <c r="C13" s="11" t="s">
        <v>245</v>
      </c>
      <c r="D13" s="2">
        <v>8.15</v>
      </c>
      <c r="E13" s="12" t="s">
        <v>156</v>
      </c>
      <c r="F13" s="15">
        <v>0.10840635294497614</v>
      </c>
      <c r="G13" s="15">
        <f>F13 - Portfolio_Mgmt!$C$10</f>
        <v>-8.9936470550238679E-3</v>
      </c>
      <c r="H13" s="15">
        <f>F13 - Portfolio_Mgmt!$C$11</f>
        <v>7.3906352944976134E-2</v>
      </c>
      <c r="I13" s="15">
        <v>0</v>
      </c>
      <c r="J13" s="2">
        <v>5.2239462882061574</v>
      </c>
      <c r="K13" s="2">
        <v>9.1628099951889297</v>
      </c>
      <c r="L13" s="2">
        <v>6.5243113398084081</v>
      </c>
      <c r="M13" s="2">
        <v>8.7684502451266084</v>
      </c>
      <c r="N13" s="4">
        <v>3.7901640734020248E-2</v>
      </c>
      <c r="O13" s="4">
        <v>7.1165644171779133E-2</v>
      </c>
      <c r="P13" s="15">
        <v>8.3114411724224596E-2</v>
      </c>
      <c r="Q13" s="15">
        <v>1.8509098960546238E-2</v>
      </c>
      <c r="R13" s="92">
        <v>1.1933697905849452</v>
      </c>
      <c r="S13" s="86">
        <v>11.511512740854835</v>
      </c>
      <c r="T13" s="13" t="s">
        <v>247</v>
      </c>
      <c r="U13" s="11" t="s">
        <v>246</v>
      </c>
      <c r="V13" s="14">
        <v>45900</v>
      </c>
      <c r="W13" s="11" t="s">
        <v>158</v>
      </c>
    </row>
    <row r="14" spans="1:23">
      <c r="B14" s="11" t="s">
        <v>276</v>
      </c>
      <c r="C14" s="11" t="s">
        <v>277</v>
      </c>
      <c r="D14" s="2">
        <v>2.2999999999999998</v>
      </c>
      <c r="E14" s="12" t="s">
        <v>156</v>
      </c>
      <c r="F14" s="15">
        <v>0.10392879009854439</v>
      </c>
      <c r="G14" s="15">
        <f>F14 - Portfolio_Mgmt!$C$10</f>
        <v>-1.3471209901455616E-2</v>
      </c>
      <c r="H14" s="15">
        <f>F14 - Portfolio_Mgmt!$C$11</f>
        <v>6.9428790098544385E-2</v>
      </c>
      <c r="I14" s="15">
        <v>0</v>
      </c>
      <c r="J14" s="2">
        <v>1.4428843799519049</v>
      </c>
      <c r="K14" s="2">
        <v>2.7168715485394852</v>
      </c>
      <c r="L14" s="2">
        <v>1.8114973282765074</v>
      </c>
      <c r="M14" s="2">
        <v>2.4494218673596402</v>
      </c>
      <c r="N14" s="4">
        <v>3.5980231621691262E-2</v>
      </c>
      <c r="O14" s="4">
        <v>4.9378384462771097E-2</v>
      </c>
      <c r="P14" s="15">
        <v>0.20351769929714394</v>
      </c>
      <c r="Q14" s="15">
        <v>1.0763175939415467E-2</v>
      </c>
      <c r="R14" s="92">
        <v>0.29882156160837919</v>
      </c>
      <c r="S14" s="86">
        <v>1.8784842625371931</v>
      </c>
      <c r="T14" s="13" t="s">
        <v>278</v>
      </c>
      <c r="U14" s="11" t="s">
        <v>272</v>
      </c>
      <c r="V14" s="14">
        <v>45900</v>
      </c>
      <c r="W14" s="11" t="s">
        <v>158</v>
      </c>
    </row>
    <row r="15" spans="1:23">
      <c r="B15" s="11" t="s">
        <v>267</v>
      </c>
      <c r="C15" s="11" t="s">
        <v>268</v>
      </c>
      <c r="D15" s="2">
        <v>14.62</v>
      </c>
      <c r="E15" s="12" t="s">
        <v>156</v>
      </c>
      <c r="F15" s="15">
        <v>0.10088016442395631</v>
      </c>
      <c r="G15" s="15">
        <f>F15 - Portfolio_Mgmt!$C$10</f>
        <v>-1.6519835576043695E-2</v>
      </c>
      <c r="H15" s="15">
        <f>F15 - Portfolio_Mgmt!$C$11</f>
        <v>6.6380164423956306E-2</v>
      </c>
      <c r="I15" s="15">
        <v>0</v>
      </c>
      <c r="J15" s="2">
        <v>9.1359587259076722</v>
      </c>
      <c r="K15" s="2">
        <v>16.73836897721916</v>
      </c>
      <c r="L15" s="2">
        <v>11.446356334964792</v>
      </c>
      <c r="M15" s="2">
        <v>15.440419547734052</v>
      </c>
      <c r="N15" s="4">
        <v>0.10527247112980752</v>
      </c>
      <c r="O15" s="4">
        <v>5.7142383036935702E-2</v>
      </c>
      <c r="P15" s="15">
        <v>2.2875080906148866</v>
      </c>
      <c r="Q15" s="15">
        <v>1.5035598705501618</v>
      </c>
      <c r="R15" s="92">
        <v>4.1998196571663646</v>
      </c>
      <c r="S15" s="86">
        <v>-12.166449024907546</v>
      </c>
      <c r="T15" s="13" t="s">
        <v>250</v>
      </c>
      <c r="U15" s="11" t="s">
        <v>269</v>
      </c>
      <c r="V15" s="14">
        <v>45900</v>
      </c>
      <c r="W15" s="11" t="s">
        <v>254</v>
      </c>
    </row>
    <row r="16" spans="1:23">
      <c r="B16" s="11" t="s">
        <v>283</v>
      </c>
      <c r="C16" s="11" t="s">
        <v>284</v>
      </c>
      <c r="D16" s="2">
        <v>28.49</v>
      </c>
      <c r="E16" s="12" t="s">
        <v>281</v>
      </c>
      <c r="F16" s="15">
        <v>9.8376640230496193E-2</v>
      </c>
      <c r="G16" s="15">
        <f>F16 - Portfolio_Mgmt!$C$10</f>
        <v>-1.9023359769503811E-2</v>
      </c>
      <c r="H16" s="15">
        <f>F16 - Portfolio_Mgmt!$C$11</f>
        <v>6.387664023049619E-2</v>
      </c>
      <c r="I16" s="15">
        <v>0</v>
      </c>
      <c r="J16" s="2">
        <v>17.682685147645955</v>
      </c>
      <c r="K16" s="2">
        <v>32.464859269378167</v>
      </c>
      <c r="L16" s="2">
        <v>22.157904669779033</v>
      </c>
      <c r="M16" s="2">
        <v>29.895007167811503</v>
      </c>
      <c r="N16" s="4">
        <v>8.9124865124008343E-2</v>
      </c>
      <c r="O16" s="4">
        <v>5.616005616005617E-2</v>
      </c>
      <c r="P16" s="15">
        <v>0.78990369994931575</v>
      </c>
      <c r="Q16" s="15">
        <v>0.40281804358844397</v>
      </c>
      <c r="R16" s="92">
        <v>3.955391512509995</v>
      </c>
      <c r="S16" s="86">
        <v>-26.938493611476797</v>
      </c>
      <c r="T16" s="13" t="s">
        <v>285</v>
      </c>
      <c r="U16" s="11" t="s">
        <v>157</v>
      </c>
      <c r="V16" s="14">
        <v>45900</v>
      </c>
      <c r="W16" s="11" t="s">
        <v>254</v>
      </c>
    </row>
    <row r="17" spans="2:23">
      <c r="B17" s="11" t="s">
        <v>286</v>
      </c>
      <c r="C17" s="11" t="s">
        <v>287</v>
      </c>
      <c r="D17" s="2">
        <v>57.21</v>
      </c>
      <c r="E17" s="12" t="s">
        <v>266</v>
      </c>
      <c r="F17" s="15">
        <v>9.1887382418681218E-2</v>
      </c>
      <c r="G17" s="15">
        <f>F17 - Portfolio_Mgmt!$C$10</f>
        <v>-2.5512617581318786E-2</v>
      </c>
      <c r="H17" s="15">
        <f>F17 - Portfolio_Mgmt!$C$11</f>
        <v>5.7387382418681215E-2</v>
      </c>
      <c r="I17" s="15">
        <v>0</v>
      </c>
      <c r="J17" s="2">
        <v>34.669224296258527</v>
      </c>
      <c r="K17" s="2">
        <v>66.592285778879997</v>
      </c>
      <c r="L17" s="2">
        <v>43.592757973888887</v>
      </c>
      <c r="M17" s="2">
        <v>59.048136223898794</v>
      </c>
      <c r="N17" s="4">
        <v>8.0319983221959892E-2</v>
      </c>
      <c r="O17" s="4">
        <v>4.195070791819612E-2</v>
      </c>
      <c r="P17" s="15">
        <v>3.4701988818540461</v>
      </c>
      <c r="Q17" s="15">
        <v>5.0341856510546588E-2</v>
      </c>
      <c r="R17" s="92">
        <v>3.9546057100127742E-2</v>
      </c>
      <c r="S17" s="86">
        <v>-13.312996389940134</v>
      </c>
      <c r="T17" s="13" t="s">
        <v>253</v>
      </c>
      <c r="U17" s="11" t="s">
        <v>157</v>
      </c>
      <c r="V17" s="14">
        <v>45716</v>
      </c>
      <c r="W17" s="11" t="s">
        <v>254</v>
      </c>
    </row>
    <row r="18" spans="2:23">
      <c r="B18" s="11" t="s">
        <v>244</v>
      </c>
      <c r="C18" s="11" t="s">
        <v>243</v>
      </c>
      <c r="D18" s="2">
        <v>3.99</v>
      </c>
      <c r="E18" s="12" t="s">
        <v>156</v>
      </c>
      <c r="F18" s="15">
        <v>-0.31663829693844048</v>
      </c>
      <c r="G18" s="15">
        <f>F18 - Portfolio_Mgmt!$C$10</f>
        <v>-0.43403829693844048</v>
      </c>
      <c r="H18" s="15">
        <f>F18 - Portfolio_Mgmt!$C$11</f>
        <v>-0.35113829693844045</v>
      </c>
      <c r="I18" s="15">
        <v>0</v>
      </c>
      <c r="J18" s="2">
        <v>0.80548127846515594</v>
      </c>
      <c r="K18" s="2">
        <v>0.69309519897662664</v>
      </c>
      <c r="L18" s="2">
        <v>0.96944930933090068</v>
      </c>
      <c r="M18" s="2">
        <v>1.2455312568862884</v>
      </c>
      <c r="N18" s="4">
        <v>9.7801202908963839E-2</v>
      </c>
      <c r="O18" s="4">
        <v>6.7621884900931573E-2</v>
      </c>
      <c r="P18" s="15">
        <v>1.135394804633445</v>
      </c>
      <c r="Q18" s="15">
        <v>0.42716991722771752</v>
      </c>
      <c r="R18" s="92">
        <v>4.2174489521821652</v>
      </c>
      <c r="S18" s="86">
        <v>-6.9537022109117581</v>
      </c>
      <c r="T18" s="13" t="s">
        <v>224</v>
      </c>
      <c r="U18" s="11" t="s">
        <v>157</v>
      </c>
      <c r="V18" s="14">
        <v>45900</v>
      </c>
      <c r="W18" s="11" t="s">
        <v>254</v>
      </c>
    </row>
    <row r="19" spans="2:23">
      <c r="B19" s="11"/>
      <c r="C19" s="11"/>
      <c r="E19" s="12"/>
      <c r="N19" s="4"/>
      <c r="O19" s="4"/>
      <c r="T19" s="13"/>
      <c r="U19" s="11"/>
      <c r="V19" s="14"/>
    </row>
    <row r="20" spans="2:23">
      <c r="B20" s="11"/>
      <c r="C20" s="11"/>
      <c r="E20" s="12"/>
      <c r="N20" s="4"/>
      <c r="O20" s="4"/>
      <c r="T20" s="13"/>
      <c r="U20" s="11"/>
      <c r="V20" s="14"/>
    </row>
    <row r="21" spans="2:23">
      <c r="B21" s="11"/>
      <c r="C21" s="11"/>
      <c r="E21" s="12"/>
      <c r="N21" s="4"/>
      <c r="O21" s="4"/>
      <c r="T21" s="13"/>
      <c r="U21" s="11"/>
      <c r="V21" s="14"/>
    </row>
    <row r="22" spans="2:23">
      <c r="B22" s="11"/>
      <c r="C22" s="11"/>
      <c r="E22" s="12"/>
      <c r="N22" s="4"/>
      <c r="O22" s="4"/>
      <c r="T22" s="13"/>
      <c r="U22" s="11"/>
      <c r="V22" s="14"/>
    </row>
    <row r="23" spans="2:23">
      <c r="B23" s="11"/>
      <c r="C23" s="11"/>
      <c r="E23" s="12"/>
      <c r="N23" s="4"/>
      <c r="O23" s="4"/>
      <c r="T23" s="13"/>
      <c r="U23" s="11"/>
      <c r="V23" s="14"/>
    </row>
    <row r="24" spans="2:23">
      <c r="B24" s="11"/>
      <c r="C24" s="11"/>
      <c r="E24" s="12"/>
      <c r="N24" s="4"/>
      <c r="O24" s="4"/>
      <c r="T24" s="13"/>
      <c r="U24" s="11"/>
      <c r="V24" s="14"/>
    </row>
    <row r="25" spans="2:23">
      <c r="B25" s="11"/>
      <c r="C25" s="11"/>
      <c r="E25" s="12"/>
      <c r="N25" s="4"/>
      <c r="O25" s="4"/>
      <c r="T25" s="13"/>
      <c r="U25" s="11"/>
      <c r="V25" s="14"/>
    </row>
    <row r="26" spans="2:23">
      <c r="B26" s="11"/>
      <c r="C26" s="11"/>
      <c r="E26" s="12"/>
      <c r="N26" s="4"/>
      <c r="O26" s="4"/>
      <c r="T26" s="13"/>
      <c r="U26" s="11"/>
      <c r="V26" s="14"/>
    </row>
    <row r="27" spans="2:23">
      <c r="B27" s="11"/>
      <c r="C27" s="11"/>
      <c r="E27" s="12"/>
      <c r="N27" s="4"/>
      <c r="O27" s="4"/>
      <c r="T27" s="13"/>
      <c r="U27" s="11"/>
      <c r="V27" s="14"/>
    </row>
    <row r="28" spans="2:23">
      <c r="B28" s="11"/>
      <c r="C28" s="11"/>
      <c r="E28" s="12"/>
      <c r="N28" s="4"/>
      <c r="O28" s="4"/>
      <c r="T28" s="13"/>
      <c r="U28" s="11"/>
      <c r="V28" s="14"/>
    </row>
    <row r="29" spans="2:23">
      <c r="B29" s="11"/>
      <c r="C29" s="11"/>
      <c r="E29" s="12"/>
      <c r="N29" s="4"/>
      <c r="O29" s="4"/>
      <c r="T29" s="13"/>
      <c r="U29" s="11"/>
      <c r="V29" s="14"/>
    </row>
    <row r="30" spans="2:23">
      <c r="B30" s="11"/>
      <c r="C30" s="11"/>
      <c r="E30" s="12"/>
      <c r="N30" s="4"/>
      <c r="O30" s="4"/>
      <c r="T30" s="13"/>
      <c r="U30" s="11"/>
      <c r="V30" s="14"/>
    </row>
    <row r="31" spans="2:23">
      <c r="B31" s="11"/>
      <c r="C31" s="11"/>
      <c r="E31" s="12"/>
      <c r="N31" s="4"/>
      <c r="O31" s="4"/>
      <c r="T31" s="16"/>
      <c r="U31" s="11"/>
      <c r="V31" s="14"/>
    </row>
    <row r="32" spans="2:23">
      <c r="B32" s="11"/>
      <c r="C32" s="11"/>
      <c r="E32" s="12"/>
      <c r="N32" s="4"/>
      <c r="O32" s="4"/>
      <c r="T32" s="13"/>
      <c r="U32" s="11"/>
      <c r="V32" s="14"/>
    </row>
    <row r="33" spans="2:22">
      <c r="B33" s="11"/>
      <c r="C33" s="11"/>
      <c r="E33" s="12"/>
      <c r="N33" s="4"/>
      <c r="O33" s="4"/>
      <c r="T33" s="13"/>
      <c r="U33" s="11"/>
      <c r="V33" s="14"/>
    </row>
    <row r="34" spans="2:22">
      <c r="B34" s="11"/>
      <c r="C34" s="11"/>
      <c r="E34" s="12"/>
      <c r="N34" s="4"/>
      <c r="O34" s="4"/>
      <c r="T34" s="16"/>
      <c r="U34" s="11"/>
      <c r="V34" s="14"/>
    </row>
    <row r="35" spans="2:22">
      <c r="B35" s="11"/>
      <c r="C35" s="11"/>
      <c r="E35" s="12"/>
      <c r="N35" s="4"/>
      <c r="O35" s="4"/>
      <c r="T35" s="13"/>
      <c r="U35" s="11"/>
      <c r="V35" s="14"/>
    </row>
    <row r="36" spans="2:22">
      <c r="B36" s="11"/>
      <c r="C36" s="11"/>
      <c r="E36" s="12"/>
      <c r="N36" s="4"/>
      <c r="O36" s="4"/>
      <c r="T36" s="13"/>
      <c r="U36" s="11"/>
      <c r="V36" s="14"/>
    </row>
    <row r="37" spans="2:22">
      <c r="B37" s="11"/>
      <c r="C37" s="11"/>
      <c r="E37" s="12"/>
      <c r="N37" s="4"/>
      <c r="O37" s="4"/>
      <c r="T37" s="13"/>
      <c r="U37" s="11"/>
      <c r="V37" s="14"/>
    </row>
    <row r="38" spans="2:22">
      <c r="B38" s="11"/>
      <c r="C38" s="11"/>
      <c r="E38" s="12"/>
      <c r="N38" s="4"/>
      <c r="O38" s="4"/>
      <c r="T38" s="13"/>
      <c r="U38" s="11"/>
      <c r="V38" s="14"/>
    </row>
    <row r="39" spans="2:22">
      <c r="B39" s="11"/>
      <c r="C39" s="11"/>
      <c r="E39" s="12"/>
      <c r="N39" s="4"/>
      <c r="O39" s="4"/>
      <c r="T39" s="13"/>
      <c r="U39" s="11"/>
      <c r="V39" s="14"/>
    </row>
    <row r="40" spans="2:22">
      <c r="B40" s="11"/>
      <c r="C40" s="11"/>
      <c r="E40" s="12"/>
      <c r="N40" s="4"/>
      <c r="O40" s="4"/>
      <c r="T40" s="13"/>
      <c r="U40" s="11"/>
      <c r="V40" s="14"/>
    </row>
    <row r="41" spans="2:22">
      <c r="B41" s="11"/>
      <c r="C41" s="11"/>
      <c r="E41" s="12"/>
      <c r="N41" s="4"/>
      <c r="O41" s="4"/>
      <c r="T41" s="13"/>
      <c r="U41" s="11"/>
      <c r="V41" s="14"/>
    </row>
    <row r="42" spans="2:22">
      <c r="B42" s="11"/>
      <c r="C42" s="11"/>
      <c r="E42" s="12"/>
      <c r="N42" s="4"/>
      <c r="O42" s="4"/>
      <c r="T42" s="13"/>
      <c r="U42" s="11"/>
      <c r="V42" s="14"/>
    </row>
    <row r="43" spans="2:22">
      <c r="B43" s="11"/>
      <c r="C43" s="11"/>
      <c r="E43" s="12"/>
      <c r="N43" s="4"/>
      <c r="O43" s="4"/>
      <c r="T43" s="13"/>
      <c r="U43" s="11"/>
      <c r="V43" s="14"/>
    </row>
    <row r="44" spans="2:22">
      <c r="B44" s="11"/>
      <c r="C44" s="11"/>
      <c r="E44" s="12"/>
      <c r="N44" s="4"/>
      <c r="O44" s="4"/>
      <c r="T44" s="13"/>
      <c r="U44" s="11"/>
      <c r="V44" s="14"/>
    </row>
    <row r="45" spans="2:22">
      <c r="B45" s="11"/>
      <c r="C45" s="11"/>
      <c r="E45" s="12"/>
      <c r="N45" s="4"/>
      <c r="O45" s="4"/>
      <c r="T45" s="13"/>
      <c r="U45" s="11"/>
      <c r="V45" s="14"/>
    </row>
    <row r="46" spans="2:22">
      <c r="B46" s="11"/>
      <c r="C46" s="11"/>
      <c r="E46" s="12"/>
      <c r="N46" s="4"/>
      <c r="O46" s="4"/>
      <c r="T46" s="13"/>
      <c r="U46" s="11"/>
      <c r="V46" s="14"/>
    </row>
    <row r="47" spans="2:22">
      <c r="B47" s="11"/>
      <c r="C47" s="11"/>
      <c r="E47" s="12"/>
      <c r="N47" s="4"/>
      <c r="O47" s="4"/>
      <c r="T47" s="13"/>
      <c r="U47" s="11"/>
      <c r="V47" s="14"/>
    </row>
    <row r="48" spans="2:22">
      <c r="B48" s="11"/>
      <c r="C48" s="11"/>
      <c r="E48" s="12"/>
      <c r="N48" s="4"/>
      <c r="O48" s="4"/>
      <c r="T48" s="13"/>
      <c r="U48" s="11"/>
      <c r="V48" s="14"/>
    </row>
    <row r="49" spans="2:22">
      <c r="B49" s="11"/>
      <c r="C49" s="11"/>
      <c r="E49" s="12"/>
      <c r="N49" s="4"/>
      <c r="O49" s="4"/>
      <c r="T49" s="13"/>
      <c r="U49" s="11"/>
      <c r="V49" s="14"/>
    </row>
    <row r="50" spans="2:22">
      <c r="B50" s="11"/>
      <c r="C50" s="11"/>
      <c r="E50" s="12"/>
      <c r="N50" s="4"/>
      <c r="O50" s="4"/>
      <c r="T50" s="13"/>
      <c r="U50" s="11"/>
      <c r="V50" s="14"/>
    </row>
    <row r="51" spans="2:22">
      <c r="B51" s="11"/>
      <c r="C51" s="11"/>
      <c r="E51" s="12"/>
      <c r="N51" s="4"/>
      <c r="O51" s="4"/>
      <c r="T51" s="13"/>
      <c r="U51" s="11"/>
      <c r="V51" s="14"/>
    </row>
    <row r="52" spans="2:22">
      <c r="B52" s="11"/>
      <c r="C52" s="11"/>
      <c r="E52" s="12"/>
      <c r="N52" s="4"/>
      <c r="O52" s="4"/>
      <c r="T52" s="13"/>
      <c r="U52" s="11"/>
      <c r="V52" s="14"/>
    </row>
    <row r="53" spans="2:22">
      <c r="B53" s="11"/>
      <c r="C53" s="11"/>
      <c r="E53" s="12"/>
      <c r="N53" s="4"/>
      <c r="O53" s="4"/>
      <c r="T53" s="13"/>
      <c r="U53" s="11"/>
      <c r="V53" s="14"/>
    </row>
    <row r="54" spans="2:22">
      <c r="B54" s="11"/>
      <c r="C54" s="11"/>
      <c r="E54" s="12"/>
      <c r="N54" s="4"/>
      <c r="O54" s="4"/>
      <c r="T54" s="13"/>
      <c r="U54" s="11"/>
      <c r="V54" s="14"/>
    </row>
    <row r="55" spans="2:22">
      <c r="B55" s="11"/>
      <c r="C55" s="11"/>
      <c r="E55" s="12"/>
      <c r="N55" s="4"/>
      <c r="O55" s="4"/>
      <c r="T55" s="13"/>
      <c r="U55" s="11"/>
      <c r="V55" s="14"/>
    </row>
    <row r="56" spans="2:22">
      <c r="B56" s="11"/>
      <c r="C56" s="11"/>
      <c r="E56" s="12"/>
      <c r="N56" s="4"/>
      <c r="O56" s="4"/>
      <c r="T56" s="13"/>
      <c r="U56" s="11"/>
      <c r="V56" s="14"/>
    </row>
    <row r="57" spans="2:22">
      <c r="B57" s="11"/>
      <c r="C57" s="11"/>
      <c r="E57" s="12"/>
      <c r="N57" s="4"/>
      <c r="O57" s="4"/>
      <c r="T57" s="13"/>
      <c r="U57" s="11"/>
      <c r="V57" s="14"/>
    </row>
    <row r="58" spans="2:22">
      <c r="B58" s="11"/>
      <c r="C58" s="11"/>
      <c r="E58" s="12"/>
      <c r="N58" s="4"/>
      <c r="O58" s="4"/>
      <c r="T58" s="13"/>
      <c r="U58" s="11"/>
      <c r="V58" s="14"/>
    </row>
    <row r="59" spans="2:22">
      <c r="B59" s="11"/>
      <c r="C59" s="11"/>
      <c r="E59" s="12"/>
      <c r="N59" s="4"/>
      <c r="O59" s="4"/>
      <c r="T59" s="13"/>
      <c r="U59" s="11"/>
      <c r="V59" s="14"/>
    </row>
    <row r="60" spans="2:22">
      <c r="B60" s="11"/>
      <c r="C60" s="11"/>
      <c r="E60" s="12"/>
      <c r="N60" s="4"/>
      <c r="O60" s="4"/>
      <c r="T60" s="13"/>
      <c r="U60" s="11"/>
      <c r="V60" s="14"/>
    </row>
    <row r="61" spans="2:22">
      <c r="B61" s="11"/>
      <c r="C61" s="11"/>
      <c r="E61" s="12"/>
      <c r="N61" s="4"/>
      <c r="O61" s="4"/>
      <c r="T61" s="13"/>
      <c r="U61" s="11"/>
      <c r="V61" s="14"/>
    </row>
    <row r="62" spans="2:22">
      <c r="B62" s="11"/>
      <c r="C62" s="11"/>
      <c r="E62" s="12"/>
      <c r="N62" s="4"/>
      <c r="O62" s="4"/>
      <c r="T62" s="13"/>
      <c r="U62" s="11"/>
      <c r="V62" s="14"/>
    </row>
    <row r="63" spans="2:22">
      <c r="B63" s="11"/>
      <c r="C63" s="11"/>
      <c r="E63" s="12"/>
      <c r="N63" s="4"/>
      <c r="O63" s="4"/>
      <c r="T63" s="13"/>
      <c r="U63" s="11"/>
      <c r="V63" s="14"/>
    </row>
    <row r="64" spans="2:22">
      <c r="B64" s="11"/>
      <c r="C64" s="11"/>
      <c r="E64" s="12"/>
      <c r="N64" s="4"/>
      <c r="O64" s="4"/>
      <c r="T64" s="13"/>
      <c r="U64" s="11"/>
      <c r="V64" s="14"/>
    </row>
    <row r="65" spans="2:22">
      <c r="B65" s="11"/>
      <c r="C65" s="11"/>
      <c r="E65" s="12"/>
      <c r="N65" s="4"/>
      <c r="O65" s="4"/>
      <c r="T65" s="13"/>
      <c r="U65" s="11"/>
      <c r="V65" s="14"/>
    </row>
    <row r="66" spans="2:22">
      <c r="B66" s="11"/>
      <c r="C66" s="11"/>
      <c r="E66" s="12"/>
      <c r="N66" s="4"/>
      <c r="O66" s="4"/>
      <c r="T66" s="13"/>
      <c r="U66" s="11"/>
      <c r="V66" s="14"/>
    </row>
    <row r="67" spans="2:22">
      <c r="B67" s="11"/>
      <c r="C67" s="11"/>
      <c r="E67" s="12"/>
      <c r="N67" s="4"/>
      <c r="O67" s="4"/>
      <c r="T67" s="13"/>
      <c r="U67" s="11"/>
      <c r="V67" s="14"/>
    </row>
    <row r="68" spans="2:22">
      <c r="B68" s="11"/>
      <c r="C68" s="11"/>
      <c r="E68" s="12"/>
      <c r="N68" s="4"/>
      <c r="O68" s="4"/>
      <c r="T68" s="13"/>
      <c r="U68" s="11"/>
      <c r="V68" s="14"/>
    </row>
    <row r="69" spans="2:22">
      <c r="B69" s="11"/>
      <c r="C69" s="11"/>
      <c r="E69" s="12"/>
      <c r="N69" s="4"/>
      <c r="O69" s="4"/>
      <c r="T69" s="13"/>
      <c r="U69" s="11"/>
      <c r="V69" s="14"/>
    </row>
    <row r="70" spans="2:22">
      <c r="B70" s="11"/>
      <c r="C70" s="11"/>
      <c r="E70" s="12"/>
      <c r="N70" s="4"/>
      <c r="O70" s="4"/>
      <c r="T70" s="13"/>
      <c r="U70" s="11"/>
      <c r="V70" s="14"/>
    </row>
    <row r="71" spans="2:22">
      <c r="B71" s="11"/>
      <c r="C71" s="11"/>
      <c r="E71" s="12"/>
      <c r="N71" s="4"/>
      <c r="O71" s="4"/>
      <c r="T71" s="13"/>
      <c r="U71" s="11"/>
      <c r="V71" s="14"/>
    </row>
    <row r="72" spans="2:22">
      <c r="B72" s="11"/>
      <c r="C72" s="11"/>
      <c r="E72" s="12"/>
      <c r="N72" s="4"/>
      <c r="O72" s="4"/>
      <c r="T72" s="13"/>
      <c r="U72" s="11"/>
      <c r="V72" s="14"/>
    </row>
    <row r="73" spans="2:22">
      <c r="B73" s="11"/>
      <c r="C73" s="11"/>
      <c r="E73" s="12"/>
      <c r="N73" s="4"/>
      <c r="O73" s="4"/>
      <c r="T73" s="13"/>
      <c r="U73" s="11"/>
      <c r="V73" s="14"/>
    </row>
    <row r="74" spans="2:22">
      <c r="B74" s="11"/>
      <c r="C74" s="11"/>
      <c r="E74" s="12"/>
      <c r="N74" s="4"/>
      <c r="O74" s="4"/>
      <c r="T74" s="13"/>
      <c r="U74" s="11"/>
      <c r="V74" s="14"/>
    </row>
    <row r="75" spans="2:22">
      <c r="B75" s="11"/>
      <c r="C75" s="11"/>
      <c r="E75" s="12"/>
      <c r="N75" s="4"/>
      <c r="O75" s="4"/>
      <c r="T75" s="13"/>
      <c r="U75" s="11"/>
      <c r="V75" s="14"/>
    </row>
    <row r="76" spans="2:22">
      <c r="B76" s="11"/>
      <c r="C76" s="11"/>
      <c r="E76" s="12"/>
      <c r="N76" s="4"/>
      <c r="O76" s="4"/>
      <c r="T76" s="13"/>
      <c r="U76" s="11"/>
      <c r="V76" s="14"/>
    </row>
    <row r="77" spans="2:22">
      <c r="B77" s="11"/>
      <c r="C77" s="11"/>
      <c r="E77" s="12"/>
      <c r="N77" s="4"/>
      <c r="O77" s="4"/>
      <c r="T77" s="13"/>
      <c r="U77" s="11"/>
      <c r="V77" s="14"/>
    </row>
    <row r="78" spans="2:22">
      <c r="B78" s="11"/>
      <c r="C78" s="11"/>
      <c r="E78" s="12"/>
      <c r="N78" s="4"/>
      <c r="O78" s="4"/>
      <c r="T78" s="13"/>
      <c r="U78" s="11"/>
      <c r="V78" s="14"/>
    </row>
    <row r="79" spans="2:22">
      <c r="B79" s="11"/>
      <c r="C79" s="11"/>
      <c r="E79" s="12"/>
      <c r="N79" s="4"/>
      <c r="O79" s="4"/>
      <c r="T79" s="13"/>
      <c r="U79" s="11"/>
      <c r="V79" s="14"/>
    </row>
    <row r="80" spans="2:22">
      <c r="B80" s="11"/>
      <c r="C80" s="11"/>
      <c r="E80" s="12"/>
      <c r="N80" s="4"/>
      <c r="O80" s="4"/>
      <c r="T80" s="13"/>
      <c r="U80" s="11"/>
      <c r="V80" s="14"/>
    </row>
    <row r="81" spans="2:22">
      <c r="B81" s="11"/>
      <c r="C81" s="11"/>
      <c r="E81" s="12"/>
      <c r="N81" s="4"/>
      <c r="O81" s="4"/>
      <c r="T81" s="13"/>
      <c r="U81" s="11"/>
      <c r="V81" s="14"/>
    </row>
    <row r="82" spans="2:22">
      <c r="B82" s="11"/>
      <c r="C82" s="11"/>
      <c r="E82" s="12"/>
      <c r="N82" s="4"/>
      <c r="O82" s="4"/>
      <c r="T82" s="13"/>
      <c r="U82" s="11"/>
      <c r="V82" s="14"/>
    </row>
    <row r="83" spans="2:22">
      <c r="B83" s="11"/>
      <c r="C83" s="11"/>
      <c r="E83" s="12"/>
      <c r="N83" s="4"/>
      <c r="O83" s="4"/>
      <c r="T83" s="13"/>
      <c r="U83" s="11"/>
      <c r="V83" s="14"/>
    </row>
    <row r="84" spans="2:22">
      <c r="B84" s="11"/>
      <c r="C84" s="11"/>
      <c r="E84" s="12"/>
      <c r="N84" s="4"/>
      <c r="O84" s="4"/>
      <c r="T84" s="13"/>
      <c r="U84" s="11"/>
      <c r="V84" s="14"/>
    </row>
    <row r="85" spans="2:22">
      <c r="B85" s="11"/>
      <c r="C85" s="11"/>
      <c r="E85" s="12"/>
      <c r="N85" s="4"/>
      <c r="O85" s="4"/>
      <c r="T85" s="13"/>
      <c r="U85" s="11"/>
      <c r="V85" s="14"/>
    </row>
    <row r="86" spans="2:22">
      <c r="B86" s="11"/>
      <c r="C86" s="11"/>
      <c r="E86" s="12"/>
      <c r="N86" s="4"/>
      <c r="O86" s="4"/>
      <c r="T86" s="13"/>
      <c r="U86" s="11"/>
      <c r="V86" s="14"/>
    </row>
    <row r="87" spans="2:22">
      <c r="B87" s="11"/>
      <c r="C87" s="11"/>
      <c r="E87" s="12"/>
      <c r="N87" s="4"/>
      <c r="O87" s="4"/>
      <c r="T87" s="13"/>
      <c r="U87" s="11"/>
      <c r="V87" s="14"/>
    </row>
    <row r="88" spans="2:22">
      <c r="B88" s="11"/>
      <c r="C88" s="11"/>
      <c r="E88" s="12"/>
      <c r="N88" s="4"/>
      <c r="O88" s="4"/>
      <c r="T88" s="13"/>
      <c r="U88" s="11"/>
      <c r="V88" s="14"/>
    </row>
    <row r="89" spans="2:22">
      <c r="B89" s="11"/>
      <c r="C89" s="11"/>
      <c r="E89" s="12"/>
      <c r="N89" s="4"/>
      <c r="O89" s="4"/>
      <c r="T89" s="13"/>
      <c r="U89" s="11"/>
      <c r="V89" s="14"/>
    </row>
    <row r="90" spans="2:22">
      <c r="B90" s="11"/>
      <c r="C90" s="11"/>
      <c r="E90" s="12"/>
      <c r="N90" s="4"/>
      <c r="O90" s="4"/>
      <c r="T90" s="13"/>
      <c r="U90" s="11"/>
      <c r="V90" s="14"/>
    </row>
    <row r="91" spans="2:22">
      <c r="B91" s="11"/>
      <c r="C91" s="11"/>
      <c r="E91" s="12"/>
      <c r="N91" s="4"/>
      <c r="O91" s="4"/>
      <c r="T91" s="13"/>
      <c r="U91" s="11"/>
      <c r="V91" s="14"/>
    </row>
    <row r="92" spans="2:22">
      <c r="B92" s="11"/>
      <c r="C92" s="11"/>
      <c r="E92" s="12"/>
      <c r="N92" s="4"/>
      <c r="O92" s="4"/>
      <c r="T92" s="13"/>
      <c r="U92" s="11"/>
      <c r="V92" s="14"/>
    </row>
    <row r="93" spans="2:22">
      <c r="B93" s="11"/>
      <c r="C93" s="11"/>
      <c r="E93" s="12"/>
      <c r="N93" s="4"/>
      <c r="O93" s="4"/>
      <c r="T93" s="13"/>
      <c r="U93" s="11"/>
      <c r="V93" s="14"/>
    </row>
    <row r="94" spans="2:22">
      <c r="B94" s="11"/>
      <c r="C94" s="11"/>
      <c r="E94" s="12"/>
      <c r="N94" s="4"/>
      <c r="O94" s="4"/>
      <c r="T94" s="13"/>
      <c r="U94" s="11"/>
      <c r="V94" s="14"/>
    </row>
    <row r="95" spans="2:22">
      <c r="B95" s="11"/>
      <c r="C95" s="11"/>
      <c r="E95" s="12"/>
      <c r="N95" s="4"/>
      <c r="O95" s="4"/>
      <c r="T95" s="13"/>
      <c r="U95" s="11"/>
      <c r="V95" s="14"/>
    </row>
    <row r="96" spans="2:22">
      <c r="B96" s="11"/>
      <c r="C96" s="11"/>
      <c r="E96" s="12"/>
      <c r="N96" s="4"/>
      <c r="O96" s="4"/>
      <c r="T96" s="13"/>
      <c r="U96" s="11"/>
      <c r="V96" s="14"/>
    </row>
    <row r="97" spans="2:22">
      <c r="B97" s="11"/>
      <c r="C97" s="11"/>
      <c r="E97" s="12"/>
      <c r="N97" s="4"/>
      <c r="O97" s="4"/>
      <c r="T97" s="13"/>
      <c r="U97" s="11"/>
      <c r="V97" s="14"/>
    </row>
    <row r="98" spans="2:22">
      <c r="B98" s="11"/>
      <c r="C98" s="11"/>
      <c r="E98" s="12"/>
      <c r="N98" s="4"/>
      <c r="O98" s="4"/>
      <c r="T98" s="13"/>
      <c r="U98" s="11"/>
      <c r="V98" s="14"/>
    </row>
    <row r="99" spans="2:22">
      <c r="B99" s="11"/>
      <c r="C99" s="11"/>
      <c r="E99" s="12"/>
      <c r="N99" s="4"/>
      <c r="O99" s="4"/>
      <c r="T99" s="13"/>
      <c r="U99" s="11"/>
      <c r="V99" s="14"/>
    </row>
    <row r="100" spans="2:22">
      <c r="B100" s="11"/>
      <c r="C100" s="11"/>
      <c r="E100" s="12"/>
      <c r="N100" s="4"/>
      <c r="O100" s="4"/>
      <c r="T100" s="13"/>
      <c r="U100" s="11"/>
      <c r="V100" s="14"/>
    </row>
    <row r="101" spans="2:22">
      <c r="B101" s="11"/>
      <c r="C101" s="11"/>
      <c r="E101" s="12"/>
      <c r="N101" s="4"/>
      <c r="O101" s="4"/>
      <c r="T101" s="13"/>
      <c r="U101" s="11"/>
      <c r="V101" s="14"/>
    </row>
    <row r="102" spans="2:22">
      <c r="B102" s="11"/>
      <c r="C102" s="11"/>
      <c r="E102" s="12"/>
      <c r="N102" s="4"/>
      <c r="O102" s="4"/>
      <c r="T102" s="13"/>
      <c r="U102" s="11"/>
      <c r="V102" s="14"/>
    </row>
    <row r="103" spans="2:22">
      <c r="B103" s="11"/>
      <c r="C103" s="11"/>
      <c r="E103" s="12"/>
      <c r="N103" s="4"/>
      <c r="O103" s="4"/>
      <c r="T103" s="13"/>
      <c r="U103" s="11"/>
      <c r="V103" s="14"/>
    </row>
    <row r="104" spans="2:22">
      <c r="B104" s="11"/>
      <c r="C104" s="11"/>
      <c r="E104" s="12"/>
      <c r="N104" s="4"/>
      <c r="O104" s="4"/>
      <c r="T104" s="13"/>
      <c r="U104" s="11"/>
      <c r="V104" s="14"/>
    </row>
    <row r="105" spans="2:22">
      <c r="B105" s="11"/>
      <c r="C105" s="11"/>
      <c r="E105" s="12"/>
      <c r="N105" s="4"/>
      <c r="O105" s="4"/>
      <c r="T105" s="13"/>
      <c r="U105" s="11"/>
      <c r="V105" s="14"/>
    </row>
    <row r="106" spans="2:22">
      <c r="B106" s="11"/>
      <c r="C106" s="11"/>
      <c r="E106" s="12"/>
      <c r="N106" s="4"/>
      <c r="O106" s="4"/>
      <c r="T106" s="13"/>
      <c r="U106" s="11"/>
      <c r="V106" s="14"/>
    </row>
    <row r="107" spans="2:22">
      <c r="B107" s="11"/>
      <c r="C107" s="11"/>
      <c r="E107" s="12"/>
      <c r="N107" s="4"/>
      <c r="O107" s="4"/>
      <c r="T107" s="13"/>
      <c r="U107" s="11"/>
      <c r="V107" s="14"/>
    </row>
    <row r="108" spans="2:22">
      <c r="B108" s="11"/>
      <c r="C108" s="11"/>
      <c r="E108" s="12"/>
      <c r="N108" s="4"/>
      <c r="O108" s="4"/>
      <c r="T108" s="13"/>
      <c r="U108" s="11"/>
      <c r="V108" s="14"/>
    </row>
    <row r="109" spans="2:22">
      <c r="B109" s="11"/>
      <c r="C109" s="11"/>
      <c r="E109" s="12"/>
      <c r="N109" s="4"/>
      <c r="O109" s="4"/>
      <c r="T109" s="13"/>
      <c r="U109" s="11"/>
      <c r="V109" s="14"/>
    </row>
    <row r="110" spans="2:22">
      <c r="B110" s="11"/>
      <c r="C110" s="11"/>
      <c r="E110" s="12"/>
      <c r="N110" s="4"/>
      <c r="O110" s="4"/>
      <c r="T110" s="13"/>
      <c r="U110" s="11"/>
      <c r="V110" s="14"/>
    </row>
    <row r="111" spans="2:22">
      <c r="B111" s="11"/>
      <c r="C111" s="11"/>
      <c r="E111" s="12"/>
      <c r="N111" s="4"/>
      <c r="O111" s="4"/>
      <c r="T111" s="13"/>
      <c r="U111" s="11"/>
      <c r="V111" s="14"/>
    </row>
    <row r="112" spans="2:22">
      <c r="B112" s="11"/>
      <c r="C112" s="11"/>
      <c r="E112" s="12"/>
      <c r="N112" s="4"/>
      <c r="O112" s="4"/>
      <c r="T112" s="13"/>
      <c r="U112" s="11"/>
      <c r="V112" s="14"/>
    </row>
    <row r="113" spans="2:22">
      <c r="B113" s="11"/>
      <c r="C113" s="11"/>
      <c r="E113" s="12"/>
      <c r="N113" s="4"/>
      <c r="O113" s="4"/>
      <c r="T113" s="13"/>
      <c r="U113" s="11"/>
      <c r="V113" s="14"/>
    </row>
    <row r="114" spans="2:22">
      <c r="B114" s="11"/>
      <c r="C114" s="11"/>
      <c r="E114" s="12"/>
      <c r="N114" s="4"/>
      <c r="O114" s="4"/>
      <c r="T114" s="13"/>
      <c r="U114" s="11"/>
      <c r="V114" s="14"/>
    </row>
    <row r="115" spans="2:22">
      <c r="B115" s="11"/>
      <c r="C115" s="11"/>
      <c r="E115" s="12"/>
      <c r="N115" s="4"/>
      <c r="O115" s="4"/>
      <c r="T115" s="13"/>
      <c r="U115" s="11"/>
      <c r="V115" s="14"/>
    </row>
    <row r="116" spans="2:22">
      <c r="B116" s="11"/>
      <c r="C116" s="11"/>
      <c r="E116" s="12"/>
      <c r="N116" s="4"/>
      <c r="O116" s="4"/>
      <c r="T116" s="13"/>
      <c r="U116" s="11"/>
      <c r="V116" s="14"/>
    </row>
    <row r="117" spans="2:22">
      <c r="B117" s="11"/>
      <c r="C117" s="11"/>
      <c r="E117" s="12"/>
      <c r="N117" s="4"/>
      <c r="O117" s="4"/>
      <c r="T117" s="13"/>
      <c r="U117" s="11"/>
      <c r="V117" s="14"/>
    </row>
    <row r="118" spans="2:22">
      <c r="B118" s="11"/>
      <c r="C118" s="11"/>
      <c r="E118" s="12"/>
      <c r="N118" s="4"/>
      <c r="O118" s="4"/>
      <c r="T118" s="13"/>
      <c r="U118" s="11"/>
      <c r="V118" s="14"/>
    </row>
    <row r="119" spans="2:22">
      <c r="B119" s="11"/>
      <c r="C119" s="11"/>
      <c r="E119" s="12"/>
      <c r="N119" s="4"/>
      <c r="O119" s="4"/>
      <c r="T119" s="13"/>
      <c r="U119" s="11"/>
      <c r="V119" s="14"/>
    </row>
    <row r="120" spans="2:22">
      <c r="B120" s="11"/>
      <c r="C120" s="11"/>
      <c r="E120" s="12"/>
      <c r="N120" s="4"/>
      <c r="O120" s="4"/>
      <c r="T120" s="13"/>
      <c r="U120" s="11"/>
      <c r="V120" s="14"/>
    </row>
    <row r="121" spans="2:22">
      <c r="B121" s="11"/>
      <c r="C121" s="11"/>
      <c r="E121" s="12"/>
      <c r="N121" s="4"/>
      <c r="O121" s="4"/>
      <c r="T121" s="13"/>
      <c r="U121" s="11"/>
      <c r="V121" s="14"/>
    </row>
    <row r="122" spans="2:22">
      <c r="B122" s="11"/>
      <c r="C122" s="11"/>
      <c r="E122" s="12"/>
      <c r="N122" s="4"/>
      <c r="O122" s="4"/>
      <c r="T122" s="13"/>
      <c r="U122" s="11"/>
      <c r="V122" s="14"/>
    </row>
    <row r="123" spans="2:22">
      <c r="B123" s="11"/>
      <c r="C123" s="11"/>
      <c r="E123" s="12"/>
      <c r="N123" s="4"/>
      <c r="O123" s="4"/>
      <c r="T123" s="13"/>
      <c r="U123" s="11"/>
      <c r="V123" s="14"/>
    </row>
    <row r="124" spans="2:22">
      <c r="B124" s="11"/>
      <c r="C124" s="11"/>
      <c r="E124" s="12"/>
      <c r="N124" s="4"/>
      <c r="O124" s="4"/>
      <c r="T124" s="13"/>
      <c r="U124" s="11"/>
      <c r="V124" s="14"/>
    </row>
    <row r="125" spans="2:22">
      <c r="B125" s="11"/>
      <c r="C125" s="11"/>
      <c r="E125" s="12"/>
      <c r="N125" s="4"/>
      <c r="O125" s="4"/>
      <c r="T125" s="13"/>
      <c r="U125" s="11"/>
      <c r="V125" s="14"/>
    </row>
    <row r="126" spans="2:22">
      <c r="B126" s="11"/>
      <c r="C126" s="11"/>
      <c r="E126" s="12"/>
      <c r="N126" s="4"/>
      <c r="O126" s="4"/>
      <c r="T126" s="13"/>
      <c r="U126" s="11"/>
      <c r="V126" s="14"/>
    </row>
    <row r="127" spans="2:22">
      <c r="B127" s="11"/>
      <c r="C127" s="11"/>
      <c r="E127" s="12"/>
      <c r="N127" s="4"/>
      <c r="O127" s="4"/>
      <c r="T127" s="13"/>
      <c r="U127" s="11"/>
      <c r="V127" s="14"/>
    </row>
    <row r="128" spans="2:22">
      <c r="B128" s="11"/>
      <c r="C128" s="11"/>
      <c r="E128" s="12"/>
      <c r="N128" s="4"/>
      <c r="O128" s="4"/>
      <c r="T128" s="13"/>
      <c r="U128" s="11"/>
      <c r="V128" s="14"/>
    </row>
    <row r="129" spans="2:22">
      <c r="B129" s="11"/>
      <c r="C129" s="11"/>
      <c r="E129" s="12"/>
      <c r="N129" s="4"/>
      <c r="O129" s="4"/>
      <c r="T129" s="13"/>
      <c r="U129" s="11"/>
      <c r="V129" s="14"/>
    </row>
    <row r="130" spans="2:22">
      <c r="B130" s="11"/>
      <c r="C130" s="11"/>
      <c r="E130" s="12"/>
      <c r="N130" s="4"/>
      <c r="O130" s="4"/>
      <c r="T130" s="13"/>
      <c r="U130" s="11"/>
      <c r="V130" s="14"/>
    </row>
    <row r="131" spans="2:22">
      <c r="B131" s="11"/>
      <c r="C131" s="11"/>
      <c r="E131" s="12"/>
      <c r="N131" s="4"/>
      <c r="O131" s="4"/>
      <c r="T131" s="13"/>
      <c r="U131" s="11"/>
      <c r="V131" s="14"/>
    </row>
    <row r="132" spans="2:22">
      <c r="B132" s="11"/>
      <c r="C132" s="11"/>
      <c r="E132" s="12"/>
      <c r="N132" s="4"/>
      <c r="O132" s="4"/>
      <c r="T132" s="13"/>
      <c r="U132" s="11"/>
      <c r="V132" s="14"/>
    </row>
    <row r="133" spans="2:22">
      <c r="B133" s="11"/>
      <c r="C133" s="11"/>
      <c r="E133" s="12"/>
      <c r="N133" s="4"/>
      <c r="O133" s="4"/>
      <c r="T133" s="13"/>
      <c r="U133" s="11"/>
      <c r="V133" s="14"/>
    </row>
    <row r="134" spans="2:22">
      <c r="B134" s="11"/>
      <c r="C134" s="11"/>
      <c r="E134" s="12"/>
      <c r="N134" s="4"/>
      <c r="O134" s="4"/>
      <c r="T134" s="13"/>
      <c r="U134" s="11"/>
      <c r="V134" s="14"/>
    </row>
    <row r="135" spans="2:22">
      <c r="B135" s="11"/>
      <c r="C135" s="11"/>
      <c r="E135" s="12"/>
      <c r="N135" s="4"/>
      <c r="O135" s="4"/>
      <c r="T135" s="13"/>
      <c r="U135" s="11"/>
      <c r="V135" s="14"/>
    </row>
    <row r="136" spans="2:22">
      <c r="B136" s="11"/>
      <c r="C136" s="11"/>
      <c r="E136" s="12"/>
      <c r="N136" s="4"/>
      <c r="O136" s="4"/>
      <c r="T136" s="13"/>
      <c r="U136" s="11"/>
      <c r="V136" s="14"/>
    </row>
    <row r="137" spans="2:22">
      <c r="B137" s="11"/>
      <c r="C137" s="11"/>
      <c r="E137" s="12"/>
      <c r="N137" s="4"/>
      <c r="O137" s="4"/>
      <c r="T137" s="13"/>
      <c r="U137" s="11"/>
      <c r="V137" s="14"/>
    </row>
    <row r="138" spans="2:22">
      <c r="B138" s="11"/>
      <c r="C138" s="11"/>
      <c r="E138" s="12"/>
      <c r="N138" s="4"/>
      <c r="O138" s="4"/>
      <c r="T138" s="13"/>
      <c r="U138" s="11"/>
      <c r="V138" s="14"/>
    </row>
    <row r="139" spans="2:22">
      <c r="B139" s="11"/>
      <c r="C139" s="11"/>
      <c r="E139" s="12"/>
      <c r="N139" s="4"/>
      <c r="O139" s="4"/>
      <c r="T139" s="13"/>
      <c r="U139" s="11"/>
      <c r="V139" s="14"/>
    </row>
    <row r="140" spans="2:22">
      <c r="B140" s="11"/>
      <c r="C140" s="11"/>
      <c r="E140" s="12"/>
      <c r="N140" s="4"/>
      <c r="O140" s="4"/>
      <c r="T140" s="13"/>
      <c r="U140" s="11"/>
      <c r="V140" s="14"/>
    </row>
    <row r="141" spans="2:22">
      <c r="B141" s="11"/>
      <c r="C141" s="11"/>
      <c r="E141" s="12"/>
      <c r="N141" s="4"/>
      <c r="O141" s="4"/>
      <c r="T141" s="13"/>
      <c r="U141" s="11"/>
      <c r="V141" s="14"/>
    </row>
    <row r="142" spans="2:22">
      <c r="B142" s="11"/>
      <c r="C142" s="11"/>
      <c r="E142" s="12"/>
      <c r="N142" s="4"/>
      <c r="O142" s="4"/>
      <c r="T142" s="13"/>
      <c r="U142" s="11"/>
      <c r="V142" s="14"/>
    </row>
    <row r="143" spans="2:22">
      <c r="B143" s="11"/>
      <c r="C143" s="11"/>
      <c r="E143" s="12"/>
      <c r="N143" s="4"/>
      <c r="O143" s="4"/>
      <c r="T143" s="13"/>
      <c r="U143" s="11"/>
      <c r="V143" s="14"/>
    </row>
    <row r="144" spans="2:22">
      <c r="B144" s="11"/>
      <c r="C144" s="11"/>
      <c r="E144" s="12"/>
      <c r="N144" s="4"/>
      <c r="O144" s="4"/>
      <c r="T144" s="13"/>
      <c r="U144" s="11"/>
      <c r="V144" s="14"/>
    </row>
    <row r="145" spans="2:22">
      <c r="B145" s="11"/>
      <c r="C145" s="11"/>
      <c r="E145" s="12"/>
      <c r="N145" s="4"/>
      <c r="O145" s="4"/>
      <c r="T145" s="13"/>
      <c r="U145" s="11"/>
      <c r="V145" s="14"/>
    </row>
    <row r="146" spans="2:22">
      <c r="B146" s="11"/>
      <c r="C146" s="11"/>
      <c r="E146" s="12"/>
      <c r="N146" s="4"/>
      <c r="O146" s="4"/>
      <c r="T146" s="13"/>
      <c r="U146" s="11"/>
      <c r="V146" s="14"/>
    </row>
    <row r="147" spans="2:22">
      <c r="B147" s="11"/>
      <c r="C147" s="11"/>
      <c r="E147" s="12"/>
      <c r="N147" s="4"/>
      <c r="O147" s="4"/>
      <c r="T147" s="13"/>
      <c r="U147" s="11"/>
      <c r="V147" s="14"/>
    </row>
    <row r="148" spans="2:22">
      <c r="B148" s="11"/>
      <c r="C148" s="11"/>
      <c r="E148" s="12"/>
      <c r="N148" s="4"/>
      <c r="O148" s="4"/>
      <c r="T148" s="13"/>
      <c r="U148" s="11"/>
      <c r="V148" s="14"/>
    </row>
    <row r="149" spans="2:22">
      <c r="B149" s="11"/>
      <c r="C149" s="11"/>
      <c r="E149" s="12"/>
      <c r="N149" s="4"/>
      <c r="O149" s="4"/>
      <c r="T149" s="13"/>
      <c r="U149" s="11"/>
      <c r="V149" s="14"/>
    </row>
    <row r="150" spans="2:22">
      <c r="B150" s="11"/>
      <c r="C150" s="11"/>
      <c r="E150" s="12"/>
      <c r="N150" s="4"/>
      <c r="O150" s="4"/>
      <c r="T150" s="13"/>
      <c r="U150" s="11"/>
      <c r="V150" s="14"/>
    </row>
    <row r="151" spans="2:22">
      <c r="B151" s="11"/>
      <c r="C151" s="11"/>
      <c r="E151" s="12"/>
      <c r="N151" s="4"/>
      <c r="O151" s="4"/>
      <c r="T151" s="13"/>
      <c r="U151" s="11"/>
      <c r="V151" s="14"/>
    </row>
    <row r="152" spans="2:22">
      <c r="B152" s="11"/>
      <c r="C152" s="11"/>
      <c r="E152" s="12"/>
      <c r="N152" s="4"/>
      <c r="O152" s="4"/>
      <c r="T152" s="13"/>
      <c r="U152" s="11"/>
      <c r="V152" s="14"/>
    </row>
    <row r="153" spans="2:22">
      <c r="B153" s="11"/>
      <c r="C153" s="11"/>
      <c r="E153" s="12"/>
      <c r="N153" s="4"/>
      <c r="O153" s="4"/>
      <c r="T153" s="13"/>
      <c r="U153" s="11"/>
      <c r="V153" s="14"/>
    </row>
    <row r="154" spans="2:22">
      <c r="B154" s="11"/>
      <c r="C154" s="11"/>
      <c r="E154" s="12"/>
      <c r="N154" s="4"/>
      <c r="O154" s="4"/>
      <c r="T154" s="13"/>
      <c r="U154" s="11"/>
      <c r="V154" s="14"/>
    </row>
    <row r="155" spans="2:22">
      <c r="B155" s="11"/>
      <c r="C155" s="11"/>
      <c r="E155" s="12"/>
      <c r="N155" s="4"/>
      <c r="O155" s="4"/>
      <c r="T155" s="13"/>
      <c r="U155" s="11"/>
      <c r="V155" s="14"/>
    </row>
    <row r="156" spans="2:22">
      <c r="B156" s="11"/>
      <c r="C156" s="11"/>
      <c r="E156" s="12"/>
      <c r="N156" s="4"/>
      <c r="O156" s="4"/>
      <c r="T156" s="13"/>
      <c r="U156" s="11"/>
      <c r="V156" s="14"/>
    </row>
    <row r="157" spans="2:22">
      <c r="B157" s="11"/>
      <c r="C157" s="11"/>
      <c r="E157" s="12"/>
      <c r="N157" s="4"/>
      <c r="O157" s="4"/>
      <c r="T157" s="13"/>
      <c r="U157" s="11"/>
      <c r="V157" s="14"/>
    </row>
    <row r="158" spans="2:22">
      <c r="B158" s="11"/>
      <c r="C158" s="11"/>
      <c r="E158" s="12"/>
      <c r="N158" s="4"/>
      <c r="O158" s="4"/>
      <c r="T158" s="13"/>
      <c r="U158" s="11"/>
      <c r="V158" s="14"/>
    </row>
    <row r="159" spans="2:22">
      <c r="T159" s="17"/>
    </row>
    <row r="160" spans="2:22">
      <c r="T160" s="17"/>
    </row>
    <row r="161" spans="20:20">
      <c r="T161" s="17"/>
    </row>
    <row r="162" spans="20:20">
      <c r="T162" s="17"/>
    </row>
    <row r="163" spans="20:20">
      <c r="T163" s="17"/>
    </row>
    <row r="164" spans="20:20">
      <c r="T164" s="17"/>
    </row>
    <row r="165" spans="20:20">
      <c r="T165" s="17"/>
    </row>
    <row r="166" spans="20:20">
      <c r="T166" s="17"/>
    </row>
    <row r="167" spans="20:20">
      <c r="T167" s="17"/>
    </row>
    <row r="168" spans="20:20">
      <c r="T168" s="17"/>
    </row>
    <row r="169" spans="20:20">
      <c r="T169" s="17"/>
    </row>
    <row r="170" spans="20:20">
      <c r="T170" s="17"/>
    </row>
    <row r="171" spans="20:20">
      <c r="T171" s="17"/>
    </row>
    <row r="172" spans="20:20">
      <c r="T172" s="17"/>
    </row>
    <row r="173" spans="20:20">
      <c r="T173" s="17"/>
    </row>
    <row r="174" spans="20:20">
      <c r="T174" s="17"/>
    </row>
    <row r="175" spans="20:20">
      <c r="T175" s="17"/>
    </row>
    <row r="176" spans="20:20">
      <c r="T176" s="17"/>
    </row>
    <row r="177" spans="20:20">
      <c r="T177" s="17"/>
    </row>
    <row r="178" spans="20:20">
      <c r="T178" s="17"/>
    </row>
    <row r="179" spans="20:20">
      <c r="T179" s="17"/>
    </row>
    <row r="180" spans="20:20">
      <c r="T180" s="17"/>
    </row>
    <row r="181" spans="20:20">
      <c r="T181" s="17"/>
    </row>
    <row r="182" spans="20:20">
      <c r="T182" s="17"/>
    </row>
    <row r="183" spans="20:20">
      <c r="T183" s="17"/>
    </row>
    <row r="184" spans="20:20">
      <c r="T184" s="17"/>
    </row>
    <row r="185" spans="20:20">
      <c r="T185" s="17"/>
    </row>
    <row r="186" spans="20:20">
      <c r="T186" s="17"/>
    </row>
    <row r="187" spans="20:20">
      <c r="T187" s="17"/>
    </row>
    <row r="188" spans="20:20">
      <c r="T188" s="17"/>
    </row>
    <row r="189" spans="20:20">
      <c r="T189" s="17"/>
    </row>
    <row r="190" spans="20:20">
      <c r="T190" s="17"/>
    </row>
    <row r="191" spans="20:20">
      <c r="T191" s="17"/>
    </row>
    <row r="192" spans="20:20">
      <c r="T192" s="17"/>
    </row>
    <row r="193" spans="20:20">
      <c r="T193" s="17"/>
    </row>
    <row r="194" spans="20:20">
      <c r="T194" s="17"/>
    </row>
    <row r="195" spans="20:20">
      <c r="T195" s="17"/>
    </row>
    <row r="196" spans="20:20">
      <c r="T196" s="17"/>
    </row>
    <row r="197" spans="20:20">
      <c r="T197" s="17"/>
    </row>
    <row r="198" spans="20:20">
      <c r="T198" s="17"/>
    </row>
    <row r="199" spans="20:20">
      <c r="T199" s="17"/>
    </row>
    <row r="200" spans="20:20">
      <c r="T200" s="17"/>
    </row>
    <row r="201" spans="20:20">
      <c r="T201" s="17"/>
    </row>
    <row r="202" spans="20:20">
      <c r="T202" s="17"/>
    </row>
    <row r="203" spans="20:20">
      <c r="T203" s="17"/>
    </row>
    <row r="204" spans="20:20">
      <c r="T204" s="17"/>
    </row>
    <row r="205" spans="20:20">
      <c r="T205" s="17"/>
    </row>
    <row r="206" spans="20:20">
      <c r="T206" s="17"/>
    </row>
    <row r="207" spans="20:20">
      <c r="T207" s="17"/>
    </row>
    <row r="208" spans="20:20">
      <c r="T208" s="17"/>
    </row>
    <row r="209" spans="20:20">
      <c r="T209" s="17"/>
    </row>
    <row r="210" spans="20:20">
      <c r="T210" s="17"/>
    </row>
    <row r="211" spans="20:20">
      <c r="T211" s="17"/>
    </row>
    <row r="212" spans="20:20">
      <c r="T212" s="17"/>
    </row>
    <row r="213" spans="20:20">
      <c r="T213" s="17"/>
    </row>
    <row r="214" spans="20:20">
      <c r="T214" s="17"/>
    </row>
    <row r="215" spans="20:20">
      <c r="T215" s="17"/>
    </row>
    <row r="216" spans="20:20">
      <c r="T216" s="17"/>
    </row>
    <row r="217" spans="20:20">
      <c r="T217" s="17"/>
    </row>
    <row r="218" spans="20:20">
      <c r="T218" s="17"/>
    </row>
    <row r="219" spans="20:20">
      <c r="T219" s="17"/>
    </row>
    <row r="220" spans="20:20">
      <c r="T220" s="17"/>
    </row>
    <row r="221" spans="20:20">
      <c r="T221" s="17"/>
    </row>
    <row r="222" spans="20:20">
      <c r="T222" s="17"/>
    </row>
    <row r="223" spans="20:20">
      <c r="T223" s="17"/>
    </row>
    <row r="224" spans="20:20">
      <c r="T224" s="17"/>
    </row>
    <row r="225" spans="20:20">
      <c r="T225" s="17"/>
    </row>
    <row r="226" spans="20:20">
      <c r="T226" s="17"/>
    </row>
    <row r="227" spans="20:20">
      <c r="T227" s="17"/>
    </row>
    <row r="228" spans="20:20">
      <c r="T228" s="17"/>
    </row>
    <row r="229" spans="20:20">
      <c r="T229" s="17"/>
    </row>
    <row r="230" spans="20:20">
      <c r="T230" s="17"/>
    </row>
    <row r="231" spans="20:20">
      <c r="T231" s="17"/>
    </row>
    <row r="232" spans="20:20">
      <c r="T232" s="17"/>
    </row>
    <row r="233" spans="20:20">
      <c r="T233" s="17"/>
    </row>
    <row r="234" spans="20:20">
      <c r="T234" s="17"/>
    </row>
    <row r="235" spans="20:20">
      <c r="T235" s="17"/>
    </row>
    <row r="236" spans="20:20">
      <c r="T236" s="17"/>
    </row>
    <row r="237" spans="20:20">
      <c r="T237" s="17"/>
    </row>
    <row r="238" spans="20:20">
      <c r="T238" s="17"/>
    </row>
    <row r="239" spans="20:20">
      <c r="T239" s="17"/>
    </row>
    <row r="240" spans="20:20">
      <c r="T240" s="17"/>
    </row>
    <row r="241" spans="20:20">
      <c r="T241" s="17"/>
    </row>
    <row r="242" spans="20:20">
      <c r="T242" s="17"/>
    </row>
    <row r="243" spans="20:20">
      <c r="T243" s="17"/>
    </row>
    <row r="244" spans="20:20">
      <c r="T244" s="17"/>
    </row>
    <row r="245" spans="20:20">
      <c r="T245" s="17"/>
    </row>
    <row r="246" spans="20:20">
      <c r="T246" s="17"/>
    </row>
    <row r="247" spans="20:20">
      <c r="T247" s="17"/>
    </row>
    <row r="248" spans="20:20">
      <c r="T248" s="17"/>
    </row>
    <row r="249" spans="20:20">
      <c r="T249" s="17"/>
    </row>
    <row r="250" spans="20:20">
      <c r="T250" s="17"/>
    </row>
    <row r="251" spans="20:20">
      <c r="T251" s="17"/>
    </row>
    <row r="252" spans="20:20">
      <c r="T252" s="17"/>
    </row>
    <row r="253" spans="20:20">
      <c r="T253" s="17"/>
    </row>
    <row r="254" spans="20:20">
      <c r="T254" s="17"/>
    </row>
    <row r="255" spans="20:20">
      <c r="T255" s="17"/>
    </row>
    <row r="256" spans="20:20">
      <c r="T256" s="17"/>
    </row>
    <row r="257" spans="20:20">
      <c r="T257" s="17"/>
    </row>
    <row r="258" spans="20:20">
      <c r="T258" s="17"/>
    </row>
    <row r="259" spans="20:20">
      <c r="T259" s="17"/>
    </row>
    <row r="260" spans="20:20">
      <c r="T260" s="17"/>
    </row>
    <row r="261" spans="20:20">
      <c r="T261" s="17"/>
    </row>
    <row r="262" spans="20:20">
      <c r="T262" s="17"/>
    </row>
    <row r="263" spans="20:20">
      <c r="T263" s="17"/>
    </row>
    <row r="264" spans="20:20">
      <c r="T264" s="17"/>
    </row>
    <row r="265" spans="20:20">
      <c r="T265" s="17"/>
    </row>
    <row r="266" spans="20:20">
      <c r="T266" s="17"/>
    </row>
    <row r="267" spans="20:20">
      <c r="T267" s="17"/>
    </row>
    <row r="268" spans="20:20">
      <c r="T268" s="17"/>
    </row>
    <row r="269" spans="20:20">
      <c r="T269" s="17"/>
    </row>
    <row r="270" spans="20:20">
      <c r="T270" s="17"/>
    </row>
    <row r="271" spans="20:20">
      <c r="T271" s="17"/>
    </row>
    <row r="272" spans="20:20">
      <c r="T272" s="17"/>
    </row>
    <row r="273" spans="20:20">
      <c r="T273" s="17"/>
    </row>
    <row r="274" spans="20:20">
      <c r="T274" s="17"/>
    </row>
    <row r="275" spans="20:20">
      <c r="T275" s="17"/>
    </row>
    <row r="276" spans="20:20">
      <c r="T276" s="17"/>
    </row>
    <row r="277" spans="20:20">
      <c r="T277" s="17"/>
    </row>
    <row r="278" spans="20:20">
      <c r="T278" s="17"/>
    </row>
    <row r="279" spans="20:20">
      <c r="T279" s="17"/>
    </row>
    <row r="280" spans="20:20">
      <c r="T280" s="17"/>
    </row>
    <row r="281" spans="20:20">
      <c r="T281" s="17"/>
    </row>
    <row r="282" spans="20:20">
      <c r="T282" s="17"/>
    </row>
    <row r="283" spans="20:20">
      <c r="T283" s="17"/>
    </row>
    <row r="284" spans="20:20">
      <c r="T284" s="17"/>
    </row>
    <row r="285" spans="20:20">
      <c r="T285" s="17"/>
    </row>
    <row r="286" spans="20:20">
      <c r="T286" s="17"/>
    </row>
    <row r="287" spans="20:20">
      <c r="T287" s="17"/>
    </row>
    <row r="288" spans="20:20">
      <c r="T288" s="17"/>
    </row>
    <row r="289" spans="20:20">
      <c r="T289" s="17"/>
    </row>
    <row r="290" spans="20:20">
      <c r="T290" s="17"/>
    </row>
    <row r="291" spans="20:20">
      <c r="T291" s="17"/>
    </row>
    <row r="292" spans="20:20">
      <c r="T292" s="17"/>
    </row>
    <row r="293" spans="20:20">
      <c r="T293" s="17"/>
    </row>
    <row r="294" spans="20:20">
      <c r="T294" s="17"/>
    </row>
    <row r="295" spans="20:20">
      <c r="T295" s="17"/>
    </row>
    <row r="296" spans="20:20">
      <c r="T296" s="17"/>
    </row>
    <row r="297" spans="20:20">
      <c r="T297" s="17"/>
    </row>
    <row r="298" spans="20:20">
      <c r="T298" s="17"/>
    </row>
    <row r="299" spans="20:20">
      <c r="T299" s="17"/>
    </row>
    <row r="300" spans="20:20">
      <c r="T300" s="17"/>
    </row>
    <row r="301" spans="20:20">
      <c r="T301" s="17"/>
    </row>
    <row r="302" spans="20:20">
      <c r="T302" s="17"/>
    </row>
    <row r="303" spans="20:20">
      <c r="T303" s="17"/>
    </row>
    <row r="304" spans="20:20">
      <c r="T304" s="17"/>
    </row>
    <row r="305" spans="20:20">
      <c r="T305" s="17"/>
    </row>
    <row r="306" spans="20:20">
      <c r="T306" s="17"/>
    </row>
    <row r="307" spans="20:20">
      <c r="T307" s="17"/>
    </row>
    <row r="308" spans="20:20">
      <c r="T308" s="17"/>
    </row>
    <row r="309" spans="20:20">
      <c r="T309" s="17"/>
    </row>
    <row r="310" spans="20:20">
      <c r="T310" s="17"/>
    </row>
    <row r="311" spans="20:20">
      <c r="T311" s="17"/>
    </row>
    <row r="312" spans="20:20">
      <c r="T312" s="17"/>
    </row>
    <row r="313" spans="20:20">
      <c r="T313" s="17"/>
    </row>
    <row r="314" spans="20:20">
      <c r="T314" s="17"/>
    </row>
    <row r="315" spans="20:20">
      <c r="T315" s="17"/>
    </row>
    <row r="316" spans="20:20">
      <c r="T316" s="17"/>
    </row>
    <row r="317" spans="20:20">
      <c r="T317" s="17"/>
    </row>
    <row r="318" spans="20:20">
      <c r="T318" s="17"/>
    </row>
    <row r="319" spans="20:20">
      <c r="T319" s="17"/>
    </row>
    <row r="320" spans="20:20">
      <c r="T320" s="17"/>
    </row>
    <row r="321" spans="20:20">
      <c r="T321" s="17"/>
    </row>
    <row r="322" spans="20:20">
      <c r="T322" s="17"/>
    </row>
    <row r="323" spans="20:20">
      <c r="T323" s="17"/>
    </row>
    <row r="324" spans="20:20">
      <c r="T324" s="17"/>
    </row>
    <row r="325" spans="20:20">
      <c r="T325" s="17"/>
    </row>
    <row r="326" spans="20:20">
      <c r="T326" s="17"/>
    </row>
    <row r="327" spans="20:20">
      <c r="T327" s="17"/>
    </row>
    <row r="328" spans="20:20">
      <c r="T328" s="17"/>
    </row>
    <row r="329" spans="20:20">
      <c r="T329" s="17"/>
    </row>
    <row r="330" spans="20:20">
      <c r="T330" s="17"/>
    </row>
    <row r="331" spans="20:20">
      <c r="T331" s="17"/>
    </row>
    <row r="332" spans="20:20">
      <c r="T332" s="17"/>
    </row>
    <row r="333" spans="20:20">
      <c r="T333" s="17"/>
    </row>
    <row r="334" spans="20:20">
      <c r="T334" s="17"/>
    </row>
    <row r="335" spans="20:20">
      <c r="T335" s="17"/>
    </row>
    <row r="336" spans="20:20">
      <c r="T336" s="17"/>
    </row>
    <row r="337" spans="20:20">
      <c r="T337" s="17"/>
    </row>
    <row r="338" spans="20:20">
      <c r="T338" s="17"/>
    </row>
    <row r="339" spans="20:20">
      <c r="T339" s="17"/>
    </row>
    <row r="340" spans="20:20">
      <c r="T340" s="17"/>
    </row>
    <row r="341" spans="20:20">
      <c r="T341" s="17"/>
    </row>
    <row r="342" spans="20:20">
      <c r="T342" s="17"/>
    </row>
    <row r="343" spans="20:20">
      <c r="T343" s="17"/>
    </row>
    <row r="344" spans="20:20">
      <c r="T344" s="17"/>
    </row>
    <row r="345" spans="20:20">
      <c r="T345" s="17"/>
    </row>
    <row r="346" spans="20:20">
      <c r="T346" s="17"/>
    </row>
    <row r="347" spans="20:20">
      <c r="T347" s="17"/>
    </row>
    <row r="348" spans="20:20">
      <c r="T348" s="17"/>
    </row>
    <row r="349" spans="20:20">
      <c r="T349" s="17"/>
    </row>
    <row r="350" spans="20:20">
      <c r="T350" s="17"/>
    </row>
    <row r="351" spans="20:20">
      <c r="T351" s="17"/>
    </row>
    <row r="352" spans="20:20">
      <c r="T352" s="17"/>
    </row>
    <row r="353" spans="20:20">
      <c r="T353" s="17"/>
    </row>
    <row r="354" spans="20:20">
      <c r="T354" s="17"/>
    </row>
    <row r="355" spans="20:20">
      <c r="T355" s="17"/>
    </row>
    <row r="356" spans="20:20">
      <c r="T356" s="17"/>
    </row>
    <row r="357" spans="20:20">
      <c r="T357" s="17"/>
    </row>
    <row r="358" spans="20:20">
      <c r="T358" s="17"/>
    </row>
  </sheetData>
  <mergeCells count="7">
    <mergeCell ref="N1:O1"/>
    <mergeCell ref="T1:W1"/>
    <mergeCell ref="D1:F1"/>
    <mergeCell ref="G1:I1"/>
    <mergeCell ref="P1:S1"/>
    <mergeCell ref="J1:K1"/>
    <mergeCell ref="L1:M1"/>
  </mergeCells>
  <phoneticPr fontId="2" type="noConversion"/>
  <conditionalFormatting sqref="J3:J1048576">
    <cfRule type="expression" dxfId="3" priority="3">
      <formula>J3&gt;D3</formula>
    </cfRule>
  </conditionalFormatting>
  <conditionalFormatting sqref="L3:L1048576">
    <cfRule type="expression" dxfId="2" priority="6">
      <formula>L3&gt;D3</formula>
    </cfRule>
  </conditionalFormatting>
  <conditionalFormatting sqref="M3:M1048576">
    <cfRule type="expression" dxfId="1" priority="4">
      <formula>D3&gt;M3</formula>
    </cfRule>
  </conditionalFormatting>
  <conditionalFormatting sqref="V3:V1048576">
    <cfRule type="expression" dxfId="0" priority="1">
      <formula>V3&lt;TODAY()</formula>
    </cfRule>
  </conditionalFormatting>
  <pageMargins left="0.25" right="0.25" top="0.75" bottom="0.75" header="0.3" footer="0.3"/>
  <pageSetup scale="5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B8B86-2106-47AA-B6E8-452642EDB9D4}">
  <sheetPr>
    <tabColor theme="4" tint="-0.249977111117893"/>
  </sheetPr>
  <dimension ref="A1"/>
  <sheetViews>
    <sheetView showGridLines="0" showRowColHeaders="0" topLeftCell="A1048576" workbookViewId="0">
      <selection sqref="A1:XFD1048576"/>
    </sheetView>
  </sheetViews>
  <sheetFormatPr defaultRowHeight="15.75" customHeight="1" zeroHeight="1"/>
  <cols>
    <col min="1" max="16384" width="9.06640625" style="72"/>
  </cols>
  <sheetData/>
  <phoneticPr fontId="2" type="noConversion"/>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60D14-1F64-4D73-BBAC-22718A84BD18}">
  <dimension ref="A1:E31"/>
  <sheetViews>
    <sheetView showGridLines="0" zoomScaleNormal="100" workbookViewId="0">
      <selection activeCell="D6" sqref="D6"/>
    </sheetView>
  </sheetViews>
  <sheetFormatPr defaultColWidth="8.796875" defaultRowHeight="11.65"/>
  <cols>
    <col min="1" max="1" width="2.46484375" style="1" customWidth="1"/>
    <col min="2" max="2" width="30.19921875" style="1" bestFit="1" customWidth="1"/>
    <col min="3" max="5" width="15.59765625" style="1" customWidth="1"/>
    <col min="6" max="16384" width="8.796875" style="1"/>
  </cols>
  <sheetData>
    <row r="1" spans="1:5">
      <c r="B1" s="20" t="s">
        <v>143</v>
      </c>
    </row>
    <row r="2" spans="1:5">
      <c r="A2" s="31"/>
      <c r="B2" s="32" t="s">
        <v>18</v>
      </c>
      <c r="C2" s="18"/>
      <c r="D2" s="22"/>
      <c r="E2" s="18"/>
    </row>
    <row r="3" spans="1:5">
      <c r="C3" s="28" t="s">
        <v>19</v>
      </c>
      <c r="D3" s="28" t="s">
        <v>20</v>
      </c>
      <c r="E3" s="28" t="s">
        <v>21</v>
      </c>
    </row>
    <row r="4" spans="1:5">
      <c r="B4" s="33" t="s">
        <v>22</v>
      </c>
      <c r="C4" s="34">
        <v>4.2599999999999999E-2</v>
      </c>
      <c r="D4" s="34">
        <v>7.4999999999999997E-2</v>
      </c>
      <c r="E4" s="35">
        <f>D4-C4</f>
        <v>3.2399999999999998E-2</v>
      </c>
    </row>
    <row r="5" spans="1:5">
      <c r="B5" s="33" t="s">
        <v>23</v>
      </c>
      <c r="C5" s="34">
        <v>1.9E-2</v>
      </c>
      <c r="D5" s="34">
        <v>3.1E-2</v>
      </c>
      <c r="E5" s="35">
        <f>D5-C5</f>
        <v>1.2E-2</v>
      </c>
    </row>
    <row r="6" spans="1:5">
      <c r="B6" s="33" t="s">
        <v>24</v>
      </c>
      <c r="C6" s="34">
        <v>3.4500000000000003E-2</v>
      </c>
      <c r="D6" s="34">
        <v>5.2499999999999998E-2</v>
      </c>
      <c r="E6" s="35">
        <f>D6-C6</f>
        <v>1.7999999999999995E-2</v>
      </c>
    </row>
    <row r="8" spans="1:5">
      <c r="A8" s="31"/>
      <c r="B8" s="32" t="s">
        <v>25</v>
      </c>
    </row>
    <row r="9" spans="1:5">
      <c r="B9" s="1" t="s">
        <v>57</v>
      </c>
      <c r="C9" s="28" t="s">
        <v>26</v>
      </c>
    </row>
    <row r="10" spans="1:5">
      <c r="B10" s="26" t="s">
        <v>27</v>
      </c>
      <c r="C10" s="34">
        <v>9.9400000000000002E-2</v>
      </c>
    </row>
    <row r="11" spans="1:5">
      <c r="B11" s="26" t="s">
        <v>28</v>
      </c>
      <c r="C11" s="34">
        <v>0.1174</v>
      </c>
    </row>
    <row r="12" spans="1:5">
      <c r="B12" s="26" t="s">
        <v>29</v>
      </c>
      <c r="C12" s="34">
        <v>3.4500000000000003E-2</v>
      </c>
    </row>
    <row r="13" spans="1:5">
      <c r="B13" s="26" t="s">
        <v>30</v>
      </c>
      <c r="C13" s="34">
        <v>3.3099999999999997E-2</v>
      </c>
    </row>
    <row r="14" spans="1:5">
      <c r="B14" s="26" t="s">
        <v>31</v>
      </c>
      <c r="C14" s="34">
        <v>4.2299999999999997E-2</v>
      </c>
    </row>
    <row r="15" spans="1:5">
      <c r="B15" s="26" t="s">
        <v>32</v>
      </c>
      <c r="C15" s="34">
        <v>5.1200000000000002E-2</v>
      </c>
    </row>
    <row r="16" spans="1:5">
      <c r="B16" s="36" t="s">
        <v>65</v>
      </c>
      <c r="C16" s="37">
        <f>MAX(Portfolio_Mgmt!C36,C10:C15)</f>
        <v>0.1174</v>
      </c>
    </row>
    <row r="18" spans="1:5">
      <c r="A18" s="31"/>
      <c r="B18" s="32" t="s">
        <v>33</v>
      </c>
      <c r="C18" s="18"/>
      <c r="D18" s="22"/>
      <c r="E18" s="18"/>
    </row>
    <row r="19" spans="1:5">
      <c r="B19" s="18" t="s">
        <v>34</v>
      </c>
      <c r="C19" s="38" t="s">
        <v>35</v>
      </c>
    </row>
    <row r="20" spans="1:5">
      <c r="B20" s="1" t="s">
        <v>36</v>
      </c>
      <c r="C20" s="38" t="s">
        <v>37</v>
      </c>
    </row>
    <row r="21" spans="1:5">
      <c r="B21" s="1" t="s">
        <v>38</v>
      </c>
      <c r="C21" s="38" t="s">
        <v>39</v>
      </c>
    </row>
    <row r="22" spans="1:5">
      <c r="C22" s="38"/>
    </row>
    <row r="23" spans="1:5">
      <c r="B23" s="1" t="s">
        <v>40</v>
      </c>
      <c r="C23" s="38" t="s">
        <v>41</v>
      </c>
    </row>
    <row r="24" spans="1:5">
      <c r="B24" s="1" t="s">
        <v>42</v>
      </c>
      <c r="C24" s="38" t="s">
        <v>43</v>
      </c>
    </row>
    <row r="25" spans="1:5">
      <c r="C25" s="38"/>
    </row>
    <row r="26" spans="1:5">
      <c r="B26" s="1" t="s">
        <v>44</v>
      </c>
      <c r="C26" s="38" t="s">
        <v>45</v>
      </c>
    </row>
    <row r="27" spans="1:5">
      <c r="B27" s="1" t="s">
        <v>46</v>
      </c>
      <c r="C27" s="38" t="s">
        <v>47</v>
      </c>
    </row>
    <row r="28" spans="1:5">
      <c r="C28" s="38"/>
    </row>
    <row r="29" spans="1:5">
      <c r="B29" s="1" t="s">
        <v>48</v>
      </c>
      <c r="C29" s="38" t="s">
        <v>49</v>
      </c>
    </row>
    <row r="31" spans="1:5">
      <c r="B31" s="1" t="s">
        <v>50</v>
      </c>
      <c r="C31" s="38" t="s">
        <v>51</v>
      </c>
    </row>
  </sheetData>
  <phoneticPr fontId="2" type="noConversion"/>
  <hyperlinks>
    <hyperlink ref="C23" r:id="rId1" xr:uid="{6B546AA7-2B0C-4428-81DD-DF73E91105ED}"/>
    <hyperlink ref="C19" r:id="rId2" xr:uid="{FBF6514A-AA7C-492E-837D-9693F4B1BF61}"/>
    <hyperlink ref="C29" r:id="rId3" xr:uid="{0B536BD0-1C9D-48D9-BE87-499C48D7A2DA}"/>
    <hyperlink ref="C20" r:id="rId4" xr:uid="{64320D73-0C91-4543-A716-CC8C239E517C}"/>
    <hyperlink ref="C24" r:id="rId5" xr:uid="{46AE8994-AE24-48A7-A28B-525FF601CDC5}"/>
    <hyperlink ref="C26" r:id="rId6" xr:uid="{93438CEE-3750-4D25-A9C7-1AB257F771BF}"/>
    <hyperlink ref="C27" r:id="rId7" xr:uid="{6BFFE2DD-44EE-4536-9535-5B23C094A18E}"/>
    <hyperlink ref="C21" r:id="rId8" xr:uid="{343B68E0-A2FF-4A26-9F49-F7D9A2BDC147}"/>
    <hyperlink ref="C31" r:id="rId9" xr:uid="{05CFC315-F57E-4B19-9DA2-2DADD0FC3616}"/>
  </hyperlinks>
  <pageMargins left="0.7" right="0.7" top="0.75" bottom="0.75" header="0.3" footer="0.3"/>
  <pageSetup orientation="portrait"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F047E-EC38-4C3A-BA81-E6C9549453D6}">
  <dimension ref="A1:H33"/>
  <sheetViews>
    <sheetView tabSelected="1" zoomScale="87" workbookViewId="0">
      <selection activeCell="E12" sqref="E12"/>
    </sheetView>
  </sheetViews>
  <sheetFormatPr defaultRowHeight="12.75"/>
  <cols>
    <col min="1" max="1" width="2.59765625" style="65" customWidth="1"/>
    <col min="2" max="2" width="16.59765625" style="65" bestFit="1" customWidth="1"/>
    <col min="3" max="4" width="9.06640625" style="65"/>
    <col min="5" max="6" width="15.59765625" style="65" customWidth="1"/>
    <col min="7" max="8" width="9.9296875" style="65" customWidth="1"/>
    <col min="9" max="16384" width="9.06640625" style="65"/>
  </cols>
  <sheetData>
    <row r="1" spans="1:8" ht="13.15">
      <c r="A1" s="63"/>
      <c r="B1" s="64" t="s">
        <v>214</v>
      </c>
    </row>
    <row r="2" spans="1:8" ht="29.65" customHeight="1">
      <c r="B2" s="66" t="s">
        <v>3</v>
      </c>
      <c r="C2" s="66" t="s">
        <v>217</v>
      </c>
      <c r="D2" s="66" t="s">
        <v>216</v>
      </c>
      <c r="E2" s="66" t="s">
        <v>215</v>
      </c>
      <c r="F2" s="66" t="s">
        <v>222</v>
      </c>
      <c r="G2" s="66" t="s">
        <v>231</v>
      </c>
      <c r="H2" s="66" t="s">
        <v>202</v>
      </c>
    </row>
    <row r="3" spans="1:8">
      <c r="B3" s="77" t="s">
        <v>30</v>
      </c>
      <c r="C3" s="75" t="s">
        <v>221</v>
      </c>
      <c r="D3" s="74" t="s">
        <v>218</v>
      </c>
      <c r="E3" s="76" t="s">
        <v>221</v>
      </c>
      <c r="F3" s="71">
        <v>351395.62</v>
      </c>
      <c r="G3" s="73">
        <f>F3/$F$9</f>
        <v>0.39268415166236537</v>
      </c>
      <c r="H3" s="91">
        <f>Portfolio_Mgmt!E61</f>
        <v>0.3</v>
      </c>
    </row>
    <row r="4" spans="1:8">
      <c r="B4" s="78" t="s">
        <v>220</v>
      </c>
      <c r="C4" s="75">
        <f>VLOOKUP(B4,Opportunities!B$3:E$30,3,FALSE)</f>
        <v>17.82</v>
      </c>
      <c r="D4" s="74" t="str">
        <f>VLOOKUP(B4,Opportunities!B$3:E$30,4,FALSE)</f>
        <v>HKD</v>
      </c>
      <c r="E4" s="71">
        <v>10000</v>
      </c>
      <c r="F4" s="76">
        <f>C4*E4</f>
        <v>178200</v>
      </c>
      <c r="G4" s="73">
        <f>F4/$F$9</f>
        <v>0.19913826992559985</v>
      </c>
      <c r="H4" s="73">
        <f>VLOOKUP(B4,Opportunities!B$3:I$30,8,FALSE)</f>
        <v>0</v>
      </c>
    </row>
    <row r="5" spans="1:8">
      <c r="B5" s="78" t="s">
        <v>219</v>
      </c>
      <c r="C5" s="75">
        <f>VLOOKUP(B5,Opportunities!B$3:E$30,3,FALSE)</f>
        <v>8.15</v>
      </c>
      <c r="D5" s="74" t="str">
        <f>VLOOKUP(B5,Opportunities!B$3:E$30,4,FALSE)</f>
        <v>HKD</v>
      </c>
      <c r="E5" s="71">
        <f>2000*10</f>
        <v>20000</v>
      </c>
      <c r="F5" s="76">
        <f>E5*C5</f>
        <v>163000</v>
      </c>
      <c r="G5" s="73">
        <f>F5/$F$9</f>
        <v>0.18215228955035226</v>
      </c>
      <c r="H5" s="73">
        <f>VLOOKUP(B5,Opportunities!B$3:I$30,8,FALSE)</f>
        <v>0</v>
      </c>
    </row>
    <row r="6" spans="1:8">
      <c r="B6" s="78" t="s">
        <v>225</v>
      </c>
      <c r="C6" s="75">
        <f>VLOOKUP(B6,Opportunities!B$3:E$30,3,FALSE)</f>
        <v>6.11</v>
      </c>
      <c r="D6" s="74" t="str">
        <f>VLOOKUP(B6,Opportunities!B$3:E$30,4,FALSE)</f>
        <v>HKD</v>
      </c>
      <c r="E6" s="71">
        <v>18000</v>
      </c>
      <c r="F6" s="76">
        <f>E6*C6</f>
        <v>109980</v>
      </c>
      <c r="G6" s="73">
        <f>F6/$F$9</f>
        <v>0.12290250800458738</v>
      </c>
      <c r="H6" s="73">
        <f>VLOOKUP(B6,Opportunities!B$3:I$30,8,FALSE)</f>
        <v>8.2418347090035926E-2</v>
      </c>
    </row>
    <row r="7" spans="1:8">
      <c r="B7" s="78" t="s">
        <v>226</v>
      </c>
      <c r="C7" s="75">
        <f>VLOOKUP(B7,Opportunities!B$3:E$30,3,FALSE)</f>
        <v>15.38</v>
      </c>
      <c r="D7" s="74" t="str">
        <f>VLOOKUP(B7,Opportunities!B$3:E$30,4,FALSE)</f>
        <v>HKD</v>
      </c>
      <c r="E7" s="71">
        <v>6000</v>
      </c>
      <c r="F7" s="76">
        <f>C7*E7</f>
        <v>92280</v>
      </c>
      <c r="G7" s="73">
        <f>F7/$F$9</f>
        <v>0.10312278085709514</v>
      </c>
      <c r="H7" s="73">
        <f>VLOOKUP(B7,Opportunities!B$3:I$30,8,FALSE)</f>
        <v>0.18912881948046303</v>
      </c>
    </row>
    <row r="8" spans="1:8">
      <c r="B8" s="67"/>
      <c r="C8" s="70"/>
      <c r="D8" s="67"/>
      <c r="H8" s="90"/>
    </row>
    <row r="9" spans="1:8" ht="13.15">
      <c r="B9" s="79"/>
      <c r="C9" s="80"/>
      <c r="D9" s="79"/>
      <c r="E9" s="81" t="s">
        <v>230</v>
      </c>
      <c r="F9" s="81">
        <f>SUM(F3:F7)</f>
        <v>894855.62</v>
      </c>
      <c r="G9" s="82">
        <f>SUM(G3:G7)</f>
        <v>1</v>
      </c>
      <c r="H9" s="89">
        <f>SUM(H4:H7)</f>
        <v>0.27154716657049893</v>
      </c>
    </row>
    <row r="10" spans="1:8">
      <c r="B10" s="67"/>
      <c r="C10" s="70"/>
      <c r="D10" s="67"/>
      <c r="E10" s="71"/>
      <c r="F10" s="71"/>
    </row>
    <row r="11" spans="1:8" ht="13.15">
      <c r="A11" s="63"/>
      <c r="B11" s="64" t="s">
        <v>227</v>
      </c>
    </row>
    <row r="12" spans="1:8">
      <c r="B12" s="78" t="s">
        <v>240</v>
      </c>
      <c r="C12" s="75">
        <f>VLOOKUP(B12,Opportunities!B$3:E$30,3,FALSE)</f>
        <v>1.1599999999999999</v>
      </c>
      <c r="D12" s="74" t="str">
        <f>VLOOKUP(B12,Opportunities!B$3:E$30,4,FALSE)</f>
        <v>HKD</v>
      </c>
      <c r="E12" s="71">
        <f>500*140</f>
        <v>70000</v>
      </c>
      <c r="F12" s="76">
        <f>-C12*E12</f>
        <v>-81200</v>
      </c>
      <c r="G12" s="73">
        <f>-F12/$F$9</f>
        <v>9.0740895162506774E-2</v>
      </c>
      <c r="H12" s="73">
        <f>VLOOKUP(B12,Opportunities!B$3:I$30,8,FALSE)</f>
        <v>0.21955254305698646</v>
      </c>
    </row>
    <row r="13" spans="1:8">
      <c r="B13" s="78" t="s">
        <v>159</v>
      </c>
      <c r="C13" s="75">
        <f>VLOOKUP(B13,Opportunities!B$3:E$30,3,FALSE)</f>
        <v>8.15</v>
      </c>
      <c r="D13" s="74" t="str">
        <f>VLOOKUP(B13,Opportunities!B$3:E$30,4,FALSE)</f>
        <v>HKD</v>
      </c>
      <c r="E13" s="71">
        <f>-2000*10</f>
        <v>-20000</v>
      </c>
      <c r="F13" s="76">
        <f>-C13*E13</f>
        <v>163000</v>
      </c>
      <c r="G13" s="73">
        <f>-F13/$F$9</f>
        <v>-0.18215228955035226</v>
      </c>
      <c r="H13" s="73">
        <f>VLOOKUP(B13,Opportunities!B$3:I$30,8,FALSE)</f>
        <v>0</v>
      </c>
    </row>
    <row r="14" spans="1:8">
      <c r="B14" s="78" t="s">
        <v>273</v>
      </c>
      <c r="C14" s="75">
        <f>VLOOKUP(B14,Opportunities!B$3:E$30,3,FALSE)</f>
        <v>1.95</v>
      </c>
      <c r="D14" s="74" t="str">
        <f>VLOOKUP(B14,Opportunities!B$3:E$30,4,FALSE)</f>
        <v>HKD</v>
      </c>
      <c r="E14" s="71">
        <f>2000*20</f>
        <v>40000</v>
      </c>
      <c r="F14" s="76">
        <f>-C14*E14</f>
        <v>-78000</v>
      </c>
      <c r="G14" s="73">
        <f>-F14/$F$9</f>
        <v>8.7164899294033607E-2</v>
      </c>
      <c r="H14" s="73">
        <f>VLOOKUP(B14,Opportunities!B$3:I$30,8,FALSE)</f>
        <v>0.20890029037251456</v>
      </c>
    </row>
    <row r="15" spans="1:8">
      <c r="G15" s="88"/>
      <c r="H15" s="88"/>
    </row>
    <row r="16" spans="1:8" ht="13.15">
      <c r="B16" s="83" t="s">
        <v>228</v>
      </c>
      <c r="C16" s="84" t="s">
        <v>221</v>
      </c>
      <c r="D16" s="85" t="s">
        <v>156</v>
      </c>
      <c r="E16" s="84" t="s">
        <v>221</v>
      </c>
      <c r="F16" s="81">
        <f>F3+SUM(F12:F14)</f>
        <v>355195.62</v>
      </c>
      <c r="G16" s="89">
        <f t="shared" ref="G16" si="0">F16/$F$9</f>
        <v>0.39693064675617729</v>
      </c>
      <c r="H16" s="89">
        <f>Portfolio_Mgmt!E61</f>
        <v>0.3</v>
      </c>
    </row>
    <row r="18" spans="2:6">
      <c r="B18" s="67"/>
      <c r="C18" s="70"/>
      <c r="D18" s="67"/>
      <c r="E18" s="71"/>
      <c r="F18" s="71"/>
    </row>
    <row r="28" spans="2:6">
      <c r="B28" s="67"/>
      <c r="C28" s="70"/>
      <c r="D28" s="67"/>
      <c r="E28" s="71"/>
      <c r="F28" s="71"/>
    </row>
    <row r="29" spans="2:6">
      <c r="B29" s="67"/>
      <c r="C29" s="70"/>
      <c r="D29" s="67"/>
      <c r="E29" s="71"/>
      <c r="F29" s="71"/>
    </row>
    <row r="30" spans="2:6">
      <c r="B30" s="67"/>
      <c r="C30" s="70"/>
      <c r="D30" s="67"/>
      <c r="E30" s="71"/>
      <c r="F30" s="71"/>
    </row>
    <row r="31" spans="2:6">
      <c r="B31" s="67"/>
      <c r="C31" s="70"/>
      <c r="D31" s="67"/>
      <c r="E31" s="71"/>
      <c r="F31" s="71"/>
    </row>
    <row r="32" spans="2:6">
      <c r="B32" s="67"/>
      <c r="C32" s="70"/>
      <c r="D32" s="67"/>
      <c r="E32" s="71"/>
      <c r="F32" s="71"/>
    </row>
    <row r="33" spans="2:6">
      <c r="B33" s="67"/>
      <c r="C33" s="68"/>
      <c r="D33" s="67"/>
      <c r="E33" s="69"/>
      <c r="F33" s="69"/>
    </row>
  </sheetData>
  <phoneticPr fontId="2" type="noConversion"/>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47BDC-FAEF-412F-B13E-867203D1820E}">
  <dimension ref="A1:D41"/>
  <sheetViews>
    <sheetView showGridLines="0" workbookViewId="0">
      <selection activeCell="C52" sqref="C52"/>
    </sheetView>
  </sheetViews>
  <sheetFormatPr defaultRowHeight="11.65"/>
  <cols>
    <col min="1" max="1" width="2.59765625" style="1" customWidth="1"/>
    <col min="2" max="2" width="27.19921875" style="1" customWidth="1"/>
    <col min="3" max="3" width="34.265625" style="1" customWidth="1"/>
    <col min="4" max="4" width="28.796875" style="1" customWidth="1"/>
    <col min="5" max="16384" width="9.06640625" style="1"/>
  </cols>
  <sheetData>
    <row r="1" spans="1:4">
      <c r="B1" s="20" t="s">
        <v>100</v>
      </c>
    </row>
    <row r="2" spans="1:4">
      <c r="A2" s="5"/>
      <c r="B2" s="6" t="s">
        <v>101</v>
      </c>
    </row>
    <row r="3" spans="1:4">
      <c r="B3" s="105" t="s">
        <v>102</v>
      </c>
      <c r="C3" s="105"/>
      <c r="D3" s="105"/>
    </row>
    <row r="5" spans="1:4">
      <c r="B5" s="106" t="s">
        <v>104</v>
      </c>
      <c r="C5" s="95"/>
      <c r="D5" s="95"/>
    </row>
    <row r="6" spans="1:4">
      <c r="B6" s="106" t="s">
        <v>105</v>
      </c>
      <c r="C6" s="95"/>
      <c r="D6" s="95"/>
    </row>
    <row r="8" spans="1:4">
      <c r="B8" s="1" t="s">
        <v>103</v>
      </c>
    </row>
    <row r="10" spans="1:4">
      <c r="A10" s="5"/>
      <c r="B10" s="6" t="s">
        <v>106</v>
      </c>
    </row>
    <row r="11" spans="1:4">
      <c r="B11" s="105" t="s">
        <v>107</v>
      </c>
      <c r="C11" s="105"/>
      <c r="D11" s="105"/>
    </row>
    <row r="12" spans="1:4">
      <c r="B12" s="105" t="s">
        <v>108</v>
      </c>
      <c r="C12" s="105"/>
      <c r="D12" s="105"/>
    </row>
    <row r="14" spans="1:4">
      <c r="B14" s="23" t="s">
        <v>140</v>
      </c>
    </row>
    <row r="16" spans="1:4" ht="12.4">
      <c r="B16" s="30" t="s">
        <v>117</v>
      </c>
      <c r="C16" s="30" t="s">
        <v>118</v>
      </c>
    </row>
    <row r="17" spans="1:4">
      <c r="B17" s="26" t="s">
        <v>109</v>
      </c>
      <c r="C17" s="26" t="s">
        <v>113</v>
      </c>
    </row>
    <row r="18" spans="1:4">
      <c r="B18" s="26" t="s">
        <v>110</v>
      </c>
      <c r="C18" s="26" t="s">
        <v>114</v>
      </c>
    </row>
    <row r="19" spans="1:4">
      <c r="B19" s="26" t="s">
        <v>111</v>
      </c>
      <c r="C19" s="26" t="s">
        <v>115</v>
      </c>
    </row>
    <row r="20" spans="1:4">
      <c r="B20" s="26" t="s">
        <v>112</v>
      </c>
      <c r="C20" s="26" t="s">
        <v>116</v>
      </c>
    </row>
    <row r="21" spans="1:4">
      <c r="B21" s="26" t="s">
        <v>132</v>
      </c>
      <c r="C21" s="26" t="s">
        <v>133</v>
      </c>
    </row>
    <row r="22" spans="1:4">
      <c r="B22" s="26" t="s">
        <v>134</v>
      </c>
      <c r="C22" s="26" t="s">
        <v>135</v>
      </c>
    </row>
    <row r="23" spans="1:4">
      <c r="B23" s="26" t="s">
        <v>136</v>
      </c>
      <c r="C23" s="26" t="s">
        <v>137</v>
      </c>
    </row>
    <row r="24" spans="1:4">
      <c r="B24" s="26" t="s">
        <v>141</v>
      </c>
      <c r="C24" s="26" t="s">
        <v>142</v>
      </c>
    </row>
    <row r="25" spans="1:4">
      <c r="B25" s="26" t="s">
        <v>138</v>
      </c>
      <c r="C25" s="26" t="s">
        <v>139</v>
      </c>
    </row>
    <row r="27" spans="1:4">
      <c r="A27" s="5"/>
      <c r="B27" s="6" t="s">
        <v>119</v>
      </c>
    </row>
    <row r="28" spans="1:4">
      <c r="B28" s="105" t="s">
        <v>120</v>
      </c>
      <c r="C28" s="105"/>
      <c r="D28" s="105"/>
    </row>
    <row r="29" spans="1:4">
      <c r="B29" s="105" t="s">
        <v>121</v>
      </c>
      <c r="C29" s="105"/>
      <c r="D29" s="105"/>
    </row>
    <row r="31" spans="1:4">
      <c r="A31" s="5"/>
      <c r="B31" s="6" t="s">
        <v>122</v>
      </c>
    </row>
    <row r="32" spans="1:4">
      <c r="A32" s="28" t="s">
        <v>66</v>
      </c>
      <c r="B32" s="23" t="s">
        <v>123</v>
      </c>
    </row>
    <row r="33" spans="1:2">
      <c r="B33" s="1" t="s">
        <v>124</v>
      </c>
    </row>
    <row r="35" spans="1:2">
      <c r="A35" s="28" t="s">
        <v>126</v>
      </c>
      <c r="B35" s="23" t="s">
        <v>125</v>
      </c>
    </row>
    <row r="36" spans="1:2">
      <c r="B36" s="1" t="s">
        <v>127</v>
      </c>
    </row>
    <row r="38" spans="1:2">
      <c r="A38" s="5"/>
      <c r="B38" s="6" t="s">
        <v>128</v>
      </c>
    </row>
    <row r="39" spans="1:2">
      <c r="B39" s="24" t="s">
        <v>129</v>
      </c>
    </row>
    <row r="40" spans="1:2">
      <c r="B40" s="1" t="s">
        <v>130</v>
      </c>
    </row>
    <row r="41" spans="1:2">
      <c r="B41" s="1" t="s">
        <v>131</v>
      </c>
    </row>
  </sheetData>
  <mergeCells count="7">
    <mergeCell ref="B28:D28"/>
    <mergeCell ref="B29:D29"/>
    <mergeCell ref="B3:D3"/>
    <mergeCell ref="B5:D5"/>
    <mergeCell ref="B6:D6"/>
    <mergeCell ref="B11:D11"/>
    <mergeCell ref="B12:D12"/>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2</vt:i4>
      </vt:variant>
    </vt:vector>
  </HeadingPairs>
  <TitlesOfParts>
    <vt:vector size="8" baseType="lpstr">
      <vt:lpstr>Portfolio_Mgmt</vt:lpstr>
      <vt:lpstr>Opportunities</vt:lpstr>
      <vt:lpstr>Aux&gt;</vt:lpstr>
      <vt:lpstr>Market_Yield</vt:lpstr>
      <vt:lpstr>Holdings</vt:lpstr>
      <vt:lpstr>Comp_Group</vt:lpstr>
      <vt:lpstr>benchmark</vt:lpstr>
      <vt:lpstr>Cash_Yield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2025-05-09T08:26:46Z</cp:lastPrinted>
  <dcterms:created xsi:type="dcterms:W3CDTF">2022-12-06T06:37:33Z</dcterms:created>
  <dcterms:modified xsi:type="dcterms:W3CDTF">2025-05-12T00:10:08Z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f64dec8e</vt:lpwstr>
  </property>
</Properties>
</file>