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526"/>
  <workbookPr defaultThemeVersion="166925"/>
  <mc:AlternateContent xmlns:mc="http://schemas.openxmlformats.org/markup-compatibility/2006">
    <mc:Choice Requires="x15">
      <x15ac:absPath xmlns:x15ac="http://schemas.microsoft.com/office/spreadsheetml/2010/11/ac" url="C:\Users\jerry\PycharmProjects\Invest_Proc_v4\financial_models\"/>
    </mc:Choice>
  </mc:AlternateContent>
  <xr:revisionPtr revIDLastSave="0" documentId="13_ncr:1_{D7F9D479-E743-4414-8791-0EF185DCBC36}" xr6:coauthVersionLast="47" xr6:coauthVersionMax="47" xr10:uidLastSave="{00000000-0000-0000-0000-000000000000}"/>
  <bookViews>
    <workbookView xWindow="-98" yWindow="-98" windowWidth="17115" windowHeight="10755" xr2:uid="{00000000-000D-0000-FFFF-FFFF00000000}"/>
  </bookViews>
  <sheets>
    <sheet name="Portfolio_Mgmt" sheetId="5" r:id="rId1"/>
    <sheet name="Opportunities" sheetId="1" r:id="rId2"/>
    <sheet name="Market_Yield" sheetId="2" r:id="rId3"/>
    <sheet name="Comp_Group" sheetId="6" r:id="rId4"/>
    <sheet name="Holdings" sheetId="7" r:id="rId5"/>
  </sheets>
  <definedNames>
    <definedName name="_xlnm._FilterDatabase" localSheetId="1" hidden="1">Opportunities!$B$2:$Q$2</definedName>
    <definedName name="benchmark">Portfolio_Mgmt!$C$10</definedName>
    <definedName name="Cash_Yield">Portfolio_Mgmt!$C$11</definedName>
  </definedNames>
  <calcPr calcId="191029"/>
</workbook>
</file>

<file path=xl/calcChain.xml><?xml version="1.0" encoding="utf-8"?>
<calcChain xmlns="http://schemas.openxmlformats.org/spreadsheetml/2006/main">
  <c r="H3" i="1" l="1"/>
  <c r="H4" i="1"/>
  <c r="H5" i="1"/>
  <c r="G3" i="1"/>
  <c r="G4" i="1"/>
  <c r="G5" i="1"/>
  <c r="C31" i="5"/>
  <c r="E60" i="5" l="1"/>
  <c r="C36" i="5"/>
  <c r="E61" i="5" l="1"/>
  <c r="C16" i="2"/>
  <c r="C10" i="5" s="1"/>
  <c r="D112" i="5" s="1"/>
  <c r="C11" i="5"/>
  <c r="E6" i="2"/>
  <c r="E5" i="2"/>
  <c r="E4" i="2"/>
  <c r="C64" i="5" l="1"/>
  <c r="C65" i="5" s="1"/>
</calcChain>
</file>

<file path=xl/sharedStrings.xml><?xml version="1.0" encoding="utf-8"?>
<sst xmlns="http://schemas.openxmlformats.org/spreadsheetml/2006/main" count="236" uniqueCount="228">
  <si>
    <t>Name</t>
  </si>
  <si>
    <t>Price</t>
  </si>
  <si>
    <t>Currency</t>
  </si>
  <si>
    <t>Symbol</t>
  </si>
  <si>
    <t>Stock Monitor</t>
  </si>
  <si>
    <t>Valuation</t>
  </si>
  <si>
    <t>Comp Group</t>
  </si>
  <si>
    <t>Dividend Yield</t>
    <phoneticPr fontId="2" type="noConversion"/>
  </si>
  <si>
    <t>Target Price</t>
    <phoneticPr fontId="2" type="noConversion"/>
  </si>
  <si>
    <t>Yield</t>
    <phoneticPr fontId="2" type="noConversion"/>
  </si>
  <si>
    <t>Update 
Required After</t>
    <phoneticPr fontId="2" type="noConversion"/>
  </si>
  <si>
    <t>Market Annual Yield</t>
    <phoneticPr fontId="2" type="noConversion"/>
  </si>
  <si>
    <t>Equity Value</t>
    <phoneticPr fontId="2" type="noConversion"/>
  </si>
  <si>
    <t>FCFE
 Yield</t>
    <phoneticPr fontId="2" type="noConversion"/>
  </si>
  <si>
    <t>Growth Classification</t>
    <phoneticPr fontId="2" type="noConversion"/>
  </si>
  <si>
    <t>Valuation Model Assumptions</t>
    <phoneticPr fontId="2" type="noConversion"/>
  </si>
  <si>
    <t>Target Annual Return</t>
    <phoneticPr fontId="2" type="noConversion"/>
  </si>
  <si>
    <t>Base Cost of Equity</t>
    <phoneticPr fontId="2" type="noConversion"/>
  </si>
  <si>
    <t>Market Yields:</t>
    <phoneticPr fontId="2" type="noConversion"/>
  </si>
  <si>
    <t>Riskfree rate</t>
    <phoneticPr fontId="2" type="noConversion"/>
  </si>
  <si>
    <t>Prime Rate</t>
    <phoneticPr fontId="2" type="noConversion"/>
  </si>
  <si>
    <t>Risk Premium</t>
    <phoneticPr fontId="2" type="noConversion"/>
  </si>
  <si>
    <t>US</t>
  </si>
  <si>
    <t>China</t>
    <phoneticPr fontId="2" type="noConversion"/>
  </si>
  <si>
    <t>HK</t>
    <phoneticPr fontId="2" type="noConversion"/>
  </si>
  <si>
    <t>Benchmarket Return:</t>
    <phoneticPr fontId="2" type="noConversion"/>
  </si>
  <si>
    <t>US (1928-2024)</t>
    <phoneticPr fontId="2" type="noConversion"/>
  </si>
  <si>
    <t>Stocks</t>
    <phoneticPr fontId="2" type="noConversion"/>
  </si>
  <si>
    <t>Small caps</t>
    <phoneticPr fontId="2" type="noConversion"/>
  </si>
  <si>
    <t>Bonds</t>
    <phoneticPr fontId="2" type="noConversion"/>
  </si>
  <si>
    <t>Cash</t>
    <phoneticPr fontId="2" type="noConversion"/>
  </si>
  <si>
    <t>Real estate</t>
    <phoneticPr fontId="2" type="noConversion"/>
  </si>
  <si>
    <t>Gold</t>
    <phoneticPr fontId="2" type="noConversion"/>
  </si>
  <si>
    <t>Notes</t>
    <phoneticPr fontId="2" type="noConversion"/>
  </si>
  <si>
    <t>US 10Y Treasury yield</t>
    <phoneticPr fontId="2" type="noConversion"/>
  </si>
  <si>
    <t>https://fred.stlouisfed.org/series/DGS10</t>
  </si>
  <si>
    <t>US Fed Fund Rate</t>
    <phoneticPr fontId="2" type="noConversion"/>
  </si>
  <si>
    <t>https://fred.stlouisfed.org/series/FEDFUNDS</t>
    <phoneticPr fontId="2" type="noConversion"/>
  </si>
  <si>
    <t>Bank Prime Loan Rate</t>
    <phoneticPr fontId="2" type="noConversion"/>
  </si>
  <si>
    <t>https://fred.stlouisfed.org/series/DPRIME</t>
    <phoneticPr fontId="2" type="noConversion"/>
  </si>
  <si>
    <t>CN 10Y Government Bond Yield</t>
    <phoneticPr fontId="2" type="noConversion"/>
  </si>
  <si>
    <t>https://tradingeconomics.com/china/government-bond-yield</t>
    <phoneticPr fontId="2" type="noConversion"/>
  </si>
  <si>
    <t>CN Loan Prime Rate</t>
    <phoneticPr fontId="2" type="noConversion"/>
  </si>
  <si>
    <t>https://tradingeconomics.com/china/interest-rate</t>
    <phoneticPr fontId="2" type="noConversion"/>
  </si>
  <si>
    <t>HK 10Y Government Bond Yield</t>
    <phoneticPr fontId="2" type="noConversion"/>
  </si>
  <si>
    <t>https://tradingeconomics.com/hong-kong/government-bond-yield</t>
    <phoneticPr fontId="2" type="noConversion"/>
  </si>
  <si>
    <t>HK Prime Lending Rate</t>
    <phoneticPr fontId="2" type="noConversion"/>
  </si>
  <si>
    <t>https://tradingeconomics.com/hong-kong/bank-lending-rate</t>
    <phoneticPr fontId="2" type="noConversion"/>
  </si>
  <si>
    <t>All-in-One Bond Prices</t>
    <phoneticPr fontId="2" type="noConversion"/>
  </si>
  <si>
    <t>https://tradingeconomics.com/bonds</t>
    <phoneticPr fontId="2" type="noConversion"/>
  </si>
  <si>
    <t>Historical Returns</t>
    <phoneticPr fontId="2" type="noConversion"/>
  </si>
  <si>
    <t>https://awealthofcommonsense.com/2025/01/historical-returns-for-stocks-bonds-cash-real-estate-and-gold/</t>
    <phoneticPr fontId="2" type="noConversion"/>
  </si>
  <si>
    <t>Selected</t>
    <phoneticPr fontId="2" type="noConversion"/>
  </si>
  <si>
    <t>Others</t>
    <phoneticPr fontId="2" type="noConversion"/>
  </si>
  <si>
    <t>Cash Yield</t>
    <phoneticPr fontId="2" type="noConversion"/>
  </si>
  <si>
    <t>Executive Summary</t>
    <phoneticPr fontId="2" type="noConversion"/>
  </si>
  <si>
    <t>assuming a Lock-up period of</t>
    <phoneticPr fontId="2" type="noConversion"/>
  </si>
  <si>
    <t>Historical Avg Return</t>
    <phoneticPr fontId="2" type="noConversion"/>
  </si>
  <si>
    <t>Key Metrics:</t>
    <phoneticPr fontId="2" type="noConversion"/>
  </si>
  <si>
    <t>Key Calculation:</t>
    <phoneticPr fontId="2" type="noConversion"/>
  </si>
  <si>
    <t>Decision Rules:</t>
    <phoneticPr fontId="2" type="noConversion"/>
  </si>
  <si>
    <t>ERB</t>
    <phoneticPr fontId="2" type="noConversion"/>
  </si>
  <si>
    <t>ERC</t>
    <phoneticPr fontId="2" type="noConversion"/>
  </si>
  <si>
    <t>Single Investment Cap</t>
    <phoneticPr fontId="2" type="noConversion"/>
  </si>
  <si>
    <t>Benchmark Return</t>
    <phoneticPr fontId="2" type="noConversion"/>
  </si>
  <si>
    <t>Benchmarket Return</t>
    <phoneticPr fontId="2" type="noConversion"/>
  </si>
  <si>
    <t>i.</t>
    <phoneticPr fontId="2" type="noConversion"/>
  </si>
  <si>
    <t xml:space="preserve">ii. </t>
    <phoneticPr fontId="2" type="noConversion"/>
  </si>
  <si>
    <t xml:space="preserve">iii. </t>
    <phoneticPr fontId="2" type="noConversion"/>
  </si>
  <si>
    <t>1. Market P/E Ratio</t>
    <phoneticPr fontId="2" type="noConversion"/>
  </si>
  <si>
    <t xml:space="preserve">2. Credit Spreads	</t>
    <phoneticPr fontId="2" type="noConversion"/>
  </si>
  <si>
    <t xml:space="preserve">3. Economic Growth Forecast	</t>
    <phoneticPr fontId="2" type="noConversion"/>
  </si>
  <si>
    <t xml:space="preserve">4. Investor Sentiment**	</t>
    <phoneticPr fontId="2" type="noConversion"/>
  </si>
  <si>
    <t xml:space="preserve">Narrow (below historical median)	</t>
    <phoneticPr fontId="2" type="noConversion"/>
  </si>
  <si>
    <t>Recession expected</t>
    <phoneticPr fontId="2" type="noConversion"/>
  </si>
  <si>
    <t xml:space="preserve">Overly bullish	</t>
    <phoneticPr fontId="2" type="noConversion"/>
  </si>
  <si>
    <t xml:space="preserve">&gt; Historical 75th percentile	</t>
    <phoneticPr fontId="2" type="noConversion"/>
  </si>
  <si>
    <t>&lt; Historical 25th percentile</t>
    <phoneticPr fontId="2" type="noConversion"/>
  </si>
  <si>
    <t>Wide (above historical median)</t>
    <phoneticPr fontId="2" type="noConversion"/>
  </si>
  <si>
    <t>Expansion expected</t>
    <phoneticPr fontId="2" type="noConversion"/>
  </si>
  <si>
    <t>Panic/selling</t>
    <phoneticPr fontId="2" type="noConversion"/>
  </si>
  <si>
    <t>Risk Appetite Score</t>
    <phoneticPr fontId="2" type="noConversion"/>
  </si>
  <si>
    <t>Step 2: Portfolio Allocation</t>
    <phoneticPr fontId="2" type="noConversion"/>
  </si>
  <si>
    <t>Step 3: Monitoring &amp; Rebalancing</t>
    <phoneticPr fontId="2" type="noConversion"/>
  </si>
  <si>
    <t>Rebalance if:</t>
    <phoneticPr fontId="2" type="noConversion"/>
  </si>
  <si>
    <r>
      <t xml:space="preserve">- Only investments with </t>
    </r>
    <r>
      <rPr>
        <b/>
        <sz val="9"/>
        <color theme="1"/>
        <rFont val="Arial"/>
        <family val="2"/>
      </rPr>
      <t>ERB &gt; 0</t>
    </r>
    <r>
      <rPr>
        <sz val="9"/>
        <color theme="1"/>
        <rFont val="Arial"/>
        <family val="2"/>
      </rPr>
      <t xml:space="preserve"> are eligible for portfolio allocation.</t>
    </r>
    <phoneticPr fontId="2" type="noConversion"/>
  </si>
  <si>
    <t>Maximum Number of Holdings</t>
    <phoneticPr fontId="2" type="noConversion"/>
  </si>
  <si>
    <t>Notes:</t>
    <phoneticPr fontId="2" type="noConversion"/>
  </si>
  <si>
    <t>Indicators and Scoring:</t>
    <phoneticPr fontId="2" type="noConversion"/>
  </si>
  <si>
    <t>Score &lt;= 2</t>
    <phoneticPr fontId="2" type="noConversion"/>
  </si>
  <si>
    <t>Score 3–5</t>
    <phoneticPr fontId="2" type="noConversion"/>
  </si>
  <si>
    <t>Score &gt;= 6</t>
    <phoneticPr fontId="2" type="noConversion"/>
  </si>
  <si>
    <t>Cash Allocation Rule:</t>
    <phoneticPr fontId="2" type="noConversion"/>
  </si>
  <si>
    <t>Scenario</t>
    <phoneticPr fontId="17" type="noConversion"/>
  </si>
  <si>
    <t xml:space="preserve">Indicator	</t>
    <phoneticPr fontId="17" type="noConversion"/>
  </si>
  <si>
    <t>Low Risk Appetite (Hold Cash)</t>
    <phoneticPr fontId="17" type="noConversion"/>
  </si>
  <si>
    <t>High Risk Appetite (Deploy Cash)</t>
    <phoneticPr fontId="17" type="noConversion"/>
  </si>
  <si>
    <t>Score (0-2)</t>
    <phoneticPr fontId="17" type="noConversion"/>
  </si>
  <si>
    <r>
      <t xml:space="preserve">- </t>
    </r>
    <r>
      <rPr>
        <b/>
        <sz val="9"/>
        <color theme="1"/>
        <rFont val="Arial"/>
        <family val="2"/>
      </rPr>
      <t>New Opportunities:</t>
    </r>
    <r>
      <rPr>
        <sz val="9"/>
        <color theme="1"/>
        <rFont val="Arial"/>
        <family val="2"/>
      </rPr>
      <t xml:space="preserve"> If new investments have higher ERB than current holdings, replace underperformers.</t>
    </r>
    <phoneticPr fontId="2" type="noConversion"/>
  </si>
  <si>
    <r>
      <t xml:space="preserve">- </t>
    </r>
    <r>
      <rPr>
        <b/>
        <sz val="9"/>
        <color theme="1"/>
        <rFont val="Arial"/>
        <family val="2"/>
      </rPr>
      <t xml:space="preserve">Market Shifts: </t>
    </r>
    <r>
      <rPr>
        <sz val="9"/>
        <color theme="1"/>
        <rFont val="Arial"/>
        <family val="2"/>
      </rPr>
      <t>If market cycle indicators change significantly, reassess the Risk Appetite Score.</t>
    </r>
    <phoneticPr fontId="2" type="noConversion"/>
  </si>
  <si>
    <r>
      <t xml:space="preserve">- Only investments with </t>
    </r>
    <r>
      <rPr>
        <b/>
        <sz val="9"/>
        <color theme="1"/>
        <rFont val="Arial"/>
        <family val="2"/>
      </rPr>
      <t>the Selected Flag</t>
    </r>
    <r>
      <rPr>
        <sz val="9"/>
        <color theme="1"/>
        <rFont val="Arial"/>
        <family val="2"/>
      </rPr>
      <t xml:space="preserve"> are eligible for portfolio allocation.</t>
    </r>
    <phoneticPr fontId="2" type="noConversion"/>
  </si>
  <si>
    <t>Portfolio Management</t>
    <phoneticPr fontId="2" type="noConversion"/>
  </si>
  <si>
    <t>Guidance Note: Comparison Group Classification System</t>
    <phoneticPr fontId="2" type="noConversion"/>
  </si>
  <si>
    <t>Overview</t>
    <phoneticPr fontId="2" type="noConversion"/>
  </si>
  <si>
    <t>The classification uses two mutually exclusive and collectively exhaustive (MECE) layers:</t>
    <phoneticPr fontId="2" type="noConversion"/>
  </si>
  <si>
    <t>Format: [Layer 1 Code]_[Layer 2 Number] (e.g., TMT_02, CNS_10).</t>
    <phoneticPr fontId="2" type="noConversion"/>
  </si>
  <si>
    <t>- Layer 1: Broad industry categories (3-character codes).</t>
    <phoneticPr fontId="2" type="noConversion"/>
  </si>
  <si>
    <t>- Layer 2: Granular subcategories (two-digit numbers, 01–99).</t>
    <phoneticPr fontId="2" type="noConversion"/>
  </si>
  <si>
    <t>Layer 1: Broad Industry Categories</t>
    <phoneticPr fontId="2" type="noConversion"/>
  </si>
  <si>
    <r>
      <rPr>
        <b/>
        <sz val="9"/>
        <color theme="1"/>
        <rFont val="Arial"/>
        <family val="2"/>
      </rPr>
      <t xml:space="preserve">Purpose: </t>
    </r>
    <r>
      <rPr>
        <sz val="9"/>
        <color theme="1"/>
        <rFont val="Arial"/>
        <family val="2"/>
      </rPr>
      <t>Group investments by overarching industries.</t>
    </r>
    <phoneticPr fontId="2" type="noConversion"/>
  </si>
  <si>
    <r>
      <rPr>
        <b/>
        <sz val="9"/>
        <color theme="1"/>
        <rFont val="Arial"/>
        <family val="2"/>
      </rPr>
      <t xml:space="preserve">Structure: </t>
    </r>
    <r>
      <rPr>
        <sz val="9"/>
        <color theme="1"/>
        <rFont val="Arial"/>
        <family val="2"/>
      </rPr>
      <t>3-character codes (e.g., TMT, CNS, FIN).</t>
    </r>
    <phoneticPr fontId="2" type="noConversion"/>
  </si>
  <si>
    <t>TMT</t>
    <phoneticPr fontId="2" type="noConversion"/>
  </si>
  <si>
    <t>CNS</t>
    <phoneticPr fontId="2" type="noConversion"/>
  </si>
  <si>
    <t>FIN</t>
    <phoneticPr fontId="2" type="noConversion"/>
  </si>
  <si>
    <t>HLT</t>
    <phoneticPr fontId="2" type="noConversion"/>
  </si>
  <si>
    <t>Technology, Media, Telecom</t>
    <phoneticPr fontId="2" type="noConversion"/>
  </si>
  <si>
    <t>Consumer</t>
    <phoneticPr fontId="2" type="noConversion"/>
  </si>
  <si>
    <t>Financials</t>
    <phoneticPr fontId="2" type="noConversion"/>
  </si>
  <si>
    <t>Healthcare</t>
    <phoneticPr fontId="2" type="noConversion"/>
  </si>
  <si>
    <t>Code</t>
    <phoneticPr fontId="17" type="noConversion"/>
  </si>
  <si>
    <t>Industry</t>
    <phoneticPr fontId="17" type="noConversion"/>
  </si>
  <si>
    <t>Layer 2: Subcategory Numbering</t>
    <phoneticPr fontId="2" type="noConversion"/>
  </si>
  <si>
    <r>
      <rPr>
        <b/>
        <sz val="9"/>
        <color theme="1"/>
        <rFont val="Arial"/>
        <family val="2"/>
      </rPr>
      <t xml:space="preserve">Purpose: </t>
    </r>
    <r>
      <rPr>
        <sz val="9"/>
        <color theme="1"/>
        <rFont val="Arial"/>
        <family val="2"/>
      </rPr>
      <t>Refine peer groups into specific segments within Layer 1 industries.</t>
    </r>
    <phoneticPr fontId="2" type="noConversion"/>
  </si>
  <si>
    <r>
      <rPr>
        <b/>
        <sz val="9"/>
        <color theme="1"/>
        <rFont val="Arial"/>
        <family val="2"/>
      </rPr>
      <t xml:space="preserve">Purpose: </t>
    </r>
    <r>
      <rPr>
        <sz val="9"/>
        <color theme="1"/>
        <rFont val="Arial"/>
        <family val="2"/>
      </rPr>
      <t>Two-digit numbers (01–99), appended to Layer 1 codes (e.g., TMT_01).</t>
    </r>
    <phoneticPr fontId="2" type="noConversion"/>
  </si>
  <si>
    <t>Assigning Classifications</t>
    <phoneticPr fontId="2" type="noConversion"/>
  </si>
  <si>
    <t>Identify Layer 1:</t>
    <phoneticPr fontId="2" type="noConversion"/>
  </si>
  <si>
    <t>Map the investment to the broadest applicable industry (e.g., a fintech firm → FIN).</t>
    <phoneticPr fontId="2" type="noConversion"/>
  </si>
  <si>
    <t>Assign Layer 2:</t>
    <phoneticPr fontId="2" type="noConversion"/>
  </si>
  <si>
    <t>ii.</t>
    <phoneticPr fontId="2" type="noConversion"/>
  </si>
  <si>
    <t>Select the most specific subcategory number (e.g., fintech → FIN_10).</t>
    <phoneticPr fontId="2" type="noConversion"/>
  </si>
  <si>
    <t>Use Cases</t>
    <phoneticPr fontId="2" type="noConversion"/>
  </si>
  <si>
    <r>
      <rPr>
        <b/>
        <sz val="9"/>
        <color theme="1"/>
        <rFont val="Arial"/>
        <family val="2"/>
      </rPr>
      <t>Peer Benchmarking:</t>
    </r>
    <r>
      <rPr>
        <sz val="9"/>
        <color theme="1"/>
        <rFont val="Arial"/>
        <family val="2"/>
      </rPr>
      <t xml:space="preserve"> Compare HLT_03 (Biotech) companies against each other.</t>
    </r>
    <phoneticPr fontId="2" type="noConversion"/>
  </si>
  <si>
    <r>
      <rPr>
        <b/>
        <sz val="9"/>
        <color theme="1"/>
        <rFont val="Arial"/>
        <family val="2"/>
      </rPr>
      <t>Portfolio Analysis:</t>
    </r>
    <r>
      <rPr>
        <sz val="9"/>
        <color theme="1"/>
        <rFont val="Arial"/>
        <family val="2"/>
      </rPr>
      <t xml:space="preserve"> Aggregate exposures by Layer 1 (e.g., “30% of portfolio is in TMT”).</t>
    </r>
    <phoneticPr fontId="2" type="noConversion"/>
  </si>
  <si>
    <r>
      <rPr>
        <b/>
        <sz val="9"/>
        <color theme="1"/>
        <rFont val="Arial"/>
        <family val="2"/>
      </rPr>
      <t>Reporting:</t>
    </r>
    <r>
      <rPr>
        <sz val="9"/>
        <color theme="1"/>
        <rFont val="Arial"/>
        <family val="2"/>
      </rPr>
      <t xml:space="preserve"> Standardize disclosures using codes (e.g., “Investment X (CNS_05) outperformed peers”).</t>
    </r>
    <phoneticPr fontId="2" type="noConversion"/>
  </si>
  <si>
    <t>IND</t>
    <phoneticPr fontId="2" type="noConversion"/>
  </si>
  <si>
    <t>Industrials</t>
    <phoneticPr fontId="2" type="noConversion"/>
  </si>
  <si>
    <t>ENG</t>
    <phoneticPr fontId="2" type="noConversion"/>
  </si>
  <si>
    <t>Energy</t>
    <phoneticPr fontId="2" type="noConversion"/>
  </si>
  <si>
    <t>MAT</t>
    <phoneticPr fontId="2" type="noConversion"/>
  </si>
  <si>
    <t>Materials</t>
    <phoneticPr fontId="2" type="noConversion"/>
  </si>
  <si>
    <t>UTL</t>
    <phoneticPr fontId="2" type="noConversion"/>
  </si>
  <si>
    <t>Utilities</t>
    <phoneticPr fontId="2" type="noConversion"/>
  </si>
  <si>
    <t>9 Standard Industry Codes:</t>
    <phoneticPr fontId="2" type="noConversion"/>
  </si>
  <si>
    <t>RES</t>
    <phoneticPr fontId="2" type="noConversion"/>
  </si>
  <si>
    <t>Real Estate</t>
    <phoneticPr fontId="2" type="noConversion"/>
  </si>
  <si>
    <t>Market Yields Tracker</t>
    <phoneticPr fontId="2" type="noConversion"/>
  </si>
  <si>
    <t>iii.</t>
    <phoneticPr fontId="2" type="noConversion"/>
  </si>
  <si>
    <t>High Growth</t>
  </si>
  <si>
    <t>Cap</t>
    <phoneticPr fontId="17" type="noConversion"/>
  </si>
  <si>
    <t>Negative or Low Growth</t>
    <phoneticPr fontId="17" type="noConversion"/>
  </si>
  <si>
    <t>= R_i - Benchmark Return</t>
    <phoneticPr fontId="2" type="noConversion"/>
  </si>
  <si>
    <t>= R_i - Cash Yield</t>
    <phoneticPr fontId="2" type="noConversion"/>
  </si>
  <si>
    <t>Excess Return over Benchmark (ERB_i)</t>
    <phoneticPr fontId="2" type="noConversion"/>
  </si>
  <si>
    <t>Excess Return over Cash (ERC_i)</t>
    <phoneticPr fontId="2" type="noConversion"/>
  </si>
  <si>
    <t>Portfolio Limits</t>
    <phoneticPr fontId="17" type="noConversion"/>
  </si>
  <si>
    <t>Growth Classification Limits</t>
    <phoneticPr fontId="17" type="noConversion"/>
  </si>
  <si>
    <r>
      <rPr>
        <b/>
        <i/>
        <sz val="9"/>
        <color theme="1"/>
        <rFont val="Arial"/>
        <family val="2"/>
      </rPr>
      <t>Target Annual Return</t>
    </r>
    <r>
      <rPr>
        <i/>
        <sz val="9"/>
        <color theme="1"/>
        <rFont val="Arial"/>
        <family val="2"/>
      </rPr>
      <t>: The target return reflects the investor’s hurdle rate over the lock-up period.</t>
    </r>
    <phoneticPr fontId="2" type="noConversion"/>
  </si>
  <si>
    <t>Key Outputs:</t>
    <phoneticPr fontId="17" type="noConversion"/>
  </si>
  <si>
    <t>0590.HK</t>
  </si>
  <si>
    <t>六福珠宝</t>
  </si>
  <si>
    <t>HKD</t>
  </si>
  <si>
    <t>CNS_05</t>
  </si>
  <si>
    <t xml:space="preserve">Low Growth </t>
  </si>
  <si>
    <t>Y</t>
  </si>
  <si>
    <t>0083.HK</t>
  </si>
  <si>
    <t>SINO LAND</t>
  </si>
  <si>
    <t>RES_01</t>
  </si>
  <si>
    <t>Negative Growth Asset Play</t>
  </si>
  <si>
    <t>6601.HK</t>
  </si>
  <si>
    <t>朝云集团</t>
  </si>
  <si>
    <t>CNS_04</t>
  </si>
  <si>
    <t>Low Growth Asset Play</t>
  </si>
  <si>
    <t>N</t>
  </si>
  <si>
    <t>Portfolio Management Plan</t>
    <phoneticPr fontId="2" type="noConversion"/>
  </si>
  <si>
    <t>Opportunity Cost</t>
    <phoneticPr fontId="2" type="noConversion"/>
  </si>
  <si>
    <t>Portfolio Return</t>
    <phoneticPr fontId="17" type="noConversion"/>
  </si>
  <si>
    <t>Projected Cash %</t>
    <phoneticPr fontId="17" type="noConversion"/>
  </si>
  <si>
    <t>Projected Portfolio Return</t>
    <phoneticPr fontId="17" type="noConversion"/>
  </si>
  <si>
    <t>Find Eligible Investments (Data Cleaning)</t>
    <phoneticPr fontId="2" type="noConversion"/>
  </si>
  <si>
    <t>Display Investment Opportunities (Data Preparation)</t>
    <phoneticPr fontId="2" type="noConversion"/>
  </si>
  <si>
    <t>Filters:</t>
    <phoneticPr fontId="17" type="noConversion"/>
  </si>
  <si>
    <t>- Retain investments with Selected Flag = True and ERB &gt; 0.</t>
    <phoneticPr fontId="17" type="noConversion"/>
  </si>
  <si>
    <t>- Enforce Maximum Number of Holdings and Growth Classification Limits.</t>
    <phoneticPr fontId="17" type="noConversion"/>
  </si>
  <si>
    <t>Logic:</t>
    <phoneticPr fontId="17" type="noConversion"/>
  </si>
  <si>
    <t>- If R_i &lt; Target Annual Return: Penalty proportional to the shortfall.</t>
    <phoneticPr fontId="17" type="noConversion"/>
  </si>
  <si>
    <t>Portfolio Management Output</t>
    <phoneticPr fontId="2" type="noConversion"/>
  </si>
  <si>
    <t>iv.</t>
    <phoneticPr fontId="2" type="noConversion"/>
  </si>
  <si>
    <t>2. Projected Portfolio Return:</t>
    <phoneticPr fontId="17" type="noConversion"/>
  </si>
  <si>
    <t>Step 1: Determine Risk Appetite &amp; Cash Reserve</t>
    <phoneticPr fontId="2" type="noConversion"/>
  </si>
  <si>
    <t>- If no eligible investments exist, Set Projected Cash % = 100% and Projected Portfolio Return = Cash Yield.</t>
    <phoneticPr fontId="2" type="noConversion"/>
  </si>
  <si>
    <r>
      <rPr>
        <b/>
        <i/>
        <sz val="9"/>
        <color theme="1"/>
        <rFont val="Arial"/>
        <family val="2"/>
      </rPr>
      <t>Single Investment Cap:</t>
    </r>
    <r>
      <rPr>
        <i/>
        <sz val="9"/>
        <color theme="1"/>
        <rFont val="Arial"/>
        <family val="2"/>
      </rPr>
      <t xml:space="preserve"> If If an investment’s provisional allocation exceeds the cap, set its allocation to the cap. Excess weight is moved to cash (do not redistribute to other investments).</t>
    </r>
    <phoneticPr fontId="17" type="noConversion"/>
  </si>
  <si>
    <t>Note:</t>
    <phoneticPr fontId="17" type="noConversion"/>
  </si>
  <si>
    <t>1. Provisional Weight:</t>
    <phoneticPr fontId="17" type="noConversion"/>
  </si>
  <si>
    <t>provisional_weight_i = Single Investment Cap, for each eligible investment i with ERB&gt;0.</t>
    <phoneticPr fontId="17" type="noConversion"/>
  </si>
  <si>
    <t>Δweight_i = MAX(0, (Target Annual Return - R_i)/Target Annual Return)</t>
    <phoneticPr fontId="17" type="noConversion"/>
  </si>
  <si>
    <t>2. Δweight Adjustment:</t>
    <phoneticPr fontId="17" type="noConversion"/>
  </si>
  <si>
    <t>- If R_i &gt;= Target Annual Return: Δweight_i = 0</t>
    <phoneticPr fontId="17" type="noConversion"/>
  </si>
  <si>
    <r>
      <rPr>
        <b/>
        <i/>
        <sz val="9"/>
        <color theme="1"/>
        <rFont val="Arial"/>
        <family val="2"/>
      </rPr>
      <t>Purpose:</t>
    </r>
    <r>
      <rPr>
        <i/>
        <sz val="9"/>
        <color theme="1"/>
        <rFont val="Arial"/>
        <family val="2"/>
      </rPr>
      <t xml:space="preserve"> Given current market price, how much should be allocated to each eligible investments.</t>
    </r>
    <phoneticPr fontId="2" type="noConversion"/>
  </si>
  <si>
    <t>Minimium Cash Reserve %</t>
    <phoneticPr fontId="2" type="noConversion"/>
  </si>
  <si>
    <t>Cost of the Minimium Cash Reserve when all investments are earning Targeting Annual Return</t>
    <phoneticPr fontId="2" type="noConversion"/>
  </si>
  <si>
    <t>Min. Cash Reserve</t>
    <phoneticPr fontId="17" type="noConversion"/>
  </si>
  <si>
    <t>1. Projected Cash Reserve %:</t>
    <phoneticPr fontId="17" type="noConversion"/>
  </si>
  <si>
    <t xml:space="preserve">Projected Cash Reserve % = 1 - allocated_weight </t>
    <phoneticPr fontId="17" type="noConversion"/>
  </si>
  <si>
    <r>
      <t xml:space="preserve">Note: </t>
    </r>
    <r>
      <rPr>
        <i/>
        <sz val="9"/>
        <color theme="1"/>
        <rFont val="Arial"/>
        <family val="2"/>
      </rPr>
      <t>Opportunity Cost = Minimium Cash Reserve % × (Target Annual Return - Cash Yield)</t>
    </r>
    <phoneticPr fontId="2" type="noConversion"/>
  </si>
  <si>
    <t>Diversification Rules</t>
    <phoneticPr fontId="2" type="noConversion"/>
  </si>
  <si>
    <t>Market Benchmarks</t>
    <phoneticPr fontId="2" type="noConversion"/>
  </si>
  <si>
    <r>
      <t xml:space="preserve">- Cash reserve is determined by </t>
    </r>
    <r>
      <rPr>
        <b/>
        <sz val="9"/>
        <color theme="1"/>
        <rFont val="Arial"/>
        <family val="2"/>
      </rPr>
      <t>Risk Appetite Score (Step 1)</t>
    </r>
    <r>
      <rPr>
        <sz val="9"/>
        <color theme="1"/>
        <rFont val="Arial"/>
        <family val="2"/>
      </rPr>
      <t xml:space="preserve"> and </t>
    </r>
    <r>
      <rPr>
        <b/>
        <sz val="9"/>
        <color theme="1"/>
        <rFont val="Arial"/>
        <family val="2"/>
      </rPr>
      <t>Portfolio Allocation (Step 2)</t>
    </r>
    <r>
      <rPr>
        <sz val="9"/>
        <color theme="1"/>
        <rFont val="Arial"/>
        <family val="2"/>
      </rPr>
      <t>.</t>
    </r>
    <phoneticPr fontId="2" type="noConversion"/>
  </si>
  <si>
    <t>Market Annual Return (R_i)</t>
    <phoneticPr fontId="2" type="noConversion"/>
  </si>
  <si>
    <t>Imported from Valuation models to Opportunities Sheet</t>
    <phoneticPr fontId="17" type="noConversion"/>
  </si>
  <si>
    <r>
      <rPr>
        <b/>
        <i/>
        <sz val="9"/>
        <color theme="1"/>
        <rFont val="Arial"/>
        <family val="2"/>
      </rPr>
      <t xml:space="preserve">Process: </t>
    </r>
    <r>
      <rPr>
        <i/>
        <sz val="9"/>
        <color theme="1"/>
        <rFont val="Arial"/>
        <family val="2"/>
      </rPr>
      <t>Calculate a Risk Appetite Score (0–8 scale) using four market indicators to set cash reserves.</t>
    </r>
    <phoneticPr fontId="2" type="noConversion"/>
  </si>
  <si>
    <r>
      <rPr>
        <b/>
        <i/>
        <sz val="9"/>
        <color theme="1"/>
        <rFont val="Arial"/>
        <family val="2"/>
      </rPr>
      <t xml:space="preserve">Objective: </t>
    </r>
    <r>
      <rPr>
        <i/>
        <sz val="9"/>
        <color theme="1"/>
        <rFont val="Arial"/>
        <family val="2"/>
      </rPr>
      <t>Determine the optimal capital allocation at current market prices, while reserving capital for strategic deployment.</t>
    </r>
    <phoneticPr fontId="2" type="noConversion"/>
  </si>
  <si>
    <t>3. Allocation Weight:</t>
    <phoneticPr fontId="17" type="noConversion"/>
  </si>
  <si>
    <t>allocation_weight_i = provisional_weight_i * (1-Δweight_i)</t>
    <phoneticPr fontId="17" type="noConversion"/>
  </si>
  <si>
    <r>
      <t>allocated_weight = Σ</t>
    </r>
    <r>
      <rPr>
        <sz val="9"/>
        <color theme="1"/>
        <rFont val="Microsoft YaHei UI"/>
        <family val="2"/>
        <charset val="134"/>
      </rPr>
      <t>(</t>
    </r>
    <r>
      <rPr>
        <sz val="9"/>
        <color theme="1"/>
        <rFont val="Arial"/>
        <family val="2"/>
      </rPr>
      <t>allocation_weight_i)</t>
    </r>
    <phoneticPr fontId="17" type="noConversion"/>
  </si>
  <si>
    <t>Return = Σ(allocation_weight_i× R_i) + (Projected Cash % × Cash Yield)</t>
    <phoneticPr fontId="17" type="noConversion"/>
  </si>
  <si>
    <t>Allocation Weight</t>
    <phoneticPr fontId="2" type="noConversion"/>
  </si>
  <si>
    <t>4. Total Allocated Weight:</t>
    <phoneticPr fontId="17" type="noConversion"/>
  </si>
  <si>
    <t>Calculate Allocation Weight (Data Processing)</t>
    <phoneticPr fontId="2" type="noConversion"/>
  </si>
  <si>
    <r>
      <rPr>
        <b/>
        <i/>
        <sz val="9"/>
        <color theme="1"/>
        <rFont val="Arial"/>
        <family val="2"/>
      </rPr>
      <t xml:space="preserve">Note: </t>
    </r>
    <r>
      <rPr>
        <i/>
        <sz val="9"/>
        <color theme="1"/>
        <rFont val="Arial"/>
        <family val="2"/>
      </rPr>
      <t>When the Projected Portfolio Return falls below the benchmark, it is due to overly conservative cash reserve settings or a lack of eligible opportunities. Manual corrective action is needed to address these issues.</t>
    </r>
    <phoneticPr fontId="17" type="noConversion"/>
  </si>
  <si>
    <r>
      <t xml:space="preserve">- </t>
    </r>
    <r>
      <rPr>
        <b/>
        <sz val="9"/>
        <color theme="1"/>
        <rFont val="Arial"/>
        <family val="2"/>
      </rPr>
      <t xml:space="preserve">Valuation Changes: </t>
    </r>
    <r>
      <rPr>
        <sz val="9"/>
        <color theme="1"/>
        <rFont val="Arial"/>
        <family val="2"/>
      </rPr>
      <t>If the market annual return output by valuation model changes materially.</t>
    </r>
    <phoneticPr fontId="2" type="noConversion"/>
  </si>
  <si>
    <r>
      <rPr>
        <b/>
        <i/>
        <sz val="9"/>
        <color theme="1"/>
        <rFont val="Arial"/>
        <family val="2"/>
      </rPr>
      <t xml:space="preserve">Note on Allocation: </t>
    </r>
    <r>
      <rPr>
        <i/>
        <sz val="9"/>
        <color theme="1"/>
        <rFont val="Arial"/>
        <family val="2"/>
      </rPr>
      <t>The allocation process prioritizes higher return potential relative to the benchmark. Eligible investments (meeting criteria in Step 2.ii) are ranked by ERB (descending). Capital is allocated sequentially down this ranked list. Each investment receives its calculated `allocation_weight_i` (from Step iii.3) until the total investable capital (100% - Minimum Cash Reserve % from Step 1) is exhausted. Lower-ranked investments may receive partial allocation (only the remaining capital) or no allocation if capital runs out before they are reached.</t>
    </r>
    <phoneticPr fontId="17" type="noConversion"/>
  </si>
  <si>
    <r>
      <rPr>
        <b/>
        <i/>
        <sz val="9"/>
        <color theme="1"/>
        <rFont val="Arial"/>
        <family val="2"/>
      </rPr>
      <t>Cost of Equity</t>
    </r>
    <r>
      <rPr>
        <i/>
        <sz val="9"/>
        <color theme="1"/>
        <rFont val="Arial"/>
        <family val="2"/>
      </rPr>
      <t>: This plan adopts a value investing perspective, viewing true risk as the potential for permanent capital loss arising from deteriorating business fundamentals or paying too high a price, rather than short-term market price volatility (beta). Consistent with this, a uniform Base Cost of Equity is applied to all potential investments. This rate represents the minimum acceptable long-term return required for committing capital to any equity holding in this portfolio, reflecting long-term risk-free rates plus a required premium for taking on general business ownership risk.</t>
    </r>
    <phoneticPr fontId="2" type="noConversion"/>
  </si>
  <si>
    <r>
      <rPr>
        <b/>
        <i/>
        <sz val="9"/>
        <color theme="1"/>
        <rFont val="Arial"/>
        <family val="2"/>
      </rPr>
      <t xml:space="preserve">Objective: </t>
    </r>
    <r>
      <rPr>
        <i/>
        <sz val="9"/>
        <color theme="1"/>
        <rFont val="Arial"/>
        <family val="2"/>
      </rPr>
      <t>Balance high-conviction bets with diversification rules.</t>
    </r>
    <phoneticPr fontId="2" type="noConversion"/>
  </si>
  <si>
    <r>
      <rPr>
        <b/>
        <i/>
        <sz val="9"/>
        <color theme="1"/>
        <rFont val="Arial"/>
        <family val="2"/>
      </rPr>
      <t xml:space="preserve">Guidance Note: </t>
    </r>
    <r>
      <rPr>
        <i/>
        <sz val="9"/>
        <color theme="1"/>
        <rFont val="Arial"/>
        <family val="2"/>
      </rPr>
      <t>This plan deploys capital into investments exceeding the benchmark return while strategically reserving cash for future opportunities.</t>
    </r>
    <phoneticPr fontId="2" type="noConversion"/>
  </si>
  <si>
    <t>Strategic reserve for compelling opportunities.</t>
    <phoneticPr fontId="17" type="noConversion"/>
  </si>
  <si>
    <t>- Display all opportunities, regardless of ERB or Selected Flag, for full visibility.</t>
    <phoneticPr fontId="2" type="noConversion"/>
  </si>
  <si>
    <t>- Sort all potential investments by ERB (descending) in the Opportunities Sheet.</t>
    <phoneticPr fontId="2" type="noConversion"/>
  </si>
  <si>
    <r>
      <rPr>
        <b/>
        <i/>
        <sz val="9"/>
        <color theme="1"/>
        <rFont val="Arial"/>
        <family val="2"/>
      </rPr>
      <t>Capital Constraints:</t>
    </r>
    <r>
      <rPr>
        <i/>
        <sz val="9"/>
        <color theme="1"/>
        <rFont val="Arial"/>
        <family val="2"/>
      </rPr>
      <t xml:space="preserve"> This step calculates the desired weight for each eligible investment before considering capital constraints</t>
    </r>
    <phoneticPr fontId="17"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</si>
</sst>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76" formatCode="yyyy\-mm\-dd;@"/>
    <numFmt numFmtId="177" formatCode="[$-13C09]d\ mmm\ yyyy;@"/>
    <numFmt numFmtId="178" formatCode="0&quot; yrs&quot;"/>
    <numFmt numFmtId="179" formatCode="#,##0.00_);\(#,##0.00\)"/>
    <numFmt numFmtId="180" formatCode="#,##0_);\(#,##0\)"/>
  </numFmts>
  <fonts count="26">
    <font>
      <sz val="11"/>
      <color theme="1"/>
      <name val="等线"/>
      <family val="2"/>
      <scheme val="minor"/>
    </font>
    <font>
      <sz val="10"/>
      <color rgb="FF000000"/>
      <name val="等线"/>
      <family val="2"/>
      <scheme val="minor"/>
    </font>
    <font>
      <sz val="9"/>
      <name val="等线"/>
      <family val="3"/>
      <charset val="134"/>
      <scheme val="minor"/>
    </font>
    <font>
      <sz val="9"/>
      <color theme="1"/>
      <name val="Arial"/>
      <family val="2"/>
    </font>
    <font>
      <sz val="9"/>
      <color rgb="FF000000"/>
      <name val="Arial"/>
      <family val="2"/>
    </font>
    <font>
      <b/>
      <sz val="9"/>
      <color rgb="FF002060"/>
      <name val="Arial"/>
      <family val="2"/>
    </font>
    <font>
      <b/>
      <sz val="9"/>
      <color theme="1"/>
      <name val="Arial"/>
      <family val="2"/>
    </font>
    <font>
      <u/>
      <sz val="11"/>
      <color theme="10"/>
      <name val="等线"/>
      <family val="2"/>
      <scheme val="minor"/>
    </font>
    <font>
      <b/>
      <sz val="9"/>
      <name val="Arial"/>
      <family val="2"/>
    </font>
    <font>
      <sz val="9"/>
      <name val="Arial"/>
      <family val="2"/>
    </font>
    <font>
      <sz val="9"/>
      <color theme="0"/>
      <name val="Arial"/>
      <family val="2"/>
    </font>
    <font>
      <sz val="9"/>
      <color rgb="FFFF0000"/>
      <name val="Arial"/>
      <family val="2"/>
    </font>
    <font>
      <i/>
      <sz val="9"/>
      <color theme="1"/>
      <name val="Arial"/>
      <family val="2"/>
    </font>
    <font>
      <b/>
      <i/>
      <sz val="9"/>
      <color theme="1"/>
      <name val="Arial"/>
      <family val="2"/>
    </font>
    <font>
      <b/>
      <u/>
      <sz val="9"/>
      <color theme="1"/>
      <name val="Arial"/>
      <family val="2"/>
    </font>
    <font>
      <b/>
      <sz val="9"/>
      <color rgb="FF000000"/>
      <name val="Arial"/>
      <family val="2"/>
    </font>
    <font>
      <sz val="9"/>
      <color theme="0"/>
      <name val="Microsoft YaHei"/>
      <family val="2"/>
    </font>
    <font>
      <sz val="9"/>
      <name val="DengXian"/>
      <family val="3"/>
      <charset val="134"/>
    </font>
    <font>
      <sz val="9"/>
      <color rgb="FF0000FF"/>
      <name val="Arial"/>
      <family val="2"/>
    </font>
    <font>
      <u/>
      <sz val="9"/>
      <color theme="10"/>
      <name val="Arial"/>
      <family val="2"/>
    </font>
    <font>
      <b/>
      <sz val="9"/>
      <color rgb="FF0000FF"/>
      <name val="Arial"/>
      <family val="2"/>
    </font>
    <font>
      <b/>
      <sz val="9"/>
      <color rgb="FFFF0000"/>
      <name val="Arial"/>
      <family val="2"/>
    </font>
    <font>
      <b/>
      <sz val="9"/>
      <color rgb="FF00B050"/>
      <name val="Arial"/>
      <family val="2"/>
    </font>
    <font>
      <i/>
      <u/>
      <sz val="9"/>
      <color theme="1"/>
      <name val="Arial"/>
      <family val="2"/>
    </font>
    <font>
      <sz val="9"/>
      <color theme="1"/>
      <name val="Microsoft YaHei UI"/>
      <family val="2"/>
      <charset val="134"/>
    </font>
    <font>
      <i/>
      <sz val="9"/>
      <color rgb="FF7030A0"/>
      <name val="Arial"/>
      <family val="2"/>
    </font>
  </fonts>
  <fills count="9">
    <fill>
      <patternFill patternType="none"/>
    </fill>
    <fill>
      <patternFill patternType="gray125"/>
    </fill>
    <fill>
      <patternFill patternType="solid">
        <fgColor rgb="FF002060"/>
        <bgColor indexed="64"/>
      </patternFill>
    </fill>
    <fill>
      <patternFill patternType="solid">
        <fgColor theme="8" tint="0.59999389629810485"/>
        <bgColor indexed="64"/>
      </patternFill>
    </fill>
    <fill>
      <patternFill patternType="solid">
        <fgColor theme="9" tint="0.59999389629810485"/>
        <bgColor indexed="64"/>
      </patternFill>
    </fill>
    <fill>
      <patternFill patternType="solid">
        <fgColor theme="5" tint="0.59999389629810485"/>
        <bgColor indexed="64"/>
      </patternFill>
    </fill>
    <fill>
      <patternFill patternType="solid">
        <fgColor rgb="FF003871"/>
        <bgColor indexed="64"/>
      </patternFill>
    </fill>
    <fill>
      <patternFill patternType="solid">
        <fgColor rgb="FF0047AB"/>
        <bgColor indexed="64"/>
      </patternFill>
    </fill>
    <fill>
      <patternFill patternType="solid">
        <fgColor theme="7" tint="0.59999389629810485"/>
        <bgColor indexed="64"/>
      </patternFill>
    </fill>
  </fills>
  <borders count="6">
    <border>
      <left/>
      <right/>
      <top/>
      <bottom/>
      <diagonal/>
    </border>
    <border>
      <left/>
      <right/>
      <top/>
      <bottom style="thin">
        <color rgb="FF000000"/>
      </bottom>
      <diagonal/>
    </border>
    <border>
      <left/>
      <right/>
      <top/>
      <bottom style="thin">
        <color indexed="64"/>
      </bottom>
      <diagonal/>
    </border>
    <border>
      <left/>
      <right/>
      <top style="thin">
        <color indexed="64"/>
      </top>
      <bottom/>
      <diagonal/>
    </border>
    <border>
      <left style="thin">
        <color indexed="64"/>
      </left>
      <right style="thin">
        <color indexed="64"/>
      </right>
      <top style="thin">
        <color indexed="64"/>
      </top>
      <bottom style="thin">
        <color indexed="64"/>
      </bottom>
      <diagonal/>
    </border>
    <border>
      <left/>
      <right/>
      <top/>
      <bottom style="double">
        <color indexed="64"/>
      </bottom>
      <diagonal/>
    </border>
  </borders>
  <cellStyleXfs count="3">
    <xf numFmtId="0" fontId="0" fillId="0" borderId="0"/>
    <xf numFmtId="0" fontId="1" fillId="0" borderId="0"/>
    <xf numFmtId="0" fontId="7" fillId="0" borderId="0" applyNumberFormat="0" applyFill="0" applyBorder="0" applyAlignment="0" applyProtection="0"/>
  </cellStyleXfs>
  <cellXfs count="75">
    <xf numFmtId="0" fontId="0" fillId="0" borderId="0" xfId="0"/>
    <xf numFmtId="0" fontId="3" fillId="0" borderId="0" xfId="0" applyFont="1"/>
    <xf numFmtId="4" fontId="3" fillId="0" borderId="0" xfId="0" applyNumberFormat="1" applyFont="1"/>
    <xf numFmtId="177" fontId="3" fillId="0" borderId="0" xfId="0" applyNumberFormat="1" applyFont="1"/>
    <xf numFmtId="10" fontId="3" fillId="0" borderId="0" xfId="0" applyNumberFormat="1" applyFont="1"/>
    <xf numFmtId="0" fontId="4" fillId="2" borderId="0" xfId="1" applyFont="1" applyFill="1"/>
    <xf numFmtId="0" fontId="5" fillId="0" borderId="1" xfId="1" applyFont="1" applyBorder="1" applyAlignment="1">
      <alignment vertical="center"/>
    </xf>
    <xf numFmtId="0" fontId="6" fillId="0" borderId="2" xfId="0" applyFont="1" applyBorder="1" applyAlignment="1">
      <alignment horizontal="center" vertical="center" wrapText="1"/>
    </xf>
    <xf numFmtId="4" fontId="6" fillId="0" borderId="2" xfId="0" applyNumberFormat="1" applyFont="1" applyBorder="1" applyAlignment="1">
      <alignment horizontal="center" vertical="center" wrapText="1"/>
    </xf>
    <xf numFmtId="177" fontId="6" fillId="0" borderId="2" xfId="0" applyNumberFormat="1" applyFont="1" applyBorder="1" applyAlignment="1">
      <alignment horizontal="center" vertical="center" wrapText="1"/>
    </xf>
    <xf numFmtId="10" fontId="6" fillId="0" borderId="2" xfId="0" quotePrefix="1" applyNumberFormat="1" applyFont="1" applyBorder="1" applyAlignment="1">
      <alignment horizontal="center" vertical="center" wrapText="1"/>
    </xf>
    <xf numFmtId="0" fontId="3" fillId="0" borderId="0" xfId="0" applyFont="1" applyAlignment="1">
      <alignment horizontal="center"/>
    </xf>
    <xf numFmtId="4" fontId="3" fillId="0" borderId="0" xfId="0" applyNumberFormat="1" applyFont="1" applyAlignment="1">
      <alignment horizontal="center"/>
    </xf>
    <xf numFmtId="176" fontId="3" fillId="0" borderId="0" xfId="0" applyNumberFormat="1" applyFont="1" applyAlignment="1">
      <alignment horizontal="center"/>
    </xf>
    <xf numFmtId="177" fontId="3" fillId="0" borderId="0" xfId="0" applyNumberFormat="1" applyFont="1" applyAlignment="1">
      <alignment horizontal="center"/>
    </xf>
    <xf numFmtId="10" fontId="3" fillId="0" borderId="0" xfId="0" applyNumberFormat="1" applyFont="1" applyAlignment="1">
      <alignment horizontal="right"/>
    </xf>
    <xf numFmtId="14" fontId="3" fillId="0" borderId="0" xfId="0" applyNumberFormat="1" applyFont="1" applyAlignment="1">
      <alignment horizontal="center"/>
    </xf>
    <xf numFmtId="176" fontId="3" fillId="0" borderId="0" xfId="0" applyNumberFormat="1" applyFont="1"/>
    <xf numFmtId="0" fontId="4" fillId="0" borderId="0" xfId="0" applyFont="1"/>
    <xf numFmtId="0" fontId="8" fillId="0" borderId="2" xfId="0" applyFont="1" applyBorder="1"/>
    <xf numFmtId="0" fontId="6" fillId="0" borderId="0" xfId="0" applyFont="1"/>
    <xf numFmtId="0" fontId="10" fillId="6" borderId="0" xfId="0" applyFont="1" applyFill="1"/>
    <xf numFmtId="0" fontId="5" fillId="0" borderId="0" xfId="0" applyFont="1"/>
    <xf numFmtId="0" fontId="14" fillId="0" borderId="0" xfId="0" applyFont="1"/>
    <xf numFmtId="0" fontId="3" fillId="0" borderId="0" xfId="0" quotePrefix="1" applyFont="1"/>
    <xf numFmtId="0" fontId="15" fillId="0" borderId="0" xfId="0" applyFont="1"/>
    <xf numFmtId="0" fontId="3" fillId="0" borderId="4" xfId="0" applyFont="1" applyBorder="1"/>
    <xf numFmtId="0" fontId="6" fillId="0" borderId="0" xfId="0" applyFont="1" applyAlignment="1">
      <alignment horizontal="left" indent="1"/>
    </xf>
    <xf numFmtId="0" fontId="6" fillId="0" borderId="0" xfId="0" applyFont="1" applyAlignment="1">
      <alignment horizontal="center"/>
    </xf>
    <xf numFmtId="9" fontId="11" fillId="0" borderId="4" xfId="0" applyNumberFormat="1" applyFont="1" applyBorder="1" applyAlignment="1">
      <alignment horizontal="center"/>
    </xf>
    <xf numFmtId="0" fontId="16" fillId="7" borderId="2" xfId="0" applyFont="1" applyFill="1" applyBorder="1" applyAlignment="1">
      <alignment horizontal="center"/>
    </xf>
    <xf numFmtId="0" fontId="4" fillId="2" borderId="0" xfId="0" applyFont="1" applyFill="1"/>
    <xf numFmtId="0" fontId="5" fillId="0" borderId="2" xfId="0" applyFont="1" applyBorder="1"/>
    <xf numFmtId="0" fontId="3" fillId="0" borderId="4" xfId="0" applyFont="1" applyBorder="1" applyAlignment="1">
      <alignment horizontal="left"/>
    </xf>
    <xf numFmtId="10" fontId="18" fillId="0" borderId="4" xfId="0" applyNumberFormat="1" applyFont="1" applyBorder="1" applyAlignment="1">
      <alignment horizontal="right"/>
    </xf>
    <xf numFmtId="10" fontId="3" fillId="0" borderId="4" xfId="0" applyNumberFormat="1" applyFont="1" applyBorder="1" applyAlignment="1">
      <alignment horizontal="right"/>
    </xf>
    <xf numFmtId="0" fontId="6" fillId="0" borderId="4" xfId="0" applyFont="1" applyBorder="1" applyAlignment="1">
      <alignment horizontal="left" indent="1"/>
    </xf>
    <xf numFmtId="10" fontId="6" fillId="0" borderId="4" xfId="0" applyNumberFormat="1" applyFont="1" applyBorder="1"/>
    <xf numFmtId="0" fontId="19" fillId="0" borderId="0" xfId="2" applyFont="1"/>
    <xf numFmtId="0" fontId="13" fillId="0" borderId="0" xfId="0" applyFont="1"/>
    <xf numFmtId="0" fontId="6" fillId="0" borderId="0" xfId="0" applyFont="1" applyAlignment="1">
      <alignment horizontal="right"/>
    </xf>
    <xf numFmtId="0" fontId="11" fillId="0" borderId="4" xfId="0" applyFont="1" applyBorder="1" applyAlignment="1">
      <alignment horizontal="right"/>
    </xf>
    <xf numFmtId="0" fontId="6" fillId="0" borderId="5" xfId="0" applyFont="1" applyBorder="1" applyAlignment="1">
      <alignment horizontal="left" indent="1"/>
    </xf>
    <xf numFmtId="9" fontId="6" fillId="0" borderId="5" xfId="0" applyNumberFormat="1" applyFont="1" applyBorder="1" applyAlignment="1">
      <alignment horizontal="right"/>
    </xf>
    <xf numFmtId="10" fontId="20" fillId="0" borderId="0" xfId="0" applyNumberFormat="1" applyFont="1" applyAlignment="1">
      <alignment horizontal="right"/>
    </xf>
    <xf numFmtId="0" fontId="6" fillId="0" borderId="0" xfId="0" applyFont="1" applyAlignment="1">
      <alignment horizontal="left" wrapText="1"/>
    </xf>
    <xf numFmtId="10" fontId="8" fillId="0" borderId="0" xfId="0" applyNumberFormat="1" applyFont="1" applyAlignment="1">
      <alignment horizontal="right"/>
    </xf>
    <xf numFmtId="10" fontId="6" fillId="0" borderId="0" xfId="0" applyNumberFormat="1" applyFont="1"/>
    <xf numFmtId="9" fontId="21" fillId="0" borderId="0" xfId="0" applyNumberFormat="1" applyFont="1" applyAlignment="1">
      <alignment horizontal="right"/>
    </xf>
    <xf numFmtId="10" fontId="22" fillId="0" borderId="0" xfId="0" applyNumberFormat="1" applyFont="1" applyAlignment="1">
      <alignment horizontal="right"/>
    </xf>
    <xf numFmtId="178" fontId="22" fillId="0" borderId="0" xfId="0" applyNumberFormat="1" applyFont="1" applyAlignment="1">
      <alignment horizontal="center"/>
    </xf>
    <xf numFmtId="0" fontId="10" fillId="7" borderId="2" xfId="0" applyFont="1" applyFill="1" applyBorder="1" applyAlignment="1">
      <alignment horizontal="center"/>
    </xf>
    <xf numFmtId="0" fontId="11" fillId="0" borderId="4" xfId="0" applyFont="1" applyBorder="1"/>
    <xf numFmtId="9" fontId="11" fillId="0" borderId="4" xfId="0" applyNumberFormat="1" applyFont="1" applyBorder="1"/>
    <xf numFmtId="0" fontId="3" fillId="0" borderId="0" xfId="0" applyFont="1" applyAlignment="1">
      <alignment horizontal="left" wrapText="1"/>
    </xf>
    <xf numFmtId="10" fontId="9" fillId="0" borderId="0" xfId="0" applyNumberFormat="1" applyFont="1" applyAlignment="1">
      <alignment horizontal="right"/>
    </xf>
    <xf numFmtId="0" fontId="3" fillId="0" borderId="0" xfId="0" applyFont="1" applyAlignment="1">
      <alignment horizontal="left"/>
    </xf>
    <xf numFmtId="0" fontId="10" fillId="0" borderId="0" xfId="0" applyFont="1" applyAlignment="1">
      <alignment horizontal="center"/>
    </xf>
    <xf numFmtId="179" fontId="11" fillId="0" borderId="0" xfId="0" applyNumberFormat="1" applyFont="1" applyAlignment="1">
      <alignment horizontal="center"/>
    </xf>
    <xf numFmtId="180" fontId="11" fillId="0" borderId="4" xfId="0" applyNumberFormat="1" applyFont="1" applyBorder="1" applyAlignment="1">
      <alignment horizontal="right"/>
    </xf>
    <xf numFmtId="180" fontId="9" fillId="0" borderId="4" xfId="0" applyNumberFormat="1" applyFont="1" applyBorder="1" applyAlignment="1">
      <alignment horizontal="right"/>
    </xf>
    <xf numFmtId="0" fontId="12" fillId="0" borderId="0" xfId="0" applyFont="1"/>
    <xf numFmtId="0" fontId="9" fillId="0" borderId="0" xfId="0" applyFont="1"/>
    <xf numFmtId="179" fontId="25" fillId="0" borderId="0" xfId="0" applyNumberFormat="1" applyFont="1" applyAlignment="1">
      <alignment horizontal="left"/>
    </xf>
    <xf numFmtId="0" fontId="12" fillId="0" borderId="0" xfId="0" applyFont="1" applyAlignment="1">
      <alignment horizontal="left" wrapText="1"/>
    </xf>
    <xf numFmtId="0" fontId="3" fillId="0" borderId="0" xfId="0" applyFont="1" applyAlignment="1">
      <alignment horizontal="left"/>
    </xf>
    <xf numFmtId="0" fontId="23" fillId="0" borderId="0" xfId="0" quotePrefix="1" applyFont="1" applyAlignment="1">
      <alignment horizontal="left" wrapText="1"/>
    </xf>
    <xf numFmtId="0" fontId="3" fillId="0" borderId="0" xfId="0" quotePrefix="1" applyFont="1" applyAlignment="1">
      <alignment horizontal="left" wrapText="1"/>
    </xf>
    <xf numFmtId="4" fontId="6" fillId="5" borderId="3" xfId="0" applyNumberFormat="1" applyFont="1" applyFill="1" applyBorder="1" applyAlignment="1">
      <alignment horizontal="center"/>
    </xf>
    <xf numFmtId="0" fontId="6" fillId="3" borderId="3" xfId="0" applyFont="1" applyFill="1" applyBorder="1" applyAlignment="1">
      <alignment horizontal="center"/>
    </xf>
    <xf numFmtId="0" fontId="6" fillId="4" borderId="3" xfId="0" applyFont="1" applyFill="1" applyBorder="1" applyAlignment="1">
      <alignment horizontal="center"/>
    </xf>
    <xf numFmtId="0" fontId="6" fillId="3" borderId="0" xfId="0" applyFont="1" applyFill="1" applyAlignment="1">
      <alignment horizontal="center"/>
    </xf>
    <xf numFmtId="0" fontId="6" fillId="8" borderId="0" xfId="0" applyFont="1" applyFill="1" applyAlignment="1">
      <alignment horizontal="center"/>
    </xf>
    <xf numFmtId="0" fontId="3" fillId="0" borderId="0" xfId="0" applyFont="1" applyAlignment="1">
      <alignment horizontal="left" wrapText="1"/>
    </xf>
    <xf numFmtId="0" fontId="3" fillId="0" borderId="0" xfId="0" quotePrefix="1" applyFont="1" applyAlignment="1">
      <alignment horizontal="left"/>
    </xf>
  </cellXfs>
  <cellStyles count="3">
    <cellStyle name="Normal 2" xfId="1" xr:uid="{00000000-0005-0000-0000-000001000000}"/>
    <cellStyle name="常规" xfId="0" builtinId="0"/>
    <cellStyle name="超链接" xfId="2" builtinId="8"/>
  </cellStyles>
  <dxfs count="0"/>
  <tableStyles count="0" defaultTableStyle="TableStyleMedium2" defaultPivotStyle="PivotStyleLight16"/>
  <colors>
    <mruColors>
      <color rgb="FF0000FF"/>
      <color rgb="FFFFFFCC"/>
      <color rgb="FFB6D7A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8" Type="http://schemas.openxmlformats.org/officeDocument/2006/relationships/hyperlink" Target="https://fred.stlouisfed.org/series/DPRIME" TargetMode="External"/><Relationship Id="rId3" Type="http://schemas.openxmlformats.org/officeDocument/2006/relationships/hyperlink" Target="https://tradingeconomics.com/bonds" TargetMode="External"/><Relationship Id="rId7" Type="http://schemas.openxmlformats.org/officeDocument/2006/relationships/hyperlink" Target="https://tradingeconomics.com/hong-kong/bank-lending-rate" TargetMode="External"/><Relationship Id="rId2" Type="http://schemas.openxmlformats.org/officeDocument/2006/relationships/hyperlink" Target="https://fred.stlouisfed.org/series/DGS10" TargetMode="External"/><Relationship Id="rId1" Type="http://schemas.openxmlformats.org/officeDocument/2006/relationships/hyperlink" Target="https://tradingeconomics.com/china/government-bond-yield" TargetMode="External"/><Relationship Id="rId6" Type="http://schemas.openxmlformats.org/officeDocument/2006/relationships/hyperlink" Target="https://tradingeconomics.com/hong-kong/government-bond-yield" TargetMode="External"/><Relationship Id="rId5" Type="http://schemas.openxmlformats.org/officeDocument/2006/relationships/hyperlink" Target="https://tradingeconomics.com/china/interest-rate" TargetMode="External"/><Relationship Id="rId10" Type="http://schemas.openxmlformats.org/officeDocument/2006/relationships/printerSettings" Target="../printerSettings/printerSettings3.bin"/><Relationship Id="rId4" Type="http://schemas.openxmlformats.org/officeDocument/2006/relationships/hyperlink" Target="https://fred.stlouisfed.org/series/FEDFUNDS" TargetMode="External"/><Relationship Id="rId9" Type="http://schemas.openxmlformats.org/officeDocument/2006/relationships/hyperlink" Target="https://awealthofcommonsense.com/2025/01/historical-returns-for-stocks-bonds-cash-real-estate-and-gold/"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43BBF0-63C3-41BD-B5E6-C3103399E754}">
  <sheetPr>
    <pageSetUpPr fitToPage="1"/>
  </sheetPr>
  <dimension ref="A1:E121"/>
  <sheetViews>
    <sheetView showGridLines="0" tabSelected="1" topLeftCell="A76" workbookViewId="0">
      <selection activeCell="D106" sqref="D106"/>
    </sheetView>
  </sheetViews>
  <sheetFormatPr defaultRowHeight="11.65"/>
  <cols>
    <col min="1" max="1" width="2.59765625" style="1" customWidth="1"/>
    <col min="2" max="2" width="30.06640625" style="1" bestFit="1" customWidth="1"/>
    <col min="3" max="4" width="25.59765625" style="1" customWidth="1"/>
    <col min="5" max="5" width="10.59765625" style="1" customWidth="1"/>
    <col min="6" max="16384" width="9.06640625" style="1"/>
  </cols>
  <sheetData>
    <row r="1" spans="1:5">
      <c r="A1" s="20" t="s">
        <v>173</v>
      </c>
    </row>
    <row r="2" spans="1:5">
      <c r="A2" s="21" t="s">
        <v>55</v>
      </c>
      <c r="B2" s="21"/>
      <c r="C2" s="21"/>
      <c r="D2" s="21"/>
      <c r="E2" s="21"/>
    </row>
    <row r="4" spans="1:5" ht="24.4" customHeight="1">
      <c r="B4" s="64" t="s">
        <v>223</v>
      </c>
      <c r="C4" s="64"/>
      <c r="D4" s="64"/>
      <c r="E4" s="64"/>
    </row>
    <row r="6" spans="1:5">
      <c r="A6" s="20" t="s">
        <v>66</v>
      </c>
      <c r="B6" s="19" t="s">
        <v>205</v>
      </c>
      <c r="C6" s="62"/>
    </row>
    <row r="7" spans="1:5">
      <c r="B7" s="64" t="s">
        <v>210</v>
      </c>
      <c r="C7" s="64"/>
      <c r="D7" s="64"/>
      <c r="E7" s="64"/>
    </row>
    <row r="9" spans="1:5">
      <c r="B9" s="23" t="s">
        <v>58</v>
      </c>
    </row>
    <row r="10" spans="1:5">
      <c r="B10" s="1" t="s">
        <v>64</v>
      </c>
      <c r="C10" s="47">
        <f>Market_Yield!C16</f>
        <v>0.1174</v>
      </c>
    </row>
    <row r="11" spans="1:5">
      <c r="B11" s="1" t="s">
        <v>54</v>
      </c>
      <c r="C11" s="47">
        <f>Market_Yield!C6</f>
        <v>3.4500000000000003E-2</v>
      </c>
    </row>
    <row r="12" spans="1:5">
      <c r="C12" s="4"/>
    </row>
    <row r="13" spans="1:5">
      <c r="B13" s="23" t="s">
        <v>59</v>
      </c>
      <c r="C13" s="4"/>
    </row>
    <row r="14" spans="1:5">
      <c r="B14" s="1" t="s">
        <v>207</v>
      </c>
      <c r="C14" s="4" t="s">
        <v>208</v>
      </c>
    </row>
    <row r="15" spans="1:5">
      <c r="B15" s="1" t="s">
        <v>152</v>
      </c>
      <c r="C15" s="24" t="s">
        <v>150</v>
      </c>
    </row>
    <row r="16" spans="1:5">
      <c r="B16" s="1" t="s">
        <v>153</v>
      </c>
      <c r="C16" s="24" t="s">
        <v>151</v>
      </c>
    </row>
    <row r="18" spans="1:5">
      <c r="B18" s="23" t="s">
        <v>60</v>
      </c>
    </row>
    <row r="19" spans="1:5">
      <c r="B19" s="24" t="s">
        <v>100</v>
      </c>
    </row>
    <row r="20" spans="1:5">
      <c r="B20" s="24" t="s">
        <v>85</v>
      </c>
    </row>
    <row r="21" spans="1:5">
      <c r="B21" s="24" t="s">
        <v>206</v>
      </c>
    </row>
    <row r="23" spans="1:5">
      <c r="A23" s="25" t="s">
        <v>67</v>
      </c>
      <c r="B23" s="19" t="s">
        <v>204</v>
      </c>
      <c r="C23" s="62"/>
    </row>
    <row r="24" spans="1:5">
      <c r="A24" s="18"/>
      <c r="B24" s="64" t="s">
        <v>222</v>
      </c>
      <c r="C24" s="64"/>
      <c r="D24" s="64"/>
      <c r="E24" s="64"/>
    </row>
    <row r="25" spans="1:5">
      <c r="A25" s="18"/>
    </row>
    <row r="26" spans="1:5">
      <c r="A26" s="18"/>
      <c r="B26" s="51" t="s">
        <v>154</v>
      </c>
      <c r="C26" s="51" t="s">
        <v>148</v>
      </c>
    </row>
    <row r="27" spans="1:5">
      <c r="B27" s="26" t="s">
        <v>86</v>
      </c>
      <c r="C27" s="52">
        <v>6</v>
      </c>
    </row>
    <row r="28" spans="1:5">
      <c r="B28" s="26" t="s">
        <v>63</v>
      </c>
      <c r="C28" s="53">
        <v>0.3</v>
      </c>
    </row>
    <row r="30" spans="1:5">
      <c r="B30" s="51" t="s">
        <v>155</v>
      </c>
      <c r="C30" s="51" t="s">
        <v>148</v>
      </c>
    </row>
    <row r="31" spans="1:5">
      <c r="B31" s="26" t="s">
        <v>149</v>
      </c>
      <c r="C31" s="60">
        <f>C27-C32</f>
        <v>5</v>
      </c>
    </row>
    <row r="32" spans="1:5">
      <c r="B32" s="26" t="s">
        <v>147</v>
      </c>
      <c r="C32" s="59">
        <v>1</v>
      </c>
    </row>
    <row r="34" spans="1:5">
      <c r="A34" s="20" t="s">
        <v>68</v>
      </c>
      <c r="B34" s="19" t="s">
        <v>15</v>
      </c>
      <c r="C34" s="62"/>
      <c r="D34" s="22"/>
    </row>
    <row r="35" spans="1:5">
      <c r="B35" s="1" t="s">
        <v>16</v>
      </c>
      <c r="C35" s="48">
        <v>0.2</v>
      </c>
      <c r="D35" s="18" t="s">
        <v>56</v>
      </c>
      <c r="E35" s="50">
        <v>3</v>
      </c>
    </row>
    <row r="36" spans="1:5">
      <c r="B36" s="1" t="s">
        <v>17</v>
      </c>
      <c r="C36" s="49">
        <f>MAX(8%,Market_Yield!C4:D6)</f>
        <v>0.08</v>
      </c>
    </row>
    <row r="38" spans="1:5">
      <c r="B38" s="20" t="s">
        <v>87</v>
      </c>
    </row>
    <row r="39" spans="1:5">
      <c r="B39" s="64" t="s">
        <v>156</v>
      </c>
      <c r="C39" s="64"/>
      <c r="D39" s="64"/>
      <c r="E39" s="64"/>
    </row>
    <row r="40" spans="1:5" ht="58.5" customHeight="1">
      <c r="B40" s="64" t="s">
        <v>221</v>
      </c>
      <c r="C40" s="64"/>
      <c r="D40" s="64"/>
      <c r="E40" s="64"/>
    </row>
    <row r="42" spans="1:5">
      <c r="A42" s="21" t="s">
        <v>188</v>
      </c>
      <c r="B42" s="21"/>
      <c r="C42" s="21"/>
      <c r="D42" s="21"/>
      <c r="E42" s="21"/>
    </row>
    <row r="44" spans="1:5">
      <c r="B44" s="64" t="s">
        <v>209</v>
      </c>
      <c r="C44" s="64"/>
      <c r="D44" s="64"/>
      <c r="E44" s="64"/>
    </row>
    <row r="46" spans="1:5">
      <c r="B46" s="23" t="s">
        <v>92</v>
      </c>
    </row>
    <row r="48" spans="1:5">
      <c r="B48" s="51" t="s">
        <v>93</v>
      </c>
      <c r="C48" s="51" t="s">
        <v>200</v>
      </c>
      <c r="D48" s="57"/>
      <c r="E48" s="57"/>
    </row>
    <row r="49" spans="2:5">
      <c r="B49" s="26" t="s">
        <v>89</v>
      </c>
      <c r="C49" s="29">
        <v>0.5</v>
      </c>
      <c r="D49" s="58"/>
      <c r="E49" s="56"/>
    </row>
    <row r="50" spans="2:5">
      <c r="B50" s="26" t="s">
        <v>90</v>
      </c>
      <c r="C50" s="29">
        <v>0.3</v>
      </c>
      <c r="D50" s="58"/>
      <c r="E50" s="56"/>
    </row>
    <row r="51" spans="2:5">
      <c r="B51" s="26" t="s">
        <v>91</v>
      </c>
      <c r="C51" s="29">
        <v>0.2</v>
      </c>
      <c r="D51" s="63" t="s">
        <v>224</v>
      </c>
      <c r="E51" s="56"/>
    </row>
    <row r="53" spans="2:5">
      <c r="B53" s="23" t="s">
        <v>88</v>
      </c>
    </row>
    <row r="55" spans="2:5">
      <c r="B55" s="51" t="s">
        <v>94</v>
      </c>
      <c r="C55" s="51" t="s">
        <v>95</v>
      </c>
      <c r="D55" s="51" t="s">
        <v>96</v>
      </c>
      <c r="E55" s="51" t="s">
        <v>97</v>
      </c>
    </row>
    <row r="56" spans="2:5">
      <c r="B56" s="26" t="s">
        <v>69</v>
      </c>
      <c r="C56" s="26" t="s">
        <v>76</v>
      </c>
      <c r="D56" s="26" t="s">
        <v>77</v>
      </c>
      <c r="E56" s="41">
        <v>1</v>
      </c>
    </row>
    <row r="57" spans="2:5">
      <c r="B57" s="26" t="s">
        <v>70</v>
      </c>
      <c r="C57" s="26" t="s">
        <v>73</v>
      </c>
      <c r="D57" s="26" t="s">
        <v>78</v>
      </c>
      <c r="E57" s="41">
        <v>2</v>
      </c>
    </row>
    <row r="58" spans="2:5">
      <c r="B58" s="26" t="s">
        <v>71</v>
      </c>
      <c r="C58" s="26" t="s">
        <v>74</v>
      </c>
      <c r="D58" s="26" t="s">
        <v>79</v>
      </c>
      <c r="E58" s="41">
        <v>1</v>
      </c>
    </row>
    <row r="59" spans="2:5">
      <c r="B59" s="26" t="s">
        <v>72</v>
      </c>
      <c r="C59" s="26" t="s">
        <v>75</v>
      </c>
      <c r="D59" s="26" t="s">
        <v>80</v>
      </c>
      <c r="E59" s="41">
        <v>1</v>
      </c>
    </row>
    <row r="60" spans="2:5">
      <c r="D60" s="27" t="s">
        <v>81</v>
      </c>
      <c r="E60" s="40">
        <f>SUM(E56:E59)</f>
        <v>5</v>
      </c>
    </row>
    <row r="61" spans="2:5" ht="12" thickBot="1">
      <c r="D61" s="42" t="s">
        <v>198</v>
      </c>
      <c r="E61" s="43">
        <f>IF(E60&lt;=2,C49,IF(E60&gt;=6,C51,C50))</f>
        <v>0.3</v>
      </c>
    </row>
    <row r="62" spans="2:5" ht="12" thickTop="1"/>
    <row r="63" spans="2:5">
      <c r="B63" s="23" t="s">
        <v>199</v>
      </c>
    </row>
    <row r="64" spans="2:5">
      <c r="B64" s="54" t="s">
        <v>174</v>
      </c>
      <c r="C64" s="55">
        <f>-E61*(C35-Cash_Yield)</f>
        <v>-4.965E-2</v>
      </c>
    </row>
    <row r="65" spans="1:5">
      <c r="B65" s="54" t="s">
        <v>175</v>
      </c>
      <c r="C65" s="55">
        <f>C35+C64</f>
        <v>0.15035000000000001</v>
      </c>
    </row>
    <row r="66" spans="1:5">
      <c r="B66" s="45"/>
      <c r="C66" s="46"/>
    </row>
    <row r="67" spans="1:5">
      <c r="B67" s="39" t="s">
        <v>203</v>
      </c>
    </row>
    <row r="69" spans="1:5">
      <c r="A69" s="21" t="s">
        <v>82</v>
      </c>
      <c r="B69" s="21"/>
      <c r="C69" s="21"/>
      <c r="D69" s="21"/>
      <c r="E69" s="21"/>
    </row>
    <row r="71" spans="1:5">
      <c r="B71" s="64" t="s">
        <v>197</v>
      </c>
      <c r="C71" s="64"/>
      <c r="D71" s="64"/>
      <c r="E71" s="64"/>
    </row>
    <row r="73" spans="1:5">
      <c r="A73" s="28" t="s">
        <v>66</v>
      </c>
      <c r="B73" s="20" t="s">
        <v>179</v>
      </c>
    </row>
    <row r="74" spans="1:5">
      <c r="B74" s="24" t="s">
        <v>226</v>
      </c>
    </row>
    <row r="75" spans="1:5">
      <c r="B75" s="24" t="s">
        <v>225</v>
      </c>
    </row>
    <row r="77" spans="1:5">
      <c r="A77" s="28" t="s">
        <v>128</v>
      </c>
      <c r="B77" s="20" t="s">
        <v>178</v>
      </c>
    </row>
    <row r="78" spans="1:5">
      <c r="B78" s="39" t="s">
        <v>180</v>
      </c>
    </row>
    <row r="79" spans="1:5">
      <c r="B79" s="24" t="s">
        <v>181</v>
      </c>
    </row>
    <row r="80" spans="1:5">
      <c r="B80" s="24" t="s">
        <v>182</v>
      </c>
    </row>
    <row r="81" spans="1:5">
      <c r="B81" s="24" t="s">
        <v>189</v>
      </c>
    </row>
    <row r="83" spans="1:5">
      <c r="A83" s="28" t="s">
        <v>146</v>
      </c>
      <c r="B83" s="20" t="s">
        <v>217</v>
      </c>
    </row>
    <row r="84" spans="1:5">
      <c r="B84" s="24" t="s">
        <v>192</v>
      </c>
    </row>
    <row r="85" spans="1:5">
      <c r="B85" s="67" t="s">
        <v>193</v>
      </c>
      <c r="C85" s="67"/>
      <c r="D85" s="67"/>
      <c r="E85" s="67"/>
    </row>
    <row r="86" spans="1:5">
      <c r="B86" s="66" t="s">
        <v>191</v>
      </c>
      <c r="C86" s="66"/>
      <c r="D86" s="66"/>
      <c r="E86" s="66"/>
    </row>
    <row r="87" spans="1:5" ht="24.4" customHeight="1">
      <c r="B87" s="64" t="s">
        <v>190</v>
      </c>
      <c r="C87" s="64"/>
      <c r="D87" s="64"/>
      <c r="E87" s="64"/>
    </row>
    <row r="88" spans="1:5" ht="24.4" customHeight="1">
      <c r="B88" s="64" t="s">
        <v>227</v>
      </c>
      <c r="C88" s="64"/>
      <c r="D88" s="64"/>
      <c r="E88" s="64"/>
    </row>
    <row r="90" spans="1:5">
      <c r="B90" s="24" t="s">
        <v>195</v>
      </c>
    </row>
    <row r="91" spans="1:5">
      <c r="B91" s="1" t="s">
        <v>194</v>
      </c>
    </row>
    <row r="92" spans="1:5">
      <c r="B92" s="61" t="s">
        <v>183</v>
      </c>
    </row>
    <row r="93" spans="1:5">
      <c r="B93" s="24" t="s">
        <v>196</v>
      </c>
    </row>
    <row r="94" spans="1:5">
      <c r="B94" s="24" t="s">
        <v>184</v>
      </c>
    </row>
    <row r="96" spans="1:5">
      <c r="B96" s="24" t="s">
        <v>211</v>
      </c>
    </row>
    <row r="97" spans="1:5">
      <c r="B97" s="65" t="s">
        <v>212</v>
      </c>
      <c r="C97" s="65"/>
      <c r="D97" s="65"/>
      <c r="E97" s="65"/>
    </row>
    <row r="99" spans="1:5">
      <c r="B99" s="24" t="s">
        <v>216</v>
      </c>
    </row>
    <row r="100" spans="1:5" ht="12.4">
      <c r="B100" s="65" t="s">
        <v>213</v>
      </c>
      <c r="C100" s="65"/>
      <c r="D100" s="65"/>
      <c r="E100" s="65"/>
    </row>
    <row r="101" spans="1:5" ht="58.5" customHeight="1">
      <c r="B101" s="64" t="s">
        <v>220</v>
      </c>
      <c r="C101" s="64"/>
      <c r="D101" s="64"/>
      <c r="E101" s="64"/>
    </row>
    <row r="103" spans="1:5">
      <c r="A103" s="28" t="s">
        <v>186</v>
      </c>
      <c r="B103" s="20" t="s">
        <v>185</v>
      </c>
    </row>
    <row r="104" spans="1:5">
      <c r="B104" s="1" t="s">
        <v>201</v>
      </c>
    </row>
    <row r="105" spans="1:5">
      <c r="B105" s="1" t="s">
        <v>202</v>
      </c>
    </row>
    <row r="107" spans="1:5">
      <c r="B107" s="1" t="s">
        <v>187</v>
      </c>
    </row>
    <row r="108" spans="1:5">
      <c r="B108" s="1" t="s">
        <v>214</v>
      </c>
    </row>
    <row r="110" spans="1:5">
      <c r="B110" s="23" t="s">
        <v>157</v>
      </c>
    </row>
    <row r="111" spans="1:5">
      <c r="B111" s="1" t="s">
        <v>176</v>
      </c>
      <c r="C111" s="44">
        <v>0.5490782759805124</v>
      </c>
    </row>
    <row r="112" spans="1:5">
      <c r="B112" s="1" t="s">
        <v>177</v>
      </c>
      <c r="C112" s="44">
        <v>8.956135035007412E-2</v>
      </c>
      <c r="D112" s="62" t="str">
        <f>IF(C112&lt;benchmark,"Warning: Return is lower than the Benchmark.","")</f>
        <v>Warning: Return is lower than the Benchmark.</v>
      </c>
    </row>
    <row r="114" spans="1:5" ht="24.4" customHeight="1">
      <c r="B114" s="64" t="s">
        <v>218</v>
      </c>
      <c r="C114" s="64"/>
      <c r="D114" s="64"/>
      <c r="E114" s="64"/>
    </row>
    <row r="116" spans="1:5">
      <c r="A116" s="21" t="s">
        <v>83</v>
      </c>
      <c r="B116" s="21"/>
      <c r="C116" s="21"/>
      <c r="D116" s="21"/>
      <c r="E116" s="21"/>
    </row>
    <row r="118" spans="1:5">
      <c r="B118" s="20" t="s">
        <v>84</v>
      </c>
    </row>
    <row r="119" spans="1:5">
      <c r="B119" s="24" t="s">
        <v>98</v>
      </c>
    </row>
    <row r="120" spans="1:5">
      <c r="B120" s="24" t="s">
        <v>99</v>
      </c>
    </row>
    <row r="121" spans="1:5">
      <c r="B121" s="24" t="s">
        <v>219</v>
      </c>
    </row>
  </sheetData>
  <mergeCells count="15">
    <mergeCell ref="B86:E86"/>
    <mergeCell ref="B71:E71"/>
    <mergeCell ref="B85:E85"/>
    <mergeCell ref="B44:E44"/>
    <mergeCell ref="B4:E4"/>
    <mergeCell ref="B7:E7"/>
    <mergeCell ref="B24:E24"/>
    <mergeCell ref="B39:E39"/>
    <mergeCell ref="B40:E40"/>
    <mergeCell ref="B114:E114"/>
    <mergeCell ref="B97:E97"/>
    <mergeCell ref="B100:E100"/>
    <mergeCell ref="B101:E101"/>
    <mergeCell ref="B87:E87"/>
    <mergeCell ref="B88:E88"/>
  </mergeCells>
  <phoneticPr fontId="17" type="noConversion"/>
  <pageMargins left="0.25" right="0.25" top="0.75" bottom="0.75" header="0.3" footer="0.3"/>
  <pageSetup paperSize="9" fitToHeight="0"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Q358"/>
  <sheetViews>
    <sheetView showGridLines="0" zoomScaleNormal="100" workbookViewId="0">
      <pane xSplit="3" ySplit="2" topLeftCell="D3" activePane="bottomRight" state="frozen"/>
      <selection pane="topRight" activeCell="D1" sqref="D1"/>
      <selection pane="bottomLeft" activeCell="A5" sqref="A5"/>
      <selection pane="bottomRight" activeCell="F10" sqref="F10"/>
    </sheetView>
  </sheetViews>
  <sheetFormatPr defaultColWidth="8.796875" defaultRowHeight="11.65"/>
  <cols>
    <col min="1" max="1" width="2.46484375" style="1" customWidth="1"/>
    <col min="2" max="2" width="13.46484375" style="1" bestFit="1" customWidth="1"/>
    <col min="3" max="3" width="18.6640625" style="1" customWidth="1"/>
    <col min="4" max="4" width="8.6640625" style="2" customWidth="1"/>
    <col min="5" max="5" width="10.33203125" style="1" customWidth="1"/>
    <col min="6" max="9" width="10.33203125" style="15" customWidth="1"/>
    <col min="10" max="11" width="8.6640625" style="2" customWidth="1"/>
    <col min="12" max="14" width="8.6640625" style="1" customWidth="1"/>
    <col min="15" max="15" width="22.73046875" style="1" bestFit="1" customWidth="1"/>
    <col min="16" max="16" width="14.796875" style="3" bestFit="1" customWidth="1"/>
    <col min="17" max="17" width="8.796875" style="11"/>
    <col min="18" max="18" width="16.3984375" style="1" customWidth="1"/>
    <col min="19" max="16384" width="8.796875" style="1"/>
  </cols>
  <sheetData>
    <row r="1" spans="1:17">
      <c r="A1" s="5"/>
      <c r="B1" s="6" t="s">
        <v>4</v>
      </c>
      <c r="D1" s="71" t="s">
        <v>1</v>
      </c>
      <c r="E1" s="71"/>
      <c r="F1" s="71"/>
      <c r="G1" s="72" t="s">
        <v>101</v>
      </c>
      <c r="H1" s="72"/>
      <c r="I1" s="72"/>
      <c r="J1" s="68" t="s">
        <v>5</v>
      </c>
      <c r="K1" s="68"/>
      <c r="L1" s="69" t="s">
        <v>9</v>
      </c>
      <c r="M1" s="69"/>
      <c r="N1" s="70" t="s">
        <v>53</v>
      </c>
      <c r="O1" s="70"/>
      <c r="P1" s="70"/>
      <c r="Q1" s="70"/>
    </row>
    <row r="2" spans="1:17" ht="26" customHeight="1">
      <c r="B2" s="7" t="s">
        <v>3</v>
      </c>
      <c r="C2" s="7" t="s">
        <v>0</v>
      </c>
      <c r="D2" s="8" t="s">
        <v>1</v>
      </c>
      <c r="E2" s="7" t="s">
        <v>2</v>
      </c>
      <c r="F2" s="7" t="s">
        <v>11</v>
      </c>
      <c r="G2" s="7" t="s">
        <v>61</v>
      </c>
      <c r="H2" s="7" t="s">
        <v>62</v>
      </c>
      <c r="I2" s="7" t="s">
        <v>215</v>
      </c>
      <c r="J2" s="8" t="s">
        <v>8</v>
      </c>
      <c r="K2" s="8" t="s">
        <v>12</v>
      </c>
      <c r="L2" s="7" t="s">
        <v>13</v>
      </c>
      <c r="M2" s="7" t="s">
        <v>7</v>
      </c>
      <c r="N2" s="7" t="s">
        <v>6</v>
      </c>
      <c r="O2" s="7" t="s">
        <v>14</v>
      </c>
      <c r="P2" s="9" t="s">
        <v>10</v>
      </c>
      <c r="Q2" s="10" t="s">
        <v>52</v>
      </c>
    </row>
    <row r="3" spans="1:17">
      <c r="B3" s="11" t="s">
        <v>158</v>
      </c>
      <c r="C3" s="11" t="s">
        <v>159</v>
      </c>
      <c r="D3" s="2">
        <v>15.4</v>
      </c>
      <c r="E3" s="12" t="s">
        <v>160</v>
      </c>
      <c r="F3" s="15">
        <v>0.18108249888642258</v>
      </c>
      <c r="G3" s="15">
        <f t="shared" ref="G3:G5" si="0">F3 - $C$10</f>
        <v>0.18108249888642258</v>
      </c>
      <c r="H3" s="15">
        <f t="shared" ref="H3:H5" si="1">F3 - $C$11</f>
        <v>0.18108249888642258</v>
      </c>
      <c r="I3" s="15">
        <v>0.27162374832963387</v>
      </c>
      <c r="J3" s="2">
        <v>14.733437767356989</v>
      </c>
      <c r="K3" s="2">
        <v>20.508980461992877</v>
      </c>
      <c r="L3" s="4">
        <v>0.11220688437465126</v>
      </c>
      <c r="M3" s="4">
        <v>8.8311688311688313E-2</v>
      </c>
      <c r="N3" s="13" t="s">
        <v>161</v>
      </c>
      <c r="O3" s="11" t="s">
        <v>162</v>
      </c>
      <c r="P3" s="14">
        <v>45716</v>
      </c>
      <c r="Q3" s="11" t="s">
        <v>163</v>
      </c>
    </row>
    <row r="4" spans="1:17">
      <c r="B4" s="11" t="s">
        <v>164</v>
      </c>
      <c r="C4" s="11" t="s">
        <v>165</v>
      </c>
      <c r="D4" s="2">
        <v>7.88</v>
      </c>
      <c r="E4" s="12" t="s">
        <v>160</v>
      </c>
      <c r="F4" s="15">
        <v>0.11953198379323582</v>
      </c>
      <c r="G4" s="15">
        <f t="shared" si="0"/>
        <v>0.11953198379323582</v>
      </c>
      <c r="H4" s="15">
        <f t="shared" si="1"/>
        <v>0.11953198379323582</v>
      </c>
      <c r="I4" s="15">
        <v>0.17929797568985373</v>
      </c>
      <c r="J4" s="2">
        <v>6.4883606756817951</v>
      </c>
      <c r="K4" s="2">
        <v>9.1006872475781417</v>
      </c>
      <c r="L4" s="4">
        <v>3.9200301012977792E-2</v>
      </c>
      <c r="M4" s="4">
        <v>7.3604060913705582E-2</v>
      </c>
      <c r="N4" s="13" t="s">
        <v>166</v>
      </c>
      <c r="O4" s="11" t="s">
        <v>167</v>
      </c>
      <c r="P4" s="14">
        <v>45716</v>
      </c>
      <c r="Q4" s="11" t="s">
        <v>163</v>
      </c>
    </row>
    <row r="5" spans="1:17">
      <c r="B5" s="11" t="s">
        <v>168</v>
      </c>
      <c r="C5" s="11" t="s">
        <v>169</v>
      </c>
      <c r="D5" s="2">
        <v>2.15</v>
      </c>
      <c r="E5" s="12" t="s">
        <v>160</v>
      </c>
      <c r="F5" s="15">
        <v>6.6927308782200656E-2</v>
      </c>
      <c r="G5" s="15">
        <f t="shared" si="0"/>
        <v>6.6927308782200656E-2</v>
      </c>
      <c r="H5" s="15">
        <f t="shared" si="1"/>
        <v>6.6927308782200656E-2</v>
      </c>
      <c r="I5" s="15">
        <v>0</v>
      </c>
      <c r="J5" s="2">
        <v>1.5407576206248625</v>
      </c>
      <c r="K5" s="2">
        <v>2.2336371684397625</v>
      </c>
      <c r="L5" s="4">
        <v>2.1775925005107808E-2</v>
      </c>
      <c r="M5" s="4">
        <v>5.4790697674418611E-2</v>
      </c>
      <c r="N5" s="13" t="s">
        <v>170</v>
      </c>
      <c r="O5" s="11" t="s">
        <v>171</v>
      </c>
      <c r="P5" s="14">
        <v>45716</v>
      </c>
      <c r="Q5" s="11" t="s">
        <v>172</v>
      </c>
    </row>
    <row r="6" spans="1:17">
      <c r="B6" s="11"/>
      <c r="C6" s="11"/>
      <c r="E6" s="12"/>
      <c r="L6" s="4"/>
      <c r="M6" s="4"/>
      <c r="N6" s="13"/>
      <c r="O6" s="11"/>
      <c r="P6" s="14"/>
    </row>
    <row r="7" spans="1:17">
      <c r="B7" s="11"/>
      <c r="C7" s="11"/>
      <c r="E7" s="12"/>
      <c r="L7" s="4"/>
      <c r="M7" s="4"/>
      <c r="N7" s="13"/>
      <c r="O7" s="11"/>
      <c r="P7" s="14"/>
    </row>
    <row r="8" spans="1:17">
      <c r="B8" s="11"/>
      <c r="C8" s="11"/>
      <c r="E8" s="12"/>
      <c r="L8" s="4"/>
      <c r="M8" s="4"/>
      <c r="N8" s="13"/>
      <c r="O8" s="11"/>
      <c r="P8" s="14"/>
    </row>
    <row r="9" spans="1:17">
      <c r="B9" s="11"/>
      <c r="C9" s="11"/>
      <c r="E9" s="12"/>
      <c r="L9" s="4"/>
      <c r="M9" s="4"/>
      <c r="N9" s="13"/>
      <c r="O9" s="11"/>
      <c r="P9" s="14"/>
    </row>
    <row r="10" spans="1:17">
      <c r="B10" s="11"/>
      <c r="C10" s="11"/>
      <c r="E10" s="12"/>
      <c r="L10" s="4"/>
      <c r="M10" s="4"/>
      <c r="N10" s="16"/>
      <c r="O10" s="11"/>
      <c r="P10" s="14"/>
    </row>
    <row r="11" spans="1:17">
      <c r="B11" s="11"/>
      <c r="C11" s="11"/>
      <c r="E11" s="12"/>
      <c r="L11" s="4"/>
      <c r="M11" s="4"/>
      <c r="N11" s="13"/>
      <c r="O11" s="11"/>
      <c r="P11" s="14"/>
    </row>
    <row r="12" spans="1:17">
      <c r="B12" s="11"/>
      <c r="C12" s="11"/>
      <c r="E12" s="12"/>
      <c r="L12" s="4"/>
      <c r="M12" s="4"/>
      <c r="N12" s="13"/>
      <c r="O12" s="11"/>
      <c r="P12" s="14"/>
    </row>
    <row r="13" spans="1:17">
      <c r="B13" s="11"/>
      <c r="C13" s="11"/>
      <c r="E13" s="12"/>
      <c r="L13" s="4"/>
      <c r="M13" s="4"/>
      <c r="N13" s="13"/>
      <c r="O13" s="11"/>
      <c r="P13" s="14"/>
    </row>
    <row r="14" spans="1:17">
      <c r="B14" s="11"/>
      <c r="C14" s="11"/>
      <c r="E14" s="12"/>
      <c r="L14" s="4"/>
      <c r="M14" s="4"/>
      <c r="N14" s="13"/>
      <c r="O14" s="11"/>
      <c r="P14" s="14"/>
    </row>
    <row r="15" spans="1:17">
      <c r="B15" s="11"/>
      <c r="C15" s="11"/>
      <c r="E15" s="12"/>
      <c r="L15" s="4"/>
      <c r="M15" s="4"/>
      <c r="N15" s="13"/>
      <c r="O15" s="11"/>
      <c r="P15" s="14"/>
    </row>
    <row r="16" spans="1:17">
      <c r="B16" s="11"/>
      <c r="C16" s="11"/>
      <c r="E16" s="12"/>
      <c r="L16" s="4"/>
      <c r="M16" s="4"/>
      <c r="N16" s="13"/>
      <c r="O16" s="11"/>
      <c r="P16" s="14"/>
    </row>
    <row r="17" spans="2:16">
      <c r="B17" s="11"/>
      <c r="C17" s="11"/>
      <c r="E17" s="12"/>
      <c r="L17" s="4"/>
      <c r="M17" s="4"/>
      <c r="N17" s="13"/>
      <c r="O17" s="11"/>
      <c r="P17" s="14"/>
    </row>
    <row r="18" spans="2:16">
      <c r="B18" s="11"/>
      <c r="C18" s="11"/>
      <c r="E18" s="12"/>
      <c r="L18" s="4"/>
      <c r="M18" s="4"/>
      <c r="N18" s="13"/>
      <c r="O18" s="11"/>
      <c r="P18" s="14"/>
    </row>
    <row r="19" spans="2:16">
      <c r="B19" s="11"/>
      <c r="C19" s="11"/>
      <c r="E19" s="12"/>
      <c r="L19" s="4"/>
      <c r="M19" s="4"/>
      <c r="N19" s="13"/>
      <c r="O19" s="11"/>
      <c r="P19" s="14"/>
    </row>
    <row r="20" spans="2:16">
      <c r="B20" s="11"/>
      <c r="C20" s="11"/>
      <c r="E20" s="12"/>
      <c r="L20" s="4"/>
      <c r="M20" s="4"/>
      <c r="N20" s="13"/>
      <c r="O20" s="11"/>
      <c r="P20" s="14"/>
    </row>
    <row r="21" spans="2:16">
      <c r="B21" s="11"/>
      <c r="C21" s="11"/>
      <c r="E21" s="12"/>
      <c r="L21" s="4"/>
      <c r="M21" s="4"/>
      <c r="N21" s="13"/>
      <c r="O21" s="11"/>
      <c r="P21" s="14"/>
    </row>
    <row r="22" spans="2:16">
      <c r="B22" s="11"/>
      <c r="C22" s="11"/>
      <c r="E22" s="12"/>
      <c r="L22" s="4"/>
      <c r="M22" s="4"/>
      <c r="N22" s="13"/>
      <c r="O22" s="11"/>
      <c r="P22" s="14"/>
    </row>
    <row r="23" spans="2:16">
      <c r="B23" s="11"/>
      <c r="C23" s="11"/>
      <c r="E23" s="12"/>
      <c r="L23" s="4"/>
      <c r="M23" s="4"/>
      <c r="N23" s="13"/>
      <c r="O23" s="11"/>
      <c r="P23" s="14"/>
    </row>
    <row r="24" spans="2:16">
      <c r="B24" s="11"/>
      <c r="C24" s="11"/>
      <c r="E24" s="12"/>
      <c r="L24" s="4"/>
      <c r="M24" s="4"/>
      <c r="N24" s="13"/>
      <c r="O24" s="11"/>
      <c r="P24" s="14"/>
    </row>
    <row r="25" spans="2:16">
      <c r="B25" s="11"/>
      <c r="C25" s="11"/>
      <c r="E25" s="12"/>
      <c r="L25" s="4"/>
      <c r="M25" s="4"/>
      <c r="N25" s="13"/>
      <c r="O25" s="11"/>
      <c r="P25" s="14"/>
    </row>
    <row r="26" spans="2:16">
      <c r="B26" s="11"/>
      <c r="C26" s="11"/>
      <c r="E26" s="12"/>
      <c r="L26" s="4"/>
      <c r="M26" s="4"/>
      <c r="N26" s="13"/>
      <c r="O26" s="11"/>
      <c r="P26" s="14"/>
    </row>
    <row r="27" spans="2:16">
      <c r="B27" s="11"/>
      <c r="C27" s="11"/>
      <c r="E27" s="12"/>
      <c r="L27" s="4"/>
      <c r="M27" s="4"/>
      <c r="N27" s="13"/>
      <c r="O27" s="11"/>
      <c r="P27" s="14"/>
    </row>
    <row r="28" spans="2:16">
      <c r="B28" s="11"/>
      <c r="C28" s="11"/>
      <c r="E28" s="12"/>
      <c r="L28" s="4"/>
      <c r="M28" s="4"/>
      <c r="N28" s="13"/>
      <c r="O28" s="11"/>
      <c r="P28" s="14"/>
    </row>
    <row r="29" spans="2:16">
      <c r="B29" s="11"/>
      <c r="C29" s="11"/>
      <c r="E29" s="12"/>
      <c r="L29" s="4"/>
      <c r="M29" s="4"/>
      <c r="N29" s="13"/>
      <c r="O29" s="11"/>
      <c r="P29" s="14"/>
    </row>
    <row r="30" spans="2:16">
      <c r="B30" s="11"/>
      <c r="C30" s="11"/>
      <c r="E30" s="12"/>
      <c r="L30" s="4"/>
      <c r="M30" s="4"/>
      <c r="N30" s="13"/>
      <c r="O30" s="11"/>
      <c r="P30" s="14"/>
    </row>
    <row r="31" spans="2:16">
      <c r="B31" s="11"/>
      <c r="C31" s="11"/>
      <c r="E31" s="12"/>
      <c r="L31" s="4"/>
      <c r="M31" s="4"/>
      <c r="N31" s="16"/>
      <c r="O31" s="11"/>
      <c r="P31" s="14"/>
    </row>
    <row r="32" spans="2:16">
      <c r="B32" s="11"/>
      <c r="C32" s="11"/>
      <c r="E32" s="12"/>
      <c r="L32" s="4"/>
      <c r="M32" s="4"/>
      <c r="N32" s="13"/>
      <c r="O32" s="11"/>
      <c r="P32" s="14"/>
    </row>
    <row r="33" spans="2:16">
      <c r="B33" s="11"/>
      <c r="C33" s="11"/>
      <c r="E33" s="12"/>
      <c r="L33" s="4"/>
      <c r="M33" s="4"/>
      <c r="N33" s="13"/>
      <c r="O33" s="11"/>
      <c r="P33" s="14"/>
    </row>
    <row r="34" spans="2:16">
      <c r="B34" s="11"/>
      <c r="C34" s="11"/>
      <c r="E34" s="12"/>
      <c r="L34" s="4"/>
      <c r="M34" s="4"/>
      <c r="N34" s="16"/>
      <c r="O34" s="11"/>
      <c r="P34" s="14"/>
    </row>
    <row r="35" spans="2:16">
      <c r="B35" s="11"/>
      <c r="C35" s="11"/>
      <c r="E35" s="12"/>
      <c r="L35" s="4"/>
      <c r="M35" s="4"/>
      <c r="N35" s="13"/>
      <c r="O35" s="11"/>
      <c r="P35" s="14"/>
    </row>
    <row r="36" spans="2:16">
      <c r="B36" s="11"/>
      <c r="C36" s="11"/>
      <c r="E36" s="12"/>
      <c r="L36" s="4"/>
      <c r="M36" s="4"/>
      <c r="N36" s="13"/>
      <c r="O36" s="11"/>
      <c r="P36" s="14"/>
    </row>
    <row r="37" spans="2:16">
      <c r="B37" s="11"/>
      <c r="C37" s="11"/>
      <c r="E37" s="12"/>
      <c r="L37" s="4"/>
      <c r="M37" s="4"/>
      <c r="N37" s="13"/>
      <c r="O37" s="11"/>
      <c r="P37" s="14"/>
    </row>
    <row r="38" spans="2:16">
      <c r="B38" s="11"/>
      <c r="C38" s="11"/>
      <c r="E38" s="12"/>
      <c r="L38" s="4"/>
      <c r="M38" s="4"/>
      <c r="N38" s="13"/>
      <c r="O38" s="11"/>
      <c r="P38" s="14"/>
    </row>
    <row r="39" spans="2:16">
      <c r="B39" s="11"/>
      <c r="C39" s="11"/>
      <c r="E39" s="12"/>
      <c r="L39" s="4"/>
      <c r="M39" s="4"/>
      <c r="N39" s="13"/>
      <c r="O39" s="11"/>
      <c r="P39" s="14"/>
    </row>
    <row r="40" spans="2:16">
      <c r="B40" s="11"/>
      <c r="C40" s="11"/>
      <c r="E40" s="12"/>
      <c r="L40" s="4"/>
      <c r="M40" s="4"/>
      <c r="N40" s="13"/>
      <c r="O40" s="11"/>
      <c r="P40" s="14"/>
    </row>
    <row r="41" spans="2:16">
      <c r="B41" s="11"/>
      <c r="C41" s="11"/>
      <c r="E41" s="12"/>
      <c r="L41" s="4"/>
      <c r="M41" s="4"/>
      <c r="N41" s="13"/>
      <c r="O41" s="11"/>
      <c r="P41" s="14"/>
    </row>
    <row r="42" spans="2:16">
      <c r="B42" s="11"/>
      <c r="C42" s="11"/>
      <c r="E42" s="12"/>
      <c r="L42" s="4"/>
      <c r="M42" s="4"/>
      <c r="N42" s="13"/>
      <c r="O42" s="11"/>
      <c r="P42" s="14"/>
    </row>
    <row r="43" spans="2:16">
      <c r="B43" s="11"/>
      <c r="C43" s="11"/>
      <c r="E43" s="12"/>
      <c r="L43" s="4"/>
      <c r="M43" s="4"/>
      <c r="N43" s="13"/>
      <c r="O43" s="11"/>
      <c r="P43" s="14"/>
    </row>
    <row r="44" spans="2:16">
      <c r="B44" s="11"/>
      <c r="C44" s="11"/>
      <c r="E44" s="12"/>
      <c r="L44" s="4"/>
      <c r="M44" s="4"/>
      <c r="N44" s="13"/>
      <c r="O44" s="11"/>
      <c r="P44" s="14"/>
    </row>
    <row r="45" spans="2:16">
      <c r="B45" s="11"/>
      <c r="C45" s="11"/>
      <c r="E45" s="12"/>
      <c r="L45" s="4"/>
      <c r="M45" s="4"/>
      <c r="N45" s="13"/>
      <c r="O45" s="11"/>
      <c r="P45" s="14"/>
    </row>
    <row r="46" spans="2:16">
      <c r="B46" s="11"/>
      <c r="C46" s="11"/>
      <c r="E46" s="12"/>
      <c r="L46" s="4"/>
      <c r="M46" s="4"/>
      <c r="N46" s="13"/>
      <c r="O46" s="11"/>
      <c r="P46" s="14"/>
    </row>
    <row r="47" spans="2:16">
      <c r="B47" s="11"/>
      <c r="C47" s="11"/>
      <c r="E47" s="12"/>
      <c r="L47" s="4"/>
      <c r="M47" s="4"/>
      <c r="N47" s="13"/>
      <c r="O47" s="11"/>
      <c r="P47" s="14"/>
    </row>
    <row r="48" spans="2:16">
      <c r="B48" s="11"/>
      <c r="C48" s="11"/>
      <c r="E48" s="12"/>
      <c r="L48" s="4"/>
      <c r="M48" s="4"/>
      <c r="N48" s="13"/>
      <c r="O48" s="11"/>
      <c r="P48" s="14"/>
    </row>
    <row r="49" spans="2:16">
      <c r="B49" s="11"/>
      <c r="C49" s="11"/>
      <c r="E49" s="12"/>
      <c r="L49" s="4"/>
      <c r="M49" s="4"/>
      <c r="N49" s="13"/>
      <c r="O49" s="11"/>
      <c r="P49" s="14"/>
    </row>
    <row r="50" spans="2:16">
      <c r="B50" s="11"/>
      <c r="C50" s="11"/>
      <c r="E50" s="12"/>
      <c r="L50" s="4"/>
      <c r="M50" s="4"/>
      <c r="N50" s="13"/>
      <c r="O50" s="11"/>
      <c r="P50" s="14"/>
    </row>
    <row r="51" spans="2:16">
      <c r="B51" s="11"/>
      <c r="C51" s="11"/>
      <c r="E51" s="12"/>
      <c r="L51" s="4"/>
      <c r="M51" s="4"/>
      <c r="N51" s="13"/>
      <c r="O51" s="11"/>
      <c r="P51" s="14"/>
    </row>
    <row r="52" spans="2:16">
      <c r="B52" s="11"/>
      <c r="C52" s="11"/>
      <c r="E52" s="12"/>
      <c r="L52" s="4"/>
      <c r="M52" s="4"/>
      <c r="N52" s="13"/>
      <c r="O52" s="11"/>
      <c r="P52" s="14"/>
    </row>
    <row r="53" spans="2:16">
      <c r="B53" s="11"/>
      <c r="C53" s="11"/>
      <c r="E53" s="12"/>
      <c r="L53" s="4"/>
      <c r="M53" s="4"/>
      <c r="N53" s="13"/>
      <c r="O53" s="11"/>
      <c r="P53" s="14"/>
    </row>
    <row r="54" spans="2:16">
      <c r="B54" s="11"/>
      <c r="C54" s="11"/>
      <c r="E54" s="12"/>
      <c r="L54" s="4"/>
      <c r="M54" s="4"/>
      <c r="N54" s="13"/>
      <c r="O54" s="11"/>
      <c r="P54" s="14"/>
    </row>
    <row r="55" spans="2:16">
      <c r="B55" s="11"/>
      <c r="C55" s="11"/>
      <c r="E55" s="12"/>
      <c r="L55" s="4"/>
      <c r="M55" s="4"/>
      <c r="N55" s="13"/>
      <c r="O55" s="11"/>
      <c r="P55" s="14"/>
    </row>
    <row r="56" spans="2:16">
      <c r="B56" s="11"/>
      <c r="C56" s="11"/>
      <c r="E56" s="12"/>
      <c r="L56" s="4"/>
      <c r="M56" s="4"/>
      <c r="N56" s="13"/>
      <c r="O56" s="11"/>
      <c r="P56" s="14"/>
    </row>
    <row r="57" spans="2:16">
      <c r="B57" s="11"/>
      <c r="C57" s="11"/>
      <c r="E57" s="12"/>
      <c r="L57" s="4"/>
      <c r="M57" s="4"/>
      <c r="N57" s="13"/>
      <c r="O57" s="11"/>
      <c r="P57" s="14"/>
    </row>
    <row r="58" spans="2:16">
      <c r="B58" s="11"/>
      <c r="C58" s="11"/>
      <c r="E58" s="12"/>
      <c r="L58" s="4"/>
      <c r="M58" s="4"/>
      <c r="N58" s="13"/>
      <c r="O58" s="11"/>
      <c r="P58" s="14"/>
    </row>
    <row r="59" spans="2:16">
      <c r="B59" s="11"/>
      <c r="C59" s="11"/>
      <c r="E59" s="12"/>
      <c r="L59" s="4"/>
      <c r="M59" s="4"/>
      <c r="N59" s="13"/>
      <c r="O59" s="11"/>
      <c r="P59" s="14"/>
    </row>
    <row r="60" spans="2:16">
      <c r="B60" s="11"/>
      <c r="C60" s="11"/>
      <c r="E60" s="12"/>
      <c r="L60" s="4"/>
      <c r="M60" s="4"/>
      <c r="N60" s="13"/>
      <c r="O60" s="11"/>
      <c r="P60" s="14"/>
    </row>
    <row r="61" spans="2:16">
      <c r="B61" s="11"/>
      <c r="C61" s="11"/>
      <c r="E61" s="12"/>
      <c r="L61" s="4"/>
      <c r="M61" s="4"/>
      <c r="N61" s="13"/>
      <c r="O61" s="11"/>
      <c r="P61" s="14"/>
    </row>
    <row r="62" spans="2:16">
      <c r="B62" s="11"/>
      <c r="C62" s="11"/>
      <c r="E62" s="12"/>
      <c r="L62" s="4"/>
      <c r="M62" s="4"/>
      <c r="N62" s="13"/>
      <c r="O62" s="11"/>
      <c r="P62" s="14"/>
    </row>
    <row r="63" spans="2:16">
      <c r="B63" s="11"/>
      <c r="C63" s="11"/>
      <c r="E63" s="12"/>
      <c r="L63" s="4"/>
      <c r="M63" s="4"/>
      <c r="N63" s="13"/>
      <c r="O63" s="11"/>
      <c r="P63" s="14"/>
    </row>
    <row r="64" spans="2:16">
      <c r="B64" s="11"/>
      <c r="C64" s="11"/>
      <c r="E64" s="12"/>
      <c r="L64" s="4"/>
      <c r="M64" s="4"/>
      <c r="N64" s="13"/>
      <c r="O64" s="11"/>
      <c r="P64" s="14"/>
    </row>
    <row r="65" spans="2:16">
      <c r="B65" s="11"/>
      <c r="C65" s="11"/>
      <c r="E65" s="12"/>
      <c r="L65" s="4"/>
      <c r="M65" s="4"/>
      <c r="N65" s="13"/>
      <c r="O65" s="11"/>
      <c r="P65" s="14"/>
    </row>
    <row r="66" spans="2:16">
      <c r="B66" s="11"/>
      <c r="C66" s="11"/>
      <c r="E66" s="12"/>
      <c r="L66" s="4"/>
      <c r="M66" s="4"/>
      <c r="N66" s="13"/>
      <c r="O66" s="11"/>
      <c r="P66" s="14"/>
    </row>
    <row r="67" spans="2:16">
      <c r="B67" s="11"/>
      <c r="C67" s="11"/>
      <c r="E67" s="12"/>
      <c r="L67" s="4"/>
      <c r="M67" s="4"/>
      <c r="N67" s="13"/>
      <c r="O67" s="11"/>
      <c r="P67" s="14"/>
    </row>
    <row r="68" spans="2:16">
      <c r="B68" s="11"/>
      <c r="C68" s="11"/>
      <c r="E68" s="12"/>
      <c r="L68" s="4"/>
      <c r="M68" s="4"/>
      <c r="N68" s="13"/>
      <c r="O68" s="11"/>
      <c r="P68" s="14"/>
    </row>
    <row r="69" spans="2:16">
      <c r="B69" s="11"/>
      <c r="C69" s="11"/>
      <c r="E69" s="12"/>
      <c r="L69" s="4"/>
      <c r="M69" s="4"/>
      <c r="N69" s="13"/>
      <c r="O69" s="11"/>
      <c r="P69" s="14"/>
    </row>
    <row r="70" spans="2:16">
      <c r="B70" s="11"/>
      <c r="C70" s="11"/>
      <c r="E70" s="12"/>
      <c r="L70" s="4"/>
      <c r="M70" s="4"/>
      <c r="N70" s="13"/>
      <c r="O70" s="11"/>
      <c r="P70" s="14"/>
    </row>
    <row r="71" spans="2:16">
      <c r="B71" s="11"/>
      <c r="C71" s="11"/>
      <c r="E71" s="12"/>
      <c r="L71" s="4"/>
      <c r="M71" s="4"/>
      <c r="N71" s="13"/>
      <c r="O71" s="11"/>
      <c r="P71" s="14"/>
    </row>
    <row r="72" spans="2:16">
      <c r="B72" s="11"/>
      <c r="C72" s="11"/>
      <c r="E72" s="12"/>
      <c r="L72" s="4"/>
      <c r="M72" s="4"/>
      <c r="N72" s="13"/>
      <c r="O72" s="11"/>
      <c r="P72" s="14"/>
    </row>
    <row r="73" spans="2:16">
      <c r="B73" s="11"/>
      <c r="C73" s="11"/>
      <c r="E73" s="12"/>
      <c r="L73" s="4"/>
      <c r="M73" s="4"/>
      <c r="N73" s="13"/>
      <c r="O73" s="11"/>
      <c r="P73" s="14"/>
    </row>
    <row r="74" spans="2:16">
      <c r="B74" s="11"/>
      <c r="C74" s="11"/>
      <c r="E74" s="12"/>
      <c r="L74" s="4"/>
      <c r="M74" s="4"/>
      <c r="N74" s="13"/>
      <c r="O74" s="11"/>
      <c r="P74" s="14"/>
    </row>
    <row r="75" spans="2:16">
      <c r="B75" s="11"/>
      <c r="C75" s="11"/>
      <c r="E75" s="12"/>
      <c r="L75" s="4"/>
      <c r="M75" s="4"/>
      <c r="N75" s="13"/>
      <c r="O75" s="11"/>
      <c r="P75" s="14"/>
    </row>
    <row r="76" spans="2:16">
      <c r="B76" s="11"/>
      <c r="C76" s="11"/>
      <c r="E76" s="12"/>
      <c r="L76" s="4"/>
      <c r="M76" s="4"/>
      <c r="N76" s="13"/>
      <c r="O76" s="11"/>
      <c r="P76" s="14"/>
    </row>
    <row r="77" spans="2:16">
      <c r="B77" s="11"/>
      <c r="C77" s="11"/>
      <c r="E77" s="12"/>
      <c r="L77" s="4"/>
      <c r="M77" s="4"/>
      <c r="N77" s="13"/>
      <c r="O77" s="11"/>
      <c r="P77" s="14"/>
    </row>
    <row r="78" spans="2:16">
      <c r="B78" s="11"/>
      <c r="C78" s="11"/>
      <c r="E78" s="12"/>
      <c r="L78" s="4"/>
      <c r="M78" s="4"/>
      <c r="N78" s="13"/>
      <c r="O78" s="11"/>
      <c r="P78" s="14"/>
    </row>
    <row r="79" spans="2:16">
      <c r="B79" s="11"/>
      <c r="C79" s="11"/>
      <c r="E79" s="12"/>
      <c r="L79" s="4"/>
      <c r="M79" s="4"/>
      <c r="N79" s="13"/>
      <c r="O79" s="11"/>
      <c r="P79" s="14"/>
    </row>
    <row r="80" spans="2:16">
      <c r="B80" s="11"/>
      <c r="C80" s="11"/>
      <c r="E80" s="12"/>
      <c r="L80" s="4"/>
      <c r="M80" s="4"/>
      <c r="N80" s="13"/>
      <c r="O80" s="11"/>
      <c r="P80" s="14"/>
    </row>
    <row r="81" spans="2:16">
      <c r="B81" s="11"/>
      <c r="C81" s="11"/>
      <c r="E81" s="12"/>
      <c r="L81" s="4"/>
      <c r="M81" s="4"/>
      <c r="N81" s="13"/>
      <c r="O81" s="11"/>
      <c r="P81" s="14"/>
    </row>
    <row r="82" spans="2:16">
      <c r="B82" s="11"/>
      <c r="C82" s="11"/>
      <c r="E82" s="12"/>
      <c r="L82" s="4"/>
      <c r="M82" s="4"/>
      <c r="N82" s="13"/>
      <c r="O82" s="11"/>
      <c r="P82" s="14"/>
    </row>
    <row r="83" spans="2:16">
      <c r="B83" s="11"/>
      <c r="C83" s="11"/>
      <c r="E83" s="12"/>
      <c r="L83" s="4"/>
      <c r="M83" s="4"/>
      <c r="N83" s="13"/>
      <c r="O83" s="11"/>
      <c r="P83" s="14"/>
    </row>
    <row r="84" spans="2:16">
      <c r="B84" s="11"/>
      <c r="C84" s="11"/>
      <c r="E84" s="12"/>
      <c r="L84" s="4"/>
      <c r="M84" s="4"/>
      <c r="N84" s="13"/>
      <c r="O84" s="11"/>
      <c r="P84" s="14"/>
    </row>
    <row r="85" spans="2:16">
      <c r="B85" s="11"/>
      <c r="C85" s="11"/>
      <c r="E85" s="12"/>
      <c r="L85" s="4"/>
      <c r="M85" s="4"/>
      <c r="N85" s="13"/>
      <c r="O85" s="11"/>
      <c r="P85" s="14"/>
    </row>
    <row r="86" spans="2:16">
      <c r="B86" s="11"/>
      <c r="C86" s="11"/>
      <c r="E86" s="12"/>
      <c r="L86" s="4"/>
      <c r="M86" s="4"/>
      <c r="N86" s="13"/>
      <c r="O86" s="11"/>
      <c r="P86" s="14"/>
    </row>
    <row r="87" spans="2:16">
      <c r="B87" s="11"/>
      <c r="C87" s="11"/>
      <c r="E87" s="12"/>
      <c r="L87" s="4"/>
      <c r="M87" s="4"/>
      <c r="N87" s="13"/>
      <c r="O87" s="11"/>
      <c r="P87" s="14"/>
    </row>
    <row r="88" spans="2:16">
      <c r="B88" s="11"/>
      <c r="C88" s="11"/>
      <c r="E88" s="12"/>
      <c r="L88" s="4"/>
      <c r="M88" s="4"/>
      <c r="N88" s="13"/>
      <c r="O88" s="11"/>
      <c r="P88" s="14"/>
    </row>
    <row r="89" spans="2:16">
      <c r="B89" s="11"/>
      <c r="C89" s="11"/>
      <c r="E89" s="12"/>
      <c r="L89" s="4"/>
      <c r="M89" s="4"/>
      <c r="N89" s="13"/>
      <c r="O89" s="11"/>
      <c r="P89" s="14"/>
    </row>
    <row r="90" spans="2:16">
      <c r="B90" s="11"/>
      <c r="C90" s="11"/>
      <c r="E90" s="12"/>
      <c r="L90" s="4"/>
      <c r="M90" s="4"/>
      <c r="N90" s="13"/>
      <c r="O90" s="11"/>
      <c r="P90" s="14"/>
    </row>
    <row r="91" spans="2:16">
      <c r="B91" s="11"/>
      <c r="C91" s="11"/>
      <c r="E91" s="12"/>
      <c r="L91" s="4"/>
      <c r="M91" s="4"/>
      <c r="N91" s="13"/>
      <c r="O91" s="11"/>
      <c r="P91" s="14"/>
    </row>
    <row r="92" spans="2:16">
      <c r="B92" s="11"/>
      <c r="C92" s="11"/>
      <c r="E92" s="12"/>
      <c r="L92" s="4"/>
      <c r="M92" s="4"/>
      <c r="N92" s="13"/>
      <c r="O92" s="11"/>
      <c r="P92" s="14"/>
    </row>
    <row r="93" spans="2:16">
      <c r="B93" s="11"/>
      <c r="C93" s="11"/>
      <c r="E93" s="12"/>
      <c r="L93" s="4"/>
      <c r="M93" s="4"/>
      <c r="N93" s="13"/>
      <c r="O93" s="11"/>
      <c r="P93" s="14"/>
    </row>
    <row r="94" spans="2:16">
      <c r="B94" s="11"/>
      <c r="C94" s="11"/>
      <c r="E94" s="12"/>
      <c r="L94" s="4"/>
      <c r="M94" s="4"/>
      <c r="N94" s="13"/>
      <c r="O94" s="11"/>
      <c r="P94" s="14"/>
    </row>
    <row r="95" spans="2:16">
      <c r="B95" s="11"/>
      <c r="C95" s="11"/>
      <c r="E95" s="12"/>
      <c r="L95" s="4"/>
      <c r="M95" s="4"/>
      <c r="N95" s="13"/>
      <c r="O95" s="11"/>
      <c r="P95" s="14"/>
    </row>
    <row r="96" spans="2:16">
      <c r="B96" s="11"/>
      <c r="C96" s="11"/>
      <c r="E96" s="12"/>
      <c r="L96" s="4"/>
      <c r="M96" s="4"/>
      <c r="N96" s="13"/>
      <c r="O96" s="11"/>
      <c r="P96" s="14"/>
    </row>
    <row r="97" spans="2:16">
      <c r="B97" s="11"/>
      <c r="C97" s="11"/>
      <c r="E97" s="12"/>
      <c r="L97" s="4"/>
      <c r="M97" s="4"/>
      <c r="N97" s="13"/>
      <c r="O97" s="11"/>
      <c r="P97" s="14"/>
    </row>
    <row r="98" spans="2:16">
      <c r="B98" s="11"/>
      <c r="C98" s="11"/>
      <c r="E98" s="12"/>
      <c r="L98" s="4"/>
      <c r="M98" s="4"/>
      <c r="N98" s="13"/>
      <c r="O98" s="11"/>
      <c r="P98" s="14"/>
    </row>
    <row r="99" spans="2:16">
      <c r="B99" s="11"/>
      <c r="C99" s="11"/>
      <c r="E99" s="12"/>
      <c r="L99" s="4"/>
      <c r="M99" s="4"/>
      <c r="N99" s="13"/>
      <c r="O99" s="11"/>
      <c r="P99" s="14"/>
    </row>
    <row r="100" spans="2:16">
      <c r="B100" s="11"/>
      <c r="C100" s="11"/>
      <c r="E100" s="12"/>
      <c r="L100" s="4"/>
      <c r="M100" s="4"/>
      <c r="N100" s="13"/>
      <c r="O100" s="11"/>
      <c r="P100" s="14"/>
    </row>
    <row r="101" spans="2:16">
      <c r="B101" s="11"/>
      <c r="C101" s="11"/>
      <c r="E101" s="12"/>
      <c r="L101" s="4"/>
      <c r="M101" s="4"/>
      <c r="N101" s="13"/>
      <c r="O101" s="11"/>
      <c r="P101" s="14"/>
    </row>
    <row r="102" spans="2:16">
      <c r="B102" s="11"/>
      <c r="C102" s="11"/>
      <c r="E102" s="12"/>
      <c r="L102" s="4"/>
      <c r="M102" s="4"/>
      <c r="N102" s="13"/>
      <c r="O102" s="11"/>
      <c r="P102" s="14"/>
    </row>
    <row r="103" spans="2:16">
      <c r="B103" s="11"/>
      <c r="C103" s="11"/>
      <c r="E103" s="12"/>
      <c r="L103" s="4"/>
      <c r="M103" s="4"/>
      <c r="N103" s="13"/>
      <c r="O103" s="11"/>
      <c r="P103" s="14"/>
    </row>
    <row r="104" spans="2:16">
      <c r="B104" s="11"/>
      <c r="C104" s="11"/>
      <c r="E104" s="12"/>
      <c r="L104" s="4"/>
      <c r="M104" s="4"/>
      <c r="N104" s="13"/>
      <c r="O104" s="11"/>
      <c r="P104" s="14"/>
    </row>
    <row r="105" spans="2:16">
      <c r="B105" s="11"/>
      <c r="C105" s="11"/>
      <c r="E105" s="12"/>
      <c r="L105" s="4"/>
      <c r="M105" s="4"/>
      <c r="N105" s="13"/>
      <c r="O105" s="11"/>
      <c r="P105" s="14"/>
    </row>
    <row r="106" spans="2:16">
      <c r="B106" s="11"/>
      <c r="C106" s="11"/>
      <c r="E106" s="12"/>
      <c r="L106" s="4"/>
      <c r="M106" s="4"/>
      <c r="N106" s="13"/>
      <c r="O106" s="11"/>
      <c r="P106" s="14"/>
    </row>
    <row r="107" spans="2:16">
      <c r="B107" s="11"/>
      <c r="C107" s="11"/>
      <c r="E107" s="12"/>
      <c r="L107" s="4"/>
      <c r="M107" s="4"/>
      <c r="N107" s="13"/>
      <c r="O107" s="11"/>
      <c r="P107" s="14"/>
    </row>
    <row r="108" spans="2:16">
      <c r="B108" s="11"/>
      <c r="C108" s="11"/>
      <c r="E108" s="12"/>
      <c r="L108" s="4"/>
      <c r="M108" s="4"/>
      <c r="N108" s="13"/>
      <c r="O108" s="11"/>
      <c r="P108" s="14"/>
    </row>
    <row r="109" spans="2:16">
      <c r="B109" s="11"/>
      <c r="C109" s="11"/>
      <c r="E109" s="12"/>
      <c r="L109" s="4"/>
      <c r="M109" s="4"/>
      <c r="N109" s="13"/>
      <c r="O109" s="11"/>
      <c r="P109" s="14"/>
    </row>
    <row r="110" spans="2:16">
      <c r="B110" s="11"/>
      <c r="C110" s="11"/>
      <c r="E110" s="12"/>
      <c r="L110" s="4"/>
      <c r="M110" s="4"/>
      <c r="N110" s="13"/>
      <c r="O110" s="11"/>
      <c r="P110" s="14"/>
    </row>
    <row r="111" spans="2:16">
      <c r="B111" s="11"/>
      <c r="C111" s="11"/>
      <c r="E111" s="12"/>
      <c r="L111" s="4"/>
      <c r="M111" s="4"/>
      <c r="N111" s="13"/>
      <c r="O111" s="11"/>
      <c r="P111" s="14"/>
    </row>
    <row r="112" spans="2:16">
      <c r="B112" s="11"/>
      <c r="C112" s="11"/>
      <c r="E112" s="12"/>
      <c r="L112" s="4"/>
      <c r="M112" s="4"/>
      <c r="N112" s="13"/>
      <c r="O112" s="11"/>
      <c r="P112" s="14"/>
    </row>
    <row r="113" spans="2:16">
      <c r="B113" s="11"/>
      <c r="C113" s="11"/>
      <c r="E113" s="12"/>
      <c r="L113" s="4"/>
      <c r="M113" s="4"/>
      <c r="N113" s="13"/>
      <c r="O113" s="11"/>
      <c r="P113" s="14"/>
    </row>
    <row r="114" spans="2:16">
      <c r="B114" s="11"/>
      <c r="C114" s="11"/>
      <c r="E114" s="12"/>
      <c r="L114" s="4"/>
      <c r="M114" s="4"/>
      <c r="N114" s="13"/>
      <c r="O114" s="11"/>
      <c r="P114" s="14"/>
    </row>
    <row r="115" spans="2:16">
      <c r="B115" s="11"/>
      <c r="C115" s="11"/>
      <c r="E115" s="12"/>
      <c r="L115" s="4"/>
      <c r="M115" s="4"/>
      <c r="N115" s="13"/>
      <c r="O115" s="11"/>
      <c r="P115" s="14"/>
    </row>
    <row r="116" spans="2:16">
      <c r="B116" s="11"/>
      <c r="C116" s="11"/>
      <c r="E116" s="12"/>
      <c r="L116" s="4"/>
      <c r="M116" s="4"/>
      <c r="N116" s="13"/>
      <c r="O116" s="11"/>
      <c r="P116" s="14"/>
    </row>
    <row r="117" spans="2:16">
      <c r="B117" s="11"/>
      <c r="C117" s="11"/>
      <c r="E117" s="12"/>
      <c r="L117" s="4"/>
      <c r="M117" s="4"/>
      <c r="N117" s="13"/>
      <c r="O117" s="11"/>
      <c r="P117" s="14"/>
    </row>
    <row r="118" spans="2:16">
      <c r="B118" s="11"/>
      <c r="C118" s="11"/>
      <c r="E118" s="12"/>
      <c r="L118" s="4"/>
      <c r="M118" s="4"/>
      <c r="N118" s="13"/>
      <c r="O118" s="11"/>
      <c r="P118" s="14"/>
    </row>
    <row r="119" spans="2:16">
      <c r="B119" s="11"/>
      <c r="C119" s="11"/>
      <c r="E119" s="12"/>
      <c r="L119" s="4"/>
      <c r="M119" s="4"/>
      <c r="N119" s="13"/>
      <c r="O119" s="11"/>
      <c r="P119" s="14"/>
    </row>
    <row r="120" spans="2:16">
      <c r="B120" s="11"/>
      <c r="C120" s="11"/>
      <c r="E120" s="12"/>
      <c r="L120" s="4"/>
      <c r="M120" s="4"/>
      <c r="N120" s="13"/>
      <c r="O120" s="11"/>
      <c r="P120" s="14"/>
    </row>
    <row r="121" spans="2:16">
      <c r="B121" s="11"/>
      <c r="C121" s="11"/>
      <c r="E121" s="12"/>
      <c r="L121" s="4"/>
      <c r="M121" s="4"/>
      <c r="N121" s="13"/>
      <c r="O121" s="11"/>
      <c r="P121" s="14"/>
    </row>
    <row r="122" spans="2:16">
      <c r="B122" s="11"/>
      <c r="C122" s="11"/>
      <c r="E122" s="12"/>
      <c r="L122" s="4"/>
      <c r="M122" s="4"/>
      <c r="N122" s="13"/>
      <c r="O122" s="11"/>
      <c r="P122" s="14"/>
    </row>
    <row r="123" spans="2:16">
      <c r="B123" s="11"/>
      <c r="C123" s="11"/>
      <c r="E123" s="12"/>
      <c r="L123" s="4"/>
      <c r="M123" s="4"/>
      <c r="N123" s="13"/>
      <c r="O123" s="11"/>
      <c r="P123" s="14"/>
    </row>
    <row r="124" spans="2:16">
      <c r="B124" s="11"/>
      <c r="C124" s="11"/>
      <c r="E124" s="12"/>
      <c r="L124" s="4"/>
      <c r="M124" s="4"/>
      <c r="N124" s="13"/>
      <c r="O124" s="11"/>
      <c r="P124" s="14"/>
    </row>
    <row r="125" spans="2:16">
      <c r="B125" s="11"/>
      <c r="C125" s="11"/>
      <c r="E125" s="12"/>
      <c r="L125" s="4"/>
      <c r="M125" s="4"/>
      <c r="N125" s="13"/>
      <c r="O125" s="11"/>
      <c r="P125" s="14"/>
    </row>
    <row r="126" spans="2:16">
      <c r="B126" s="11"/>
      <c r="C126" s="11"/>
      <c r="E126" s="12"/>
      <c r="L126" s="4"/>
      <c r="M126" s="4"/>
      <c r="N126" s="13"/>
      <c r="O126" s="11"/>
      <c r="P126" s="14"/>
    </row>
    <row r="127" spans="2:16">
      <c r="B127" s="11"/>
      <c r="C127" s="11"/>
      <c r="E127" s="12"/>
      <c r="L127" s="4"/>
      <c r="M127" s="4"/>
      <c r="N127" s="13"/>
      <c r="O127" s="11"/>
      <c r="P127" s="14"/>
    </row>
    <row r="128" spans="2:16">
      <c r="B128" s="11"/>
      <c r="C128" s="11"/>
      <c r="E128" s="12"/>
      <c r="L128" s="4"/>
      <c r="M128" s="4"/>
      <c r="N128" s="13"/>
      <c r="O128" s="11"/>
      <c r="P128" s="14"/>
    </row>
    <row r="129" spans="2:16">
      <c r="B129" s="11"/>
      <c r="C129" s="11"/>
      <c r="E129" s="12"/>
      <c r="L129" s="4"/>
      <c r="M129" s="4"/>
      <c r="N129" s="13"/>
      <c r="O129" s="11"/>
      <c r="P129" s="14"/>
    </row>
    <row r="130" spans="2:16">
      <c r="B130" s="11"/>
      <c r="C130" s="11"/>
      <c r="E130" s="12"/>
      <c r="L130" s="4"/>
      <c r="M130" s="4"/>
      <c r="N130" s="13"/>
      <c r="O130" s="11"/>
      <c r="P130" s="14"/>
    </row>
    <row r="131" spans="2:16">
      <c r="B131" s="11"/>
      <c r="C131" s="11"/>
      <c r="E131" s="12"/>
      <c r="L131" s="4"/>
      <c r="M131" s="4"/>
      <c r="N131" s="13"/>
      <c r="O131" s="11"/>
      <c r="P131" s="14"/>
    </row>
    <row r="132" spans="2:16">
      <c r="B132" s="11"/>
      <c r="C132" s="11"/>
      <c r="E132" s="12"/>
      <c r="L132" s="4"/>
      <c r="M132" s="4"/>
      <c r="N132" s="13"/>
      <c r="O132" s="11"/>
      <c r="P132" s="14"/>
    </row>
    <row r="133" spans="2:16">
      <c r="B133" s="11"/>
      <c r="C133" s="11"/>
      <c r="E133" s="12"/>
      <c r="L133" s="4"/>
      <c r="M133" s="4"/>
      <c r="N133" s="13"/>
      <c r="O133" s="11"/>
      <c r="P133" s="14"/>
    </row>
    <row r="134" spans="2:16">
      <c r="B134" s="11"/>
      <c r="C134" s="11"/>
      <c r="E134" s="12"/>
      <c r="L134" s="4"/>
      <c r="M134" s="4"/>
      <c r="N134" s="13"/>
      <c r="O134" s="11"/>
      <c r="P134" s="14"/>
    </row>
    <row r="135" spans="2:16">
      <c r="B135" s="11"/>
      <c r="C135" s="11"/>
      <c r="E135" s="12"/>
      <c r="L135" s="4"/>
      <c r="M135" s="4"/>
      <c r="N135" s="13"/>
      <c r="O135" s="11"/>
      <c r="P135" s="14"/>
    </row>
    <row r="136" spans="2:16">
      <c r="B136" s="11"/>
      <c r="C136" s="11"/>
      <c r="E136" s="12"/>
      <c r="L136" s="4"/>
      <c r="M136" s="4"/>
      <c r="N136" s="13"/>
      <c r="O136" s="11"/>
      <c r="P136" s="14"/>
    </row>
    <row r="137" spans="2:16">
      <c r="B137" s="11"/>
      <c r="C137" s="11"/>
      <c r="E137" s="12"/>
      <c r="L137" s="4"/>
      <c r="M137" s="4"/>
      <c r="N137" s="13"/>
      <c r="O137" s="11"/>
      <c r="P137" s="14"/>
    </row>
    <row r="138" spans="2:16">
      <c r="B138" s="11"/>
      <c r="C138" s="11"/>
      <c r="E138" s="12"/>
      <c r="L138" s="4"/>
      <c r="M138" s="4"/>
      <c r="N138" s="13"/>
      <c r="O138" s="11"/>
      <c r="P138" s="14"/>
    </row>
    <row r="139" spans="2:16">
      <c r="B139" s="11"/>
      <c r="C139" s="11"/>
      <c r="E139" s="12"/>
      <c r="L139" s="4"/>
      <c r="M139" s="4"/>
      <c r="N139" s="13"/>
      <c r="O139" s="11"/>
      <c r="P139" s="14"/>
    </row>
    <row r="140" spans="2:16">
      <c r="B140" s="11"/>
      <c r="C140" s="11"/>
      <c r="E140" s="12"/>
      <c r="L140" s="4"/>
      <c r="M140" s="4"/>
      <c r="N140" s="13"/>
      <c r="O140" s="11"/>
      <c r="P140" s="14"/>
    </row>
    <row r="141" spans="2:16">
      <c r="B141" s="11"/>
      <c r="C141" s="11"/>
      <c r="E141" s="12"/>
      <c r="L141" s="4"/>
      <c r="M141" s="4"/>
      <c r="N141" s="13"/>
      <c r="O141" s="11"/>
      <c r="P141" s="14"/>
    </row>
    <row r="142" spans="2:16">
      <c r="B142" s="11"/>
      <c r="C142" s="11"/>
      <c r="E142" s="12"/>
      <c r="L142" s="4"/>
      <c r="M142" s="4"/>
      <c r="N142" s="13"/>
      <c r="O142" s="11"/>
      <c r="P142" s="14"/>
    </row>
    <row r="143" spans="2:16">
      <c r="B143" s="11"/>
      <c r="C143" s="11"/>
      <c r="E143" s="12"/>
      <c r="L143" s="4"/>
      <c r="M143" s="4"/>
      <c r="N143" s="13"/>
      <c r="O143" s="11"/>
      <c r="P143" s="14"/>
    </row>
    <row r="144" spans="2:16">
      <c r="B144" s="11"/>
      <c r="C144" s="11"/>
      <c r="E144" s="12"/>
      <c r="L144" s="4"/>
      <c r="M144" s="4"/>
      <c r="N144" s="13"/>
      <c r="O144" s="11"/>
      <c r="P144" s="14"/>
    </row>
    <row r="145" spans="2:16">
      <c r="B145" s="11"/>
      <c r="C145" s="11"/>
      <c r="E145" s="12"/>
      <c r="L145" s="4"/>
      <c r="M145" s="4"/>
      <c r="N145" s="13"/>
      <c r="O145" s="11"/>
      <c r="P145" s="14"/>
    </row>
    <row r="146" spans="2:16">
      <c r="B146" s="11"/>
      <c r="C146" s="11"/>
      <c r="E146" s="12"/>
      <c r="L146" s="4"/>
      <c r="M146" s="4"/>
      <c r="N146" s="13"/>
      <c r="O146" s="11"/>
      <c r="P146" s="14"/>
    </row>
    <row r="147" spans="2:16">
      <c r="B147" s="11"/>
      <c r="C147" s="11"/>
      <c r="E147" s="12"/>
      <c r="L147" s="4"/>
      <c r="M147" s="4"/>
      <c r="N147" s="13"/>
      <c r="O147" s="11"/>
      <c r="P147" s="14"/>
    </row>
    <row r="148" spans="2:16">
      <c r="B148" s="11"/>
      <c r="C148" s="11"/>
      <c r="E148" s="12"/>
      <c r="L148" s="4"/>
      <c r="M148" s="4"/>
      <c r="N148" s="13"/>
      <c r="O148" s="11"/>
      <c r="P148" s="14"/>
    </row>
    <row r="149" spans="2:16">
      <c r="B149" s="11"/>
      <c r="C149" s="11"/>
      <c r="E149" s="12"/>
      <c r="L149" s="4"/>
      <c r="M149" s="4"/>
      <c r="N149" s="13"/>
      <c r="O149" s="11"/>
      <c r="P149" s="14"/>
    </row>
    <row r="150" spans="2:16">
      <c r="B150" s="11"/>
      <c r="C150" s="11"/>
      <c r="E150" s="12"/>
      <c r="L150" s="4"/>
      <c r="M150" s="4"/>
      <c r="N150" s="13"/>
      <c r="O150" s="11"/>
      <c r="P150" s="14"/>
    </row>
    <row r="151" spans="2:16">
      <c r="B151" s="11"/>
      <c r="C151" s="11"/>
      <c r="E151" s="12"/>
      <c r="L151" s="4"/>
      <c r="M151" s="4"/>
      <c r="N151" s="13"/>
      <c r="O151" s="11"/>
      <c r="P151" s="14"/>
    </row>
    <row r="152" spans="2:16">
      <c r="B152" s="11"/>
      <c r="C152" s="11"/>
      <c r="E152" s="12"/>
      <c r="L152" s="4"/>
      <c r="M152" s="4"/>
      <c r="N152" s="13"/>
      <c r="O152" s="11"/>
      <c r="P152" s="14"/>
    </row>
    <row r="153" spans="2:16">
      <c r="B153" s="11"/>
      <c r="C153" s="11"/>
      <c r="E153" s="12"/>
      <c r="L153" s="4"/>
      <c r="M153" s="4"/>
      <c r="N153" s="13"/>
      <c r="O153" s="11"/>
      <c r="P153" s="14"/>
    </row>
    <row r="154" spans="2:16">
      <c r="B154" s="11"/>
      <c r="C154" s="11"/>
      <c r="E154" s="12"/>
      <c r="L154" s="4"/>
      <c r="M154" s="4"/>
      <c r="N154" s="13"/>
      <c r="O154" s="11"/>
      <c r="P154" s="14"/>
    </row>
    <row r="155" spans="2:16">
      <c r="B155" s="11"/>
      <c r="C155" s="11"/>
      <c r="E155" s="12"/>
      <c r="L155" s="4"/>
      <c r="M155" s="4"/>
      <c r="N155" s="13"/>
      <c r="O155" s="11"/>
      <c r="P155" s="14"/>
    </row>
    <row r="156" spans="2:16">
      <c r="B156" s="11"/>
      <c r="C156" s="11"/>
      <c r="E156" s="12"/>
      <c r="L156" s="4"/>
      <c r="M156" s="4"/>
      <c r="N156" s="13"/>
      <c r="O156" s="11"/>
      <c r="P156" s="14"/>
    </row>
    <row r="157" spans="2:16">
      <c r="B157" s="11"/>
      <c r="C157" s="11"/>
      <c r="E157" s="12"/>
      <c r="L157" s="4"/>
      <c r="M157" s="4"/>
      <c r="N157" s="13"/>
      <c r="O157" s="11"/>
      <c r="P157" s="14"/>
    </row>
    <row r="158" spans="2:16">
      <c r="B158" s="11"/>
      <c r="C158" s="11"/>
      <c r="E158" s="12"/>
      <c r="L158" s="4"/>
      <c r="M158" s="4"/>
      <c r="N158" s="13"/>
      <c r="O158" s="11"/>
      <c r="P158" s="14"/>
    </row>
    <row r="159" spans="2:16">
      <c r="N159" s="17"/>
    </row>
    <row r="160" spans="2:16">
      <c r="N160" s="17"/>
    </row>
    <row r="161" spans="14:14">
      <c r="N161" s="17"/>
    </row>
    <row r="162" spans="14:14">
      <c r="N162" s="17"/>
    </row>
    <row r="163" spans="14:14">
      <c r="N163" s="17"/>
    </row>
    <row r="164" spans="14:14">
      <c r="N164" s="17"/>
    </row>
    <row r="165" spans="14:14">
      <c r="N165" s="17"/>
    </row>
    <row r="166" spans="14:14">
      <c r="N166" s="17"/>
    </row>
    <row r="167" spans="14:14">
      <c r="N167" s="17"/>
    </row>
    <row r="168" spans="14:14">
      <c r="N168" s="17"/>
    </row>
    <row r="169" spans="14:14">
      <c r="N169" s="17"/>
    </row>
    <row r="170" spans="14:14">
      <c r="N170" s="17"/>
    </row>
    <row r="171" spans="14:14">
      <c r="N171" s="17"/>
    </row>
    <row r="172" spans="14:14">
      <c r="N172" s="17"/>
    </row>
    <row r="173" spans="14:14">
      <c r="N173" s="17"/>
    </row>
    <row r="174" spans="14:14">
      <c r="N174" s="17"/>
    </row>
    <row r="175" spans="14:14">
      <c r="N175" s="17"/>
    </row>
    <row r="176" spans="14:14">
      <c r="N176" s="17"/>
    </row>
    <row r="177" spans="14:14">
      <c r="N177" s="17"/>
    </row>
    <row r="178" spans="14:14">
      <c r="N178" s="17"/>
    </row>
    <row r="179" spans="14:14">
      <c r="N179" s="17"/>
    </row>
    <row r="180" spans="14:14">
      <c r="N180" s="17"/>
    </row>
    <row r="181" spans="14:14">
      <c r="N181" s="17"/>
    </row>
    <row r="182" spans="14:14">
      <c r="N182" s="17"/>
    </row>
    <row r="183" spans="14:14">
      <c r="N183" s="17"/>
    </row>
    <row r="184" spans="14:14">
      <c r="N184" s="17"/>
    </row>
    <row r="185" spans="14:14">
      <c r="N185" s="17"/>
    </row>
    <row r="186" spans="14:14">
      <c r="N186" s="17"/>
    </row>
    <row r="187" spans="14:14">
      <c r="N187" s="17"/>
    </row>
    <row r="188" spans="14:14">
      <c r="N188" s="17"/>
    </row>
    <row r="189" spans="14:14">
      <c r="N189" s="17"/>
    </row>
    <row r="190" spans="14:14">
      <c r="N190" s="17"/>
    </row>
    <row r="191" spans="14:14">
      <c r="N191" s="17"/>
    </row>
    <row r="192" spans="14:14">
      <c r="N192" s="17"/>
    </row>
    <row r="193" spans="14:14">
      <c r="N193" s="17"/>
    </row>
    <row r="194" spans="14:14">
      <c r="N194" s="17"/>
    </row>
    <row r="195" spans="14:14">
      <c r="N195" s="17"/>
    </row>
    <row r="196" spans="14:14">
      <c r="N196" s="17"/>
    </row>
    <row r="197" spans="14:14">
      <c r="N197" s="17"/>
    </row>
    <row r="198" spans="14:14">
      <c r="N198" s="17"/>
    </row>
    <row r="199" spans="14:14">
      <c r="N199" s="17"/>
    </row>
    <row r="200" spans="14:14">
      <c r="N200" s="17"/>
    </row>
    <row r="201" spans="14:14">
      <c r="N201" s="17"/>
    </row>
    <row r="202" spans="14:14">
      <c r="N202" s="17"/>
    </row>
    <row r="203" spans="14:14">
      <c r="N203" s="17"/>
    </row>
    <row r="204" spans="14:14">
      <c r="N204" s="17"/>
    </row>
    <row r="205" spans="14:14">
      <c r="N205" s="17"/>
    </row>
    <row r="206" spans="14:14">
      <c r="N206" s="17"/>
    </row>
    <row r="207" spans="14:14">
      <c r="N207" s="17"/>
    </row>
    <row r="208" spans="14:14">
      <c r="N208" s="17"/>
    </row>
    <row r="209" spans="14:14">
      <c r="N209" s="17"/>
    </row>
    <row r="210" spans="14:14">
      <c r="N210" s="17"/>
    </row>
    <row r="211" spans="14:14">
      <c r="N211" s="17"/>
    </row>
    <row r="212" spans="14:14">
      <c r="N212" s="17"/>
    </row>
    <row r="213" spans="14:14">
      <c r="N213" s="17"/>
    </row>
    <row r="214" spans="14:14">
      <c r="N214" s="17"/>
    </row>
    <row r="215" spans="14:14">
      <c r="N215" s="17"/>
    </row>
    <row r="216" spans="14:14">
      <c r="N216" s="17"/>
    </row>
    <row r="217" spans="14:14">
      <c r="N217" s="17"/>
    </row>
    <row r="218" spans="14:14">
      <c r="N218" s="17"/>
    </row>
    <row r="219" spans="14:14">
      <c r="N219" s="17"/>
    </row>
    <row r="220" spans="14:14">
      <c r="N220" s="17"/>
    </row>
    <row r="221" spans="14:14">
      <c r="N221" s="17"/>
    </row>
    <row r="222" spans="14:14">
      <c r="N222" s="17"/>
    </row>
    <row r="223" spans="14:14">
      <c r="N223" s="17"/>
    </row>
    <row r="224" spans="14:14">
      <c r="N224" s="17"/>
    </row>
    <row r="225" spans="14:14">
      <c r="N225" s="17"/>
    </row>
    <row r="226" spans="14:14">
      <c r="N226" s="17"/>
    </row>
    <row r="227" spans="14:14">
      <c r="N227" s="17"/>
    </row>
    <row r="228" spans="14:14">
      <c r="N228" s="17"/>
    </row>
    <row r="229" spans="14:14">
      <c r="N229" s="17"/>
    </row>
    <row r="230" spans="14:14">
      <c r="N230" s="17"/>
    </row>
    <row r="231" spans="14:14">
      <c r="N231" s="17"/>
    </row>
    <row r="232" spans="14:14">
      <c r="N232" s="17"/>
    </row>
    <row r="233" spans="14:14">
      <c r="N233" s="17"/>
    </row>
    <row r="234" spans="14:14">
      <c r="N234" s="17"/>
    </row>
    <row r="235" spans="14:14">
      <c r="N235" s="17"/>
    </row>
    <row r="236" spans="14:14">
      <c r="N236" s="17"/>
    </row>
    <row r="237" spans="14:14">
      <c r="N237" s="17"/>
    </row>
    <row r="238" spans="14:14">
      <c r="N238" s="17"/>
    </row>
    <row r="239" spans="14:14">
      <c r="N239" s="17"/>
    </row>
    <row r="240" spans="14:14">
      <c r="N240" s="17"/>
    </row>
    <row r="241" spans="14:14">
      <c r="N241" s="17"/>
    </row>
    <row r="242" spans="14:14">
      <c r="N242" s="17"/>
    </row>
    <row r="243" spans="14:14">
      <c r="N243" s="17"/>
    </row>
    <row r="244" spans="14:14">
      <c r="N244" s="17"/>
    </row>
    <row r="245" spans="14:14">
      <c r="N245" s="17"/>
    </row>
    <row r="246" spans="14:14">
      <c r="N246" s="17"/>
    </row>
    <row r="247" spans="14:14">
      <c r="N247" s="17"/>
    </row>
    <row r="248" spans="14:14">
      <c r="N248" s="17"/>
    </row>
    <row r="249" spans="14:14">
      <c r="N249" s="17"/>
    </row>
    <row r="250" spans="14:14">
      <c r="N250" s="17"/>
    </row>
    <row r="251" spans="14:14">
      <c r="N251" s="17"/>
    </row>
    <row r="252" spans="14:14">
      <c r="N252" s="17"/>
    </row>
    <row r="253" spans="14:14">
      <c r="N253" s="17"/>
    </row>
    <row r="254" spans="14:14">
      <c r="N254" s="17"/>
    </row>
    <row r="255" spans="14:14">
      <c r="N255" s="17"/>
    </row>
    <row r="256" spans="14:14">
      <c r="N256" s="17"/>
    </row>
    <row r="257" spans="14:14">
      <c r="N257" s="17"/>
    </row>
    <row r="258" spans="14:14">
      <c r="N258" s="17"/>
    </row>
    <row r="259" spans="14:14">
      <c r="N259" s="17"/>
    </row>
    <row r="260" spans="14:14">
      <c r="N260" s="17"/>
    </row>
    <row r="261" spans="14:14">
      <c r="N261" s="17"/>
    </row>
    <row r="262" spans="14:14">
      <c r="N262" s="17"/>
    </row>
    <row r="263" spans="14:14">
      <c r="N263" s="17"/>
    </row>
    <row r="264" spans="14:14">
      <c r="N264" s="17"/>
    </row>
    <row r="265" spans="14:14">
      <c r="N265" s="17"/>
    </row>
    <row r="266" spans="14:14">
      <c r="N266" s="17"/>
    </row>
    <row r="267" spans="14:14">
      <c r="N267" s="17"/>
    </row>
    <row r="268" spans="14:14">
      <c r="N268" s="17"/>
    </row>
    <row r="269" spans="14:14">
      <c r="N269" s="17"/>
    </row>
    <row r="270" spans="14:14">
      <c r="N270" s="17"/>
    </row>
    <row r="271" spans="14:14">
      <c r="N271" s="17"/>
    </row>
    <row r="272" spans="14:14">
      <c r="N272" s="17"/>
    </row>
    <row r="273" spans="14:14">
      <c r="N273" s="17"/>
    </row>
    <row r="274" spans="14:14">
      <c r="N274" s="17"/>
    </row>
    <row r="275" spans="14:14">
      <c r="N275" s="17"/>
    </row>
    <row r="276" spans="14:14">
      <c r="N276" s="17"/>
    </row>
    <row r="277" spans="14:14">
      <c r="N277" s="17"/>
    </row>
    <row r="278" spans="14:14">
      <c r="N278" s="17"/>
    </row>
    <row r="279" spans="14:14">
      <c r="N279" s="17"/>
    </row>
    <row r="280" spans="14:14">
      <c r="N280" s="17"/>
    </row>
    <row r="281" spans="14:14">
      <c r="N281" s="17"/>
    </row>
    <row r="282" spans="14:14">
      <c r="N282" s="17"/>
    </row>
    <row r="283" spans="14:14">
      <c r="N283" s="17"/>
    </row>
    <row r="284" spans="14:14">
      <c r="N284" s="17"/>
    </row>
    <row r="285" spans="14:14">
      <c r="N285" s="17"/>
    </row>
    <row r="286" spans="14:14">
      <c r="N286" s="17"/>
    </row>
    <row r="287" spans="14:14">
      <c r="N287" s="17"/>
    </row>
    <row r="288" spans="14:14">
      <c r="N288" s="17"/>
    </row>
    <row r="289" spans="14:14">
      <c r="N289" s="17"/>
    </row>
    <row r="290" spans="14:14">
      <c r="N290" s="17"/>
    </row>
    <row r="291" spans="14:14">
      <c r="N291" s="17"/>
    </row>
    <row r="292" spans="14:14">
      <c r="N292" s="17"/>
    </row>
    <row r="293" spans="14:14">
      <c r="N293" s="17"/>
    </row>
    <row r="294" spans="14:14">
      <c r="N294" s="17"/>
    </row>
    <row r="295" spans="14:14">
      <c r="N295" s="17"/>
    </row>
    <row r="296" spans="14:14">
      <c r="N296" s="17"/>
    </row>
    <row r="297" spans="14:14">
      <c r="N297" s="17"/>
    </row>
    <row r="298" spans="14:14">
      <c r="N298" s="17"/>
    </row>
    <row r="299" spans="14:14">
      <c r="N299" s="17"/>
    </row>
    <row r="300" spans="14:14">
      <c r="N300" s="17"/>
    </row>
    <row r="301" spans="14:14">
      <c r="N301" s="17"/>
    </row>
    <row r="302" spans="14:14">
      <c r="N302" s="17"/>
    </row>
    <row r="303" spans="14:14">
      <c r="N303" s="17"/>
    </row>
    <row r="304" spans="14:14">
      <c r="N304" s="17"/>
    </row>
    <row r="305" spans="14:14">
      <c r="N305" s="17"/>
    </row>
    <row r="306" spans="14:14">
      <c r="N306" s="17"/>
    </row>
    <row r="307" spans="14:14">
      <c r="N307" s="17"/>
    </row>
    <row r="308" spans="14:14">
      <c r="N308" s="17"/>
    </row>
    <row r="309" spans="14:14">
      <c r="N309" s="17"/>
    </row>
    <row r="310" spans="14:14">
      <c r="N310" s="17"/>
    </row>
    <row r="311" spans="14:14">
      <c r="N311" s="17"/>
    </row>
    <row r="312" spans="14:14">
      <c r="N312" s="17"/>
    </row>
    <row r="313" spans="14:14">
      <c r="N313" s="17"/>
    </row>
    <row r="314" spans="14:14">
      <c r="N314" s="17"/>
    </row>
    <row r="315" spans="14:14">
      <c r="N315" s="17"/>
    </row>
    <row r="316" spans="14:14">
      <c r="N316" s="17"/>
    </row>
    <row r="317" spans="14:14">
      <c r="N317" s="17"/>
    </row>
    <row r="318" spans="14:14">
      <c r="N318" s="17"/>
    </row>
    <row r="319" spans="14:14">
      <c r="N319" s="17"/>
    </row>
    <row r="320" spans="14:14">
      <c r="N320" s="17"/>
    </row>
    <row r="321" spans="14:14">
      <c r="N321" s="17"/>
    </row>
    <row r="322" spans="14:14">
      <c r="N322" s="17"/>
    </row>
    <row r="323" spans="14:14">
      <c r="N323" s="17"/>
    </row>
    <row r="324" spans="14:14">
      <c r="N324" s="17"/>
    </row>
    <row r="325" spans="14:14">
      <c r="N325" s="17"/>
    </row>
    <row r="326" spans="14:14">
      <c r="N326" s="17"/>
    </row>
    <row r="327" spans="14:14">
      <c r="N327" s="17"/>
    </row>
    <row r="328" spans="14:14">
      <c r="N328" s="17"/>
    </row>
    <row r="329" spans="14:14">
      <c r="N329" s="17"/>
    </row>
    <row r="330" spans="14:14">
      <c r="N330" s="17"/>
    </row>
    <row r="331" spans="14:14">
      <c r="N331" s="17"/>
    </row>
    <row r="332" spans="14:14">
      <c r="N332" s="17"/>
    </row>
    <row r="333" spans="14:14">
      <c r="N333" s="17"/>
    </row>
    <row r="334" spans="14:14">
      <c r="N334" s="17"/>
    </row>
    <row r="335" spans="14:14">
      <c r="N335" s="17"/>
    </row>
    <row r="336" spans="14:14">
      <c r="N336" s="17"/>
    </row>
    <row r="337" spans="14:14">
      <c r="N337" s="17"/>
    </row>
    <row r="338" spans="14:14">
      <c r="N338" s="17"/>
    </row>
    <row r="339" spans="14:14">
      <c r="N339" s="17"/>
    </row>
    <row r="340" spans="14:14">
      <c r="N340" s="17"/>
    </row>
    <row r="341" spans="14:14">
      <c r="N341" s="17"/>
    </row>
    <row r="342" spans="14:14">
      <c r="N342" s="17"/>
    </row>
    <row r="343" spans="14:14">
      <c r="N343" s="17"/>
    </row>
    <row r="344" spans="14:14">
      <c r="N344" s="17"/>
    </row>
    <row r="345" spans="14:14">
      <c r="N345" s="17"/>
    </row>
    <row r="346" spans="14:14">
      <c r="N346" s="17"/>
    </row>
    <row r="347" spans="14:14">
      <c r="N347" s="17"/>
    </row>
    <row r="348" spans="14:14">
      <c r="N348" s="17"/>
    </row>
    <row r="349" spans="14:14">
      <c r="N349" s="17"/>
    </row>
    <row r="350" spans="14:14">
      <c r="N350" s="17"/>
    </row>
    <row r="351" spans="14:14">
      <c r="N351" s="17"/>
    </row>
    <row r="352" spans="14:14">
      <c r="N352" s="17"/>
    </row>
    <row r="353" spans="14:14">
      <c r="N353" s="17"/>
    </row>
    <row r="354" spans="14:14">
      <c r="N354" s="17"/>
    </row>
    <row r="355" spans="14:14">
      <c r="N355" s="17"/>
    </row>
    <row r="356" spans="14:14">
      <c r="N356" s="17"/>
    </row>
    <row r="357" spans="14:14">
      <c r="N357" s="17"/>
    </row>
    <row r="358" spans="14:14">
      <c r="N358" s="17"/>
    </row>
  </sheetData>
  <mergeCells count="5">
    <mergeCell ref="J1:K1"/>
    <mergeCell ref="L1:M1"/>
    <mergeCell ref="N1:Q1"/>
    <mergeCell ref="D1:F1"/>
    <mergeCell ref="G1:I1"/>
  </mergeCells>
  <phoneticPr fontId="2" type="noConversion"/>
  <pageMargins left="0.25" right="0.25" top="0.75" bottom="0.75" header="0.3" footer="0.3"/>
  <pageSetup scale="75" orientation="landscape"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760D14-1F64-4D73-BBAC-22718A84BD18}">
  <dimension ref="A1:E31"/>
  <sheetViews>
    <sheetView showGridLines="0" topLeftCell="A4" zoomScaleNormal="100" workbookViewId="0">
      <selection activeCell="D36" sqref="D36"/>
    </sheetView>
  </sheetViews>
  <sheetFormatPr defaultColWidth="8.796875" defaultRowHeight="11.65"/>
  <cols>
    <col min="1" max="1" width="2.46484375" style="1" customWidth="1"/>
    <col min="2" max="2" width="30.19921875" style="1" bestFit="1" customWidth="1"/>
    <col min="3" max="5" width="15.59765625" style="1" customWidth="1"/>
    <col min="6" max="16384" width="8.796875" style="1"/>
  </cols>
  <sheetData>
    <row r="1" spans="1:5">
      <c r="B1" s="20" t="s">
        <v>145</v>
      </c>
    </row>
    <row r="2" spans="1:5">
      <c r="A2" s="31"/>
      <c r="B2" s="32" t="s">
        <v>18</v>
      </c>
      <c r="C2" s="18"/>
      <c r="D2" s="22"/>
      <c r="E2" s="18"/>
    </row>
    <row r="3" spans="1:5">
      <c r="C3" s="28" t="s">
        <v>19</v>
      </c>
      <c r="D3" s="28" t="s">
        <v>20</v>
      </c>
      <c r="E3" s="28" t="s">
        <v>21</v>
      </c>
    </row>
    <row r="4" spans="1:5">
      <c r="B4" s="33" t="s">
        <v>22</v>
      </c>
      <c r="C4" s="34">
        <v>4.2500000000000003E-2</v>
      </c>
      <c r="D4" s="34">
        <v>7.4999999999999997E-2</v>
      </c>
      <c r="E4" s="35">
        <f>D4-C4</f>
        <v>3.2499999999999994E-2</v>
      </c>
    </row>
    <row r="5" spans="1:5">
      <c r="B5" s="33" t="s">
        <v>23</v>
      </c>
      <c r="C5" s="34">
        <v>1.9E-2</v>
      </c>
      <c r="D5" s="34">
        <v>3.1E-2</v>
      </c>
      <c r="E5" s="35">
        <f>D5-C5</f>
        <v>1.2E-2</v>
      </c>
    </row>
    <row r="6" spans="1:5">
      <c r="B6" s="33" t="s">
        <v>24</v>
      </c>
      <c r="C6" s="34">
        <v>3.4500000000000003E-2</v>
      </c>
      <c r="D6" s="34">
        <v>5.2499999999999998E-2</v>
      </c>
      <c r="E6" s="35">
        <f>D6-C6</f>
        <v>1.7999999999999995E-2</v>
      </c>
    </row>
    <row r="8" spans="1:5">
      <c r="A8" s="31"/>
      <c r="B8" s="32" t="s">
        <v>25</v>
      </c>
      <c r="C8" s="1">
        <v>4.1700000000000001E-2</v>
      </c>
      <c r="D8" s="1">
        <v>7.4999999999999997E-2</v>
      </c>
    </row>
    <row r="9" spans="1:5">
      <c r="B9" s="1" t="s">
        <v>57</v>
      </c>
      <c r="C9" s="28" t="s">
        <v>26</v>
      </c>
    </row>
    <row r="10" spans="1:5">
      <c r="B10" s="26" t="s">
        <v>27</v>
      </c>
      <c r="C10" s="34">
        <v>9.9400000000000002E-2</v>
      </c>
    </row>
    <row r="11" spans="1:5">
      <c r="B11" s="26" t="s">
        <v>28</v>
      </c>
      <c r="C11" s="34">
        <v>0.1174</v>
      </c>
    </row>
    <row r="12" spans="1:5">
      <c r="B12" s="26" t="s">
        <v>29</v>
      </c>
      <c r="C12" s="34">
        <v>3.4500000000000003E-2</v>
      </c>
    </row>
    <row r="13" spans="1:5">
      <c r="B13" s="26" t="s">
        <v>30</v>
      </c>
      <c r="C13" s="34">
        <v>3.3099999999999997E-2</v>
      </c>
    </row>
    <row r="14" spans="1:5">
      <c r="B14" s="26" t="s">
        <v>31</v>
      </c>
      <c r="C14" s="34">
        <v>4.2299999999999997E-2</v>
      </c>
    </row>
    <row r="15" spans="1:5">
      <c r="B15" s="26" t="s">
        <v>32</v>
      </c>
      <c r="C15" s="34">
        <v>5.1200000000000002E-2</v>
      </c>
    </row>
    <row r="16" spans="1:5">
      <c r="B16" s="36" t="s">
        <v>65</v>
      </c>
      <c r="C16" s="37">
        <f>MAX(Portfolio_Mgmt!C36,C10:C15)</f>
        <v>0.1174</v>
      </c>
    </row>
    <row r="18" spans="1:5">
      <c r="A18" s="31"/>
      <c r="B18" s="32" t="s">
        <v>33</v>
      </c>
      <c r="C18" s="18"/>
      <c r="D18" s="22"/>
      <c r="E18" s="18"/>
    </row>
    <row r="19" spans="1:5">
      <c r="B19" s="18" t="s">
        <v>34</v>
      </c>
      <c r="C19" s="38" t="s">
        <v>35</v>
      </c>
    </row>
    <row r="20" spans="1:5">
      <c r="B20" s="1" t="s">
        <v>36</v>
      </c>
      <c r="C20" s="38" t="s">
        <v>37</v>
      </c>
    </row>
    <row r="21" spans="1:5">
      <c r="B21" s="1" t="s">
        <v>38</v>
      </c>
      <c r="C21" s="38" t="s">
        <v>39</v>
      </c>
    </row>
    <row r="22" spans="1:5">
      <c r="C22" s="38"/>
    </row>
    <row r="23" spans="1:5">
      <c r="B23" s="1" t="s">
        <v>40</v>
      </c>
      <c r="C23" s="38" t="s">
        <v>41</v>
      </c>
    </row>
    <row r="24" spans="1:5">
      <c r="B24" s="1" t="s">
        <v>42</v>
      </c>
      <c r="C24" s="38" t="s">
        <v>43</v>
      </c>
    </row>
    <row r="25" spans="1:5">
      <c r="C25" s="38"/>
    </row>
    <row r="26" spans="1:5">
      <c r="B26" s="1" t="s">
        <v>44</v>
      </c>
      <c r="C26" s="38" t="s">
        <v>45</v>
      </c>
    </row>
    <row r="27" spans="1:5">
      <c r="B27" s="1" t="s">
        <v>46</v>
      </c>
      <c r="C27" s="38" t="s">
        <v>47</v>
      </c>
    </row>
    <row r="28" spans="1:5">
      <c r="C28" s="38"/>
    </row>
    <row r="29" spans="1:5">
      <c r="B29" s="1" t="s">
        <v>48</v>
      </c>
      <c r="C29" s="38" t="s">
        <v>49</v>
      </c>
    </row>
    <row r="31" spans="1:5">
      <c r="B31" s="1" t="s">
        <v>50</v>
      </c>
      <c r="C31" s="38" t="s">
        <v>51</v>
      </c>
    </row>
  </sheetData>
  <phoneticPr fontId="2" type="noConversion"/>
  <hyperlinks>
    <hyperlink ref="C23" r:id="rId1" xr:uid="{6B546AA7-2B0C-4428-81DD-DF73E91105ED}"/>
    <hyperlink ref="C19" r:id="rId2" xr:uid="{FBF6514A-AA7C-492E-837D-9693F4B1BF61}"/>
    <hyperlink ref="C29" r:id="rId3" xr:uid="{0B536BD0-1C9D-48D9-BE87-499C48D7A2DA}"/>
    <hyperlink ref="C20" r:id="rId4" xr:uid="{64320D73-0C91-4543-A716-CC8C239E517C}"/>
    <hyperlink ref="C24" r:id="rId5" xr:uid="{46AE8994-AE24-48A7-A28B-525FF601CDC5}"/>
    <hyperlink ref="C26" r:id="rId6" xr:uid="{93438CEE-3750-4D25-A9C7-1AB257F771BF}"/>
    <hyperlink ref="C27" r:id="rId7" xr:uid="{6BFFE2DD-44EE-4536-9535-5B23C094A18E}"/>
    <hyperlink ref="C21" r:id="rId8" xr:uid="{343B68E0-A2FF-4A26-9F49-F7D9A2BDC147}"/>
    <hyperlink ref="C31" r:id="rId9" xr:uid="{05CFC315-F57E-4B19-9DA2-2DADD0FC3616}"/>
  </hyperlinks>
  <pageMargins left="0.7" right="0.7" top="0.75" bottom="0.75" header="0.3" footer="0.3"/>
  <pageSetup orientation="portrait" r:id="rId1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447BDC-FAEF-412F-B13E-867203D1820E}">
  <dimension ref="A1:D41"/>
  <sheetViews>
    <sheetView showGridLines="0" workbookViewId="0">
      <selection activeCell="B13" sqref="B13"/>
    </sheetView>
  </sheetViews>
  <sheetFormatPr defaultRowHeight="11.65"/>
  <cols>
    <col min="1" max="1" width="2.59765625" style="1" customWidth="1"/>
    <col min="2" max="2" width="27.19921875" style="1" customWidth="1"/>
    <col min="3" max="3" width="34.265625" style="1" customWidth="1"/>
    <col min="4" max="4" width="28.796875" style="1" customWidth="1"/>
    <col min="5" max="16384" width="9.06640625" style="1"/>
  </cols>
  <sheetData>
    <row r="1" spans="1:4">
      <c r="B1" s="20" t="s">
        <v>102</v>
      </c>
    </row>
    <row r="2" spans="1:4">
      <c r="A2" s="5"/>
      <c r="B2" s="6" t="s">
        <v>103</v>
      </c>
    </row>
    <row r="3" spans="1:4">
      <c r="B3" s="73" t="s">
        <v>104</v>
      </c>
      <c r="C3" s="73"/>
      <c r="D3" s="73"/>
    </row>
    <row r="5" spans="1:4">
      <c r="B5" s="74" t="s">
        <v>106</v>
      </c>
      <c r="C5" s="65"/>
      <c r="D5" s="65"/>
    </row>
    <row r="6" spans="1:4">
      <c r="B6" s="74" t="s">
        <v>107</v>
      </c>
      <c r="C6" s="65"/>
      <c r="D6" s="65"/>
    </row>
    <row r="8" spans="1:4">
      <c r="B8" s="1" t="s">
        <v>105</v>
      </c>
    </row>
    <row r="10" spans="1:4">
      <c r="A10" s="5"/>
      <c r="B10" s="6" t="s">
        <v>108</v>
      </c>
    </row>
    <row r="11" spans="1:4">
      <c r="B11" s="73" t="s">
        <v>109</v>
      </c>
      <c r="C11" s="73"/>
      <c r="D11" s="73"/>
    </row>
    <row r="12" spans="1:4">
      <c r="B12" s="73" t="s">
        <v>110</v>
      </c>
      <c r="C12" s="73"/>
      <c r="D12" s="73"/>
    </row>
    <row r="14" spans="1:4">
      <c r="B14" s="23" t="s">
        <v>142</v>
      </c>
    </row>
    <row r="16" spans="1:4" ht="12.4">
      <c r="B16" s="30" t="s">
        <v>119</v>
      </c>
      <c r="C16" s="30" t="s">
        <v>120</v>
      </c>
    </row>
    <row r="17" spans="1:4">
      <c r="B17" s="26" t="s">
        <v>111</v>
      </c>
      <c r="C17" s="26" t="s">
        <v>115</v>
      </c>
    </row>
    <row r="18" spans="1:4">
      <c r="B18" s="26" t="s">
        <v>112</v>
      </c>
      <c r="C18" s="26" t="s">
        <v>116</v>
      </c>
    </row>
    <row r="19" spans="1:4">
      <c r="B19" s="26" t="s">
        <v>113</v>
      </c>
      <c r="C19" s="26" t="s">
        <v>117</v>
      </c>
    </row>
    <row r="20" spans="1:4">
      <c r="B20" s="26" t="s">
        <v>114</v>
      </c>
      <c r="C20" s="26" t="s">
        <v>118</v>
      </c>
    </row>
    <row r="21" spans="1:4">
      <c r="B21" s="26" t="s">
        <v>134</v>
      </c>
      <c r="C21" s="26" t="s">
        <v>135</v>
      </c>
    </row>
    <row r="22" spans="1:4">
      <c r="B22" s="26" t="s">
        <v>136</v>
      </c>
      <c r="C22" s="26" t="s">
        <v>137</v>
      </c>
    </row>
    <row r="23" spans="1:4">
      <c r="B23" s="26" t="s">
        <v>138</v>
      </c>
      <c r="C23" s="26" t="s">
        <v>139</v>
      </c>
    </row>
    <row r="24" spans="1:4">
      <c r="B24" s="26" t="s">
        <v>143</v>
      </c>
      <c r="C24" s="26" t="s">
        <v>144</v>
      </c>
    </row>
    <row r="25" spans="1:4">
      <c r="B25" s="26" t="s">
        <v>140</v>
      </c>
      <c r="C25" s="26" t="s">
        <v>141</v>
      </c>
    </row>
    <row r="27" spans="1:4">
      <c r="A27" s="5"/>
      <c r="B27" s="6" t="s">
        <v>121</v>
      </c>
    </row>
    <row r="28" spans="1:4">
      <c r="B28" s="73" t="s">
        <v>122</v>
      </c>
      <c r="C28" s="73"/>
      <c r="D28" s="73"/>
    </row>
    <row r="29" spans="1:4">
      <c r="B29" s="73" t="s">
        <v>123</v>
      </c>
      <c r="C29" s="73"/>
      <c r="D29" s="73"/>
    </row>
    <row r="31" spans="1:4">
      <c r="A31" s="5"/>
      <c r="B31" s="6" t="s">
        <v>124</v>
      </c>
    </row>
    <row r="32" spans="1:4">
      <c r="A32" s="28" t="s">
        <v>66</v>
      </c>
      <c r="B32" s="23" t="s">
        <v>125</v>
      </c>
    </row>
    <row r="33" spans="1:2">
      <c r="B33" s="1" t="s">
        <v>126</v>
      </c>
    </row>
    <row r="35" spans="1:2">
      <c r="A35" s="28" t="s">
        <v>128</v>
      </c>
      <c r="B35" s="23" t="s">
        <v>127</v>
      </c>
    </row>
    <row r="36" spans="1:2">
      <c r="B36" s="1" t="s">
        <v>129</v>
      </c>
    </row>
    <row r="38" spans="1:2">
      <c r="A38" s="5"/>
      <c r="B38" s="6" t="s">
        <v>130</v>
      </c>
    </row>
    <row r="39" spans="1:2">
      <c r="B39" s="24" t="s">
        <v>131</v>
      </c>
    </row>
    <row r="40" spans="1:2">
      <c r="B40" s="1" t="s">
        <v>132</v>
      </c>
    </row>
    <row r="41" spans="1:2">
      <c r="B41" s="1" t="s">
        <v>133</v>
      </c>
    </row>
  </sheetData>
  <mergeCells count="7">
    <mergeCell ref="B28:D28"/>
    <mergeCell ref="B29:D29"/>
    <mergeCell ref="B3:D3"/>
    <mergeCell ref="B5:D5"/>
    <mergeCell ref="B6:D6"/>
    <mergeCell ref="B11:D11"/>
    <mergeCell ref="B12:D12"/>
  </mergeCells>
  <phoneticPr fontId="2"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1F047E-EC38-4C3A-BA81-E6C9549453D6}">
  <dimension ref="A1"/>
  <sheetViews>
    <sheetView workbookViewId="0"/>
  </sheetViews>
  <sheetFormatPr defaultRowHeight="13.9"/>
  <sheetData/>
  <phoneticPr fontId="2"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5</vt:i4>
      </vt:variant>
      <vt:variant>
        <vt:lpstr>命名范围</vt:lpstr>
      </vt:variant>
      <vt:variant>
        <vt:i4>2</vt:i4>
      </vt:variant>
    </vt:vector>
  </HeadingPairs>
  <TitlesOfParts>
    <vt:vector size="7" baseType="lpstr">
      <vt:lpstr>Portfolio_Mgmt</vt:lpstr>
      <vt:lpstr>Opportunities</vt:lpstr>
      <vt:lpstr>Market_Yield</vt:lpstr>
      <vt:lpstr>Comp_Group</vt:lpstr>
      <vt:lpstr>Holdings</vt:lpstr>
      <vt:lpstr>benchmark</vt:lpstr>
      <vt:lpstr>Cash_Yield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2025-04-03T10:10:24Z</cp:lastPrinted>
  <dcterms:created xsi:type="dcterms:W3CDTF">2022-12-06T06:37:33Z</dcterms:created>
  <dcterms:modified xsi:type="dcterms:W3CDTF">2025-04-03T10:21:35Z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f64dec8e</vt:lpwstr>
  </property>
</Properties>
</file>