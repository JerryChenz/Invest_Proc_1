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E729C0A8-B2AC-4087-9110-B017F75A1C9A}"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3" i="7" l="1"/>
  <c r="E14"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8" i="7"/>
  <c r="F3" i="7"/>
  <c r="H8" i="7"/>
  <c r="C8" i="7"/>
  <c r="D8" i="7"/>
  <c r="H14" i="7"/>
  <c r="C14" i="7"/>
  <c r="D14" i="7"/>
  <c r="D5" i="7"/>
  <c r="D6" i="7"/>
  <c r="D7" i="7"/>
  <c r="D4" i="7"/>
  <c r="D13" i="7"/>
  <c r="H13" i="7"/>
  <c r="H5" i="7"/>
  <c r="H6" i="7"/>
  <c r="H7" i="7"/>
  <c r="H4" i="7"/>
  <c r="C13" i="7"/>
  <c r="C5" i="7"/>
  <c r="C6" i="7"/>
  <c r="C7" i="7"/>
  <c r="C4" i="7"/>
  <c r="F8" i="7" l="1"/>
  <c r="F14" i="7"/>
  <c r="F13" i="7"/>
  <c r="H10" i="7"/>
  <c r="F7" i="7"/>
  <c r="F16" i="7" l="1"/>
  <c r="F6" i="7"/>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<sst xmlns="http://schemas.openxmlformats.org/spreadsheetml/2006/main" count="348" uniqueCount="287">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</sst>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E56" sqref="E5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4" t="s">
        <v>209</v>
      </c>
      <c r="C4" s="94"/>
      <c r="D4" s="94"/>
      <c r="E4" s="94"/>
    </row>
    <row r="6" spans="1:5">
      <c r="A6" s="20" t="s">
        <v>66</v>
      </c>
      <c r="B6" s="19" t="s">
        <v>192</v>
      </c>
      <c r="C6" s="61"/>
    </row>
    <row r="7" spans="1:5">
      <c r="B7" s="94" t="s">
        <v>197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4" t="s">
        <v>208</v>
      </c>
      <c r="C24" s="94"/>
      <c r="D24" s="94"/>
      <c r="E24" s="94"/>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4" t="s">
        <v>154</v>
      </c>
      <c r="C39" s="94"/>
      <c r="D39" s="94"/>
      <c r="E39" s="94"/>
    </row>
    <row r="40" spans="1:5" ht="46.6" customHeight="1">
      <c r="B40" s="94" t="s">
        <v>222</v>
      </c>
      <c r="C40" s="94"/>
      <c r="D40" s="94"/>
      <c r="E40" s="94"/>
    </row>
    <row r="42" spans="1:5">
      <c r="A42" s="21" t="s">
        <v>175</v>
      </c>
      <c r="B42" s="21"/>
      <c r="C42" s="21"/>
      <c r="D42" s="21"/>
      <c r="E42" s="21"/>
    </row>
    <row r="44" spans="1:5">
      <c r="B44" s="94" t="s">
        <v>196</v>
      </c>
      <c r="C44" s="94"/>
      <c r="D44" s="94"/>
      <c r="E44" s="94"/>
    </row>
    <row r="46" spans="1:5">
      <c r="B46" s="23" t="s">
        <v>90</v>
      </c>
    </row>
    <row r="48" spans="1:5">
      <c r="B48" s="50" t="s">
        <v>91</v>
      </c>
      <c r="C48" s="50" t="s">
        <v>187</v>
      </c>
      <c r="D48" s="56"/>
      <c r="E48" s="56"/>
    </row>
    <row r="49" spans="2:5">
      <c r="B49" s="26" t="s">
        <v>87</v>
      </c>
      <c r="C49" s="29">
        <v>0.5</v>
      </c>
      <c r="D49" s="57"/>
      <c r="E49" s="55"/>
    </row>
    <row r="50" spans="2:5">
      <c r="B50" s="26" t="s">
        <v>88</v>
      </c>
      <c r="C50" s="29">
        <v>0.3</v>
      </c>
      <c r="D50" s="57"/>
      <c r="E50" s="55"/>
    </row>
    <row r="51" spans="2:5">
      <c r="B51" s="26" t="s">
        <v>89</v>
      </c>
      <c r="C51" s="29">
        <v>0.2</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1</v>
      </c>
    </row>
    <row r="58" spans="2:5">
      <c r="B58" s="26" t="s">
        <v>71</v>
      </c>
      <c r="C58" s="26" t="s">
        <v>240</v>
      </c>
      <c r="D58" s="26" t="s">
        <v>241</v>
      </c>
      <c r="E58" s="41">
        <v>2</v>
      </c>
    </row>
    <row r="59" spans="2:5">
      <c r="B59" s="26" t="s">
        <v>72</v>
      </c>
      <c r="C59" s="26" t="s">
        <v>74</v>
      </c>
      <c r="D59" s="26" t="s">
        <v>78</v>
      </c>
      <c r="E59" s="41">
        <v>1</v>
      </c>
    </row>
    <row r="60" spans="2:5">
      <c r="D60" s="27" t="s">
        <v>79</v>
      </c>
      <c r="E60" s="40">
        <f>SUM(E56:E59)</f>
        <v>5</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4" t="s">
        <v>184</v>
      </c>
      <c r="C71" s="94"/>
      <c r="D71" s="94"/>
      <c r="E71" s="94"/>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7" t="s">
        <v>180</v>
      </c>
      <c r="C85" s="97"/>
      <c r="D85" s="97"/>
      <c r="E85" s="97"/>
    </row>
    <row r="86" spans="1:5">
      <c r="B86" s="96" t="s">
        <v>178</v>
      </c>
      <c r="C86" s="96"/>
      <c r="D86" s="96"/>
      <c r="E86" s="96"/>
    </row>
    <row r="87" spans="1:5" ht="24.4" customHeight="1">
      <c r="B87" s="94" t="s">
        <v>177</v>
      </c>
      <c r="C87" s="94"/>
      <c r="D87" s="94"/>
      <c r="E87" s="94"/>
    </row>
    <row r="88" spans="1:5" ht="24.4" customHeight="1">
      <c r="B88" s="94" t="s">
        <v>213</v>
      </c>
      <c r="C88" s="94"/>
      <c r="D88" s="94"/>
      <c r="E88" s="94"/>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5" t="s">
        <v>199</v>
      </c>
      <c r="C97" s="95"/>
      <c r="D97" s="95"/>
      <c r="E97" s="95"/>
    </row>
    <row r="99" spans="1:5">
      <c r="B99" s="24" t="s">
        <v>203</v>
      </c>
    </row>
    <row r="100" spans="1:5" ht="12.4">
      <c r="B100" s="95" t="s">
        <v>200</v>
      </c>
      <c r="C100" s="95"/>
      <c r="D100" s="95"/>
      <c r="E100" s="95"/>
    </row>
    <row r="101" spans="1:5" ht="58.5" customHeight="1">
      <c r="B101" s="94" t="s">
        <v>207</v>
      </c>
      <c r="C101" s="94"/>
      <c r="D101" s="94"/>
      <c r="E101" s="94"/>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0.15688374691722165</v>
      </c>
      <c r="D112" s="61" t="str">
        <f>IF(C112&lt;benchmark,"Warning: Return is lower than the Benchmark.","")</f>
        <v/>
      </c>
    </row>
    <row r="114" spans="1:5" ht="24.4" customHeight="1">
      <c r="B114" s="94" t="s">
        <v>205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I5" sqref="I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17.420000000000002</v>
      </c>
      <c r="E3" s="12" t="s">
        <v>156</v>
      </c>
      <c r="F3" s="15">
        <v>0.23516781868501524</v>
      </c>
      <c r="G3" s="15">
        <f>F3 - Portfolio_Mgmt!$C$10</f>
        <v>0.11776781868501524</v>
      </c>
      <c r="H3" s="15">
        <f>F3 - Portfolio_Mgmt!$C$11</f>
        <v>0.20066781868501524</v>
      </c>
      <c r="I3" s="15">
        <v>0.1763758640137614</v>
      </c>
      <c r="J3" s="2">
        <v>12.26876134577943</v>
      </c>
      <c r="K3" s="2">
        <v>27.561481132818752</v>
      </c>
      <c r="L3" s="2">
        <v>18.899005285196036</v>
      </c>
      <c r="M3" s="86">
        <v>25.487128115647664</v>
      </c>
      <c r="N3" s="4">
        <v>0.11757926366661527</v>
      </c>
      <c r="O3" s="4">
        <v>8.0367393800229614E-2</v>
      </c>
      <c r="P3" s="15">
        <v>0.40943456145688223</v>
      </c>
      <c r="Q3" s="15">
        <v>0.12260820136742831</v>
      </c>
      <c r="R3" s="92">
        <v>0.75207444874659302</v>
      </c>
      <c r="S3" s="86">
        <v>-0.45384498349616631</v>
      </c>
      <c r="T3" s="13" t="s">
        <v>223</v>
      </c>
      <c r="U3" s="11" t="s">
        <v>157</v>
      </c>
      <c r="V3" s="14">
        <v>45900</v>
      </c>
      <c r="W3" s="11" t="s">
        <v>158</v>
      </c>
    </row>
    <row r="4" spans="1:23">
      <c r="B4" s="11" t="s">
        <v>270</v>
      </c>
      <c r="C4" s="11" t="s">
        <v>271</v>
      </c>
      <c r="D4" s="2">
        <v>1.95</v>
      </c>
      <c r="E4" s="12" t="s">
        <v>156</v>
      </c>
      <c r="F4" s="15">
        <v>0.21691823243350972</v>
      </c>
      <c r="G4" s="15">
        <f>F4 - Portfolio_Mgmt!$C$10</f>
        <v>9.9518232433509712E-2</v>
      </c>
      <c r="H4" s="15">
        <f>F4 - Portfolio_Mgmt!$C$11</f>
        <v>0.18241823243350971</v>
      </c>
      <c r="I4" s="15">
        <v>0.16268867432513226</v>
      </c>
      <c r="J4" s="2">
        <v>1.3047948694461962</v>
      </c>
      <c r="K4" s="2">
        <v>3.1443571217603616</v>
      </c>
      <c r="L4" s="2">
        <v>2.030299260277987</v>
      </c>
      <c r="M4" s="86">
        <v>2.7538017592595461</v>
      </c>
      <c r="N4" s="4">
        <v>6.8557565607875542E-2</v>
      </c>
      <c r="O4" s="4">
        <v>5.1282051282051287E-2</v>
      </c>
      <c r="P4" s="15">
        <v>0.23422582328431374</v>
      </c>
      <c r="Q4" s="15">
        <v>0.10863424600069688</v>
      </c>
      <c r="R4" s="92">
        <v>2.2824569622635926</v>
      </c>
      <c r="S4" s="86">
        <v>1.8293097398967673</v>
      </c>
      <c r="T4" s="13" t="s">
        <v>272</v>
      </c>
      <c r="U4" s="11" t="s">
        <v>157</v>
      </c>
      <c r="V4" s="14">
        <v>45900</v>
      </c>
      <c r="W4" s="11" t="s">
        <v>158</v>
      </c>
    </row>
    <row r="5" spans="1:23">
      <c r="B5" s="11" t="s">
        <v>239</v>
      </c>
      <c r="C5" s="11" t="s">
        <v>267</v>
      </c>
      <c r="D5" s="2">
        <v>1.2</v>
      </c>
      <c r="E5" s="12" t="s">
        <v>156</v>
      </c>
      <c r="F5" s="15">
        <v>0.2058485455024226</v>
      </c>
      <c r="G5" s="15">
        <f>F5 - Portfolio_Mgmt!$C$10</f>
        <v>8.8448545502422593E-2</v>
      </c>
      <c r="H5" s="15">
        <f>F5 - Portfolio_Mgmt!$C$11</f>
        <v>0.17134854550242259</v>
      </c>
      <c r="I5" s="15">
        <v>0.15438640912681692</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268</v>
      </c>
      <c r="U5" s="11" t="s">
        <v>269</v>
      </c>
      <c r="V5" s="14">
        <v>45900</v>
      </c>
      <c r="W5" s="11" t="s">
        <v>158</v>
      </c>
    </row>
    <row r="6" spans="1:23">
      <c r="B6" s="11" t="s">
        <v>225</v>
      </c>
      <c r="C6" s="11" t="s">
        <v>260</v>
      </c>
      <c r="D6" s="2">
        <v>15.4</v>
      </c>
      <c r="E6" s="12" t="s">
        <v>156</v>
      </c>
      <c r="F6" s="15">
        <v>0.19136836795872036</v>
      </c>
      <c r="G6" s="15">
        <f>F6 - Portfolio_Mgmt!$C$10</f>
        <v>7.396836795872036E-2</v>
      </c>
      <c r="H6" s="15">
        <f>F6 - Portfolio_Mgmt!$C$11</f>
        <v>0.15686836795872036</v>
      </c>
      <c r="I6" s="15">
        <v>0.14352627596904027</v>
      </c>
      <c r="J6" s="2">
        <v>9.6376594075295827</v>
      </c>
      <c r="K6" s="2">
        <v>24.091020108051087</v>
      </c>
      <c r="L6" s="2">
        <v>15.079215865202842</v>
      </c>
      <c r="M6" s="86">
        <v>20.51604840644498</v>
      </c>
      <c r="N6" s="4">
        <v>6.58240703842322E-2</v>
      </c>
      <c r="O6" s="4">
        <v>3.5069660821668069E-2</v>
      </c>
      <c r="P6" s="15">
        <v>0.36794481423679237</v>
      </c>
      <c r="Q6" s="15">
        <v>7.4171010848313429E-2</v>
      </c>
      <c r="R6" s="92">
        <v>0.60402076709908736</v>
      </c>
      <c r="S6" s="86">
        <v>4.564947591459446</v>
      </c>
      <c r="T6" s="13" t="s">
        <v>247</v>
      </c>
      <c r="U6" s="11" t="s">
        <v>157</v>
      </c>
      <c r="V6" s="14">
        <v>45900</v>
      </c>
      <c r="W6" s="11" t="s">
        <v>158</v>
      </c>
    </row>
    <row r="7" spans="1:23">
      <c r="B7" s="11" t="s">
        <v>245</v>
      </c>
      <c r="C7" s="11" t="s">
        <v>246</v>
      </c>
      <c r="D7" s="2">
        <v>52.25</v>
      </c>
      <c r="E7" s="12" t="s">
        <v>156</v>
      </c>
      <c r="F7" s="15">
        <v>0.16690907088940898</v>
      </c>
      <c r="G7" s="15">
        <f>F7 - Portfolio_Mgmt!$C$10</f>
        <v>4.9509070889408979E-2</v>
      </c>
      <c r="H7" s="15">
        <f>F7 - Portfolio_Mgmt!$C$11</f>
        <v>0.13240907088940898</v>
      </c>
      <c r="I7" s="15">
        <v>6.3022776565249128E-2</v>
      </c>
      <c r="J7" s="2">
        <v>31.793656028443358</v>
      </c>
      <c r="K7" s="2">
        <v>65.117037542048564</v>
      </c>
      <c r="L7" s="2">
        <v>48.372779480352179</v>
      </c>
      <c r="M7" s="86">
        <v>64.769443845933495</v>
      </c>
      <c r="N7" s="4">
        <v>0.10123282615999223</v>
      </c>
      <c r="O7" s="4">
        <v>9.7119330143540669E-2</v>
      </c>
      <c r="P7" s="15">
        <v>1.2907496012759174</v>
      </c>
      <c r="Q7" s="15">
        <v>0.24768740031897937</v>
      </c>
      <c r="R7" s="92">
        <v>0.73855199466278643</v>
      </c>
      <c r="S7" s="86">
        <v>-2.6601414280060807</v>
      </c>
      <c r="T7" s="13" t="s">
        <v>247</v>
      </c>
      <c r="U7" s="11" t="s">
        <v>157</v>
      </c>
      <c r="V7" s="14">
        <v>45808</v>
      </c>
      <c r="W7" s="11" t="s">
        <v>158</v>
      </c>
    </row>
    <row r="8" spans="1:23">
      <c r="B8" s="11" t="s">
        <v>261</v>
      </c>
      <c r="C8" s="11" t="s">
        <v>262</v>
      </c>
      <c r="D8" s="2">
        <v>68.88</v>
      </c>
      <c r="E8" s="12" t="s">
        <v>263</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250</v>
      </c>
      <c r="U8" s="11" t="s">
        <v>157</v>
      </c>
      <c r="V8" s="14">
        <v>45900</v>
      </c>
      <c r="W8" s="11" t="s">
        <v>251</v>
      </c>
    </row>
    <row r="9" spans="1:23">
      <c r="B9" s="11" t="s">
        <v>252</v>
      </c>
      <c r="C9" s="11" t="s">
        <v>253</v>
      </c>
      <c r="D9" s="2">
        <v>6.26</v>
      </c>
      <c r="E9" s="12" t="s">
        <v>156</v>
      </c>
      <c r="F9" s="15">
        <v>0.15207428234077813</v>
      </c>
      <c r="G9" s="15">
        <f>F9 - Portfolio_Mgmt!$C$10</f>
        <v>3.4674282340778129E-2</v>
      </c>
      <c r="H9" s="15">
        <f>F9 - Portfolio_Mgmt!$C$11</f>
        <v>0.11757428234077813</v>
      </c>
      <c r="I9" s="15">
        <v>0</v>
      </c>
      <c r="J9" s="2">
        <v>3.630277979964903</v>
      </c>
      <c r="K9" s="2">
        <v>8.0346265116623012</v>
      </c>
      <c r="L9" s="2">
        <v>5.5806055147759386</v>
      </c>
      <c r="M9" s="86">
        <v>7.5170665503208758</v>
      </c>
      <c r="N9" s="4">
        <v>0.12468124044642676</v>
      </c>
      <c r="O9" s="4">
        <v>7.0597365879231475E-2</v>
      </c>
      <c r="P9" s="15">
        <v>0.61007460831657279</v>
      </c>
      <c r="Q9" s="15">
        <v>0.16360901428944893</v>
      </c>
      <c r="R9" s="92">
        <v>1.1309485990394448</v>
      </c>
      <c r="S9" s="86">
        <v>-3.8421295793849657</v>
      </c>
      <c r="T9" s="13" t="s">
        <v>223</v>
      </c>
      <c r="U9" s="11" t="s">
        <v>254</v>
      </c>
      <c r="V9" s="14">
        <v>45900</v>
      </c>
      <c r="W9" s="11" t="s">
        <v>158</v>
      </c>
    </row>
    <row r="10" spans="1:23">
      <c r="B10" s="11" t="s">
        <v>255</v>
      </c>
      <c r="C10" s="11" t="s">
        <v>256</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258</v>
      </c>
      <c r="C12" s="11" t="s">
        <v>259</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257</v>
      </c>
      <c r="U12" s="11" t="s">
        <v>157</v>
      </c>
      <c r="V12" s="14">
        <v>45808</v>
      </c>
      <c r="W12" s="11" t="s">
        <v>158</v>
      </c>
    </row>
    <row r="13" spans="1:23">
      <c r="B13" s="11" t="s">
        <v>264</v>
      </c>
      <c r="C13" s="11" t="s">
        <v>265</v>
      </c>
      <c r="D13" s="2">
        <v>13.96</v>
      </c>
      <c r="E13" s="12" t="s">
        <v>156</v>
      </c>
      <c r="F13" s="15">
        <v>0.12028775104137335</v>
      </c>
      <c r="G13" s="15">
        <f>F13 - Portfolio_Mgmt!$C$10</f>
        <v>2.8877510413733432E-3</v>
      </c>
      <c r="H13" s="15">
        <f>F13 - Portfolio_Mgmt!$C$11</f>
        <v>8.5787751041373345E-2</v>
      </c>
      <c r="I13" s="15">
        <v>0</v>
      </c>
      <c r="J13" s="2">
        <v>7.4539070694150338</v>
      </c>
      <c r="K13" s="2">
        <v>16.79783077687485</v>
      </c>
      <c r="L13" s="2">
        <v>11.487169580598872</v>
      </c>
      <c r="M13" s="2">
        <v>15.495455121534802</v>
      </c>
      <c r="N13" s="4">
        <v>0.1106527810999718</v>
      </c>
      <c r="O13" s="4">
        <v>6.0061680515759309E-2</v>
      </c>
      <c r="P13" s="15">
        <v>2.2875080906148866</v>
      </c>
      <c r="Q13" s="15">
        <v>1.5035598705501618</v>
      </c>
      <c r="R13" s="92">
        <v>4.1998196571663646</v>
      </c>
      <c r="S13" s="86">
        <v>-12.210712839399212</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248</v>
      </c>
      <c r="C15" s="11" t="s">
        <v>249</v>
      </c>
      <c r="D15" s="2">
        <v>54.25</v>
      </c>
      <c r="E15" s="12" t="s">
        <v>156</v>
      </c>
      <c r="F15" s="15">
        <v>0.11272920573653655</v>
      </c>
      <c r="G15" s="15">
        <f>F15 - Portfolio_Mgmt!$C$10</f>
        <v>-4.6707942634634514E-3</v>
      </c>
      <c r="H15" s="15">
        <f>F15 - Portfolio_Mgmt!$C$11</f>
        <v>7.822920573653655E-2</v>
      </c>
      <c r="I15" s="15">
        <v>0</v>
      </c>
      <c r="J15" s="2">
        <v>27.985727390895594</v>
      </c>
      <c r="K15" s="2">
        <v>67.934460321660282</v>
      </c>
      <c r="L15" s="2">
        <v>43.593741283374094</v>
      </c>
      <c r="M15" s="2">
        <v>59.164549551902368</v>
      </c>
      <c r="N15" s="4">
        <v>4.2115149161674061E-2</v>
      </c>
      <c r="O15" s="4">
        <v>3.7451383075961665E-2</v>
      </c>
      <c r="P15" s="15">
        <v>0.72207550313588764</v>
      </c>
      <c r="Q15" s="15">
        <v>9.5579625064196368E-3</v>
      </c>
      <c r="R15" s="92">
        <v>7.3592411949940734E-2</v>
      </c>
      <c r="S15" s="86">
        <v>1.3458341465203663</v>
      </c>
      <c r="T15" s="13" t="s">
        <v>250</v>
      </c>
      <c r="U15" s="11" t="s">
        <v>157</v>
      </c>
      <c r="V15" s="14">
        <v>45900</v>
      </c>
      <c r="W15" s="11" t="s">
        <v>251</v>
      </c>
    </row>
    <row r="16" spans="1:23">
      <c r="B16" s="11" t="s">
        <v>159</v>
      </c>
      <c r="C16" s="11" t="s">
        <v>242</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244</v>
      </c>
      <c r="U16" s="11" t="s">
        <v>243</v>
      </c>
      <c r="V16" s="14">
        <v>45900</v>
      </c>
      <c r="W16" s="11" t="s">
        <v>158</v>
      </c>
    </row>
    <row r="17" spans="2:23">
      <c r="B17" s="11" t="s">
        <v>273</v>
      </c>
      <c r="C17" s="11" t="s">
        <v>274</v>
      </c>
      <c r="D17" s="2">
        <v>2.2999999999999998</v>
      </c>
      <c r="E17" s="12" t="s">
        <v>156</v>
      </c>
      <c r="F17" s="15">
        <v>0.10629521140210341</v>
      </c>
      <c r="G17" s="15">
        <f>F17 - Portfolio_Mgmt!$C$10</f>
        <v>-1.1104788597896598E-2</v>
      </c>
      <c r="H17" s="15">
        <f>F17 - Portfolio_Mgmt!$C$11</f>
        <v>7.1795211402103404E-2</v>
      </c>
      <c r="I17" s="15">
        <v>0</v>
      </c>
      <c r="J17" s="2">
        <v>1.1771823874854654</v>
      </c>
      <c r="K17" s="2">
        <v>2.7389512767361257</v>
      </c>
      <c r="L17" s="2">
        <v>1.8223765814322168</v>
      </c>
      <c r="M17" s="2">
        <v>2.4646269800638048</v>
      </c>
      <c r="N17" s="4">
        <v>3.6263237165302567E-2</v>
      </c>
      <c r="O17" s="4">
        <v>4.8986557092539976E-2</v>
      </c>
      <c r="P17" s="15">
        <v>0.20351769929714394</v>
      </c>
      <c r="Q17" s="15">
        <v>1.0763175939415467E-2</v>
      </c>
      <c r="R17" s="92">
        <v>0.29882156160837919</v>
      </c>
      <c r="S17" s="86">
        <v>1.8935096407694305</v>
      </c>
      <c r="T17" s="13" t="s">
        <v>275</v>
      </c>
      <c r="U17" s="11" t="s">
        <v>269</v>
      </c>
      <c r="V17" s="14">
        <v>45900</v>
      </c>
      <c r="W17" s="11" t="s">
        <v>158</v>
      </c>
    </row>
    <row r="18" spans="2:23">
      <c r="B18" s="11" t="s">
        <v>283</v>
      </c>
      <c r="C18" s="11" t="s">
        <v>284</v>
      </c>
      <c r="D18" s="2">
        <v>57.12</v>
      </c>
      <c r="E18" s="12" t="s">
        <v>263</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tabSelected="1" zoomScale="87" workbookViewId="0">
      <selection activeCell="H7" sqref="H7"/>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0.42902578806737057</v>
      </c>
      <c r="H3" s="91">
        <f>Portfolio_Mgmt!E61</f>
        <v>0.3</v>
      </c>
    </row>
    <row r="4" spans="1:8">
      <c r="B4" s="78" t="s">
        <v>219</v>
      </c>
      <c r="C4" s="75">
        <f>VLOOKUP(B4,Opportunities!B$3:E$30,3,FALSE)</f>
        <v>17.64</v>
      </c>
      <c r="D4" s="74" t="str">
        <f>VLOOKUP(B4,Opportunities!B$3:E$30,4,FALSE)</f>
        <v>HKD</v>
      </c>
      <c r="E4" s="71">
        <v>10000</v>
      </c>
      <c r="F4" s="76">
        <f>C4*E4</f>
        <v>176400</v>
      </c>
      <c r="G4" s="73">
        <f t="shared" si="0"/>
        <v>0.23550283152103399</v>
      </c>
      <c r="H4" s="73">
        <f>VLOOKUP(B4,Opportunities!B$3:I$30,8,FALSE)</f>
        <v>0</v>
      </c>
    </row>
    <row r="5" spans="1:8">
      <c r="B5" s="78" t="s">
        <v>239</v>
      </c>
      <c r="C5" s="75">
        <f>VLOOKUP(B5,Opportunities!B$3:E$30,3,FALSE)</f>
        <v>1.2</v>
      </c>
      <c r="D5" s="74" t="str">
        <f>VLOOKUP(B5,Opportunities!B$3:E$30,4,FALSE)</f>
        <v>HKD</v>
      </c>
      <c r="E5" s="71">
        <v>38500</v>
      </c>
      <c r="F5" s="76">
        <f>E5*C5</f>
        <v>46200</v>
      </c>
      <c r="G5" s="73">
        <f t="shared" si="0"/>
        <v>6.1679313017413667E-2</v>
      </c>
      <c r="H5" s="73">
        <f>VLOOKUP(B5,Opportunities!B$3:I$30,8,FALSE)</f>
        <v>0.15438640912681692</v>
      </c>
    </row>
    <row r="6" spans="1:8">
      <c r="B6" s="78" t="s">
        <v>224</v>
      </c>
      <c r="C6" s="75">
        <f>VLOOKUP(B6,Opportunities!B$3:E$30,3,FALSE)</f>
        <v>6.26</v>
      </c>
      <c r="D6" s="74" t="str">
        <f>VLOOKUP(B6,Opportunities!B$3:E$30,4,FALSE)</f>
        <v>HKD</v>
      </c>
      <c r="E6" s="71">
        <v>18000</v>
      </c>
      <c r="F6" s="76">
        <f>E6*C6</f>
        <v>112680</v>
      </c>
      <c r="G6" s="73">
        <f t="shared" si="0"/>
        <v>0.15043344135935438</v>
      </c>
      <c r="H6" s="73">
        <f>VLOOKUP(B6,Opportunities!B$3:I$30,8,FALSE)</f>
        <v>0</v>
      </c>
    </row>
    <row r="7" spans="1:8">
      <c r="B7" s="78" t="s">
        <v>225</v>
      </c>
      <c r="C7" s="75">
        <f>VLOOKUP(B7,Opportunities!B$3:E$30,3,FALSE)</f>
        <v>15.4</v>
      </c>
      <c r="D7" s="74" t="str">
        <f>VLOOKUP(B7,Opportunities!B$3:E$30,4,FALSE)</f>
        <v>HKD</v>
      </c>
      <c r="E7" s="71">
        <v>6000</v>
      </c>
      <c r="F7" s="76">
        <f>C7*E7</f>
        <v>92400</v>
      </c>
      <c r="G7" s="73">
        <f t="shared" si="0"/>
        <v>0.12335862603482733</v>
      </c>
      <c r="H7" s="73">
        <f>VLOOKUP(B7,Opportunities!B$3:I$30,8,FALSE)</f>
        <v>0.14352627596904027</v>
      </c>
    </row>
    <row r="8" spans="1:8">
      <c r="B8" s="78" t="s">
        <v>270</v>
      </c>
      <c r="C8" s="75">
        <f>VLOOKUP(B8,Opportunities!B$3:E$30,3,FALSE)</f>
        <v>1.95</v>
      </c>
      <c r="D8" s="74" t="str">
        <f>VLOOKUP(B8,Opportunities!B$3:E$30,4,FALSE)</f>
        <v>HKD</v>
      </c>
      <c r="E8" s="71">
        <f>2000*30</f>
        <v>60000</v>
      </c>
      <c r="F8" s="76">
        <f>C8*E8</f>
        <v>117000</v>
      </c>
      <c r="G8" s="73">
        <f t="shared" si="0"/>
        <v>0.15620085764150213</v>
      </c>
      <c r="H8" s="73">
        <f>VLOOKUP(B8,Opportunities!B$3:I$30,8,FALSE)</f>
        <v>0.16268867432513226</v>
      </c>
    </row>
    <row r="9" spans="1:8">
      <c r="B9" s="67"/>
      <c r="C9" s="70"/>
      <c r="D9" s="67"/>
      <c r="H9" s="90"/>
    </row>
    <row r="10" spans="1:8" ht="13.15">
      <c r="B10" s="79"/>
      <c r="C10" s="80"/>
      <c r="D10" s="79"/>
      <c r="E10" s="81" t="s">
        <v>229</v>
      </c>
      <c r="F10" s="81">
        <f>SUM(F3:F7)</f>
        <v>749035.58000000007</v>
      </c>
      <c r="G10" s="82">
        <f>SUM(G3:G7)</f>
        <v>1</v>
      </c>
      <c r="H10" s="89">
        <f>SUM(H4:H7)</f>
        <v>0.29791268509585722</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60000-E5</f>
        <v>21500</v>
      </c>
      <c r="F13" s="76">
        <f>-C13*E13</f>
        <v>-25800</v>
      </c>
      <c r="G13" s="73">
        <f>-F13/$F$10</f>
        <v>3.4444291685049193E-2</v>
      </c>
      <c r="H13" s="73">
        <f>VLOOKUP(B13,Opportunities!B$3:I$30,8,FALSE)</f>
        <v>0.15438640912681692</v>
      </c>
    </row>
    <row r="14" spans="1:8">
      <c r="B14" s="78" t="s">
        <v>285</v>
      </c>
      <c r="C14" s="75">
        <f>VLOOKUP(B14,Opportunities!B$3:E$30,3,FALSE)</f>
        <v>17.420000000000002</v>
      </c>
      <c r="D14" s="74" t="str">
        <f>VLOOKUP(B14,Opportunities!B$3:E$30,4,FALSE)</f>
        <v>HKD</v>
      </c>
      <c r="E14" s="71">
        <f>1000*3</f>
        <v>3000</v>
      </c>
      <c r="F14" s="76">
        <f>-C14*E14</f>
        <v>-52260.000000000007</v>
      </c>
      <c r="G14" s="73">
        <f>-F14/$F$10</f>
        <v>6.97697164132043E-2</v>
      </c>
      <c r="H14" s="73">
        <f>VLOOKUP(B14,Opportunities!B$3:I$30,8,FALSE)</f>
        <v>0.1763758640137614</v>
      </c>
    </row>
    <row r="15" spans="1:8">
      <c r="G15" s="88"/>
      <c r="H15" s="88"/>
    </row>
    <row r="16" spans="1:8" ht="13.15">
      <c r="B16" s="83" t="s">
        <v>227</v>
      </c>
      <c r="C16" s="84" t="s">
        <v>220</v>
      </c>
      <c r="D16" s="85" t="s">
        <v>156</v>
      </c>
      <c r="E16" s="84" t="s">
        <v>220</v>
      </c>
      <c r="F16" s="81">
        <f>F3+SUM(F13:F14)</f>
        <v>243295.58000000002</v>
      </c>
      <c r="G16" s="89">
        <f t="shared" ref="G16" si="1">F16/$F$10</f>
        <v>0.32481177996911709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2025-05-16T05:49:42Z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