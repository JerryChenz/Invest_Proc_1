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9D0397B3-B2D9-424F-876C-AC256E6A8D47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Framework" sheetId="10" r:id="rId1"/>
    <sheet name="Forex" sheetId="9" r:id="rId2"/>
    <sheet name="Equity_Indices" sheetId="8" r:id="rId3"/>
    <sheet name="Economies" sheetId="4" r:id="rId4"/>
    <sheet name="Commodities" sheetId="5" r:id="rId5"/>
    <sheet name="Real_Estate" sheetId="6" r:id="rId6"/>
    <sheet name="Market_Yield" sheetId="2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6" i="4" l="1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<sst xmlns="http://schemas.openxmlformats.org/spreadsheetml/2006/main" count="231" uniqueCount="209">
  <si>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</si>
  <si>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</si>
  <si>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</si>
  <si>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</si>
  <si>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</si>
  <si>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</si>
  <si>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</si>
  <si>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</si>
  <si>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</si>
  <si>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</si>
  <si>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</si>
  <si>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</si>
  <si>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</si>
  <si>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</si>
  <si>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</si>
  <si>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</si>
  <si>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</si>
  <si>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</si>
  <si>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</si>
  <si>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</si>
  <si>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</si>
  <si>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</si>
  <si>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</si>
  <si>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</si>
  <si>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</si>
  <si>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</si>
  <si>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</si>
  <si>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</si>
  <si>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</si>
  <si>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</si>
  <si>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</si>
  <si>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</si>
  <si>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</si>
  <si>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</si>
  <si>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</si>
  <si>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</si>
  <si>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</si>
  <si>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</si>
  <si>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</si>
  <si>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</si>
  <si>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</si>
  <si>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</si>
  <si>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</si>
  <si>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</si>
  <si>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</si>
  <si>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</si>
  <si>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</si>
  <si>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</si>
  <si>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</si>
  <si>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</si>
  <si>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</si>
  <si>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</si>
  <si>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</si>
  <si>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</si>
  <si>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</si>
  <si>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</si>
  <si>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</si>
  <si>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</si>
  <si>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</si>
  <si>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</si>
  <si>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</si>
  <si>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https://fred.stlouisfed.org/series/DGS10</t>
  </si>
  <si>
    <t>CN</t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</si>
  <si>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</si>
  <si>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</si>
  <si>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</si>
  <si>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</si>
  <si>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</si>
  <si>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</si>
  <si>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</si>
  <si>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</si>
  <si>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</si>
  <si>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</si>
  <si>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</si>
  <si>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</si>
  <si>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</si>
  <si>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</si>
  <si>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</si>
  <si>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</si>
  <si>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</si>
  <si>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</si>
  <si>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</si>
  <si>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</si>
  <si>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</si>
  <si>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</si>
  <si>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</si>
  <si>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</si>
  <si>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</si>
  <si>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</si>
  <si>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</si>
  <si>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</si>
  <si>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</si>
  <si>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</si>
  <si>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</si>
  <si>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</si>
  <si>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</si>
  <si>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</si>
  <si>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</si>
  <si>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</si>
  <si>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</si>
  <si>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</si>
  <si>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</si>
  <si>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</si>
  <si>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</si>
  <si>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</si>
  <si>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</si>
  <si>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</si>
  <si>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</si>
  <si>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</si>
  <si>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</si>
  <si>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</si>
  <si>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</si>
  <si>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</si>
  <si>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</si>
  <si>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</si>
  <si>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</si>
  <si>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</si>
  <si>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</si>
  <si>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</si>
  <si>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</si>
  <si>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</si>
  <si>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</si>
  <si>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</si>
  <si>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</si>
  <si>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</si>
  <si>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</si>
  <si>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</si>
  <si>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</si>
  <si>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</si>
  <si>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</si>
  <si>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</si>
  <si>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</si>
  <si>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</si>
  <si>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</si>
  <si>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</si>
  <si>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</si>
  <si>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</si>
  <si>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</si>
  <si>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</si>
  <si>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</si>
  <si>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</si>
  <si>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</si>
  <si>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</si>
  <si>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</si>
  <si>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</si>
  <si>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</si>
  <si>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</si>
  <si>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</si>
  <si>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</si>
  <si>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</si>
  <si>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</si>
  <si>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</si>
  <si>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</si>
  <si>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</si>
  <si>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</si>
  <si>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</si>
  <si>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</si>
  <si>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</si>
  <si>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</si>
  <si>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</si>
  <si>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</si>
  <si>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</si>
  <si>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</si>
  <si>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</si>
  <si>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</si>
  <si>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</si>
  <si>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</si>
  <si>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</si>
  <si>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</si>
  <si>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</si>
  <si>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</si>
  <si>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</si>
  <si>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</si>
  <si>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Notes</t>
    <phoneticPr fontId="11" type="noConversion"/>
  </si>
  <si>
    <t>Forex</t>
    <phoneticPr fontId="11" type="noConversion"/>
  </si>
  <si>
    <t>CRB Commodity Index</t>
    <phoneticPr fontId="11" type="noConversion"/>
  </si>
  <si>
    <t>Commodities</t>
    <phoneticPr fontId="11" type="noConversion"/>
  </si>
  <si>
    <t>Real Estate</t>
    <phoneticPr fontId="11" type="noConversion"/>
  </si>
  <si>
    <t>https://tradingeconomics.com/hong-kong/government-bond-yield</t>
    <phoneticPr fontId="11" type="noConversion"/>
  </si>
  <si>
    <t>HK 10Y Government Bond Yield</t>
    <phoneticPr fontId="11" type="noConversion"/>
  </si>
  <si>
    <t>https://tradingeconomics.com/hong-kong/bank-lending-rate</t>
    <phoneticPr fontId="11" type="noConversion"/>
  </si>
  <si>
    <t>HK Prime Lending Rate</t>
    <phoneticPr fontId="11" type="noConversion"/>
  </si>
  <si>
    <t>https://fred.stlouisfed.org/series/DPRIME</t>
    <phoneticPr fontId="11" type="noConversion"/>
  </si>
  <si>
    <t>Bank Prime Loan Rate</t>
    <phoneticPr fontId="11" type="noConversion"/>
  </si>
  <si>
    <t>https://tradingeconomics.com/china/government-bond-yield</t>
    <phoneticPr fontId="11" type="noConversion"/>
  </si>
  <si>
    <t>All-in-One Bond Prices</t>
    <phoneticPr fontId="11" type="noConversion"/>
  </si>
  <si>
    <t>https://tradingeconomics.com/bonds</t>
    <phoneticPr fontId="11" type="noConversion"/>
  </si>
  <si>
    <t>https://awealthofcommonsense.com/2025/01/historical-returns-for-stocks-bonds-cash-real-estate-and-gold/</t>
    <phoneticPr fontId="11" type="noConversion"/>
  </si>
  <si>
    <t>Historical Returns</t>
    <phoneticPr fontId="11" type="noConversion"/>
  </si>
  <si>
    <t>Sector Analysis</t>
    <phoneticPr fontId="11" type="noConversion"/>
  </si>
  <si>
    <t>Country/Region Analysis</t>
    <phoneticPr fontId="11" type="noConversion"/>
  </si>
  <si>
    <t>Use PEST analysis</t>
    <phoneticPr fontId="11" type="noConversion"/>
  </si>
  <si>
    <t>Porter's Five Forces</t>
    <phoneticPr fontId="11" type="noConversion"/>
  </si>
  <si>
    <t>Company Analysis</t>
    <phoneticPr fontId="11" type="noConversion"/>
  </si>
  <si>
    <r>
      <t>5W2H</t>
    </r>
    <r>
      <rPr>
        <sz val="11"/>
        <color theme="1"/>
        <rFont val="Microsoft YaHei"/>
        <family val="1"/>
        <charset val="134"/>
      </rPr>
      <t>方法</t>
    </r>
    <phoneticPr fontId="11" type="noConversion"/>
  </si>
  <si>
    <t>SWOT</t>
    <phoneticPr fontId="11" type="noConversion"/>
  </si>
  <si>
    <r>
      <rPr>
        <sz val="11"/>
        <color theme="1"/>
        <rFont val="Microsoft YaHei"/>
        <family val="1"/>
        <charset val="134"/>
      </rPr>
      <t>第一：了解行业现状</t>
    </r>
    <phoneticPr fontId="11" type="noConversion"/>
  </si>
  <si>
    <r>
      <rPr>
        <sz val="11"/>
        <color theme="1"/>
        <rFont val="Microsoft YaHei"/>
        <family val="1"/>
        <charset val="134"/>
      </rPr>
      <t>产业链图</t>
    </r>
    <phoneticPr fontId="11" type="noConversion"/>
  </si>
  <si>
    <r>
      <rPr>
        <sz val="11"/>
        <color theme="1"/>
        <rFont val="Microsoft YaHei"/>
        <family val="1"/>
        <charset val="134"/>
      </rPr>
      <t>产业分赃链图</t>
    </r>
    <phoneticPr fontId="11" type="noConversion"/>
  </si>
  <si>
    <r>
      <rPr>
        <sz val="11"/>
        <color theme="1"/>
        <rFont val="Microsoft YaHei"/>
        <family val="1"/>
        <charset val="134"/>
      </rPr>
      <t>市场规模预估法实现</t>
    </r>
    <phoneticPr fontId="11" type="noConversion"/>
  </si>
  <si>
    <r>
      <rPr>
        <sz val="11"/>
        <color theme="1"/>
        <rFont val="Microsoft YaHei"/>
        <family val="1"/>
        <charset val="134"/>
      </rPr>
      <t>第二：分析行业动能</t>
    </r>
    <phoneticPr fontId="11" type="noConversion"/>
  </si>
  <si>
    <r>
      <rPr>
        <sz val="11"/>
        <color theme="1"/>
        <rFont val="Microsoft YaHei"/>
        <family val="1"/>
        <charset val="134"/>
      </rPr>
      <t>外部动能</t>
    </r>
    <phoneticPr fontId="11" type="noConversion"/>
  </si>
  <si>
    <r>
      <rPr>
        <sz val="11"/>
        <color theme="1"/>
        <rFont val="DengXian"/>
        <family val="1"/>
        <charset val="134"/>
      </rPr>
      <t>内部动能</t>
    </r>
    <phoneticPr fontId="11" type="noConversion"/>
  </si>
  <si>
    <r>
      <rPr>
        <sz val="11"/>
        <color theme="1"/>
        <rFont val="DengXian"/>
        <family val="1"/>
        <charset val="134"/>
      </rPr>
      <t>竞争壁垒</t>
    </r>
    <phoneticPr fontId="11" type="noConversion"/>
  </si>
  <si>
    <r>
      <rPr>
        <sz val="11"/>
        <color theme="1"/>
        <rFont val="DengXian"/>
        <family val="1"/>
        <charset val="134"/>
      </rPr>
      <t>行业周期</t>
    </r>
    <phoneticPr fontId="11" type="noConversion"/>
  </si>
  <si>
    <r>
      <rPr>
        <sz val="11"/>
        <color theme="1"/>
        <rFont val="Microsoft YaHei"/>
        <family val="1"/>
        <charset val="134"/>
      </rPr>
      <t>第三：推测行业变化</t>
    </r>
    <phoneticPr fontId="11" type="noConversion"/>
  </si>
  <si>
    <r>
      <rPr>
        <sz val="11"/>
        <color theme="1"/>
        <rFont val="DengXian"/>
        <family val="1"/>
        <charset val="134"/>
      </rPr>
      <t>竞品分析</t>
    </r>
    <phoneticPr fontId="11" type="noConversion"/>
  </si>
  <si>
    <r>
      <rPr>
        <sz val="11"/>
        <color theme="1"/>
        <rFont val="Microsoft YaHei"/>
        <family val="1"/>
        <charset val="134"/>
      </rPr>
      <t>第四：找出行业带给自身的机会</t>
    </r>
    <phoneticPr fontId="11" type="noConversion"/>
  </si>
  <si>
    <r>
      <rPr>
        <sz val="11"/>
        <color theme="1"/>
        <rFont val="Microsoft YaHei"/>
        <family val="1"/>
        <charset val="134"/>
      </rPr>
      <t>商业模式画布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</si>
</sst>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theme="1"/>
      <name val="Microsoft YaHei"/>
      <family val="1"/>
      <charset val="134"/>
    </font>
    <font>
      <sz val="11"/>
      <color theme="1"/>
      <name val="DengXian"/>
      <family val="1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4" fillId="6" borderId="0" xfId="0" applyFont="1" applyFill="1" applyAlignment="1">
      <alignment horizontal="right"/>
    </xf>
    <xf numFmtId="0" fontId="14" fillId="6" borderId="0" xfId="0" applyFont="1" applyFill="1" applyAlignment="1">
      <alignment horizontal="center"/>
    </xf>
    <xf numFmtId="0" fontId="15" fillId="6" borderId="0" xfId="0" applyFont="1" applyFill="1"/>
    <xf numFmtId="0" fontId="14" fillId="6" borderId="0" xfId="0" applyFont="1" applyFill="1"/>
    <xf numFmtId="10" fontId="14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6" fillId="0" borderId="0" xfId="0" applyFont="1"/>
    <xf numFmtId="0" fontId="3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adcny:cur" TargetMode="External"/><Relationship Id="rId7" Type="http://schemas.openxmlformats.org/officeDocument/2006/relationships/hyperlink" Target="https://tradingeconomics.com/euro-area/currency" TargetMode="External"/><Relationship Id="rId2" Type="http://schemas.openxmlformats.org/officeDocument/2006/relationships/hyperlink" Target="https://tradingeconomics.com/china/currency" TargetMode="External"/><Relationship Id="rId1" Type="http://schemas.openxmlformats.org/officeDocument/2006/relationships/hyperlink" Target="https://tradingeconomics.com/currencies" TargetMode="External"/><Relationship Id="rId6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tradingeconomics.com/hkdcny:cu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B0449-8591-42B7-B720-6314A45F3007}">
  <dimension ref="A2:F15"/>
  <sheetViews>
    <sheetView tabSelected="1" workbookViewId="0">
      <selection activeCell="D8" sqref="D8"/>
    </sheetView>
  </sheetViews>
  <sheetFormatPr defaultRowHeight="13.9"/>
  <cols>
    <col min="1" max="1" width="2.59765625" style="7" customWidth="1"/>
    <col min="2" max="2" width="37.265625" style="7" customWidth="1"/>
    <col min="3" max="3" width="17.33203125" style="7" customWidth="1"/>
    <col min="4" max="5" width="18.3984375" style="7" customWidth="1"/>
    <col min="6" max="6" width="19.73046875" style="7" customWidth="1"/>
    <col min="7" max="16384" width="9.06640625" style="7"/>
  </cols>
  <sheetData>
    <row r="2" spans="1:6" ht="15">
      <c r="A2" s="3"/>
      <c r="B2" s="2" t="s">
        <v>190</v>
      </c>
    </row>
    <row r="4" spans="1:6">
      <c r="B4" s="7" t="s">
        <v>191</v>
      </c>
    </row>
    <row r="6" spans="1:6" ht="15">
      <c r="A6" s="3"/>
      <c r="B6" s="2" t="s">
        <v>189</v>
      </c>
    </row>
    <row r="8" spans="1:6" ht="15">
      <c r="B8" s="7" t="s">
        <v>196</v>
      </c>
      <c r="C8" s="7" t="s">
        <v>194</v>
      </c>
      <c r="D8" s="7" t="s">
        <v>197</v>
      </c>
      <c r="E8" s="7" t="s">
        <v>198</v>
      </c>
      <c r="F8" s="7" t="s">
        <v>199</v>
      </c>
    </row>
    <row r="9" spans="1:6" ht="15">
      <c r="B9" s="7" t="s">
        <v>200</v>
      </c>
      <c r="C9" s="7" t="s">
        <v>201</v>
      </c>
      <c r="D9" s="7" t="s">
        <v>202</v>
      </c>
      <c r="E9" s="7" t="s">
        <v>203</v>
      </c>
      <c r="F9" s="7" t="s">
        <v>204</v>
      </c>
    </row>
    <row r="10" spans="1:6" ht="15">
      <c r="B10" s="7" t="s">
        <v>205</v>
      </c>
      <c r="C10" s="7" t="s">
        <v>206</v>
      </c>
    </row>
    <row r="11" spans="1:6" ht="15">
      <c r="B11" s="7" t="s">
        <v>207</v>
      </c>
      <c r="C11" s="7" t="s">
        <v>195</v>
      </c>
    </row>
    <row r="13" spans="1:6" ht="15">
      <c r="A13" s="3"/>
      <c r="B13" s="2" t="s">
        <v>193</v>
      </c>
    </row>
    <row r="14" spans="1:6">
      <c r="B14" s="7" t="s">
        <v>192</v>
      </c>
    </row>
    <row r="15" spans="1:6" ht="15">
      <c r="B15" s="7" t="s">
        <v>208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C5B-4592-4EC9-BE37-C083F15EE9CA}">
  <dimension ref="A2:E12"/>
  <sheetViews>
    <sheetView workbookViewId="0">
      <selection activeCell="A2" sqref="A2:B2"/>
    </sheetView>
  </sheetViews>
  <sheetFormatPr defaultRowHeight="13.9"/>
  <cols>
    <col min="1" max="1" width="2.46484375" customWidth="1"/>
    <col min="2" max="2" width="27.9296875" bestFit="1" customWidth="1"/>
    <col min="3" max="3" width="43" bestFit="1" customWidth="1"/>
  </cols>
  <sheetData>
    <row r="2" spans="1:5" ht="15">
      <c r="A2" s="3"/>
      <c r="B2" s="2" t="s">
        <v>174</v>
      </c>
      <c r="C2" s="4"/>
      <c r="D2" s="45"/>
      <c r="E2" s="4"/>
    </row>
    <row r="3" spans="1:5">
      <c r="A3" s="7"/>
      <c r="B3" s="6" t="s">
        <v>74</v>
      </c>
      <c r="C3" s="16" t="s">
        <v>75</v>
      </c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6" t="s">
        <v>77</v>
      </c>
      <c r="C5" s="16" t="s">
        <v>76</v>
      </c>
      <c r="D5" s="7"/>
      <c r="E5" s="7"/>
    </row>
    <row r="6" spans="1:5">
      <c r="A6" s="7"/>
      <c r="B6" s="6" t="s">
        <v>84</v>
      </c>
      <c r="C6" s="16" t="s">
        <v>85</v>
      </c>
      <c r="D6" s="7"/>
      <c r="E6" s="7"/>
    </row>
    <row r="7" spans="1:5">
      <c r="A7" s="7"/>
      <c r="B7" s="7" t="s">
        <v>83</v>
      </c>
      <c r="C7" s="16" t="s">
        <v>82</v>
      </c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 t="s">
        <v>87</v>
      </c>
      <c r="C9" s="16" t="s">
        <v>86</v>
      </c>
      <c r="D9" s="7"/>
      <c r="E9" s="7"/>
    </row>
    <row r="10" spans="1:5">
      <c r="A10" s="7"/>
      <c r="B10" s="7" t="s">
        <v>89</v>
      </c>
      <c r="C10" s="16" t="s">
        <v>88</v>
      </c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 t="s">
        <v>90</v>
      </c>
      <c r="C12" s="16" t="s">
        <v>91</v>
      </c>
      <c r="D12" s="7"/>
      <c r="E12" s="7"/>
    </row>
  </sheetData>
  <phoneticPr fontId="11" type="noConversion"/>
  <hyperlinks>
    <hyperlink ref="C3" r:id="rId1" xr:uid="{16104B09-A651-7A41-A777-F49F69D02554}"/>
    <hyperlink ref="C5" r:id="rId2" xr:uid="{BFEB5D28-D16E-9545-989F-F86E412707A9}"/>
    <hyperlink ref="C7" r:id="rId3" xr:uid="{645528C6-7225-564E-908E-A85650E1CCD6}"/>
    <hyperlink ref="C6" r:id="rId4" xr:uid="{0B036CAC-824D-E543-8C48-9EDDC7350EA2}"/>
    <hyperlink ref="C9" r:id="rId5" xr:uid="{EF5F9EA6-9DD5-1C42-A0E5-61DBB0A5A02F}"/>
    <hyperlink ref="C10" r:id="rId6" xr:uid="{1DE792CC-A9C9-BB47-A69A-D22E477A4A3B}"/>
    <hyperlink ref="C12" r:id="rId7" xr:uid="{E7131674-9823-C34D-8EBB-49D25F89688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144</v>
      </c>
      <c r="C2" s="16" t="s">
        <v>159</v>
      </c>
    </row>
    <row r="3" spans="1:3">
      <c r="B3" s="42" t="s">
        <v>105</v>
      </c>
      <c r="C3" s="16" t="s">
        <v>172</v>
      </c>
    </row>
    <row r="4" spans="1:3">
      <c r="B4" s="6" t="s">
        <v>145</v>
      </c>
      <c r="C4" s="16" t="s">
        <v>149</v>
      </c>
    </row>
    <row r="5" spans="1:3">
      <c r="B5" s="6" t="s">
        <v>147</v>
      </c>
      <c r="C5" s="16" t="s">
        <v>148</v>
      </c>
    </row>
    <row r="7" spans="1:3">
      <c r="B7" s="42" t="s">
        <v>102</v>
      </c>
      <c r="C7" s="16"/>
    </row>
    <row r="8" spans="1:3">
      <c r="B8" s="6" t="s">
        <v>170</v>
      </c>
      <c r="C8" s="16" t="s">
        <v>160</v>
      </c>
    </row>
    <row r="9" spans="1:3">
      <c r="B9" s="6" t="s">
        <v>171</v>
      </c>
      <c r="C9" s="16" t="s">
        <v>154</v>
      </c>
    </row>
    <row r="11" spans="1:3">
      <c r="B11" s="42" t="s">
        <v>146</v>
      </c>
    </row>
    <row r="12" spans="1:3">
      <c r="B12" s="7" t="s">
        <v>153</v>
      </c>
      <c r="C12" s="16" t="s">
        <v>152</v>
      </c>
    </row>
    <row r="14" spans="1:3">
      <c r="B14" s="42" t="s">
        <v>151</v>
      </c>
    </row>
    <row r="15" spans="1:3">
      <c r="B15" s="7" t="s">
        <v>150</v>
      </c>
      <c r="C15" s="16" t="s">
        <v>158</v>
      </c>
    </row>
    <row r="17" spans="2:3">
      <c r="B17" s="42" t="s">
        <v>157</v>
      </c>
    </row>
    <row r="18" spans="2:3">
      <c r="B18" s="7" t="s">
        <v>156</v>
      </c>
      <c r="C18" s="16" t="s">
        <v>155</v>
      </c>
    </row>
    <row r="20" spans="2:3">
      <c r="B20" s="42" t="s">
        <v>161</v>
      </c>
    </row>
    <row r="21" spans="2:3">
      <c r="B21" s="7" t="s">
        <v>163</v>
      </c>
      <c r="C21" s="16" t="s">
        <v>162</v>
      </c>
    </row>
    <row r="23" spans="2:3">
      <c r="B23" s="42" t="s">
        <v>164</v>
      </c>
    </row>
    <row r="24" spans="2:3">
      <c r="B24" s="7" t="s">
        <v>166</v>
      </c>
      <c r="C24" s="16" t="s">
        <v>165</v>
      </c>
    </row>
    <row r="26" spans="2:3">
      <c r="B26" s="42" t="s">
        <v>168</v>
      </c>
    </row>
    <row r="27" spans="2:3">
      <c r="B27" s="7" t="s">
        <v>169</v>
      </c>
      <c r="C27" s="16" t="s">
        <v>167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6" sqref="B36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100</v>
      </c>
    </row>
    <row r="3" spans="1:6">
      <c r="B3" s="42" t="s">
        <v>105</v>
      </c>
      <c r="C3" s="13" t="s">
        <v>125</v>
      </c>
    </row>
    <row r="4" spans="1:6">
      <c r="B4" s="6" t="s">
        <v>104</v>
      </c>
      <c r="C4" s="13" t="s">
        <v>126</v>
      </c>
    </row>
    <row r="5" spans="1:6">
      <c r="B5" s="6" t="s">
        <v>103</v>
      </c>
      <c r="C5" s="13" t="s">
        <v>127</v>
      </c>
    </row>
    <row r="7" spans="1:6">
      <c r="B7" s="42" t="s">
        <v>102</v>
      </c>
      <c r="C7" s="13" t="s">
        <v>101</v>
      </c>
    </row>
    <row r="8" spans="1:6">
      <c r="B8" s="6" t="s">
        <v>104</v>
      </c>
      <c r="C8" s="13" t="s">
        <v>119</v>
      </c>
    </row>
    <row r="9" spans="1:6">
      <c r="B9" s="6" t="s">
        <v>120</v>
      </c>
      <c r="C9" s="13" t="s">
        <v>121</v>
      </c>
    </row>
    <row r="11" spans="1:6" ht="15">
      <c r="A11" s="3"/>
      <c r="B11" s="2" t="s">
        <v>106</v>
      </c>
      <c r="C11" s="15"/>
      <c r="D11" s="15"/>
      <c r="E11" s="15"/>
      <c r="F11" s="43"/>
    </row>
    <row r="12" spans="1:6">
      <c r="A12" s="7"/>
      <c r="B12" s="4" t="s">
        <v>78</v>
      </c>
      <c r="C12" s="16" t="s">
        <v>79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81</v>
      </c>
      <c r="C14" s="16" t="s">
        <v>80</v>
      </c>
      <c r="E14" s="7"/>
      <c r="F14" s="7"/>
    </row>
    <row r="15" spans="1:6">
      <c r="A15" s="7"/>
      <c r="B15" s="6" t="s">
        <v>56</v>
      </c>
      <c r="C15" s="17" t="s">
        <v>55</v>
      </c>
      <c r="E15" s="7"/>
      <c r="F15" s="7"/>
    </row>
    <row r="16" spans="1:6">
      <c r="A16" s="7"/>
      <c r="B16" s="6" t="s">
        <v>57</v>
      </c>
      <c r="C16" s="18" t="s">
        <v>60</v>
      </c>
      <c r="E16" s="7"/>
      <c r="F16" s="7"/>
    </row>
    <row r="17" spans="1:3">
      <c r="B17" s="6" t="s">
        <v>58</v>
      </c>
      <c r="C17" s="18" t="s">
        <v>59</v>
      </c>
    </row>
    <row r="19" spans="1:3" ht="15">
      <c r="A19" s="3"/>
      <c r="B19" s="2" t="s">
        <v>107</v>
      </c>
    </row>
    <row r="20" spans="1:3">
      <c r="B20" s="42" t="s">
        <v>105</v>
      </c>
    </row>
    <row r="21" spans="1:3">
      <c r="B21" t="s">
        <v>111</v>
      </c>
    </row>
    <row r="22" spans="1:3">
      <c r="B22" t="s">
        <v>112</v>
      </c>
    </row>
    <row r="23" spans="1:3">
      <c r="B23" t="s">
        <v>113</v>
      </c>
    </row>
    <row r="24" spans="1:3">
      <c r="B24" t="s">
        <v>114</v>
      </c>
    </row>
    <row r="26" spans="1:3">
      <c r="B26" s="42" t="s">
        <v>108</v>
      </c>
      <c r="C26" s="13" t="s">
        <v>109</v>
      </c>
    </row>
    <row r="27" spans="1:3">
      <c r="B27" t="s">
        <v>111</v>
      </c>
      <c r="C27" s="13" t="s">
        <v>110</v>
      </c>
    </row>
    <row r="28" spans="1:3">
      <c r="B28" t="s">
        <v>112</v>
      </c>
      <c r="C28" s="13" t="s">
        <v>133</v>
      </c>
    </row>
    <row r="29" spans="1:3">
      <c r="B29" t="s">
        <v>113</v>
      </c>
      <c r="C29" s="13" t="s">
        <v>131</v>
      </c>
    </row>
    <row r="30" spans="1:3">
      <c r="B30" t="s">
        <v>114</v>
      </c>
      <c r="C30" s="13" t="s">
        <v>132</v>
      </c>
    </row>
    <row r="32" spans="1:3" ht="15">
      <c r="A32" s="3"/>
      <c r="B32" s="2" t="s">
        <v>115</v>
      </c>
    </row>
    <row r="33" spans="1:6">
      <c r="B33" s="12" t="s">
        <v>117</v>
      </c>
      <c r="C33" s="13" t="s">
        <v>116</v>
      </c>
    </row>
    <row r="34" spans="1:6">
      <c r="B34" s="6"/>
    </row>
    <row r="35" spans="1:6">
      <c r="B35" s="42" t="s">
        <v>118</v>
      </c>
      <c r="C35" s="13" t="s">
        <v>124</v>
      </c>
    </row>
    <row r="36" spans="1:6">
      <c r="B36" s="42" t="s">
        <v>122</v>
      </c>
      <c r="C36" s="13" t="s">
        <v>123</v>
      </c>
    </row>
    <row r="38" spans="1:6" ht="15">
      <c r="A38" s="3"/>
      <c r="B38" s="2" t="s">
        <v>130</v>
      </c>
      <c r="C38" s="13" t="s">
        <v>129</v>
      </c>
    </row>
    <row r="40" spans="1:6" ht="15">
      <c r="A40" s="3"/>
      <c r="B40" s="11" t="s">
        <v>54</v>
      </c>
      <c r="C40" s="10" t="s">
        <v>62</v>
      </c>
      <c r="D40" s="5" t="s">
        <v>1</v>
      </c>
    </row>
    <row r="41" spans="1:6">
      <c r="A41" s="4"/>
      <c r="B41" s="35" t="s">
        <v>53</v>
      </c>
      <c r="C41" s="9"/>
      <c r="D41" s="8"/>
      <c r="E41" t="s">
        <v>99</v>
      </c>
    </row>
    <row r="42" spans="1:6">
      <c r="A42" s="4"/>
      <c r="B42" s="36" t="s">
        <v>52</v>
      </c>
      <c r="C42" s="24" t="s">
        <v>51</v>
      </c>
      <c r="D42" s="24" t="s">
        <v>51</v>
      </c>
      <c r="E42" s="19">
        <f t="shared" ref="E42:F45" si="0">IF(LEFT(C42,1)="H",1,IF(LEFT(C42,1)="C",-1,0))</f>
        <v>-1</v>
      </c>
      <c r="F42" s="19">
        <f t="shared" si="0"/>
        <v>-1</v>
      </c>
    </row>
    <row r="43" spans="1:6">
      <c r="A43" s="4"/>
      <c r="B43" s="36" t="s">
        <v>50</v>
      </c>
      <c r="C43" s="25" t="s">
        <v>48</v>
      </c>
      <c r="D43" s="25" t="s">
        <v>49</v>
      </c>
      <c r="E43" s="19">
        <f t="shared" si="0"/>
        <v>1</v>
      </c>
      <c r="F43" s="19">
        <f t="shared" si="0"/>
        <v>-1</v>
      </c>
    </row>
    <row r="44" spans="1:6">
      <c r="A44" s="4"/>
      <c r="B44" s="36" t="s">
        <v>47</v>
      </c>
      <c r="C44" s="26" t="s">
        <v>46</v>
      </c>
      <c r="D44" s="26" t="s">
        <v>46</v>
      </c>
      <c r="E44" s="19">
        <f t="shared" si="0"/>
        <v>-1</v>
      </c>
      <c r="F44" s="19">
        <f t="shared" si="0"/>
        <v>-1</v>
      </c>
    </row>
    <row r="45" spans="1:6">
      <c r="A45" s="4"/>
      <c r="B45" s="37" t="s">
        <v>45</v>
      </c>
      <c r="C45" s="27" t="s">
        <v>14</v>
      </c>
      <c r="D45" s="27" t="s">
        <v>44</v>
      </c>
      <c r="E45" s="19">
        <f t="shared" si="0"/>
        <v>0</v>
      </c>
      <c r="F45" s="19">
        <f t="shared" si="0"/>
        <v>-1</v>
      </c>
    </row>
    <row r="46" spans="1:6">
      <c r="A46" s="4"/>
      <c r="B46" s="38" t="s">
        <v>43</v>
      </c>
      <c r="C46" s="28" t="str">
        <f>IF(SUM(E42:E45)&gt;=3, "Hot", IF(SUM(E42:E45)&lt;=-3,"Cold", "Mixed"))</f>
        <v>Mixed</v>
      </c>
      <c r="D46" s="28" t="str">
        <f>IF(SUM(F42:F45)&gt;=3, "Hot", IF(SUM(F42:F45)&lt;=-3,"Cold", "Mixed"))</f>
        <v>Cold</v>
      </c>
      <c r="E46" s="19">
        <f>IF(LEFT(C46,1)="H",2,IF(LEFT(C46,1)="C",-1,0))</f>
        <v>0</v>
      </c>
      <c r="F46" s="19">
        <f>IF(LEFT(D46,1)="H",2,IF(LEFT(D46,1)="C",-1,0))</f>
        <v>-1</v>
      </c>
    </row>
    <row r="47" spans="1:6">
      <c r="A47" s="4"/>
      <c r="B47" s="36" t="s">
        <v>42</v>
      </c>
      <c r="C47" s="24" t="s">
        <v>41</v>
      </c>
      <c r="D47" s="24" t="s">
        <v>41</v>
      </c>
      <c r="E47" s="19">
        <f t="shared" ref="E47:F50" si="1">IF(LEFT(C47,1)="H",1,IF(LEFT(C47,1)="C",-1,0))</f>
        <v>-1</v>
      </c>
      <c r="F47" s="19">
        <f t="shared" si="1"/>
        <v>-1</v>
      </c>
    </row>
    <row r="48" spans="1:6">
      <c r="A48" s="4"/>
      <c r="B48" s="36" t="s">
        <v>40</v>
      </c>
      <c r="C48" s="24" t="s">
        <v>39</v>
      </c>
      <c r="D48" s="24" t="s">
        <v>39</v>
      </c>
      <c r="E48" s="19">
        <f t="shared" si="1"/>
        <v>-1</v>
      </c>
      <c r="F48" s="19">
        <f t="shared" si="1"/>
        <v>-1</v>
      </c>
    </row>
    <row r="49" spans="1:6">
      <c r="A49" s="4"/>
      <c r="B49" s="36" t="s">
        <v>38</v>
      </c>
      <c r="C49" s="27" t="s">
        <v>14</v>
      </c>
      <c r="D49" s="27" t="s">
        <v>37</v>
      </c>
      <c r="E49" s="19">
        <f t="shared" si="1"/>
        <v>0</v>
      </c>
      <c r="F49" s="19">
        <f t="shared" si="1"/>
        <v>-1</v>
      </c>
    </row>
    <row r="50" spans="1:6">
      <c r="A50" s="4"/>
      <c r="B50" s="36" t="s">
        <v>36</v>
      </c>
      <c r="C50" s="27" t="s">
        <v>35</v>
      </c>
      <c r="D50" s="27" t="s">
        <v>35</v>
      </c>
      <c r="E50" s="19">
        <f t="shared" si="1"/>
        <v>-1</v>
      </c>
      <c r="F50" s="19">
        <f t="shared" si="1"/>
        <v>-1</v>
      </c>
    </row>
    <row r="51" spans="1:6">
      <c r="A51" s="4"/>
      <c r="B51" s="38" t="s">
        <v>34</v>
      </c>
      <c r="C51" s="29" t="str">
        <f>IF(SUM(E47:E50)&gt;=3, "Hot", IF(SUM(E47:E50)&lt;=-3,"Cold", "Mixed"))</f>
        <v>Cold</v>
      </c>
      <c r="D51" s="29" t="str">
        <f>IF(SUM(F47:F50)&gt;=3, "Hot", IF(SUM(F47:F50)&lt;=-3,"Cold", "Mixed"))</f>
        <v>Cold</v>
      </c>
      <c r="E51" s="19">
        <f>IF(LEFT(C51,1)="H",2,IF(LEFT(C51,1)="C",-1,0))</f>
        <v>-1</v>
      </c>
      <c r="F51" s="19">
        <f>IF(LEFT(D51,1)="H",2,IF(LEFT(D51,1)="C",-1,0))</f>
        <v>-1</v>
      </c>
    </row>
    <row r="52" spans="1:6" ht="27.75">
      <c r="A52" s="4"/>
      <c r="B52" s="36" t="s">
        <v>33</v>
      </c>
      <c r="C52" s="24" t="s">
        <v>31</v>
      </c>
      <c r="D52" s="24" t="s">
        <v>32</v>
      </c>
      <c r="E52" s="19">
        <f t="shared" ref="E52:F55" si="2">IF(LEFT(C52,1)="H",1,IF(LEFT(C52,1)="C",-1,0))</f>
        <v>1</v>
      </c>
      <c r="F52" s="19">
        <f t="shared" si="2"/>
        <v>-1</v>
      </c>
    </row>
    <row r="53" spans="1:6">
      <c r="A53" s="4"/>
      <c r="B53" s="36" t="s">
        <v>30</v>
      </c>
      <c r="C53" s="24" t="s">
        <v>14</v>
      </c>
      <c r="D53" s="24" t="s">
        <v>29</v>
      </c>
      <c r="E53" s="19">
        <f t="shared" si="2"/>
        <v>0</v>
      </c>
      <c r="F53" s="19">
        <f t="shared" si="2"/>
        <v>-1</v>
      </c>
    </row>
    <row r="54" spans="1:6">
      <c r="A54" s="4"/>
      <c r="B54" s="36" t="s">
        <v>28</v>
      </c>
      <c r="C54" s="24" t="s">
        <v>14</v>
      </c>
      <c r="D54" s="24" t="s">
        <v>27</v>
      </c>
      <c r="E54" s="19">
        <f t="shared" si="2"/>
        <v>0</v>
      </c>
      <c r="F54" s="19">
        <f t="shared" si="2"/>
        <v>-1</v>
      </c>
    </row>
    <row r="55" spans="1:6">
      <c r="A55" s="4"/>
      <c r="B55" s="36" t="s">
        <v>26</v>
      </c>
      <c r="C55" s="24" t="s">
        <v>14</v>
      </c>
      <c r="D55" s="24" t="s">
        <v>25</v>
      </c>
      <c r="E55" s="19">
        <f t="shared" si="2"/>
        <v>0</v>
      </c>
      <c r="F55" s="19">
        <f t="shared" si="2"/>
        <v>-1</v>
      </c>
    </row>
    <row r="56" spans="1:6">
      <c r="A56" s="4"/>
      <c r="B56" s="38" t="s">
        <v>24</v>
      </c>
      <c r="C56" s="29" t="str">
        <f>IF(SUM(E52:E55)&gt;=3, "Hot", IF(SUM(E52:E55)&lt;=-3,"Cold", "Mixed"))</f>
        <v>Mixed</v>
      </c>
      <c r="D56" s="29" t="str">
        <f>IF(SUM(F52:F55)&gt;=3, "Hot", IF(SUM(F52:F55)&lt;=-3,"Cold", "Mixed"))</f>
        <v>Cold</v>
      </c>
      <c r="E56" s="19">
        <f>IF(LEFT(C56,1)="H",2,IF(LEFT(C56,1)="C",-1,0))</f>
        <v>0</v>
      </c>
      <c r="F56" s="19">
        <f>IF(LEFT(D56,1)="H",2,IF(LEFT(D56,1)="C",-1,0))</f>
        <v>-1</v>
      </c>
    </row>
    <row r="57" spans="1:6" ht="27.75">
      <c r="A57" s="4"/>
      <c r="B57" s="36" t="s">
        <v>23</v>
      </c>
      <c r="C57" s="24" t="s">
        <v>21</v>
      </c>
      <c r="D57" s="24" t="s">
        <v>22</v>
      </c>
      <c r="E57" s="19">
        <f t="shared" ref="E57:F60" si="3">IF(LEFT(C57,1)="H",1,IF(LEFT(C57,1)="C",-1,0))</f>
        <v>0</v>
      </c>
      <c r="F57" s="19">
        <f t="shared" si="3"/>
        <v>-1</v>
      </c>
    </row>
    <row r="58" spans="1:6" ht="27.75">
      <c r="A58" s="4"/>
      <c r="B58" s="36" t="s">
        <v>20</v>
      </c>
      <c r="C58" s="24" t="s">
        <v>14</v>
      </c>
      <c r="D58" s="24" t="s">
        <v>19</v>
      </c>
      <c r="E58" s="19">
        <f t="shared" si="3"/>
        <v>0</v>
      </c>
      <c r="F58" s="19">
        <f t="shared" si="3"/>
        <v>-1</v>
      </c>
    </row>
    <row r="59" spans="1:6">
      <c r="A59" s="4"/>
      <c r="B59" s="36" t="s">
        <v>18</v>
      </c>
      <c r="C59" s="24" t="s">
        <v>17</v>
      </c>
      <c r="D59" s="24" t="s">
        <v>14</v>
      </c>
      <c r="E59" s="19">
        <f t="shared" si="3"/>
        <v>1</v>
      </c>
      <c r="F59" s="19">
        <f t="shared" si="3"/>
        <v>0</v>
      </c>
    </row>
    <row r="60" spans="1:6" ht="27.75">
      <c r="A60" s="4"/>
      <c r="B60" s="36" t="s">
        <v>16</v>
      </c>
      <c r="C60" s="24" t="s">
        <v>14</v>
      </c>
      <c r="D60" s="24" t="s">
        <v>15</v>
      </c>
      <c r="E60" s="19">
        <f t="shared" si="3"/>
        <v>0</v>
      </c>
      <c r="F60" s="19">
        <f t="shared" si="3"/>
        <v>-1</v>
      </c>
    </row>
    <row r="61" spans="1:6">
      <c r="A61" s="4"/>
      <c r="B61" s="38" t="s">
        <v>13</v>
      </c>
      <c r="C61" s="29" t="str">
        <f>IF(SUM(E57:E60)&gt;=3, "Hot", IF(SUM(E57:E60)&lt;=-3,"Cold", "Mixed"))</f>
        <v>Mixed</v>
      </c>
      <c r="D61" s="29" t="str">
        <f>IF(SUM(F57:F60)&gt;=3, "Hot", IF(SUM(F57:F60)&lt;=-3,"Cold", "Mixed"))</f>
        <v>Cold</v>
      </c>
      <c r="E61" s="19">
        <f>IF(LEFT(C61,1)="H",2,IF(LEFT(C61,1)="C",-1,0))</f>
        <v>0</v>
      </c>
      <c r="F61" s="19">
        <f>IF(LEFT(D61,1)="H",2,IF(LEFT(D61,1)="C",-1,0))</f>
        <v>-1</v>
      </c>
    </row>
    <row r="62" spans="1:6" ht="27.75">
      <c r="A62" s="4"/>
      <c r="B62" s="39" t="s">
        <v>12</v>
      </c>
      <c r="C62" s="30" t="str">
        <f>IF(OR(E62=4,E62=-4),"In extreme",IF(E62=0,"In equilibrium",IF(OR(E62&gt;0),"Relatively optimistic","Relatively pessimistic")))</f>
        <v>Relatively pessimistic</v>
      </c>
      <c r="D62" s="30" t="str">
        <f>IF(OR(F62=4,F62=-4),"In extreme",IF(F62=0,"In equilibrium",IF(OR(F62&gt;0),"Relatively optimistic","Relatively pessimistic")))</f>
        <v>In extreme</v>
      </c>
      <c r="E62" s="20">
        <f>SUM(E46,E51,E56,E61)</f>
        <v>-1</v>
      </c>
      <c r="F62" s="20">
        <f>SUM(F46,F51,F56,F61)</f>
        <v>-4</v>
      </c>
    </row>
    <row r="63" spans="1:6">
      <c r="A63" s="4"/>
      <c r="B63" s="31"/>
      <c r="C63" s="31"/>
      <c r="D63" s="31"/>
      <c r="E63" s="21"/>
      <c r="F63" s="21"/>
    </row>
    <row r="64" spans="1:6">
      <c r="A64" s="4"/>
      <c r="B64" s="40" t="s">
        <v>11</v>
      </c>
      <c r="C64" s="32" t="s">
        <v>0</v>
      </c>
      <c r="D64" s="32" t="s">
        <v>1</v>
      </c>
      <c r="E64" s="22"/>
      <c r="F64" s="22"/>
    </row>
    <row r="65" spans="1:6">
      <c r="A65" s="4"/>
      <c r="B65" s="37" t="s">
        <v>10</v>
      </c>
      <c r="C65" s="27" t="s">
        <v>8</v>
      </c>
      <c r="D65" s="27" t="s">
        <v>9</v>
      </c>
      <c r="E65" s="22">
        <f t="shared" ref="E65:F69" si="4">IF(LEFT(C65,1)="H",2,IF(LEFT(C65,1)="C",0,1))</f>
        <v>2</v>
      </c>
      <c r="F65" s="22">
        <f t="shared" si="4"/>
        <v>0</v>
      </c>
    </row>
    <row r="66" spans="1:6">
      <c r="B66" s="37" t="s">
        <v>7</v>
      </c>
      <c r="C66" s="33" t="e">
        <f>IF(Market_Yield!#REF!&gt;=3%, "Hot - High", IF(Market_Yield!#REF!&lt;=1.5%, "Cold - Low", "Mixed - Dormant"))</f>
        <v>#REF!</v>
      </c>
      <c r="D66" s="33" t="e">
        <f>IF(Market_Yield!#REF!&gt;=3%, "Hot - High", IF(Market_Yield!#REF!&lt;=1.5%, "Cold - Low", "Mixed - Dormant"))</f>
        <v>#REF!</v>
      </c>
      <c r="E66" s="22" t="e">
        <f t="shared" si="4"/>
        <v>#REF!</v>
      </c>
      <c r="F66" s="22" t="e">
        <f t="shared" si="4"/>
        <v>#REF!</v>
      </c>
    </row>
    <row r="67" spans="1:6">
      <c r="B67" s="37" t="s">
        <v>6</v>
      </c>
      <c r="C67" s="33" t="str">
        <f>C43</f>
        <v>Hot - Positive</v>
      </c>
      <c r="D67" s="33" t="str">
        <f>D43</f>
        <v>Cold - Negative</v>
      </c>
      <c r="E67" s="22">
        <f t="shared" si="4"/>
        <v>2</v>
      </c>
      <c r="F67" s="22">
        <f t="shared" si="4"/>
        <v>0</v>
      </c>
    </row>
    <row r="68" spans="1:6">
      <c r="B68" s="37" t="s">
        <v>5</v>
      </c>
      <c r="C68" s="33" t="str">
        <f>C49</f>
        <v>Mixed</v>
      </c>
      <c r="D68" s="33" t="str">
        <f>D49</f>
        <v>Cold - High</v>
      </c>
      <c r="E68" s="22">
        <f t="shared" si="4"/>
        <v>1</v>
      </c>
      <c r="F68" s="22">
        <f t="shared" si="4"/>
        <v>0</v>
      </c>
    </row>
    <row r="69" spans="1:6">
      <c r="B69" s="37" t="s">
        <v>4</v>
      </c>
      <c r="C69" s="33" t="str">
        <f>C50</f>
        <v>Cold - Wide</v>
      </c>
      <c r="D69" s="33" t="str">
        <f>D50</f>
        <v>Cold - Wide</v>
      </c>
      <c r="E69" s="22">
        <f t="shared" si="4"/>
        <v>0</v>
      </c>
      <c r="F69" s="22">
        <f t="shared" si="4"/>
        <v>0</v>
      </c>
    </row>
    <row r="70" spans="1:6">
      <c r="B70" s="41" t="s">
        <v>3</v>
      </c>
      <c r="C70" s="34" t="e">
        <f>Market_Yield!#REF!*(1+E70)</f>
        <v>#REF!</v>
      </c>
      <c r="D70" s="34" t="e">
        <f>Market_Yield!#REF!*(1+F70)</f>
        <v>#REF!</v>
      </c>
      <c r="E70" s="23" t="e">
        <f>SUM(E65:E69)/10</f>
        <v>#REF!</v>
      </c>
      <c r="F70" s="23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A2:C16"/>
  <sheetViews>
    <sheetView workbookViewId="0">
      <selection activeCell="B2" sqref="A2:B2"/>
    </sheetView>
  </sheetViews>
  <sheetFormatPr defaultColWidth="10.6640625" defaultRowHeight="13.9"/>
  <cols>
    <col min="1" max="1" width="2.46484375" customWidth="1"/>
    <col min="2" max="2" width="24.6640625" customWidth="1"/>
    <col min="3" max="3" width="51" customWidth="1"/>
  </cols>
  <sheetData>
    <row r="2" spans="1:3" ht="15">
      <c r="A2" s="3"/>
      <c r="B2" s="2" t="s">
        <v>176</v>
      </c>
    </row>
    <row r="3" spans="1:3">
      <c r="B3" s="12" t="s">
        <v>175</v>
      </c>
      <c r="C3" s="13" t="s">
        <v>128</v>
      </c>
    </row>
    <row r="5" spans="1:3">
      <c r="B5" s="12" t="s">
        <v>69</v>
      </c>
      <c r="C5" s="13" t="s">
        <v>70</v>
      </c>
    </row>
    <row r="7" spans="1:3">
      <c r="B7" s="12" t="s">
        <v>65</v>
      </c>
    </row>
    <row r="8" spans="1:3">
      <c r="B8" t="s">
        <v>63</v>
      </c>
      <c r="C8" s="13" t="s">
        <v>64</v>
      </c>
    </row>
    <row r="9" spans="1:3">
      <c r="B9" s="44" t="s">
        <v>142</v>
      </c>
      <c r="C9" s="13" t="s">
        <v>143</v>
      </c>
    </row>
    <row r="10" spans="1:3">
      <c r="B10" s="44" t="s">
        <v>141</v>
      </c>
      <c r="C10" s="13" t="s">
        <v>140</v>
      </c>
    </row>
    <row r="12" spans="1:3">
      <c r="B12" s="14" t="s">
        <v>67</v>
      </c>
    </row>
    <row r="13" spans="1:3">
      <c r="B13" t="s">
        <v>66</v>
      </c>
      <c r="C13" s="13" t="s">
        <v>68</v>
      </c>
    </row>
    <row r="15" spans="1:3">
      <c r="B15" s="12" t="s">
        <v>73</v>
      </c>
    </row>
    <row r="16" spans="1:3">
      <c r="B16" t="s">
        <v>72</v>
      </c>
      <c r="C16" s="13" t="s">
        <v>71</v>
      </c>
    </row>
  </sheetData>
  <phoneticPr fontId="11" type="noConversion"/>
  <hyperlinks>
    <hyperlink ref="C8" r:id="rId1" xr:uid="{BD2948D7-96D9-264F-B0D8-E6D98C96444B}"/>
    <hyperlink ref="C13" r:id="rId2" xr:uid="{00B87B71-2B64-7648-8C06-ED4B13CF1CAC}"/>
    <hyperlink ref="C5" r:id="rId3" xr:uid="{2EBA3D15-8A74-E446-A2A5-3050276DAEF0}"/>
    <hyperlink ref="C16" r:id="rId4" xr:uid="{C49E8DEC-BC7E-F34D-949B-76A17DA7B973}"/>
    <hyperlink ref="C3" r:id="rId5" xr:uid="{18F23401-4E80-A24F-B5F3-B57C2EA041C5}"/>
    <hyperlink ref="C10" r:id="rId6" xr:uid="{5B060AD5-B453-475A-AE85-6F08E6150FB3}"/>
    <hyperlink ref="C9" r:id="rId7" xr:uid="{55E080AE-5E7C-47FD-A5AD-AADFA910A2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A2:D14"/>
  <sheetViews>
    <sheetView workbookViewId="0">
      <selection activeCell="D22" sqref="D22"/>
    </sheetView>
  </sheetViews>
  <sheetFormatPr defaultColWidth="10.6640625" defaultRowHeight="13.9"/>
  <cols>
    <col min="1" max="1" width="2.46484375" customWidth="1"/>
    <col min="2" max="2" width="18.46484375" customWidth="1"/>
    <col min="3" max="3" width="38.6640625" customWidth="1"/>
    <col min="4" max="4" width="34.46484375" customWidth="1"/>
  </cols>
  <sheetData>
    <row r="2" spans="1:4" ht="15">
      <c r="A2" s="3"/>
      <c r="B2" s="2" t="s">
        <v>177</v>
      </c>
    </row>
    <row r="3" spans="1:4">
      <c r="C3" s="1" t="s">
        <v>97</v>
      </c>
      <c r="D3" s="1" t="s">
        <v>98</v>
      </c>
    </row>
    <row r="4" spans="1:4">
      <c r="B4" t="s">
        <v>2</v>
      </c>
      <c r="C4" s="13" t="s">
        <v>92</v>
      </c>
    </row>
    <row r="6" spans="1:4">
      <c r="B6" t="s">
        <v>0</v>
      </c>
    </row>
    <row r="8" spans="1:4">
      <c r="B8" t="s">
        <v>94</v>
      </c>
    </row>
    <row r="10" spans="1:4">
      <c r="B10" t="s">
        <v>93</v>
      </c>
    </row>
    <row r="12" spans="1:4">
      <c r="B12" t="s">
        <v>95</v>
      </c>
    </row>
    <row r="14" spans="1:4">
      <c r="B14" t="s">
        <v>96</v>
      </c>
    </row>
  </sheetData>
  <phoneticPr fontId="11" type="noConversion"/>
  <hyperlinks>
    <hyperlink ref="C4" r:id="rId1" xr:uid="{D5EB599C-0AC8-C945-97CD-4616A9DA5B5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2:E15"/>
  <sheetViews>
    <sheetView showGridLines="0" zoomScaleNormal="100" workbookViewId="0">
      <selection activeCell="B33" sqref="B33"/>
    </sheetView>
  </sheetViews>
  <sheetFormatPr defaultColWidth="8.796875" defaultRowHeight="13.9"/>
  <cols>
    <col min="1" max="1" width="2.46484375" style="7" customWidth="1"/>
    <col min="2" max="2" width="30.19921875" style="7" bestFit="1" customWidth="1"/>
    <col min="3" max="5" width="15.59765625" style="7" customWidth="1"/>
    <col min="6" max="16384" width="8.796875" style="7"/>
  </cols>
  <sheetData>
    <row r="2" spans="1:5" ht="15">
      <c r="A2" s="3"/>
      <c r="B2" s="2" t="s">
        <v>173</v>
      </c>
      <c r="C2" s="4"/>
      <c r="D2" s="45"/>
      <c r="E2" s="4"/>
    </row>
    <row r="3" spans="1:5">
      <c r="B3" s="4" t="s">
        <v>135</v>
      </c>
      <c r="C3" s="16" t="s">
        <v>61</v>
      </c>
    </row>
    <row r="4" spans="1:5">
      <c r="B4" s="7" t="s">
        <v>136</v>
      </c>
      <c r="C4" s="16" t="s">
        <v>134</v>
      </c>
    </row>
    <row r="5" spans="1:5">
      <c r="B5" s="7" t="s">
        <v>183</v>
      </c>
      <c r="C5" s="16" t="s">
        <v>182</v>
      </c>
    </row>
    <row r="6" spans="1:5">
      <c r="C6" s="16"/>
    </row>
    <row r="7" spans="1:5">
      <c r="B7" s="7" t="s">
        <v>137</v>
      </c>
      <c r="C7" s="16" t="s">
        <v>184</v>
      </c>
    </row>
    <row r="8" spans="1:5">
      <c r="B8" s="7" t="s">
        <v>139</v>
      </c>
      <c r="C8" s="16" t="s">
        <v>138</v>
      </c>
    </row>
    <row r="9" spans="1:5">
      <c r="C9" s="16"/>
    </row>
    <row r="10" spans="1:5">
      <c r="B10" s="7" t="s">
        <v>179</v>
      </c>
      <c r="C10" s="16" t="s">
        <v>178</v>
      </c>
    </row>
    <row r="11" spans="1:5">
      <c r="B11" s="7" t="s">
        <v>181</v>
      </c>
      <c r="C11" s="16" t="s">
        <v>180</v>
      </c>
    </row>
    <row r="12" spans="1:5">
      <c r="C12" s="16"/>
    </row>
    <row r="13" spans="1:5">
      <c r="B13" s="7" t="s">
        <v>185</v>
      </c>
      <c r="C13" s="16" t="s">
        <v>186</v>
      </c>
    </row>
    <row r="15" spans="1:5">
      <c r="B15" s="7" t="s">
        <v>188</v>
      </c>
      <c r="C15" s="16" t="s">
        <v>187</v>
      </c>
    </row>
  </sheetData>
  <phoneticPr fontId="11" type="noConversion"/>
  <hyperlinks>
    <hyperlink ref="C7" r:id="rId1" xr:uid="{45D5643F-FA1A-3C48-B2D9-4B6082295A37}"/>
    <hyperlink ref="C3" r:id="rId2" xr:uid="{8FF27AF7-25A6-F443-A0E6-DAC1AFC8FB4A}"/>
    <hyperlink ref="C13" r:id="rId3" xr:uid="{E414D4D1-755D-2A43-AB81-B4A0517E9107}"/>
    <hyperlink ref="C4" r:id="rId4" xr:uid="{BD25C893-4B01-48BE-AB6E-FA9F70DB6325}"/>
    <hyperlink ref="C8" r:id="rId5" xr:uid="{01B23463-056A-45A3-AFE5-8FCBFF68216B}"/>
    <hyperlink ref="C10" r:id="rId6" xr:uid="{CA446899-0FC4-4E1D-9FA6-827A1A2C6101}"/>
    <hyperlink ref="C11" r:id="rId7" xr:uid="{2A60B260-D4EE-4AB2-B4D5-2C97E9E3A2EB}"/>
    <hyperlink ref="C5" r:id="rId8" xr:uid="{7EACBB86-54AE-4C08-9D45-813ABBBD2BC8}"/>
    <hyperlink ref="C15" r:id="rId9" xr:uid="{30137619-E054-41EB-9359-F9138F1700F2}"/>
  </hyperlinks>
  <pageMargins left="0.7" right="0.7" top="0.75" bottom="0.75" header="0.3" footer="0.3"/>
  <pageSetup orientation="portrait" verticalDpi="0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Framework</vt:lpstr>
      <vt:lpstr>Forex</vt:lpstr>
      <vt:lpstr>Equity_Indices</vt:lpstr>
      <vt:lpstr>Economies</vt:lpstr>
      <vt:lpstr>Commodities</vt:lpstr>
      <vt:lpstr>Real_Estate</vt:lpstr>
      <vt:lpstr>Market_Yield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2025-04-08T03:59:27Z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