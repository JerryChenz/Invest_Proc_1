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B971561-342C-43C4-AA0D-F29292F865E4}"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C23" i="3"/>
  <c r="C4" i="3"/>
  <c r="C5" i="4"/>
  <c r="D5" i="4"/>
  <c r="C6" i="4"/>
  <c r="D6" i="4"/>
  <c r="C12" i="4"/>
  <c r="C25" i="4"/>
  <c r="D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<sst xmlns="http://schemas.openxmlformats.org/spreadsheetml/2006/main" count="768" uniqueCount="557">
  <si>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</si>
  <si>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</si>
  <si>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</si>
  <si>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</si>
  <si>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</si>
  <si>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</si>
  <si>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</si>
  <si>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</si>
  <si>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</si>
  <si>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</si>
  <si>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</si>
  <si>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</si>
  <si>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</si>
  <si>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</si>
  <si>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</si>
  <si>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</si>
  <si>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</si>
  <si>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</si>
  <si>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</si>
  <si>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</si>
  <si>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</si>
  <si>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</si>
  <si>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</si>
  <si>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</si>
  <si>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</si>
  <si>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</si>
  <si>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</si>
  <si>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</si>
  <si>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</si>
  <si>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</si>
  <si>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</si>
  <si>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</si>
  <si>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</si>
  <si>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</si>
  <si>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</si>
  <si>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</si>
  <si>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</si>
  <si>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</si>
  <si>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</si>
  <si>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</si>
  <si>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</si>
  <si>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</si>
  <si>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</si>
  <si>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</si>
  <si>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</si>
  <si>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</si>
  <si>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</si>
  <si>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</si>
  <si>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</si>
  <si>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</si>
  <si>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</si>
  <si>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</si>
  <si>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</si>
  <si>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</si>
  <si>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</si>
  <si>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</si>
  <si>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</si>
  <si>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</si>
  <si>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</si>
  <si>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</si>
  <si>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</si>
  <si>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</si>
  <si>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</si>
  <si>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</si>
  <si>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</si>
  <si>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</si>
  <si>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</si>
  <si>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</si>
  <si>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</si>
  <si>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</si>
  <si>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</si>
  <si>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</si>
  <si>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</si>
  <si>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</si>
  <si>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</si>
  <si>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</si>
  <si>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</si>
  <si>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</si>
  <si>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</si>
  <si>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</si>
  <si>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</si>
  <si>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</si>
  <si>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</si>
  <si>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</si>
  <si>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</si>
  <si>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</si>
  <si>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</si>
  <si>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</si>
  <si>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</si>
  <si>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</si>
  <si>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</si>
  <si>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</si>
  <si>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</si>
  <si>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</si>
  <si>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</si>
  <si>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</si>
  <si>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</si>
  <si>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</si>
  <si>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</si>
  <si>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</si>
  <si>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</si>
  <si>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</si>
  <si>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</si>
  <si>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</si>
  <si>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</si>
  <si>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</si>
  <si>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</si>
  <si>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</si>
  <si>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</si>
  <si>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</si>
  <si>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</si>
  <si>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</si>
  <si>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</si>
  <si>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</si>
  <si>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</si>
  <si>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</si>
  <si>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</si>
  <si>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</si>
  <si>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</si>
  <si>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</si>
  <si>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</si>
  <si>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</si>
  <si>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</si>
  <si>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</si>
  <si>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</si>
  <si>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</si>
  <si>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</si>
  <si>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</si>
  <si>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</si>
  <si>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</si>
  <si>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</si>
  <si>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</si>
  <si>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</si>
  <si>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</si>
  <si>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</si>
  <si>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</si>
  <si>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</si>
  <si>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</si>
  <si>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</si>
  <si>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</si>
  <si>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</si>
  <si>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</si>
  <si>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</si>
  <si>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</si>
  <si>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</si>
  <si>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</si>
  <si>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</si>
  <si>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</si>
  <si>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</si>
  <si>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</si>
  <si>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</si>
  <si>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</si>
  <si>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</si>
  <si>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</si>
  <si>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</si>
  <si>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</si>
  <si>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</si>
  <si>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</si>
  <si>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</si>
  <si>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</si>
  <si>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</si>
  <si>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</si>
  <si>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</si>
  <si>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</si>
  <si>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</si>
  <si>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</si>
  <si>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</si>
  <si>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</si>
  <si>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</si>
  <si>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</si>
  <si>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</si>
  <si>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</si>
  <si>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</si>
  <si>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</si>
  <si>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</si>
  <si>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</si>
  <si>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</si>
  <si>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</si>
  <si>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</si>
  <si>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</si>
  <si>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</si>
  <si>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</si>
  <si>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</si>
  <si>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</si>
  <si>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</si>
  <si>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</si>
  <si>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</si>
  <si>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</si>
  <si>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</si>
  <si>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</si>
  <si>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</si>
  <si>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</si>
  <si>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</si>
  <si>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</si>
  <si>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</si>
  <si>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</si>
  <si>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</si>
  <si>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</si>
  <si>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</si>
  <si>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</si>
  <si>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</si>
  <si>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</si>
  <si>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</si>
  <si>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</si>
  <si>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</si>
  <si>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</si>
  <si>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</si>
  <si>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</si>
  <si>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</si>
  <si>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</si>
  <si>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</si>
  <si>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</si>
  <si>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</si>
  <si>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</si>
  <si>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</si>
  <si>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</si>
  <si>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</si>
  <si>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</si>
  <si>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</si>
  <si>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</si>
  <si>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</si>
  <si>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</si>
  <si>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</si>
  <si>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</si>
  <si>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</si>
  <si>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</si>
  <si>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</si>
  <si>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</si>
  <si>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</si>
  <si>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</si>
  <si>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</si>
  <si>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</si>
  <si>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</si>
  <si>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</si>
  <si>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</si>
  <si>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</si>
  <si>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</si>
  <si>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</si>
  <si>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</si>
  <si>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</si>
  <si>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</si>
  <si>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</si>
  <si>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</si>
  <si>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</si>
  <si>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</si>
  <si>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</si>
  <si>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</si>
  <si>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</si>
  <si>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</si>
  <si>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</si>
  <si>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</si>
  <si>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</si>
  <si>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</si>
  <si>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</si>
  <si>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</si>
  <si>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</si>
  <si>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</si>
  <si>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</si>
  <si>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</si>
  <si>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</si>
  <si>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</si>
  <si>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</si>
  <si>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</si>
  <si>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</si>
  <si>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</si>
  <si>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</si>
  <si>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</si>
  <si>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</si>
  <si>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</si>
  <si>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</si>
  <si>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</si>
  <si>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</si>
  <si>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</si>
  <si>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</si>
  <si>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</si>
  <si>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</si>
  <si>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</si>
  <si>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</si>
  <si>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</si>
  <si>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</si>
  <si>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</si>
  <si>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</si>
  <si>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</si>
  <si>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</si>
  <si>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</si>
  <si>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</si>
  <si>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</si>
  <si>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</si>
  <si>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</si>
  <si>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</si>
  <si>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</si>
  <si>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</si>
  <si>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</si>
  <si>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</si>
  <si>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</si>
  <si>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</si>
  <si>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</si>
  <si>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</si>
  <si>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</si>
  <si>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</si>
  <si>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</si>
  <si>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</si>
  <si>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</si>
  <si>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</si>
  <si>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</si>
  <si>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</si>
  <si>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</si>
  <si>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</si>
  <si>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</si>
  <si>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</si>
  <si>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</si>
  <si>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</si>
  <si>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</si>
  <si>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</si>
  <si>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</si>
  <si>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</si>
  <si>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</si>
  <si>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</si>
  <si>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</si>
  <si>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</si>
  <si>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</si>
  <si>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</si>
  <si>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</si>
  <si>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</si>
  <si>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</si>
  <si>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</si>
  <si>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</si>
  <si>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</si>
  <si>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</si>
  <si>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</si>
  <si>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</si>
  <si>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</si>
  <si>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</si>
  <si>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</si>
  <si>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</si>
  <si>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</si>
  <si>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</si>
  <si>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</si>
  <si>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</si>
  <si>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</si>
  <si>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</si>
  <si>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</si>
  <si>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</si>
  <si>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</si>
  <si>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</si>
  <si>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</si>
  <si>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</si>
  <si>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</si>
  <si>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</si>
  <si>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</si>
  <si>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</si>
  <si>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</si>
  <si>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</si>
  <si>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</si>
  <si>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</si>
  <si>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</si>
  <si>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</si>
  <si>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</si>
  <si>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</si>
  <si>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</si>
  <si>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</si>
  <si>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</si>
  <si>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</si>
  <si>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</si>
  <si>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</si>
  <si>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</si>
  <si>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</si>
  <si>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</si>
  <si>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</si>
  <si>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</si>
  <si>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</si>
  <si>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</si>
  <si>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</si>
  <si>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</si>
  <si>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</si>
  <si>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</si>
  <si>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</si>
  <si>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</si>
  <si>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</si>
  <si>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</si>
  <si>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</si>
  <si>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</si>
  <si>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</si>
  <si>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</si>
  <si>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</si>
  <si>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</si>
  <si>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</si>
  <si>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</si>
  <si>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</si>
  <si>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</si>
  <si>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</si>
  <si>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</si>
  <si>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</si>
  <si>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</si>
  <si>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</si>
  <si>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</si>
  <si>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</si>
  <si>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</si>
  <si>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</si>
  <si>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</si>
  <si>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</si>
  <si>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</si>
  <si>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</si>
  <si>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</si>
  <si>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</si>
  <si>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</si>
  <si>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</si>
  <si>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</si>
  <si>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</si>
  <si>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</si>
  <si>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</si>
  <si>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</si>
  <si>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</si>
  <si>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</si>
  <si>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</si>
  <si>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</si>
  <si>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</si>
  <si>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</si>
  <si>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</si>
  <si>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</si>
  <si>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</si>
  <si>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</si>
  <si>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</si>
  <si>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</si>
  <si>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</si>
  <si>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</si>
  <si>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</si>
  <si>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</si>
  <si>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</si>
  <si>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</si>
  <si>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</si>
  <si>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</si>
  <si>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</si>
  <si>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</si>
  <si>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</si>
  <si>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</si>
  <si>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</si>
  <si>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</si>
  <si>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</si>
  <si>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</si>
  <si>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</si>
  <si>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</si>
  <si>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</si>
  <si>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</si>
  <si>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</si>
  <si>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</si>
  <si>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</si>
  <si>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</si>
  <si>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</si>
  <si>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</si>
  <si>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</si>
  <si>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</si>
  <si>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</si>
  <si>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</si>
  <si>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</si>
  <si>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</si>
  <si>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</si>
  <si>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</si>
  <si>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</si>
  <si>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</si>
  <si>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</si>
  <si>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</si>
  <si>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</si>
  <si>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</si>
  <si>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</si>
  <si>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</si>
  <si>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</si>
  <si>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</si>
  <si>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</si>
  <si>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</si>
  <si>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</si>
  <si>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</si>
  <si>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</si>
  <si>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</si>
  <si>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</si>
  <si>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</si>
  <si>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</si>
  <si>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</si>
  <si>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</si>
  <si>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</si>
  <si>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</si>
  <si>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</si>
  <si>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</si>
  <si>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</si>
  <si>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</si>
  <si>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</si>
  <si>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</si>
  <si>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</si>
  <si>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</si>
  <si>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</si>
  <si>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</si>
  <si>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</si>
  <si>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</si>
  <si>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</si>
  <si>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</si>
  <si>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</si>
  <si>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</si>
  <si>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</si>
  <si>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</si>
  <si>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</si>
  <si>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</si>
  <si>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</si>
  <si>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</si>
  <si>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</si>
  <si>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</si>
  <si>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</si>
  <si>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</si>
  <si>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</si>
  <si>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</si>
  <si>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</si>
  <si>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</si>
  <si>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</si>
  <si>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</si>
  <si>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</si>
  <si>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</si>
  <si>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</si>
  <si>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</si>
  <si>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</si>
  <si>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</si>
  <si>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</si>
  <si>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</si>
  <si>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</si>
  <si>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</si>
  <si>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</si>
  <si>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</si>
  <si>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</si>
  <si>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</si>
  <si>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</si>
  <si>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</si>
  <si>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</si>
  <si>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</si>
  <si>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</si>
  <si>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</si>
  <si>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</si>
  <si>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</si>
  <si>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</si>
  <si>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</si>
  <si>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</si>
  <si>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</si>
  <si>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</si>
  <si>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</si>
  <si>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</si>
  <si>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</si>
  <si>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</si>
  <si>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</si>
  <si>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</si>
  <si>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</si>
  <si>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</si>
  <si>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</si>
  <si>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</si>
  <si>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</si>
  <si>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</si>
  <si>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</si>
  <si>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CN</t>
  </si>
  <si>
    <t>五粮液</t>
  </si>
  <si>
    <t>000858.SZ</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</si>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</sst>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534</v>
      </c>
      <c r="F3" s="429">
        <v>46066</v>
      </c>
    </row>
    <row r="4" spans="1:9" ht="12.4">
      <c r="B4" s="421" t="s">
        <v>529</v>
      </c>
      <c r="C4" s="420" t="s">
        <v>554</v>
      </c>
      <c r="E4" s="430" t="s">
        <v>533</v>
      </c>
      <c r="F4" s="431" t="s">
        <v>553</v>
      </c>
    </row>
    <row r="5" spans="1:9">
      <c r="B5" s="1" t="s">
        <v>346</v>
      </c>
      <c r="C5" s="46" t="s">
        <v>555</v>
      </c>
      <c r="E5" s="433" t="s">
        <v>535</v>
      </c>
      <c r="F5" s="432" t="s">
        <v>542</v>
      </c>
    </row>
    <row r="6" spans="1:9">
      <c r="B6" s="2" t="s">
        <v>52</v>
      </c>
      <c r="C6" s="45" t="s">
        <v>545</v>
      </c>
      <c r="D6" s="45"/>
      <c r="E6" s="45"/>
    </row>
    <row r="7" spans="1:9">
      <c r="B7" s="1" t="s">
        <v>348</v>
      </c>
      <c r="C7" s="45" t="s">
        <v>556</v>
      </c>
      <c r="D7" s="45"/>
      <c r="E7" s="45"/>
    </row>
    <row r="8" spans="1:9">
      <c r="B8" s="4" t="s">
        <v>347</v>
      </c>
      <c r="C8" s="47">
        <v>101.27</v>
      </c>
      <c r="E8" s="32"/>
    </row>
    <row r="9" spans="1:9">
      <c r="B9" s="4" t="s">
        <v>343</v>
      </c>
      <c r="C9" s="48">
        <v>3881608005</v>
      </c>
    </row>
    <row r="10" spans="1:9">
      <c r="B10" s="4" t="s">
        <v>349</v>
      </c>
      <c r="C10" s="33">
        <f>Thesis!C8*Common_Shares/1000000</f>
        <v>393090.44266634999</v>
      </c>
      <c r="D10" s="1" t="s">
        <v>524</v>
      </c>
      <c r="E10" s="303">
        <f>Scenarios!F34</f>
        <v>0.16655268298421899</v>
      </c>
    </row>
    <row r="11" spans="1:9">
      <c r="D11" s="5"/>
      <c r="E11" s="5"/>
    </row>
    <row r="12" spans="1:9" ht="24.5" customHeight="1">
      <c r="B12" s="462" t="s">
        <v>352</v>
      </c>
      <c r="C12" s="462"/>
      <c r="D12" s="462"/>
      <c r="E12" s="462"/>
      <c r="F12" s="462"/>
    </row>
    <row r="14" spans="1:9">
      <c r="B14" s="42" t="str">
        <f>Scenarios!B39&amp;" Valuation Conclusion"</f>
        <v>1-stage DCF Valuation Conclusion</v>
      </c>
      <c r="C14" s="43"/>
    </row>
    <row r="15" spans="1:9">
      <c r="B15" s="1" t="s">
        <v>317</v>
      </c>
      <c r="C15" s="417" t="s">
        <v>542</v>
      </c>
      <c r="D15" s="4" t="s">
        <v>350</v>
      </c>
      <c r="E15" s="253" t="str">
        <f>IF(E17=C7,C7,E17&amp;"/"&amp;C7)</f>
        <v>CNY</v>
      </c>
    </row>
    <row r="16" spans="1:9">
      <c r="B16" s="1" t="s">
        <v>318</v>
      </c>
      <c r="C16" s="417" t="s">
        <v>542</v>
      </c>
      <c r="D16" s="4" t="s">
        <v>351</v>
      </c>
      <c r="E16" s="416">
        <v>1</v>
      </c>
    </row>
    <row r="17" spans="1:6">
      <c r="B17" s="1" t="s">
        <v>528</v>
      </c>
      <c r="C17" s="456">
        <v>0.01</v>
      </c>
      <c r="D17" s="4" t="s">
        <v>273</v>
      </c>
      <c r="E17" s="224" t="s">
        <v>556</v>
      </c>
    </row>
    <row r="18" spans="1:6">
      <c r="B18" s="1" t="str">
        <f>"Expected Equity Value ("&amp;C7&amp;") :"</f>
        <v>Expected Equity Value (CNY) :</v>
      </c>
      <c r="C18" s="252">
        <f>C125</f>
        <v>150.70538803259237</v>
      </c>
      <c r="D18" s="2" t="s">
        <v>344</v>
      </c>
      <c r="E18" s="418">
        <v>6</v>
      </c>
    </row>
    <row r="19" spans="1:6">
      <c r="B19" s="2" t="s">
        <v>274</v>
      </c>
      <c r="C19" s="31" t="str">
        <f>IF(Terminal_Growth&lt;2%, "Lower than Inflation rate", IF(Terminal_Growth&lt;5%, "Low growth", IF(Terminal_Growth&lt;8%, "Medium growth", "High growth")))</f>
        <v>Lower than Inflation rate</v>
      </c>
      <c r="D19" s="1" t="s">
        <v>345</v>
      </c>
      <c r="E19" s="419">
        <f>EOMONTH(EDATE(BS!C1,E18+2),0)</f>
        <v>46081</v>
      </c>
    </row>
    <row r="20" spans="1:6">
      <c r="D20" s="5"/>
      <c r="E20" s="5"/>
    </row>
    <row r="21" spans="1:6">
      <c r="B21" s="42" t="s">
        <v>401</v>
      </c>
      <c r="C21" s="254" t="str">
        <f>C138&amp;" ("&amp;Market_currency&amp;")"</f>
        <v xml:space="preserve"> (CNY)</v>
      </c>
      <c r="D21" s="31" t="s">
        <v>314</v>
      </c>
      <c r="E21" s="442">
        <v>3</v>
      </c>
    </row>
    <row r="22" spans="1:6">
      <c r="B22" s="1" t="s">
        <v>310</v>
      </c>
      <c r="C22" s="255">
        <f>E140</f>
        <v>73.77572463932286</v>
      </c>
      <c r="D22" s="38" t="s">
        <v>403</v>
      </c>
      <c r="E22" s="79">
        <v>0.3</v>
      </c>
    </row>
    <row r="23" spans="1:6">
      <c r="B23" s="1" t="s">
        <v>311</v>
      </c>
      <c r="C23" s="256">
        <f>E141</f>
        <v>93.221662055898364</v>
      </c>
      <c r="D23" s="38" t="s">
        <v>404</v>
      </c>
      <c r="E23" s="443">
        <v>0.2</v>
      </c>
    </row>
    <row r="24" spans="1:6">
      <c r="B24" s="1" t="s">
        <v>313</v>
      </c>
      <c r="C24" s="256">
        <f>E144</f>
        <v>124.59667696127181</v>
      </c>
      <c r="D24" s="38" t="s">
        <v>405</v>
      </c>
      <c r="E24" s="443">
        <v>8.6999999999999994E-2</v>
      </c>
    </row>
    <row r="25" spans="1:6">
      <c r="B25" s="1" t="s">
        <v>312</v>
      </c>
      <c r="C25" s="256">
        <f>E145</f>
        <v>129.61296430141905</v>
      </c>
      <c r="D25" s="38" t="s">
        <v>406</v>
      </c>
      <c r="E25" s="444">
        <v>7.2499999999999995E-2</v>
      </c>
    </row>
    <row r="26" spans="1:6">
      <c r="D26" s="5"/>
      <c r="E26" s="5"/>
    </row>
    <row r="27" spans="1:6" ht="13.9">
      <c r="A27" s="200" t="s">
        <v>279</v>
      </c>
      <c r="B27" s="34"/>
      <c r="C27" s="34"/>
      <c r="D27" s="34"/>
      <c r="E27" s="34"/>
      <c r="F27" s="34"/>
    </row>
    <row r="29" spans="1:6">
      <c r="B29" s="462" t="s">
        <v>353</v>
      </c>
      <c r="C29" s="462"/>
      <c r="D29" s="462"/>
      <c r="E29" s="462"/>
      <c r="F29" s="462"/>
    </row>
    <row r="30" spans="1:6" ht="24.5" customHeight="1">
      <c r="B30" s="466" t="s">
        <v>265</v>
      </c>
      <c r="C30" s="466"/>
      <c r="D30" s="466"/>
      <c r="E30" s="466"/>
      <c r="F30" s="466"/>
    </row>
    <row r="32" spans="1:6">
      <c r="B32" s="192" t="s">
        <v>194</v>
      </c>
      <c r="C32" s="105">
        <f>scaling_factor</f>
        <v>1</v>
      </c>
    </row>
    <row r="33" spans="2:6" ht="24.5" customHeight="1">
      <c r="B33" s="463" t="s">
        <v>195</v>
      </c>
      <c r="C33" s="463"/>
      <c r="D33" s="463"/>
      <c r="E33" s="463"/>
      <c r="F33" s="463"/>
    </row>
    <row r="34" spans="2:6">
      <c r="B34" s="44" t="s">
        <v>196</v>
      </c>
      <c r="C34" s="285">
        <f>Normalized_FCF!C8</f>
        <v>41439976411.299469</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180108053.03773659</v>
      </c>
      <c r="D44" s="1" t="str">
        <f>Reporting_currency</f>
        <v>CNY</v>
      </c>
      <c r="E44" s="244"/>
      <c r="F44" s="244"/>
    </row>
    <row r="45" spans="2:6">
      <c r="B45" s="44" t="s">
        <v>267</v>
      </c>
      <c r="C45" s="286">
        <f>Normalized_FCF!C45</f>
        <v>-12922244.854800001</v>
      </c>
      <c r="D45" s="1" t="str">
        <f>Reporting_currency</f>
        <v>CNY</v>
      </c>
      <c r="E45" s="244"/>
      <c r="F45" s="244"/>
    </row>
    <row r="46" spans="2:6">
      <c r="B46" s="44" t="s">
        <v>202</v>
      </c>
      <c r="C46" s="285">
        <f>Normalized_FCF!C10</f>
        <v>167185808.18293661</v>
      </c>
      <c r="D46" s="1" t="str">
        <f>Reporting_currency</f>
        <v>CNY</v>
      </c>
    </row>
    <row r="48" spans="2:6">
      <c r="B48" s="1" t="s">
        <v>210</v>
      </c>
    </row>
    <row r="49" spans="2:6">
      <c r="B49" s="44" t="s">
        <v>222</v>
      </c>
      <c r="C49" s="285">
        <f>Normalized_FCF!C13</f>
        <v>-1403071124.5631666</v>
      </c>
      <c r="D49" s="1" t="str">
        <f>Reporting_currency</f>
        <v>CNY</v>
      </c>
    </row>
    <row r="51" spans="2:6">
      <c r="B51" s="463" t="s">
        <v>205</v>
      </c>
      <c r="C51" s="463"/>
      <c r="D51" s="463"/>
      <c r="E51" s="463"/>
      <c r="F51" s="463"/>
    </row>
    <row r="52" spans="2:6">
      <c r="B52" s="44" t="s">
        <v>203</v>
      </c>
      <c r="C52" s="285">
        <f>Normalized_FCF!C12</f>
        <v>-10401790554.870602</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26458526825.471798</v>
      </c>
      <c r="D60" s="1" t="str">
        <f>Reporting_currency</f>
        <v>CNY</v>
      </c>
    </row>
    <row r="61" spans="2:6">
      <c r="B61" s="44" t="s">
        <v>212</v>
      </c>
      <c r="C61" s="285">
        <f>Normalized_FCF!C19</f>
        <v>29802300540.048637</v>
      </c>
      <c r="D61" s="1" t="str">
        <f>Reporting_currency</f>
        <v>CNY</v>
      </c>
    </row>
    <row r="62" spans="2:6">
      <c r="B62" s="204" t="s">
        <v>301</v>
      </c>
      <c r="C62" s="89">
        <f>Normalized_FCF!C124</f>
        <v>7.5815378104586578E-2</v>
      </c>
      <c r="F62" s="257"/>
    </row>
    <row r="63" spans="2:6">
      <c r="B63" s="204" t="s">
        <v>329</v>
      </c>
      <c r="C63" s="89">
        <f>Normalized_FCF!C92</f>
        <v>2.8163325762812285E-2</v>
      </c>
      <c r="E63" s="44" t="s">
        <v>320</v>
      </c>
      <c r="F63" s="258">
        <f>Normalized_FCF!C90</f>
        <v>0.4127471888056104</v>
      </c>
    </row>
    <row r="65" spans="1:6">
      <c r="B65" s="192" t="s">
        <v>322</v>
      </c>
      <c r="C65" s="264" t="s">
        <v>324</v>
      </c>
      <c r="D65" s="264" t="s">
        <v>325</v>
      </c>
    </row>
    <row r="66" spans="1:6">
      <c r="B66" s="44" t="s">
        <v>323</v>
      </c>
      <c r="C66" s="89">
        <f>Normalized_FCF!E119</f>
        <v>0.28867573532952973</v>
      </c>
      <c r="D66" s="89">
        <f>Normalized_FCF!G119</f>
        <v>0.26898198471339402</v>
      </c>
    </row>
    <row r="67" spans="1:6">
      <c r="B67" s="229" t="str">
        <f>Normalized_FCF!B116</f>
        <v>Pre-tax Profit/Sales</v>
      </c>
      <c r="C67" s="263">
        <f>Normalized_FCF!E116</f>
        <v>0.4665778415257858</v>
      </c>
      <c r="D67" s="263">
        <f>Normalized_FCF!G116</f>
        <v>0.43474742930380028</v>
      </c>
    </row>
    <row r="68" spans="1:6">
      <c r="B68" s="229" t="str">
        <f>Normalized_FCF!B117</f>
        <v>Sales/Total Assets</v>
      </c>
      <c r="C68" s="265">
        <f>Normalized_FCF!E117</f>
        <v>0.4610552539366265</v>
      </c>
      <c r="D68" s="265">
        <f>Normalized_FCF!G117</f>
        <v>0.4610552539366265</v>
      </c>
    </row>
    <row r="69" spans="1:6">
      <c r="B69" s="229" t="str">
        <f>Normalized_FCF!B118</f>
        <v>Total Assets/Equity</v>
      </c>
      <c r="C69" s="265">
        <f>Normalized_FCF!E118</f>
        <v>1.3419403008261008</v>
      </c>
      <c r="D69" s="265">
        <f>Normalized_FCF!G118</f>
        <v>1.3419403008261008</v>
      </c>
    </row>
    <row r="71" spans="1:6" ht="13.9">
      <c r="A71" s="200" t="s">
        <v>474</v>
      </c>
      <c r="B71" s="34"/>
      <c r="C71" s="34"/>
      <c r="D71" s="34"/>
      <c r="E71" s="34"/>
      <c r="F71" s="34"/>
    </row>
    <row r="72" spans="1:6">
      <c r="A72" s="191"/>
    </row>
    <row r="73" spans="1:6">
      <c r="A73" s="191"/>
      <c r="B73" s="462" t="s">
        <v>475</v>
      </c>
      <c r="C73" s="462"/>
      <c r="D73" s="462"/>
      <c r="E73" s="462"/>
      <c r="F73" s="462"/>
    </row>
    <row r="74" spans="1:6">
      <c r="A74" s="191"/>
      <c r="B74" s="1" t="s">
        <v>462</v>
      </c>
    </row>
    <row r="75" spans="1:6">
      <c r="A75" s="191"/>
    </row>
    <row r="76" spans="1:6">
      <c r="A76" s="191"/>
      <c r="B76" s="192" t="s">
        <v>194</v>
      </c>
    </row>
    <row r="77" spans="1:6">
      <c r="A77" s="191"/>
      <c r="B77" s="462" t="s">
        <v>270</v>
      </c>
      <c r="C77" s="462"/>
      <c r="D77" s="462"/>
      <c r="E77" s="462"/>
      <c r="F77" s="462"/>
    </row>
    <row r="78" spans="1:6">
      <c r="A78" s="191"/>
      <c r="B78" s="1" t="s">
        <v>214</v>
      </c>
      <c r="C78" s="285">
        <f>DCF!F4</f>
        <v>-215370747.58000001</v>
      </c>
      <c r="D78" s="1" t="str">
        <f>Reporting_currency</f>
        <v>CNY</v>
      </c>
    </row>
    <row r="79" spans="1:6">
      <c r="A79" s="191"/>
      <c r="B79" s="44" t="s">
        <v>233</v>
      </c>
      <c r="C79" s="201">
        <f>C78*scaling_factor*Exchange_Rate/Common_Shares</f>
        <v>-5.5484929777189086E-2</v>
      </c>
      <c r="D79" s="1" t="str">
        <f>Market_currency</f>
        <v>CNY</v>
      </c>
    </row>
    <row r="80" spans="1:6">
      <c r="A80" s="191"/>
      <c r="B80" s="229" t="s">
        <v>307</v>
      </c>
      <c r="C80" s="337">
        <f>IF(BS!G31/BS!G27&gt;300%,"nm",BS!G31/BS!G27)</f>
        <v>1.4942693904035366E-3</v>
      </c>
    </row>
    <row r="81" spans="1:6">
      <c r="A81" s="191"/>
      <c r="B81" s="229" t="s">
        <v>309</v>
      </c>
      <c r="C81" s="338">
        <f>IF(BS!C50&gt;30,"nm",BS!C50)</f>
        <v>5.1971735080735887E-3</v>
      </c>
    </row>
    <row r="82" spans="1:6">
      <c r="A82" s="191"/>
    </row>
    <row r="83" spans="1:6">
      <c r="A83" s="191"/>
      <c r="B83" s="1" t="s">
        <v>463</v>
      </c>
    </row>
    <row r="84" spans="1:6">
      <c r="A84" s="191"/>
      <c r="B84" s="1" t="s">
        <v>223</v>
      </c>
      <c r="C84" s="285">
        <f>DCF!F5</f>
        <v>118301937502.43723</v>
      </c>
      <c r="D84" s="1" t="str">
        <f>Reporting_currency</f>
        <v>CNY</v>
      </c>
    </row>
    <row r="85" spans="1:6">
      <c r="A85" s="191"/>
      <c r="B85" s="229" t="s">
        <v>221</v>
      </c>
      <c r="C85" s="291">
        <f>BS!C66</f>
        <v>148319946342.06</v>
      </c>
      <c r="D85" s="339" t="str">
        <f>Reporting_currency</f>
        <v>CNY</v>
      </c>
    </row>
    <row r="86" spans="1:6">
      <c r="A86" s="191"/>
      <c r="B86" s="44" t="s">
        <v>234</v>
      </c>
      <c r="C86" s="201">
        <f>C84*scaling_factor*Exchange_Rate/Common_Shares</f>
        <v>30.477559132722682</v>
      </c>
      <c r="D86" s="1" t="str">
        <f>Market_currency</f>
        <v>CNY</v>
      </c>
    </row>
    <row r="87" spans="1:6">
      <c r="A87" s="191"/>
    </row>
    <row r="88" spans="1:6">
      <c r="A88" s="191"/>
      <c r="B88" s="1" t="s">
        <v>215</v>
      </c>
    </row>
    <row r="89" spans="1:6">
      <c r="A89" s="191"/>
      <c r="B89" s="1" t="s">
        <v>216</v>
      </c>
      <c r="C89" s="285">
        <f>DCF!F6</f>
        <v>217300602.50500003</v>
      </c>
      <c r="D89" s="1" t="str">
        <f>Reporting_currency</f>
        <v>CNY</v>
      </c>
    </row>
    <row r="90" spans="1:6">
      <c r="A90" s="191"/>
      <c r="B90" s="44" t="s">
        <v>235</v>
      </c>
      <c r="C90" s="201">
        <f>C89*scaling_factor*Exchange_Rate/Common_Shares</f>
        <v>5.5982109019017241E-2</v>
      </c>
      <c r="D90" s="1" t="str">
        <f>Market_currency</f>
        <v>CNY</v>
      </c>
    </row>
    <row r="91" spans="1:6">
      <c r="A91" s="191"/>
    </row>
    <row r="92" spans="1:6">
      <c r="A92" s="191"/>
      <c r="B92" s="44" t="s">
        <v>466</v>
      </c>
      <c r="C92" s="216">
        <f>DCF!F8</f>
        <v>30.478056311964512</v>
      </c>
      <c r="D92" s="44" t="str">
        <f>Market_currency</f>
        <v>CNY</v>
      </c>
    </row>
    <row r="94" spans="1:6" ht="13.9">
      <c r="A94" s="200" t="s">
        <v>467</v>
      </c>
      <c r="B94" s="34"/>
      <c r="C94" s="34"/>
      <c r="D94" s="34"/>
      <c r="E94" s="34"/>
      <c r="F94" s="34"/>
    </row>
    <row r="95" spans="1:6">
      <c r="A95" s="191"/>
    </row>
    <row r="96" spans="1:6" ht="11.75" customHeight="1">
      <c r="B96" s="462" t="s">
        <v>482</v>
      </c>
      <c r="C96" s="462"/>
      <c r="D96" s="462"/>
      <c r="E96" s="462"/>
      <c r="F96" s="462"/>
    </row>
    <row r="97" spans="2:6">
      <c r="B97" s="466" t="s">
        <v>481</v>
      </c>
      <c r="C97" s="466"/>
      <c r="D97" s="466"/>
      <c r="E97" s="466"/>
      <c r="F97" s="466"/>
    </row>
    <row r="98" spans="2:6">
      <c r="B98" s="466" t="s">
        <v>480</v>
      </c>
      <c r="C98" s="466"/>
      <c r="D98" s="466"/>
      <c r="E98" s="466"/>
      <c r="F98" s="466"/>
    </row>
    <row r="100" spans="2:6">
      <c r="B100" s="192" t="s">
        <v>194</v>
      </c>
    </row>
    <row r="101" spans="2:6">
      <c r="B101" s="49" t="s">
        <v>464</v>
      </c>
      <c r="C101" s="211">
        <f>E25+C103</f>
        <v>7.2499999999999995E-2</v>
      </c>
    </row>
    <row r="102" spans="2:6">
      <c r="B102" s="229" t="s">
        <v>316</v>
      </c>
      <c r="C102" s="263">
        <f>E25</f>
        <v>7.2499999999999995E-2</v>
      </c>
    </row>
    <row r="103" spans="2:6">
      <c r="B103" s="229" t="s">
        <v>315</v>
      </c>
      <c r="C103" s="263">
        <f>IF(C15="Y",1%,0)+IF(C16="Y",1%,0)</f>
        <v>0</v>
      </c>
    </row>
    <row r="104" spans="2:6">
      <c r="B104" s="44" t="s">
        <v>213</v>
      </c>
      <c r="C104" s="211">
        <f>Terminal_Growth</f>
        <v>0.01</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484</v>
      </c>
    </row>
    <row r="111" spans="2:6">
      <c r="B111" s="49" t="s">
        <v>465</v>
      </c>
      <c r="C111" s="216">
        <f>BS!D47</f>
        <v>24.855396491318039</v>
      </c>
      <c r="D111" s="1" t="str">
        <f>Market_currency</f>
        <v>CNY</v>
      </c>
    </row>
    <row r="112" spans="2:6">
      <c r="B112" s="44" t="s">
        <v>321</v>
      </c>
      <c r="C112" s="216">
        <f>DCF!C11</f>
        <v>154.55168149689248</v>
      </c>
      <c r="D112" s="1" t="str">
        <f>Market_currency</f>
        <v>CNY</v>
      </c>
    </row>
    <row r="114" spans="2:6" ht="24.5" customHeight="1">
      <c r="B114" s="462" t="s">
        <v>488</v>
      </c>
      <c r="C114" s="462"/>
      <c r="D114" s="462"/>
      <c r="E114" s="462"/>
      <c r="F114" s="462"/>
    </row>
    <row r="116" spans="2:6">
      <c r="B116" s="192" t="s">
        <v>485</v>
      </c>
    </row>
    <row r="117" spans="2:6" ht="12.4">
      <c r="B117" s="342" t="s">
        <v>100</v>
      </c>
      <c r="C117" s="342" t="s">
        <v>109</v>
      </c>
      <c r="D117" s="342" t="s">
        <v>218</v>
      </c>
      <c r="E117" s="342" t="s">
        <v>123</v>
      </c>
      <c r="F117" s="342" t="s">
        <v>541</v>
      </c>
    </row>
    <row r="118" spans="2:6">
      <c r="B118" s="205" t="str">
        <f>DCF!B90&amp;" ("&amp;DCF!D90&amp;"yrs)"</f>
        <v>Snowball Scenario (15yrs)</v>
      </c>
      <c r="C118" s="206">
        <f>DCF!C90</f>
        <v>0.03</v>
      </c>
      <c r="D118" s="207" t="str">
        <f>ROUND(DCF!E90,2)&amp;" "&amp;Market_currency</f>
        <v>173.41 CNY</v>
      </c>
      <c r="E118" s="208">
        <f>DCF!F90</f>
        <v>0.15</v>
      </c>
      <c r="F118" s="208">
        <f>RATE(Holding_Period,Scenarios!C$58,-DCF!E90,C$18)</f>
        <v>-2.847183453609721E-2</v>
      </c>
    </row>
    <row r="119" spans="2:6">
      <c r="B119" s="205" t="str">
        <f>DCF!B91&amp;" ("&amp;DCF!D91&amp;"yrs)"</f>
        <v>Optimistic (15yrs)</v>
      </c>
      <c r="C119" s="198">
        <f>DCF!C91</f>
        <v>0.02</v>
      </c>
      <c r="D119" s="207" t="str">
        <f>ROUND(DCF!E91,2)&amp;" "&amp;Market_currency</f>
        <v>159.77 CNY</v>
      </c>
      <c r="E119" s="199">
        <f>DCF!F91</f>
        <v>0.15999999999999995</v>
      </c>
      <c r="F119" s="208">
        <f>RATE(Holding_Period,Scenarios!C$58,-DCF!E91,C$18)</f>
        <v>-1.0718128589896074E-3</v>
      </c>
    </row>
    <row r="120" spans="2:6">
      <c r="B120" s="205" t="str">
        <f>DCF!B92&amp;" ("&amp;DCF!D92&amp;"yrs)"</f>
        <v>Base (15yrs)</v>
      </c>
      <c r="C120" s="198">
        <f>DCF!C92</f>
        <v>0.01</v>
      </c>
      <c r="D120" s="207" t="str">
        <f>ROUND(DCF!E92,2)&amp;" "&amp;Market_currency</f>
        <v>147.6 CNY</v>
      </c>
      <c r="E120" s="199">
        <f>DCF!F92</f>
        <v>0.44</v>
      </c>
      <c r="F120" s="208">
        <f>RATE(Holding_Period,Scenarios!C$58,-DCF!E92,C$18)</f>
        <v>2.6160226066460235E-2</v>
      </c>
    </row>
    <row r="121" spans="2:6">
      <c r="B121" s="205" t="str">
        <f>DCF!B93&amp;" ("&amp;DCF!D93&amp;"yrs)"</f>
        <v>Pessimistic (15yrs)</v>
      </c>
      <c r="C121" s="198">
        <f>DCF!C93</f>
        <v>0</v>
      </c>
      <c r="D121" s="207" t="str">
        <f>ROUND(DCF!E93,2)&amp;" "&amp;Market_currency</f>
        <v>136.75 CNY</v>
      </c>
      <c r="E121" s="199">
        <f>DCF!F93</f>
        <v>0.19999999999999998</v>
      </c>
      <c r="F121" s="208">
        <f>RATE(Holding_Period,Scenarios!C$58,-DCF!E93,C$18)</f>
        <v>5.3128977754099187E-2</v>
      </c>
    </row>
    <row r="122" spans="2:6">
      <c r="B122" s="205" t="str">
        <f>DCF!B94&amp;" ("&amp;DCF!D94&amp;"yrs)"</f>
        <v>Devil's advocate (15yrs)</v>
      </c>
      <c r="C122" s="198">
        <f>DCF!C94</f>
        <v>0</v>
      </c>
      <c r="D122" s="207" t="str">
        <f>ROUND(DCF!E94,2)&amp;" "&amp;Market_currency</f>
        <v>136.75 CNY</v>
      </c>
      <c r="E122" s="199">
        <f>DCF!F94</f>
        <v>0.05</v>
      </c>
      <c r="F122" s="208">
        <f>RATE(Holding_Period,Scenarios!C$58,-DCF!E94,C$18)</f>
        <v>5.3128977754099187E-2</v>
      </c>
    </row>
    <row r="124" spans="2:6">
      <c r="B124" s="463" t="s">
        <v>354</v>
      </c>
      <c r="C124" s="463"/>
      <c r="D124" s="463"/>
      <c r="E124" s="463"/>
      <c r="F124" s="463"/>
    </row>
    <row r="125" spans="2:6">
      <c r="B125" s="193" t="s">
        <v>217</v>
      </c>
      <c r="C125" s="197">
        <f>Scenarios!C36</f>
        <v>150.70538803259237</v>
      </c>
      <c r="D125" s="194" t="str">
        <f>Market_currency</f>
        <v>CNY</v>
      </c>
    </row>
    <row r="127" spans="2:6" ht="24.5" customHeight="1">
      <c r="B127" s="465" t="s">
        <v>355</v>
      </c>
      <c r="C127" s="465"/>
      <c r="D127" s="465"/>
      <c r="E127" s="465"/>
      <c r="F127" s="465"/>
    </row>
    <row r="129" spans="1:6" ht="13.9">
      <c r="A129" s="200" t="s">
        <v>471</v>
      </c>
      <c r="B129" s="34"/>
      <c r="C129" s="34"/>
      <c r="D129" s="34"/>
      <c r="E129" s="34"/>
      <c r="F129" s="34"/>
    </row>
    <row r="131" spans="1:6">
      <c r="B131" s="467" t="s">
        <v>284</v>
      </c>
      <c r="C131" s="467"/>
      <c r="D131" s="467"/>
      <c r="E131" s="467"/>
      <c r="F131" s="467"/>
    </row>
    <row r="132" spans="1:6">
      <c r="B132" s="462" t="s">
        <v>356</v>
      </c>
      <c r="C132" s="462"/>
      <c r="D132" s="462"/>
      <c r="E132" s="462"/>
      <c r="F132" s="462"/>
    </row>
    <row r="134" spans="1:6">
      <c r="B134" s="192" t="s">
        <v>194</v>
      </c>
    </row>
    <row r="135" spans="1:6">
      <c r="B135" s="1" t="s">
        <v>220</v>
      </c>
      <c r="C135" s="202">
        <f>E21</f>
        <v>3</v>
      </c>
    </row>
    <row r="136" spans="1:6">
      <c r="B136" s="194" t="s">
        <v>219</v>
      </c>
      <c r="C136" s="195">
        <f>Scenarios!C58</f>
        <v>2.8521000000000001</v>
      </c>
      <c r="D136" s="194" t="str">
        <f>Market_currency</f>
        <v>CNY</v>
      </c>
    </row>
    <row r="138" spans="1:6">
      <c r="B138" s="192" t="s">
        <v>491</v>
      </c>
      <c r="C138" s="214"/>
      <c r="D138" s="215"/>
    </row>
    <row r="139" spans="1:6" ht="12.4">
      <c r="B139" s="340" t="s">
        <v>459</v>
      </c>
      <c r="C139" s="340" t="str">
        <f>"PV("&amp;Holding_Period&amp;" yrs of Dividends)"</f>
        <v>PV(3 yrs of Dividends)</v>
      </c>
      <c r="D139" s="340" t="s">
        <v>468</v>
      </c>
      <c r="E139" s="341" t="str">
        <f>"Buy below ("&amp;Market_currency&amp;")"</f>
        <v>Buy below (CNY)</v>
      </c>
      <c r="F139" s="341" t="s">
        <v>469</v>
      </c>
    </row>
    <row r="140" spans="1:6">
      <c r="B140" s="336" t="s">
        <v>310</v>
      </c>
      <c r="C140" s="333">
        <f>Scenarios!C62</f>
        <v>5.179735548475195</v>
      </c>
      <c r="D140" s="333">
        <f>Scenarios!D62</f>
        <v>68.595989090847667</v>
      </c>
      <c r="E140" s="334">
        <f>Scenarios!E62</f>
        <v>73.77572463932286</v>
      </c>
      <c r="F140" s="335">
        <f>E22</f>
        <v>0.3</v>
      </c>
    </row>
    <row r="141" spans="1:6">
      <c r="B141" s="336" t="s">
        <v>311</v>
      </c>
      <c r="C141" s="333">
        <f>Scenarios!C63</f>
        <v>6.0078958333333334</v>
      </c>
      <c r="D141" s="333">
        <f>Scenarios!D63</f>
        <v>87.213766222565027</v>
      </c>
      <c r="E141" s="334">
        <f>Scenarios!E63</f>
        <v>93.221662055898364</v>
      </c>
      <c r="F141" s="335">
        <f>Scenarios!F63</f>
        <v>0.2</v>
      </c>
    </row>
    <row r="142" spans="1:6">
      <c r="B142" s="194"/>
      <c r="C142" s="194"/>
      <c r="D142" s="194"/>
      <c r="E142" s="194"/>
      <c r="F142" s="194"/>
    </row>
    <row r="143" spans="1:6" ht="12.4">
      <c r="B143" s="340" t="s">
        <v>460</v>
      </c>
      <c r="C143" s="340" t="str">
        <f>"PV("&amp;Holding_Period&amp;" yrs of Dividends)"</f>
        <v>PV(3 yrs of Dividends)</v>
      </c>
      <c r="D143" s="340" t="s">
        <v>468</v>
      </c>
      <c r="E143" s="341" t="str">
        <f>"Sell above ("&amp;Market_currency&amp;")"</f>
        <v>Sell above (CNY)</v>
      </c>
      <c r="F143" s="341" t="s">
        <v>469</v>
      </c>
    </row>
    <row r="144" spans="1:6">
      <c r="B144" s="336" t="s">
        <v>313</v>
      </c>
      <c r="C144" s="333">
        <f>Scenarios!C66</f>
        <v>7.2582809357033913</v>
      </c>
      <c r="D144" s="333">
        <f>Scenarios!D66</f>
        <v>117.33839602556841</v>
      </c>
      <c r="E144" s="334">
        <f>Scenarios!E66</f>
        <v>124.59667696127181</v>
      </c>
      <c r="F144" s="335">
        <f>E24</f>
        <v>8.6999999999999994E-2</v>
      </c>
    </row>
    <row r="145" spans="1:6">
      <c r="B145" s="336" t="s">
        <v>312</v>
      </c>
      <c r="C145" s="333">
        <f>Scenarios!C67</f>
        <v>7.4507553854201589</v>
      </c>
      <c r="D145" s="333">
        <f>Scenarios!D67</f>
        <v>122.16220891599889</v>
      </c>
      <c r="E145" s="334">
        <f>Scenarios!E67</f>
        <v>129.61296430141905</v>
      </c>
      <c r="F145" s="335">
        <f>Scenarios!F67</f>
        <v>7.2499999999999995E-2</v>
      </c>
    </row>
    <row r="147" spans="1:6" ht="13.9">
      <c r="A147" s="200" t="s">
        <v>472</v>
      </c>
      <c r="B147" s="34"/>
      <c r="C147" s="34"/>
      <c r="D147" s="34"/>
      <c r="E147" s="34"/>
      <c r="F147" s="34"/>
    </row>
    <row r="149" spans="1:6">
      <c r="B149" s="461" t="s">
        <v>357</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435</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89175178322.699997</v>
      </c>
      <c r="D4" s="287">
        <v>83272067317.190002</v>
      </c>
      <c r="E4" s="287"/>
      <c r="F4" s="287"/>
      <c r="G4" s="287"/>
      <c r="H4" s="287"/>
      <c r="I4" s="287"/>
      <c r="J4" s="287"/>
      <c r="K4" s="287"/>
      <c r="L4" s="287"/>
      <c r="M4" s="287"/>
    </row>
    <row r="5" spans="2:13">
      <c r="B5" s="38" t="s">
        <v>39</v>
      </c>
      <c r="C5" s="287">
        <f>20461423083.74+13040913970.28</f>
        <v>33502337054.020004</v>
      </c>
      <c r="D5" s="287">
        <f>20157143952.21+12531695628.42</f>
        <v>32688839580.629997</v>
      </c>
      <c r="E5" s="287"/>
      <c r="F5" s="287"/>
      <c r="G5" s="287"/>
      <c r="H5" s="287"/>
      <c r="I5" s="287"/>
      <c r="J5" s="287"/>
      <c r="K5" s="287"/>
      <c r="L5" s="287"/>
      <c r="M5" s="287"/>
    </row>
    <row r="6" spans="2:13">
      <c r="B6" s="38" t="s">
        <v>50</v>
      </c>
      <c r="C6" s="287">
        <f>3555238122.5+C7</f>
        <v>14247614239.91</v>
      </c>
      <c r="D6" s="287">
        <f>3319445339.77+D7</f>
        <v>11115743757.9</v>
      </c>
      <c r="E6" s="287"/>
      <c r="F6" s="287"/>
      <c r="G6" s="287"/>
      <c r="H6" s="287"/>
      <c r="I6" s="287"/>
      <c r="J6" s="287"/>
      <c r="K6" s="287"/>
      <c r="L6" s="287"/>
      <c r="M6" s="287"/>
    </row>
    <row r="7" spans="2:13">
      <c r="B7" s="66" t="s">
        <v>57</v>
      </c>
      <c r="C7" s="288">
        <v>10692376117.41</v>
      </c>
      <c r="D7" s="288">
        <v>7796298418.1300001</v>
      </c>
      <c r="E7" s="288"/>
      <c r="F7" s="288"/>
      <c r="G7" s="288"/>
      <c r="H7" s="288"/>
      <c r="I7" s="288"/>
      <c r="J7" s="288"/>
      <c r="K7" s="288"/>
      <c r="L7" s="288"/>
      <c r="M7" s="288"/>
    </row>
    <row r="8" spans="2:13">
      <c r="B8" s="38" t="s">
        <v>45</v>
      </c>
      <c r="C8" s="287">
        <v>405053632.26999998</v>
      </c>
      <c r="D8" s="287">
        <v>321845165.27999997</v>
      </c>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f>2833530840.46</f>
        <v>2833530840.46</v>
      </c>
      <c r="D12" s="287">
        <v>2473170676.27</v>
      </c>
      <c r="E12" s="287"/>
      <c r="F12" s="287"/>
      <c r="G12" s="287"/>
      <c r="H12" s="287"/>
      <c r="I12" s="287"/>
      <c r="J12" s="287"/>
      <c r="K12" s="287"/>
      <c r="L12" s="287"/>
      <c r="M12" s="287"/>
    </row>
    <row r="13" spans="2:13">
      <c r="B13" s="38" t="s">
        <v>63</v>
      </c>
      <c r="C13" s="287">
        <v>2875863410.1100001</v>
      </c>
      <c r="D13" s="287">
        <v>2487953643.3299999</v>
      </c>
      <c r="E13" s="287"/>
      <c r="F13" s="287"/>
      <c r="G13" s="287"/>
      <c r="H13" s="287"/>
      <c r="I13" s="287"/>
      <c r="J13" s="287"/>
      <c r="K13" s="287"/>
      <c r="L13" s="287"/>
      <c r="M13" s="287"/>
    </row>
    <row r="14" spans="2:13">
      <c r="B14" s="38" t="s">
        <v>46</v>
      </c>
      <c r="C14" s="287">
        <v>10969864757.690001</v>
      </c>
      <c r="D14" s="287">
        <v>10391904361.49</v>
      </c>
      <c r="E14" s="287"/>
      <c r="F14" s="287"/>
      <c r="G14" s="287"/>
      <c r="H14" s="287"/>
      <c r="I14" s="287"/>
      <c r="J14" s="287"/>
      <c r="K14" s="287"/>
      <c r="L14" s="287"/>
      <c r="M14" s="287"/>
    </row>
    <row r="15" spans="2:13">
      <c r="B15" s="41" t="s">
        <v>38</v>
      </c>
      <c r="C15" s="289">
        <v>33193460484.32</v>
      </c>
      <c r="D15" s="289">
        <v>31520777582.150002</v>
      </c>
      <c r="E15" s="289"/>
      <c r="F15" s="289"/>
      <c r="G15" s="289"/>
      <c r="H15" s="289"/>
      <c r="I15" s="289"/>
      <c r="J15" s="289"/>
      <c r="K15" s="289"/>
      <c r="L15" s="289"/>
      <c r="M15" s="289"/>
    </row>
    <row r="16" spans="2:13">
      <c r="B16" s="27" t="s">
        <v>40</v>
      </c>
      <c r="C16" s="287">
        <v>1340287950.3399999</v>
      </c>
      <c r="D16" s="287">
        <v>1310192312.8499999</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33939755192.779999</v>
      </c>
      <c r="D22" s="287">
        <v>41742479908.230003</v>
      </c>
      <c r="E22" s="287"/>
      <c r="F22" s="287"/>
      <c r="G22" s="287"/>
      <c r="H22" s="287"/>
      <c r="I22" s="287"/>
      <c r="J22" s="287"/>
      <c r="K22" s="287"/>
      <c r="L22" s="287"/>
      <c r="M22" s="287"/>
    </row>
    <row r="23" spans="2:13">
      <c r="B23" s="26" t="s">
        <v>287</v>
      </c>
      <c r="C23" s="287">
        <v>-2642221739.0500002</v>
      </c>
      <c r="D23" s="287">
        <v>-2931832324.46</v>
      </c>
      <c r="E23" s="287"/>
      <c r="F23" s="287"/>
      <c r="G23" s="287"/>
      <c r="H23" s="287"/>
      <c r="I23" s="287"/>
      <c r="J23" s="287"/>
      <c r="K23" s="287"/>
      <c r="L23" s="287"/>
      <c r="M23" s="287"/>
    </row>
    <row r="24" spans="2:13">
      <c r="B24" s="26" t="s">
        <v>286</v>
      </c>
      <c r="C24" s="287">
        <v>-19622477387.77</v>
      </c>
      <c r="D24" s="287">
        <v>-16300234578.09</v>
      </c>
      <c r="E24" s="287"/>
      <c r="F24" s="287"/>
      <c r="G24" s="287"/>
      <c r="H24" s="287"/>
      <c r="I24" s="287"/>
      <c r="J24" s="287"/>
      <c r="K24" s="287"/>
      <c r="L24" s="287"/>
      <c r="M24" s="287"/>
    </row>
    <row r="25" spans="2:13">
      <c r="B25" s="23" t="str">
        <f>"Dividend per share ("&amp;Market_currency&amp;")"</f>
        <v>Dividend per share (CNY)</v>
      </c>
      <c r="C25" s="37">
        <f>31.69/10</f>
        <v>3.169</v>
      </c>
      <c r="D25" s="37">
        <f>46.7/10</f>
        <v>4.67</v>
      </c>
      <c r="E25" s="37"/>
      <c r="F25" s="37"/>
      <c r="G25" s="37"/>
      <c r="H25" s="37"/>
      <c r="I25" s="37"/>
      <c r="J25" s="37"/>
      <c r="K25" s="37"/>
      <c r="L25" s="37"/>
      <c r="M25" s="37"/>
    </row>
    <row r="27" spans="2:13">
      <c r="B27" s="16" t="s">
        <v>25</v>
      </c>
      <c r="C27" s="94" t="s">
        <v>543</v>
      </c>
    </row>
    <row r="28" spans="2:13">
      <c r="B28" s="25" t="s">
        <v>21</v>
      </c>
      <c r="C28" s="270">
        <f>BS!C4</f>
        <v>4016935090.9299998</v>
      </c>
      <c r="D28" s="287">
        <f>42647461.48+14086450565.79+39624933.74</f>
        <v>14168722961.01</v>
      </c>
      <c r="E28" s="287"/>
      <c r="F28" s="287"/>
      <c r="G28" s="287"/>
      <c r="H28" s="287"/>
      <c r="I28" s="287"/>
      <c r="J28" s="287"/>
      <c r="K28" s="287"/>
      <c r="L28" s="287"/>
      <c r="M28" s="287"/>
    </row>
    <row r="29" spans="2:13">
      <c r="B29" s="25" t="s">
        <v>29</v>
      </c>
      <c r="C29" s="270">
        <f>BS!C6</f>
        <v>17745770666.169998</v>
      </c>
      <c r="D29" s="287">
        <v>17387841712.869999</v>
      </c>
      <c r="E29" s="287"/>
      <c r="F29" s="287"/>
      <c r="G29" s="287"/>
      <c r="H29" s="287"/>
      <c r="I29" s="287"/>
      <c r="J29" s="287"/>
      <c r="K29" s="287"/>
      <c r="L29" s="287"/>
      <c r="M29" s="287"/>
    </row>
    <row r="30" spans="2:13">
      <c r="B30" s="28" t="s">
        <v>37</v>
      </c>
      <c r="C30" s="271">
        <f>BS!C33+BS!C42</f>
        <v>49284244654.68</v>
      </c>
      <c r="D30" s="289">
        <v>33083608497.580002</v>
      </c>
      <c r="E30" s="289"/>
      <c r="F30" s="289"/>
      <c r="G30" s="289"/>
      <c r="H30" s="289"/>
      <c r="I30" s="289"/>
      <c r="J30" s="289"/>
      <c r="K30" s="289"/>
      <c r="L30" s="289"/>
      <c r="M30" s="289"/>
    </row>
    <row r="31" spans="2:13">
      <c r="B31" s="28" t="s">
        <v>27</v>
      </c>
      <c r="C31" s="271">
        <f>BS!G27</f>
        <v>144131137908.02997</v>
      </c>
      <c r="D31" s="289">
        <v>132349373187.17</v>
      </c>
      <c r="E31" s="289"/>
      <c r="F31" s="289"/>
      <c r="G31" s="289"/>
      <c r="H31" s="289"/>
      <c r="I31" s="289"/>
      <c r="J31" s="289"/>
      <c r="K31" s="289"/>
      <c r="L31" s="289"/>
      <c r="M31" s="289"/>
    </row>
    <row r="32" spans="2:13">
      <c r="B32" s="25" t="s">
        <v>142</v>
      </c>
      <c r="C32" s="270">
        <f>BS!G28</f>
        <v>3654729261.3800001</v>
      </c>
      <c r="D32" s="287">
        <v>2791132146.6599998</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89175178322.699997</v>
      </c>
      <c r="D36" s="270">
        <f t="shared" si="1"/>
        <v>83272067317.190002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-33502337054.020004</v>
      </c>
      <c r="D37" s="270">
        <f t="shared" si="2"/>
        <v>-32688839580.629997</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55672841268.679993</v>
      </c>
      <c r="D38" s="267">
        <f t="shared" ref="D38" si="3">IF(D36="","",D36+D37)</f>
        <v>50583227736.560005</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-14247614239.91</v>
      </c>
      <c r="D39" s="270">
        <f t="shared" si="13"/>
        <v>-11115743757.9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-10692376117.41</v>
      </c>
      <c r="D40" s="282">
        <f t="shared" si="14"/>
        <v>-7796298418.1300001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-3555238122.5</v>
      </c>
      <c r="D41" s="282">
        <f t="shared" ref="D41:M41" si="15">IF(D$4="","",D39-D40)</f>
        <v>-3319445339.7699995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-405053632.26999998</v>
      </c>
      <c r="D42" s="270">
        <f t="shared" si="16"/>
        <v>-321845165.27999997</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41020173396.499992</v>
      </c>
      <c r="D43" s="271">
        <f t="shared" ref="D43:M43" si="17">IF(D$4="","",D38+D39+D42)</f>
        <v>39145638813.380005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3100819275.8600082</v>
      </c>
      <c r="D44" s="290">
        <f t="shared" si="18"/>
        <v>2752260163.1999969</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42332569.650000095</v>
      </c>
      <c r="D45" s="285">
        <f t="shared" si="19"/>
        <v>14782967.059999943</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-10969864757.690001</v>
      </c>
      <c r="D46" s="270">
        <f t="shared" ref="D46:M46" si="20">IF(D$4="","",-D14)</f>
        <v>-10391904361.49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33193460484.32</v>
      </c>
      <c r="D47" s="271">
        <f t="shared" si="21"/>
        <v>31520777582.150002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-1340287950.3399999</v>
      </c>
      <c r="D48" s="270">
        <f t="shared" si="22"/>
        <v>-1310192312.8499999</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-2833530840.46</v>
      </c>
      <c r="D51" s="270">
        <f t="shared" si="23"/>
        <v>-2473170676.27</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2875863410.1100001</v>
      </c>
      <c r="D52" s="270">
        <f t="shared" ref="D52:M52" si="24">IF(D$4="","",D13)</f>
        <v>2487953643.3299999</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3100819275.8600082</v>
      </c>
      <c r="D58" s="285">
        <f t="shared" ref="D58:M58" si="28">IF(D$4="","",D44-D55-D56-D57)</f>
        <v>2752260163.1999969</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11675056065.959999</v>
      </c>
      <c r="D64" s="270">
        <f t="shared" ref="D64:M64" si="32">IF(D$4="","",D22+D23+D24)</f>
        <v>22510413005.680004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3.169</v>
      </c>
      <c r="D65" s="70">
        <f t="shared" ref="D65:M65" si="33">IF(D$4="","",D25)</f>
        <v>4.67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7.0889449435962426E-2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0.10061859948176788</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4.7886166631652127E-2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0.12664468182206612</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5.3066041845275747E-2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193415382562.70996</v>
      </c>
      <c r="D76" s="285">
        <f t="shared" ref="D76:M76" si="39">IF(D$4="","",D79+D80)</f>
        <v>165432981684.75</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4016935090.9299998</v>
      </c>
      <c r="D77" s="282">
        <f t="shared" si="40"/>
        <v>14168722961.01</v>
      </c>
      <c r="E77" s="282" t="str">
        <f t="shared" si="40"/>
        <v/>
      </c>
      <c r="F77" s="282" t="str">
        <f t="shared" si="40"/>
        <v/>
      </c>
      <c r="G77" s="282" t="str">
        <f t="shared" si="40"/>
        <v/>
      </c>
      <c r="H77" s="282" t="str">
        <f t="shared" si="40"/>
        <v/>
      </c>
      <c r="I77" s="291"/>
      <c r="J77" s="291"/>
      <c r="K77" s="291"/>
      <c r="L77" s="291"/>
      <c r="M77" s="291"/>
    </row>
    <row r="78" spans="2:13">
      <c r="B78" s="90" t="s">
        <v>82</v>
      </c>
      <c r="C78" s="260">
        <f t="shared" si="40"/>
        <v>17745770666.169998</v>
      </c>
      <c r="D78" s="282">
        <f t="shared" si="40"/>
        <v>17387841712.869999</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49284244654.68</v>
      </c>
      <c r="D79" s="270">
        <f t="shared" si="41"/>
        <v>33083608497.580002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144131137908.02997</v>
      </c>
      <c r="D80" s="270">
        <f t="shared" si="42"/>
        <v>132349373187.17</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3368850.3+64351041.9+3888593774.07+60621424.66</f>
        <v>4016935090.9299998</v>
      </c>
      <c r="D4" s="231">
        <v>0.6</v>
      </c>
      <c r="E4" s="24"/>
      <c r="F4" s="4" t="s">
        <v>73</v>
      </c>
      <c r="G4" s="18">
        <v>148319946342.06</v>
      </c>
      <c r="H4" s="231">
        <v>0.9</v>
      </c>
    </row>
    <row r="5" spans="2:8" ht="15" customHeight="1">
      <c r="B5" s="1" t="s">
        <v>30</v>
      </c>
      <c r="C5" s="18">
        <v>0</v>
      </c>
      <c r="D5" s="231">
        <v>0.6</v>
      </c>
      <c r="E5" s="24"/>
      <c r="F5" s="1" t="s">
        <v>26</v>
      </c>
      <c r="G5" s="18">
        <v>0</v>
      </c>
      <c r="H5" s="231">
        <v>0.7</v>
      </c>
    </row>
    <row r="6" spans="2:8" ht="15" customHeight="1">
      <c r="B6" s="4" t="s">
        <v>8</v>
      </c>
      <c r="C6" s="18">
        <v>17745770666.169998</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230243788.88</v>
      </c>
      <c r="D9" s="231">
        <v>0.1</v>
      </c>
      <c r="E9" s="24"/>
      <c r="F9" s="4" t="s">
        <v>149</v>
      </c>
      <c r="G9" s="18">
        <v>0</v>
      </c>
      <c r="H9" s="231">
        <v>0.6</v>
      </c>
    </row>
    <row r="10" spans="2:8" ht="15" customHeight="1">
      <c r="B10" s="4" t="s">
        <v>9</v>
      </c>
      <c r="C10" s="18">
        <v>0</v>
      </c>
      <c r="D10" s="231">
        <v>0.9</v>
      </c>
      <c r="F10" s="1" t="s">
        <v>399</v>
      </c>
      <c r="G10" s="18">
        <v>0</v>
      </c>
      <c r="H10" s="231">
        <v>0.6</v>
      </c>
    </row>
    <row r="11" spans="2:8" ht="15" customHeight="1">
      <c r="B11" s="4" t="s">
        <v>10</v>
      </c>
      <c r="C11" s="18">
        <v>191407289.30000001</v>
      </c>
      <c r="D11" s="231">
        <v>0.05</v>
      </c>
      <c r="H11" s="232"/>
    </row>
    <row r="12" spans="2:8" ht="15" customHeight="1">
      <c r="B12" s="77" t="s">
        <v>68</v>
      </c>
      <c r="C12" s="78">
        <f>SUM(C4:C11)</f>
        <v>22184356835.279999</v>
      </c>
      <c r="D12" s="19">
        <f>C4*D4+C5*D5+C9*D9+C6*D6+C8*D8+C7*D7+C10*D10+C11*D11</f>
        <v>11315641130.995998</v>
      </c>
      <c r="F12" s="77" t="s">
        <v>66</v>
      </c>
      <c r="G12" s="78">
        <f>SUM(G4:G10)</f>
        <v>148319946342.06</v>
      </c>
      <c r="H12" s="19">
        <f>G4*H4+G5*H5+G6*H6+G7*H7+G8*H8+G9*H9+G10*H10</f>
        <v>133487951707.854</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326</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7745514521.75+5932852216.53+581324329.56</f>
        <v>14259691067.839998</v>
      </c>
      <c r="D19" s="231">
        <v>0.1</v>
      </c>
      <c r="F19" s="4" t="s">
        <v>151</v>
      </c>
      <c r="G19" s="18">
        <v>2173006025.0500002</v>
      </c>
      <c r="H19" s="231">
        <v>0.1</v>
      </c>
    </row>
    <row r="20" spans="2:8" ht="15" customHeight="1">
      <c r="B20" s="4" t="s">
        <v>552</v>
      </c>
      <c r="C20" s="18">
        <v>0</v>
      </c>
      <c r="D20" s="231">
        <v>0.05</v>
      </c>
      <c r="F20" s="4" t="s">
        <v>148</v>
      </c>
      <c r="G20" s="18">
        <v>0</v>
      </c>
      <c r="H20" s="231">
        <v>0.2</v>
      </c>
    </row>
    <row r="21" spans="2:8" ht="15" customHeight="1">
      <c r="B21" s="4" t="s">
        <v>16</v>
      </c>
      <c r="C21" s="18">
        <v>2720969313.54</v>
      </c>
      <c r="D21" s="231">
        <v>0.05</v>
      </c>
      <c r="F21" s="1" t="s">
        <v>149</v>
      </c>
      <c r="G21" s="18">
        <v>0</v>
      </c>
      <c r="H21" s="231">
        <v>0.1</v>
      </c>
    </row>
    <row r="22" spans="2:8" ht="15" customHeight="1">
      <c r="B22" s="4" t="s">
        <v>17</v>
      </c>
      <c r="C22" s="18">
        <v>3149965433.77</v>
      </c>
      <c r="D22" s="231">
        <v>0.9</v>
      </c>
      <c r="H22" s="232"/>
    </row>
    <row r="23" spans="2:8" ht="15" customHeight="1">
      <c r="B23" s="4" t="s">
        <v>18</v>
      </c>
      <c r="C23" s="18">
        <f>1200000+1621619.53+136367275.12+468258650.52</f>
        <v>607447545.16999996</v>
      </c>
      <c r="D23" s="231">
        <v>0</v>
      </c>
      <c r="H23" s="232"/>
    </row>
    <row r="24" spans="2:8" ht="15" customHeight="1">
      <c r="B24" s="77" t="s">
        <v>69</v>
      </c>
      <c r="C24" s="78">
        <f>SUM(C15:C23)</f>
        <v>20738073360.319996</v>
      </c>
      <c r="D24" s="19">
        <f>C15*D15+C16*D16+C18*D18+C17*D17+C19*D19+C20*D20+C21*D21+C22*D22+C23*D23</f>
        <v>4396986462.8540001</v>
      </c>
      <c r="F24" s="77" t="s">
        <v>67</v>
      </c>
      <c r="G24" s="78">
        <f>SUM(G15:G21)</f>
        <v>2173006025.0500002</v>
      </c>
      <c r="H24" s="19">
        <f>G15*H15+G16*H16+G17*H17+G18*H18+G19*H19+G20*H20+G21*H21</f>
        <v>217300602.50500003</v>
      </c>
    </row>
    <row r="26" spans="2:8" ht="15" customHeight="1">
      <c r="B26" s="16" t="s">
        <v>168</v>
      </c>
      <c r="C26" s="164" t="s">
        <v>112</v>
      </c>
      <c r="F26" s="166" t="s">
        <v>164</v>
      </c>
      <c r="G26" s="167" t="s">
        <v>112</v>
      </c>
      <c r="H26" s="168" t="s">
        <v>32</v>
      </c>
    </row>
    <row r="27" spans="2:8" ht="15" customHeight="1">
      <c r="B27" s="4" t="s">
        <v>3</v>
      </c>
      <c r="C27" s="18">
        <v>0</v>
      </c>
      <c r="F27" s="169" t="s">
        <v>27</v>
      </c>
      <c r="G27" s="82">
        <f>G32-G30</f>
        <v>144131137908.02997</v>
      </c>
      <c r="H27" s="170">
        <f>H32-G30</f>
        <v>100133635249.52902</v>
      </c>
    </row>
    <row r="28" spans="2:8" ht="15" customHeight="1">
      <c r="B28" s="4" t="s">
        <v>4</v>
      </c>
      <c r="C28" s="18">
        <v>0</v>
      </c>
      <c r="F28" s="171" t="s">
        <v>208</v>
      </c>
      <c r="G28" s="287">
        <v>3654729261.3800001</v>
      </c>
      <c r="H28" s="170"/>
    </row>
    <row r="29" spans="2:8" ht="15" customHeight="1">
      <c r="B29" s="4" t="s">
        <v>5</v>
      </c>
      <c r="C29" s="18">
        <v>0</v>
      </c>
      <c r="F29" s="172" t="s">
        <v>71</v>
      </c>
      <c r="G29" s="14">
        <f>G27-G28</f>
        <v>140476408646.64996</v>
      </c>
      <c r="H29" s="170">
        <f>H27-G28</f>
        <v>96478905988.149017</v>
      </c>
    </row>
    <row r="30" spans="2:8" ht="15" customHeight="1">
      <c r="B30" s="2" t="s">
        <v>6</v>
      </c>
      <c r="C30" s="18">
        <v>0</v>
      </c>
      <c r="F30" s="169" t="s">
        <v>20</v>
      </c>
      <c r="G30" s="82">
        <f>C33+C42</f>
        <v>49284244654.68</v>
      </c>
      <c r="H30" s="170"/>
    </row>
    <row r="31" spans="2:8" ht="15" customHeight="1">
      <c r="B31" s="77" t="s">
        <v>171</v>
      </c>
      <c r="C31" s="78">
        <f>SUM(C27:C30)</f>
        <v>0</v>
      </c>
      <c r="F31" s="172" t="s">
        <v>72</v>
      </c>
      <c r="G31" s="173">
        <f>C31+C40</f>
        <v>215370747.58000001</v>
      </c>
      <c r="H31" s="170"/>
    </row>
    <row r="32" spans="2:8" ht="15" customHeight="1">
      <c r="B32" s="4" t="s">
        <v>7</v>
      </c>
      <c r="C32" s="20">
        <f>C33-C31</f>
        <v>48677259367.199997</v>
      </c>
      <c r="F32" s="174" t="s">
        <v>70</v>
      </c>
      <c r="G32" s="175">
        <f>G35+G40</f>
        <v>193415382562.70996</v>
      </c>
      <c r="H32" s="170">
        <f>H35+H40</f>
        <v>149417879904.20901</v>
      </c>
    </row>
    <row r="33" spans="2:8" ht="15" customHeight="1">
      <c r="B33" s="80" t="s">
        <v>2</v>
      </c>
      <c r="C33" s="81">
        <v>48677259367.199997</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42922430195.599991</v>
      </c>
      <c r="H35" s="182">
        <f>D12+D24</f>
        <v>15712627593.849998</v>
      </c>
    </row>
    <row r="36" spans="2:8" ht="15" customHeight="1">
      <c r="B36" s="4" t="s">
        <v>11</v>
      </c>
      <c r="C36" s="18">
        <v>0</v>
      </c>
      <c r="F36" s="172" t="s">
        <v>165</v>
      </c>
      <c r="G36" s="173">
        <f>C4+C15</f>
        <v>4016935090.9299998</v>
      </c>
      <c r="H36" s="177"/>
    </row>
    <row r="37" spans="2:8" ht="15" customHeight="1">
      <c r="B37" s="4" t="s">
        <v>12</v>
      </c>
      <c r="C37" s="18">
        <v>215370747.58000001</v>
      </c>
      <c r="F37" s="172" t="s">
        <v>166</v>
      </c>
      <c r="G37" s="173">
        <f>C6</f>
        <v>17745770666.169998</v>
      </c>
      <c r="H37" s="177"/>
    </row>
    <row r="38" spans="2:8" ht="15" customHeight="1">
      <c r="B38" s="4" t="s">
        <v>13</v>
      </c>
      <c r="C38" s="18">
        <v>0</v>
      </c>
      <c r="F38" s="172" t="s">
        <v>167</v>
      </c>
      <c r="G38" s="173">
        <f>C7+C17</f>
        <v>0</v>
      </c>
      <c r="H38" s="177"/>
    </row>
    <row r="39" spans="2:8" ht="15" customHeight="1">
      <c r="B39" s="2" t="s">
        <v>14</v>
      </c>
      <c r="C39" s="18">
        <v>0</v>
      </c>
      <c r="F39" s="172" t="s">
        <v>75</v>
      </c>
      <c r="G39" s="173">
        <f>C7+C17+C19+C20</f>
        <v>14259691067.839998</v>
      </c>
      <c r="H39" s="170">
        <f>C7*D7+C17*D17+C19*D19+C20*D20</f>
        <v>1425969106.7839999</v>
      </c>
    </row>
    <row r="40" spans="2:8" ht="15" customHeight="1">
      <c r="B40" s="77" t="s">
        <v>172</v>
      </c>
      <c r="C40" s="78">
        <f>SUM(C36:C39)</f>
        <v>215370747.58000001</v>
      </c>
      <c r="F40" s="181" t="s">
        <v>114</v>
      </c>
      <c r="G40" s="175">
        <f>G12+G24</f>
        <v>150492952367.10999</v>
      </c>
      <c r="H40" s="182">
        <f>H12+H24</f>
        <v>133705252310.35901</v>
      </c>
    </row>
    <row r="41" spans="2:8" ht="15" customHeight="1">
      <c r="B41" s="4" t="s">
        <v>15</v>
      </c>
      <c r="C41" s="20">
        <f>C42-C40</f>
        <v>391614539.89999998</v>
      </c>
      <c r="F41" s="172" t="s">
        <v>159</v>
      </c>
      <c r="G41" s="173">
        <f>C70</f>
        <v>148319946342.06</v>
      </c>
      <c r="H41" s="182">
        <f>H40-H42</f>
        <v>133487951707.854</v>
      </c>
    </row>
    <row r="42" spans="2:8" ht="15" customHeight="1">
      <c r="B42" s="80" t="s">
        <v>19</v>
      </c>
      <c r="C42" s="81">
        <v>606985287.48000002</v>
      </c>
      <c r="F42" s="183" t="s">
        <v>160</v>
      </c>
      <c r="G42" s="184">
        <f>C82</f>
        <v>2173006025.0500002</v>
      </c>
      <c r="H42" s="185">
        <f>D82</f>
        <v>217300602.50500003</v>
      </c>
    </row>
    <row r="44" spans="2:8" ht="15" customHeight="1">
      <c r="B44" s="76" t="s">
        <v>91</v>
      </c>
      <c r="C44" s="35"/>
      <c r="D44" s="35"/>
      <c r="E44" s="35"/>
      <c r="F44" s="35"/>
      <c r="G44" s="35"/>
      <c r="H44" s="35"/>
    </row>
    <row r="45" spans="2:8" ht="15" customHeight="1">
      <c r="B45" s="16" t="s">
        <v>227</v>
      </c>
      <c r="C45" s="209" t="s">
        <v>112</v>
      </c>
      <c r="D45" s="164" t="s">
        <v>308</v>
      </c>
      <c r="F45" s="226" t="s">
        <v>55</v>
      </c>
    </row>
    <row r="46" spans="2:8" ht="15" customHeight="1">
      <c r="B46" s="1" t="s">
        <v>229</v>
      </c>
      <c r="C46" s="73">
        <f>G29</f>
        <v>140476408646.64996</v>
      </c>
      <c r="D46" s="73">
        <f>H29</f>
        <v>96478905988.149017</v>
      </c>
      <c r="F46" s="223"/>
    </row>
    <row r="47" spans="2:8" ht="15" customHeight="1">
      <c r="B47" s="1" t="str">
        <f>"Equity per share ("&amp;Market_currency&amp;")"</f>
        <v>Equity per share (CNY)</v>
      </c>
      <c r="C47" s="134">
        <f>C46*H1/Common_Shares*Exchange_Rate</f>
        <v>36.190261475578843</v>
      </c>
      <c r="D47" s="134">
        <f>D46*H1/Common_Shares*Exchange_Rate</f>
        <v>24.855396491318039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5.1971735080735887E-3</v>
      </c>
      <c r="D50" s="92">
        <f>G31/Normalized_FCF!G8</f>
        <v>5.2503617061349702E-3</v>
      </c>
      <c r="F50" s="223"/>
    </row>
    <row r="51" spans="2:8" ht="15" customHeight="1">
      <c r="B51" s="1" t="s">
        <v>145</v>
      </c>
      <c r="C51" s="163"/>
      <c r="D51" s="89">
        <f>G29/G32</f>
        <v>0.72629387996636774</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0.96546202585583119</v>
      </c>
      <c r="D54" s="89">
        <f>Normalized_FCF!G8/G35</f>
        <v>0.9556815215161093</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7.3725734111229027E-2</v>
      </c>
      <c r="F59" s="223"/>
    </row>
    <row r="60" spans="2:8" ht="15" customHeight="1">
      <c r="F60" s="223"/>
    </row>
    <row r="61" spans="2:8" ht="15" customHeight="1">
      <c r="B61" s="143" t="s">
        <v>230</v>
      </c>
      <c r="C61" s="210" t="s">
        <v>113</v>
      </c>
      <c r="D61" s="179" t="s">
        <v>90</v>
      </c>
      <c r="F61" s="223"/>
    </row>
    <row r="62" spans="2:8" ht="15" customHeight="1">
      <c r="B62" s="1" t="s">
        <v>209</v>
      </c>
      <c r="C62" s="89">
        <f>IF(G28&lt;=0,0,G28/G29)</f>
        <v>2.6016676370001695E-2</v>
      </c>
      <c r="D62" s="89">
        <f>G28/G29</f>
        <v>2.6016676370001695E-2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148319946342.06</v>
      </c>
      <c r="D66" s="73">
        <f>C66-D75</f>
        <v>118301937502.43723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148319946342.06</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-5037985057.8370838</v>
      </c>
      <c r="D73" s="285">
        <f>(Normalized_FCF!C26+Normalized_FCF!C35-Normalized_FCF!C89)/12</f>
        <v>-5003001473.2704611</v>
      </c>
      <c r="F73" s="1" t="s">
        <v>277</v>
      </c>
    </row>
    <row r="74" spans="2:6" ht="15" customHeight="1">
      <c r="B74" s="227" t="s">
        <v>258</v>
      </c>
      <c r="C74" s="228">
        <f>-$C$66/C73</f>
        <v>29.440330735267597</v>
      </c>
      <c r="D74" s="228">
        <f>-$C$66/D73</f>
        <v>29.646192817349558</v>
      </c>
      <c r="F74" s="223" t="s">
        <v>256</v>
      </c>
    </row>
    <row r="75" spans="2:6" ht="15" customHeight="1">
      <c r="B75" s="77" t="s">
        <v>257</v>
      </c>
      <c r="C75" s="261"/>
      <c r="D75" s="262">
        <f>MAX(-D73*D76,G5)</f>
        <v>30018008839.622765</v>
      </c>
      <c r="F75" s="223" t="s">
        <v>278</v>
      </c>
    </row>
    <row r="76" spans="2:6" ht="15" customHeight="1">
      <c r="B76" s="229" t="s">
        <v>259</v>
      </c>
      <c r="C76" s="230"/>
      <c r="D76" s="248">
        <f>IF(D74&lt;=3,1,IF(D74&gt;18,6,2))</f>
        <v>6</v>
      </c>
      <c r="F76" s="223" t="s">
        <v>260</v>
      </c>
    </row>
    <row r="77" spans="2:6" ht="15" customHeight="1">
      <c r="F77" s="223"/>
    </row>
    <row r="78" spans="2:6" ht="15" customHeight="1">
      <c r="B78" s="16" t="s">
        <v>158</v>
      </c>
      <c r="C78" s="209" t="s">
        <v>112</v>
      </c>
      <c r="D78" s="165" t="s">
        <v>32</v>
      </c>
      <c r="F78" s="223"/>
    </row>
    <row r="79" spans="2:6" ht="15" customHeight="1">
      <c r="B79" s="102" t="s">
        <v>147</v>
      </c>
      <c r="C79" s="19">
        <f>G7+G17</f>
        <v>0</v>
      </c>
      <c r="D79" s="73">
        <f>G7*H7+G17*H17</f>
        <v>0</v>
      </c>
      <c r="F79" s="223"/>
    </row>
    <row r="80" spans="2:6" ht="15" customHeight="1">
      <c r="B80" s="102" t="s">
        <v>151</v>
      </c>
      <c r="C80" s="19">
        <f>G19</f>
        <v>2173006025.0500002</v>
      </c>
      <c r="D80" s="73">
        <f>G19*H19</f>
        <v>217300602.50500003</v>
      </c>
      <c r="F80" s="223"/>
    </row>
    <row r="81" spans="2:8" ht="15" customHeight="1">
      <c r="B81" s="102" t="s">
        <v>149</v>
      </c>
      <c r="C81" s="19">
        <f>G9+G21</f>
        <v>0</v>
      </c>
      <c r="D81" s="73">
        <f>G9*H9+G21*H21</f>
        <v>0</v>
      </c>
      <c r="F81" s="223"/>
    </row>
    <row r="82" spans="2:8" ht="15" customHeight="1">
      <c r="B82" s="77" t="s">
        <v>158</v>
      </c>
      <c r="C82" s="78">
        <f>SUM(C79:C81)</f>
        <v>2173006025.0500002</v>
      </c>
      <c r="D82" s="78">
        <f>SUM(D79:D81)</f>
        <v>217300602.50500003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-215370747.58000001</v>
      </c>
      <c r="D86" s="201">
        <f>C86*scaling_factor/Common_Shares</f>
        <v>-5.5484929777189086E-2</v>
      </c>
      <c r="E86" s="214" t="str">
        <f>Market_currency</f>
        <v>CNY</v>
      </c>
    </row>
    <row r="87" spans="2:8" ht="15" customHeight="1">
      <c r="B87" s="212" t="s">
        <v>239</v>
      </c>
      <c r="C87" s="73">
        <f>DCF!F5*Exchange_Rate</f>
        <v>118301937502.43723</v>
      </c>
      <c r="D87" s="201">
        <f>C87*scaling_factor/Common_Shares</f>
        <v>30.477559132722682</v>
      </c>
      <c r="E87" s="214" t="str">
        <f>Market_currency</f>
        <v>CNY</v>
      </c>
    </row>
    <row r="88" spans="2:8" ht="15" customHeight="1">
      <c r="B88" s="213" t="s">
        <v>158</v>
      </c>
      <c r="C88" s="73">
        <f>DCF!F6*Exchange_Rate</f>
        <v>217300602.50500003</v>
      </c>
      <c r="D88" s="201">
        <f>C88*scaling_factor/Common_Shares</f>
        <v>5.5982109019017241E-2</v>
      </c>
      <c r="E88" s="214" t="str">
        <f>Market_currency</f>
        <v>CNY</v>
      </c>
    </row>
    <row r="89" spans="2:8" ht="15" customHeight="1">
      <c r="B89" s="77" t="s">
        <v>243</v>
      </c>
      <c r="C89" s="162">
        <f>SUM(C86:C88)</f>
        <v>118303867357.36223</v>
      </c>
      <c r="D89" s="216">
        <f>SUM(D86:D88)</f>
        <v>30.478056311964508</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390</v>
      </c>
      <c r="C3" s="104">
        <f>scaling_factor</f>
        <v>1</v>
      </c>
      <c r="D3" s="9"/>
      <c r="E3" s="237"/>
      <c r="F3" s="9"/>
      <c r="G3" s="16" t="s">
        <v>407</v>
      </c>
      <c r="H3" s="104">
        <f>scaling_factor</f>
        <v>1</v>
      </c>
    </row>
    <row r="4" spans="1:17" ht="15.75" customHeight="1">
      <c r="A4" s="10"/>
      <c r="B4" s="25" t="s">
        <v>0</v>
      </c>
      <c r="C4" s="458">
        <f>C100*C117</f>
        <v>89175178322.699997</v>
      </c>
      <c r="D4" s="54"/>
      <c r="E4" s="235"/>
      <c r="F4" s="54"/>
      <c r="G4" s="270">
        <f>Data!C36</f>
        <v>89175178322.699997</v>
      </c>
      <c r="H4" s="270">
        <f>Data!D36</f>
        <v>83272067317.190002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-44179963788.900528</v>
      </c>
      <c r="E5" s="237"/>
      <c r="G5" s="270">
        <f t="shared" ref="G5:Q5" si="1">G26</f>
        <v>-44599766803.700005</v>
      </c>
      <c r="H5" s="270">
        <f t="shared" si="1"/>
        <v>-40806983164.039993</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44995214533.799469</v>
      </c>
      <c r="E6" s="237"/>
      <c r="G6" s="267">
        <f>IF(G4="","",G4+G5)</f>
        <v>44575411518.999992</v>
      </c>
      <c r="H6" s="267">
        <f t="shared" ref="H6:Q6" si="2">IF(H4="","",H4+H5)</f>
        <v>42465084153.150009</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-3555238122.5</v>
      </c>
      <c r="E7" s="237"/>
      <c r="G7" s="266">
        <f t="shared" ref="G7:Q7" si="3">G35</f>
        <v>-3555238122.5</v>
      </c>
      <c r="H7" s="266">
        <f t="shared" si="3"/>
        <v>-3319445339.7699995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41439976411.299469</v>
      </c>
      <c r="D8" s="56"/>
      <c r="E8" s="241"/>
      <c r="F8" s="56"/>
      <c r="G8" s="267">
        <f>IF(G$4="","",G6+G7)</f>
        <v>41020173396.499992</v>
      </c>
      <c r="H8" s="267">
        <f t="shared" ref="H8:Q8" si="4">IF(H$4="","",H6+H7)</f>
        <v>39145638813.380013</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412</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167185808.18293661</v>
      </c>
      <c r="E10" s="237"/>
      <c r="G10" s="266">
        <f>G48</f>
        <v>-2251493862.9981956</v>
      </c>
      <c r="H10" s="266">
        <f t="shared" ref="H10:Q10" si="6">H48</f>
        <v>-1969641540.1023369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41607162219.482407</v>
      </c>
      <c r="E11" s="237"/>
      <c r="G11" s="267">
        <f t="shared" ref="G11:Q11" si="7">IF(G$4="","",SUM(G8:G10))</f>
        <v>38768679533.501801</v>
      </c>
      <c r="H11" s="267">
        <f t="shared" si="7"/>
        <v>37175997273.277679</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-10401790554.870602</v>
      </c>
      <c r="E12" s="237"/>
      <c r="G12" s="266">
        <f>Data!C46</f>
        <v>-10969864757.690001</v>
      </c>
      <c r="H12" s="266">
        <f>Data!D46</f>
        <v>-10391904361.49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-1403071124.5631666</v>
      </c>
      <c r="D13" s="57"/>
      <c r="E13" s="242"/>
      <c r="F13" s="57"/>
      <c r="G13" s="270">
        <f>Data!C48</f>
        <v>-1340287950.3399999</v>
      </c>
      <c r="H13" s="270">
        <f>Data!D48</f>
        <v>-1310192312.8499999</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29802300540.048637</v>
      </c>
      <c r="D14" s="58"/>
      <c r="E14" s="243"/>
      <c r="F14" s="58"/>
      <c r="G14" s="267">
        <f t="shared" ref="G14:Q14" si="8">IF(G$4="","",SUM(G11:G13))</f>
        <v>26458526825.471798</v>
      </c>
      <c r="H14" s="267">
        <f t="shared" si="8"/>
        <v>25473900598.937683</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395</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29802300540.048637</v>
      </c>
      <c r="D19" s="26"/>
      <c r="E19" s="234"/>
      <c r="F19" s="26"/>
      <c r="G19" s="271">
        <f t="shared" ref="G19:Q19" si="9">IF(G$4="","",G14+G17)</f>
        <v>26458526825.471798</v>
      </c>
      <c r="H19" s="271">
        <f t="shared" si="9"/>
        <v>25473900598.937683</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-34254235237.61068</v>
      </c>
      <c r="D23" s="55"/>
      <c r="E23" s="236"/>
      <c r="F23" s="55"/>
      <c r="G23" s="270">
        <f>Data!C37</f>
        <v>-33502337054.020004</v>
      </c>
      <c r="H23" s="270">
        <f>Data!D37</f>
        <v>-32688839580.629997</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-9520674919.0198498</v>
      </c>
      <c r="D24" s="26"/>
      <c r="E24" s="234"/>
      <c r="F24" s="26"/>
      <c r="G24" s="270">
        <f>Data!C40</f>
        <v>-10692376117.41</v>
      </c>
      <c r="H24" s="270">
        <f>Data!D40</f>
        <v>-7796298418.1300001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-405053632.26999998</v>
      </c>
      <c r="D25" s="55"/>
      <c r="E25" s="235"/>
      <c r="F25" s="55"/>
      <c r="G25" s="270">
        <f>Data!C42</f>
        <v>-405053632.26999998</v>
      </c>
      <c r="H25" s="270">
        <f>Data!D42</f>
        <v>-321845165.27999997</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-44179963788.900528</v>
      </c>
      <c r="D26" s="9"/>
      <c r="E26" s="240"/>
      <c r="F26" s="9"/>
      <c r="G26" s="267">
        <f>IF(G$4="","",SUM(G23:G25))</f>
        <v>-44599766803.700005</v>
      </c>
      <c r="H26" s="267">
        <f t="shared" ref="H26:Q26" si="10">IF(H$4="","",SUM(H23:H25))</f>
        <v>-40806983164.039993</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0.38412297998052997</v>
      </c>
      <c r="D29" s="25"/>
      <c r="E29" s="235"/>
      <c r="F29" s="25"/>
      <c r="G29" s="13">
        <f t="shared" ref="G29:Q29" si="11">IF(G$4="","",ABS(G23/G$4))</f>
        <v>0.37569128185855072</v>
      </c>
      <c r="H29" s="13">
        <f t="shared" si="11"/>
        <v>0.39255467810250921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0.10676373289176046</v>
      </c>
      <c r="D30" s="25"/>
      <c r="E30" s="235"/>
      <c r="F30" s="25"/>
      <c r="G30" s="13">
        <f t="shared" ref="G30:Q30" si="12">IF(G$4="","",ABS(G24/G$4))</f>
        <v>0.11990305282841471</v>
      </c>
      <c r="H30" s="13">
        <f t="shared" si="12"/>
        <v>9.3624412955106207E-2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4.5422239673491242E-3</v>
      </c>
      <c r="D31" s="26"/>
      <c r="E31" s="234"/>
      <c r="F31" s="26"/>
      <c r="G31" s="13">
        <f t="shared" ref="G31:Q31" si="13">IF(G$4="","",ABS(G25/G$4))</f>
        <v>4.5422239673491242E-3</v>
      </c>
      <c r="H31" s="13">
        <f t="shared" si="13"/>
        <v>3.864983489050006E-3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0.49542893683963951</v>
      </c>
      <c r="E32" s="237"/>
      <c r="G32" s="29">
        <f t="shared" ref="G32:Q32" si="14">IF(G$4="","",ABS(G26/G$4))</f>
        <v>0.5001365586543145</v>
      </c>
      <c r="H32" s="29">
        <f t="shared" si="14"/>
        <v>0.49004407454666538</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393</v>
      </c>
      <c r="C35" s="276">
        <f>G35</f>
        <v>-3555238122.5</v>
      </c>
      <c r="D35" s="55"/>
      <c r="E35" s="236"/>
      <c r="F35" s="55"/>
      <c r="G35" s="267">
        <f>IF(G4="","",Data!C41)</f>
        <v>-3555238122.5</v>
      </c>
      <c r="H35" s="267">
        <f>IF(H4="","",Data!D41)</f>
        <v>-3319445339.7699995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393</v>
      </c>
      <c r="C38" s="68">
        <f>ABS(C35/$C$4)</f>
        <v>3.9868023696398885E-2</v>
      </c>
      <c r="E38" s="237"/>
      <c r="G38" s="29">
        <f t="shared" ref="G38:Q38" si="15">IF(G$4="","",ABS(G35/G$4))</f>
        <v>3.9868023696398885E-2</v>
      </c>
      <c r="H38" s="29">
        <f t="shared" si="15"/>
        <v>3.9862650786919522E-2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400</v>
      </c>
      <c r="F41" s="26"/>
      <c r="G41" s="6">
        <f t="shared" ref="G41:Q41" si="16">IF(G$4="","",-G12/SUM(G8+G9,G10))</f>
        <v>0.28295688400246999</v>
      </c>
      <c r="H41" s="6">
        <f t="shared" si="16"/>
        <v>0.2795326319049351</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-12922244.854800001</v>
      </c>
      <c r="E45" s="237"/>
      <c r="G45" s="266">
        <f>Data!C51</f>
        <v>-2833530840.46</v>
      </c>
      <c r="H45" s="266">
        <f>Data!D51</f>
        <v>-2473170676.27</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180108053.03773659</v>
      </c>
      <c r="E46" s="237"/>
      <c r="G46" s="274">
        <f t="shared" ref="G46:Q46" si="17">IFERROR(IF(G$4="","",($C$46/$C$47)*G47),0)</f>
        <v>582036977.46180463</v>
      </c>
      <c r="H46" s="274">
        <f t="shared" si="17"/>
        <v>503529136.16766298</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889919678.05236006</v>
      </c>
      <c r="D47" s="246"/>
      <c r="E47" s="247"/>
      <c r="F47" s="246"/>
      <c r="G47" s="278">
        <f>Data!C52</f>
        <v>2875863410.1100001</v>
      </c>
      <c r="H47" s="278">
        <f>Data!D52</f>
        <v>2487953643.3299999</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167185808.18293661</v>
      </c>
      <c r="E48" s="237"/>
      <c r="G48" s="267">
        <f>IF(G$4="","",(G45+G46))</f>
        <v>-2251493862.9981956</v>
      </c>
      <c r="H48" s="267">
        <f t="shared" ref="H48:Q48" si="18">IF(H$4="","",(H45+H46))</f>
        <v>-1969641540.1023369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1.9389593112969419E-2</v>
      </c>
      <c r="H51" s="151"/>
      <c r="I51" s="151"/>
      <c r="J51" s="151"/>
      <c r="K51" s="151"/>
      <c r="L51" s="151"/>
      <c r="M51" s="151"/>
      <c r="N51" s="151"/>
      <c r="O51" s="151"/>
      <c r="P51" s="151"/>
      <c r="Q51" s="151"/>
    </row>
    <row r="52" spans="1:17" ht="15.75" customHeight="1">
      <c r="A52" s="10"/>
      <c r="B52" s="8" t="s">
        <v>83</v>
      </c>
      <c r="C52" s="79">
        <v>0.06</v>
      </c>
      <c r="E52" s="234"/>
      <c r="G52" s="22">
        <f>IFERROR(ABS(Normalized_FCF!G45/BS!$G$31),0)</f>
        <v>13.156526001320016</v>
      </c>
      <c r="H52" s="151"/>
      <c r="I52" s="151"/>
      <c r="J52" s="151"/>
      <c r="K52" s="151"/>
      <c r="L52" s="151"/>
      <c r="M52" s="151"/>
      <c r="N52" s="151"/>
      <c r="O52" s="151"/>
      <c r="P52" s="151"/>
      <c r="Q52" s="151"/>
    </row>
    <row r="53" spans="1:17" ht="15.75" customHeight="1">
      <c r="A53" s="10"/>
      <c r="B53" s="25" t="s">
        <v>86</v>
      </c>
      <c r="C53" s="40">
        <f>-C8/C45</f>
        <v>3206.871319723251</v>
      </c>
      <c r="E53" s="237"/>
      <c r="G53" s="40">
        <f t="shared" ref="G53:Q53" si="19">IF(G4="","",-G8/G45)</f>
        <v>14.476699110090049</v>
      </c>
      <c r="H53" s="40">
        <f t="shared" si="19"/>
        <v>15.828118612670474</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3100819275.8600082</v>
      </c>
      <c r="H60" s="266">
        <f>Data!D58</f>
        <v>2752260163.1999969</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3100819275.8600082</v>
      </c>
      <c r="H61" s="267">
        <f t="shared" si="21"/>
        <v>2752260163.1999969</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0.49542893683963951</v>
      </c>
      <c r="D71" s="26"/>
      <c r="E71" s="234"/>
      <c r="F71" s="26"/>
      <c r="G71" s="6">
        <f t="shared" ref="G71:Q71" si="23">IF(G$4="","",ABS(G5/G$4))</f>
        <v>0.5001365586543145</v>
      </c>
      <c r="H71" s="6">
        <f t="shared" si="23"/>
        <v>0.49004407454666538</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0.50457106316036049</v>
      </c>
      <c r="D72" s="26"/>
      <c r="E72" s="234"/>
      <c r="F72" s="26"/>
      <c r="G72" s="62">
        <f t="shared" ref="G72:Q72" si="24">IF(G$4="","",ABS(G6/G$4))</f>
        <v>0.49986344134568544</v>
      </c>
      <c r="H72" s="62">
        <f t="shared" si="24"/>
        <v>0.50995592545333468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3.9868023696398885E-2</v>
      </c>
      <c r="D73" s="26"/>
      <c r="E73" s="234"/>
      <c r="F73" s="26"/>
      <c r="G73" s="6">
        <f t="shared" ref="G73:Q73" si="25">IF(G$4="","",ABS(G7/G$4))</f>
        <v>3.9868023696398885E-2</v>
      </c>
      <c r="H73" s="6">
        <f t="shared" si="25"/>
        <v>3.9862650786919522E-2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0.46470303946396158</v>
      </c>
      <c r="D74" s="26"/>
      <c r="E74" s="234"/>
      <c r="F74" s="26"/>
      <c r="G74" s="62">
        <f t="shared" ref="G74:Q74" si="26">IF(G$4="","",ABS(G8/G$4))</f>
        <v>0.45999541764928659</v>
      </c>
      <c r="H74" s="62">
        <f t="shared" si="26"/>
        <v>0.47009327466641515</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1.8748020618241769E-3</v>
      </c>
      <c r="D76" s="26"/>
      <c r="E76" s="234"/>
      <c r="F76" s="26"/>
      <c r="G76" s="6">
        <f t="shared" ref="G76:Q76" si="28">IF(G$4="","",ABS(G10/G$4))</f>
        <v>2.524798834548634E-2</v>
      </c>
      <c r="H76" s="6">
        <f t="shared" si="28"/>
        <v>2.3653088046917507E-2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0.4665778415257858</v>
      </c>
      <c r="D77" s="26"/>
      <c r="E77" s="234"/>
      <c r="F77" s="26"/>
      <c r="G77" s="62">
        <f t="shared" ref="G77:Q77" si="29">IF(G$4="","",G11/G$4)</f>
        <v>0.43474742930380028</v>
      </c>
      <c r="H77" s="62">
        <f t="shared" si="29"/>
        <v>0.44644018661949769</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0.11664446038144645</v>
      </c>
      <c r="D78" s="26"/>
      <c r="E78" s="234"/>
      <c r="F78" s="26"/>
      <c r="G78" s="6">
        <f t="shared" ref="G78:Q78" si="30">IF(G$4="","",ABS(G12/G$4))</f>
        <v>0.12301477792388743</v>
      </c>
      <c r="H78" s="6">
        <f t="shared" si="30"/>
        <v>0.12479460035387857</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1.5733875176406658E-2</v>
      </c>
      <c r="D79" s="26"/>
      <c r="E79" s="234"/>
      <c r="F79" s="26"/>
      <c r="G79" s="6">
        <f t="shared" ref="G79:Q79" si="31">IF(G$4="","",-G13/G$4)</f>
        <v>1.5029832017715437E-2</v>
      </c>
      <c r="H79" s="6">
        <f t="shared" si="31"/>
        <v>1.5733875176406658E-2</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0.33419950596793269</v>
      </c>
      <c r="D80" s="26"/>
      <c r="E80" s="234"/>
      <c r="F80" s="26"/>
      <c r="G80" s="62">
        <f t="shared" ref="G80:Q80" si="32">IF(G$4="","",ABS(G14/G$4))</f>
        <v>0.29670281936219739</v>
      </c>
      <c r="H80" s="62">
        <f t="shared" si="32"/>
        <v>0.3059117110892125</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544</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0.33419950596793269</v>
      </c>
      <c r="D85" s="72"/>
      <c r="E85" s="234"/>
      <c r="F85" s="72"/>
      <c r="G85" s="62">
        <f t="shared" ref="G85:Q85" si="35">IF(G$4="","",ABS(G19/G$4))</f>
        <v>0.29670281936219739</v>
      </c>
      <c r="H85" s="62">
        <f t="shared" si="35"/>
        <v>0.3059117110892125</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(CNY)</v>
      </c>
      <c r="C88" s="110">
        <f>G88</f>
        <v>3.169</v>
      </c>
      <c r="E88" s="237"/>
      <c r="G88" s="109">
        <f>Data!C65</f>
        <v>3.169</v>
      </c>
      <c r="H88" s="109">
        <f>Data!D65</f>
        <v>4.67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12300815767.844999</v>
      </c>
      <c r="E89" s="237"/>
      <c r="G89" s="71">
        <f t="shared" ref="G89:Q89" si="36">IF(G$4="","",G88*Common_Shares/scaling_factor)</f>
        <v>12300815767.844999</v>
      </c>
      <c r="H89" s="71">
        <f t="shared" si="36"/>
        <v>18127109383.349998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0.4127471888056104</v>
      </c>
      <c r="E90" s="237"/>
      <c r="G90" s="152">
        <f t="shared" ref="G90:Q90" si="37">IF(G$4="","",G88/(G19*scaling_factor/Common_Shares))</f>
        <v>0.4649093220111909</v>
      </c>
      <c r="H90" s="152">
        <f t="shared" si="37"/>
        <v>0.71159535670426299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328</v>
      </c>
      <c r="C91" s="292">
        <v>0.1</v>
      </c>
      <c r="E91" s="237"/>
      <c r="G91" s="293"/>
      <c r="H91" s="293"/>
      <c r="I91" s="293"/>
      <c r="J91" s="293"/>
      <c r="K91" s="293"/>
      <c r="L91" s="293"/>
      <c r="M91" s="293"/>
      <c r="N91" s="293"/>
      <c r="O91" s="293"/>
      <c r="P91" s="293"/>
      <c r="Q91" s="293"/>
    </row>
    <row r="92" spans="1:17" ht="15.75" customHeight="1">
      <c r="A92" s="10"/>
      <c r="B92" s="2" t="s">
        <v>327</v>
      </c>
      <c r="C92" s="22">
        <f>(C88*(1-dividend_tax_rate))/Market_Price</f>
        <v>2.8163325762812285E-2</v>
      </c>
      <c r="E92" s="237"/>
      <c r="G92" s="22">
        <f t="shared" ref="G92:Q92" si="38">IF(G$4="","",(G88*(1-dividend_tax_rate))/Market_Price)</f>
        <v>2.8163325762812285E-2</v>
      </c>
      <c r="H92" s="22">
        <f t="shared" si="38"/>
        <v>4.1502913004838556E-2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7.0889449435962426E-2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7.3215872197239573E-2</v>
      </c>
      <c r="D96" s="26"/>
      <c r="E96" s="234"/>
      <c r="F96" s="26"/>
      <c r="G96" s="6">
        <f t="shared" ref="G96:Q96" si="40">IF(H5="","",G11/H11-1)</f>
        <v>4.2841682188548891E-2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193415382562.70996</v>
      </c>
      <c r="D100" s="25"/>
      <c r="E100" s="238"/>
      <c r="F100" s="25"/>
      <c r="G100" s="270">
        <f t="shared" ref="G100:Q100" si="41">IF(G$4="","",G104+G103)</f>
        <v>193415382562.70996</v>
      </c>
      <c r="H100" s="270">
        <f t="shared" si="41"/>
        <v>165432981684.75</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4016935090.9299998</v>
      </c>
      <c r="D101" s="86"/>
      <c r="E101" s="239"/>
      <c r="F101" s="86"/>
      <c r="G101" s="282">
        <f>IF(G$4="","",Data!D77)</f>
        <v>14168722961.01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17745770666.169998</v>
      </c>
      <c r="D102" s="86"/>
      <c r="E102" s="239"/>
      <c r="F102" s="86"/>
      <c r="G102" s="282">
        <f>IF(G$4="","",Data!D78)</f>
        <v>17387841712.869999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49284244654.68</v>
      </c>
      <c r="D103" s="25"/>
      <c r="E103" s="238"/>
      <c r="F103" s="25"/>
      <c r="G103" s="270">
        <f>Data!C79</f>
        <v>49284244654.68</v>
      </c>
      <c r="H103" s="270">
        <f>Data!D79</f>
        <v>33083608497.580002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144131137908.02997</v>
      </c>
      <c r="D104" s="25"/>
      <c r="E104" s="238"/>
      <c r="F104" s="25"/>
      <c r="G104" s="270">
        <f>Data!C80</f>
        <v>144131137908.02997</v>
      </c>
      <c r="H104" s="270">
        <f>Data!D80</f>
        <v>132349373187.17</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4.5045439397876356E-2</v>
      </c>
      <c r="D107" s="25"/>
      <c r="E107" s="238"/>
      <c r="F107" s="25"/>
      <c r="G107" s="91">
        <f t="shared" ref="G107:Q107" si="42">IF(G$4="","",G101/G$4)</f>
        <v>0.15888639896785359</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0.19899899276851485</v>
      </c>
      <c r="D108" s="25"/>
      <c r="E108" s="238"/>
      <c r="F108" s="25"/>
      <c r="G108" s="91">
        <f t="shared" ref="G108:Q108" si="43">IF(G$4="","",G102/G$4)</f>
        <v>0.19498521942897909</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551</v>
      </c>
      <c r="G112" s="251">
        <f>IF(G$4="","",Data!C$22/Data!C15)</f>
        <v>1.0224831848674691</v>
      </c>
      <c r="H112" s="251">
        <f>IF(H$4="","",Data!D$22/Data!D15)</f>
        <v>1.3242845865537429</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1.2827530201003472</v>
      </c>
      <c r="H113" s="251">
        <f>IF(H$4="","",Data!D$22/H19)</f>
        <v>1.6386371512327702</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324</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0.4665778415257858</v>
      </c>
      <c r="E116" s="22">
        <f>E119/E117/E118</f>
        <v>0.4665778415257858</v>
      </c>
      <c r="G116" s="22">
        <f t="shared" ref="G116:Q116" si="44">IF(G4="","",G77)</f>
        <v>0.43474742930380028</v>
      </c>
      <c r="H116" s="22">
        <f t="shared" si="44"/>
        <v>0.44644018661949769</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0.4610552539366265</v>
      </c>
      <c r="E117" s="452">
        <f>C117</f>
        <v>0.4610552539366265</v>
      </c>
      <c r="G117" s="40">
        <f t="shared" ref="G117:Q117" si="45">IF(G4="","",G4/G100)</f>
        <v>0.4610552539366265</v>
      </c>
      <c r="H117" s="40">
        <f t="shared" si="45"/>
        <v>0.50335831748395676</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1.3419403008261008</v>
      </c>
      <c r="D118" s="11"/>
      <c r="E118" s="15">
        <f>C100/C104</f>
        <v>1.3419403008261008</v>
      </c>
      <c r="F118" s="11"/>
      <c r="G118" s="15">
        <f t="shared" ref="G118:Q118" si="46">IF(G$4="","",G100/G104)</f>
        <v>1.3419403008261008</v>
      </c>
      <c r="H118" s="15">
        <f t="shared" si="46"/>
        <v>1.2499717807563229</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0.28867573532952973</v>
      </c>
      <c r="D119" s="100"/>
      <c r="E119" s="453">
        <f>C119</f>
        <v>0.28867573532952973</v>
      </c>
      <c r="F119" s="100"/>
      <c r="G119" s="99">
        <f t="shared" ref="G119:Q119" si="47">IF(G$4="","",G11/G104)</f>
        <v>0.26898198471339402</v>
      </c>
      <c r="H119" s="99">
        <f t="shared" si="47"/>
        <v>0.28089288508154064</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7.6778233406514831</v>
      </c>
      <c r="D123" s="26"/>
      <c r="E123" s="234"/>
      <c r="F123" s="26"/>
      <c r="G123" s="159">
        <f t="shared" ref="G123:Q123" si="48">IF(G$4="","",G14*$C$3/Common_Shares*Exchange_Rate)</f>
        <v>6.8163830019388572</v>
      </c>
      <c r="H123" s="159">
        <f t="shared" si="48"/>
        <v>6.5627184831966776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7.5815378104586578E-2</v>
      </c>
      <c r="D124" s="26"/>
      <c r="E124" s="234"/>
      <c r="F124" s="26"/>
      <c r="G124" s="74">
        <f t="shared" ref="G124" si="49">IF(G$4="","",G123/Market_Price)</f>
        <v>6.7309005647663248E-2</v>
      </c>
      <c r="H124" s="74">
        <f t="shared" ref="H124" si="50">IF(H$4="","",H123/Market_Price)</f>
        <v>6.4804171849478398E-2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8.4442298467414467E-2</v>
      </c>
      <c r="H125" s="22">
        <f>IF(H$4="","",(Data!D47*$C$3)/(Market_Price*Common_Shares))</f>
        <v>8.0187087145500574E-2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421</v>
      </c>
      <c r="H3" s="106" t="s">
        <v>411</v>
      </c>
    </row>
    <row r="4" spans="2:15">
      <c r="B4" s="97" t="s">
        <v>390</v>
      </c>
      <c r="C4" s="275">
        <f>Normalized_FCF!C19</f>
        <v>29802300540.048637</v>
      </c>
      <c r="D4" t="str">
        <f>Reporting_currency</f>
        <v>CNY</v>
      </c>
      <c r="E4" s="135" t="s">
        <v>428</v>
      </c>
      <c r="F4" s="275">
        <f>-BS!G31</f>
        <v>-215370747.58000001</v>
      </c>
      <c r="G4" t="str">
        <f>Reporting_currency</f>
        <v>CNY</v>
      </c>
      <c r="H4" s="308" t="s">
        <v>391</v>
      </c>
      <c r="I4" s="305">
        <f>Normalized_FCF!C4</f>
        <v>89175178322.699997</v>
      </c>
      <c r="J4" s="305"/>
    </row>
    <row r="5" spans="2:15">
      <c r="B5" s="187" t="s">
        <v>104</v>
      </c>
      <c r="C5" s="188">
        <f>Equity_Cost</f>
        <v>7.2499999999999995E-2</v>
      </c>
      <c r="E5" s="135" t="s">
        <v>429</v>
      </c>
      <c r="F5" s="275">
        <f>BS!D66</f>
        <v>118301937502.43723</v>
      </c>
      <c r="G5" t="str">
        <f>Reporting_currency</f>
        <v>CNY</v>
      </c>
      <c r="H5" s="308" t="s">
        <v>392</v>
      </c>
      <c r="I5" s="305">
        <f>Normalized_FCF!C7</f>
        <v>-3555238122.5</v>
      </c>
      <c r="J5" s="305"/>
    </row>
    <row r="6" spans="2:15" ht="13.25" customHeight="1">
      <c r="B6" s="136" t="s">
        <v>193</v>
      </c>
      <c r="C6" s="283">
        <f>(C4*(1+Terminal_Growth))/(Equity_Cost-Terminal_Growth)</f>
        <v>481605176727.18604</v>
      </c>
      <c r="D6" t="str">
        <f>Reporting_currency</f>
        <v>CNY</v>
      </c>
      <c r="E6" s="187" t="s">
        <v>430</v>
      </c>
      <c r="F6" s="284">
        <f>BS!H42</f>
        <v>217300602.50500003</v>
      </c>
      <c r="G6" t="str">
        <f>Reporting_currency</f>
        <v>CNY</v>
      </c>
      <c r="H6" s="308" t="s">
        <v>413</v>
      </c>
      <c r="I6" s="305">
        <f>I7+I8</f>
        <v>167185808.18293661</v>
      </c>
      <c r="J6" s="305"/>
      <c r="N6" s="135"/>
    </row>
    <row r="7" spans="2:15" ht="12.75" customHeight="1">
      <c r="B7" s="318" t="s">
        <v>427</v>
      </c>
      <c r="C7" s="275">
        <f>F7</f>
        <v>118303867357.36223</v>
      </c>
      <c r="E7" s="140" t="s">
        <v>421</v>
      </c>
      <c r="F7" s="283">
        <f>SUM(F4:F6)</f>
        <v>118303867357.36223</v>
      </c>
      <c r="G7" t="str">
        <f>Reporting_currency</f>
        <v>CNY</v>
      </c>
      <c r="H7" s="312" t="s">
        <v>414</v>
      </c>
      <c r="I7" s="313">
        <f>Normalized_FCF!C9</f>
        <v>0</v>
      </c>
      <c r="J7" s="313"/>
      <c r="N7" s="304"/>
      <c r="O7" s="304"/>
    </row>
    <row r="8" spans="2:15" ht="13.15">
      <c r="B8" s="136" t="s">
        <v>423</v>
      </c>
      <c r="C8" s="283">
        <f>C6+C7</f>
        <v>599909044084.54822</v>
      </c>
      <c r="D8" t="str">
        <f>Reporting_currency</f>
        <v>CNY</v>
      </c>
      <c r="E8" s="140" t="s">
        <v>461</v>
      </c>
      <c r="F8" s="108">
        <f>FV_adjustments*scaling_factor/Common_Shares*Exchange_Rate</f>
        <v>30.478056311964512</v>
      </c>
      <c r="G8" s="294" t="str">
        <f>Market_currency</f>
        <v>CNY</v>
      </c>
      <c r="H8" s="314" t="str">
        <f>Normalized_FCF!B10</f>
        <v>Net Interest Income</v>
      </c>
      <c r="I8" s="313">
        <f>Normalized_FCF!C10</f>
        <v>167185808.18293661</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1.5733875176406658E-2</v>
      </c>
      <c r="J9" s="306"/>
      <c r="N9" s="304"/>
      <c r="O9" s="304"/>
    </row>
    <row r="10" spans="2:15" ht="13.5" thickTop="1">
      <c r="B10" s="107" t="s">
        <v>424</v>
      </c>
      <c r="C10" s="283">
        <f>C8*Exchange_Rate</f>
        <v>599909044084.54822</v>
      </c>
      <c r="D10" t="str">
        <f>Market_currency</f>
        <v>CNY</v>
      </c>
      <c r="H10" s="308" t="s">
        <v>394</v>
      </c>
      <c r="I10" s="306">
        <f>Normalized_FCF!C41</f>
        <v>0.25</v>
      </c>
      <c r="N10" s="304"/>
      <c r="O10" s="304"/>
    </row>
    <row r="11" spans="2:15" ht="13.15">
      <c r="B11" s="136" t="s">
        <v>422</v>
      </c>
      <c r="C11" s="108">
        <f>(C10*scaling_factor)/Common_Shares</f>
        <v>154.55168149689248</v>
      </c>
      <c r="D11" t="str">
        <f>Market_currency</f>
        <v>CNY</v>
      </c>
      <c r="E11" s="307"/>
      <c r="I11" s="307"/>
      <c r="J11" s="307"/>
    </row>
    <row r="13" spans="2:15" ht="13.9">
      <c r="B13" s="34" t="s">
        <v>425</v>
      </c>
      <c r="C13" s="35"/>
      <c r="D13" s="35"/>
      <c r="E13" s="35"/>
      <c r="F13" s="35"/>
      <c r="G13" s="35"/>
      <c r="H13" s="35"/>
      <c r="I13" s="35"/>
      <c r="J13" s="35"/>
      <c r="K13" s="35"/>
      <c r="L13" s="35"/>
    </row>
    <row r="14" spans="2:15" ht="13.15">
      <c r="B14" s="106" t="s">
        <v>396</v>
      </c>
      <c r="C14" s="309" t="s">
        <v>402</v>
      </c>
      <c r="E14" s="106" t="s">
        <v>396</v>
      </c>
      <c r="F14" s="309" t="str">
        <f>IF(ROUND(F17,4)=ROUND(C17,4),"I","II")</f>
        <v>I</v>
      </c>
      <c r="H14" s="106" t="s">
        <v>410</v>
      </c>
    </row>
    <row r="15" spans="2:15">
      <c r="B15" s="139" t="s">
        <v>418</v>
      </c>
      <c r="C15" s="148">
        <f>Scenarios!C45</f>
        <v>15</v>
      </c>
      <c r="E15" s="308" t="str">
        <f>IF(F14="II","Change year","Terminal Year")</f>
        <v>Terminal Year</v>
      </c>
      <c r="F15" s="310">
        <f>IF(F14="II",_xlfn.CEILING.MATH(C15/2),C15+1)</f>
        <v>16</v>
      </c>
      <c r="H15" s="97" t="s">
        <v>426</v>
      </c>
      <c r="I15" s="126">
        <f>Terminal_Growth</f>
        <v>0.01</v>
      </c>
      <c r="J15" s="126"/>
    </row>
    <row r="16" spans="2:15" ht="13.25" customHeight="1">
      <c r="B16" s="114" t="s">
        <v>419</v>
      </c>
      <c r="C16" s="147">
        <f>Scenarios!C46</f>
        <v>2.38559171477595E-2</v>
      </c>
      <c r="E16" s="308" t="s">
        <v>397</v>
      </c>
      <c r="F16" s="311">
        <f>Scenarios!C41</f>
        <v>2.38559171477595E-2</v>
      </c>
    </row>
    <row r="17" spans="1:21" ht="13.25" customHeight="1">
      <c r="B17" s="308" t="s">
        <v>546</v>
      </c>
      <c r="C17" s="306">
        <f>Normalized_FCF!C77</f>
        <v>0.4665778415257858</v>
      </c>
      <c r="E17" s="308" t="s">
        <v>547</v>
      </c>
      <c r="F17" s="311">
        <f>Scenarios!C40</f>
        <v>0.4665778415257858</v>
      </c>
      <c r="H17" s="106" t="s">
        <v>409</v>
      </c>
    </row>
    <row r="18" spans="1:21" ht="13.25" customHeight="1">
      <c r="B18" s="308" t="s">
        <v>420</v>
      </c>
      <c r="C18" s="306">
        <f>Normalized_FCF!C81-Normalized_FCF!C82</f>
        <v>0</v>
      </c>
      <c r="E18" s="308" t="s">
        <v>420</v>
      </c>
      <c r="F18" s="144">
        <f>IF(F14="II",C18/2,C18)</f>
        <v>0</v>
      </c>
      <c r="H18" s="140" t="s">
        <v>96</v>
      </c>
      <c r="I18" s="129">
        <f>(L52+FV_adjustments)*Exchange_Rate/Common_Shares*scaling_factor</f>
        <v>164.84370370396726</v>
      </c>
      <c r="J18" t="str">
        <f>Market_currency</f>
        <v>CNY</v>
      </c>
    </row>
    <row r="19" spans="1:21">
      <c r="L19" s="275"/>
    </row>
    <row r="20" spans="1:21" ht="13.15">
      <c r="A20" s="121" t="s">
        <v>396</v>
      </c>
      <c r="B20" s="121" t="s">
        <v>97</v>
      </c>
      <c r="C20" s="121" t="s">
        <v>391</v>
      </c>
      <c r="D20" s="121" t="s">
        <v>101</v>
      </c>
      <c r="E20" s="121" t="s">
        <v>546</v>
      </c>
      <c r="F20" s="121" t="s">
        <v>548</v>
      </c>
      <c r="G20" s="121" t="str">
        <f>B18</f>
        <v>D&amp;A - maint. Capx</v>
      </c>
      <c r="H20" s="121" t="s">
        <v>550</v>
      </c>
      <c r="I20" s="121" t="s">
        <v>526</v>
      </c>
      <c r="J20" s="121" t="s">
        <v>549</v>
      </c>
      <c r="K20" s="121" t="s">
        <v>527</v>
      </c>
      <c r="L20" s="122" t="s">
        <v>416</v>
      </c>
    </row>
    <row r="21" spans="1:21">
      <c r="A21" s="302" t="str">
        <f t="shared" ref="A21:A50" si="0">IF($C$15&lt;B21,"",IF(B21&gt;=$F$15,"II","I"))</f>
        <v>I</v>
      </c>
      <c r="B21" s="117">
        <v>1</v>
      </c>
      <c r="C21" s="277">
        <f>I4*(1+D21)</f>
        <v>91302533988.403</v>
      </c>
      <c r="D21" s="299">
        <f t="shared" ref="D21:D50" si="1">IF(A21="",0,IF(A21="I",$C$16,$F$16))</f>
        <v>2.38559171477595E-2</v>
      </c>
      <c r="E21" s="299">
        <f>$C$17</f>
        <v>0.4665778415257858</v>
      </c>
      <c r="F21" s="277">
        <f>C21*E21</f>
        <v>42599739234.143768</v>
      </c>
      <c r="G21" s="299">
        <f t="shared" ref="G21:G50" si="2">IF(A21="",0%,IF(A21="I",$C$18,$F$18))</f>
        <v>0</v>
      </c>
      <c r="H21" s="277">
        <f>(F21*(1-$I$10)+C21*(G21-$I$9))</f>
        <v>30513261752.544666</v>
      </c>
      <c r="I21" s="299">
        <f>H21/C4-1</f>
        <v>2.3855917147759476E-2</v>
      </c>
      <c r="J21" s="299">
        <f>H21/C21</f>
        <v>0.33419950596793269</v>
      </c>
      <c r="K21" s="119">
        <f t="shared" ref="K21:K50" si="3">IF($C$15&lt;B21,0,1/(1+Equity_Cost)^B21)</f>
        <v>0.93240093240093236</v>
      </c>
      <c r="L21" s="277">
        <f t="shared" ref="L21:L51" si="4">H21*K21</f>
        <v>28450593708.666355</v>
      </c>
    </row>
    <row r="22" spans="1:21">
      <c r="A22" s="302" t="str">
        <f t="shared" si="0"/>
        <v>I</v>
      </c>
      <c r="B22" s="117">
        <v>2</v>
      </c>
      <c r="C22" s="277">
        <f t="shared" ref="C22:C50" si="5">IF(A22="",0,C21*(1+D22))</f>
        <v>93480639674.61084</v>
      </c>
      <c r="D22" s="299">
        <f t="shared" si="1"/>
        <v>2.38559171477595E-2</v>
      </c>
      <c r="E22" s="299">
        <f t="shared" ref="E22:E50" si="6">IF($C$15&lt;B22,0,IF(B22&gt;=$F$15,$F$17,$C$17))</f>
        <v>0.4665778415257858</v>
      </c>
      <c r="F22" s="277">
        <f t="shared" ref="F22:F50" si="7">IF(A22="", 0,C22*E22)</f>
        <v>43615995083.829659</v>
      </c>
      <c r="G22" s="299">
        <f t="shared" si="2"/>
        <v>0</v>
      </c>
      <c r="H22" s="277">
        <f t="shared" ref="H22:H50" si="8">IF(A22="", 0,F22*(1-$I$10)+C22*(G22-$I$9))</f>
        <v>31241183596.82127</v>
      </c>
      <c r="I22" s="299">
        <f t="shared" ref="I22:I50" si="9">IF(A22="", 0,H22/H21-1)</f>
        <v>2.3855917147759476E-2</v>
      </c>
      <c r="J22" s="299">
        <f>IF(A22="", 0,H22/C22)</f>
        <v>0.33419950596793269</v>
      </c>
      <c r="K22" s="119">
        <f t="shared" si="3"/>
        <v>0.86937149874212816</v>
      </c>
      <c r="L22" s="277">
        <f t="shared" si="4"/>
        <v>27160194606.046497</v>
      </c>
    </row>
    <row r="23" spans="1:21">
      <c r="A23" s="302" t="str">
        <f t="shared" si="0"/>
        <v>I</v>
      </c>
      <c r="B23" s="117">
        <v>3</v>
      </c>
      <c r="C23" s="277">
        <f t="shared" si="5"/>
        <v>95710706069.60791</v>
      </c>
      <c r="D23" s="299">
        <f t="shared" si="1"/>
        <v>2.38559171477595E-2</v>
      </c>
      <c r="E23" s="299">
        <f t="shared" si="6"/>
        <v>0.4665778415257858</v>
      </c>
      <c r="F23" s="277">
        <f t="shared" si="7"/>
        <v>44656494648.866585</v>
      </c>
      <c r="G23" s="299">
        <f t="shared" si="2"/>
        <v>0</v>
      </c>
      <c r="H23" s="277">
        <f t="shared" si="8"/>
        <v>31986470684.304981</v>
      </c>
      <c r="I23" s="299">
        <f t="shared" si="9"/>
        <v>2.3855917147759476E-2</v>
      </c>
      <c r="J23" s="299">
        <f t="shared" ref="J23:J50" si="10">IF(A23="", 0,H23/C23)</f>
        <v>0.33419950596793269</v>
      </c>
      <c r="K23" s="119">
        <f t="shared" si="3"/>
        <v>0.81060279602995633</v>
      </c>
      <c r="L23" s="277">
        <f t="shared" si="4"/>
        <v>25928322571.827847</v>
      </c>
      <c r="N23" s="275"/>
      <c r="O23" s="275"/>
      <c r="P23" s="275"/>
      <c r="Q23" s="275"/>
      <c r="R23" s="275"/>
      <c r="S23" s="275"/>
      <c r="T23" s="275"/>
      <c r="U23" s="275"/>
    </row>
    <row r="24" spans="1:21">
      <c r="A24" s="302" t="str">
        <f t="shared" si="0"/>
        <v>I</v>
      </c>
      <c r="B24" s="117">
        <v>4</v>
      </c>
      <c r="C24" s="277">
        <f t="shared" si="5"/>
        <v>97993972743.758041</v>
      </c>
      <c r="D24" s="299">
        <f t="shared" si="1"/>
        <v>2.38559171477595E-2</v>
      </c>
      <c r="E24" s="299">
        <f t="shared" si="6"/>
        <v>0.4665778415257858</v>
      </c>
      <c r="F24" s="277">
        <f t="shared" si="7"/>
        <v>45721816285.319313</v>
      </c>
      <c r="G24" s="299">
        <f t="shared" si="2"/>
        <v>0</v>
      </c>
      <c r="H24" s="277">
        <f t="shared" si="8"/>
        <v>32749537278.799</v>
      </c>
      <c r="I24" s="299">
        <f t="shared" si="9"/>
        <v>2.3855917147759476E-2</v>
      </c>
      <c r="J24" s="299">
        <f t="shared" si="10"/>
        <v>0.33419950596793269</v>
      </c>
      <c r="K24" s="119">
        <f t="shared" si="3"/>
        <v>0.75580680282513402</v>
      </c>
      <c r="L24" s="277">
        <f t="shared" si="4"/>
        <v>24752323064.691612</v>
      </c>
      <c r="N24" s="275"/>
      <c r="O24" s="275"/>
      <c r="P24" s="275"/>
      <c r="Q24" s="275"/>
      <c r="R24" s="275"/>
      <c r="S24" s="275"/>
      <c r="T24" s="275"/>
      <c r="U24" s="275"/>
    </row>
    <row r="25" spans="1:21">
      <c r="A25" s="302" t="str">
        <f t="shared" si="0"/>
        <v>I</v>
      </c>
      <c r="B25" s="117">
        <v>5</v>
      </c>
      <c r="C25" s="277">
        <f t="shared" si="5"/>
        <v>100331708838.51294</v>
      </c>
      <c r="D25" s="299">
        <f t="shared" si="1"/>
        <v>2.38559171477595E-2</v>
      </c>
      <c r="E25" s="299">
        <f t="shared" si="6"/>
        <v>0.4665778415257858</v>
      </c>
      <c r="F25" s="277">
        <f t="shared" si="7"/>
        <v>46812552146.466972</v>
      </c>
      <c r="G25" s="299">
        <f t="shared" si="2"/>
        <v>0</v>
      </c>
      <c r="H25" s="277">
        <f t="shared" si="8"/>
        <v>33530807526.749489</v>
      </c>
      <c r="I25" s="299">
        <f t="shared" si="9"/>
        <v>2.3855917147759476E-2</v>
      </c>
      <c r="J25" s="299">
        <f t="shared" si="10"/>
        <v>0.33419950596793269</v>
      </c>
      <c r="K25" s="119">
        <f t="shared" si="3"/>
        <v>0.70471496766912267</v>
      </c>
      <c r="L25" s="277">
        <f t="shared" si="4"/>
        <v>23629661942.132843</v>
      </c>
      <c r="N25" s="275"/>
      <c r="O25" s="275"/>
      <c r="P25" s="275"/>
      <c r="Q25" s="275"/>
      <c r="R25" s="275"/>
      <c r="S25" s="275"/>
      <c r="T25" s="275"/>
      <c r="U25" s="275"/>
    </row>
    <row r="26" spans="1:21">
      <c r="A26" s="302" t="str">
        <f t="shared" si="0"/>
        <v>I</v>
      </c>
      <c r="B26" s="117">
        <v>6</v>
      </c>
      <c r="C26" s="277">
        <f t="shared" si="5"/>
        <v>102725213771.85764</v>
      </c>
      <c r="D26" s="299">
        <f t="shared" si="1"/>
        <v>2.38559171477595E-2</v>
      </c>
      <c r="E26" s="299">
        <f t="shared" si="6"/>
        <v>0.4665778415257858</v>
      </c>
      <c r="F26" s="277">
        <f t="shared" si="7"/>
        <v>47929308511.948257</v>
      </c>
      <c r="G26" s="299">
        <f t="shared" si="2"/>
        <v>0</v>
      </c>
      <c r="H26" s="277">
        <f t="shared" si="8"/>
        <v>34330715693.0051</v>
      </c>
      <c r="I26" s="299">
        <f t="shared" si="9"/>
        <v>2.3855917147759698E-2</v>
      </c>
      <c r="J26" s="299">
        <f t="shared" si="10"/>
        <v>0.33419950596793274</v>
      </c>
      <c r="K26" s="119">
        <f t="shared" si="3"/>
        <v>0.65707689293158289</v>
      </c>
      <c r="L26" s="277">
        <f t="shared" si="4"/>
        <v>22557919999.677326</v>
      </c>
    </row>
    <row r="27" spans="1:21">
      <c r="A27" s="302" t="str">
        <f t="shared" si="0"/>
        <v>I</v>
      </c>
      <c r="B27" s="117">
        <v>7</v>
      </c>
      <c r="C27" s="277">
        <f t="shared" si="5"/>
        <v>105175817960.58495</v>
      </c>
      <c r="D27" s="299">
        <f t="shared" si="1"/>
        <v>2.38559171477595E-2</v>
      </c>
      <c r="E27" s="299">
        <f t="shared" si="6"/>
        <v>0.4665778415257858</v>
      </c>
      <c r="F27" s="277">
        <f t="shared" si="7"/>
        <v>49072706124.758698</v>
      </c>
      <c r="G27" s="299">
        <f t="shared" si="2"/>
        <v>0</v>
      </c>
      <c r="H27" s="277">
        <f t="shared" si="8"/>
        <v>35149706402.200706</v>
      </c>
      <c r="I27" s="299">
        <f t="shared" si="9"/>
        <v>2.3855917147759254E-2</v>
      </c>
      <c r="J27" s="299">
        <f t="shared" si="10"/>
        <v>0.33419950596793263</v>
      </c>
      <c r="K27" s="119">
        <f t="shared" si="3"/>
        <v>0.61265910762851561</v>
      </c>
      <c r="L27" s="277">
        <f t="shared" si="4"/>
        <v>21534787757.776608</v>
      </c>
    </row>
    <row r="28" spans="1:21">
      <c r="A28" s="302" t="str">
        <f t="shared" si="0"/>
        <v>I</v>
      </c>
      <c r="B28" s="117">
        <v>8</v>
      </c>
      <c r="C28" s="277">
        <f t="shared" si="5"/>
        <v>107684883559.80049</v>
      </c>
      <c r="D28" s="299">
        <f t="shared" si="1"/>
        <v>2.38559171477595E-2</v>
      </c>
      <c r="E28" s="299">
        <f t="shared" si="6"/>
        <v>0.4665778415257858</v>
      </c>
      <c r="F28" s="277">
        <f t="shared" si="7"/>
        <v>50243380536.287292</v>
      </c>
      <c r="G28" s="299">
        <f t="shared" si="2"/>
        <v>0</v>
      </c>
      <c r="H28" s="277">
        <f t="shared" si="8"/>
        <v>35988234885.899681</v>
      </c>
      <c r="I28" s="299">
        <f t="shared" si="9"/>
        <v>2.3855917147759476E-2</v>
      </c>
      <c r="J28" s="299">
        <f t="shared" si="10"/>
        <v>0.33419950596793269</v>
      </c>
      <c r="K28" s="119">
        <f t="shared" si="3"/>
        <v>0.5712439231967511</v>
      </c>
      <c r="L28" s="277">
        <f t="shared" si="4"/>
        <v>20558060485.147514</v>
      </c>
    </row>
    <row r="29" spans="1:21">
      <c r="A29" s="302" t="str">
        <f t="shared" si="0"/>
        <v>I</v>
      </c>
      <c r="B29" s="117">
        <v>9</v>
      </c>
      <c r="C29" s="277">
        <f t="shared" si="5"/>
        <v>110253805220.06921</v>
      </c>
      <c r="D29" s="299">
        <f t="shared" si="1"/>
        <v>2.38559171477595E-2</v>
      </c>
      <c r="E29" s="299">
        <f t="shared" si="6"/>
        <v>0.4665778415257858</v>
      </c>
      <c r="F29" s="277">
        <f t="shared" si="7"/>
        <v>51441982459.584305</v>
      </c>
      <c r="G29" s="299">
        <f t="shared" si="2"/>
        <v>0</v>
      </c>
      <c r="H29" s="277">
        <f t="shared" si="8"/>
        <v>36846767235.631813</v>
      </c>
      <c r="I29" s="299">
        <f t="shared" si="9"/>
        <v>2.3855917147759476E-2</v>
      </c>
      <c r="J29" s="299">
        <f t="shared" si="10"/>
        <v>0.33419950596793274</v>
      </c>
      <c r="K29" s="119">
        <f t="shared" si="3"/>
        <v>0.53262836661701729</v>
      </c>
      <c r="L29" s="277">
        <f t="shared" si="4"/>
        <v>19625633447.832001</v>
      </c>
    </row>
    <row r="30" spans="1:21">
      <c r="A30" s="302" t="str">
        <f t="shared" si="0"/>
        <v>I</v>
      </c>
      <c r="B30" s="117">
        <v>10</v>
      </c>
      <c r="C30" s="277">
        <f t="shared" si="5"/>
        <v>112884010862.62439</v>
      </c>
      <c r="D30" s="299">
        <f t="shared" si="1"/>
        <v>2.38559171477595E-2</v>
      </c>
      <c r="E30" s="299">
        <f t="shared" si="6"/>
        <v>0.4665778415257858</v>
      </c>
      <c r="F30" s="277">
        <f t="shared" si="7"/>
        <v>52669178131.056648</v>
      </c>
      <c r="G30" s="299">
        <f t="shared" si="2"/>
        <v>0</v>
      </c>
      <c r="H30" s="277">
        <f t="shared" si="8"/>
        <v>37725780661.967819</v>
      </c>
      <c r="I30" s="299">
        <f t="shared" si="9"/>
        <v>2.3855917147759254E-2</v>
      </c>
      <c r="J30" s="299">
        <f t="shared" si="10"/>
        <v>0.33419950596793269</v>
      </c>
      <c r="K30" s="119">
        <f t="shared" si="3"/>
        <v>0.49662318565689262</v>
      </c>
      <c r="L30" s="277">
        <f t="shared" si="4"/>
        <v>18735497373.739655</v>
      </c>
    </row>
    <row r="31" spans="1:21">
      <c r="A31" s="302" t="str">
        <f t="shared" si="0"/>
        <v>I</v>
      </c>
      <c r="B31" s="117">
        <v>11</v>
      </c>
      <c r="C31" s="277">
        <f t="shared" si="5"/>
        <v>115576962473.06993</v>
      </c>
      <c r="D31" s="299">
        <f t="shared" si="1"/>
        <v>2.38559171477595E-2</v>
      </c>
      <c r="E31" s="299">
        <f t="shared" si="6"/>
        <v>0.4665778415257858</v>
      </c>
      <c r="F31" s="277">
        <f t="shared" si="7"/>
        <v>53925649680.791718</v>
      </c>
      <c r="G31" s="299">
        <f t="shared" si="2"/>
        <v>0</v>
      </c>
      <c r="H31" s="277">
        <f t="shared" si="8"/>
        <v>38625763759.774269</v>
      </c>
      <c r="I31" s="299">
        <f t="shared" si="9"/>
        <v>2.3855917147759476E-2</v>
      </c>
      <c r="J31" s="299">
        <f t="shared" si="10"/>
        <v>0.33419950596793269</v>
      </c>
      <c r="K31" s="119">
        <f t="shared" si="3"/>
        <v>0.46305192135840806</v>
      </c>
      <c r="L31" s="277">
        <f t="shared" si="4"/>
        <v>17885734122.899445</v>
      </c>
    </row>
    <row r="32" spans="1:21">
      <c r="A32" s="302" t="str">
        <f t="shared" si="0"/>
        <v>I</v>
      </c>
      <c r="B32" s="117">
        <v>12</v>
      </c>
      <c r="C32" s="277">
        <f t="shared" si="5"/>
        <v>118334156914.0172</v>
      </c>
      <c r="D32" s="299">
        <f t="shared" si="1"/>
        <v>2.38559171477595E-2</v>
      </c>
      <c r="E32" s="299">
        <f t="shared" si="6"/>
        <v>0.4665778415257858</v>
      </c>
      <c r="F32" s="277">
        <f t="shared" si="7"/>
        <v>55212095511.715782</v>
      </c>
      <c r="G32" s="299">
        <f t="shared" si="2"/>
        <v>0</v>
      </c>
      <c r="H32" s="277">
        <f t="shared" si="8"/>
        <v>39547216779.796371</v>
      </c>
      <c r="I32" s="299">
        <f t="shared" si="9"/>
        <v>2.3855917147759476E-2</v>
      </c>
      <c r="J32" s="299">
        <f t="shared" si="10"/>
        <v>0.33419950596793269</v>
      </c>
      <c r="K32" s="119">
        <f t="shared" si="3"/>
        <v>0.43175004322462285</v>
      </c>
      <c r="L32" s="277">
        <f t="shared" si="4"/>
        <v>17074512554.090614</v>
      </c>
    </row>
    <row r="33" spans="1:21">
      <c r="A33" s="302" t="str">
        <f t="shared" si="0"/>
        <v>I</v>
      </c>
      <c r="B33" s="117">
        <v>13</v>
      </c>
      <c r="C33" s="277">
        <f t="shared" si="5"/>
        <v>121157126757.10796</v>
      </c>
      <c r="D33" s="299">
        <f t="shared" si="1"/>
        <v>2.38559171477595E-2</v>
      </c>
      <c r="E33" s="299">
        <f t="shared" si="6"/>
        <v>0.4665778415257858</v>
      </c>
      <c r="F33" s="277">
        <f t="shared" si="7"/>
        <v>56529230687.797455</v>
      </c>
      <c r="G33" s="299">
        <f t="shared" si="2"/>
        <v>0</v>
      </c>
      <c r="H33" s="277">
        <f t="shared" si="8"/>
        <v>40490651906.719673</v>
      </c>
      <c r="I33" s="299">
        <f t="shared" si="9"/>
        <v>2.3855917147759476E-2</v>
      </c>
      <c r="J33" s="299">
        <f t="shared" si="10"/>
        <v>0.33419950596793263</v>
      </c>
      <c r="K33" s="119">
        <f t="shared" si="3"/>
        <v>0.40256414286678116</v>
      </c>
      <c r="L33" s="277">
        <f t="shared" si="4"/>
        <v>16300084578.945803</v>
      </c>
      <c r="N33" s="275"/>
      <c r="O33" s="275"/>
      <c r="P33" s="275"/>
      <c r="Q33" s="275"/>
      <c r="R33" s="275"/>
      <c r="S33" s="275"/>
      <c r="T33" s="275"/>
      <c r="U33" s="275"/>
    </row>
    <row r="34" spans="1:21">
      <c r="A34" s="302" t="str">
        <f t="shared" si="0"/>
        <v>I</v>
      </c>
      <c r="B34" s="117">
        <v>14</v>
      </c>
      <c r="C34" s="277">
        <f t="shared" si="5"/>
        <v>124047441134.88611</v>
      </c>
      <c r="D34" s="299">
        <f t="shared" si="1"/>
        <v>2.38559171477595E-2</v>
      </c>
      <c r="E34" s="299">
        <f t="shared" si="6"/>
        <v>0.4665778415257858</v>
      </c>
      <c r="F34" s="277">
        <f t="shared" si="7"/>
        <v>57877787331.512131</v>
      </c>
      <c r="G34" s="299">
        <f t="shared" si="2"/>
        <v>0</v>
      </c>
      <c r="H34" s="277">
        <f t="shared" si="8"/>
        <v>41456593543.865143</v>
      </c>
      <c r="I34" s="299">
        <f t="shared" si="9"/>
        <v>2.3855917147759476E-2</v>
      </c>
      <c r="J34" s="299">
        <f t="shared" si="10"/>
        <v>0.33419950596793263</v>
      </c>
      <c r="K34" s="119">
        <f t="shared" si="3"/>
        <v>0.37535118216016894</v>
      </c>
      <c r="L34" s="277">
        <f t="shared" si="4"/>
        <v>15560781395.023409</v>
      </c>
      <c r="N34" s="275"/>
      <c r="O34" s="275"/>
      <c r="P34" s="275"/>
      <c r="Q34" s="275"/>
      <c r="R34" s="275"/>
      <c r="S34" s="275"/>
      <c r="T34" s="275"/>
      <c r="U34" s="275"/>
    </row>
    <row r="35" spans="1:21">
      <c r="A35" s="302" t="str">
        <f t="shared" si="0"/>
        <v>I</v>
      </c>
      <c r="B35" s="117">
        <v>15</v>
      </c>
      <c r="C35" s="277">
        <f t="shared" si="5"/>
        <v>127006706612.99152</v>
      </c>
      <c r="D35" s="299">
        <f t="shared" si="1"/>
        <v>2.38559171477595E-2</v>
      </c>
      <c r="E35" s="299">
        <f t="shared" si="6"/>
        <v>0.4665778415257858</v>
      </c>
      <c r="F35" s="277">
        <f t="shared" si="7"/>
        <v>59258515030.78833</v>
      </c>
      <c r="G35" s="299">
        <f t="shared" si="2"/>
        <v>0</v>
      </c>
      <c r="H35" s="277">
        <f t="shared" si="8"/>
        <v>42445578604.675934</v>
      </c>
      <c r="I35" s="299">
        <f t="shared" si="9"/>
        <v>2.3855917147759476E-2</v>
      </c>
      <c r="J35" s="299">
        <f t="shared" si="10"/>
        <v>0.33419950596793269</v>
      </c>
      <c r="K35" s="119">
        <f t="shared" si="3"/>
        <v>0.34997779222393377</v>
      </c>
      <c r="L35" s="277">
        <f t="shared" si="4"/>
        <v>14855009889.731922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415</v>
      </c>
      <c r="B51" s="316">
        <f>C15+1</f>
        <v>16</v>
      </c>
      <c r="C51" s="277">
        <f>VLOOKUP(C15,B21:C50,2,FALSE)*(1+Terminal_Growth)</f>
        <v>128276773679.12143</v>
      </c>
      <c r="D51" s="301">
        <f>Terminal_Growth</f>
        <v>0.01</v>
      </c>
      <c r="E51" s="301">
        <f>F17</f>
        <v>0.4665778415257858</v>
      </c>
      <c r="F51" s="277">
        <f>C51*E51</f>
        <v>59851100181.096207</v>
      </c>
      <c r="G51" s="299">
        <f>F18</f>
        <v>0</v>
      </c>
      <c r="H51" s="277">
        <f>(F51*(1-$I$10)+C51*(G51-$I$9))/Equity_Cost</f>
        <v>591310819182.38208</v>
      </c>
      <c r="I51" s="415">
        <f>(F51*(1-$I$10)+C51*(G51-$I$9))/VLOOKUP(C15,B21:H50,COLUMN(H20)-1,FALSE)-1</f>
        <v>1.0000000000000009E-2</v>
      </c>
      <c r="J51" s="454"/>
      <c r="K51" s="119">
        <f>1/(1+Equity_Cost)^C15</f>
        <v>0.34997779222393377</v>
      </c>
      <c r="L51" s="277">
        <f t="shared" si="4"/>
        <v>206945655015.57578</v>
      </c>
    </row>
    <row r="52" spans="1:21" ht="13.15">
      <c r="G52" s="111"/>
      <c r="H52" s="111"/>
      <c r="I52" s="111"/>
      <c r="J52" s="468" t="s">
        <v>417</v>
      </c>
      <c r="K52" s="468"/>
      <c r="L52" s="317">
        <f>SUM(L21:L51)</f>
        <v>521554772513.8053</v>
      </c>
    </row>
    <row r="53" spans="1:21">
      <c r="C53" s="111"/>
    </row>
    <row r="54" spans="1:21" ht="13.15">
      <c r="B54" s="115" t="s">
        <v>107</v>
      </c>
      <c r="C54" s="128"/>
      <c r="D54" s="128"/>
      <c r="E54" s="113"/>
      <c r="F54" s="113"/>
      <c r="G54" s="113"/>
      <c r="H54" s="113"/>
      <c r="I54" s="113"/>
      <c r="J54" s="113"/>
      <c r="K54" s="113"/>
      <c r="L54" s="113"/>
    </row>
    <row r="55" spans="1:21" ht="13.15">
      <c r="A55" s="125">
        <f>L52</f>
        <v>521554772513.8053</v>
      </c>
      <c r="B55" s="123">
        <f>C94</f>
        <v>0</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414898999560.84106</v>
      </c>
      <c r="C56" s="118">
        <v>414898999560.84106</v>
      </c>
      <c r="D56" s="118">
        <v>419047989556.44952</v>
      </c>
      <c r="E56" s="118">
        <v>423196979552.05792</v>
      </c>
      <c r="F56" s="118">
        <v>427345969547.66632</v>
      </c>
      <c r="G56" s="295"/>
      <c r="H56" s="295"/>
      <c r="I56" s="295"/>
      <c r="J56" s="295"/>
      <c r="K56" s="295"/>
      <c r="L56" s="295"/>
    </row>
    <row r="57" spans="1:21" ht="13.15">
      <c r="A57" s="131">
        <v>2</v>
      </c>
      <c r="B57" s="118">
        <v>414639906853.97644</v>
      </c>
      <c r="C57" s="118">
        <v>414639906853.97644</v>
      </c>
      <c r="D57" s="118">
        <v>422693513284.34796</v>
      </c>
      <c r="E57" s="118">
        <v>430824490157.52802</v>
      </c>
      <c r="F57" s="118">
        <v>439032837473.5166</v>
      </c>
      <c r="G57" s="295"/>
      <c r="H57" s="295"/>
      <c r="I57" s="295"/>
      <c r="J57" s="295"/>
      <c r="K57" s="295"/>
      <c r="L57" s="295"/>
    </row>
    <row r="58" spans="1:21" ht="13.15">
      <c r="A58" s="131">
        <v>3</v>
      </c>
      <c r="B58" s="118">
        <v>414398328572.51758</v>
      </c>
      <c r="C58" s="118">
        <v>414398328572.51758</v>
      </c>
      <c r="D58" s="118">
        <v>426126593904.55994</v>
      </c>
      <c r="E58" s="118">
        <v>438078626117.97498</v>
      </c>
      <c r="F58" s="118">
        <v>450256589420.95306</v>
      </c>
      <c r="G58" s="295"/>
      <c r="H58" s="295"/>
      <c r="I58" s="295"/>
      <c r="J58" s="295"/>
      <c r="K58" s="295"/>
      <c r="L58" s="295"/>
    </row>
    <row r="59" spans="1:21" ht="13.15">
      <c r="A59" s="131">
        <v>4</v>
      </c>
      <c r="B59" s="118">
        <v>414173080757.63745</v>
      </c>
      <c r="C59" s="118">
        <v>414173080757.63745</v>
      </c>
      <c r="D59" s="118">
        <v>429359611551.56616</v>
      </c>
      <c r="E59" s="118">
        <v>444977664513.92444</v>
      </c>
      <c r="F59" s="118">
        <v>461035577305.20441</v>
      </c>
      <c r="G59" s="295"/>
      <c r="H59" s="295"/>
      <c r="I59" s="295"/>
      <c r="J59" s="295"/>
      <c r="K59" s="295"/>
      <c r="L59" s="295"/>
    </row>
    <row r="60" spans="1:21" ht="13.15">
      <c r="A60" s="131">
        <v>5</v>
      </c>
      <c r="B60" s="118">
        <v>413963059485.02197</v>
      </c>
      <c r="C60" s="118">
        <v>413963059485.02197</v>
      </c>
      <c r="D60" s="118">
        <v>432404224906.78882</v>
      </c>
      <c r="E60" s="118">
        <v>451538987743.63879</v>
      </c>
      <c r="F60" s="118">
        <v>471387425809.42725</v>
      </c>
      <c r="G60" s="295"/>
      <c r="H60" s="295"/>
      <c r="I60" s="295"/>
      <c r="J60" s="295"/>
      <c r="K60" s="295"/>
      <c r="L60" s="295"/>
    </row>
    <row r="61" spans="1:21" ht="13.15">
      <c r="A61" s="131">
        <v>6</v>
      </c>
      <c r="B61" s="118">
        <v>413767235454.61133</v>
      </c>
      <c r="C61" s="118">
        <v>413767235454.61133</v>
      </c>
      <c r="D61" s="118">
        <v>435271413241.31073</v>
      </c>
      <c r="E61" s="118">
        <v>457779127318.75165</v>
      </c>
      <c r="F61" s="118">
        <v>481329061202.76001</v>
      </c>
      <c r="G61" s="295"/>
      <c r="H61" s="295"/>
      <c r="I61" s="295"/>
      <c r="J61" s="295"/>
      <c r="K61" s="295"/>
      <c r="L61" s="295"/>
    </row>
    <row r="62" spans="1:21" ht="13.15">
      <c r="A62" s="131">
        <v>7</v>
      </c>
      <c r="B62" s="118">
        <v>413584648946.06995</v>
      </c>
      <c r="C62" s="118">
        <v>413584648946.06995</v>
      </c>
      <c r="D62" s="118">
        <v>437971516008.55304</v>
      </c>
      <c r="E62" s="118">
        <v>463713805516.06189</v>
      </c>
      <c r="F62" s="118">
        <v>490876739016.40375</v>
      </c>
      <c r="G62" s="295"/>
      <c r="H62" s="295"/>
      <c r="I62" s="295"/>
      <c r="J62" s="295"/>
      <c r="K62" s="295"/>
      <c r="L62" s="295"/>
    </row>
    <row r="63" spans="1:21" ht="13.15">
      <c r="A63" s="131">
        <v>8</v>
      </c>
      <c r="B63" s="118">
        <v>413414405115.26208</v>
      </c>
      <c r="C63" s="118">
        <v>413414405115.26208</v>
      </c>
      <c r="D63" s="118">
        <v>440514270129.68542</v>
      </c>
      <c r="E63" s="118">
        <v>469357974990.42676</v>
      </c>
      <c r="F63" s="118">
        <v>500046070622.97992</v>
      </c>
      <c r="G63" s="295"/>
      <c r="H63" s="295"/>
      <c r="I63" s="295"/>
      <c r="J63" s="295"/>
      <c r="K63" s="295"/>
      <c r="L63" s="295"/>
    </row>
    <row r="64" spans="1:21" ht="13.15">
      <c r="A64" s="131">
        <v>9</v>
      </c>
      <c r="B64" s="118">
        <v>413255669608.68127</v>
      </c>
      <c r="C64" s="118">
        <v>413255669608.68127</v>
      </c>
      <c r="D64" s="118">
        <v>442908845106.22974</v>
      </c>
      <c r="E64" s="118">
        <v>474725856448.56396</v>
      </c>
      <c r="F64" s="118">
        <v>508852048762.62878</v>
      </c>
      <c r="G64" s="295"/>
      <c r="H64" s="295"/>
      <c r="I64" s="295"/>
      <c r="J64" s="295"/>
      <c r="K64" s="295"/>
      <c r="L64" s="295"/>
    </row>
    <row r="65" spans="1:21" ht="13.15">
      <c r="A65" s="131">
        <v>10</v>
      </c>
      <c r="B65" s="118">
        <v>413107664474.34033</v>
      </c>
      <c r="C65" s="118">
        <v>413107664474.34033</v>
      </c>
      <c r="D65" s="118">
        <v>445163876086.47198</v>
      </c>
      <c r="E65" s="118">
        <v>479830974478.68054</v>
      </c>
      <c r="F65" s="118">
        <v>517309072057.58295</v>
      </c>
      <c r="G65" s="295"/>
      <c r="H65" s="295"/>
      <c r="I65" s="295"/>
      <c r="J65" s="295"/>
      <c r="K65" s="295"/>
      <c r="L65" s="295"/>
    </row>
    <row r="66" spans="1:21" ht="13.15">
      <c r="A66" s="131">
        <v>15</v>
      </c>
      <c r="B66" s="118">
        <v>412504854807.04333</v>
      </c>
      <c r="C66" s="277">
        <v>412504854807.04333</v>
      </c>
      <c r="D66" s="118">
        <v>454614471400.29492</v>
      </c>
      <c r="E66" s="118">
        <v>501843901830.70947</v>
      </c>
      <c r="F66" s="118">
        <v>554825118771.83691</v>
      </c>
      <c r="G66" s="295"/>
      <c r="H66" s="295"/>
      <c r="I66" s="295"/>
      <c r="J66" s="295"/>
      <c r="K66" s="295"/>
      <c r="L66" s="295"/>
      <c r="M66" s="275"/>
      <c r="N66" s="275"/>
      <c r="O66" s="275"/>
      <c r="P66" s="275"/>
      <c r="Q66" s="275"/>
      <c r="R66" s="275"/>
      <c r="S66" s="275"/>
      <c r="T66" s="275"/>
      <c r="U66" s="275"/>
    </row>
    <row r="67" spans="1:21" ht="13.15">
      <c r="A67" s="132">
        <v>20</v>
      </c>
      <c r="B67" s="118">
        <v>412080045811.84357</v>
      </c>
      <c r="C67" s="277">
        <v>412080045811.84357</v>
      </c>
      <c r="D67" s="118">
        <v>461614173079.27698</v>
      </c>
      <c r="E67" s="118">
        <v>518971330001.22839</v>
      </c>
      <c r="F67" s="118">
        <v>585474145452.20325</v>
      </c>
      <c r="G67" s="295"/>
      <c r="H67" s="295"/>
      <c r="I67" s="295"/>
      <c r="J67" s="295"/>
      <c r="K67" s="295"/>
      <c r="L67" s="295"/>
      <c r="M67" s="275"/>
      <c r="N67" s="275"/>
      <c r="O67" s="275"/>
      <c r="P67" s="275"/>
      <c r="Q67" s="275"/>
      <c r="R67" s="275"/>
      <c r="S67" s="275"/>
      <c r="T67" s="275"/>
      <c r="U67" s="275"/>
    </row>
    <row r="68" spans="1:21" ht="13.15">
      <c r="A68" s="132">
        <v>25</v>
      </c>
      <c r="B68" s="118">
        <v>411780676554.52576</v>
      </c>
      <c r="C68" s="277">
        <v>411780676554.52576</v>
      </c>
      <c r="D68" s="118">
        <v>466798589718.41498</v>
      </c>
      <c r="E68" s="118">
        <v>532297535600.55981</v>
      </c>
      <c r="F68" s="118">
        <v>610513106609.50757</v>
      </c>
      <c r="G68" s="295"/>
      <c r="H68" s="295"/>
      <c r="I68" s="295"/>
      <c r="J68" s="295"/>
      <c r="K68" s="295"/>
      <c r="L68" s="295"/>
      <c r="M68" s="275"/>
      <c r="N68" s="275"/>
      <c r="O68" s="275"/>
      <c r="P68" s="275"/>
      <c r="Q68" s="275"/>
      <c r="R68" s="275"/>
      <c r="S68" s="275"/>
      <c r="T68" s="275"/>
      <c r="U68" s="275"/>
    </row>
    <row r="69" spans="1:21" ht="13.15">
      <c r="A69" s="132">
        <v>30</v>
      </c>
      <c r="B69" s="118">
        <v>411569706558.034</v>
      </c>
      <c r="C69" s="277">
        <v>411569706558.034</v>
      </c>
      <c r="D69" s="118">
        <v>470638492777.26648</v>
      </c>
      <c r="E69" s="118">
        <v>542666153346.76239</v>
      </c>
      <c r="F69" s="118">
        <v>630968881025.2937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v>
      </c>
      <c r="D72" s="124">
        <f>D55</f>
        <v>0.01</v>
      </c>
      <c r="E72" s="124">
        <f>E55</f>
        <v>0.02</v>
      </c>
      <c r="F72" s="124">
        <f>F55</f>
        <v>0.03</v>
      </c>
      <c r="G72" s="124"/>
      <c r="H72" s="124"/>
      <c r="I72" s="124"/>
      <c r="J72" s="124"/>
      <c r="K72" s="124"/>
      <c r="L72" s="124"/>
    </row>
    <row r="73" spans="1:21" ht="13.15">
      <c r="A73" s="131">
        <v>0</v>
      </c>
      <c r="B73" s="119">
        <f>C11</f>
        <v>154.55168149689248</v>
      </c>
      <c r="C73" s="119">
        <f>C11</f>
        <v>154.55168149689248</v>
      </c>
      <c r="D73" s="119">
        <f>C11</f>
        <v>154.55168149689248</v>
      </c>
      <c r="E73" s="119">
        <f>C11</f>
        <v>154.55168149689248</v>
      </c>
      <c r="F73" s="119">
        <f>C11</f>
        <v>154.55168149689248</v>
      </c>
      <c r="G73" s="296"/>
      <c r="H73" s="296"/>
      <c r="I73" s="296"/>
      <c r="J73" s="296"/>
      <c r="K73" s="296"/>
      <c r="L73" s="296"/>
    </row>
    <row r="74" spans="1:21" ht="13.15">
      <c r="A74" s="131">
        <v>1</v>
      </c>
      <c r="B74" s="119">
        <f t="shared" ref="B74:F87" si="11">(B56+FV_adjustments)/Common_Shares*scaling_factor*Exchange_Rate</f>
        <v>137.36648992669296</v>
      </c>
      <c r="C74" s="119">
        <f t="shared" si="11"/>
        <v>137.36648992669296</v>
      </c>
      <c r="D74" s="119">
        <f t="shared" si="11"/>
        <v>138.43537426284027</v>
      </c>
      <c r="E74" s="119">
        <f t="shared" si="11"/>
        <v>139.50425859898755</v>
      </c>
      <c r="F74" s="119">
        <f t="shared" si="11"/>
        <v>140.57314293513483</v>
      </c>
      <c r="G74" s="296"/>
      <c r="H74" s="296"/>
      <c r="I74" s="296"/>
      <c r="J74" s="296"/>
      <c r="K74" s="296"/>
      <c r="L74" s="296"/>
    </row>
    <row r="75" spans="1:21" ht="13.15">
      <c r="A75" s="131">
        <v>2</v>
      </c>
      <c r="B75" s="119">
        <f t="shared" si="11"/>
        <v>137.29974111884559</v>
      </c>
      <c r="C75" s="119">
        <f t="shared" si="11"/>
        <v>137.29974111884559</v>
      </c>
      <c r="D75" s="119">
        <f t="shared" si="11"/>
        <v>139.3745530060834</v>
      </c>
      <c r="E75" s="119">
        <f t="shared" si="11"/>
        <v>141.46929746835428</v>
      </c>
      <c r="F75" s="119">
        <f t="shared" si="11"/>
        <v>143.5839745056582</v>
      </c>
      <c r="G75" s="296"/>
      <c r="H75" s="296"/>
      <c r="I75" s="296"/>
      <c r="J75" s="296"/>
      <c r="K75" s="296"/>
      <c r="L75" s="296"/>
    </row>
    <row r="76" spans="1:21" ht="13.15">
      <c r="A76" s="131">
        <v>3</v>
      </c>
      <c r="B76" s="119">
        <f t="shared" si="11"/>
        <v>137.23750446817203</v>
      </c>
      <c r="C76" s="119">
        <f t="shared" si="11"/>
        <v>137.23750446817203</v>
      </c>
      <c r="D76" s="119">
        <f t="shared" si="11"/>
        <v>140.25900105333335</v>
      </c>
      <c r="E76" s="119">
        <f t="shared" si="11"/>
        <v>143.33814562383591</v>
      </c>
      <c r="F76" s="119">
        <f t="shared" si="11"/>
        <v>146.47549573422609</v>
      </c>
      <c r="G76" s="296"/>
      <c r="H76" s="296"/>
      <c r="I76" s="296"/>
      <c r="J76" s="296"/>
      <c r="K76" s="296"/>
      <c r="L76" s="296"/>
    </row>
    <row r="77" spans="1:21" ht="13.15">
      <c r="A77" s="131">
        <v>4</v>
      </c>
      <c r="B77" s="119">
        <f t="shared" si="11"/>
        <v>137.17947495705448</v>
      </c>
      <c r="C77" s="119">
        <f t="shared" si="11"/>
        <v>137.17947495705448</v>
      </c>
      <c r="D77" s="119">
        <f t="shared" si="11"/>
        <v>141.09190783908855</v>
      </c>
      <c r="E77" s="119">
        <f t="shared" si="11"/>
        <v>145.11551170177646</v>
      </c>
      <c r="F77" s="119">
        <f t="shared" si="11"/>
        <v>149.25243453648707</v>
      </c>
      <c r="G77" s="296"/>
      <c r="H77" s="296"/>
      <c r="I77" s="296"/>
      <c r="J77" s="296"/>
      <c r="K77" s="296"/>
      <c r="L77" s="296"/>
    </row>
    <row r="78" spans="1:21" ht="13.15">
      <c r="A78" s="131">
        <v>5</v>
      </c>
      <c r="B78" s="119">
        <f t="shared" si="11"/>
        <v>137.12536818678171</v>
      </c>
      <c r="C78" s="119">
        <f t="shared" si="11"/>
        <v>137.12536818678171</v>
      </c>
      <c r="D78" s="119">
        <f t="shared" si="11"/>
        <v>141.87627693336617</v>
      </c>
      <c r="E78" s="119">
        <f t="shared" si="11"/>
        <v>146.80587384583183</v>
      </c>
      <c r="F78" s="119">
        <f t="shared" si="11"/>
        <v>151.919331474789</v>
      </c>
      <c r="G78" s="296"/>
      <c r="H78" s="296"/>
      <c r="I78" s="296"/>
      <c r="J78" s="296"/>
      <c r="K78" s="296"/>
      <c r="L78" s="296"/>
    </row>
    <row r="79" spans="1:21" ht="13.15">
      <c r="A79" s="131">
        <v>6</v>
      </c>
      <c r="B79" s="119">
        <f t="shared" si="11"/>
        <v>137.07491898373019</v>
      </c>
      <c r="C79" s="119">
        <f t="shared" si="11"/>
        <v>137.07491898373019</v>
      </c>
      <c r="D79" s="119">
        <f t="shared" si="11"/>
        <v>142.61493687296561</v>
      </c>
      <c r="E79" s="119">
        <f t="shared" si="11"/>
        <v>148.41349098982855</v>
      </c>
      <c r="F79" s="119">
        <f t="shared" si="11"/>
        <v>154.4805471824356</v>
      </c>
      <c r="G79" s="296"/>
      <c r="H79" s="296"/>
      <c r="I79" s="296"/>
      <c r="J79" s="296"/>
      <c r="K79" s="296"/>
      <c r="L79" s="296"/>
    </row>
    <row r="80" spans="1:21" ht="13.15">
      <c r="A80" s="131">
        <f t="shared" ref="A80" si="12">A62</f>
        <v>7</v>
      </c>
      <c r="B80" s="119">
        <f t="shared" si="11"/>
        <v>137.02788009976607</v>
      </c>
      <c r="C80" s="119">
        <f t="shared" si="11"/>
        <v>137.02788009976607</v>
      </c>
      <c r="D80" s="119">
        <f t="shared" si="11"/>
        <v>143.31055136153947</v>
      </c>
      <c r="E80" s="119">
        <f t="shared" si="11"/>
        <v>149.94241358831493</v>
      </c>
      <c r="F80" s="119">
        <f t="shared" si="11"/>
        <v>156.94026949374194</v>
      </c>
      <c r="G80" s="296"/>
      <c r="H80" s="296"/>
      <c r="I80" s="296"/>
      <c r="J80" s="296"/>
      <c r="K80" s="296"/>
      <c r="L80" s="296"/>
    </row>
    <row r="81" spans="1:12" ht="13.15">
      <c r="A81" s="131">
        <v>8</v>
      </c>
      <c r="B81" s="119">
        <f t="shared" si="11"/>
        <v>136.98402100049881</v>
      </c>
      <c r="C81" s="119">
        <f t="shared" si="11"/>
        <v>136.98402100049881</v>
      </c>
      <c r="D81" s="119">
        <f t="shared" si="11"/>
        <v>143.96562887525465</v>
      </c>
      <c r="E81" s="119">
        <f t="shared" si="11"/>
        <v>151.39649382184047</v>
      </c>
      <c r="F81" s="119">
        <f t="shared" si="11"/>
        <v>159.30252029154659</v>
      </c>
      <c r="G81" s="296"/>
      <c r="H81" s="296"/>
      <c r="I81" s="296"/>
      <c r="J81" s="296"/>
      <c r="K81" s="296"/>
      <c r="L81" s="296"/>
    </row>
    <row r="82" spans="1:12" ht="13.15">
      <c r="A82" s="131">
        <f t="shared" ref="A82" si="13">A64</f>
        <v>9</v>
      </c>
      <c r="B82" s="119">
        <f t="shared" si="11"/>
        <v>136.94312673544775</v>
      </c>
      <c r="C82" s="119">
        <f t="shared" si="11"/>
        <v>136.94312673544775</v>
      </c>
      <c r="D82" s="119">
        <f t="shared" si="11"/>
        <v>144.58253170868343</v>
      </c>
      <c r="E82" s="119">
        <f t="shared" si="11"/>
        <v>152.77939530267588</v>
      </c>
      <c r="F82" s="119">
        <f t="shared" si="11"/>
        <v>161.5711620833776</v>
      </c>
      <c r="G82" s="296"/>
      <c r="H82" s="296"/>
      <c r="I82" s="296"/>
      <c r="J82" s="296"/>
      <c r="K82" s="296"/>
      <c r="L82" s="296"/>
    </row>
    <row r="83" spans="1:12" ht="13.15">
      <c r="A83" s="131">
        <f t="shared" ref="A83:A87" si="14">A65</f>
        <v>10</v>
      </c>
      <c r="B83" s="119">
        <f t="shared" si="11"/>
        <v>136.90499688458434</v>
      </c>
      <c r="C83" s="119">
        <f t="shared" si="11"/>
        <v>136.90499688458434</v>
      </c>
      <c r="D83" s="119">
        <f t="shared" si="11"/>
        <v>145.16348449354413</v>
      </c>
      <c r="E83" s="119">
        <f t="shared" si="11"/>
        <v>154.09460230542851</v>
      </c>
      <c r="F83" s="119">
        <f t="shared" si="11"/>
        <v>163.7499043170242</v>
      </c>
      <c r="G83" s="296"/>
      <c r="H83" s="296"/>
      <c r="I83" s="296"/>
      <c r="J83" s="296"/>
      <c r="K83" s="296"/>
      <c r="L83" s="296"/>
    </row>
    <row r="84" spans="1:12" ht="13.15">
      <c r="A84" s="131">
        <f t="shared" si="14"/>
        <v>15</v>
      </c>
      <c r="B84" s="119">
        <f t="shared" si="11"/>
        <v>136.74969792948104</v>
      </c>
      <c r="C84" s="119">
        <f t="shared" si="11"/>
        <v>136.74969792948104</v>
      </c>
      <c r="D84" s="119">
        <f t="shared" si="11"/>
        <v>147.59819590738326</v>
      </c>
      <c r="E84" s="119">
        <f t="shared" si="11"/>
        <v>159.7656868981214</v>
      </c>
      <c r="F84" s="119">
        <f t="shared" si="11"/>
        <v>173.41498298182717</v>
      </c>
      <c r="G84" s="296"/>
      <c r="H84" s="296"/>
      <c r="I84" s="296"/>
      <c r="J84" s="296"/>
      <c r="K84" s="296"/>
      <c r="L84" s="296"/>
    </row>
    <row r="85" spans="1:12" ht="13.15">
      <c r="A85" s="132">
        <f t="shared" si="14"/>
        <v>20</v>
      </c>
      <c r="B85" s="119">
        <f t="shared" si="11"/>
        <v>136.64025643135642</v>
      </c>
      <c r="C85" s="119">
        <f t="shared" si="11"/>
        <v>136.64025643135642</v>
      </c>
      <c r="D85" s="119">
        <f t="shared" si="11"/>
        <v>149.40149538274645</v>
      </c>
      <c r="E85" s="119">
        <f t="shared" si="11"/>
        <v>164.17814383567321</v>
      </c>
      <c r="F85" s="119">
        <f t="shared" si="11"/>
        <v>181.31094430530098</v>
      </c>
      <c r="G85" s="296"/>
      <c r="H85" s="296"/>
      <c r="I85" s="296"/>
      <c r="J85" s="296"/>
      <c r="K85" s="296"/>
      <c r="L85" s="296"/>
    </row>
    <row r="86" spans="1:12" ht="13.15">
      <c r="A86" s="132">
        <f t="shared" si="14"/>
        <v>25</v>
      </c>
      <c r="B86" s="119">
        <f t="shared" si="11"/>
        <v>136.56313136954384</v>
      </c>
      <c r="C86" s="119">
        <f t="shared" si="11"/>
        <v>136.56313136954384</v>
      </c>
      <c r="D86" s="119">
        <f t="shared" si="11"/>
        <v>150.73713170471916</v>
      </c>
      <c r="E86" s="119">
        <f t="shared" si="11"/>
        <v>167.61131008588848</v>
      </c>
      <c r="F86" s="119">
        <f t="shared" si="11"/>
        <v>187.76161143218525</v>
      </c>
      <c r="G86" s="296"/>
      <c r="H86" s="296"/>
      <c r="I86" s="296"/>
      <c r="J86" s="296"/>
      <c r="K86" s="296"/>
      <c r="L86" s="296"/>
    </row>
    <row r="87" spans="1:12" ht="13.15">
      <c r="A87" s="132">
        <f t="shared" si="14"/>
        <v>30</v>
      </c>
      <c r="B87" s="119">
        <f t="shared" si="11"/>
        <v>136.50878018410214</v>
      </c>
      <c r="C87" s="119">
        <f t="shared" si="11"/>
        <v>136.50878018410214</v>
      </c>
      <c r="D87" s="119">
        <f t="shared" si="11"/>
        <v>151.72638746004148</v>
      </c>
      <c r="E87" s="119">
        <f t="shared" si="11"/>
        <v>170.28252720334254</v>
      </c>
      <c r="F87" s="119">
        <f t="shared" si="11"/>
        <v>193.03153420373675</v>
      </c>
      <c r="G87" s="296"/>
      <c r="H87" s="296"/>
      <c r="I87" s="296"/>
      <c r="J87" s="296"/>
      <c r="K87" s="296"/>
      <c r="L87" s="296"/>
    </row>
    <row r="89" spans="1:12" ht="13.15">
      <c r="B89" s="153" t="s">
        <v>100</v>
      </c>
      <c r="C89" s="153" t="s">
        <v>109</v>
      </c>
      <c r="D89" s="153" t="s">
        <v>98</v>
      </c>
      <c r="E89" s="154" t="s">
        <v>99</v>
      </c>
      <c r="F89" s="154" t="s">
        <v>454</v>
      </c>
      <c r="G89" s="323"/>
      <c r="H89" s="323"/>
      <c r="I89" s="323"/>
      <c r="J89" s="323"/>
      <c r="K89" s="323"/>
      <c r="L89" s="323"/>
    </row>
    <row r="90" spans="1:12">
      <c r="B90" s="120" t="str">
        <f>Scenarios!B29</f>
        <v>Snowball Scenario</v>
      </c>
      <c r="C90" s="130">
        <f>Scenarios!C29</f>
        <v>0.03</v>
      </c>
      <c r="D90" s="133">
        <f>Scenarios!D29</f>
        <v>15</v>
      </c>
      <c r="E90" s="127">
        <f>INDEX(B$73:F$87, MATCH(D90, A$73:A$87, 0), MATCH(C90, B$72:F$72, 0))</f>
        <v>173.41498298182717</v>
      </c>
      <c r="F90" s="130">
        <f>Scenarios!F29</f>
        <v>0.15</v>
      </c>
      <c r="G90" s="297"/>
      <c r="H90" s="297"/>
      <c r="I90" s="297"/>
      <c r="J90" s="297"/>
      <c r="K90" s="297"/>
      <c r="L90" s="297"/>
    </row>
    <row r="91" spans="1:12">
      <c r="B91" s="120" t="str">
        <f>Scenarios!B22</f>
        <v>Optimistic</v>
      </c>
      <c r="C91" s="130">
        <f>Scenarios!C22</f>
        <v>0.02</v>
      </c>
      <c r="D91" s="133">
        <f>Scenarios!D22</f>
        <v>15</v>
      </c>
      <c r="E91" s="127">
        <f>INDEX(B$73:F$87, MATCH(D91, A$73:A$87, 0), MATCH(C91, B$72:F$72, 0))</f>
        <v>159.7656868981214</v>
      </c>
      <c r="F91" s="130">
        <f>Scenarios!F22*(1-F$90-F$94)</f>
        <v>0.15999999999999995</v>
      </c>
      <c r="G91" s="297"/>
      <c r="H91" s="297"/>
      <c r="I91" s="297"/>
      <c r="J91" s="297"/>
      <c r="K91" s="297"/>
      <c r="L91" s="297"/>
    </row>
    <row r="92" spans="1:12">
      <c r="B92" s="120" t="str">
        <f>Scenarios!B23</f>
        <v>Base</v>
      </c>
      <c r="C92" s="130">
        <f>Scenarios!C23</f>
        <v>0.01</v>
      </c>
      <c r="D92" s="133">
        <f>Scenarios!D23</f>
        <v>15</v>
      </c>
      <c r="E92" s="127">
        <f>INDEX(B$73:F$87, MATCH(D92, A$73:A$87, 0), MATCH(C92, B$72:F$72, 0))</f>
        <v>147.59819590738326</v>
      </c>
      <c r="F92" s="130">
        <f>Scenarios!F23*(1-F$90-F$94)</f>
        <v>0.44</v>
      </c>
      <c r="G92" s="297"/>
      <c r="H92" s="297"/>
      <c r="I92" s="297"/>
      <c r="J92" s="297"/>
      <c r="K92" s="297"/>
      <c r="L92" s="297"/>
    </row>
    <row r="93" spans="1:12">
      <c r="B93" s="120" t="str">
        <f>Scenarios!B24</f>
        <v>Pessimistic</v>
      </c>
      <c r="C93" s="130">
        <f>Scenarios!C24</f>
        <v>0</v>
      </c>
      <c r="D93" s="133">
        <f>Scenarios!D24</f>
        <v>15</v>
      </c>
      <c r="E93" s="127">
        <f>INDEX(B$73:F$87, MATCH(D93, A$73:A$87, 0), MATCH(C93, B$72:F$72, 0))</f>
        <v>136.74969792948104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136.74969792948104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539</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000858.SZ – 五粮液: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41020173396.499992</v>
      </c>
      <c r="D7" s="469"/>
      <c r="E7" s="469"/>
      <c r="F7" s="469"/>
      <c r="G7" s="469"/>
    </row>
    <row r="8" spans="2:7">
      <c r="B8" s="97" t="s">
        <v>62</v>
      </c>
      <c r="C8" s="447">
        <f>Normalized_FCF!G19</f>
        <v>26458526825.471798</v>
      </c>
      <c r="D8" s="469"/>
      <c r="E8" s="469"/>
      <c r="F8" s="469"/>
      <c r="G8" s="469"/>
    </row>
    <row r="9" spans="2:7">
      <c r="B9" s="97" t="s">
        <v>53</v>
      </c>
      <c r="C9" s="447">
        <f>Normalized_FCF!C19</f>
        <v>29802300540.048637</v>
      </c>
      <c r="D9" s="469"/>
      <c r="E9" s="469"/>
      <c r="F9" s="469"/>
      <c r="G9" s="469"/>
    </row>
    <row r="10" spans="2:7">
      <c r="C10" s="448"/>
      <c r="D10" s="469"/>
      <c r="E10" s="469"/>
      <c r="F10" s="469"/>
      <c r="G10" s="469"/>
    </row>
    <row r="11" spans="2:7" ht="13.15">
      <c r="B11" s="145" t="s">
        <v>319</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450</v>
      </c>
      <c r="C16" s="35"/>
      <c r="D16" s="35"/>
      <c r="E16" s="35"/>
      <c r="F16" s="35"/>
      <c r="G16" s="35"/>
    </row>
    <row r="17" spans="2:7" ht="13.15">
      <c r="B17" s="106" t="s">
        <v>125</v>
      </c>
      <c r="E17" s="222" t="s">
        <v>250</v>
      </c>
    </row>
    <row r="18" spans="2:7" ht="12.75" customHeight="1">
      <c r="B18" s="139" t="s">
        <v>110</v>
      </c>
      <c r="C18" s="137">
        <v>15</v>
      </c>
      <c r="E18" s="450" t="s">
        <v>540</v>
      </c>
      <c r="F18" s="319"/>
    </row>
    <row r="19" spans="2:7">
      <c r="E19" s="319"/>
      <c r="F19" s="319"/>
    </row>
    <row r="20" spans="2:7" ht="13.15">
      <c r="B20" s="106" t="s">
        <v>447</v>
      </c>
      <c r="E20" s="319"/>
      <c r="F20" s="319"/>
    </row>
    <row r="21" spans="2:7" ht="13.15">
      <c r="B21" s="153" t="s">
        <v>433</v>
      </c>
      <c r="C21" s="153" t="s">
        <v>376</v>
      </c>
      <c r="D21" s="153" t="s">
        <v>445</v>
      </c>
      <c r="E21" s="154" t="str">
        <f>"Value per share ("&amp;Market_currency&amp;")"</f>
        <v>Value per share (CNY)</v>
      </c>
      <c r="F21" s="154" t="s">
        <v>446</v>
      </c>
      <c r="G21" s="154" t="s">
        <v>454</v>
      </c>
    </row>
    <row r="22" spans="2:7">
      <c r="B22" s="302" t="s">
        <v>442</v>
      </c>
      <c r="C22" s="324">
        <v>0.02</v>
      </c>
      <c r="D22" s="325">
        <f>C18</f>
        <v>15</v>
      </c>
      <c r="E22" s="326">
        <f>DCF!E91</f>
        <v>159.7656868981214</v>
      </c>
      <c r="F22" s="328">
        <f>1-F23-F24</f>
        <v>0.19999999999999996</v>
      </c>
      <c r="G22" s="328">
        <f>F22*(1-F$29-F$30)</f>
        <v>0.15999999999999995</v>
      </c>
    </row>
    <row r="23" spans="2:7">
      <c r="B23" s="302" t="s">
        <v>434</v>
      </c>
      <c r="C23" s="324">
        <v>0.01</v>
      </c>
      <c r="D23" s="325">
        <f>C18</f>
        <v>15</v>
      </c>
      <c r="E23" s="326">
        <f>DCF!E92</f>
        <v>147.59819590738326</v>
      </c>
      <c r="F23" s="327">
        <v>0.55000000000000004</v>
      </c>
      <c r="G23" s="328">
        <f t="shared" ref="G23:G24" si="0">F23*(1-F$29-F$30)</f>
        <v>0.44</v>
      </c>
    </row>
    <row r="24" spans="2:7">
      <c r="B24" s="302" t="s">
        <v>443</v>
      </c>
      <c r="C24" s="324">
        <v>0</v>
      </c>
      <c r="D24" s="325">
        <f>C18</f>
        <v>15</v>
      </c>
      <c r="E24" s="326">
        <f>DCF!E93</f>
        <v>136.74969792948104</v>
      </c>
      <c r="F24" s="327">
        <v>0.25</v>
      </c>
      <c r="G24" s="328">
        <f t="shared" si="0"/>
        <v>0.19999999999999998</v>
      </c>
    </row>
    <row r="25" spans="2:7">
      <c r="B25" s="141" t="s">
        <v>448</v>
      </c>
      <c r="C25" s="441">
        <f>E23*F23+E24*F24+E22*F22</f>
        <v>147.31956961105533</v>
      </c>
      <c r="D25" s="141" t="str">
        <f>Market_currency</f>
        <v>CNY</v>
      </c>
      <c r="G25" s="149"/>
    </row>
    <row r="27" spans="2:7" ht="13.15">
      <c r="B27" s="106" t="s">
        <v>449</v>
      </c>
    </row>
    <row r="28" spans="2:7" ht="13.15">
      <c r="B28" s="153" t="s">
        <v>433</v>
      </c>
      <c r="C28" s="153" t="s">
        <v>376</v>
      </c>
      <c r="D28" s="153" t="s">
        <v>445</v>
      </c>
      <c r="E28" s="154" t="str">
        <f>"Value per share ("&amp;Market_currency&amp;")"</f>
        <v>Value per share (CNY)</v>
      </c>
      <c r="F28" s="154" t="s">
        <v>446</v>
      </c>
      <c r="G28" s="154" t="s">
        <v>454</v>
      </c>
    </row>
    <row r="29" spans="2:7">
      <c r="B29" s="302" t="s">
        <v>441</v>
      </c>
      <c r="C29" s="324">
        <v>0.03</v>
      </c>
      <c r="D29" s="325">
        <f>C18</f>
        <v>15</v>
      </c>
      <c r="E29" s="326">
        <f>DCF!E90</f>
        <v>173.41498298182717</v>
      </c>
      <c r="F29" s="327">
        <v>0.15</v>
      </c>
      <c r="G29" s="328">
        <f>F29</f>
        <v>0.15</v>
      </c>
    </row>
    <row r="30" spans="2:7">
      <c r="B30" s="315" t="s">
        <v>444</v>
      </c>
      <c r="C30" s="324">
        <v>0</v>
      </c>
      <c r="D30" s="325">
        <f>C18</f>
        <v>15</v>
      </c>
      <c r="E30" s="326">
        <f>DCF!E94</f>
        <v>136.74969792948104</v>
      </c>
      <c r="F30" s="327">
        <v>0.05</v>
      </c>
      <c r="G30" s="328">
        <f>F30</f>
        <v>0.05</v>
      </c>
    </row>
    <row r="31" spans="2:7">
      <c r="E31" s="329"/>
      <c r="F31" s="329"/>
    </row>
    <row r="32" spans="2:7" ht="13.15">
      <c r="B32" s="145" t="s">
        <v>453</v>
      </c>
    </row>
    <row r="33" spans="2:7">
      <c r="B33" s="97" t="s">
        <v>455</v>
      </c>
      <c r="C33" s="155">
        <f>Normalized_FCF!C88*(1-dividend_tax_rate)</f>
        <v>2.8521000000000001</v>
      </c>
      <c r="D33" t="str">
        <f>Market_currency</f>
        <v>CNY</v>
      </c>
      <c r="E33" s="97" t="s">
        <v>452</v>
      </c>
      <c r="F33" s="219">
        <f>Holding_Period</f>
        <v>3</v>
      </c>
    </row>
    <row r="34" spans="2:7">
      <c r="B34" s="97" t="s">
        <v>232</v>
      </c>
      <c r="C34" s="146">
        <f>Market_Price</f>
        <v>101.27</v>
      </c>
      <c r="D34" t="str">
        <f>Market_currency</f>
        <v>CNY</v>
      </c>
      <c r="E34" s="97" t="s">
        <v>451</v>
      </c>
      <c r="F34" s="330">
        <f>RATE(Holding_Period,$C$33,-C34,$C$36)</f>
        <v>0.16655268298421899</v>
      </c>
    </row>
    <row r="35" spans="2:7">
      <c r="B35" s="97" t="s">
        <v>431</v>
      </c>
      <c r="C35" s="320">
        <f>DCF!C11</f>
        <v>154.55168149689248</v>
      </c>
      <c r="D35" s="97" t="str">
        <f>Market_currency</f>
        <v>CNY</v>
      </c>
      <c r="E35" s="97" t="s">
        <v>451</v>
      </c>
      <c r="F35" s="330">
        <f>RATE(Holding_Period,$C$33,-C35,$C$36)</f>
        <v>1.0242821335361347E-2</v>
      </c>
    </row>
    <row r="36" spans="2:7">
      <c r="B36" s="97" t="s">
        <v>432</v>
      </c>
      <c r="C36" s="321">
        <f>E22*G22+E23*G23+E24*G24+E30*G30+E29*G29</f>
        <v>150.70538803259237</v>
      </c>
      <c r="D36" t="str">
        <f>Market_currency</f>
        <v>CNY</v>
      </c>
      <c r="E36" s="97" t="s">
        <v>457</v>
      </c>
      <c r="F36" s="331" t="s">
        <v>456</v>
      </c>
    </row>
    <row r="38" spans="2:7" ht="13.9">
      <c r="B38" s="34" t="s">
        <v>408</v>
      </c>
      <c r="C38" s="35"/>
      <c r="D38" s="35"/>
      <c r="E38" s="35"/>
      <c r="F38" s="35"/>
      <c r="G38" s="35"/>
    </row>
    <row r="39" spans="2:7" ht="13.15">
      <c r="B39" s="414" t="str">
        <f>IF(DCF!F14="II","2","1")&amp;"-stage DCF"</f>
        <v>1-stage DCF</v>
      </c>
      <c r="E39" s="222" t="s">
        <v>250</v>
      </c>
    </row>
    <row r="40" spans="2:7">
      <c r="B40" t="s">
        <v>547</v>
      </c>
      <c r="C40" s="126">
        <f>Normalized_FCF!E116</f>
        <v>0.4665778415257858</v>
      </c>
      <c r="E40" s="97" t="s">
        <v>398</v>
      </c>
    </row>
    <row r="41" spans="2:7">
      <c r="B41" s="97" t="s">
        <v>397</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164.84370370396726</v>
      </c>
      <c r="D47" s="146" t="str">
        <f>Market_currency</f>
        <v>CNY</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0.20223600967321193</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330</v>
      </c>
      <c r="C58" s="155">
        <f>C33</f>
        <v>2.8521000000000001</v>
      </c>
      <c r="D58" t="str">
        <f>Market_currency</f>
        <v>CNY</v>
      </c>
    </row>
    <row r="60" spans="2:7" ht="13.15">
      <c r="B60" s="106" t="s">
        <v>470</v>
      </c>
      <c r="E60" s="413"/>
    </row>
    <row r="61" spans="2:7" ht="13.15">
      <c r="B61" s="153" t="s">
        <v>459</v>
      </c>
      <c r="C61" s="153" t="s">
        <v>102</v>
      </c>
      <c r="D61" s="153" t="s">
        <v>103</v>
      </c>
      <c r="E61" s="154" t="str">
        <f>"Buy below ("&amp;Market_currency&amp;")"</f>
        <v>Buy below (CNY)</v>
      </c>
      <c r="F61" s="154" t="s">
        <v>451</v>
      </c>
      <c r="G61" s="154" t="s">
        <v>458</v>
      </c>
    </row>
    <row r="62" spans="2:7" ht="13.15">
      <c r="B62" s="302" t="s">
        <v>310</v>
      </c>
      <c r="C62" s="119">
        <f>PV(F62, Holding_Period, -C58, 0)</f>
        <v>5.179735548475195</v>
      </c>
      <c r="D62" s="119">
        <f>C36/(1+F62)^Holding_Period</f>
        <v>68.595989090847667</v>
      </c>
      <c r="E62" s="332">
        <f>C62+D62</f>
        <v>73.77572463932286</v>
      </c>
      <c r="F62" s="301">
        <f>Thesis!E22</f>
        <v>0.3</v>
      </c>
      <c r="G62" s="440">
        <f>(1-E62/C36)</f>
        <v>0.51046392167897991</v>
      </c>
    </row>
    <row r="63" spans="2:7" ht="13.15">
      <c r="B63" s="302" t="s">
        <v>311</v>
      </c>
      <c r="C63" s="119">
        <f>PV(F63, Holding_Period, -C58, 0)</f>
        <v>6.0078958333333334</v>
      </c>
      <c r="D63" s="119">
        <f>C36/(1+F63)^Holding_Period</f>
        <v>87.213766222565027</v>
      </c>
      <c r="E63" s="332">
        <f>C63+D63</f>
        <v>93.221662055898364</v>
      </c>
      <c r="F63" s="301">
        <f>Thesis!E23</f>
        <v>0.2</v>
      </c>
      <c r="G63" s="440">
        <f>(1-E63/C36)</f>
        <v>0.38143112683046387</v>
      </c>
    </row>
    <row r="65" spans="2:7" ht="13.15">
      <c r="B65" s="153" t="s">
        <v>460</v>
      </c>
      <c r="C65" s="153" t="s">
        <v>102</v>
      </c>
      <c r="D65" s="153" t="s">
        <v>103</v>
      </c>
      <c r="E65" s="154" t="str">
        <f>"Sell above ("&amp;Market_currency&amp;")"</f>
        <v>Sell above (CNY)</v>
      </c>
      <c r="F65" s="154" t="s">
        <v>451</v>
      </c>
      <c r="G65" s="154" t="s">
        <v>458</v>
      </c>
    </row>
    <row r="66" spans="2:7" ht="13.15">
      <c r="B66" s="302" t="s">
        <v>313</v>
      </c>
      <c r="C66" s="119">
        <f>PV(F66, Holding_Period, -C58, 0)</f>
        <v>7.2582809357033913</v>
      </c>
      <c r="D66" s="119">
        <f>C36/(1+F66)^Holding_Period</f>
        <v>117.33839602556841</v>
      </c>
      <c r="E66" s="332">
        <f>C66+D66</f>
        <v>124.59667696127181</v>
      </c>
      <c r="F66" s="301">
        <f>Thesis!E24</f>
        <v>8.6999999999999994E-2</v>
      </c>
      <c r="G66" s="440">
        <f>(1-E66/C36)</f>
        <v>0.1732433817540362</v>
      </c>
    </row>
    <row r="67" spans="2:7" ht="13.15">
      <c r="B67" s="302" t="s">
        <v>312</v>
      </c>
      <c r="C67" s="119">
        <f>PV(F67, Holding_Period, -C58, 0)</f>
        <v>7.4507553854201589</v>
      </c>
      <c r="D67" s="119">
        <f>C36/(1+F67)^Holding_Period</f>
        <v>122.16220891599889</v>
      </c>
      <c r="E67" s="332">
        <f>C67+D67</f>
        <v>129.61296430141905</v>
      </c>
      <c r="F67" s="301">
        <f>Thesis!E25</f>
        <v>7.2499999999999995E-2</v>
      </c>
      <c r="G67" s="440">
        <f>(1-E67/C36)</f>
        <v>0.13995799358289529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331</v>
      </c>
      <c r="B2" s="345"/>
      <c r="C2" s="345"/>
      <c r="D2" s="345"/>
      <c r="E2" s="345"/>
      <c r="F2" s="345"/>
      <c r="G2" s="346"/>
      <c r="H2" s="346"/>
      <c r="I2" s="346"/>
      <c r="J2" s="346"/>
    </row>
    <row r="3" spans="1:10">
      <c r="E3" s="435" t="s">
        <v>538</v>
      </c>
      <c r="F3" s="436">
        <f>Thesis!F3</f>
        <v>46066</v>
      </c>
    </row>
    <row r="4" spans="1:10">
      <c r="B4" s="422" t="s">
        <v>530</v>
      </c>
      <c r="C4" s="423" t="str">
        <f>Thesis!C4</f>
        <v>五粮液</v>
      </c>
      <c r="D4" s="349"/>
      <c r="E4" s="434" t="s">
        <v>536</v>
      </c>
      <c r="F4" s="437" t="str">
        <f>Thesis!F4</f>
        <v>CN</v>
      </c>
    </row>
    <row r="5" spans="1:10">
      <c r="B5" s="343" t="s">
        <v>361</v>
      </c>
      <c r="C5" s="355" t="str">
        <f>Thesis!C5</f>
        <v>000858.SZ</v>
      </c>
      <c r="E5" s="438" t="s">
        <v>537</v>
      </c>
      <c r="F5" s="439" t="str">
        <f>Thesis!F5</f>
        <v>N</v>
      </c>
    </row>
    <row r="6" spans="1:10">
      <c r="B6" s="350" t="s">
        <v>333</v>
      </c>
      <c r="C6" s="352" t="str">
        <f>Thesis!C6</f>
        <v>CNS_01</v>
      </c>
      <c r="E6" s="354"/>
    </row>
    <row r="7" spans="1:10">
      <c r="B7" s="343" t="s">
        <v>363</v>
      </c>
      <c r="C7" s="352" t="str">
        <f>Market_currency</f>
        <v>CNY</v>
      </c>
      <c r="D7" s="354"/>
      <c r="E7" s="354"/>
    </row>
    <row r="8" spans="1:10">
      <c r="B8" s="351" t="s">
        <v>362</v>
      </c>
      <c r="C8" s="356">
        <f>Market_Price</f>
        <v>101.27</v>
      </c>
    </row>
    <row r="9" spans="1:10">
      <c r="B9" s="351" t="s">
        <v>358</v>
      </c>
      <c r="C9" s="353">
        <f>Common_Shares</f>
        <v>3881608005</v>
      </c>
    </row>
    <row r="10" spans="1:10">
      <c r="B10" s="351" t="s">
        <v>364</v>
      </c>
      <c r="C10" s="357">
        <f>投资主题!C8*Common_Shares/1000000</f>
        <v>393090.44266634999</v>
      </c>
      <c r="D10" s="343" t="s">
        <v>525</v>
      </c>
      <c r="E10" s="360">
        <f>Scenarios!F34</f>
        <v>0.16655268298421899</v>
      </c>
    </row>
    <row r="11" spans="1:10">
      <c r="D11" s="349"/>
      <c r="E11" s="349"/>
    </row>
    <row r="12" spans="1:10" ht="24.5" customHeight="1">
      <c r="B12" s="474" t="s">
        <v>494</v>
      </c>
      <c r="C12" s="474"/>
      <c r="D12" s="474"/>
      <c r="E12" s="474"/>
      <c r="F12" s="474"/>
    </row>
    <row r="14" spans="1:10">
      <c r="B14" s="347" t="s">
        <v>367</v>
      </c>
      <c r="C14" s="348"/>
      <c r="D14" s="349"/>
    </row>
    <row r="15" spans="1:10">
      <c r="B15" s="343" t="s">
        <v>334</v>
      </c>
      <c r="C15" s="358" t="str">
        <f>Thesis!C15</f>
        <v>N</v>
      </c>
      <c r="D15" s="351" t="s">
        <v>365</v>
      </c>
      <c r="E15" s="344" t="str">
        <f>IF(E17=C7,C7,E17&amp;"/"&amp;C7)</f>
        <v>CNY</v>
      </c>
    </row>
    <row r="16" spans="1:10">
      <c r="B16" s="343" t="s">
        <v>335</v>
      </c>
      <c r="C16" s="358" t="str">
        <f>Thesis!C16</f>
        <v>N</v>
      </c>
      <c r="D16" s="351" t="s">
        <v>366</v>
      </c>
      <c r="E16" s="425">
        <f>Exchange_Rate</f>
        <v>1</v>
      </c>
    </row>
    <row r="17" spans="1:6">
      <c r="B17" s="343" t="s">
        <v>531</v>
      </c>
      <c r="C17" s="424">
        <f>Terminal_Growth</f>
        <v>0.01</v>
      </c>
      <c r="D17" s="351" t="s">
        <v>336</v>
      </c>
      <c r="E17" s="344" t="str">
        <f>Reporting_currency</f>
        <v>CNY</v>
      </c>
    </row>
    <row r="18" spans="1:6">
      <c r="B18" s="343" t="str">
        <f>"预期股权价值 ("&amp;C7&amp;") :"</f>
        <v>预期股权价值 (CNY) :</v>
      </c>
      <c r="C18" s="359">
        <f>C125</f>
        <v>150.70538803259237</v>
      </c>
      <c r="D18" s="350" t="s">
        <v>359</v>
      </c>
      <c r="E18" s="426">
        <f>Thesis!E18</f>
        <v>6</v>
      </c>
    </row>
    <row r="19" spans="1:6">
      <c r="B19" s="350" t="s">
        <v>332</v>
      </c>
      <c r="C19" s="352" t="str">
        <f>IF(Scenarios!C50="Y",Scenarios!B50,"")&amp;IF(Scenarios!C51="Y",Scenarios!B51,"")&amp;IF(Scenarios!C52="Y",Scenarios!B52,"")&amp;" "&amp;IF(Scenarios!C53="Y",Scenarios!B53,"")</f>
        <v xml:space="preserve">Negative Growth </v>
      </c>
      <c r="D19" s="343" t="s">
        <v>360</v>
      </c>
      <c r="E19" s="427">
        <f>EOMONTH(EDATE(BS!C1,E18+2),0)</f>
        <v>46081</v>
      </c>
    </row>
    <row r="20" spans="1:6">
      <c r="D20" s="349"/>
      <c r="E20" s="349"/>
    </row>
    <row r="21" spans="1:6">
      <c r="B21" s="347" t="s">
        <v>490</v>
      </c>
      <c r="C21" s="361" t="str">
        <f>C138&amp;" ("&amp;Market_currency&amp;")"</f>
        <v xml:space="preserve"> (CNY)</v>
      </c>
      <c r="D21" s="362" t="s">
        <v>341</v>
      </c>
      <c r="E21" s="363">
        <f>Holding_Period</f>
        <v>3</v>
      </c>
    </row>
    <row r="22" spans="1:6">
      <c r="B22" s="343" t="s">
        <v>337</v>
      </c>
      <c r="C22" s="364">
        <f>E140</f>
        <v>73.77572463932286</v>
      </c>
      <c r="D22" s="365" t="s">
        <v>437</v>
      </c>
      <c r="E22" s="366">
        <f>Thesis!E22</f>
        <v>0.3</v>
      </c>
    </row>
    <row r="23" spans="1:6">
      <c r="B23" s="343" t="s">
        <v>338</v>
      </c>
      <c r="C23" s="367">
        <f>E141</f>
        <v>93.221662055898364</v>
      </c>
      <c r="D23" s="365" t="s">
        <v>438</v>
      </c>
      <c r="E23" s="368">
        <f>Thesis!E23</f>
        <v>0.2</v>
      </c>
    </row>
    <row r="24" spans="1:6">
      <c r="B24" s="343" t="s">
        <v>340</v>
      </c>
      <c r="C24" s="367">
        <f>E144</f>
        <v>124.59667696127181</v>
      </c>
      <c r="D24" s="365" t="s">
        <v>440</v>
      </c>
      <c r="E24" s="368">
        <f>Thesis!E24</f>
        <v>8.6999999999999994E-2</v>
      </c>
    </row>
    <row r="25" spans="1:6">
      <c r="B25" s="343" t="s">
        <v>339</v>
      </c>
      <c r="C25" s="367">
        <f>E145</f>
        <v>129.61296430141905</v>
      </c>
      <c r="D25" s="365" t="s">
        <v>439</v>
      </c>
      <c r="E25" s="368">
        <f>Thesis!E25</f>
        <v>7.2499999999999995E-2</v>
      </c>
    </row>
    <row r="27" spans="1:6" ht="13.9">
      <c r="A27" s="345" t="s">
        <v>342</v>
      </c>
      <c r="B27" s="345"/>
      <c r="C27" s="345"/>
      <c r="D27" s="345"/>
      <c r="E27" s="345"/>
      <c r="F27" s="345"/>
    </row>
    <row r="29" spans="1:6">
      <c r="B29" s="474" t="s">
        <v>495</v>
      </c>
      <c r="C29" s="474"/>
      <c r="D29" s="474"/>
      <c r="E29" s="474"/>
      <c r="F29" s="474"/>
    </row>
    <row r="30" spans="1:6" ht="24.5" customHeight="1">
      <c r="B30" s="477" t="s">
        <v>496</v>
      </c>
      <c r="C30" s="477"/>
      <c r="D30" s="477"/>
      <c r="E30" s="477"/>
      <c r="F30" s="477"/>
    </row>
    <row r="32" spans="1:6">
      <c r="B32" s="369" t="s">
        <v>368</v>
      </c>
      <c r="C32" s="370">
        <f>scaling_factor</f>
        <v>1</v>
      </c>
    </row>
    <row r="33" spans="2:6">
      <c r="B33" s="470" t="s">
        <v>497</v>
      </c>
      <c r="C33" s="470"/>
      <c r="D33" s="470"/>
      <c r="E33" s="470"/>
      <c r="F33" s="470"/>
    </row>
    <row r="34" spans="2:6">
      <c r="B34" s="372" t="s">
        <v>196</v>
      </c>
      <c r="C34" s="373">
        <f>Normalized_FCF!C8</f>
        <v>41439976411.299469</v>
      </c>
      <c r="D34" s="343" t="str">
        <f>Reporting_currency</f>
        <v>CNY</v>
      </c>
    </row>
    <row r="35" spans="2:6">
      <c r="B35" s="372"/>
      <c r="C35" s="374"/>
    </row>
    <row r="36" spans="2:6" ht="24.5" customHeight="1">
      <c r="B36" s="470" t="s">
        <v>498</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499</v>
      </c>
      <c r="C40" s="470"/>
      <c r="D40" s="470"/>
      <c r="E40" s="470"/>
      <c r="F40" s="470"/>
    </row>
    <row r="41" spans="2:6">
      <c r="B41" s="372" t="s">
        <v>201</v>
      </c>
      <c r="C41" s="373">
        <f>Normalized_FCF!C9</f>
        <v>0</v>
      </c>
      <c r="D41" s="343" t="str">
        <f>Reporting_currency</f>
        <v>CNY</v>
      </c>
    </row>
    <row r="43" spans="2:6">
      <c r="B43" s="470" t="s">
        <v>500</v>
      </c>
      <c r="C43" s="470"/>
      <c r="D43" s="470"/>
      <c r="E43" s="470"/>
      <c r="F43" s="470"/>
    </row>
    <row r="44" spans="2:6">
      <c r="B44" s="372" t="s">
        <v>266</v>
      </c>
      <c r="C44" s="376">
        <f>Normalized_FCF!C46</f>
        <v>180108053.03773659</v>
      </c>
      <c r="D44" s="343" t="str">
        <f>Reporting_currency</f>
        <v>CNY</v>
      </c>
      <c r="E44" s="371"/>
      <c r="F44" s="371"/>
    </row>
    <row r="45" spans="2:6">
      <c r="B45" s="372" t="s">
        <v>267</v>
      </c>
      <c r="C45" s="376">
        <f>Normalized_FCF!C45</f>
        <v>-12922244.854800001</v>
      </c>
      <c r="D45" s="343" t="str">
        <f>Reporting_currency</f>
        <v>CNY</v>
      </c>
      <c r="E45" s="371"/>
      <c r="F45" s="371"/>
    </row>
    <row r="46" spans="2:6">
      <c r="B46" s="372" t="s">
        <v>202</v>
      </c>
      <c r="C46" s="373">
        <f>Normalized_FCF!C10</f>
        <v>167185808.18293661</v>
      </c>
      <c r="D46" s="343" t="str">
        <f>Reporting_currency</f>
        <v>CNY</v>
      </c>
    </row>
    <row r="48" spans="2:6">
      <c r="B48" s="343" t="s">
        <v>501</v>
      </c>
    </row>
    <row r="49" spans="2:6">
      <c r="B49" s="372" t="s">
        <v>222</v>
      </c>
      <c r="C49" s="373">
        <f>Normalized_FCF!C13</f>
        <v>-1403071124.5631666</v>
      </c>
      <c r="D49" s="343" t="str">
        <f>Reporting_currency</f>
        <v>CNY</v>
      </c>
    </row>
    <row r="51" spans="2:6">
      <c r="B51" s="470" t="s">
        <v>502</v>
      </c>
      <c r="C51" s="470"/>
      <c r="D51" s="470"/>
      <c r="E51" s="470"/>
      <c r="F51" s="470"/>
    </row>
    <row r="52" spans="2:6">
      <c r="B52" s="372" t="s">
        <v>493</v>
      </c>
      <c r="C52" s="373">
        <f>Normalized_FCF!C12</f>
        <v>-10401790554.870602</v>
      </c>
      <c r="D52" s="343" t="str">
        <f>Reporting_currency</f>
        <v>CNY</v>
      </c>
    </row>
    <row r="54" spans="2:6">
      <c r="B54" s="470" t="s">
        <v>503</v>
      </c>
      <c r="C54" s="476"/>
      <c r="D54" s="476"/>
      <c r="E54" s="476"/>
      <c r="F54" s="476"/>
    </row>
    <row r="55" spans="2:6">
      <c r="B55" s="372" t="s">
        <v>206</v>
      </c>
      <c r="C55" s="373">
        <f>Normalized_FCF!C17</f>
        <v>0</v>
      </c>
      <c r="D55" s="343" t="str">
        <f>Reporting_currency</f>
        <v>CNY</v>
      </c>
    </row>
    <row r="57" spans="2:6">
      <c r="B57" s="474" t="s">
        <v>504</v>
      </c>
      <c r="C57" s="474"/>
      <c r="D57" s="474"/>
      <c r="E57" s="474"/>
      <c r="F57" s="474"/>
    </row>
    <row r="58" spans="2:6">
      <c r="B58" s="474" t="s">
        <v>505</v>
      </c>
      <c r="C58" s="474"/>
      <c r="D58" s="474"/>
      <c r="E58" s="474"/>
      <c r="F58" s="474"/>
    </row>
    <row r="60" spans="2:6">
      <c r="B60" s="372" t="s">
        <v>369</v>
      </c>
      <c r="C60" s="373">
        <f>Normalized_FCF!G19</f>
        <v>26458526825.471798</v>
      </c>
      <c r="D60" s="343" t="str">
        <f>Reporting_currency</f>
        <v>CNY</v>
      </c>
    </row>
    <row r="61" spans="2:6">
      <c r="B61" s="372" t="s">
        <v>212</v>
      </c>
      <c r="C61" s="373">
        <f>Normalized_FCF!C19</f>
        <v>29802300540.048637</v>
      </c>
      <c r="D61" s="343" t="str">
        <f>Reporting_currency</f>
        <v>CNY</v>
      </c>
    </row>
    <row r="62" spans="2:6">
      <c r="B62" s="377" t="s">
        <v>301</v>
      </c>
      <c r="C62" s="378">
        <f>Normalized_FCF!C124</f>
        <v>7.5815378104586578E-2</v>
      </c>
      <c r="F62" s="379"/>
    </row>
    <row r="63" spans="2:6">
      <c r="B63" s="377" t="s">
        <v>329</v>
      </c>
      <c r="C63" s="378">
        <f>Normalized_FCF!C92</f>
        <v>2.8163325762812285E-2</v>
      </c>
      <c r="E63" s="372" t="s">
        <v>370</v>
      </c>
      <c r="F63" s="380">
        <f>Normalized_FCF!C90</f>
        <v>0.4127471888056104</v>
      </c>
    </row>
    <row r="65" spans="1:6">
      <c r="B65" s="369" t="s">
        <v>373</v>
      </c>
      <c r="C65" s="381" t="s">
        <v>324</v>
      </c>
      <c r="D65" s="381" t="s">
        <v>371</v>
      </c>
    </row>
    <row r="66" spans="1:6">
      <c r="B66" s="372" t="s">
        <v>323</v>
      </c>
      <c r="C66" s="378">
        <f>Normalized_FCF!E119</f>
        <v>0.28867573532952973</v>
      </c>
      <c r="D66" s="378">
        <f>Normalized_FCF!G119</f>
        <v>0.26898198471339402</v>
      </c>
    </row>
    <row r="67" spans="1:6">
      <c r="B67" s="382" t="str">
        <f>Normalized_FCF!B116</f>
        <v>Pre-tax Profit/Sales</v>
      </c>
      <c r="C67" s="383">
        <f>Normalized_FCF!E116</f>
        <v>0.4665778415257858</v>
      </c>
      <c r="D67" s="383">
        <f>Normalized_FCF!G116</f>
        <v>0.43474742930380028</v>
      </c>
    </row>
    <row r="68" spans="1:6">
      <c r="B68" s="382" t="str">
        <f>Normalized_FCF!B117</f>
        <v>Sales/Total Assets</v>
      </c>
      <c r="C68" s="384">
        <f>Normalized_FCF!E117</f>
        <v>0.4610552539366265</v>
      </c>
      <c r="D68" s="384">
        <f>Normalized_FCF!G117</f>
        <v>0.4610552539366265</v>
      </c>
    </row>
    <row r="69" spans="1:6">
      <c r="B69" s="382" t="str">
        <f>Normalized_FCF!B118</f>
        <v>Total Assets/Equity</v>
      </c>
      <c r="C69" s="384">
        <f>Normalized_FCF!E118</f>
        <v>1.3419403008261008</v>
      </c>
      <c r="D69" s="384">
        <f>Normalized_FCF!G118</f>
        <v>1.3419403008261008</v>
      </c>
    </row>
    <row r="71" spans="1:6" ht="13.9">
      <c r="A71" s="345" t="s">
        <v>473</v>
      </c>
      <c r="B71" s="345"/>
      <c r="C71" s="345"/>
      <c r="D71" s="345"/>
      <c r="E71" s="345"/>
      <c r="F71" s="345"/>
    </row>
    <row r="72" spans="1:6">
      <c r="A72" s="385"/>
    </row>
    <row r="73" spans="1:6">
      <c r="A73" s="386"/>
      <c r="B73" s="474" t="s">
        <v>506</v>
      </c>
      <c r="C73" s="474"/>
      <c r="D73" s="474"/>
      <c r="E73" s="474"/>
      <c r="F73" s="474"/>
    </row>
    <row r="74" spans="1:6">
      <c r="B74" s="477" t="s">
        <v>476</v>
      </c>
      <c r="C74" s="477"/>
      <c r="D74" s="477"/>
      <c r="E74" s="477"/>
      <c r="F74" s="477"/>
    </row>
    <row r="76" spans="1:6">
      <c r="B76" s="369" t="s">
        <v>368</v>
      </c>
    </row>
    <row r="77" spans="1:6">
      <c r="B77" s="474" t="s">
        <v>507</v>
      </c>
      <c r="C77" s="474"/>
      <c r="D77" s="474"/>
      <c r="E77" s="474"/>
      <c r="F77" s="474"/>
    </row>
    <row r="78" spans="1:6">
      <c r="B78" s="343" t="s">
        <v>214</v>
      </c>
      <c r="C78" s="373">
        <f>DCF!F4</f>
        <v>-215370747.58000001</v>
      </c>
      <c r="D78" s="343" t="str">
        <f>Reporting_currency</f>
        <v>CNY</v>
      </c>
    </row>
    <row r="79" spans="1:6">
      <c r="B79" s="372" t="s">
        <v>233</v>
      </c>
      <c r="C79" s="387">
        <f>C78*scaling_factor*Exchange_Rate/Common_Shares</f>
        <v>-5.5484929777189086E-2</v>
      </c>
      <c r="D79" s="343" t="str">
        <f>Market_currency</f>
        <v>CNY</v>
      </c>
    </row>
    <row r="80" spans="1:6">
      <c r="B80" s="382" t="s">
        <v>307</v>
      </c>
      <c r="C80" s="388">
        <f>IF(BS!G31/BS!G27&gt;300%,"nm",BS!G31/BS!G27)</f>
        <v>1.4942693904035366E-3</v>
      </c>
    </row>
    <row r="81" spans="1:6">
      <c r="B81" s="382" t="s">
        <v>309</v>
      </c>
      <c r="C81" s="389">
        <f>IF(BS!C50&gt;30,"nm",BS!C50)</f>
        <v>5.1971735080735887E-3</v>
      </c>
    </row>
    <row r="83" spans="1:6">
      <c r="B83" s="343" t="s">
        <v>508</v>
      </c>
    </row>
    <row r="84" spans="1:6">
      <c r="B84" s="343" t="s">
        <v>223</v>
      </c>
      <c r="C84" s="373">
        <f>DCF!F5</f>
        <v>118301937502.43723</v>
      </c>
      <c r="D84" s="343" t="str">
        <f>Reporting_currency</f>
        <v>CNY</v>
      </c>
    </row>
    <row r="85" spans="1:6">
      <c r="B85" s="382" t="s">
        <v>478</v>
      </c>
      <c r="C85" s="390">
        <f>BS!C66</f>
        <v>148319946342.06</v>
      </c>
      <c r="D85" s="391" t="str">
        <f>Reporting_currency</f>
        <v>CNY</v>
      </c>
    </row>
    <row r="86" spans="1:6">
      <c r="B86" s="372" t="s">
        <v>234</v>
      </c>
      <c r="C86" s="387">
        <f>C84*scaling_factor*Exchange_Rate/Common_Shares</f>
        <v>30.477559132722682</v>
      </c>
      <c r="D86" s="343" t="str">
        <f>Market_currency</f>
        <v>CNY</v>
      </c>
    </row>
    <row r="88" spans="1:6">
      <c r="B88" s="343" t="s">
        <v>509</v>
      </c>
    </row>
    <row r="89" spans="1:6">
      <c r="B89" s="343" t="s">
        <v>216</v>
      </c>
      <c r="C89" s="373">
        <f>DCF!F6</f>
        <v>217300602.50500003</v>
      </c>
      <c r="D89" s="343" t="str">
        <f>Reporting_currency</f>
        <v>CNY</v>
      </c>
    </row>
    <row r="90" spans="1:6">
      <c r="B90" s="372" t="s">
        <v>235</v>
      </c>
      <c r="C90" s="387">
        <f>C89*scaling_factor*Exchange_Rate/Common_Shares</f>
        <v>5.5982109019017241E-2</v>
      </c>
      <c r="D90" s="343" t="str">
        <f>Market_currency</f>
        <v>CNY</v>
      </c>
    </row>
    <row r="92" spans="1:6">
      <c r="B92" s="372" t="s">
        <v>477</v>
      </c>
      <c r="C92" s="387">
        <f>DCF!F8</f>
        <v>30.478056311964512</v>
      </c>
      <c r="D92" s="343" t="str">
        <f>Market_currency</f>
        <v>CNY</v>
      </c>
    </row>
    <row r="94" spans="1:6" ht="13.9">
      <c r="A94" s="345" t="s">
        <v>479</v>
      </c>
      <c r="B94" s="345"/>
      <c r="C94" s="345"/>
      <c r="D94" s="345"/>
      <c r="E94" s="345"/>
      <c r="F94" s="345"/>
    </row>
    <row r="95" spans="1:6">
      <c r="A95" s="385"/>
    </row>
    <row r="96" spans="1:6">
      <c r="A96" s="385"/>
      <c r="B96" s="474" t="s">
        <v>510</v>
      </c>
      <c r="C96" s="474"/>
      <c r="D96" s="474"/>
      <c r="E96" s="474"/>
      <c r="F96" s="474"/>
    </row>
    <row r="97" spans="1:6">
      <c r="A97" s="385"/>
      <c r="B97" s="477" t="s">
        <v>511</v>
      </c>
      <c r="C97" s="477"/>
      <c r="D97" s="477"/>
      <c r="E97" s="477"/>
      <c r="F97" s="477"/>
    </row>
    <row r="98" spans="1:6">
      <c r="A98" s="385"/>
      <c r="B98" s="477" t="s">
        <v>512</v>
      </c>
      <c r="C98" s="477"/>
      <c r="D98" s="477"/>
      <c r="E98" s="477"/>
      <c r="F98" s="477"/>
    </row>
    <row r="99" spans="1:6">
      <c r="A99" s="385"/>
    </row>
    <row r="100" spans="1:6">
      <c r="A100" s="385"/>
      <c r="B100" s="369" t="s">
        <v>368</v>
      </c>
    </row>
    <row r="101" spans="1:6">
      <c r="A101" s="385"/>
      <c r="B101" s="372" t="s">
        <v>211</v>
      </c>
      <c r="C101" s="368">
        <f>E25+C103</f>
        <v>7.2499999999999995E-2</v>
      </c>
    </row>
    <row r="102" spans="1:6">
      <c r="A102" s="385"/>
      <c r="B102" s="382" t="s">
        <v>316</v>
      </c>
      <c r="C102" s="383">
        <f>E25</f>
        <v>7.2499999999999995E-2</v>
      </c>
    </row>
    <row r="103" spans="1:6">
      <c r="A103" s="385"/>
      <c r="B103" s="382" t="s">
        <v>315</v>
      </c>
      <c r="C103" s="383">
        <f>IF(C15="Y",1%,0)+IF(C16="Y",1%,0)</f>
        <v>0</v>
      </c>
    </row>
    <row r="104" spans="1:6">
      <c r="A104" s="385"/>
      <c r="B104" s="372" t="s">
        <v>531</v>
      </c>
      <c r="C104" s="368">
        <v>0</v>
      </c>
    </row>
    <row r="105" spans="1:6">
      <c r="A105" s="385"/>
      <c r="C105" s="392"/>
    </row>
    <row r="106" spans="1:6">
      <c r="A106" s="385"/>
      <c r="B106" s="393" t="s">
        <v>372</v>
      </c>
      <c r="C106" s="392"/>
    </row>
    <row r="107" spans="1:6">
      <c r="A107" s="385"/>
      <c r="B107" s="474" t="s">
        <v>513</v>
      </c>
      <c r="C107" s="474"/>
      <c r="D107" s="474"/>
      <c r="E107" s="474"/>
      <c r="F107" s="474"/>
    </row>
    <row r="108" spans="1:6">
      <c r="A108" s="385"/>
      <c r="B108" s="474" t="s">
        <v>532</v>
      </c>
      <c r="C108" s="474"/>
      <c r="D108" s="474"/>
      <c r="E108" s="474"/>
      <c r="F108" s="474"/>
    </row>
    <row r="109" spans="1:6">
      <c r="A109" s="385"/>
    </row>
    <row r="110" spans="1:6">
      <c r="A110" s="385"/>
      <c r="B110" s="369" t="s">
        <v>486</v>
      </c>
    </row>
    <row r="111" spans="1:6">
      <c r="A111" s="385"/>
      <c r="B111" s="375" t="s">
        <v>483</v>
      </c>
      <c r="C111" s="394">
        <f>BS!D47</f>
        <v>24.855396491318039</v>
      </c>
      <c r="D111" s="343" t="str">
        <f>Market_currency</f>
        <v>CNY</v>
      </c>
    </row>
    <row r="112" spans="1:6">
      <c r="A112" s="385"/>
      <c r="B112" s="372" t="s">
        <v>374</v>
      </c>
      <c r="C112" s="394">
        <f>DCF!C11</f>
        <v>154.55168149689248</v>
      </c>
      <c r="D112" s="343" t="str">
        <f>Market_currency</f>
        <v>CNY</v>
      </c>
    </row>
    <row r="113" spans="1:6">
      <c r="A113" s="385"/>
    </row>
    <row r="114" spans="1:6">
      <c r="A114" s="385"/>
      <c r="B114" s="474" t="s">
        <v>514</v>
      </c>
      <c r="C114" s="474"/>
      <c r="D114" s="474"/>
      <c r="E114" s="474"/>
      <c r="F114" s="474"/>
    </row>
    <row r="115" spans="1:6">
      <c r="A115" s="385"/>
    </row>
    <row r="116" spans="1:6">
      <c r="A116" s="385"/>
      <c r="B116" s="369" t="s">
        <v>487</v>
      </c>
    </row>
    <row r="117" spans="1:6">
      <c r="A117" s="385"/>
      <c r="B117" s="342" t="s">
        <v>375</v>
      </c>
      <c r="C117" s="342" t="s">
        <v>376</v>
      </c>
      <c r="D117" s="342" t="s">
        <v>98</v>
      </c>
      <c r="E117" s="342" t="s">
        <v>377</v>
      </c>
      <c r="F117" s="342" t="s">
        <v>378</v>
      </c>
    </row>
    <row r="118" spans="1:6">
      <c r="A118" s="385"/>
      <c r="B118" s="395" t="str">
        <f>DCF!B90</f>
        <v>Snowball Scenario</v>
      </c>
      <c r="C118" s="396">
        <f>DCF!C90</f>
        <v>0.03</v>
      </c>
      <c r="D118" s="397">
        <f>DCF!D90</f>
        <v>15</v>
      </c>
      <c r="E118" s="398" t="str">
        <f>ROUND(DCF!E90,2)&amp;" "&amp;Market_currency</f>
        <v>173.41 CNY</v>
      </c>
      <c r="F118" s="399">
        <f>DCF!F90</f>
        <v>0.15</v>
      </c>
    </row>
    <row r="119" spans="1:6">
      <c r="A119" s="385"/>
      <c r="B119" s="400" t="str">
        <f>DCF!B91</f>
        <v>Optimistic</v>
      </c>
      <c r="C119" s="401">
        <f>DCF!C91</f>
        <v>0.02</v>
      </c>
      <c r="D119" s="402">
        <f>DCF!D91</f>
        <v>15</v>
      </c>
      <c r="E119" s="398" t="str">
        <f>ROUND(DCF!E91,2)&amp;" "&amp;Market_currency</f>
        <v>159.77 CNY</v>
      </c>
      <c r="F119" s="403">
        <f>DCF!F91</f>
        <v>0.15999999999999995</v>
      </c>
    </row>
    <row r="120" spans="1:6">
      <c r="B120" s="400" t="str">
        <f>DCF!B92</f>
        <v>Base</v>
      </c>
      <c r="C120" s="401">
        <f>DCF!C92</f>
        <v>0.01</v>
      </c>
      <c r="D120" s="402">
        <f>DCF!D92</f>
        <v>15</v>
      </c>
      <c r="E120" s="398" t="str">
        <f>ROUND(DCF!E92,2)&amp;" "&amp;Market_currency</f>
        <v>147.6 CNY</v>
      </c>
      <c r="F120" s="403">
        <f>DCF!F92</f>
        <v>0.44</v>
      </c>
    </row>
    <row r="121" spans="1:6">
      <c r="B121" s="400" t="str">
        <f>DCF!B93</f>
        <v>Pessimistic</v>
      </c>
      <c r="C121" s="401">
        <f>DCF!C93</f>
        <v>0</v>
      </c>
      <c r="D121" s="402">
        <f>DCF!D93</f>
        <v>15</v>
      </c>
      <c r="E121" s="398" t="str">
        <f>ROUND(DCF!E93,2)&amp;" "&amp;Market_currency</f>
        <v>136.75 CNY</v>
      </c>
      <c r="F121" s="403">
        <f>DCF!F93</f>
        <v>0.19999999999999998</v>
      </c>
    </row>
    <row r="122" spans="1:6">
      <c r="B122" s="400" t="str">
        <f>DCF!B94</f>
        <v>Devil's advocate</v>
      </c>
      <c r="C122" s="401">
        <f>DCF!C94</f>
        <v>0</v>
      </c>
      <c r="D122" s="402">
        <f>DCF!D94</f>
        <v>15</v>
      </c>
      <c r="E122" s="398" t="str">
        <f>ROUND(DCF!E94,2)&amp;" "&amp;Market_currency</f>
        <v>136.75 CNY</v>
      </c>
      <c r="F122" s="403">
        <f>DCF!F94</f>
        <v>0.05</v>
      </c>
    </row>
    <row r="124" spans="1:6">
      <c r="B124" s="470" t="s">
        <v>515</v>
      </c>
      <c r="C124" s="470"/>
      <c r="D124" s="470"/>
      <c r="E124" s="470"/>
      <c r="F124" s="470"/>
    </row>
    <row r="125" spans="1:6">
      <c r="B125" s="372" t="s">
        <v>217</v>
      </c>
      <c r="C125" s="404">
        <f>Scenarios!C36</f>
        <v>150.70538803259237</v>
      </c>
      <c r="D125" s="343" t="str">
        <f>Market_currency</f>
        <v>CNY</v>
      </c>
    </row>
    <row r="127" spans="1:6">
      <c r="B127" s="472" t="s">
        <v>516</v>
      </c>
      <c r="C127" s="472"/>
      <c r="D127" s="472"/>
      <c r="E127" s="472"/>
      <c r="F127" s="472"/>
    </row>
    <row r="129" spans="1:6" ht="13.9">
      <c r="A129" s="345" t="s">
        <v>489</v>
      </c>
      <c r="B129" s="345"/>
      <c r="C129" s="345"/>
      <c r="D129" s="345"/>
      <c r="E129" s="345"/>
      <c r="F129" s="345"/>
    </row>
    <row r="131" spans="1:6">
      <c r="B131" s="473" t="s">
        <v>517</v>
      </c>
      <c r="C131" s="473"/>
      <c r="D131" s="473"/>
      <c r="E131" s="473"/>
      <c r="F131" s="473"/>
    </row>
    <row r="132" spans="1:6" ht="24.5" customHeight="1">
      <c r="B132" s="474" t="s">
        <v>518</v>
      </c>
      <c r="C132" s="474"/>
      <c r="D132" s="474"/>
      <c r="E132" s="474"/>
      <c r="F132" s="474"/>
    </row>
    <row r="134" spans="1:6">
      <c r="B134" s="369" t="s">
        <v>368</v>
      </c>
    </row>
    <row r="135" spans="1:6">
      <c r="B135" s="343" t="s">
        <v>379</v>
      </c>
      <c r="C135" s="405">
        <f>E21</f>
        <v>3</v>
      </c>
    </row>
    <row r="136" spans="1:6">
      <c r="B136" s="343" t="s">
        <v>380</v>
      </c>
      <c r="C136" s="406">
        <f>Scenarios!C58</f>
        <v>2.8521000000000001</v>
      </c>
      <c r="D136" s="343" t="str">
        <f>Market_currency</f>
        <v>CNY</v>
      </c>
    </row>
    <row r="138" spans="1:6">
      <c r="B138" s="369" t="s">
        <v>490</v>
      </c>
      <c r="C138" s="407"/>
      <c r="D138" s="407"/>
    </row>
    <row r="139" spans="1:6">
      <c r="B139" s="340" t="s">
        <v>459</v>
      </c>
      <c r="C139" s="340" t="str">
        <f>"PV("&amp;Holding_Period&amp;" yrs of Dividends)"</f>
        <v>PV(3 yrs of Dividends)</v>
      </c>
      <c r="D139" s="340" t="s">
        <v>468</v>
      </c>
      <c r="E139" s="341" t="str">
        <f>"Buy below ("&amp;Market_currency&amp;")"</f>
        <v>Buy below (CNY)</v>
      </c>
      <c r="F139" s="341" t="s">
        <v>492</v>
      </c>
    </row>
    <row r="140" spans="1:6">
      <c r="B140" s="408" t="s">
        <v>310</v>
      </c>
      <c r="C140" s="409">
        <f>Scenarios!C62</f>
        <v>5.179735548475195</v>
      </c>
      <c r="D140" s="409">
        <f>Scenarios!D62</f>
        <v>68.595989090847667</v>
      </c>
      <c r="E140" s="410">
        <f>Scenarios!E62</f>
        <v>73.77572463932286</v>
      </c>
      <c r="F140" s="411">
        <f>E22</f>
        <v>0.3</v>
      </c>
    </row>
    <row r="141" spans="1:6">
      <c r="B141" s="408" t="s">
        <v>311</v>
      </c>
      <c r="C141" s="409">
        <f>Scenarios!C63</f>
        <v>6.0078958333333334</v>
      </c>
      <c r="D141" s="409">
        <f>Scenarios!D63</f>
        <v>87.213766222565027</v>
      </c>
      <c r="E141" s="410">
        <f>Scenarios!E63</f>
        <v>93.221662055898364</v>
      </c>
      <c r="F141" s="411">
        <f>Scenarios!F63</f>
        <v>0.2</v>
      </c>
    </row>
    <row r="143" spans="1:6">
      <c r="B143" s="340" t="s">
        <v>460</v>
      </c>
      <c r="C143" s="340" t="str">
        <f>"PV("&amp;Holding_Period&amp;" yrs of Dividends)"</f>
        <v>PV(3 yrs of Dividends)</v>
      </c>
      <c r="D143" s="340" t="s">
        <v>468</v>
      </c>
      <c r="E143" s="341" t="str">
        <f>"Sell above ("&amp;Market_currency&amp;")"</f>
        <v>Sell above (CNY)</v>
      </c>
      <c r="F143" s="341" t="s">
        <v>492</v>
      </c>
    </row>
    <row r="144" spans="1:6">
      <c r="B144" s="408" t="s">
        <v>313</v>
      </c>
      <c r="C144" s="409">
        <f>Scenarios!C66</f>
        <v>7.2582809357033913</v>
      </c>
      <c r="D144" s="409">
        <f>Scenarios!D66</f>
        <v>117.33839602556841</v>
      </c>
      <c r="E144" s="410">
        <f>Scenarios!E66</f>
        <v>124.59667696127181</v>
      </c>
      <c r="F144" s="411">
        <f>E24</f>
        <v>8.6999999999999994E-2</v>
      </c>
    </row>
    <row r="145" spans="1:6">
      <c r="B145" s="408" t="s">
        <v>312</v>
      </c>
      <c r="C145" s="409">
        <f>Scenarios!C67</f>
        <v>7.4507553854201589</v>
      </c>
      <c r="D145" s="409">
        <f>Scenarios!D67</f>
        <v>122.16220891599889</v>
      </c>
      <c r="E145" s="410">
        <f>Scenarios!E67</f>
        <v>129.61296430141905</v>
      </c>
      <c r="F145" s="411">
        <f>Scenarios!F67</f>
        <v>7.2499999999999995E-2</v>
      </c>
    </row>
    <row r="147" spans="1:6" ht="13.9">
      <c r="A147" s="345" t="s">
        <v>472</v>
      </c>
      <c r="B147" s="345"/>
      <c r="C147" s="345"/>
      <c r="D147" s="345"/>
      <c r="E147" s="345"/>
      <c r="F147" s="345"/>
    </row>
    <row r="149" spans="1:6">
      <c r="B149" s="475" t="s">
        <v>519</v>
      </c>
      <c r="C149" s="474"/>
      <c r="D149" s="474"/>
      <c r="E149" s="474"/>
      <c r="F149" s="474"/>
    </row>
    <row r="151" spans="1:6">
      <c r="B151" s="369" t="s">
        <v>381</v>
      </c>
    </row>
    <row r="152" spans="1:6">
      <c r="B152" s="476" t="s">
        <v>520</v>
      </c>
      <c r="C152" s="476"/>
      <c r="D152" s="476"/>
      <c r="E152" s="476"/>
      <c r="F152" s="476"/>
    </row>
    <row r="153" spans="1:6">
      <c r="B153" s="412" t="s">
        <v>382</v>
      </c>
    </row>
    <row r="154" spans="1:6">
      <c r="B154" s="412" t="s">
        <v>383</v>
      </c>
    </row>
    <row r="155" spans="1:6">
      <c r="B155" s="412" t="s">
        <v>384</v>
      </c>
    </row>
    <row r="157" spans="1:6">
      <c r="B157" s="343" t="s">
        <v>521</v>
      </c>
    </row>
    <row r="158" spans="1:6" ht="24.5" customHeight="1">
      <c r="B158" s="470" t="s">
        <v>436</v>
      </c>
      <c r="C158" s="470"/>
      <c r="D158" s="470"/>
      <c r="E158" s="470"/>
      <c r="F158" s="470"/>
    </row>
    <row r="160" spans="1:6">
      <c r="B160" s="343" t="s">
        <v>522</v>
      </c>
    </row>
    <row r="161" spans="2:6">
      <c r="B161" s="471" t="s">
        <v>385</v>
      </c>
      <c r="C161" s="471"/>
      <c r="D161" s="471"/>
      <c r="E161" s="471"/>
      <c r="F161" s="471"/>
    </row>
    <row r="162" spans="2:6">
      <c r="B162" s="471" t="s">
        <v>386</v>
      </c>
      <c r="C162" s="471"/>
      <c r="D162" s="471"/>
      <c r="E162" s="471"/>
      <c r="F162" s="471"/>
    </row>
    <row r="164" spans="2:6">
      <c r="B164" s="343" t="s">
        <v>523</v>
      </c>
    </row>
    <row r="165" spans="2:6">
      <c r="B165" s="412" t="s">
        <v>387</v>
      </c>
    </row>
    <row r="166" spans="2:6">
      <c r="B166" s="412" t="s">
        <v>388</v>
      </c>
    </row>
    <row r="167" spans="2:6">
      <c r="B167" s="412" t="s">
        <v>389</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2026-04-24T09:22:07Z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