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F4CD423-9340-44A9-BCB4-C09BA4E84EC5}"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<sst xmlns="http://schemas.openxmlformats.org/spreadsheetml/2006/main" count="768" uniqueCount="557">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</sst>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0" sqref="B30:F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102.18</v>
      </c>
      <c r="E8" s="32"/>
    </row>
    <row r="9" spans="1:9">
      <c r="B9" s="4" t="s">
        <v>344</v>
      </c>
      <c r="C9" s="48">
        <v>3881608005</v>
      </c>
    </row>
    <row r="10" spans="1:9">
      <c r="B10" s="4" t="s">
        <v>350</v>
      </c>
      <c r="C10" s="33">
        <f>Thesis!C8*Common_Shares/1000000</f>
        <v>396622.70595090004</v>
      </c>
      <c r="D10" s="1" t="s">
        <v>525</v>
      </c>
      <c r="E10" s="303">
        <f>Scenarios!F34</f>
        <v>0.12206270179382848</v>
      </c>
    </row>
    <row r="11" spans="1:9">
      <c r="D11" s="5"/>
      <c r="E11" s="5"/>
    </row>
    <row r="12" spans="1:9" ht="24.5" customHeight="1">
      <c r="B12" s="462" t="s">
        <v>353</v>
      </c>
      <c r="C12" s="462"/>
      <c r="D12" s="462"/>
      <c r="E12" s="462"/>
      <c r="F12" s="462"/>
    </row>
    <row r="14" spans="1:9">
      <c r="B14" s="42" t="str">
        <f>Scenarios!B39&amp;" Valuation Conclusion"</f>
        <v>2-stage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134.70696317865062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62.294573384207148</v>
      </c>
      <c r="D22" s="38" t="s">
        <v>404</v>
      </c>
      <c r="E22" s="79">
        <v>0.32950289523458665</v>
      </c>
    </row>
    <row r="23" spans="1:6">
      <c r="B23" s="1" t="s">
        <v>312</v>
      </c>
      <c r="C23" s="256">
        <f>E141</f>
        <v>78.83107675053482</v>
      </c>
      <c r="D23" s="38" t="s">
        <v>405</v>
      </c>
      <c r="E23" s="443">
        <v>0.22621703288100403</v>
      </c>
    </row>
    <row r="24" spans="1:6">
      <c r="B24" s="1" t="s">
        <v>314</v>
      </c>
      <c r="C24" s="256">
        <f>E144</f>
        <v>112.14039032279322</v>
      </c>
      <c r="D24" s="38" t="s">
        <v>406</v>
      </c>
      <c r="E24" s="443">
        <v>8.6999999999999994E-2</v>
      </c>
    </row>
    <row r="25" spans="1:6">
      <c r="B25" s="1" t="s">
        <v>313</v>
      </c>
      <c r="C25" s="256">
        <f>E145</f>
        <v>116.64459638273874</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41439976411.299469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180108053.03773659</v>
      </c>
      <c r="D44" s="1" t="str">
        <f>Reporting_currency</f>
        <v>CNY</v>
      </c>
      <c r="E44" s="244"/>
      <c r="F44" s="244"/>
    </row>
    <row r="45" spans="2:6">
      <c r="B45" s="44" t="s">
        <v>268</v>
      </c>
      <c r="C45" s="286">
        <f>Normalized_FCF!C45</f>
        <v>-12922244.854800001</v>
      </c>
      <c r="D45" s="1" t="str">
        <f>Reporting_currency</f>
        <v>CNY</v>
      </c>
      <c r="E45" s="244"/>
      <c r="F45" s="244"/>
    </row>
    <row r="46" spans="2:6">
      <c r="B46" s="44" t="s">
        <v>203</v>
      </c>
      <c r="C46" s="285">
        <f>Normalized_FCF!C10</f>
        <v>167185808.18293661</v>
      </c>
      <c r="D46" s="1" t="str">
        <f>Reporting_currency</f>
        <v>CNY</v>
      </c>
    </row>
    <row r="48" spans="2:6">
      <c r="B48" s="1" t="s">
        <v>211</v>
      </c>
    </row>
    <row r="49" spans="2:6">
      <c r="B49" s="44" t="s">
        <v>223</v>
      </c>
      <c r="C49" s="285">
        <f>Normalized_FCF!C13</f>
        <v>-1403071124.5631666</v>
      </c>
      <c r="D49" s="1" t="str">
        <f>Reporting_currency</f>
        <v>CNY</v>
      </c>
    </row>
    <row r="51" spans="2:6">
      <c r="B51" s="463" t="s">
        <v>206</v>
      </c>
      <c r="C51" s="463"/>
      <c r="D51" s="463"/>
      <c r="E51" s="463"/>
      <c r="F51" s="463"/>
    </row>
    <row r="52" spans="2:6">
      <c r="B52" s="44" t="s">
        <v>204</v>
      </c>
      <c r="C52" s="285">
        <f>Normalized_FCF!C12</f>
        <v>-10401790554.870602</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26458526825.471798</v>
      </c>
      <c r="D60" s="1" t="str">
        <f>Reporting_currency</f>
        <v>CNY</v>
      </c>
    </row>
    <row r="61" spans="2:6">
      <c r="B61" s="44" t="s">
        <v>213</v>
      </c>
      <c r="C61" s="285">
        <f>Normalized_FCF!C19</f>
        <v>29802300540.048637</v>
      </c>
      <c r="D61" s="1" t="str">
        <f>Reporting_currency</f>
        <v>CNY</v>
      </c>
    </row>
    <row r="62" spans="2:6">
      <c r="B62" s="204" t="s">
        <v>302</v>
      </c>
      <c r="C62" s="89">
        <f>Normalized_FCF!C124</f>
        <v>7.5140177536225108E-2</v>
      </c>
      <c r="F62" s="257"/>
    </row>
    <row r="63" spans="2:6">
      <c r="B63" s="204" t="s">
        <v>330</v>
      </c>
      <c r="C63" s="89">
        <f>Normalized_FCF!C92</f>
        <v>2.7912507339988256E-2</v>
      </c>
      <c r="E63" s="44" t="s">
        <v>321</v>
      </c>
      <c r="F63" s="258">
        <f>Normalized_FCF!C90</f>
        <v>0.4127471888056104</v>
      </c>
    </row>
    <row r="65" spans="1:6">
      <c r="B65" s="192" t="s">
        <v>323</v>
      </c>
      <c r="C65" s="264" t="s">
        <v>325</v>
      </c>
      <c r="D65" s="264" t="s">
        <v>326</v>
      </c>
    </row>
    <row r="66" spans="1:6">
      <c r="B66" s="44" t="s">
        <v>324</v>
      </c>
      <c r="C66" s="89">
        <f>Normalized_FCF!E119</f>
        <v>0.25</v>
      </c>
      <c r="D66" s="89">
        <f>Normalized_FCF!G119</f>
        <v>0.26898198471339402</v>
      </c>
    </row>
    <row r="67" spans="1:6">
      <c r="B67" s="229" t="str">
        <f>Normalized_FCF!B116</f>
        <v>Pre-tax Profit/Sales</v>
      </c>
      <c r="C67" s="263">
        <f>Normalized_FCF!E116</f>
        <v>0.40406742273746776</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-215370747.58000001</v>
      </c>
      <c r="D78" s="1" t="str">
        <f>Reporting_currency</f>
        <v>CNY</v>
      </c>
    </row>
    <row r="79" spans="1:6">
      <c r="A79" s="191"/>
      <c r="B79" s="44" t="s">
        <v>234</v>
      </c>
      <c r="C79" s="201">
        <f>C78*scaling_factor*Exchange_Rate/Common_Shares</f>
        <v>-5.5484929777189086E-2</v>
      </c>
      <c r="D79" s="1" t="str">
        <f>Market_currency</f>
        <v>CNY</v>
      </c>
    </row>
    <row r="80" spans="1:6">
      <c r="A80" s="191"/>
      <c r="B80" s="229" t="s">
        <v>308</v>
      </c>
      <c r="C80" s="337">
        <f>IF(BS!G31/BS!G27&gt;300%,"nm",BS!G31/BS!G27)</f>
        <v>1.4942693904035366E-3</v>
      </c>
    </row>
    <row r="81" spans="1:6">
      <c r="A81" s="191"/>
      <c r="B81" s="229" t="s">
        <v>310</v>
      </c>
      <c r="C81" s="338">
        <f>IF(BS!C50&gt;30,"nm",BS!C50)</f>
        <v>5.1971735080735887E-3</v>
      </c>
    </row>
    <row r="82" spans="1:6">
      <c r="A82" s="191"/>
    </row>
    <row r="83" spans="1:6">
      <c r="A83" s="191"/>
      <c r="B83" s="1" t="s">
        <v>464</v>
      </c>
    </row>
    <row r="84" spans="1:6">
      <c r="A84" s="191"/>
      <c r="B84" s="1" t="s">
        <v>224</v>
      </c>
      <c r="C84" s="285">
        <f>DCF!F5</f>
        <v>118301937502.43723</v>
      </c>
      <c r="D84" s="1" t="str">
        <f>Reporting_currency</f>
        <v>CNY</v>
      </c>
    </row>
    <row r="85" spans="1:6">
      <c r="A85" s="191"/>
      <c r="B85" s="229" t="s">
        <v>222</v>
      </c>
      <c r="C85" s="291">
        <f>BS!C66</f>
        <v>148319946342.06</v>
      </c>
      <c r="D85" s="339" t="str">
        <f>Reporting_currency</f>
        <v>CNY</v>
      </c>
    </row>
    <row r="86" spans="1:6">
      <c r="A86" s="191"/>
      <c r="B86" s="44" t="s">
        <v>235</v>
      </c>
      <c r="C86" s="201">
        <f>C84*scaling_factor*Exchange_Rate/Common_Shares</f>
        <v>30.477559132722682</v>
      </c>
      <c r="D86" s="1" t="str">
        <f>Market_currency</f>
        <v>CNY</v>
      </c>
    </row>
    <row r="87" spans="1:6">
      <c r="A87" s="191"/>
    </row>
    <row r="88" spans="1:6">
      <c r="A88" s="191"/>
      <c r="B88" s="1" t="s">
        <v>216</v>
      </c>
    </row>
    <row r="89" spans="1:6">
      <c r="A89" s="191"/>
      <c r="B89" s="1" t="s">
        <v>217</v>
      </c>
      <c r="C89" s="285">
        <f>DCF!F6</f>
        <v>217300602.50500003</v>
      </c>
      <c r="D89" s="1" t="str">
        <f>Reporting_currency</f>
        <v>CNY</v>
      </c>
    </row>
    <row r="90" spans="1:6">
      <c r="A90" s="191"/>
      <c r="B90" s="44" t="s">
        <v>236</v>
      </c>
      <c r="C90" s="201">
        <f>C89*scaling_factor*Exchange_Rate/Common_Shares</f>
        <v>5.5982109019017241E-2</v>
      </c>
      <c r="D90" s="1" t="str">
        <f>Market_currency</f>
        <v>CNY</v>
      </c>
    </row>
    <row r="91" spans="1:6">
      <c r="A91" s="191"/>
    </row>
    <row r="92" spans="1:6">
      <c r="A92" s="191"/>
      <c r="B92" s="44" t="s">
        <v>467</v>
      </c>
      <c r="C92" s="216">
        <f>DCF!F8</f>
        <v>30.478056311964512</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24.855396491318039</v>
      </c>
      <c r="D111" s="1" t="str">
        <f>Market_currency</f>
        <v>CNY</v>
      </c>
    </row>
    <row r="112" spans="2:6">
      <c r="B112" s="44" t="s">
        <v>322</v>
      </c>
      <c r="C112" s="216">
        <f>DCF!C11</f>
        <v>179.64719550176477</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147.07 CNY</v>
      </c>
      <c r="E118" s="208">
        <f>DCF!F90</f>
        <v>0.15</v>
      </c>
      <c r="F118" s="208">
        <f>RATE(Holding_Period,Scenarios!C$58,-DCF!E90,C$18)</f>
        <v>-8.8861014087690589E-3</v>
      </c>
    </row>
    <row r="119" spans="2:6">
      <c r="B119" s="205" t="str">
        <f>DCF!B91&amp;" ("&amp;DCF!D91&amp;"yrs)"</f>
        <v>Optimistic (5yrs)</v>
      </c>
      <c r="C119" s="198">
        <f>DCF!C91</f>
        <v>0.03</v>
      </c>
      <c r="D119" s="207" t="str">
        <f>ROUND(DCF!E91,2)&amp;" "&amp;Market_currency</f>
        <v>137.65 CNY</v>
      </c>
      <c r="E119" s="199">
        <f>DCF!F91</f>
        <v>0.15999999999999995</v>
      </c>
      <c r="F119" s="208">
        <f>RATE(Holding_Period,Scenarios!C$58,-DCF!E91,C$18)</f>
        <v>1.3678062151602804E-2</v>
      </c>
    </row>
    <row r="120" spans="2:6">
      <c r="B120" s="205" t="str">
        <f>DCF!B92&amp;" ("&amp;DCF!D92&amp;"yrs)"</f>
        <v>Base (5yrs)</v>
      </c>
      <c r="C120" s="198">
        <f>DCF!C92</f>
        <v>0.02</v>
      </c>
      <c r="D120" s="207" t="str">
        <f>ROUND(DCF!E92,2)&amp;" "&amp;Market_currency</f>
        <v>133.19 CNY</v>
      </c>
      <c r="E120" s="199">
        <f>DCF!F92</f>
        <v>0.44</v>
      </c>
      <c r="F120" s="208">
        <f>RATE(Holding_Period,Scenarios!C$58,-DCF!E92,C$18)</f>
        <v>2.5106272015644755E-2</v>
      </c>
    </row>
    <row r="121" spans="2:6">
      <c r="B121" s="205" t="str">
        <f>DCF!B93&amp;" ("&amp;DCF!D93&amp;"yrs)"</f>
        <v>Pessimistic (5yrs)</v>
      </c>
      <c r="C121" s="198">
        <f>DCF!C93</f>
        <v>0.01</v>
      </c>
      <c r="D121" s="207" t="str">
        <f>ROUND(DCF!E93,2)&amp;" "&amp;Market_currency</f>
        <v>128.89 CNY</v>
      </c>
      <c r="E121" s="199">
        <f>DCF!F93</f>
        <v>0.19999999999999998</v>
      </c>
      <c r="F121" s="208">
        <f>RATE(Holding_Period,Scenarios!C$58,-DCF!E93,C$18)</f>
        <v>3.6626507210125503E-2</v>
      </c>
    </row>
    <row r="122" spans="2:6">
      <c r="B122" s="205" t="str">
        <f>DCF!B94&amp;" ("&amp;DCF!D94&amp;"yrs)"</f>
        <v>Devil's advocate (5yrs)</v>
      </c>
      <c r="C122" s="198">
        <f>DCF!C94</f>
        <v>0</v>
      </c>
      <c r="D122" s="207" t="str">
        <f>ROUND(DCF!E94,2)&amp;" "&amp;Market_currency</f>
        <v>124.75 CNY</v>
      </c>
      <c r="E122" s="199">
        <f>DCF!F94</f>
        <v>0.05</v>
      </c>
      <c r="F122" s="208">
        <f>RATE(Holding_Period,Scenarios!C$58,-DCF!E94,C$18)</f>
        <v>4.823427764461069E-2</v>
      </c>
    </row>
    <row r="124" spans="2:6">
      <c r="B124" s="463" t="s">
        <v>355</v>
      </c>
      <c r="C124" s="463"/>
      <c r="D124" s="463"/>
      <c r="E124" s="463"/>
      <c r="F124" s="463"/>
    </row>
    <row r="125" spans="2:6">
      <c r="B125" s="193" t="s">
        <v>218</v>
      </c>
      <c r="C125" s="197">
        <f>Scenarios!C36</f>
        <v>134.70696317865062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2.8521000000000001</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4.9724613932919821</v>
      </c>
      <c r="D140" s="333">
        <f>Scenarios!D62</f>
        <v>57.322111990915168</v>
      </c>
      <c r="E140" s="334">
        <f>Scenarios!E62</f>
        <v>62.294573384207148</v>
      </c>
      <c r="F140" s="335">
        <f>E22</f>
        <v>0.32950289523458665</v>
      </c>
    </row>
    <row r="141" spans="1:6">
      <c r="B141" s="336" t="s">
        <v>312</v>
      </c>
      <c r="C141" s="333">
        <f>Scenarios!C63</f>
        <v>5.7696729926225894</v>
      </c>
      <c r="D141" s="333">
        <f>Scenarios!D63</f>
        <v>73.061403757912231</v>
      </c>
      <c r="E141" s="334">
        <f>Scenarios!E63</f>
        <v>78.83107675053482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7.2582809357033913</v>
      </c>
      <c r="D144" s="333">
        <f>Scenarios!D66</f>
        <v>104.88210938708983</v>
      </c>
      <c r="E144" s="334">
        <f>Scenarios!E66</f>
        <v>112.14039032279322</v>
      </c>
      <c r="F144" s="335">
        <f>E24</f>
        <v>8.6999999999999994E-2</v>
      </c>
    </row>
    <row r="145" spans="1:6">
      <c r="B145" s="336" t="s">
        <v>313</v>
      </c>
      <c r="C145" s="333">
        <f>Scenarios!C67</f>
        <v>7.4507553854201589</v>
      </c>
      <c r="D145" s="333">
        <f>Scenarios!D67</f>
        <v>109.19384099731857</v>
      </c>
      <c r="E145" s="334">
        <f>Scenarios!E67</f>
        <v>116.64459638273874</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89175178322.699997</v>
      </c>
      <c r="D4" s="287">
        <v>83272067317.190002</v>
      </c>
      <c r="E4" s="287"/>
      <c r="F4" s="287"/>
      <c r="G4" s="287"/>
      <c r="H4" s="287"/>
      <c r="I4" s="287"/>
      <c r="J4" s="287"/>
      <c r="K4" s="287"/>
      <c r="L4" s="287"/>
      <c r="M4" s="287"/>
    </row>
    <row r="5" spans="2:13">
      <c r="B5" s="38" t="s">
        <v>40</v>
      </c>
      <c r="C5" s="287">
        <f>20461423083.74+13040913970.28</f>
        <v>33502337054.020004</v>
      </c>
      <c r="D5" s="287">
        <f>20157143952.21+12531695628.42</f>
        <v>32688839580.629997</v>
      </c>
      <c r="E5" s="287"/>
      <c r="F5" s="287"/>
      <c r="G5" s="287"/>
      <c r="H5" s="287"/>
      <c r="I5" s="287"/>
      <c r="J5" s="287"/>
      <c r="K5" s="287"/>
      <c r="L5" s="287"/>
      <c r="M5" s="287"/>
    </row>
    <row r="6" spans="2:13">
      <c r="B6" s="38" t="s">
        <v>51</v>
      </c>
      <c r="C6" s="287">
        <f>3555238122.5+C7</f>
        <v>14247614239.91</v>
      </c>
      <c r="D6" s="287">
        <f>3319445339.77+D7</f>
        <v>11115743757.9</v>
      </c>
      <c r="E6" s="287"/>
      <c r="F6" s="287"/>
      <c r="G6" s="287"/>
      <c r="H6" s="287"/>
      <c r="I6" s="287"/>
      <c r="J6" s="287"/>
      <c r="K6" s="287"/>
      <c r="L6" s="287"/>
      <c r="M6" s="287"/>
    </row>
    <row r="7" spans="2:13">
      <c r="B7" s="66" t="s">
        <v>58</v>
      </c>
      <c r="C7" s="288">
        <v>10692376117.41</v>
      </c>
      <c r="D7" s="288">
        <v>7796298418.1300001</v>
      </c>
      <c r="E7" s="288"/>
      <c r="F7" s="288"/>
      <c r="G7" s="288"/>
      <c r="H7" s="288"/>
      <c r="I7" s="288"/>
      <c r="J7" s="288"/>
      <c r="K7" s="288"/>
      <c r="L7" s="288"/>
      <c r="M7" s="288"/>
    </row>
    <row r="8" spans="2:13">
      <c r="B8" s="38" t="s">
        <v>46</v>
      </c>
      <c r="C8" s="287">
        <v>405053632.26999998</v>
      </c>
      <c r="D8" s="287">
        <v>321845165.27999997</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2833530840.46</f>
        <v>2833530840.46</v>
      </c>
      <c r="D12" s="287">
        <v>2473170676.27</v>
      </c>
      <c r="E12" s="287"/>
      <c r="F12" s="287"/>
      <c r="G12" s="287"/>
      <c r="H12" s="287"/>
      <c r="I12" s="287"/>
      <c r="J12" s="287"/>
      <c r="K12" s="287"/>
      <c r="L12" s="287"/>
      <c r="M12" s="287"/>
    </row>
    <row r="13" spans="2:13">
      <c r="B13" s="38" t="s">
        <v>64</v>
      </c>
      <c r="C13" s="287">
        <v>2875863410.1100001</v>
      </c>
      <c r="D13" s="287">
        <v>2487953643.3299999</v>
      </c>
      <c r="E13" s="287"/>
      <c r="F13" s="287"/>
      <c r="G13" s="287"/>
      <c r="H13" s="287"/>
      <c r="I13" s="287"/>
      <c r="J13" s="287"/>
      <c r="K13" s="287"/>
      <c r="L13" s="287"/>
      <c r="M13" s="287"/>
    </row>
    <row r="14" spans="2:13">
      <c r="B14" s="38" t="s">
        <v>47</v>
      </c>
      <c r="C14" s="287">
        <v>10969864757.690001</v>
      </c>
      <c r="D14" s="287">
        <v>10391904361.49</v>
      </c>
      <c r="E14" s="287"/>
      <c r="F14" s="287"/>
      <c r="G14" s="287"/>
      <c r="H14" s="287"/>
      <c r="I14" s="287"/>
      <c r="J14" s="287"/>
      <c r="K14" s="287"/>
      <c r="L14" s="287"/>
      <c r="M14" s="287"/>
    </row>
    <row r="15" spans="2:13">
      <c r="B15" s="41" t="s">
        <v>39</v>
      </c>
      <c r="C15" s="289">
        <v>33193460484.32</v>
      </c>
      <c r="D15" s="289">
        <v>31520777582.150002</v>
      </c>
      <c r="E15" s="289"/>
      <c r="F15" s="289"/>
      <c r="G15" s="289"/>
      <c r="H15" s="289"/>
      <c r="I15" s="289"/>
      <c r="J15" s="289"/>
      <c r="K15" s="289"/>
      <c r="L15" s="289"/>
      <c r="M15" s="289"/>
    </row>
    <row r="16" spans="2:13">
      <c r="B16" s="27" t="s">
        <v>41</v>
      </c>
      <c r="C16" s="287">
        <v>1340287950.3399999</v>
      </c>
      <c r="D16" s="287">
        <v>1310192312.8499999</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33939755192.779999</v>
      </c>
      <c r="D22" s="287">
        <v>41742479908.230003</v>
      </c>
      <c r="E22" s="287"/>
      <c r="F22" s="287"/>
      <c r="G22" s="287"/>
      <c r="H22" s="287"/>
      <c r="I22" s="287"/>
      <c r="J22" s="287"/>
      <c r="K22" s="287"/>
      <c r="L22" s="287"/>
      <c r="M22" s="287"/>
    </row>
    <row r="23" spans="2:13">
      <c r="B23" s="26" t="s">
        <v>288</v>
      </c>
      <c r="C23" s="287">
        <v>-2642221739.0500002</v>
      </c>
      <c r="D23" s="287">
        <v>-2931832324.46</v>
      </c>
      <c r="E23" s="287"/>
      <c r="F23" s="287"/>
      <c r="G23" s="287"/>
      <c r="H23" s="287"/>
      <c r="I23" s="287"/>
      <c r="J23" s="287"/>
      <c r="K23" s="287"/>
      <c r="L23" s="287"/>
      <c r="M23" s="287"/>
    </row>
    <row r="24" spans="2:13">
      <c r="B24" s="26" t="s">
        <v>287</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26</v>
      </c>
      <c r="C27" s="94" t="s">
        <v>544</v>
      </c>
    </row>
    <row r="28" spans="2:13">
      <c r="B28" s="25" t="s">
        <v>22</v>
      </c>
      <c r="C28" s="270">
        <f>BS!C4</f>
        <v>4016935090.9299998</v>
      </c>
      <c r="D28" s="287">
        <f>42647461.48+14086450565.79+39624933.74</f>
        <v>14168722961.01</v>
      </c>
      <c r="E28" s="287"/>
      <c r="F28" s="287"/>
      <c r="G28" s="287"/>
      <c r="H28" s="287"/>
      <c r="I28" s="287"/>
      <c r="J28" s="287"/>
      <c r="K28" s="287"/>
      <c r="L28" s="287"/>
      <c r="M28" s="287"/>
    </row>
    <row r="29" spans="2:13">
      <c r="B29" s="25" t="s">
        <v>30</v>
      </c>
      <c r="C29" s="270">
        <f>BS!C6</f>
        <v>17745770666.169998</v>
      </c>
      <c r="D29" s="287">
        <v>17387841712.869999</v>
      </c>
      <c r="E29" s="287"/>
      <c r="F29" s="287"/>
      <c r="G29" s="287"/>
      <c r="H29" s="287"/>
      <c r="I29" s="287"/>
      <c r="J29" s="287"/>
      <c r="K29" s="287"/>
      <c r="L29" s="287"/>
      <c r="M29" s="287"/>
    </row>
    <row r="30" spans="2:13">
      <c r="B30" s="28" t="s">
        <v>38</v>
      </c>
      <c r="C30" s="271">
        <f>BS!C33+BS!C42</f>
        <v>49284244654.68</v>
      </c>
      <c r="D30" s="289">
        <v>33083608497.580002</v>
      </c>
      <c r="E30" s="289"/>
      <c r="F30" s="289"/>
      <c r="G30" s="289"/>
      <c r="H30" s="289"/>
      <c r="I30" s="289"/>
      <c r="J30" s="289"/>
      <c r="K30" s="289"/>
      <c r="L30" s="289"/>
      <c r="M30" s="289"/>
    </row>
    <row r="31" spans="2:13">
      <c r="B31" s="28" t="s">
        <v>28</v>
      </c>
      <c r="C31" s="271">
        <f>BS!G27</f>
        <v>144131137908.02997</v>
      </c>
      <c r="D31" s="289">
        <v>132349373187.17</v>
      </c>
      <c r="E31" s="289"/>
      <c r="F31" s="289"/>
      <c r="G31" s="289"/>
      <c r="H31" s="289"/>
      <c r="I31" s="289"/>
      <c r="J31" s="289"/>
      <c r="K31" s="289"/>
      <c r="L31" s="289"/>
      <c r="M31" s="289"/>
    </row>
    <row r="32" spans="2:13">
      <c r="B32" s="25" t="s">
        <v>143</v>
      </c>
      <c r="C32" s="270">
        <f>BS!G28</f>
        <v>3654729261.3800001</v>
      </c>
      <c r="D32" s="287">
        <v>2791132146.6599998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3368850.3+64351041.9+3888593774.07+60621424.66</f>
        <v>4016935090.9299998</v>
      </c>
      <c r="D4" s="231">
        <v>0.6</v>
      </c>
      <c r="E4" s="24"/>
      <c r="F4" s="4" t="s">
        <v>74</v>
      </c>
      <c r="G4" s="18">
        <v>148319946342.06</v>
      </c>
      <c r="H4" s="231">
        <v>0.9</v>
      </c>
    </row>
    <row r="5" spans="2:8" ht="15" customHeight="1">
      <c r="B5" s="1" t="s">
        <v>31</v>
      </c>
      <c r="C5" s="18">
        <v>0</v>
      </c>
      <c r="D5" s="231">
        <v>0.6</v>
      </c>
      <c r="E5" s="24"/>
      <c r="F5" s="1" t="s">
        <v>27</v>
      </c>
      <c r="G5" s="18">
        <v>0</v>
      </c>
      <c r="H5" s="231">
        <v>0.7</v>
      </c>
    </row>
    <row r="6" spans="2:8" ht="15" customHeight="1">
      <c r="B6" s="4" t="s">
        <v>8</v>
      </c>
      <c r="C6" s="18">
        <v>17745770666.169998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230243788.88</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191407289.30000001</v>
      </c>
      <c r="D11" s="231">
        <v>0.05</v>
      </c>
      <c r="H11" s="232"/>
    </row>
    <row r="12" spans="2:8" ht="15" customHeight="1">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7745514521.75+5932852216.53+581324329.56</f>
        <v>14259691067.839998</v>
      </c>
      <c r="D19" s="231">
        <v>0.1</v>
      </c>
      <c r="F19" s="4" t="s">
        <v>152</v>
      </c>
      <c r="G19" s="18">
        <v>2173006025.0500002</v>
      </c>
      <c r="H19" s="231">
        <v>0.1</v>
      </c>
    </row>
    <row r="20" spans="2:8" ht="15" customHeight="1">
      <c r="B20" s="4" t="s">
        <v>16</v>
      </c>
      <c r="C20" s="18">
        <v>0</v>
      </c>
      <c r="D20" s="231">
        <v>0.05</v>
      </c>
      <c r="F20" s="4" t="s">
        <v>149</v>
      </c>
      <c r="G20" s="18">
        <v>0</v>
      </c>
      <c r="H20" s="231">
        <v>0.2</v>
      </c>
    </row>
    <row r="21" spans="2:8" ht="15" customHeight="1">
      <c r="B21" s="4" t="s">
        <v>17</v>
      </c>
      <c r="C21" s="18">
        <v>2720969313.54</v>
      </c>
      <c r="D21" s="231">
        <v>0.05</v>
      </c>
      <c r="F21" s="1" t="s">
        <v>150</v>
      </c>
      <c r="G21" s="18">
        <v>0</v>
      </c>
      <c r="H21" s="231">
        <v>0.1</v>
      </c>
    </row>
    <row r="22" spans="2:8" ht="15" customHeight="1">
      <c r="B22" s="4" t="s">
        <v>18</v>
      </c>
      <c r="C22" s="18">
        <v>3149965433.77</v>
      </c>
      <c r="D22" s="231">
        <v>0.9</v>
      </c>
      <c r="H22" s="232"/>
    </row>
    <row r="23" spans="2:8" ht="15" customHeight="1">
      <c r="B23" s="4" t="s">
        <v>19</v>
      </c>
      <c r="C23" s="18">
        <f>1200000+1621619.53+136367275.12+468258650.52</f>
        <v>607447545.16999996</v>
      </c>
      <c r="D23" s="231">
        <v>0</v>
      </c>
      <c r="H23" s="232"/>
    </row>
    <row r="24" spans="2:8" ht="15" customHeight="1">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c r="B26" s="16" t="s">
        <v>169</v>
      </c>
      <c r="C26" s="164" t="s">
        <v>113</v>
      </c>
      <c r="F26" s="166" t="s">
        <v>165</v>
      </c>
      <c r="G26" s="167" t="s">
        <v>113</v>
      </c>
      <c r="H26" s="168" t="s">
        <v>33</v>
      </c>
    </row>
    <row r="27" spans="2:8" ht="15" customHeight="1">
      <c r="B27" s="4" t="s">
        <v>3</v>
      </c>
      <c r="C27" s="18">
        <v>0</v>
      </c>
      <c r="F27" s="169" t="s">
        <v>28</v>
      </c>
      <c r="G27" s="82">
        <f>G32-G30</f>
        <v>144131137908.02997</v>
      </c>
      <c r="H27" s="170">
        <f>H32-G30</f>
        <v>100133635249.52902</v>
      </c>
    </row>
    <row r="28" spans="2:8" ht="15" customHeight="1">
      <c r="B28" s="4" t="s">
        <v>4</v>
      </c>
      <c r="C28" s="18">
        <v>0</v>
      </c>
      <c r="F28" s="171" t="s">
        <v>209</v>
      </c>
      <c r="G28" s="287">
        <v>3654729261.3800001</v>
      </c>
      <c r="H28" s="170"/>
    </row>
    <row r="29" spans="2:8" ht="15" customHeight="1">
      <c r="B29" s="4" t="s">
        <v>5</v>
      </c>
      <c r="C29" s="18">
        <v>0</v>
      </c>
      <c r="F29" s="172" t="s">
        <v>72</v>
      </c>
      <c r="G29" s="14">
        <f>G27-G28</f>
        <v>140476408646.64996</v>
      </c>
      <c r="H29" s="170">
        <f>H27-G28</f>
        <v>96478905988.149017</v>
      </c>
    </row>
    <row r="30" spans="2:8" ht="15" customHeight="1">
      <c r="B30" s="2" t="s">
        <v>6</v>
      </c>
      <c r="C30" s="18">
        <v>0</v>
      </c>
      <c r="F30" s="169" t="s">
        <v>21</v>
      </c>
      <c r="G30" s="82">
        <f>C33+C42</f>
        <v>49284244654.68</v>
      </c>
      <c r="H30" s="170"/>
    </row>
    <row r="31" spans="2:8" ht="15" customHeight="1">
      <c r="B31" s="77" t="s">
        <v>172</v>
      </c>
      <c r="C31" s="78">
        <f>SUM(C27:C30)</f>
        <v>0</v>
      </c>
      <c r="F31" s="172" t="s">
        <v>73</v>
      </c>
      <c r="G31" s="173">
        <f>C31+C40</f>
        <v>215370747.58000001</v>
      </c>
      <c r="H31" s="170"/>
    </row>
    <row r="32" spans="2:8" ht="15" customHeight="1">
      <c r="B32" s="4" t="s">
        <v>7</v>
      </c>
      <c r="C32" s="20">
        <f>C33-C31</f>
        <v>48677259367.199997</v>
      </c>
      <c r="F32" s="174" t="s">
        <v>71</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42922430195.599991</v>
      </c>
      <c r="H35" s="182">
        <f>D12+D24</f>
        <v>15712627593.849998</v>
      </c>
    </row>
    <row r="36" spans="2:8" ht="15" customHeight="1">
      <c r="B36" s="4" t="s">
        <v>11</v>
      </c>
      <c r="C36" s="18">
        <v>0</v>
      </c>
      <c r="F36" s="172" t="s">
        <v>166</v>
      </c>
      <c r="G36" s="173">
        <f>C4+C15</f>
        <v>4016935090.9299998</v>
      </c>
      <c r="H36" s="177"/>
    </row>
    <row r="37" spans="2:8" ht="15" customHeight="1">
      <c r="B37" s="4" t="s">
        <v>12</v>
      </c>
      <c r="C37" s="18">
        <v>215370747.58000001</v>
      </c>
      <c r="F37" s="172" t="s">
        <v>167</v>
      </c>
      <c r="G37" s="173">
        <f>C6</f>
        <v>17745770666.169998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14259691067.839998</v>
      </c>
      <c r="H39" s="170">
        <f>C7*D7+C17*D17+C19*D19+C20*D20</f>
        <v>1425969106.7839999</v>
      </c>
    </row>
    <row r="40" spans="2:8" ht="15" customHeight="1">
      <c r="B40" s="77" t="s">
        <v>173</v>
      </c>
      <c r="C40" s="78">
        <f>SUM(C36:C39)</f>
        <v>215370747.58000001</v>
      </c>
      <c r="F40" s="181" t="s">
        <v>115</v>
      </c>
      <c r="G40" s="175">
        <f>G12+G24</f>
        <v>150492952367.10999</v>
      </c>
      <c r="H40" s="182">
        <f>H12+H24</f>
        <v>133705252310.35901</v>
      </c>
    </row>
    <row r="41" spans="2:8" ht="15" customHeight="1">
      <c r="B41" s="4" t="s">
        <v>15</v>
      </c>
      <c r="C41" s="20">
        <f>C42-C40</f>
        <v>391614539.89999998</v>
      </c>
      <c r="F41" s="172" t="s">
        <v>160</v>
      </c>
      <c r="G41" s="173">
        <f>C70</f>
        <v>148319946342.06</v>
      </c>
      <c r="H41" s="182">
        <f>H40-H42</f>
        <v>133487951707.854</v>
      </c>
    </row>
    <row r="42" spans="2:8" ht="15" customHeight="1">
      <c r="B42" s="80" t="s">
        <v>20</v>
      </c>
      <c r="C42" s="81">
        <v>606985287.48000002</v>
      </c>
      <c r="F42" s="183" t="s">
        <v>161</v>
      </c>
      <c r="G42" s="184">
        <f>C82</f>
        <v>2173006025.0500002</v>
      </c>
      <c r="H42" s="185">
        <f>D82</f>
        <v>217300602.50500003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5.1971735080735887E-3</v>
      </c>
      <c r="D50" s="92">
        <f>G31/Normalized_FCF!G8</f>
        <v>5.2503617061349702E-3</v>
      </c>
      <c r="F50" s="223"/>
    </row>
    <row r="51" spans="2:8" ht="15" customHeight="1">
      <c r="B51" s="1" t="s">
        <v>146</v>
      </c>
      <c r="C51" s="163"/>
      <c r="D51" s="89">
        <f>G29/G32</f>
        <v>0.72629387996636774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0.96546202585583119</v>
      </c>
      <c r="D54" s="89">
        <f>Normalized_FCF!G8/G35</f>
        <v>0.9556815215161093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7.3725734111229027E-2</v>
      </c>
      <c r="F59" s="223"/>
    </row>
    <row r="60" spans="2:8" ht="15" customHeight="1">
      <c r="F60" s="223"/>
    </row>
    <row r="61" spans="2:8" ht="15" customHeight="1">
      <c r="B61" s="143" t="s">
        <v>231</v>
      </c>
      <c r="C61" s="210" t="s">
        <v>114</v>
      </c>
      <c r="D61" s="179" t="s">
        <v>91</v>
      </c>
      <c r="F61" s="223"/>
    </row>
    <row r="62" spans="2:8" ht="15" customHeight="1">
      <c r="B62" s="1" t="s">
        <v>210</v>
      </c>
      <c r="C62" s="89">
        <f>IF(G28&lt;=0,0,G28/G29)</f>
        <v>2.6016676370001695E-2</v>
      </c>
      <c r="D62" s="89">
        <f>G28/G29</f>
        <v>2.6016676370001695E-2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148319946342.06</v>
      </c>
      <c r="D66" s="73">
        <f>C66-D75</f>
        <v>118301937502.43723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148319946342.06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-5037985057.8370838</v>
      </c>
      <c r="D73" s="285">
        <f>(Normalized_FCF!C26+Normalized_FCF!C35-Normalized_FCF!C89)/12</f>
        <v>-5003001473.2704611</v>
      </c>
      <c r="F73" s="1" t="s">
        <v>278</v>
      </c>
    </row>
    <row r="74" spans="2:6" ht="15" customHeight="1">
      <c r="B74" s="227" t="s">
        <v>259</v>
      </c>
      <c r="C74" s="228">
        <f>-$C$66/C73</f>
        <v>29.440330735267597</v>
      </c>
      <c r="D74" s="228">
        <f>-$C$66/D73</f>
        <v>29.646192817349558</v>
      </c>
      <c r="F74" s="223" t="s">
        <v>257</v>
      </c>
    </row>
    <row r="75" spans="2:6" ht="15" customHeight="1">
      <c r="B75" s="77" t="s">
        <v>258</v>
      </c>
      <c r="C75" s="261"/>
      <c r="D75" s="262">
        <f>MAX(-D73*D76,G5)</f>
        <v>30018008839.622765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2173006025.0500002</v>
      </c>
      <c r="D80" s="73">
        <f>G19*H19</f>
        <v>217300602.50500003</v>
      </c>
      <c r="F80" s="223"/>
    </row>
    <row r="81" spans="2:8" ht="15" customHeight="1">
      <c r="B81" s="102" t="s">
        <v>150</v>
      </c>
      <c r="C81" s="19">
        <f>G9+G21</f>
        <v>0</v>
      </c>
      <c r="D81" s="73">
        <f>G9*H9+G21*H21</f>
        <v>0</v>
      </c>
      <c r="F81" s="223"/>
    </row>
    <row r="82" spans="2:8" ht="15" customHeight="1">
      <c r="B82" s="77" t="s">
        <v>159</v>
      </c>
      <c r="C82" s="78">
        <f>SUM(C79:C81)</f>
        <v>2173006025.0500002</v>
      </c>
      <c r="D82" s="78">
        <f>SUM(D79:D81)</f>
        <v>217300602.50500003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-215370747.58000001</v>
      </c>
      <c r="D86" s="201">
        <f>C86*scaling_factor/Common_Shares</f>
        <v>-5.5484929777189086E-2</v>
      </c>
      <c r="E86" s="214" t="str">
        <f>Market_currency</f>
        <v>CNY</v>
      </c>
    </row>
    <row r="87" spans="2:8" ht="15" customHeight="1">
      <c r="B87" s="212" t="s">
        <v>240</v>
      </c>
      <c r="C87" s="73">
        <f>DCF!F5*Exchange_Rate</f>
        <v>118301937502.43723</v>
      </c>
      <c r="D87" s="201">
        <f>C87*scaling_factor/Common_Shares</f>
        <v>30.477559132722682</v>
      </c>
      <c r="E87" s="214" t="str">
        <f>Market_currency</f>
        <v>CNY</v>
      </c>
    </row>
    <row r="88" spans="2:8" ht="15" customHeight="1">
      <c r="B88" s="213" t="s">
        <v>159</v>
      </c>
      <c r="C88" s="73">
        <f>DCF!F6*Exchange_Rate</f>
        <v>217300602.50500003</v>
      </c>
      <c r="D88" s="201">
        <f>C88*scaling_factor/Common_Shares</f>
        <v>5.5982109019017241E-2</v>
      </c>
      <c r="E88" s="214" t="str">
        <f>Market_currency</f>
        <v>CNY</v>
      </c>
    </row>
    <row r="89" spans="2:8" ht="15" customHeight="1">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C115" sqref="C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2.7912507339988256E-2</v>
      </c>
      <c r="E92" s="237"/>
      <c r="G92" s="22">
        <f t="shared" ref="G92:Q92" si="38">IF(G$4="","",(G88*(1-dividend_tax_rate))/Market_Price)</f>
        <v>2.7912507339988256E-2</v>
      </c>
      <c r="H92" s="22">
        <f t="shared" si="38"/>
        <v>4.1133294186729299E-2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0.4665778415257858</v>
      </c>
      <c r="E116" s="22">
        <f>E119/E117/E118</f>
        <v>0.40406742273746776</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0.28867573532952973</v>
      </c>
      <c r="D119" s="100"/>
      <c r="E119" s="453">
        <v>0.25</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7.5140177536225108E-2</v>
      </c>
      <c r="D124" s="26"/>
      <c r="E124" s="234"/>
      <c r="F124" s="26"/>
      <c r="G124" s="74">
        <f t="shared" ref="G124" si="49">IF(G$4="","",G123/Market_Price)</f>
        <v>6.670956157700976E-2</v>
      </c>
      <c r="H124" s="74">
        <f t="shared" ref="H124" si="50">IF(H$4="","",H123/Market_Price)</f>
        <v>6.4227035458961412E-2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8.3690267819485825E-2</v>
      </c>
      <c r="H125" s="22">
        <f>IF(H$4="","",(Data!D47*$C$3)/(Market_Price*Common_Shares))</f>
        <v>7.9472952781609332E-2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c r="B6" s="136" t="s">
        <v>194</v>
      </c>
      <c r="C6" s="283">
        <f>(C4*(1+Terminal_Growth))/(Equity_Cost-Terminal_Growth)</f>
        <v>579016124778.08789</v>
      </c>
      <c r="D6" t="str">
        <f>Reporting_currency</f>
        <v>CNY</v>
      </c>
      <c r="E6" s="187" t="s">
        <v>431</v>
      </c>
      <c r="F6" s="284">
        <f>BS!H42</f>
        <v>217300602.50500003</v>
      </c>
      <c r="G6" t="str">
        <f>Reporting_currency</f>
        <v>CNY</v>
      </c>
      <c r="H6" s="308" t="s">
        <v>414</v>
      </c>
      <c r="I6" s="305">
        <f>I7+I8</f>
        <v>167185808.18293661</v>
      </c>
      <c r="J6" s="305"/>
      <c r="N6" s="135"/>
    </row>
    <row r="7" spans="2:15" ht="12.75" customHeight="1">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3.15">
      <c r="B8" s="136" t="s">
        <v>424</v>
      </c>
      <c r="C8" s="283">
        <f>C6+C7</f>
        <v>697319992135.45007</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425</v>
      </c>
      <c r="C10" s="283">
        <f>C8*Exchange_Rate</f>
        <v>697319992135.45007</v>
      </c>
      <c r="D10" t="str">
        <f>Market_currency</f>
        <v>CNY</v>
      </c>
      <c r="H10" s="308" t="s">
        <v>395</v>
      </c>
      <c r="I10" s="306">
        <f>Normalized_FCF!C41</f>
        <v>0.25</v>
      </c>
      <c r="N10" s="304"/>
      <c r="O10" s="304"/>
    </row>
    <row r="11" spans="2:15" ht="13.15">
      <c r="B11" s="136" t="s">
        <v>423</v>
      </c>
      <c r="C11" s="108">
        <f>(C10*scaling_factor)/Common_Shares</f>
        <v>179.64719550176477</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II</v>
      </c>
      <c r="H14" s="106" t="s">
        <v>411</v>
      </c>
    </row>
    <row r="15" spans="2:15">
      <c r="B15" s="139" t="s">
        <v>419</v>
      </c>
      <c r="C15" s="148">
        <f>Scenarios!C45</f>
        <v>5</v>
      </c>
      <c r="E15" s="308" t="str">
        <f>IF(F14="II","Change year","Terminal Year")</f>
        <v>Change year</v>
      </c>
      <c r="F15" s="310">
        <f>IF(F14="II",_xlfn.CEILING.MATH(C15/2),C15+1)</f>
        <v>3</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0.4665778415257858</v>
      </c>
      <c r="E17" s="308" t="s">
        <v>548</v>
      </c>
      <c r="F17" s="311">
        <f>Scenarios!C40</f>
        <v>0.40406742273746776</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134.89477814489302</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II</v>
      </c>
      <c r="B23" s="117">
        <v>3</v>
      </c>
      <c r="C23" s="277">
        <f t="shared" si="5"/>
        <v>95710706069.60791</v>
      </c>
      <c r="D23" s="299">
        <f t="shared" si="1"/>
        <v>2.38559171477595E-2</v>
      </c>
      <c r="E23" s="299">
        <f t="shared" si="6"/>
        <v>0.40406742273746776</v>
      </c>
      <c r="F23" s="277">
        <f t="shared" si="7"/>
        <v>38673578329.929779</v>
      </c>
      <c r="G23" s="299">
        <f t="shared" si="2"/>
        <v>0</v>
      </c>
      <c r="H23" s="277">
        <f t="shared" si="8"/>
        <v>27499283445.102375</v>
      </c>
      <c r="I23" s="299">
        <f t="shared" si="9"/>
        <v>-0.11977459625120046</v>
      </c>
      <c r="J23" s="299">
        <f t="shared" ref="J23:J50" si="10">IF(A23="", 0,H23/C23)</f>
        <v>0.28731669187669412</v>
      </c>
      <c r="K23" s="119">
        <f t="shared" si="3"/>
        <v>0.81060279602995633</v>
      </c>
      <c r="L23" s="277">
        <f t="shared" si="4"/>
        <v>22290996049.420277</v>
      </c>
      <c r="N23" s="275"/>
      <c r="O23" s="275"/>
      <c r="P23" s="275"/>
      <c r="Q23" s="275"/>
      <c r="R23" s="275"/>
      <c r="S23" s="275"/>
      <c r="T23" s="275"/>
      <c r="U23" s="275"/>
    </row>
    <row r="24" spans="1:21">
      <c r="A24" s="302" t="str">
        <f t="shared" si="0"/>
        <v>II</v>
      </c>
      <c r="B24" s="117">
        <v>4</v>
      </c>
      <c r="C24" s="277">
        <f t="shared" si="5"/>
        <v>97993972743.758041</v>
      </c>
      <c r="D24" s="299">
        <f t="shared" si="1"/>
        <v>2.38559171477595E-2</v>
      </c>
      <c r="E24" s="299">
        <f t="shared" si="6"/>
        <v>0.40406742273746776</v>
      </c>
      <c r="F24" s="277">
        <f t="shared" si="7"/>
        <v>39596172010.375977</v>
      </c>
      <c r="G24" s="299">
        <f t="shared" si="2"/>
        <v>0</v>
      </c>
      <c r="H24" s="277">
        <f t="shared" si="8"/>
        <v>28155304072.591496</v>
      </c>
      <c r="I24" s="299">
        <f t="shared" si="9"/>
        <v>2.3855917147759698E-2</v>
      </c>
      <c r="J24" s="299">
        <f t="shared" si="10"/>
        <v>0.28731669187669417</v>
      </c>
      <c r="K24" s="119">
        <f t="shared" si="3"/>
        <v>0.75580680282513402</v>
      </c>
      <c r="L24" s="277">
        <f t="shared" si="4"/>
        <v>21279970353.674854</v>
      </c>
      <c r="N24" s="275"/>
      <c r="O24" s="275"/>
      <c r="P24" s="275"/>
      <c r="Q24" s="275"/>
      <c r="R24" s="275"/>
      <c r="S24" s="275"/>
      <c r="T24" s="275"/>
      <c r="U24" s="275"/>
    </row>
    <row r="25" spans="1:21">
      <c r="A25" s="302" t="str">
        <f t="shared" si="0"/>
        <v>II</v>
      </c>
      <c r="B25" s="117">
        <v>5</v>
      </c>
      <c r="C25" s="277">
        <f t="shared" si="5"/>
        <v>100331708838.51294</v>
      </c>
      <c r="D25" s="299">
        <f t="shared" si="1"/>
        <v>2.38559171477595E-2</v>
      </c>
      <c r="E25" s="299">
        <f t="shared" si="6"/>
        <v>0.40406742273746776</v>
      </c>
      <c r="F25" s="277">
        <f t="shared" si="7"/>
        <v>40540775009.223938</v>
      </c>
      <c r="G25" s="299">
        <f t="shared" si="2"/>
        <v>0</v>
      </c>
      <c r="H25" s="277">
        <f t="shared" si="8"/>
        <v>28826974673.817215</v>
      </c>
      <c r="I25" s="299">
        <f t="shared" si="9"/>
        <v>2.3855917147759476E-2</v>
      </c>
      <c r="J25" s="299">
        <f t="shared" si="10"/>
        <v>0.28731669187669417</v>
      </c>
      <c r="K25" s="119">
        <f t="shared" si="3"/>
        <v>0.70471496766912267</v>
      </c>
      <c r="L25" s="277">
        <f t="shared" si="4"/>
        <v>20314800525.257717</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102338343015.2832</v>
      </c>
      <c r="D51" s="301">
        <f>Terminal_Growth</f>
        <v>0.02</v>
      </c>
      <c r="E51" s="301">
        <f>F17</f>
        <v>0.40406742273746776</v>
      </c>
      <c r="F51" s="277">
        <f>C51*E51</f>
        <v>41351590509.408417</v>
      </c>
      <c r="G51" s="299">
        <f>F18</f>
        <v>0</v>
      </c>
      <c r="H51" s="277">
        <f>(F51*(1-$I$10)+C51*(G51-$I$9))/Equity_Cost</f>
        <v>405565712652.32501</v>
      </c>
      <c r="I51" s="415">
        <f>(F51*(1-$I$10)+C51*(G51-$I$9))/VLOOKUP(C15,B21:H50,COLUMN(H20)-1,FALSE)-1</f>
        <v>2.0000000000000018E-2</v>
      </c>
      <c r="J51" s="454"/>
      <c r="K51" s="119">
        <f>1/(1+Equity_Cost)^C15</f>
        <v>0.70471496766912267</v>
      </c>
      <c r="L51" s="277">
        <f t="shared" si="4"/>
        <v>285808228079.48792</v>
      </c>
    </row>
    <row r="52" spans="1:21" ht="13.15">
      <c r="G52" s="111"/>
      <c r="H52" s="111"/>
      <c r="I52" s="111"/>
      <c r="J52" s="468" t="s">
        <v>418</v>
      </c>
      <c r="K52" s="468"/>
      <c r="L52" s="317">
        <f>SUM(L21:L51)</f>
        <v>405304783322.55359</v>
      </c>
    </row>
    <row r="53" spans="1:21">
      <c r="C53" s="111"/>
    </row>
    <row r="54" spans="1:21" ht="13.15">
      <c r="B54" s="115" t="s">
        <v>108</v>
      </c>
      <c r="C54" s="128"/>
      <c r="D54" s="128"/>
      <c r="E54" s="113"/>
      <c r="F54" s="113"/>
      <c r="G54" s="113"/>
      <c r="H54" s="113"/>
      <c r="I54" s="113"/>
      <c r="J54" s="113"/>
      <c r="K54" s="113"/>
      <c r="L54" s="113"/>
    </row>
    <row r="55" spans="1:21" ht="13.15">
      <c r="A55" s="125">
        <f>L52</f>
        <v>405304783322.55359</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363888618175.51416</v>
      </c>
      <c r="C56" s="118">
        <v>367527504357.26935</v>
      </c>
      <c r="D56" s="118">
        <v>371166390539.02448</v>
      </c>
      <c r="E56" s="118">
        <v>374805276720.77954</v>
      </c>
      <c r="F56" s="118">
        <v>382083049084.29004</v>
      </c>
      <c r="G56" s="295"/>
      <c r="H56" s="295"/>
      <c r="I56" s="295"/>
      <c r="J56" s="295"/>
      <c r="K56" s="295"/>
      <c r="L56" s="295"/>
    </row>
    <row r="57" spans="1:21" ht="13.15">
      <c r="A57" s="131">
        <v>2</v>
      </c>
      <c r="B57" s="118">
        <v>363443125838.77289</v>
      </c>
      <c r="C57" s="118">
        <v>370467676970.73877</v>
      </c>
      <c r="D57" s="118">
        <v>377559359189.31018</v>
      </c>
      <c r="E57" s="118">
        <v>384718172494.48706</v>
      </c>
      <c r="F57" s="118">
        <v>399237192364.65747</v>
      </c>
      <c r="G57" s="295"/>
      <c r="H57" s="295"/>
      <c r="I57" s="295"/>
      <c r="J57" s="295"/>
      <c r="K57" s="295"/>
      <c r="L57" s="295"/>
    </row>
    <row r="58" spans="1:21" ht="13.15">
      <c r="A58" s="131">
        <v>3</v>
      </c>
      <c r="B58" s="118">
        <v>363027748368.6178</v>
      </c>
      <c r="C58" s="118">
        <v>373236510853.81952</v>
      </c>
      <c r="D58" s="118">
        <v>383639385318.25305</v>
      </c>
      <c r="E58" s="118">
        <v>394238249554.55103</v>
      </c>
      <c r="F58" s="118">
        <v>416031458513.26886</v>
      </c>
      <c r="G58" s="295"/>
      <c r="H58" s="295"/>
      <c r="I58" s="295"/>
      <c r="J58" s="295"/>
      <c r="K58" s="295"/>
      <c r="L58" s="295"/>
    </row>
    <row r="59" spans="1:21" ht="13.15">
      <c r="A59" s="131">
        <v>4</v>
      </c>
      <c r="B59" s="118">
        <v>362640450028.14679</v>
      </c>
      <c r="C59" s="118">
        <v>375843990781.0097</v>
      </c>
      <c r="D59" s="118">
        <v>389421787790.53448</v>
      </c>
      <c r="E59" s="118">
        <v>403381074143.70337</v>
      </c>
      <c r="F59" s="118">
        <v>432473397400.02124</v>
      </c>
      <c r="G59" s="295"/>
      <c r="H59" s="295"/>
      <c r="I59" s="295"/>
      <c r="J59" s="295"/>
      <c r="K59" s="295"/>
      <c r="L59" s="295"/>
    </row>
    <row r="60" spans="1:21" ht="13.15">
      <c r="A60" s="131">
        <v>5</v>
      </c>
      <c r="B60" s="118">
        <v>365913986543.77197</v>
      </c>
      <c r="C60" s="118">
        <v>382007230055.26251</v>
      </c>
      <c r="D60" s="118">
        <v>398702629461.25385</v>
      </c>
      <c r="E60" s="118">
        <v>416017599929.38422</v>
      </c>
      <c r="F60" s="118">
        <v>452577606374.89362</v>
      </c>
      <c r="G60" s="295"/>
      <c r="H60" s="295"/>
      <c r="I60" s="295"/>
      <c r="J60" s="295"/>
      <c r="K60" s="295"/>
      <c r="L60" s="295"/>
    </row>
    <row r="61" spans="1:21" ht="13.15">
      <c r="A61" s="131">
        <v>6</v>
      </c>
      <c r="B61" s="118">
        <v>365577280405.0564</v>
      </c>
      <c r="C61" s="118">
        <v>384319662849.02185</v>
      </c>
      <c r="D61" s="118">
        <v>403932778423.41907</v>
      </c>
      <c r="E61" s="118">
        <v>424450175372.14453</v>
      </c>
      <c r="F61" s="118">
        <v>468336910114.9469</v>
      </c>
      <c r="G61" s="295"/>
      <c r="H61" s="295"/>
      <c r="I61" s="295"/>
      <c r="J61" s="295"/>
      <c r="K61" s="295"/>
      <c r="L61" s="295"/>
    </row>
    <row r="62" spans="1:21" ht="13.15">
      <c r="A62" s="131">
        <v>7</v>
      </c>
      <c r="B62" s="118">
        <v>368652289925.50586</v>
      </c>
      <c r="C62" s="118">
        <v>389988981839.59094</v>
      </c>
      <c r="D62" s="118">
        <v>412503291881.33997</v>
      </c>
      <c r="E62" s="118">
        <v>436251795048.53979</v>
      </c>
      <c r="F62" s="118">
        <v>487688737704.19141</v>
      </c>
      <c r="G62" s="295"/>
      <c r="H62" s="295"/>
      <c r="I62" s="295"/>
      <c r="J62" s="295"/>
      <c r="K62" s="295"/>
      <c r="L62" s="295"/>
    </row>
    <row r="63" spans="1:21" ht="13.15">
      <c r="A63" s="131">
        <v>8</v>
      </c>
      <c r="B63" s="118">
        <v>368359567205.05505</v>
      </c>
      <c r="C63" s="118">
        <v>392039753302.83142</v>
      </c>
      <c r="D63" s="118">
        <v>417233930797.87415</v>
      </c>
      <c r="E63" s="118">
        <v>444029296181.20013</v>
      </c>
      <c r="F63" s="118">
        <v>502793747890.75513</v>
      </c>
      <c r="G63" s="295"/>
      <c r="H63" s="295"/>
      <c r="I63" s="295"/>
      <c r="J63" s="295"/>
      <c r="K63" s="295"/>
      <c r="L63" s="295"/>
    </row>
    <row r="64" spans="1:21" ht="13.15">
      <c r="A64" s="131">
        <v>9</v>
      </c>
      <c r="B64" s="118">
        <v>371246496732.03137</v>
      </c>
      <c r="C64" s="118">
        <v>397259183572.31592</v>
      </c>
      <c r="D64" s="118">
        <v>425153338894.80774</v>
      </c>
      <c r="E64" s="118">
        <v>455055053261.43237</v>
      </c>
      <c r="F64" s="118">
        <v>521422704757.4303</v>
      </c>
      <c r="G64" s="295"/>
      <c r="H64" s="295"/>
      <c r="I64" s="295"/>
      <c r="J64" s="295"/>
      <c r="K64" s="295"/>
      <c r="L64" s="295"/>
    </row>
    <row r="65" spans="1:21" ht="13.15">
      <c r="A65" s="131">
        <v>10</v>
      </c>
      <c r="B65" s="118">
        <v>370992011941.83716</v>
      </c>
      <c r="C65" s="118">
        <v>399077901766.32843</v>
      </c>
      <c r="D65" s="118">
        <v>429432173918.53589</v>
      </c>
      <c r="E65" s="118">
        <v>462228368730.60657</v>
      </c>
      <c r="F65" s="118">
        <v>535900586299.64014</v>
      </c>
      <c r="G65" s="295"/>
      <c r="H65" s="295"/>
      <c r="I65" s="295"/>
      <c r="J65" s="295"/>
      <c r="K65" s="295"/>
      <c r="L65" s="295"/>
    </row>
    <row r="66" spans="1:21" ht="13.15">
      <c r="A66" s="131">
        <v>15</v>
      </c>
      <c r="B66" s="118">
        <v>378210273252.08185</v>
      </c>
      <c r="C66" s="277">
        <v>415458765979.00354</v>
      </c>
      <c r="D66" s="118">
        <v>457171048062.15704</v>
      </c>
      <c r="E66" s="118">
        <v>503895675228.34998</v>
      </c>
      <c r="F66" s="118">
        <v>614905238311.41565</v>
      </c>
      <c r="G66" s="295"/>
      <c r="H66" s="295"/>
      <c r="I66" s="295"/>
      <c r="J66" s="295"/>
      <c r="K66" s="295"/>
      <c r="L66" s="295"/>
      <c r="M66" s="275"/>
      <c r="N66" s="275"/>
      <c r="O66" s="275"/>
      <c r="P66" s="275"/>
      <c r="Q66" s="275"/>
      <c r="R66" s="275"/>
      <c r="S66" s="275"/>
      <c r="T66" s="275"/>
      <c r="U66" s="275"/>
    </row>
    <row r="67" spans="1:21" ht="13.15">
      <c r="A67" s="132">
        <v>20</v>
      </c>
      <c r="B67" s="118">
        <v>382094893839.24988</v>
      </c>
      <c r="C67" s="277">
        <v>426125688068.81348</v>
      </c>
      <c r="D67" s="118">
        <v>476985784771.55322</v>
      </c>
      <c r="E67" s="118">
        <v>535823261004.99988</v>
      </c>
      <c r="F67" s="118">
        <v>683011489752.96399</v>
      </c>
      <c r="G67" s="295"/>
      <c r="H67" s="295"/>
      <c r="I67" s="295"/>
      <c r="J67" s="295"/>
      <c r="K67" s="295"/>
      <c r="L67" s="295"/>
      <c r="M67" s="275"/>
      <c r="N67" s="275"/>
      <c r="O67" s="275"/>
      <c r="P67" s="275"/>
      <c r="Q67" s="275"/>
      <c r="R67" s="275"/>
      <c r="S67" s="275"/>
      <c r="T67" s="275"/>
      <c r="U67" s="275"/>
    </row>
    <row r="68" spans="1:21" ht="13.15">
      <c r="A68" s="132">
        <v>25</v>
      </c>
      <c r="B68" s="118">
        <v>387397395746.58539</v>
      </c>
      <c r="C68" s="277">
        <v>436794323999.78656</v>
      </c>
      <c r="D68" s="118">
        <v>495382376022.05774</v>
      </c>
      <c r="E68" s="118">
        <v>565105188820.07056</v>
      </c>
      <c r="F68" s="118">
        <v>747921340602.3208</v>
      </c>
      <c r="G68" s="295"/>
      <c r="H68" s="295"/>
      <c r="I68" s="295"/>
      <c r="J68" s="295"/>
      <c r="K68" s="295"/>
      <c r="L68" s="295"/>
      <c r="M68" s="275"/>
      <c r="N68" s="275"/>
      <c r="O68" s="275"/>
      <c r="P68" s="275"/>
      <c r="Q68" s="275"/>
      <c r="R68" s="275"/>
      <c r="S68" s="275"/>
      <c r="T68" s="275"/>
      <c r="U68" s="275"/>
    </row>
    <row r="69" spans="1:21" ht="13.15">
      <c r="A69" s="132">
        <v>30</v>
      </c>
      <c r="B69" s="118">
        <v>390286942551.47412</v>
      </c>
      <c r="C69" s="277">
        <v>443610541832.98694</v>
      </c>
      <c r="D69" s="118">
        <v>508320584123.45398</v>
      </c>
      <c r="E69" s="118">
        <v>587301182779.15784</v>
      </c>
      <c r="F69" s="118">
        <v>803647417523.41626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179.64719550176477</v>
      </c>
      <c r="C73" s="119">
        <f>C11</f>
        <v>179.64719550176477</v>
      </c>
      <c r="D73" s="119">
        <f>C11</f>
        <v>179.64719550176477</v>
      </c>
      <c r="E73" s="119">
        <f>C11</f>
        <v>179.64719550176477</v>
      </c>
      <c r="F73" s="119">
        <f>C11</f>
        <v>179.64719550176477</v>
      </c>
      <c r="G73" s="296"/>
      <c r="H73" s="296"/>
      <c r="I73" s="296"/>
      <c r="J73" s="296"/>
      <c r="K73" s="296"/>
      <c r="L73" s="296"/>
    </row>
    <row r="74" spans="1:21" ht="13.15">
      <c r="A74" s="131">
        <v>1</v>
      </c>
      <c r="B74" s="119">
        <f t="shared" ref="B74:F87" si="11">(B56+FV_adjustments)/Common_Shares*scaling_factor*Exchange_Rate</f>
        <v>124.22493072761385</v>
      </c>
      <c r="C74" s="119">
        <f t="shared" si="11"/>
        <v>125.16239947177036</v>
      </c>
      <c r="D74" s="119">
        <f t="shared" si="11"/>
        <v>126.09986821592685</v>
      </c>
      <c r="E74" s="119">
        <f t="shared" si="11"/>
        <v>127.03733696008332</v>
      </c>
      <c r="F74" s="119">
        <f t="shared" si="11"/>
        <v>128.91227444839637</v>
      </c>
      <c r="G74" s="296"/>
      <c r="H74" s="296"/>
      <c r="I74" s="296"/>
      <c r="J74" s="296"/>
      <c r="K74" s="296"/>
      <c r="L74" s="296"/>
    </row>
    <row r="75" spans="1:21" ht="13.15">
      <c r="A75" s="131">
        <v>2</v>
      </c>
      <c r="B75" s="119">
        <f t="shared" si="11"/>
        <v>124.11016067969365</v>
      </c>
      <c r="C75" s="119">
        <f t="shared" si="11"/>
        <v>125.91986200010452</v>
      </c>
      <c r="D75" s="119">
        <f t="shared" si="11"/>
        <v>127.74685797946061</v>
      </c>
      <c r="E75" s="119">
        <f t="shared" si="11"/>
        <v>129.59114861776192</v>
      </c>
      <c r="F75" s="119">
        <f t="shared" si="11"/>
        <v>133.3316138712002</v>
      </c>
      <c r="G75" s="296"/>
      <c r="H75" s="296"/>
      <c r="I75" s="296"/>
      <c r="J75" s="296"/>
      <c r="K75" s="296"/>
      <c r="L75" s="296"/>
    </row>
    <row r="76" spans="1:21" ht="13.15">
      <c r="A76" s="131">
        <v>3</v>
      </c>
      <c r="B76" s="119">
        <f t="shared" si="11"/>
        <v>124.00314898000114</v>
      </c>
      <c r="C76" s="119">
        <f t="shared" si="11"/>
        <v>126.63318335545883</v>
      </c>
      <c r="D76" s="119">
        <f t="shared" si="11"/>
        <v>129.31322586645771</v>
      </c>
      <c r="E76" s="119">
        <f t="shared" si="11"/>
        <v>132.04376027968163</v>
      </c>
      <c r="F76" s="119">
        <f t="shared" si="11"/>
        <v>137.65823987953959</v>
      </c>
      <c r="G76" s="296"/>
      <c r="H76" s="296"/>
      <c r="I76" s="296"/>
      <c r="J76" s="296"/>
      <c r="K76" s="296"/>
      <c r="L76" s="296"/>
    </row>
    <row r="77" spans="1:21" ht="13.15">
      <c r="A77" s="131">
        <v>4</v>
      </c>
      <c r="B77" s="119">
        <f t="shared" si="11"/>
        <v>123.90337117143002</v>
      </c>
      <c r="C77" s="119">
        <f t="shared" si="11"/>
        <v>127.30493586726101</v>
      </c>
      <c r="D77" s="119">
        <f t="shared" si="11"/>
        <v>130.8029184023431</v>
      </c>
      <c r="E77" s="119">
        <f t="shared" si="11"/>
        <v>134.39918220208472</v>
      </c>
      <c r="F77" s="119">
        <f t="shared" si="11"/>
        <v>141.89409751008162</v>
      </c>
      <c r="G77" s="296"/>
      <c r="H77" s="296"/>
      <c r="I77" s="296"/>
      <c r="J77" s="296"/>
      <c r="K77" s="296"/>
      <c r="L77" s="296"/>
    </row>
    <row r="78" spans="1:21" ht="13.15">
      <c r="A78" s="131">
        <v>5</v>
      </c>
      <c r="B78" s="119">
        <f t="shared" si="11"/>
        <v>124.74671663841393</v>
      </c>
      <c r="C78" s="119">
        <f t="shared" si="11"/>
        <v>128.8927415566335</v>
      </c>
      <c r="D78" s="119">
        <f t="shared" si="11"/>
        <v>133.19389700161545</v>
      </c>
      <c r="E78" s="119">
        <f t="shared" si="11"/>
        <v>137.65466955923245</v>
      </c>
      <c r="F78" s="119">
        <f t="shared" si="11"/>
        <v>147.07344816810163</v>
      </c>
      <c r="G78" s="296"/>
      <c r="H78" s="296"/>
      <c r="I78" s="296"/>
      <c r="J78" s="296"/>
      <c r="K78" s="296"/>
      <c r="L78" s="296"/>
    </row>
    <row r="79" spans="1:21" ht="13.15">
      <c r="A79" s="131">
        <v>6</v>
      </c>
      <c r="B79" s="119">
        <f t="shared" si="11"/>
        <v>124.65997265543527</v>
      </c>
      <c r="C79" s="119">
        <f t="shared" si="11"/>
        <v>129.48848249461091</v>
      </c>
      <c r="D79" s="119">
        <f t="shared" si="11"/>
        <v>134.54131512199962</v>
      </c>
      <c r="E79" s="119">
        <f t="shared" si="11"/>
        <v>139.8271134103112</v>
      </c>
      <c r="F79" s="119">
        <f t="shared" si="11"/>
        <v>151.13344178923833</v>
      </c>
      <c r="G79" s="296"/>
      <c r="H79" s="296"/>
      <c r="I79" s="296"/>
      <c r="J79" s="296"/>
      <c r="K79" s="296"/>
      <c r="L79" s="296"/>
    </row>
    <row r="80" spans="1:21" ht="13.15">
      <c r="A80" s="131">
        <f t="shared" ref="A80" si="12">A62</f>
        <v>7</v>
      </c>
      <c r="B80" s="119">
        <f t="shared" si="11"/>
        <v>125.45217256755635</v>
      </c>
      <c r="C80" s="119">
        <f t="shared" si="11"/>
        <v>130.94904187702826</v>
      </c>
      <c r="D80" s="119">
        <f t="shared" si="11"/>
        <v>136.74929528044967</v>
      </c>
      <c r="E80" s="119">
        <f t="shared" si="11"/>
        <v>142.86750792237765</v>
      </c>
      <c r="F80" s="119">
        <f t="shared" si="11"/>
        <v>156.11896004979349</v>
      </c>
      <c r="G80" s="296"/>
      <c r="H80" s="296"/>
      <c r="I80" s="296"/>
      <c r="J80" s="296"/>
      <c r="K80" s="296"/>
      <c r="L80" s="296"/>
    </row>
    <row r="81" spans="1:12" ht="13.15">
      <c r="A81" s="131">
        <v>8</v>
      </c>
      <c r="B81" s="119">
        <f t="shared" si="11"/>
        <v>125.37675982106732</v>
      </c>
      <c r="C81" s="119">
        <f t="shared" si="11"/>
        <v>131.47737226500121</v>
      </c>
      <c r="D81" s="119">
        <f t="shared" si="11"/>
        <v>137.96802703039469</v>
      </c>
      <c r="E81" s="119">
        <f t="shared" si="11"/>
        <v>144.87118812981797</v>
      </c>
      <c r="F81" s="119">
        <f t="shared" si="11"/>
        <v>160.01039116986192</v>
      </c>
      <c r="G81" s="296"/>
      <c r="H81" s="296"/>
      <c r="I81" s="296"/>
      <c r="J81" s="296"/>
      <c r="K81" s="296"/>
      <c r="L81" s="296"/>
    </row>
    <row r="82" spans="1:12" ht="13.15">
      <c r="A82" s="131">
        <f t="shared" ref="A82" si="13">A64</f>
        <v>9</v>
      </c>
      <c r="B82" s="119">
        <f t="shared" si="11"/>
        <v>126.12050558912469</v>
      </c>
      <c r="C82" s="119">
        <f t="shared" si="11"/>
        <v>132.82202898014637</v>
      </c>
      <c r="D82" s="119">
        <f t="shared" si="11"/>
        <v>140.00826604647574</v>
      </c>
      <c r="E82" s="119">
        <f t="shared" si="11"/>
        <v>147.71170089309277</v>
      </c>
      <c r="F82" s="119">
        <f t="shared" si="11"/>
        <v>164.80967972313127</v>
      </c>
      <c r="G82" s="296"/>
      <c r="H82" s="296"/>
      <c r="I82" s="296"/>
      <c r="J82" s="296"/>
      <c r="K82" s="296"/>
      <c r="L82" s="296"/>
    </row>
    <row r="83" spans="1:12" ht="13.15">
      <c r="A83" s="131">
        <f t="shared" ref="A83:A87" si="14">A65</f>
        <v>10</v>
      </c>
      <c r="B83" s="119">
        <f t="shared" si="11"/>
        <v>126.05494389668526</v>
      </c>
      <c r="C83" s="119">
        <f t="shared" si="11"/>
        <v>133.29057660053201</v>
      </c>
      <c r="D83" s="119">
        <f t="shared" si="11"/>
        <v>141.11060173266983</v>
      </c>
      <c r="E83" s="119">
        <f t="shared" si="11"/>
        <v>149.55972765415007</v>
      </c>
      <c r="F83" s="119">
        <f t="shared" si="11"/>
        <v>168.53954670701023</v>
      </c>
      <c r="G83" s="296"/>
      <c r="H83" s="296"/>
      <c r="I83" s="296"/>
      <c r="J83" s="296"/>
      <c r="K83" s="296"/>
      <c r="L83" s="296"/>
    </row>
    <row r="84" spans="1:12" ht="13.15">
      <c r="A84" s="131">
        <f t="shared" si="14"/>
        <v>15</v>
      </c>
      <c r="B84" s="119">
        <f t="shared" si="11"/>
        <v>127.91454983859043</v>
      </c>
      <c r="C84" s="119">
        <f t="shared" si="11"/>
        <v>137.51069985655747</v>
      </c>
      <c r="D84" s="119">
        <f t="shared" si="11"/>
        <v>148.25683445578099</v>
      </c>
      <c r="E84" s="119">
        <f t="shared" si="11"/>
        <v>160.29427540963457</v>
      </c>
      <c r="F84" s="119">
        <f t="shared" si="11"/>
        <v>188.89313519662784</v>
      </c>
      <c r="G84" s="296"/>
      <c r="H84" s="296"/>
      <c r="I84" s="296"/>
      <c r="J84" s="296"/>
      <c r="K84" s="296"/>
      <c r="L84" s="296"/>
    </row>
    <row r="85" spans="1:12" ht="13.15">
      <c r="A85" s="132">
        <f t="shared" si="14"/>
        <v>20</v>
      </c>
      <c r="B85" s="119">
        <f t="shared" si="11"/>
        <v>128.91532595564402</v>
      </c>
      <c r="C85" s="119">
        <f t="shared" si="11"/>
        <v>140.25876768722702</v>
      </c>
      <c r="D85" s="119">
        <f t="shared" si="11"/>
        <v>153.36160976639252</v>
      </c>
      <c r="E85" s="119">
        <f t="shared" si="11"/>
        <v>168.51962576328262</v>
      </c>
      <c r="F85" s="119">
        <f t="shared" si="11"/>
        <v>206.43902116806515</v>
      </c>
      <c r="G85" s="296"/>
      <c r="H85" s="296"/>
      <c r="I85" s="296"/>
      <c r="J85" s="296"/>
      <c r="K85" s="296"/>
      <c r="L85" s="296"/>
    </row>
    <row r="86" spans="1:12" ht="13.15">
      <c r="A86" s="132">
        <f t="shared" si="14"/>
        <v>25</v>
      </c>
      <c r="B86" s="119">
        <f t="shared" si="11"/>
        <v>130.28138401727858</v>
      </c>
      <c r="C86" s="119">
        <f t="shared" si="11"/>
        <v>143.00727704655196</v>
      </c>
      <c r="D86" s="119">
        <f t="shared" si="11"/>
        <v>158.10103508363409</v>
      </c>
      <c r="E86" s="119">
        <f t="shared" si="11"/>
        <v>176.06338798176319</v>
      </c>
      <c r="F86" s="119">
        <f t="shared" si="11"/>
        <v>223.1614338294531</v>
      </c>
      <c r="G86" s="296"/>
      <c r="H86" s="296"/>
      <c r="I86" s="296"/>
      <c r="J86" s="296"/>
      <c r="K86" s="296"/>
      <c r="L86" s="296"/>
    </row>
    <row r="87" spans="1:12" ht="13.15">
      <c r="A87" s="132">
        <f t="shared" si="14"/>
        <v>30</v>
      </c>
      <c r="B87" s="119">
        <f t="shared" si="11"/>
        <v>131.02580406205556</v>
      </c>
      <c r="C87" s="119">
        <f t="shared" si="11"/>
        <v>144.76330646127394</v>
      </c>
      <c r="D87" s="119">
        <f t="shared" si="11"/>
        <v>161.43424340470366</v>
      </c>
      <c r="E87" s="119">
        <f t="shared" si="11"/>
        <v>181.78163514389186</v>
      </c>
      <c r="F87" s="119">
        <f t="shared" si="11"/>
        <v>237.51787498716746</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147.07344816810163</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137.65466955923245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133.19389700161545</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128.8927415566335</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124.74671663841393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2" sqref="E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41020173396.499992</v>
      </c>
      <c r="D7" s="469"/>
      <c r="E7" s="469"/>
      <c r="F7" s="469"/>
      <c r="G7" s="469"/>
    </row>
    <row r="8" spans="2:7">
      <c r="B8" s="97" t="s">
        <v>63</v>
      </c>
      <c r="C8" s="447">
        <f>Normalized_FCF!G19</f>
        <v>26458526825.471798</v>
      </c>
      <c r="D8" s="469"/>
      <c r="E8" s="469"/>
      <c r="F8" s="469"/>
      <c r="G8" s="469"/>
    </row>
    <row r="9" spans="2:7">
      <c r="B9" s="97" t="s">
        <v>54</v>
      </c>
      <c r="C9" s="447">
        <f>Normalized_FCF!C19</f>
        <v>29802300540.048637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137.65466955923245</v>
      </c>
      <c r="F22" s="328">
        <f>1-F23-F24</f>
        <v>0.19999999999999996</v>
      </c>
      <c r="G22" s="328">
        <f>F22*(1-F$29-F$30)</f>
        <v>0.15999999999999995</v>
      </c>
    </row>
    <row r="23" spans="2:7">
      <c r="B23" s="302" t="s">
        <v>435</v>
      </c>
      <c r="C23" s="324">
        <v>0.02</v>
      </c>
      <c r="D23" s="325">
        <f>C18</f>
        <v>5</v>
      </c>
      <c r="E23" s="326">
        <f>DCF!E92</f>
        <v>133.19389700161545</v>
      </c>
      <c r="F23" s="327">
        <v>0.55000000000000004</v>
      </c>
      <c r="G23" s="328">
        <f t="shared" ref="G23:G24" si="0">F23*(1-F$29-F$30)</f>
        <v>0.44</v>
      </c>
    </row>
    <row r="24" spans="2:7">
      <c r="B24" s="302" t="s">
        <v>444</v>
      </c>
      <c r="C24" s="324">
        <v>0.01</v>
      </c>
      <c r="D24" s="325">
        <f>C18</f>
        <v>5</v>
      </c>
      <c r="E24" s="326">
        <f>DCF!E93</f>
        <v>128.8927415566335</v>
      </c>
      <c r="F24" s="327">
        <v>0.25</v>
      </c>
      <c r="G24" s="328">
        <f t="shared" si="0"/>
        <v>0.19999999999999998</v>
      </c>
    </row>
    <row r="25" spans="2:7">
      <c r="B25" s="141" t="s">
        <v>449</v>
      </c>
      <c r="C25" s="441">
        <f>E23*F23+E24*F24+E22*F22</f>
        <v>133.01076265189337</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147.07344816810163</v>
      </c>
      <c r="F29" s="327">
        <v>0.15</v>
      </c>
      <c r="G29" s="328">
        <f>F29</f>
        <v>0.15</v>
      </c>
    </row>
    <row r="30" spans="2:7">
      <c r="B30" s="315" t="s">
        <v>445</v>
      </c>
      <c r="C30" s="324">
        <v>0</v>
      </c>
      <c r="D30" s="325">
        <f>C18</f>
        <v>5</v>
      </c>
      <c r="E30" s="326">
        <f>DCF!E94</f>
        <v>124.74671663841393</v>
      </c>
      <c r="F30" s="327">
        <v>0.05</v>
      </c>
      <c r="G30" s="328">
        <f>F30</f>
        <v>0.05</v>
      </c>
    </row>
    <row r="31" spans="2:7">
      <c r="E31" s="329"/>
      <c r="F31" s="329"/>
    </row>
    <row r="32" spans="2:7" ht="13.15">
      <c r="B32" s="145" t="s">
        <v>454</v>
      </c>
    </row>
    <row r="33" spans="2:7">
      <c r="B33" s="97" t="s">
        <v>456</v>
      </c>
      <c r="C33" s="155">
        <f>Normalized_FCF!C88*(1-dividend_tax_rate)</f>
        <v>2.8521000000000001</v>
      </c>
      <c r="D33" t="str">
        <f>Market_currency</f>
        <v>CNY</v>
      </c>
      <c r="E33" s="97" t="s">
        <v>453</v>
      </c>
      <c r="F33" s="219">
        <f>Holding_Period</f>
        <v>3</v>
      </c>
    </row>
    <row r="34" spans="2:7">
      <c r="B34" s="97" t="s">
        <v>233</v>
      </c>
      <c r="C34" s="146">
        <f>Market_Price</f>
        <v>102.18</v>
      </c>
      <c r="D34" t="str">
        <f>Market_currency</f>
        <v>CNY</v>
      </c>
      <c r="E34" s="97" t="s">
        <v>452</v>
      </c>
      <c r="F34" s="330">
        <f>RATE(Holding_Period,$C$33,-C34,$C$36)</f>
        <v>0.12206270179382848</v>
      </c>
    </row>
    <row r="35" spans="2:7">
      <c r="B35" s="97" t="s">
        <v>432</v>
      </c>
      <c r="C35" s="320">
        <f>DCF!C11</f>
        <v>179.64719550176477</v>
      </c>
      <c r="D35" s="97" t="str">
        <f>Market_currency</f>
        <v>CNY</v>
      </c>
      <c r="E35" s="97" t="s">
        <v>452</v>
      </c>
      <c r="F35" s="330">
        <f>RATE(Holding_Period,$C$33,-C35,$C$36)</f>
        <v>-7.3996144898412761E-2</v>
      </c>
    </row>
    <row r="36" spans="2:7">
      <c r="B36" s="97" t="s">
        <v>433</v>
      </c>
      <c r="C36" s="321">
        <f>E22*G22+E23*G23+E24*G24+E30*G30+E29*G29</f>
        <v>134.70696317865062</v>
      </c>
      <c r="D36" t="str">
        <f>Market_currency</f>
        <v>CNY</v>
      </c>
      <c r="E36" s="97" t="s">
        <v>458</v>
      </c>
      <c r="F36" s="331" t="s">
        <v>457</v>
      </c>
    </row>
    <row r="38" spans="2:7" ht="13.9">
      <c r="B38" s="34" t="s">
        <v>409</v>
      </c>
      <c r="C38" s="35"/>
      <c r="D38" s="35"/>
      <c r="E38" s="35"/>
      <c r="F38" s="35"/>
      <c r="G38" s="35"/>
    </row>
    <row r="39" spans="2:7" ht="13.15">
      <c r="B39" s="414" t="str">
        <f>IF(DCF!F14="II","2","1")&amp;"-stage DCF"</f>
        <v>2-stage DCF</v>
      </c>
      <c r="E39" s="222" t="s">
        <v>251</v>
      </c>
    </row>
    <row r="40" spans="2:7">
      <c r="B40" t="s">
        <v>548</v>
      </c>
      <c r="C40" s="126">
        <f>Normalized_FCF!E116</f>
        <v>0.40406742273746776</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134.89477814489302</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0.2262544978580209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2.8521000000000001</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4.9724613932919821</v>
      </c>
      <c r="D62" s="119">
        <f>C36/(1+F62)^Holding_Period</f>
        <v>57.322111990915168</v>
      </c>
      <c r="E62" s="332">
        <f>C62+D62</f>
        <v>62.294573384207148</v>
      </c>
      <c r="F62" s="301">
        <f>Thesis!E22</f>
        <v>0.32950289523458665</v>
      </c>
      <c r="G62" s="440">
        <f>(1-E62/C36)</f>
        <v>0.53755491242430398</v>
      </c>
    </row>
    <row r="63" spans="2:7" ht="13.15">
      <c r="B63" s="302" t="s">
        <v>312</v>
      </c>
      <c r="C63" s="119">
        <f>PV(F63, Holding_Period, -C58, 0)</f>
        <v>5.7696729926225894</v>
      </c>
      <c r="D63" s="119">
        <f>C36/(1+F63)^Holding_Period</f>
        <v>73.061403757912231</v>
      </c>
      <c r="E63" s="332">
        <f>C63+D63</f>
        <v>78.83107675053482</v>
      </c>
      <c r="F63" s="301">
        <f>Thesis!E23</f>
        <v>0.22621703288100403</v>
      </c>
      <c r="G63" s="440">
        <f>(1-E63/C36)</f>
        <v>0.41479582873538823</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7.2582809357033913</v>
      </c>
      <c r="D66" s="119">
        <f>C36/(1+F66)^Holding_Period</f>
        <v>104.88210938708983</v>
      </c>
      <c r="E66" s="332">
        <f>C66+D66</f>
        <v>112.14039032279322</v>
      </c>
      <c r="F66" s="301">
        <f>Thesis!E24</f>
        <v>8.6999999999999994E-2</v>
      </c>
      <c r="G66" s="440">
        <f>(1-E66/C36)</f>
        <v>0.16752343251869795</v>
      </c>
    </row>
    <row r="67" spans="2:7" ht="13.15">
      <c r="B67" s="302" t="s">
        <v>313</v>
      </c>
      <c r="C67" s="119">
        <f>PV(F67, Holding_Period, -C58, 0)</f>
        <v>7.4507553854201589</v>
      </c>
      <c r="D67" s="119">
        <f>C36/(1+F67)^Holding_Period</f>
        <v>109.19384099731857</v>
      </c>
      <c r="E67" s="332">
        <f>C67+D67</f>
        <v>116.64459638273874</v>
      </c>
      <c r="F67" s="301">
        <f>Thesis!E25</f>
        <v>7.2499999999999995E-2</v>
      </c>
      <c r="G67" s="440">
        <f>(1-E67/C36)</f>
        <v>0.13408636324135137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五粮液</v>
      </c>
      <c r="D4" s="349"/>
      <c r="E4" s="434" t="s">
        <v>537</v>
      </c>
      <c r="F4" s="437" t="str">
        <f>Thesis!F4</f>
        <v>CN</v>
      </c>
    </row>
    <row r="5" spans="1:10">
      <c r="B5" s="343" t="s">
        <v>362</v>
      </c>
      <c r="C5" s="355" t="str">
        <f>Thesis!C5</f>
        <v>000858.SZ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102.18</v>
      </c>
    </row>
    <row r="9" spans="1:10">
      <c r="B9" s="351" t="s">
        <v>359</v>
      </c>
      <c r="C9" s="353">
        <f>Common_Shares</f>
        <v>3881608005</v>
      </c>
    </row>
    <row r="10" spans="1:10">
      <c r="B10" s="351" t="s">
        <v>365</v>
      </c>
      <c r="C10" s="357">
        <f>投资主题!C8*Common_Shares/1000000</f>
        <v>396622.70595090004</v>
      </c>
      <c r="D10" s="343" t="s">
        <v>526</v>
      </c>
      <c r="E10" s="360">
        <f>Scenarios!F34</f>
        <v>0.12206270179382848</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134.70696317865062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62.294573384207148</v>
      </c>
      <c r="D22" s="365" t="s">
        <v>438</v>
      </c>
      <c r="E22" s="366">
        <f>Thesis!E22</f>
        <v>0.32950289523458665</v>
      </c>
    </row>
    <row r="23" spans="1:6">
      <c r="B23" s="343" t="s">
        <v>339</v>
      </c>
      <c r="C23" s="367">
        <f>E141</f>
        <v>78.83107675053482</v>
      </c>
      <c r="D23" s="365" t="s">
        <v>439</v>
      </c>
      <c r="E23" s="368">
        <f>Thesis!E23</f>
        <v>0.22621703288100403</v>
      </c>
    </row>
    <row r="24" spans="1:6">
      <c r="B24" s="343" t="s">
        <v>341</v>
      </c>
      <c r="C24" s="367">
        <f>E144</f>
        <v>112.14039032279322</v>
      </c>
      <c r="D24" s="365" t="s">
        <v>441</v>
      </c>
      <c r="E24" s="368">
        <f>Thesis!E24</f>
        <v>8.6999999999999994E-2</v>
      </c>
    </row>
    <row r="25" spans="1:6">
      <c r="B25" s="343" t="s">
        <v>340</v>
      </c>
      <c r="C25" s="367">
        <f>E145</f>
        <v>116.64459638273874</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41439976411.299469</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180108053.03773659</v>
      </c>
      <c r="D44" s="343" t="str">
        <f>Reporting_currency</f>
        <v>CNY</v>
      </c>
      <c r="E44" s="371"/>
      <c r="F44" s="371"/>
    </row>
    <row r="45" spans="2:6">
      <c r="B45" s="372" t="s">
        <v>268</v>
      </c>
      <c r="C45" s="376">
        <f>Normalized_FCF!C45</f>
        <v>-12922244.854800001</v>
      </c>
      <c r="D45" s="343" t="str">
        <f>Reporting_currency</f>
        <v>CNY</v>
      </c>
      <c r="E45" s="371"/>
      <c r="F45" s="371"/>
    </row>
    <row r="46" spans="2:6">
      <c r="B46" s="372" t="s">
        <v>203</v>
      </c>
      <c r="C46" s="373">
        <f>Normalized_FCF!C10</f>
        <v>167185808.18293661</v>
      </c>
      <c r="D46" s="343" t="str">
        <f>Reporting_currency</f>
        <v>CNY</v>
      </c>
    </row>
    <row r="48" spans="2:6">
      <c r="B48" s="343" t="s">
        <v>502</v>
      </c>
    </row>
    <row r="49" spans="2:6">
      <c r="B49" s="372" t="s">
        <v>223</v>
      </c>
      <c r="C49" s="373">
        <f>Normalized_FCF!C13</f>
        <v>-1403071124.5631666</v>
      </c>
      <c r="D49" s="343" t="str">
        <f>Reporting_currency</f>
        <v>CNY</v>
      </c>
    </row>
    <row r="51" spans="2:6">
      <c r="B51" s="470" t="s">
        <v>503</v>
      </c>
      <c r="C51" s="470"/>
      <c r="D51" s="470"/>
      <c r="E51" s="470"/>
      <c r="F51" s="470"/>
    </row>
    <row r="52" spans="2:6">
      <c r="B52" s="372" t="s">
        <v>494</v>
      </c>
      <c r="C52" s="373">
        <f>Normalized_FCF!C12</f>
        <v>-10401790554.870602</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26458526825.471798</v>
      </c>
      <c r="D60" s="343" t="str">
        <f>Reporting_currency</f>
        <v>CNY</v>
      </c>
    </row>
    <row r="61" spans="2:6">
      <c r="B61" s="372" t="s">
        <v>213</v>
      </c>
      <c r="C61" s="373">
        <f>Normalized_FCF!C19</f>
        <v>29802300540.048637</v>
      </c>
      <c r="D61" s="343" t="str">
        <f>Reporting_currency</f>
        <v>CNY</v>
      </c>
    </row>
    <row r="62" spans="2:6">
      <c r="B62" s="377" t="s">
        <v>302</v>
      </c>
      <c r="C62" s="378">
        <f>Normalized_FCF!C124</f>
        <v>7.5140177536225108E-2</v>
      </c>
      <c r="F62" s="379"/>
    </row>
    <row r="63" spans="2:6">
      <c r="B63" s="377" t="s">
        <v>330</v>
      </c>
      <c r="C63" s="378">
        <f>Normalized_FCF!C92</f>
        <v>2.7912507339988256E-2</v>
      </c>
      <c r="E63" s="372" t="s">
        <v>371</v>
      </c>
      <c r="F63" s="380">
        <f>Normalized_FCF!C90</f>
        <v>0.4127471888056104</v>
      </c>
    </row>
    <row r="65" spans="1:6">
      <c r="B65" s="369" t="s">
        <v>374</v>
      </c>
      <c r="C65" s="381" t="s">
        <v>325</v>
      </c>
      <c r="D65" s="381" t="s">
        <v>372</v>
      </c>
    </row>
    <row r="66" spans="1:6">
      <c r="B66" s="372" t="s">
        <v>324</v>
      </c>
      <c r="C66" s="378">
        <f>Normalized_FCF!E119</f>
        <v>0.25</v>
      </c>
      <c r="D66" s="378">
        <f>Normalized_FCF!G119</f>
        <v>0.26898198471339402</v>
      </c>
    </row>
    <row r="67" spans="1:6">
      <c r="B67" s="382" t="str">
        <f>Normalized_FCF!B116</f>
        <v>Pre-tax Profit/Sales</v>
      </c>
      <c r="C67" s="383">
        <f>Normalized_FCF!E116</f>
        <v>0.40406742273746776</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-215370747.58000001</v>
      </c>
      <c r="D78" s="343" t="str">
        <f>Reporting_currency</f>
        <v>CNY</v>
      </c>
    </row>
    <row r="79" spans="1:6">
      <c r="B79" s="372" t="s">
        <v>234</v>
      </c>
      <c r="C79" s="387">
        <f>C78*scaling_factor*Exchange_Rate/Common_Shares</f>
        <v>-5.5484929777189086E-2</v>
      </c>
      <c r="D79" s="343" t="str">
        <f>Market_currency</f>
        <v>CNY</v>
      </c>
    </row>
    <row r="80" spans="1:6">
      <c r="B80" s="382" t="s">
        <v>308</v>
      </c>
      <c r="C80" s="388">
        <f>IF(BS!G31/BS!G27&gt;300%,"nm",BS!G31/BS!G27)</f>
        <v>1.4942693904035366E-3</v>
      </c>
    </row>
    <row r="81" spans="1:6">
      <c r="B81" s="382" t="s">
        <v>310</v>
      </c>
      <c r="C81" s="389">
        <f>IF(BS!C50&gt;30,"nm",BS!C50)</f>
        <v>5.1971735080735887E-3</v>
      </c>
    </row>
    <row r="83" spans="1:6">
      <c r="B83" s="343" t="s">
        <v>509</v>
      </c>
    </row>
    <row r="84" spans="1:6">
      <c r="B84" s="343" t="s">
        <v>224</v>
      </c>
      <c r="C84" s="373">
        <f>DCF!F5</f>
        <v>118301937502.43723</v>
      </c>
      <c r="D84" s="343" t="str">
        <f>Reporting_currency</f>
        <v>CNY</v>
      </c>
    </row>
    <row r="85" spans="1:6">
      <c r="B85" s="382" t="s">
        <v>479</v>
      </c>
      <c r="C85" s="390">
        <f>BS!C66</f>
        <v>148319946342.06</v>
      </c>
      <c r="D85" s="391" t="str">
        <f>Reporting_currency</f>
        <v>CNY</v>
      </c>
    </row>
    <row r="86" spans="1:6">
      <c r="B86" s="372" t="s">
        <v>235</v>
      </c>
      <c r="C86" s="387">
        <f>C84*scaling_factor*Exchange_Rate/Common_Shares</f>
        <v>30.477559132722682</v>
      </c>
      <c r="D86" s="343" t="str">
        <f>Market_currency</f>
        <v>CNY</v>
      </c>
    </row>
    <row r="88" spans="1:6">
      <c r="B88" s="343" t="s">
        <v>510</v>
      </c>
    </row>
    <row r="89" spans="1:6">
      <c r="B89" s="343" t="s">
        <v>217</v>
      </c>
      <c r="C89" s="373">
        <f>DCF!F6</f>
        <v>217300602.50500003</v>
      </c>
      <c r="D89" s="343" t="str">
        <f>Reporting_currency</f>
        <v>CNY</v>
      </c>
    </row>
    <row r="90" spans="1:6">
      <c r="B90" s="372" t="s">
        <v>236</v>
      </c>
      <c r="C90" s="387">
        <f>C89*scaling_factor*Exchange_Rate/Common_Shares</f>
        <v>5.5982109019017241E-2</v>
      </c>
      <c r="D90" s="343" t="str">
        <f>Market_currency</f>
        <v>CNY</v>
      </c>
    </row>
    <row r="92" spans="1:6">
      <c r="B92" s="372" t="s">
        <v>478</v>
      </c>
      <c r="C92" s="387">
        <f>DCF!F8</f>
        <v>30.478056311964512</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24.855396491318039</v>
      </c>
      <c r="D111" s="343" t="str">
        <f>Market_currency</f>
        <v>CNY</v>
      </c>
    </row>
    <row r="112" spans="1:6">
      <c r="A112" s="385"/>
      <c r="B112" s="372" t="s">
        <v>375</v>
      </c>
      <c r="C112" s="394">
        <f>DCF!C11</f>
        <v>179.64719550176477</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147.07 CNY</v>
      </c>
      <c r="F118" s="399">
        <f>DCF!F90</f>
        <v>0.15</v>
      </c>
    </row>
    <row r="119" spans="1:6">
      <c r="A119" s="385"/>
      <c r="B119" s="400" t="str">
        <f>DCF!B91</f>
        <v>Optimistic</v>
      </c>
      <c r="C119" s="401">
        <f>DCF!C91</f>
        <v>0.03</v>
      </c>
      <c r="D119" s="402">
        <f>DCF!D91</f>
        <v>5</v>
      </c>
      <c r="E119" s="398" t="str">
        <f>ROUND(DCF!E91,2)&amp;" "&amp;Market_currency</f>
        <v>137.65 CNY</v>
      </c>
      <c r="F119" s="403">
        <f>DCF!F91</f>
        <v>0.15999999999999995</v>
      </c>
    </row>
    <row r="120" spans="1:6">
      <c r="B120" s="400" t="str">
        <f>DCF!B92</f>
        <v>Base</v>
      </c>
      <c r="C120" s="401">
        <f>DCF!C92</f>
        <v>0.02</v>
      </c>
      <c r="D120" s="402">
        <f>DCF!D92</f>
        <v>5</v>
      </c>
      <c r="E120" s="398" t="str">
        <f>ROUND(DCF!E92,2)&amp;" "&amp;Market_currency</f>
        <v>133.19 CNY</v>
      </c>
      <c r="F120" s="403">
        <f>DCF!F92</f>
        <v>0.44</v>
      </c>
    </row>
    <row r="121" spans="1:6">
      <c r="B121" s="400" t="str">
        <f>DCF!B93</f>
        <v>Pessimistic</v>
      </c>
      <c r="C121" s="401">
        <f>DCF!C93</f>
        <v>0.01</v>
      </c>
      <c r="D121" s="402">
        <f>DCF!D93</f>
        <v>5</v>
      </c>
      <c r="E121" s="398" t="str">
        <f>ROUND(DCF!E93,2)&amp;" "&amp;Market_currency</f>
        <v>128.89 CNY</v>
      </c>
      <c r="F121" s="403">
        <f>DCF!F93</f>
        <v>0.19999999999999998</v>
      </c>
    </row>
    <row r="122" spans="1:6">
      <c r="B122" s="400" t="str">
        <f>DCF!B94</f>
        <v>Devil's advocate</v>
      </c>
      <c r="C122" s="401">
        <f>DCF!C94</f>
        <v>0</v>
      </c>
      <c r="D122" s="402">
        <f>DCF!D94</f>
        <v>5</v>
      </c>
      <c r="E122" s="398" t="str">
        <f>ROUND(DCF!E94,2)&amp;" "&amp;Market_currency</f>
        <v>124.75 CNY</v>
      </c>
      <c r="F122" s="403">
        <f>DCF!F94</f>
        <v>0.05</v>
      </c>
    </row>
    <row r="124" spans="1:6">
      <c r="B124" s="470" t="s">
        <v>516</v>
      </c>
      <c r="C124" s="470"/>
      <c r="D124" s="470"/>
      <c r="E124" s="470"/>
      <c r="F124" s="470"/>
    </row>
    <row r="125" spans="1:6">
      <c r="B125" s="372" t="s">
        <v>218</v>
      </c>
      <c r="C125" s="404">
        <f>Scenarios!C36</f>
        <v>134.70696317865062</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2.8521000000000001</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4.9724613932919821</v>
      </c>
      <c r="D140" s="409">
        <f>Scenarios!D62</f>
        <v>57.322111990915168</v>
      </c>
      <c r="E140" s="410">
        <f>Scenarios!E62</f>
        <v>62.294573384207148</v>
      </c>
      <c r="F140" s="411">
        <f>E22</f>
        <v>0.32950289523458665</v>
      </c>
    </row>
    <row r="141" spans="1:6">
      <c r="B141" s="408" t="s">
        <v>312</v>
      </c>
      <c r="C141" s="409">
        <f>Scenarios!C63</f>
        <v>5.7696729926225894</v>
      </c>
      <c r="D141" s="409">
        <f>Scenarios!D63</f>
        <v>73.061403757912231</v>
      </c>
      <c r="E141" s="410">
        <f>Scenarios!E63</f>
        <v>78.83107675053482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7.2582809357033913</v>
      </c>
      <c r="D144" s="409">
        <f>Scenarios!D66</f>
        <v>104.88210938708983</v>
      </c>
      <c r="E144" s="410">
        <f>Scenarios!E66</f>
        <v>112.14039032279322</v>
      </c>
      <c r="F144" s="411">
        <f>E24</f>
        <v>8.6999999999999994E-2</v>
      </c>
    </row>
    <row r="145" spans="1:6">
      <c r="B145" s="408" t="s">
        <v>313</v>
      </c>
      <c r="C145" s="409">
        <f>Scenarios!C67</f>
        <v>7.4507553854201589</v>
      </c>
      <c r="D145" s="409">
        <f>Scenarios!D67</f>
        <v>109.19384099731857</v>
      </c>
      <c r="E145" s="410">
        <f>Scenarios!E67</f>
        <v>116.64459638273874</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