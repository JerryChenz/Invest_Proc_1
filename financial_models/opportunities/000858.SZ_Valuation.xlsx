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67B3D85-E630-2A41-BE07-4A42E9840B75}"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<sst xmlns="http://schemas.openxmlformats.org/spreadsheetml/2006/main" count="768" uniqueCount="557">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</sst>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535</v>
      </c>
      <c r="F3" s="429">
        <v>46066</v>
      </c>
    </row>
    <row r="4" spans="1:9" ht="14" x14ac:dyDescent="0.2">
      <c r="B4" s="421" t="s">
        <v>530</v>
      </c>
      <c r="C4" s="420" t="s">
        <v>555</v>
      </c>
      <c r="E4" s="430" t="s">
        <v>534</v>
      </c>
      <c r="F4" s="431" t="s">
        <v>556</v>
      </c>
    </row>
    <row r="5" spans="1:9" x14ac:dyDescent="0.15">
      <c r="B5" s="1" t="s">
        <v>347</v>
      </c>
      <c r="C5" s="46" t="s">
        <v>553</v>
      </c>
      <c r="E5" s="433" t="s">
        <v>536</v>
      </c>
      <c r="F5" s="432" t="s">
        <v>543</v>
      </c>
    </row>
    <row r="6" spans="1:9" x14ac:dyDescent="0.15">
      <c r="B6" s="2" t="s">
        <v>53</v>
      </c>
      <c r="C6" s="45" t="s">
        <v>546</v>
      </c>
      <c r="D6" s="45"/>
      <c r="E6" s="45"/>
    </row>
    <row r="7" spans="1:9" x14ac:dyDescent="0.15">
      <c r="B7" s="1" t="s">
        <v>349</v>
      </c>
      <c r="C7" s="45" t="s">
        <v>554</v>
      </c>
      <c r="D7" s="45"/>
      <c r="E7" s="45"/>
    </row>
    <row r="8" spans="1:9" x14ac:dyDescent="0.15">
      <c r="B8" s="4" t="s">
        <v>348</v>
      </c>
      <c r="C8" s="47">
        <v>106.06</v>
      </c>
      <c r="E8" s="32"/>
    </row>
    <row r="9" spans="1:9" x14ac:dyDescent="0.15">
      <c r="B9" s="4" t="s">
        <v>344</v>
      </c>
      <c r="C9" s="48">
        <v>3881608005</v>
      </c>
    </row>
    <row r="10" spans="1:9" x14ac:dyDescent="0.15">
      <c r="B10" s="4" t="s">
        <v>350</v>
      </c>
      <c r="C10" s="33">
        <f>Thesis!C8*Common_Shares/1000000</f>
        <v>411683.34501029999</v>
      </c>
      <c r="D10" s="1" t="s">
        <v>525</v>
      </c>
      <c r="E10" s="303">
        <f>Scenarios!F34</f>
        <v>0.10787497156703298</v>
      </c>
    </row>
    <row r="11" spans="1:9" x14ac:dyDescent="0.15">
      <c r="D11" s="5"/>
      <c r="E11" s="5"/>
    </row>
    <row r="12" spans="1:9" ht="24.5" customHeight="1" x14ac:dyDescent="0.15">
      <c r="B12" s="462" t="s">
        <v>353</v>
      </c>
      <c r="C12" s="462"/>
      <c r="D12" s="462"/>
      <c r="E12" s="462"/>
      <c r="F12" s="462"/>
    </row>
    <row r="14" spans="1:9" x14ac:dyDescent="0.15">
      <c r="B14" s="42" t="str">
        <f>Scenarios!B39&amp;" Valuation Conclusion"</f>
        <v>2-stage DCF Valuation Conclusion</v>
      </c>
      <c r="C14" s="43"/>
    </row>
    <row r="15" spans="1:9" x14ac:dyDescent="0.15">
      <c r="B15" s="1" t="s">
        <v>318</v>
      </c>
      <c r="C15" s="417" t="s">
        <v>543</v>
      </c>
      <c r="D15" s="4" t="s">
        <v>351</v>
      </c>
      <c r="E15" s="253" t="str">
        <f>IF(E17=C7,C7,E17&amp;"/"&amp;C7)</f>
        <v>CNY</v>
      </c>
    </row>
    <row r="16" spans="1:9" x14ac:dyDescent="0.15">
      <c r="B16" s="1" t="s">
        <v>319</v>
      </c>
      <c r="C16" s="417" t="s">
        <v>543</v>
      </c>
      <c r="D16" s="4" t="s">
        <v>352</v>
      </c>
      <c r="E16" s="416">
        <v>1</v>
      </c>
    </row>
    <row r="17" spans="1:6" x14ac:dyDescent="0.15">
      <c r="B17" s="1" t="s">
        <v>529</v>
      </c>
      <c r="C17" s="456">
        <v>0.02</v>
      </c>
      <c r="D17" s="4" t="s">
        <v>274</v>
      </c>
      <c r="E17" s="224" t="s">
        <v>554</v>
      </c>
    </row>
    <row r="18" spans="1:6" x14ac:dyDescent="0.15">
      <c r="B18" s="1" t="str">
        <f>"Expected Equity Value ("&amp;C7&amp;") :"</f>
        <v>Expected Equity Value (CNY) :</v>
      </c>
      <c r="C18" s="252">
        <f>C125</f>
        <v>134.70696317865062</v>
      </c>
      <c r="D18" s="2" t="s">
        <v>345</v>
      </c>
      <c r="E18" s="418">
        <v>6</v>
      </c>
    </row>
    <row r="19" spans="1:6" x14ac:dyDescent="0.15">
      <c r="B19" s="2" t="s">
        <v>275</v>
      </c>
      <c r="C19" s="31" t="str">
        <f>IF(Terminal_Growth&lt;2%, "Lower than Inflation rate", IF(Terminal_Growth&lt;5%, "Low growth", IF(Terminal_Growth&lt;8%, "Medium growth", "High growth")))</f>
        <v>Low growth</v>
      </c>
      <c r="D19" s="1" t="s">
        <v>346</v>
      </c>
      <c r="E19" s="419">
        <f>EOMONTH(EDATE(BS!C1,E18+2),0)</f>
        <v>46081</v>
      </c>
    </row>
    <row r="20" spans="1:6" x14ac:dyDescent="0.15">
      <c r="D20" s="5"/>
      <c r="E20" s="5"/>
    </row>
    <row r="21" spans="1:6" x14ac:dyDescent="0.15">
      <c r="B21" s="42" t="s">
        <v>402</v>
      </c>
      <c r="C21" s="254" t="str">
        <f>C138&amp;" ("&amp;Market_currency&amp;")"</f>
        <v xml:space="preserve"> (CNY)</v>
      </c>
      <c r="D21" s="31" t="s">
        <v>315</v>
      </c>
      <c r="E21" s="442">
        <v>3</v>
      </c>
    </row>
    <row r="22" spans="1:6" x14ac:dyDescent="0.15">
      <c r="B22" s="1" t="s">
        <v>311</v>
      </c>
      <c r="C22" s="255">
        <f>E140</f>
        <v>62.294573384207148</v>
      </c>
      <c r="D22" s="38" t="s">
        <v>404</v>
      </c>
      <c r="E22" s="79">
        <v>0.32950289523458665</v>
      </c>
    </row>
    <row r="23" spans="1:6" x14ac:dyDescent="0.15">
      <c r="B23" s="1" t="s">
        <v>312</v>
      </c>
      <c r="C23" s="256">
        <f>E141</f>
        <v>78.83107675053482</v>
      </c>
      <c r="D23" s="38" t="s">
        <v>405</v>
      </c>
      <c r="E23" s="443">
        <v>0.22621703288100403</v>
      </c>
    </row>
    <row r="24" spans="1:6" x14ac:dyDescent="0.15">
      <c r="B24" s="1" t="s">
        <v>314</v>
      </c>
      <c r="C24" s="256">
        <f>E144</f>
        <v>112.14039032279322</v>
      </c>
      <c r="D24" s="38" t="s">
        <v>406</v>
      </c>
      <c r="E24" s="443">
        <v>8.6999999999999994E-2</v>
      </c>
    </row>
    <row r="25" spans="1:6" x14ac:dyDescent="0.15">
      <c r="B25" s="1" t="s">
        <v>313</v>
      </c>
      <c r="C25" s="256">
        <f>E145</f>
        <v>116.64459638273874</v>
      </c>
      <c r="D25" s="38" t="s">
        <v>407</v>
      </c>
      <c r="E25" s="444">
        <v>7.2499999999999995E-2</v>
      </c>
    </row>
    <row r="26" spans="1:6" x14ac:dyDescent="0.15">
      <c r="D26" s="5"/>
      <c r="E26" s="5"/>
    </row>
    <row r="27" spans="1:6" ht="16" x14ac:dyDescent="0.25">
      <c r="A27" s="200" t="s">
        <v>280</v>
      </c>
      <c r="B27" s="34"/>
      <c r="C27" s="34"/>
      <c r="D27" s="34"/>
      <c r="E27" s="34"/>
      <c r="F27" s="34"/>
    </row>
    <row r="29" spans="1:6" x14ac:dyDescent="0.15">
      <c r="B29" s="462" t="s">
        <v>354</v>
      </c>
      <c r="C29" s="462"/>
      <c r="D29" s="462"/>
      <c r="E29" s="462"/>
      <c r="F29" s="462"/>
    </row>
    <row r="30" spans="1:6" ht="24.5" customHeight="1" x14ac:dyDescent="0.15">
      <c r="B30" s="466" t="s">
        <v>266</v>
      </c>
      <c r="C30" s="466"/>
      <c r="D30" s="466"/>
      <c r="E30" s="466"/>
      <c r="F30" s="466"/>
    </row>
    <row r="32" spans="1:6" x14ac:dyDescent="0.15">
      <c r="B32" s="192" t="s">
        <v>195</v>
      </c>
      <c r="C32" s="105">
        <f>scaling_factor</f>
        <v>1</v>
      </c>
    </row>
    <row r="33" spans="2:6" ht="24.5" customHeight="1" x14ac:dyDescent="0.15">
      <c r="B33" s="463" t="s">
        <v>196</v>
      </c>
      <c r="C33" s="463"/>
      <c r="D33" s="463"/>
      <c r="E33" s="463"/>
      <c r="F33" s="463"/>
    </row>
    <row r="34" spans="2:6" x14ac:dyDescent="0.15">
      <c r="B34" s="44" t="s">
        <v>197</v>
      </c>
      <c r="C34" s="285">
        <f>Normalized_FCF!C8</f>
        <v>41439976411.299469</v>
      </c>
      <c r="D34" s="1" t="str">
        <f>Reporting_currency</f>
        <v>CNY</v>
      </c>
    </row>
    <row r="35" spans="2:6" x14ac:dyDescent="0.15">
      <c r="B35" s="44"/>
      <c r="C35" s="73"/>
    </row>
    <row r="36" spans="2:6" ht="24.5" customHeight="1" x14ac:dyDescent="0.15">
      <c r="B36" s="463" t="s">
        <v>198</v>
      </c>
      <c r="C36" s="463"/>
      <c r="D36" s="463"/>
      <c r="E36" s="463"/>
      <c r="F36" s="463"/>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3" t="s">
        <v>201</v>
      </c>
      <c r="C40" s="463"/>
      <c r="D40" s="463"/>
      <c r="E40" s="463"/>
      <c r="F40" s="463"/>
    </row>
    <row r="41" spans="2:6" x14ac:dyDescent="0.15">
      <c r="B41" s="44" t="s">
        <v>202</v>
      </c>
      <c r="C41" s="285">
        <f>Normalized_FCF!C9</f>
        <v>0</v>
      </c>
      <c r="D41" s="1" t="str">
        <f>Reporting_currency</f>
        <v>CNY</v>
      </c>
    </row>
    <row r="43" spans="2:6" x14ac:dyDescent="0.15">
      <c r="B43" s="463" t="s">
        <v>205</v>
      </c>
      <c r="C43" s="463"/>
      <c r="D43" s="463"/>
      <c r="E43" s="463"/>
      <c r="F43" s="463"/>
    </row>
    <row r="44" spans="2:6" x14ac:dyDescent="0.15">
      <c r="B44" s="44" t="s">
        <v>267</v>
      </c>
      <c r="C44" s="286">
        <f>Normalized_FCF!C46</f>
        <v>180108053.03773659</v>
      </c>
      <c r="D44" s="1" t="str">
        <f>Reporting_currency</f>
        <v>CNY</v>
      </c>
      <c r="E44" s="244"/>
      <c r="F44" s="244"/>
    </row>
    <row r="45" spans="2:6" x14ac:dyDescent="0.15">
      <c r="B45" s="44" t="s">
        <v>268</v>
      </c>
      <c r="C45" s="286">
        <f>Normalized_FCF!C45</f>
        <v>-12922244.854800001</v>
      </c>
      <c r="D45" s="1" t="str">
        <f>Reporting_currency</f>
        <v>CNY</v>
      </c>
      <c r="E45" s="244"/>
      <c r="F45" s="244"/>
    </row>
    <row r="46" spans="2:6" x14ac:dyDescent="0.15">
      <c r="B46" s="44" t="s">
        <v>203</v>
      </c>
      <c r="C46" s="285">
        <f>Normalized_FCF!C10</f>
        <v>167185808.18293661</v>
      </c>
      <c r="D46" s="1" t="str">
        <f>Reporting_currency</f>
        <v>CNY</v>
      </c>
    </row>
    <row r="48" spans="2:6" x14ac:dyDescent="0.15">
      <c r="B48" s="1" t="s">
        <v>211</v>
      </c>
    </row>
    <row r="49" spans="2:6" x14ac:dyDescent="0.15">
      <c r="B49" s="44" t="s">
        <v>223</v>
      </c>
      <c r="C49" s="285">
        <f>Normalized_FCF!C13</f>
        <v>-1403071124.5631666</v>
      </c>
      <c r="D49" s="1" t="str">
        <f>Reporting_currency</f>
        <v>CNY</v>
      </c>
    </row>
    <row r="51" spans="2:6" x14ac:dyDescent="0.15">
      <c r="B51" s="463" t="s">
        <v>206</v>
      </c>
      <c r="C51" s="463"/>
      <c r="D51" s="463"/>
      <c r="E51" s="463"/>
      <c r="F51" s="463"/>
    </row>
    <row r="52" spans="2:6" x14ac:dyDescent="0.15">
      <c r="B52" s="44" t="s">
        <v>204</v>
      </c>
      <c r="C52" s="285">
        <f>Normalized_FCF!C12</f>
        <v>-10401790554.870602</v>
      </c>
      <c r="D52" s="1" t="str">
        <f>Reporting_currency</f>
        <v>CNY</v>
      </c>
    </row>
    <row r="54" spans="2:6" x14ac:dyDescent="0.15">
      <c r="B54" s="463" t="s">
        <v>265</v>
      </c>
      <c r="C54" s="464"/>
      <c r="D54" s="464"/>
      <c r="E54" s="464"/>
      <c r="F54" s="464"/>
    </row>
    <row r="55" spans="2:6" x14ac:dyDescent="0.15">
      <c r="B55" s="44" t="s">
        <v>207</v>
      </c>
      <c r="C55" s="285">
        <f>Normalized_FCF!C17</f>
        <v>0</v>
      </c>
      <c r="D55" s="1" t="str">
        <f>Reporting_currency</f>
        <v>CNY</v>
      </c>
    </row>
    <row r="57" spans="2:6" ht="24.5" customHeight="1" x14ac:dyDescent="0.15">
      <c r="B57" s="462" t="s">
        <v>270</v>
      </c>
      <c r="C57" s="462"/>
      <c r="D57" s="462"/>
      <c r="E57" s="462"/>
      <c r="F57" s="462"/>
    </row>
    <row r="58" spans="2:6" ht="24.5" customHeight="1" x14ac:dyDescent="0.15">
      <c r="B58" s="462" t="s">
        <v>282</v>
      </c>
      <c r="C58" s="462"/>
      <c r="D58" s="462"/>
      <c r="E58" s="462"/>
      <c r="F58" s="462"/>
    </row>
    <row r="60" spans="2:6" x14ac:dyDescent="0.15">
      <c r="B60" s="44" t="s">
        <v>227</v>
      </c>
      <c r="C60" s="285">
        <f>Normalized_FCF!G19</f>
        <v>26458526825.471798</v>
      </c>
      <c r="D60" s="1" t="str">
        <f>Reporting_currency</f>
        <v>CNY</v>
      </c>
    </row>
    <row r="61" spans="2:6" x14ac:dyDescent="0.15">
      <c r="B61" s="44" t="s">
        <v>213</v>
      </c>
      <c r="C61" s="285">
        <f>Normalized_FCF!C19</f>
        <v>29802300540.048637</v>
      </c>
      <c r="D61" s="1" t="str">
        <f>Reporting_currency</f>
        <v>CNY</v>
      </c>
    </row>
    <row r="62" spans="2:6" x14ac:dyDescent="0.15">
      <c r="B62" s="204" t="s">
        <v>302</v>
      </c>
      <c r="C62" s="89">
        <f>Normalized_FCF!C124</f>
        <v>7.2391319447967964E-2</v>
      </c>
      <c r="F62" s="257"/>
    </row>
    <row r="63" spans="2:6" x14ac:dyDescent="0.15">
      <c r="B63" s="204" t="s">
        <v>330</v>
      </c>
      <c r="C63" s="89">
        <f>Normalized_FCF!C92</f>
        <v>2.6891382236469922E-2</v>
      </c>
      <c r="E63" s="44" t="s">
        <v>321</v>
      </c>
      <c r="F63" s="258">
        <f>Normalized_FCF!C90</f>
        <v>0.4127471888056104</v>
      </c>
    </row>
    <row r="65" spans="1:6" x14ac:dyDescent="0.15">
      <c r="B65" s="192" t="s">
        <v>323</v>
      </c>
      <c r="C65" s="264" t="s">
        <v>325</v>
      </c>
      <c r="D65" s="264" t="s">
        <v>326</v>
      </c>
    </row>
    <row r="66" spans="1:6" x14ac:dyDescent="0.15">
      <c r="B66" s="44" t="s">
        <v>324</v>
      </c>
      <c r="C66" s="89">
        <f>Normalized_FCF!E119</f>
        <v>0.25</v>
      </c>
      <c r="D66" s="89">
        <f>Normalized_FCF!G119</f>
        <v>0.26898198471339402</v>
      </c>
    </row>
    <row r="67" spans="1:6" x14ac:dyDescent="0.15">
      <c r="B67" s="229" t="str">
        <f>Normalized_FCF!B116</f>
        <v>Pre-tax Profit/Sales</v>
      </c>
      <c r="C67" s="263">
        <f>Normalized_FCF!E116</f>
        <v>0.40406742273746776</v>
      </c>
      <c r="D67" s="263">
        <f>Normalized_FCF!G116</f>
        <v>0.43474742930380028</v>
      </c>
    </row>
    <row r="68" spans="1:6" x14ac:dyDescent="0.15">
      <c r="B68" s="229" t="str">
        <f>Normalized_FCF!B117</f>
        <v>Sales/Total Assets</v>
      </c>
      <c r="C68" s="265">
        <f>Normalized_FCF!E117</f>
        <v>0.4610552539366265</v>
      </c>
      <c r="D68" s="265">
        <f>Normalized_FCF!G117</f>
        <v>0.4610552539366265</v>
      </c>
    </row>
    <row r="69" spans="1:6" x14ac:dyDescent="0.15">
      <c r="B69" s="229" t="str">
        <f>Normalized_FCF!B118</f>
        <v>Total Assets/Equity</v>
      </c>
      <c r="C69" s="265">
        <f>Normalized_FCF!E118</f>
        <v>1.3419403008261008</v>
      </c>
      <c r="D69" s="265">
        <f>Normalized_FCF!G118</f>
        <v>1.3419403008261008</v>
      </c>
    </row>
    <row r="71" spans="1:6" ht="16" x14ac:dyDescent="0.25">
      <c r="A71" s="200" t="s">
        <v>475</v>
      </c>
      <c r="B71" s="34"/>
      <c r="C71" s="34"/>
      <c r="D71" s="34"/>
      <c r="E71" s="34"/>
      <c r="F71" s="34"/>
    </row>
    <row r="72" spans="1:6" x14ac:dyDescent="0.15">
      <c r="A72" s="191"/>
    </row>
    <row r="73" spans="1:6" x14ac:dyDescent="0.15">
      <c r="A73" s="191"/>
      <c r="B73" s="462" t="s">
        <v>476</v>
      </c>
      <c r="C73" s="462"/>
      <c r="D73" s="462"/>
      <c r="E73" s="462"/>
      <c r="F73" s="462"/>
    </row>
    <row r="74" spans="1:6" x14ac:dyDescent="0.15">
      <c r="A74" s="191"/>
      <c r="B74" s="1" t="s">
        <v>463</v>
      </c>
    </row>
    <row r="75" spans="1:6" x14ac:dyDescent="0.15">
      <c r="A75" s="191"/>
    </row>
    <row r="76" spans="1:6" x14ac:dyDescent="0.15">
      <c r="A76" s="191"/>
      <c r="B76" s="192" t="s">
        <v>195</v>
      </c>
    </row>
    <row r="77" spans="1:6" x14ac:dyDescent="0.15">
      <c r="A77" s="191"/>
      <c r="B77" s="462" t="s">
        <v>271</v>
      </c>
      <c r="C77" s="462"/>
      <c r="D77" s="462"/>
      <c r="E77" s="462"/>
      <c r="F77" s="462"/>
    </row>
    <row r="78" spans="1:6" x14ac:dyDescent="0.15">
      <c r="A78" s="191"/>
      <c r="B78" s="1" t="s">
        <v>215</v>
      </c>
      <c r="C78" s="285">
        <f>DCF!F4</f>
        <v>-215370747.58000001</v>
      </c>
      <c r="D78" s="1" t="str">
        <f>Reporting_currency</f>
        <v>CNY</v>
      </c>
    </row>
    <row r="79" spans="1:6" x14ac:dyDescent="0.15">
      <c r="A79" s="191"/>
      <c r="B79" s="44" t="s">
        <v>234</v>
      </c>
      <c r="C79" s="201">
        <f>C78*scaling_factor*Exchange_Rate/Common_Shares</f>
        <v>-5.5484929777189086E-2</v>
      </c>
      <c r="D79" s="1" t="str">
        <f>Market_currency</f>
        <v>CNY</v>
      </c>
    </row>
    <row r="80" spans="1:6" x14ac:dyDescent="0.15">
      <c r="A80" s="191"/>
      <c r="B80" s="229" t="s">
        <v>308</v>
      </c>
      <c r="C80" s="337">
        <f>IF(BS!G31/BS!G27&gt;300%,"nm",BS!G31/BS!G27)</f>
        <v>1.4942693904035366E-3</v>
      </c>
    </row>
    <row r="81" spans="1:6" x14ac:dyDescent="0.15">
      <c r="A81" s="191"/>
      <c r="B81" s="229" t="s">
        <v>310</v>
      </c>
      <c r="C81" s="338">
        <f>IF(BS!C50&gt;30,"nm",BS!C50)</f>
        <v>5.1971735080735887E-3</v>
      </c>
    </row>
    <row r="82" spans="1:6" x14ac:dyDescent="0.15">
      <c r="A82" s="191"/>
    </row>
    <row r="83" spans="1:6" x14ac:dyDescent="0.15">
      <c r="A83" s="191"/>
      <c r="B83" s="1" t="s">
        <v>464</v>
      </c>
    </row>
    <row r="84" spans="1:6" x14ac:dyDescent="0.15">
      <c r="A84" s="191"/>
      <c r="B84" s="1" t="s">
        <v>224</v>
      </c>
      <c r="C84" s="285">
        <f>DCF!F5</f>
        <v>118301937502.43723</v>
      </c>
      <c r="D84" s="1" t="str">
        <f>Reporting_currency</f>
        <v>CNY</v>
      </c>
    </row>
    <row r="85" spans="1:6" x14ac:dyDescent="0.15">
      <c r="A85" s="191"/>
      <c r="B85" s="229" t="s">
        <v>222</v>
      </c>
      <c r="C85" s="291">
        <f>BS!C66</f>
        <v>148319946342.06</v>
      </c>
      <c r="D85" s="339" t="str">
        <f>Reporting_currency</f>
        <v>CNY</v>
      </c>
    </row>
    <row r="86" spans="1:6" x14ac:dyDescent="0.15">
      <c r="A86" s="191"/>
      <c r="B86" s="44" t="s">
        <v>235</v>
      </c>
      <c r="C86" s="201">
        <f>C84*scaling_factor*Exchange_Rate/Common_Shares</f>
        <v>30.477559132722682</v>
      </c>
      <c r="D86" s="1" t="str">
        <f>Market_currency</f>
        <v>CNY</v>
      </c>
    </row>
    <row r="87" spans="1:6" x14ac:dyDescent="0.15">
      <c r="A87" s="191"/>
    </row>
    <row r="88" spans="1:6" x14ac:dyDescent="0.15">
      <c r="A88" s="191"/>
      <c r="B88" s="1" t="s">
        <v>216</v>
      </c>
    </row>
    <row r="89" spans="1:6" x14ac:dyDescent="0.15">
      <c r="A89" s="191"/>
      <c r="B89" s="1" t="s">
        <v>217</v>
      </c>
      <c r="C89" s="285">
        <f>DCF!F6</f>
        <v>217300602.50500003</v>
      </c>
      <c r="D89" s="1" t="str">
        <f>Reporting_currency</f>
        <v>CNY</v>
      </c>
    </row>
    <row r="90" spans="1:6" x14ac:dyDescent="0.15">
      <c r="A90" s="191"/>
      <c r="B90" s="44" t="s">
        <v>236</v>
      </c>
      <c r="C90" s="201">
        <f>C89*scaling_factor*Exchange_Rate/Common_Shares</f>
        <v>5.5982109019017241E-2</v>
      </c>
      <c r="D90" s="1" t="str">
        <f>Market_currency</f>
        <v>CNY</v>
      </c>
    </row>
    <row r="91" spans="1:6" x14ac:dyDescent="0.15">
      <c r="A91" s="191"/>
    </row>
    <row r="92" spans="1:6" x14ac:dyDescent="0.15">
      <c r="A92" s="191"/>
      <c r="B92" s="44" t="s">
        <v>467</v>
      </c>
      <c r="C92" s="216">
        <f>DCF!F8</f>
        <v>30.478056311964512</v>
      </c>
      <c r="D92" s="44" t="str">
        <f>Market_currency</f>
        <v>CNY</v>
      </c>
    </row>
    <row r="94" spans="1:6" ht="16" x14ac:dyDescent="0.25">
      <c r="A94" s="200" t="s">
        <v>468</v>
      </c>
      <c r="B94" s="34"/>
      <c r="C94" s="34"/>
      <c r="D94" s="34"/>
      <c r="E94" s="34"/>
      <c r="F94" s="34"/>
    </row>
    <row r="95" spans="1:6" x14ac:dyDescent="0.15">
      <c r="A95" s="191"/>
    </row>
    <row r="96" spans="1:6" ht="11.75" customHeight="1" x14ac:dyDescent="0.15">
      <c r="B96" s="462" t="s">
        <v>483</v>
      </c>
      <c r="C96" s="462"/>
      <c r="D96" s="462"/>
      <c r="E96" s="462"/>
      <c r="F96" s="462"/>
    </row>
    <row r="97" spans="2:6" x14ac:dyDescent="0.15">
      <c r="B97" s="466" t="s">
        <v>482</v>
      </c>
      <c r="C97" s="466"/>
      <c r="D97" s="466"/>
      <c r="E97" s="466"/>
      <c r="F97" s="466"/>
    </row>
    <row r="98" spans="2:6" x14ac:dyDescent="0.15">
      <c r="B98" s="466" t="s">
        <v>481</v>
      </c>
      <c r="C98" s="466"/>
      <c r="D98" s="466"/>
      <c r="E98" s="466"/>
      <c r="F98" s="466"/>
    </row>
    <row r="100" spans="2:6" x14ac:dyDescent="0.15">
      <c r="B100" s="192" t="s">
        <v>195</v>
      </c>
    </row>
    <row r="101" spans="2:6" x14ac:dyDescent="0.15">
      <c r="B101" s="49" t="s">
        <v>465</v>
      </c>
      <c r="C101" s="211">
        <f>E25+C103</f>
        <v>7.2499999999999995E-2</v>
      </c>
    </row>
    <row r="102" spans="2:6" x14ac:dyDescent="0.15">
      <c r="B102" s="229" t="s">
        <v>317</v>
      </c>
      <c r="C102" s="263">
        <f>E25</f>
        <v>7.2499999999999995E-2</v>
      </c>
    </row>
    <row r="103" spans="2:6" x14ac:dyDescent="0.15">
      <c r="B103" s="229" t="s">
        <v>316</v>
      </c>
      <c r="C103" s="263">
        <f>IF(C15="Y",1%,0)+IF(C16="Y",1%,0)</f>
        <v>0</v>
      </c>
    </row>
    <row r="104" spans="2:6" x14ac:dyDescent="0.15">
      <c r="B104" s="44" t="s">
        <v>214</v>
      </c>
      <c r="C104" s="211">
        <f>Terminal_Growth</f>
        <v>0.02</v>
      </c>
    </row>
    <row r="106" spans="2:6" x14ac:dyDescent="0.15">
      <c r="B106" s="250" t="s">
        <v>281</v>
      </c>
      <c r="C106" s="116"/>
    </row>
    <row r="107" spans="2:6" x14ac:dyDescent="0.15">
      <c r="B107" s="462" t="s">
        <v>283</v>
      </c>
      <c r="C107" s="462"/>
      <c r="D107" s="462"/>
      <c r="E107" s="462"/>
      <c r="F107" s="462"/>
    </row>
    <row r="108" spans="2:6" x14ac:dyDescent="0.15">
      <c r="B108" s="462" t="s">
        <v>284</v>
      </c>
      <c r="C108" s="462"/>
      <c r="D108" s="462"/>
      <c r="E108" s="462"/>
      <c r="F108" s="462"/>
    </row>
    <row r="110" spans="2:6" x14ac:dyDescent="0.15">
      <c r="B110" s="192" t="s">
        <v>485</v>
      </c>
    </row>
    <row r="111" spans="2:6" x14ac:dyDescent="0.15">
      <c r="B111" s="49" t="s">
        <v>466</v>
      </c>
      <c r="C111" s="216">
        <f>BS!D47</f>
        <v>24.855396491318039</v>
      </c>
      <c r="D111" s="1" t="str">
        <f>Market_currency</f>
        <v>CNY</v>
      </c>
    </row>
    <row r="112" spans="2:6" x14ac:dyDescent="0.15">
      <c r="B112" s="44" t="s">
        <v>322</v>
      </c>
      <c r="C112" s="216">
        <f>DCF!C11</f>
        <v>179.64719550176477</v>
      </c>
      <c r="D112" s="1" t="str">
        <f>Market_currency</f>
        <v>CNY</v>
      </c>
    </row>
    <row r="114" spans="2:6" ht="24.5" customHeight="1" x14ac:dyDescent="0.15">
      <c r="B114" s="462" t="s">
        <v>489</v>
      </c>
      <c r="C114" s="462"/>
      <c r="D114" s="462"/>
      <c r="E114" s="462"/>
      <c r="F114" s="462"/>
    </row>
    <row r="116" spans="2:6" x14ac:dyDescent="0.15">
      <c r="B116" s="192" t="s">
        <v>486</v>
      </c>
    </row>
    <row r="117" spans="2:6" ht="14" x14ac:dyDescent="0.2">
      <c r="B117" s="342" t="s">
        <v>101</v>
      </c>
      <c r="C117" s="342" t="s">
        <v>110</v>
      </c>
      <c r="D117" s="342" t="s">
        <v>219</v>
      </c>
      <c r="E117" s="342" t="s">
        <v>124</v>
      </c>
      <c r="F117" s="342" t="s">
        <v>542</v>
      </c>
    </row>
    <row r="118" spans="2:6" x14ac:dyDescent="0.15">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x14ac:dyDescent="0.15">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x14ac:dyDescent="0.15">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x14ac:dyDescent="0.15">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x14ac:dyDescent="0.15">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x14ac:dyDescent="0.15">
      <c r="B124" s="463" t="s">
        <v>355</v>
      </c>
      <c r="C124" s="463"/>
      <c r="D124" s="463"/>
      <c r="E124" s="463"/>
      <c r="F124" s="463"/>
    </row>
    <row r="125" spans="2:6" x14ac:dyDescent="0.15">
      <c r="B125" s="193" t="s">
        <v>218</v>
      </c>
      <c r="C125" s="197">
        <f>Scenarios!C36</f>
        <v>134.70696317865062</v>
      </c>
      <c r="D125" s="194" t="str">
        <f>Market_currency</f>
        <v>CNY</v>
      </c>
    </row>
    <row r="127" spans="2:6" ht="24.5" customHeight="1" x14ac:dyDescent="0.15">
      <c r="B127" s="465" t="s">
        <v>356</v>
      </c>
      <c r="C127" s="465"/>
      <c r="D127" s="465"/>
      <c r="E127" s="465"/>
      <c r="F127" s="465"/>
    </row>
    <row r="129" spans="1:6" ht="16" x14ac:dyDescent="0.25">
      <c r="A129" s="200" t="s">
        <v>472</v>
      </c>
      <c r="B129" s="34"/>
      <c r="C129" s="34"/>
      <c r="D129" s="34"/>
      <c r="E129" s="34"/>
      <c r="F129" s="34"/>
    </row>
    <row r="131" spans="1:6" x14ac:dyDescent="0.15">
      <c r="B131" s="467" t="s">
        <v>285</v>
      </c>
      <c r="C131" s="467"/>
      <c r="D131" s="467"/>
      <c r="E131" s="467"/>
      <c r="F131" s="467"/>
    </row>
    <row r="132" spans="1:6" x14ac:dyDescent="0.15">
      <c r="B132" s="462" t="s">
        <v>357</v>
      </c>
      <c r="C132" s="462"/>
      <c r="D132" s="462"/>
      <c r="E132" s="462"/>
      <c r="F132" s="462"/>
    </row>
    <row r="134" spans="1:6" x14ac:dyDescent="0.15">
      <c r="B134" s="192" t="s">
        <v>195</v>
      </c>
    </row>
    <row r="135" spans="1:6" x14ac:dyDescent="0.15">
      <c r="B135" s="1" t="s">
        <v>221</v>
      </c>
      <c r="C135" s="202">
        <f>E21</f>
        <v>3</v>
      </c>
    </row>
    <row r="136" spans="1:6" x14ac:dyDescent="0.15">
      <c r="B136" s="194" t="s">
        <v>220</v>
      </c>
      <c r="C136" s="195">
        <f>Scenarios!C58</f>
        <v>2.8521000000000001</v>
      </c>
      <c r="D136" s="194" t="str">
        <f>Market_currency</f>
        <v>CNY</v>
      </c>
    </row>
    <row r="138" spans="1:6" x14ac:dyDescent="0.15">
      <c r="B138" s="192" t="s">
        <v>492</v>
      </c>
      <c r="C138" s="214"/>
      <c r="D138" s="215"/>
    </row>
    <row r="139" spans="1:6" ht="14" x14ac:dyDescent="0.2">
      <c r="B139" s="340" t="s">
        <v>460</v>
      </c>
      <c r="C139" s="340" t="str">
        <f>"PV("&amp;Holding_Period&amp;" yrs of Dividends)"</f>
        <v>PV(3 yrs of Dividends)</v>
      </c>
      <c r="D139" s="340" t="s">
        <v>469</v>
      </c>
      <c r="E139" s="341" t="str">
        <f>"Buy below ("&amp;Market_currency&amp;")"</f>
        <v>Buy below (CNY)</v>
      </c>
      <c r="F139" s="341" t="s">
        <v>470</v>
      </c>
    </row>
    <row r="140" spans="1:6" x14ac:dyDescent="0.15">
      <c r="B140" s="336" t="s">
        <v>311</v>
      </c>
      <c r="C140" s="333">
        <f>Scenarios!C62</f>
        <v>4.9724613932919821</v>
      </c>
      <c r="D140" s="333">
        <f>Scenarios!D62</f>
        <v>57.322111990915168</v>
      </c>
      <c r="E140" s="334">
        <f>Scenarios!E62</f>
        <v>62.294573384207148</v>
      </c>
      <c r="F140" s="335">
        <f>E22</f>
        <v>0.32950289523458665</v>
      </c>
    </row>
    <row r="141" spans="1:6" x14ac:dyDescent="0.15">
      <c r="B141" s="336" t="s">
        <v>312</v>
      </c>
      <c r="C141" s="333">
        <f>Scenarios!C63</f>
        <v>5.7696729926225894</v>
      </c>
      <c r="D141" s="333">
        <f>Scenarios!D63</f>
        <v>73.061403757912231</v>
      </c>
      <c r="E141" s="334">
        <f>Scenarios!E63</f>
        <v>78.83107675053482</v>
      </c>
      <c r="F141" s="335">
        <f>Scenarios!F63</f>
        <v>0.22621703288100403</v>
      </c>
    </row>
    <row r="142" spans="1:6" x14ac:dyDescent="0.15">
      <c r="B142" s="194"/>
      <c r="C142" s="194"/>
      <c r="D142" s="194"/>
      <c r="E142" s="194"/>
      <c r="F142" s="194"/>
    </row>
    <row r="143" spans="1:6" ht="14" x14ac:dyDescent="0.2">
      <c r="B143" s="340" t="s">
        <v>461</v>
      </c>
      <c r="C143" s="340" t="str">
        <f>"PV("&amp;Holding_Period&amp;" yrs of Dividends)"</f>
        <v>PV(3 yrs of Dividends)</v>
      </c>
      <c r="D143" s="340" t="s">
        <v>469</v>
      </c>
      <c r="E143" s="341" t="str">
        <f>"Sell above ("&amp;Market_currency&amp;")"</f>
        <v>Sell above (CNY)</v>
      </c>
      <c r="F143" s="341" t="s">
        <v>470</v>
      </c>
    </row>
    <row r="144" spans="1:6" x14ac:dyDescent="0.15">
      <c r="B144" s="336" t="s">
        <v>314</v>
      </c>
      <c r="C144" s="333">
        <f>Scenarios!C66</f>
        <v>7.2582809357033913</v>
      </c>
      <c r="D144" s="333">
        <f>Scenarios!D66</f>
        <v>104.88210938708983</v>
      </c>
      <c r="E144" s="334">
        <f>Scenarios!E66</f>
        <v>112.14039032279322</v>
      </c>
      <c r="F144" s="335">
        <f>E24</f>
        <v>8.6999999999999994E-2</v>
      </c>
    </row>
    <row r="145" spans="1:6" x14ac:dyDescent="0.15">
      <c r="B145" s="336" t="s">
        <v>313</v>
      </c>
      <c r="C145" s="333">
        <f>Scenarios!C67</f>
        <v>7.4507553854201589</v>
      </c>
      <c r="D145" s="333">
        <f>Scenarios!D67</f>
        <v>109.19384099731857</v>
      </c>
      <c r="E145" s="334">
        <f>Scenarios!E67</f>
        <v>116.64459638273874</v>
      </c>
      <c r="F145" s="335">
        <f>Scenarios!F67</f>
        <v>7.2499999999999995E-2</v>
      </c>
    </row>
    <row r="147" spans="1:6" ht="16" x14ac:dyDescent="0.25">
      <c r="A147" s="200" t="s">
        <v>473</v>
      </c>
      <c r="B147" s="34"/>
      <c r="C147" s="34"/>
      <c r="D147" s="34"/>
      <c r="E147" s="34"/>
      <c r="F147" s="34"/>
    </row>
    <row r="149" spans="1:6" x14ac:dyDescent="0.15">
      <c r="B149" s="461" t="s">
        <v>358</v>
      </c>
      <c r="C149" s="462"/>
      <c r="D149" s="462"/>
      <c r="E149" s="462"/>
      <c r="F149" s="462"/>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3" t="s">
        <v>436</v>
      </c>
      <c r="C158" s="463"/>
      <c r="D158" s="463"/>
      <c r="E158" s="463"/>
      <c r="F158" s="463"/>
    </row>
    <row r="160" spans="1:6" x14ac:dyDescent="0.15">
      <c r="B160" s="1" t="s">
        <v>297</v>
      </c>
    </row>
    <row r="161" spans="2:6" ht="24.5" customHeight="1" x14ac:dyDescent="0.15">
      <c r="B161" s="460" t="s">
        <v>294</v>
      </c>
      <c r="C161" s="460"/>
      <c r="D161" s="460"/>
      <c r="E161" s="460"/>
      <c r="F161" s="460"/>
    </row>
    <row r="162" spans="2:6" ht="24.5" customHeight="1" x14ac:dyDescent="0.15">
      <c r="B162" s="460" t="s">
        <v>295</v>
      </c>
      <c r="C162" s="460"/>
      <c r="D162" s="460"/>
      <c r="E162" s="460"/>
      <c r="F162" s="460"/>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v>
      </c>
    </row>
    <row r="4" spans="2:13" x14ac:dyDescent="0.15">
      <c r="B4" s="31" t="s">
        <v>0</v>
      </c>
      <c r="C4" s="287">
        <v>89175178322.699997</v>
      </c>
      <c r="D4" s="287">
        <v>83272067317.190002</v>
      </c>
      <c r="E4" s="287"/>
      <c r="F4" s="287"/>
      <c r="G4" s="287"/>
      <c r="H4" s="287"/>
      <c r="I4" s="287"/>
      <c r="J4" s="287"/>
      <c r="K4" s="287"/>
      <c r="L4" s="287"/>
      <c r="M4" s="287"/>
    </row>
    <row r="5" spans="2:13" x14ac:dyDescent="0.15">
      <c r="B5" s="38" t="s">
        <v>40</v>
      </c>
      <c r="C5" s="287">
        <f>20461423083.74+13040913970.28</f>
        <v>33502337054.020004</v>
      </c>
      <c r="D5" s="287">
        <f>20157143952.21+12531695628.42</f>
        <v>32688839580.629997</v>
      </c>
      <c r="E5" s="287"/>
      <c r="F5" s="287"/>
      <c r="G5" s="287"/>
      <c r="H5" s="287"/>
      <c r="I5" s="287"/>
      <c r="J5" s="287"/>
      <c r="K5" s="287"/>
      <c r="L5" s="287"/>
      <c r="M5" s="287"/>
    </row>
    <row r="6" spans="2:13" x14ac:dyDescent="0.15">
      <c r="B6" s="38" t="s">
        <v>51</v>
      </c>
      <c r="C6" s="287">
        <f>3555238122.5+C7</f>
        <v>14247614239.91</v>
      </c>
      <c r="D6" s="287">
        <f>3319445339.77+D7</f>
        <v>11115743757.9</v>
      </c>
      <c r="E6" s="287"/>
      <c r="F6" s="287"/>
      <c r="G6" s="287"/>
      <c r="H6" s="287"/>
      <c r="I6" s="287"/>
      <c r="J6" s="287"/>
      <c r="K6" s="287"/>
      <c r="L6" s="287"/>
      <c r="M6" s="287"/>
    </row>
    <row r="7" spans="2:13" x14ac:dyDescent="0.15">
      <c r="B7" s="66" t="s">
        <v>58</v>
      </c>
      <c r="C7" s="288">
        <v>10692376117.41</v>
      </c>
      <c r="D7" s="288">
        <v>7796298418.1300001</v>
      </c>
      <c r="E7" s="288"/>
      <c r="F7" s="288"/>
      <c r="G7" s="288"/>
      <c r="H7" s="288"/>
      <c r="I7" s="288"/>
      <c r="J7" s="288"/>
      <c r="K7" s="288"/>
      <c r="L7" s="288"/>
      <c r="M7" s="288"/>
    </row>
    <row r="8" spans="2:13" x14ac:dyDescent="0.15">
      <c r="B8" s="38" t="s">
        <v>46</v>
      </c>
      <c r="C8" s="287">
        <v>405053632.26999998</v>
      </c>
      <c r="D8" s="287">
        <v>321845165.27999997</v>
      </c>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f>2833530840.46</f>
        <v>2833530840.46</v>
      </c>
      <c r="D12" s="287">
        <v>2473170676.27</v>
      </c>
      <c r="E12" s="287"/>
      <c r="F12" s="287"/>
      <c r="G12" s="287"/>
      <c r="H12" s="287"/>
      <c r="I12" s="287"/>
      <c r="J12" s="287"/>
      <c r="K12" s="287"/>
      <c r="L12" s="287"/>
      <c r="M12" s="287"/>
    </row>
    <row r="13" spans="2:13" x14ac:dyDescent="0.15">
      <c r="B13" s="38" t="s">
        <v>64</v>
      </c>
      <c r="C13" s="287">
        <v>2875863410.1100001</v>
      </c>
      <c r="D13" s="287">
        <v>2487953643.3299999</v>
      </c>
      <c r="E13" s="287"/>
      <c r="F13" s="287"/>
      <c r="G13" s="287"/>
      <c r="H13" s="287"/>
      <c r="I13" s="287"/>
      <c r="J13" s="287"/>
      <c r="K13" s="287"/>
      <c r="L13" s="287"/>
      <c r="M13" s="287"/>
    </row>
    <row r="14" spans="2:13" x14ac:dyDescent="0.15">
      <c r="B14" s="38" t="s">
        <v>47</v>
      </c>
      <c r="C14" s="287">
        <v>10969864757.690001</v>
      </c>
      <c r="D14" s="287">
        <v>10391904361.49</v>
      </c>
      <c r="E14" s="287"/>
      <c r="F14" s="287"/>
      <c r="G14" s="287"/>
      <c r="H14" s="287"/>
      <c r="I14" s="287"/>
      <c r="J14" s="287"/>
      <c r="K14" s="287"/>
      <c r="L14" s="287"/>
      <c r="M14" s="287"/>
    </row>
    <row r="15" spans="2:13" x14ac:dyDescent="0.15">
      <c r="B15" s="41" t="s">
        <v>39</v>
      </c>
      <c r="C15" s="289">
        <v>33193460484.32</v>
      </c>
      <c r="D15" s="289">
        <v>31520777582.150002</v>
      </c>
      <c r="E15" s="289"/>
      <c r="F15" s="289"/>
      <c r="G15" s="289"/>
      <c r="H15" s="289"/>
      <c r="I15" s="289"/>
      <c r="J15" s="289"/>
      <c r="K15" s="289"/>
      <c r="L15" s="289"/>
      <c r="M15" s="289"/>
    </row>
    <row r="16" spans="2:13" x14ac:dyDescent="0.15">
      <c r="B16" s="27" t="s">
        <v>41</v>
      </c>
      <c r="C16" s="287">
        <v>1340287950.3399999</v>
      </c>
      <c r="D16" s="287">
        <v>1310192312.8499999</v>
      </c>
      <c r="E16" s="287"/>
      <c r="F16" s="287"/>
      <c r="G16" s="287"/>
      <c r="H16" s="287"/>
      <c r="I16" s="287"/>
      <c r="J16" s="287"/>
      <c r="K16" s="287"/>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33939755192.779999</v>
      </c>
      <c r="D22" s="287">
        <v>41742479908.230003</v>
      </c>
      <c r="E22" s="287"/>
      <c r="F22" s="287"/>
      <c r="G22" s="287"/>
      <c r="H22" s="287"/>
      <c r="I22" s="287"/>
      <c r="J22" s="287"/>
      <c r="K22" s="287"/>
      <c r="L22" s="287"/>
      <c r="M22" s="287"/>
    </row>
    <row r="23" spans="2:13" ht="13" x14ac:dyDescent="0.15">
      <c r="B23" s="26" t="s">
        <v>288</v>
      </c>
      <c r="C23" s="287">
        <v>-2642221739.0500002</v>
      </c>
      <c r="D23" s="287">
        <v>-2931832324.46</v>
      </c>
      <c r="E23" s="287"/>
      <c r="F23" s="287"/>
      <c r="G23" s="287"/>
      <c r="H23" s="287"/>
      <c r="I23" s="287"/>
      <c r="J23" s="287"/>
      <c r="K23" s="287"/>
      <c r="L23" s="287"/>
      <c r="M23" s="287"/>
    </row>
    <row r="24" spans="2:13" ht="13" x14ac:dyDescent="0.15">
      <c r="B24" s="26" t="s">
        <v>287</v>
      </c>
      <c r="C24" s="287">
        <v>-19622477387.77</v>
      </c>
      <c r="D24" s="287">
        <v>-16300234578.09</v>
      </c>
      <c r="E24" s="287"/>
      <c r="F24" s="287"/>
      <c r="G24" s="287"/>
      <c r="H24" s="287"/>
      <c r="I24" s="287"/>
      <c r="J24" s="287"/>
      <c r="K24" s="287"/>
      <c r="L24" s="287"/>
      <c r="M24" s="287"/>
    </row>
    <row r="25" spans="2:13" x14ac:dyDescent="0.15">
      <c r="B25" s="23" t="str">
        <f>"Dividend per share ("&amp;Market_currency&amp;")"</f>
        <v>Dividend per share (CNY)</v>
      </c>
      <c r="C25" s="37">
        <f>31.69/10</f>
        <v>3.169</v>
      </c>
      <c r="D25" s="37">
        <f>46.7/10</f>
        <v>4.67</v>
      </c>
      <c r="E25" s="37"/>
      <c r="F25" s="37"/>
      <c r="G25" s="37"/>
      <c r="H25" s="37"/>
      <c r="I25" s="37"/>
      <c r="J25" s="37"/>
      <c r="K25" s="37"/>
      <c r="L25" s="37"/>
      <c r="M25" s="37"/>
    </row>
    <row r="27" spans="2:13" x14ac:dyDescent="0.15">
      <c r="B27" s="16" t="s">
        <v>26</v>
      </c>
      <c r="C27" s="94" t="s">
        <v>544</v>
      </c>
    </row>
    <row r="28" spans="2:13" ht="13" x14ac:dyDescent="0.15">
      <c r="B28" s="25" t="s">
        <v>22</v>
      </c>
      <c r="C28" s="270">
        <f>BS!C4</f>
        <v>4016935090.9299998</v>
      </c>
      <c r="D28" s="287">
        <f>42647461.48+14086450565.79+39624933.74</f>
        <v>14168722961.01</v>
      </c>
      <c r="E28" s="287"/>
      <c r="F28" s="287"/>
      <c r="G28" s="287"/>
      <c r="H28" s="287"/>
      <c r="I28" s="287"/>
      <c r="J28" s="287"/>
      <c r="K28" s="287"/>
      <c r="L28" s="287"/>
      <c r="M28" s="287"/>
    </row>
    <row r="29" spans="2:13" ht="13" x14ac:dyDescent="0.15">
      <c r="B29" s="25" t="s">
        <v>30</v>
      </c>
      <c r="C29" s="270">
        <f>BS!C6</f>
        <v>17745770666.169998</v>
      </c>
      <c r="D29" s="287">
        <v>17387841712.869999</v>
      </c>
      <c r="E29" s="287"/>
      <c r="F29" s="287"/>
      <c r="G29" s="287"/>
      <c r="H29" s="287"/>
      <c r="I29" s="287"/>
      <c r="J29" s="287"/>
      <c r="K29" s="287"/>
      <c r="L29" s="287"/>
      <c r="M29" s="287"/>
    </row>
    <row r="30" spans="2:13" ht="13" x14ac:dyDescent="0.15">
      <c r="B30" s="28" t="s">
        <v>38</v>
      </c>
      <c r="C30" s="271">
        <f>BS!C33+BS!C42</f>
        <v>49284244654.68</v>
      </c>
      <c r="D30" s="289">
        <v>33083608497.580002</v>
      </c>
      <c r="E30" s="289"/>
      <c r="F30" s="289"/>
      <c r="G30" s="289"/>
      <c r="H30" s="289"/>
      <c r="I30" s="289"/>
      <c r="J30" s="289"/>
      <c r="K30" s="289"/>
      <c r="L30" s="289"/>
      <c r="M30" s="289"/>
    </row>
    <row r="31" spans="2:13" ht="13" x14ac:dyDescent="0.15">
      <c r="B31" s="28" t="s">
        <v>28</v>
      </c>
      <c r="C31" s="271">
        <f>BS!G27</f>
        <v>144131137908.02997</v>
      </c>
      <c r="D31" s="289">
        <v>132349373187.17</v>
      </c>
      <c r="E31" s="289"/>
      <c r="F31" s="289"/>
      <c r="G31" s="289"/>
      <c r="H31" s="289"/>
      <c r="I31" s="289"/>
      <c r="J31" s="289"/>
      <c r="K31" s="289"/>
      <c r="L31" s="289"/>
      <c r="M31" s="289"/>
    </row>
    <row r="32" spans="2:13" ht="13" x14ac:dyDescent="0.15">
      <c r="B32" s="25" t="s">
        <v>143</v>
      </c>
      <c r="C32" s="270">
        <f>BS!G28</f>
        <v>3654729261.3800001</v>
      </c>
      <c r="D32" s="287">
        <v>2791132146.6599998</v>
      </c>
      <c r="E32" s="287"/>
      <c r="F32" s="287"/>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ht="13" x14ac:dyDescent="0.15">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ht="13" x14ac:dyDescent="0.15">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3368850.3+64351041.9+3888593774.07+60621424.66</f>
        <v>4016935090.9299998</v>
      </c>
      <c r="D4" s="231">
        <v>0.6</v>
      </c>
      <c r="E4" s="24"/>
      <c r="F4" s="4" t="s">
        <v>74</v>
      </c>
      <c r="G4" s="18">
        <v>148319946342.06</v>
      </c>
      <c r="H4" s="231">
        <v>0.9</v>
      </c>
    </row>
    <row r="5" spans="2:8" ht="15" customHeight="1" x14ac:dyDescent="0.15">
      <c r="B5" s="1" t="s">
        <v>31</v>
      </c>
      <c r="C5" s="18">
        <v>0</v>
      </c>
      <c r="D5" s="231">
        <v>0.6</v>
      </c>
      <c r="E5" s="24"/>
      <c r="F5" s="1" t="s">
        <v>27</v>
      </c>
      <c r="G5" s="18">
        <v>0</v>
      </c>
      <c r="H5" s="231">
        <v>0.7</v>
      </c>
    </row>
    <row r="6" spans="2:8" ht="15" customHeight="1" x14ac:dyDescent="0.15">
      <c r="B6" s="4" t="s">
        <v>8</v>
      </c>
      <c r="C6" s="18">
        <v>17745770666.169998</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230243788.88</v>
      </c>
      <c r="D9" s="231">
        <v>0.1</v>
      </c>
      <c r="E9" s="24"/>
      <c r="F9" s="4" t="s">
        <v>150</v>
      </c>
      <c r="G9" s="18">
        <v>0</v>
      </c>
      <c r="H9" s="231">
        <v>0.6</v>
      </c>
    </row>
    <row r="10" spans="2:8" ht="15" customHeight="1" x14ac:dyDescent="0.15">
      <c r="B10" s="4" t="s">
        <v>9</v>
      </c>
      <c r="C10" s="18">
        <v>0</v>
      </c>
      <c r="D10" s="231">
        <v>0.9</v>
      </c>
      <c r="F10" s="1" t="s">
        <v>400</v>
      </c>
      <c r="G10" s="18">
        <v>0</v>
      </c>
      <c r="H10" s="231">
        <v>0.6</v>
      </c>
    </row>
    <row r="11" spans="2:8" ht="15" customHeight="1" x14ac:dyDescent="0.15">
      <c r="B11" s="4" t="s">
        <v>10</v>
      </c>
      <c r="C11" s="18">
        <v>191407289.30000001</v>
      </c>
      <c r="D11" s="231">
        <v>0.05</v>
      </c>
      <c r="H11" s="232"/>
    </row>
    <row r="12" spans="2:8" ht="15" customHeight="1" x14ac:dyDescent="0.15">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327</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0</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7745514521.75+5932852216.53+581324329.56</f>
        <v>14259691067.839998</v>
      </c>
      <c r="D19" s="231">
        <v>0.1</v>
      </c>
      <c r="F19" s="4" t="s">
        <v>152</v>
      </c>
      <c r="G19" s="18">
        <v>2173006025.0500002</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2720969313.54</v>
      </c>
      <c r="D21" s="231">
        <v>0.05</v>
      </c>
      <c r="F21" s="1" t="s">
        <v>150</v>
      </c>
      <c r="G21" s="18">
        <v>0</v>
      </c>
      <c r="H21" s="231">
        <v>0.1</v>
      </c>
    </row>
    <row r="22" spans="2:8" ht="15" customHeight="1" x14ac:dyDescent="0.15">
      <c r="B22" s="4" t="s">
        <v>18</v>
      </c>
      <c r="C22" s="18">
        <v>3149965433.77</v>
      </c>
      <c r="D22" s="231">
        <v>0.9</v>
      </c>
      <c r="H22" s="232"/>
    </row>
    <row r="23" spans="2:8" ht="15" customHeight="1" x14ac:dyDescent="0.15">
      <c r="B23" s="4" t="s">
        <v>19</v>
      </c>
      <c r="C23" s="18">
        <f>1200000+1621619.53+136367275.12+468258650.52</f>
        <v>607447545.16999996</v>
      </c>
      <c r="D23" s="231">
        <v>0</v>
      </c>
      <c r="H23" s="232"/>
    </row>
    <row r="24" spans="2:8" ht="15" customHeight="1" x14ac:dyDescent="0.15">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144131137908.02997</v>
      </c>
      <c r="H27" s="170">
        <f>H32-G30</f>
        <v>100133635249.52902</v>
      </c>
    </row>
    <row r="28" spans="2:8" ht="15" customHeight="1" x14ac:dyDescent="0.15">
      <c r="B28" s="4" t="s">
        <v>4</v>
      </c>
      <c r="C28" s="18">
        <v>0</v>
      </c>
      <c r="F28" s="171" t="s">
        <v>209</v>
      </c>
      <c r="G28" s="287">
        <v>3654729261.3800001</v>
      </c>
      <c r="H28" s="170"/>
    </row>
    <row r="29" spans="2:8" ht="15" customHeight="1" x14ac:dyDescent="0.15">
      <c r="B29" s="4" t="s">
        <v>5</v>
      </c>
      <c r="C29" s="18">
        <v>0</v>
      </c>
      <c r="F29" s="172" t="s">
        <v>72</v>
      </c>
      <c r="G29" s="14">
        <f>G27-G28</f>
        <v>140476408646.64996</v>
      </c>
      <c r="H29" s="170">
        <f>H27-G28</f>
        <v>96478905988.149017</v>
      </c>
    </row>
    <row r="30" spans="2:8" ht="15" customHeight="1" x14ac:dyDescent="0.15">
      <c r="B30" s="2" t="s">
        <v>6</v>
      </c>
      <c r="C30" s="18">
        <v>0</v>
      </c>
      <c r="F30" s="169" t="s">
        <v>21</v>
      </c>
      <c r="G30" s="82">
        <f>C33+C42</f>
        <v>49284244654.68</v>
      </c>
      <c r="H30" s="170"/>
    </row>
    <row r="31" spans="2:8" ht="15" customHeight="1" x14ac:dyDescent="0.15">
      <c r="B31" s="77" t="s">
        <v>172</v>
      </c>
      <c r="C31" s="78">
        <f>SUM(C27:C30)</f>
        <v>0</v>
      </c>
      <c r="F31" s="172" t="s">
        <v>73</v>
      </c>
      <c r="G31" s="173">
        <f>C31+C40</f>
        <v>215370747.58000001</v>
      </c>
      <c r="H31" s="170"/>
    </row>
    <row r="32" spans="2:8" ht="15" customHeight="1" x14ac:dyDescent="0.15">
      <c r="B32" s="4" t="s">
        <v>7</v>
      </c>
      <c r="C32" s="20">
        <f>C33-C31</f>
        <v>48677259367.199997</v>
      </c>
      <c r="F32" s="174" t="s">
        <v>71</v>
      </c>
      <c r="G32" s="175">
        <f>G35+G40</f>
        <v>193415382562.70996</v>
      </c>
      <c r="H32" s="170">
        <f>H35+H40</f>
        <v>149417879904.20901</v>
      </c>
    </row>
    <row r="33" spans="2:8" ht="15" customHeight="1" x14ac:dyDescent="0.15">
      <c r="B33" s="80" t="s">
        <v>2</v>
      </c>
      <c r="C33" s="81">
        <v>48677259367.199997</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42922430195.599991</v>
      </c>
      <c r="H35" s="182">
        <f>D12+D24</f>
        <v>15712627593.849998</v>
      </c>
    </row>
    <row r="36" spans="2:8" ht="15" customHeight="1" x14ac:dyDescent="0.15">
      <c r="B36" s="4" t="s">
        <v>11</v>
      </c>
      <c r="C36" s="18">
        <v>0</v>
      </c>
      <c r="F36" s="172" t="s">
        <v>166</v>
      </c>
      <c r="G36" s="173">
        <f>C4+C15</f>
        <v>4016935090.9299998</v>
      </c>
      <c r="H36" s="177"/>
    </row>
    <row r="37" spans="2:8" ht="15" customHeight="1" x14ac:dyDescent="0.15">
      <c r="B37" s="4" t="s">
        <v>12</v>
      </c>
      <c r="C37" s="18">
        <v>215370747.58000001</v>
      </c>
      <c r="F37" s="172" t="s">
        <v>167</v>
      </c>
      <c r="G37" s="173">
        <f>C6</f>
        <v>17745770666.169998</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14259691067.839998</v>
      </c>
      <c r="H39" s="170">
        <f>C7*D7+C17*D17+C19*D19+C20*D20</f>
        <v>1425969106.7839999</v>
      </c>
    </row>
    <row r="40" spans="2:8" ht="15" customHeight="1" x14ac:dyDescent="0.15">
      <c r="B40" s="77" t="s">
        <v>173</v>
      </c>
      <c r="C40" s="78">
        <f>SUM(C36:C39)</f>
        <v>215370747.58000001</v>
      </c>
      <c r="F40" s="181" t="s">
        <v>115</v>
      </c>
      <c r="G40" s="175">
        <f>G12+G24</f>
        <v>150492952367.10999</v>
      </c>
      <c r="H40" s="182">
        <f>H12+H24</f>
        <v>133705252310.35901</v>
      </c>
    </row>
    <row r="41" spans="2:8" ht="15" customHeight="1" x14ac:dyDescent="0.15">
      <c r="B41" s="4" t="s">
        <v>15</v>
      </c>
      <c r="C41" s="20">
        <f>C42-C40</f>
        <v>391614539.89999998</v>
      </c>
      <c r="F41" s="172" t="s">
        <v>160</v>
      </c>
      <c r="G41" s="173">
        <f>C70</f>
        <v>148319946342.06</v>
      </c>
      <c r="H41" s="182">
        <f>H40-H42</f>
        <v>133487951707.854</v>
      </c>
    </row>
    <row r="42" spans="2:8" ht="15" customHeight="1" x14ac:dyDescent="0.15">
      <c r="B42" s="80" t="s">
        <v>20</v>
      </c>
      <c r="C42" s="81">
        <v>606985287.48000002</v>
      </c>
      <c r="F42" s="183" t="s">
        <v>161</v>
      </c>
      <c r="G42" s="184">
        <f>C82</f>
        <v>2173006025.0500002</v>
      </c>
      <c r="H42" s="185">
        <f>D82</f>
        <v>217300602.50500003</v>
      </c>
    </row>
    <row r="44" spans="2:8" ht="15" customHeight="1" x14ac:dyDescent="0.15">
      <c r="B44" s="76" t="s">
        <v>92</v>
      </c>
      <c r="C44" s="35"/>
      <c r="D44" s="35"/>
      <c r="E44" s="35"/>
      <c r="F44" s="35"/>
      <c r="G44" s="35"/>
      <c r="H44" s="35"/>
    </row>
    <row r="45" spans="2:8" ht="15" customHeight="1" x14ac:dyDescent="0.15">
      <c r="B45" s="16" t="s">
        <v>228</v>
      </c>
      <c r="C45" s="209" t="s">
        <v>113</v>
      </c>
      <c r="D45" s="164" t="s">
        <v>309</v>
      </c>
      <c r="F45" s="226" t="s">
        <v>56</v>
      </c>
    </row>
    <row r="46" spans="2:8" ht="15" customHeight="1" x14ac:dyDescent="0.15">
      <c r="B46" s="1" t="s">
        <v>230</v>
      </c>
      <c r="C46" s="73">
        <f>G29</f>
        <v>140476408646.64996</v>
      </c>
      <c r="D46" s="73">
        <f>H29</f>
        <v>96478905988.149017</v>
      </c>
      <c r="F46" s="223"/>
    </row>
    <row r="47" spans="2:8" ht="15" customHeight="1" x14ac:dyDescent="0.15">
      <c r="B47" s="1" t="str">
        <f>"Equity per share ("&amp;Market_currency&amp;")"</f>
        <v>Equity per share (CNY)</v>
      </c>
      <c r="C47" s="134">
        <f>C46*H1/Common_Shares*Exchange_Rate</f>
        <v>36.190261475578843</v>
      </c>
      <c r="D47" s="134">
        <f>D46*H1/Common_Shares*Exchange_Rate</f>
        <v>24.855396491318039</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5.1971735080735887E-3</v>
      </c>
      <c r="D50" s="92">
        <f>G31/Normalized_FCF!G8</f>
        <v>5.2503617061349702E-3</v>
      </c>
      <c r="F50" s="223"/>
    </row>
    <row r="51" spans="2:8" ht="15" customHeight="1" x14ac:dyDescent="0.15">
      <c r="B51" s="1" t="s">
        <v>146</v>
      </c>
      <c r="C51" s="163"/>
      <c r="D51" s="89">
        <f>G29/G32</f>
        <v>0.72629387996636774</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0.96546202585583119</v>
      </c>
      <c r="D54" s="89">
        <f>Normalized_FCF!G8/G35</f>
        <v>0.9556815215161093</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7.3725734111229027E-2</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2.6016676370001695E-2</v>
      </c>
      <c r="D62" s="89">
        <f>G28/G29</f>
        <v>2.6016676370001695E-2</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148319946342.06</v>
      </c>
      <c r="D66" s="73">
        <f>C66-D75</f>
        <v>118301937502.43723</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148319946342.06</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-5037985057.8370838</v>
      </c>
      <c r="D73" s="285">
        <f>(Normalized_FCF!C26+Normalized_FCF!C35-Normalized_FCF!C89)/12</f>
        <v>-5003001473.2704611</v>
      </c>
      <c r="F73" s="1" t="s">
        <v>278</v>
      </c>
    </row>
    <row r="74" spans="2:6" ht="15" customHeight="1" x14ac:dyDescent="0.15">
      <c r="B74" s="227" t="s">
        <v>259</v>
      </c>
      <c r="C74" s="228">
        <f>-$C$66/C73</f>
        <v>29.440330735267597</v>
      </c>
      <c r="D74" s="228">
        <f>-$C$66/D73</f>
        <v>29.646192817349558</v>
      </c>
      <c r="F74" s="223" t="s">
        <v>257</v>
      </c>
    </row>
    <row r="75" spans="2:6" ht="15" customHeight="1" x14ac:dyDescent="0.15">
      <c r="B75" s="77" t="s">
        <v>258</v>
      </c>
      <c r="C75" s="261"/>
      <c r="D75" s="262">
        <f>MAX(-D73*D76,G5)</f>
        <v>30018008839.622765</v>
      </c>
      <c r="F75" s="223" t="s">
        <v>279</v>
      </c>
    </row>
    <row r="76" spans="2:6" ht="15" customHeight="1" x14ac:dyDescent="0.15">
      <c r="B76" s="229" t="s">
        <v>260</v>
      </c>
      <c r="C76" s="230"/>
      <c r="D76" s="248">
        <f>IF(D74&lt;=3,1,IF(D74&gt;18,6,2))</f>
        <v>6</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0</v>
      </c>
      <c r="D79" s="73">
        <f>G7*H7+G17*H17</f>
        <v>0</v>
      </c>
      <c r="F79" s="223"/>
    </row>
    <row r="80" spans="2:6" ht="15" customHeight="1" x14ac:dyDescent="0.15">
      <c r="B80" s="102" t="s">
        <v>152</v>
      </c>
      <c r="C80" s="19">
        <f>G19</f>
        <v>2173006025.0500002</v>
      </c>
      <c r="D80" s="73">
        <f>G19*H19</f>
        <v>217300602.50500003</v>
      </c>
      <c r="F80" s="223"/>
    </row>
    <row r="81" spans="2:8" ht="15" customHeight="1" x14ac:dyDescent="0.15">
      <c r="B81" s="102" t="s">
        <v>150</v>
      </c>
      <c r="C81" s="19">
        <f>G9+G21</f>
        <v>0</v>
      </c>
      <c r="D81" s="73">
        <f>G9*H9+G21*H21</f>
        <v>0</v>
      </c>
      <c r="F81" s="223"/>
    </row>
    <row r="82" spans="2:8" ht="15" customHeight="1" x14ac:dyDescent="0.15">
      <c r="B82" s="77" t="s">
        <v>159</v>
      </c>
      <c r="C82" s="78">
        <f>SUM(C79:C81)</f>
        <v>2173006025.0500002</v>
      </c>
      <c r="D82" s="78">
        <f>SUM(D79:D81)</f>
        <v>217300602.50500003</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-215370747.58000001</v>
      </c>
      <c r="D86" s="201">
        <f>C86*scaling_factor/Common_Shares</f>
        <v>-5.5484929777189086E-2</v>
      </c>
      <c r="E86" s="214" t="str">
        <f>Market_currency</f>
        <v>CNY</v>
      </c>
    </row>
    <row r="87" spans="2:8" ht="15" customHeight="1" x14ac:dyDescent="0.15">
      <c r="B87" s="212" t="s">
        <v>240</v>
      </c>
      <c r="C87" s="73">
        <f>DCF!F5*Exchange_Rate</f>
        <v>118301937502.43723</v>
      </c>
      <c r="D87" s="201">
        <f>C87*scaling_factor/Common_Shares</f>
        <v>30.477559132722682</v>
      </c>
      <c r="E87" s="214" t="str">
        <f>Market_currency</f>
        <v>CNY</v>
      </c>
    </row>
    <row r="88" spans="2:8" ht="15" customHeight="1" x14ac:dyDescent="0.15">
      <c r="B88" s="213" t="s">
        <v>159</v>
      </c>
      <c r="C88" s="73">
        <f>DCF!F6*Exchange_Rate</f>
        <v>217300602.50500003</v>
      </c>
      <c r="D88" s="201">
        <f>C88*scaling_factor/Common_Shares</f>
        <v>5.5982109019017241E-2</v>
      </c>
      <c r="E88" s="214" t="str">
        <f>Market_currency</f>
        <v>CNY</v>
      </c>
    </row>
    <row r="89" spans="2:8" ht="15" customHeight="1" x14ac:dyDescent="0.15">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391</v>
      </c>
      <c r="C3" s="104">
        <f>scaling_factor</f>
        <v>1</v>
      </c>
      <c r="D3" s="9"/>
      <c r="E3" s="237"/>
      <c r="F3" s="9"/>
      <c r="G3" s="16" t="s">
        <v>408</v>
      </c>
      <c r="H3" s="104">
        <f>scaling_factor</f>
        <v>1</v>
      </c>
    </row>
    <row r="4" spans="1:17" ht="15.75" customHeight="1" x14ac:dyDescent="0.15">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x14ac:dyDescent="0.15">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329</v>
      </c>
      <c r="C91" s="292">
        <v>0.1</v>
      </c>
      <c r="E91" s="237"/>
      <c r="G91" s="293"/>
      <c r="H91" s="293"/>
      <c r="I91" s="293"/>
      <c r="J91" s="293"/>
      <c r="K91" s="293"/>
      <c r="L91" s="293"/>
      <c r="M91" s="293"/>
      <c r="N91" s="293"/>
      <c r="O91" s="293"/>
      <c r="P91" s="293"/>
      <c r="Q91" s="293"/>
    </row>
    <row r="92" spans="1:17" ht="15.75" customHeight="1" x14ac:dyDescent="0.15">
      <c r="A92" s="10"/>
      <c r="B92" s="2" t="s">
        <v>328</v>
      </c>
      <c r="C92" s="22">
        <f>(C88*(1-dividend_tax_rate))/Market_Price</f>
        <v>2.6891382236469922E-2</v>
      </c>
      <c r="E92" s="237"/>
      <c r="G92" s="22">
        <f t="shared" ref="G92:Q92" si="38">IF(G$4="","",(G88*(1-dividend_tax_rate))/Market_Price)</f>
        <v>2.6891382236469922E-2</v>
      </c>
      <c r="H92" s="22">
        <f t="shared" si="38"/>
        <v>3.9628512162926649E-2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7.2391319447967964E-2</v>
      </c>
      <c r="D124" s="26"/>
      <c r="E124" s="234"/>
      <c r="F124" s="26"/>
      <c r="G124" s="74">
        <f t="shared" ref="G124" si="49">IF(G$4="","",G123/Market_Price)</f>
        <v>6.4269121270402199E-2</v>
      </c>
      <c r="H124" s="74">
        <f t="shared" ref="H124" si="50">IF(H$4="","",H123/Market_Price)</f>
        <v>6.1877413569646211E-2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8.062862121247466E-2</v>
      </c>
      <c r="H125" s="22">
        <f>IF(H$4="","",(Data!D47*$C$3)/(Market_Price*Common_Shares))</f>
        <v>7.6565588489768452E-2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v>
      </c>
      <c r="E3" s="106" t="s">
        <v>422</v>
      </c>
      <c r="H3" s="106" t="s">
        <v>412</v>
      </c>
    </row>
    <row r="4" spans="2:15" x14ac:dyDescent="0.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x14ac:dyDescent="0.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x14ac:dyDescent="0.15">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x14ac:dyDescent="0.15">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4" x14ac:dyDescent="0.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4" thickBot="1" x14ac:dyDescent="0.2">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4" thickTop="1" x14ac:dyDescent="0.15">
      <c r="B10" s="107" t="s">
        <v>425</v>
      </c>
      <c r="C10" s="283">
        <f>C8*Exchange_Rate</f>
        <v>697319992135.45007</v>
      </c>
      <c r="D10" t="str">
        <f>Market_currency</f>
        <v>CNY</v>
      </c>
      <c r="H10" s="308" t="s">
        <v>395</v>
      </c>
      <c r="I10" s="306">
        <f>Normalized_FCF!C41</f>
        <v>0.25</v>
      </c>
      <c r="N10" s="304"/>
      <c r="O10" s="304"/>
    </row>
    <row r="11" spans="2:15" x14ac:dyDescent="0.15">
      <c r="B11" s="136" t="s">
        <v>423</v>
      </c>
      <c r="C11" s="108">
        <f>(C10*scaling_factor)/Common_Shares</f>
        <v>179.64719550176477</v>
      </c>
      <c r="D11" t="str">
        <f>Market_currency</f>
        <v>CNY</v>
      </c>
      <c r="E11" s="307"/>
      <c r="I11" s="307"/>
      <c r="J11" s="307"/>
    </row>
    <row r="13" spans="2:15" ht="16" x14ac:dyDescent="0.25">
      <c r="B13" s="34" t="s">
        <v>426</v>
      </c>
      <c r="C13" s="35"/>
      <c r="D13" s="35"/>
      <c r="E13" s="35"/>
      <c r="F13" s="35"/>
      <c r="G13" s="35"/>
      <c r="H13" s="35"/>
      <c r="I13" s="35"/>
      <c r="J13" s="35"/>
      <c r="K13" s="35"/>
      <c r="L13" s="35"/>
    </row>
    <row r="14" spans="2:15" x14ac:dyDescent="0.15">
      <c r="B14" s="106" t="s">
        <v>397</v>
      </c>
      <c r="C14" s="309" t="s">
        <v>403</v>
      </c>
      <c r="E14" s="106" t="s">
        <v>397</v>
      </c>
      <c r="F14" s="309" t="str">
        <f>IF(ROUND(F17,4)=ROUND(C17,4),"I","II")</f>
        <v>II</v>
      </c>
      <c r="H14" s="106" t="s">
        <v>411</v>
      </c>
    </row>
    <row r="15" spans="2:15" x14ac:dyDescent="0.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x14ac:dyDescent="0.15">
      <c r="B16" s="114" t="s">
        <v>420</v>
      </c>
      <c r="C16" s="147">
        <f>Scenarios!C46</f>
        <v>2.38559171477595E-2</v>
      </c>
      <c r="E16" s="308" t="s">
        <v>398</v>
      </c>
      <c r="F16" s="311">
        <f>Scenarios!C41</f>
        <v>2.38559171477595E-2</v>
      </c>
    </row>
    <row r="17" spans="1:21" ht="13.25" customHeight="1" x14ac:dyDescent="0.15">
      <c r="B17" s="308" t="s">
        <v>547</v>
      </c>
      <c r="C17" s="306">
        <f>Normalized_FCF!C77</f>
        <v>0.4665778415257858</v>
      </c>
      <c r="E17" s="308" t="s">
        <v>548</v>
      </c>
      <c r="F17" s="311">
        <f>Scenarios!C40</f>
        <v>0.40406742273746776</v>
      </c>
      <c r="H17" s="106" t="s">
        <v>410</v>
      </c>
    </row>
    <row r="18" spans="1:21" ht="13.25" customHeight="1" x14ac:dyDescent="0.15">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x14ac:dyDescent="0.15">
      <c r="L19" s="275"/>
    </row>
    <row r="20" spans="1:21" ht="14" x14ac:dyDescent="0.2">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x14ac:dyDescent="0.15">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x14ac:dyDescent="0.15">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x14ac:dyDescent="0.15">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x14ac:dyDescent="0.15">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x14ac:dyDescent="0.15">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x14ac:dyDescent="0.15">
      <c r="G52" s="111"/>
      <c r="H52" s="111"/>
      <c r="I52" s="111"/>
      <c r="J52" s="468" t="s">
        <v>418</v>
      </c>
      <c r="K52" s="468"/>
      <c r="L52" s="317">
        <f>SUM(L21:L51)</f>
        <v>405304783322.55359</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405304783322.55359</v>
      </c>
      <c r="B55" s="123">
        <f>C94</f>
        <v>0</v>
      </c>
      <c r="C55" s="123">
        <f>C93</f>
        <v>0.01</v>
      </c>
      <c r="D55" s="123">
        <f>C92</f>
        <v>0.02</v>
      </c>
      <c r="E55" s="123">
        <f>C91</f>
        <v>0.03</v>
      </c>
      <c r="F55" s="123">
        <f>C90</f>
        <v>0.05</v>
      </c>
      <c r="G55" s="123"/>
      <c r="H55" s="123"/>
      <c r="I55" s="123"/>
      <c r="J55" s="123"/>
      <c r="K55" s="123"/>
      <c r="L55" s="123"/>
    </row>
    <row r="56" spans="1:21" x14ac:dyDescent="0.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x14ac:dyDescent="0.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x14ac:dyDescent="0.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x14ac:dyDescent="0.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x14ac:dyDescent="0.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x14ac:dyDescent="0.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x14ac:dyDescent="0.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x14ac:dyDescent="0.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x14ac:dyDescent="0.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x14ac:dyDescent="0.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x14ac:dyDescent="0.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x14ac:dyDescent="0.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x14ac:dyDescent="0.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x14ac:dyDescent="0.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0.05</v>
      </c>
      <c r="G72" s="124"/>
      <c r="H72" s="124"/>
      <c r="I72" s="124"/>
      <c r="J72" s="124"/>
      <c r="K72" s="124"/>
      <c r="L72" s="124"/>
    </row>
    <row r="73" spans="1:21" x14ac:dyDescent="0.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x14ac:dyDescent="0.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x14ac:dyDescent="0.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x14ac:dyDescent="0.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x14ac:dyDescent="0.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x14ac:dyDescent="0.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x14ac:dyDescent="0.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x14ac:dyDescent="0.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x14ac:dyDescent="0.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x14ac:dyDescent="0.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x14ac:dyDescent="0.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x14ac:dyDescent="0.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x14ac:dyDescent="0.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x14ac:dyDescent="0.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x14ac:dyDescent="0.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4" x14ac:dyDescent="0.2">
      <c r="B89" s="153" t="s">
        <v>101</v>
      </c>
      <c r="C89" s="153" t="s">
        <v>110</v>
      </c>
      <c r="D89" s="153" t="s">
        <v>99</v>
      </c>
      <c r="E89" s="154" t="s">
        <v>100</v>
      </c>
      <c r="F89" s="154" t="s">
        <v>455</v>
      </c>
      <c r="G89" s="323"/>
      <c r="H89" s="323"/>
      <c r="I89" s="323"/>
      <c r="J89" s="323"/>
      <c r="K89" s="323"/>
      <c r="L89" s="323"/>
    </row>
    <row r="90" spans="1:12" x14ac:dyDescent="0.15">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x14ac:dyDescent="0.15">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x14ac:dyDescent="0.15">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x14ac:dyDescent="0.15">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540</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 CNY</v>
      </c>
      <c r="D6" s="469"/>
      <c r="E6" s="469"/>
      <c r="F6" s="469"/>
      <c r="G6" s="469"/>
    </row>
    <row r="7" spans="2:7" ht="12.75" customHeight="1" x14ac:dyDescent="0.15">
      <c r="B7" s="97" t="s">
        <v>232</v>
      </c>
      <c r="C7" s="447">
        <f>Normalized_FCF!G8</f>
        <v>41020173396.499992</v>
      </c>
      <c r="D7" s="469"/>
      <c r="E7" s="469"/>
      <c r="F7" s="469"/>
      <c r="G7" s="469"/>
    </row>
    <row r="8" spans="2:7" x14ac:dyDescent="0.15">
      <c r="B8" s="97" t="s">
        <v>63</v>
      </c>
      <c r="C8" s="447">
        <f>Normalized_FCF!G19</f>
        <v>26458526825.471798</v>
      </c>
      <c r="D8" s="469"/>
      <c r="E8" s="469"/>
      <c r="F8" s="469"/>
      <c r="G8" s="469"/>
    </row>
    <row r="9" spans="2:7" x14ac:dyDescent="0.15">
      <c r="B9" s="97" t="s">
        <v>54</v>
      </c>
      <c r="C9" s="447">
        <f>Normalized_FCF!C19</f>
        <v>29802300540.048637</v>
      </c>
      <c r="D9" s="469"/>
      <c r="E9" s="469"/>
      <c r="F9" s="469"/>
      <c r="G9" s="469"/>
    </row>
    <row r="10" spans="2:7" x14ac:dyDescent="0.15">
      <c r="C10" s="448"/>
      <c r="D10" s="469"/>
      <c r="E10" s="469"/>
      <c r="F10" s="469"/>
      <c r="G10" s="469"/>
    </row>
    <row r="11" spans="2:7" x14ac:dyDescent="0.15">
      <c r="B11" s="145" t="s">
        <v>320</v>
      </c>
      <c r="C11" s="448"/>
      <c r="D11" s="469"/>
      <c r="E11" s="469"/>
      <c r="F11" s="469"/>
      <c r="G11" s="469"/>
    </row>
    <row r="12" spans="2:7" ht="14" x14ac:dyDescent="0.15">
      <c r="B12" s="114" t="s">
        <v>121</v>
      </c>
      <c r="C12" s="249" t="e">
        <f ca="1">(Normalized_FCF!G4/OFFSET(Normalized_FCF!G4, 0, $C$4))^(1/$C$4) - 1</f>
        <v>#VALUE!</v>
      </c>
      <c r="D12" s="469"/>
      <c r="E12" s="469"/>
      <c r="F12" s="469"/>
      <c r="G12" s="469"/>
    </row>
    <row r="13" spans="2:7" x14ac:dyDescent="0.15">
      <c r="B13" s="135" t="s">
        <v>127</v>
      </c>
      <c r="C13" s="249" t="e">
        <f ca="1">(Normalized_FCF!G8/OFFSET(Normalized_FCF!G8, 0, $C$4))^(1/$C$4) - 1</f>
        <v>#VALUE!</v>
      </c>
      <c r="D13" s="469"/>
      <c r="E13" s="469"/>
      <c r="F13" s="469"/>
      <c r="G13" s="469"/>
    </row>
    <row r="14" spans="2:7" x14ac:dyDescent="0.15">
      <c r="B14" s="97" t="s">
        <v>63</v>
      </c>
      <c r="C14" s="249" t="e">
        <f ca="1">(Normalized_FCF!G19/OFFSET(Normalized_FCF!G19, 0, $C$4))^(1/$C$4) - 1</f>
        <v>#VALUE!</v>
      </c>
      <c r="D14" s="469"/>
      <c r="E14" s="469"/>
      <c r="F14" s="469"/>
      <c r="G14" s="469"/>
    </row>
    <row r="16" spans="2:7" ht="16" x14ac:dyDescent="0.25">
      <c r="B16" s="34" t="s">
        <v>451</v>
      </c>
      <c r="C16" s="35"/>
      <c r="D16" s="35"/>
      <c r="E16" s="35"/>
      <c r="F16" s="35"/>
      <c r="G16" s="35"/>
    </row>
    <row r="17" spans="2:7" x14ac:dyDescent="0.15">
      <c r="B17" s="106" t="s">
        <v>126</v>
      </c>
      <c r="E17" s="222" t="s">
        <v>251</v>
      </c>
    </row>
    <row r="18" spans="2:7" ht="12.75" customHeight="1" x14ac:dyDescent="0.15">
      <c r="B18" s="139" t="s">
        <v>111</v>
      </c>
      <c r="C18" s="137">
        <v>5</v>
      </c>
      <c r="E18" s="450" t="s">
        <v>541</v>
      </c>
      <c r="F18" s="319"/>
    </row>
    <row r="19" spans="2:7" x14ac:dyDescent="0.15">
      <c r="E19" s="319"/>
      <c r="F19" s="319"/>
    </row>
    <row r="20" spans="2:7" x14ac:dyDescent="0.15">
      <c r="B20" s="106" t="s">
        <v>448</v>
      </c>
      <c r="E20" s="319"/>
      <c r="F20" s="319"/>
    </row>
    <row r="21" spans="2:7" ht="14" x14ac:dyDescent="0.2">
      <c r="B21" s="153" t="s">
        <v>434</v>
      </c>
      <c r="C21" s="153" t="s">
        <v>377</v>
      </c>
      <c r="D21" s="153" t="s">
        <v>446</v>
      </c>
      <c r="E21" s="154" t="str">
        <f>"Value per share ("&amp;Market_currency&amp;")"</f>
        <v>Value per share (CNY)</v>
      </c>
      <c r="F21" s="154" t="s">
        <v>447</v>
      </c>
      <c r="G21" s="154" t="s">
        <v>455</v>
      </c>
    </row>
    <row r="22" spans="2:7" x14ac:dyDescent="0.15">
      <c r="B22" s="302" t="s">
        <v>443</v>
      </c>
      <c r="C22" s="324">
        <v>0.03</v>
      </c>
      <c r="D22" s="325">
        <f>C18</f>
        <v>5</v>
      </c>
      <c r="E22" s="326">
        <f>DCF!E91</f>
        <v>137.65466955923245</v>
      </c>
      <c r="F22" s="328">
        <f>1-F23-F24</f>
        <v>0.19999999999999996</v>
      </c>
      <c r="G22" s="328">
        <f>F22*(1-F$29-F$30)</f>
        <v>0.15999999999999995</v>
      </c>
    </row>
    <row r="23" spans="2:7" x14ac:dyDescent="0.15">
      <c r="B23" s="302" t="s">
        <v>435</v>
      </c>
      <c r="C23" s="324">
        <v>0.02</v>
      </c>
      <c r="D23" s="325">
        <f>C18</f>
        <v>5</v>
      </c>
      <c r="E23" s="326">
        <f>DCF!E92</f>
        <v>133.19389700161545</v>
      </c>
      <c r="F23" s="327">
        <v>0.55000000000000004</v>
      </c>
      <c r="G23" s="328">
        <f t="shared" ref="G23:G24" si="0">F23*(1-F$29-F$30)</f>
        <v>0.44</v>
      </c>
    </row>
    <row r="24" spans="2:7" x14ac:dyDescent="0.15">
      <c r="B24" s="302" t="s">
        <v>444</v>
      </c>
      <c r="C24" s="324">
        <v>0.01</v>
      </c>
      <c r="D24" s="325">
        <f>C18</f>
        <v>5</v>
      </c>
      <c r="E24" s="326">
        <f>DCF!E93</f>
        <v>128.8927415566335</v>
      </c>
      <c r="F24" s="327">
        <v>0.25</v>
      </c>
      <c r="G24" s="328">
        <f t="shared" si="0"/>
        <v>0.19999999999999998</v>
      </c>
    </row>
    <row r="25" spans="2:7" x14ac:dyDescent="0.15">
      <c r="B25" s="141" t="s">
        <v>449</v>
      </c>
      <c r="C25" s="441">
        <f>E23*F23+E24*F24+E22*F22</f>
        <v>133.01076265189337</v>
      </c>
      <c r="D25" s="141" t="str">
        <f>Market_currency</f>
        <v>CNY</v>
      </c>
      <c r="G25" s="149"/>
    </row>
    <row r="27" spans="2:7" x14ac:dyDescent="0.15">
      <c r="B27" s="106" t="s">
        <v>450</v>
      </c>
    </row>
    <row r="28" spans="2:7" ht="14" x14ac:dyDescent="0.2">
      <c r="B28" s="153" t="s">
        <v>434</v>
      </c>
      <c r="C28" s="153" t="s">
        <v>377</v>
      </c>
      <c r="D28" s="153" t="s">
        <v>446</v>
      </c>
      <c r="E28" s="154" t="str">
        <f>"Value per share ("&amp;Market_currency&amp;")"</f>
        <v>Value per share (CNY)</v>
      </c>
      <c r="F28" s="154" t="s">
        <v>447</v>
      </c>
      <c r="G28" s="154" t="s">
        <v>455</v>
      </c>
    </row>
    <row r="29" spans="2:7" x14ac:dyDescent="0.15">
      <c r="B29" s="302" t="s">
        <v>442</v>
      </c>
      <c r="C29" s="324">
        <v>0.05</v>
      </c>
      <c r="D29" s="325">
        <f>C18</f>
        <v>5</v>
      </c>
      <c r="E29" s="326">
        <f>DCF!E90</f>
        <v>147.07344816810163</v>
      </c>
      <c r="F29" s="327">
        <v>0.15</v>
      </c>
      <c r="G29" s="328">
        <f>F29</f>
        <v>0.15</v>
      </c>
    </row>
    <row r="30" spans="2:7" x14ac:dyDescent="0.15">
      <c r="B30" s="315" t="s">
        <v>445</v>
      </c>
      <c r="C30" s="324">
        <v>0</v>
      </c>
      <c r="D30" s="325">
        <f>C18</f>
        <v>5</v>
      </c>
      <c r="E30" s="326">
        <f>DCF!E94</f>
        <v>124.74671663841393</v>
      </c>
      <c r="F30" s="327">
        <v>0.05</v>
      </c>
      <c r="G30" s="328">
        <f>F30</f>
        <v>0.05</v>
      </c>
    </row>
    <row r="31" spans="2:7" x14ac:dyDescent="0.15">
      <c r="E31" s="329"/>
      <c r="F31" s="329"/>
    </row>
    <row r="32" spans="2:7" x14ac:dyDescent="0.15">
      <c r="B32" s="145" t="s">
        <v>454</v>
      </c>
    </row>
    <row r="33" spans="2:7" x14ac:dyDescent="0.15">
      <c r="B33" s="97" t="s">
        <v>456</v>
      </c>
      <c r="C33" s="155">
        <f>Normalized_FCF!C88*(1-dividend_tax_rate)</f>
        <v>2.8521000000000001</v>
      </c>
      <c r="D33" t="str">
        <f>Market_currency</f>
        <v>CNY</v>
      </c>
      <c r="E33" s="97" t="s">
        <v>453</v>
      </c>
      <c r="F33" s="219">
        <f>Holding_Period</f>
        <v>3</v>
      </c>
    </row>
    <row r="34" spans="2:7" x14ac:dyDescent="0.15">
      <c r="B34" s="97" t="s">
        <v>233</v>
      </c>
      <c r="C34" s="146">
        <f>Market_Price</f>
        <v>106.06</v>
      </c>
      <c r="D34" t="str">
        <f>Market_currency</f>
        <v>CNY</v>
      </c>
      <c r="E34" s="97" t="s">
        <v>452</v>
      </c>
      <c r="F34" s="330">
        <f>RATE(Holding_Period,$C$33,-C34,$C$36)</f>
        <v>0.10787497156703298</v>
      </c>
    </row>
    <row r="35" spans="2:7" x14ac:dyDescent="0.15">
      <c r="B35" s="97" t="s">
        <v>432</v>
      </c>
      <c r="C35" s="320">
        <f>DCF!C11</f>
        <v>179.64719550176477</v>
      </c>
      <c r="D35" s="97" t="str">
        <f>Market_currency</f>
        <v>CNY</v>
      </c>
      <c r="E35" s="97" t="s">
        <v>452</v>
      </c>
      <c r="F35" s="330">
        <f>RATE(Holding_Period,$C$33,-C35,$C$36)</f>
        <v>-7.3996144898412761E-2</v>
      </c>
    </row>
    <row r="36" spans="2:7" x14ac:dyDescent="0.15">
      <c r="B36" s="97" t="s">
        <v>433</v>
      </c>
      <c r="C36" s="321">
        <f>E22*G22+E23*G23+E24*G24+E30*G30+E29*G29</f>
        <v>134.70696317865062</v>
      </c>
      <c r="D36" t="str">
        <f>Market_currency</f>
        <v>CNY</v>
      </c>
      <c r="E36" s="97" t="s">
        <v>458</v>
      </c>
      <c r="F36" s="331" t="s">
        <v>457</v>
      </c>
    </row>
    <row r="38" spans="2:7" ht="16" x14ac:dyDescent="0.25">
      <c r="B38" s="34" t="s">
        <v>409</v>
      </c>
      <c r="C38" s="35"/>
      <c r="D38" s="35"/>
      <c r="E38" s="35"/>
      <c r="F38" s="35"/>
      <c r="G38" s="35"/>
    </row>
    <row r="39" spans="2:7" x14ac:dyDescent="0.15">
      <c r="B39" s="414" t="str">
        <f>IF(DCF!F14="II","2","1")&amp;"-stage DCF"</f>
        <v>2-stage DCF</v>
      </c>
      <c r="E39" s="222" t="s">
        <v>251</v>
      </c>
    </row>
    <row r="40" spans="2:7" x14ac:dyDescent="0.15">
      <c r="B40" t="s">
        <v>548</v>
      </c>
      <c r="C40" s="126">
        <f>Normalized_FCF!E116</f>
        <v>0.40406742273746776</v>
      </c>
      <c r="E40" s="97" t="s">
        <v>399</v>
      </c>
    </row>
    <row r="41" spans="2:7" x14ac:dyDescent="0.15">
      <c r="B41" s="97" t="s">
        <v>398</v>
      </c>
      <c r="C41" s="455">
        <f>DCF!C16</f>
        <v>2.38559171477595E-2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5</v>
      </c>
      <c r="D45" s="137"/>
      <c r="E45" s="221" t="s">
        <v>307</v>
      </c>
    </row>
    <row r="46" spans="2:7" ht="14" x14ac:dyDescent="0.15">
      <c r="B46" s="114" t="s">
        <v>112</v>
      </c>
      <c r="C46" s="138">
        <v>2.38559171477595E-2</v>
      </c>
      <c r="D46" s="138"/>
      <c r="E46" s="221" t="s">
        <v>252</v>
      </c>
    </row>
    <row r="47" spans="2:7" x14ac:dyDescent="0.15">
      <c r="B47" s="97" t="s">
        <v>96</v>
      </c>
      <c r="C47" s="146">
        <f>DCF!I18</f>
        <v>134.89477814489302</v>
      </c>
      <c r="D47" s="146" t="str">
        <f>Market_currency</f>
        <v>CNY</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0.2262544978580209</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331</v>
      </c>
      <c r="C58" s="155">
        <f>C33</f>
        <v>2.8521000000000001</v>
      </c>
      <c r="D58" t="str">
        <f>Market_currency</f>
        <v>CNY</v>
      </c>
    </row>
    <row r="60" spans="2:7" x14ac:dyDescent="0.15">
      <c r="B60" s="106" t="s">
        <v>471</v>
      </c>
      <c r="E60" s="413"/>
    </row>
    <row r="61" spans="2:7" ht="14" x14ac:dyDescent="0.2">
      <c r="B61" s="153" t="s">
        <v>460</v>
      </c>
      <c r="C61" s="153" t="s">
        <v>103</v>
      </c>
      <c r="D61" s="153" t="s">
        <v>104</v>
      </c>
      <c r="E61" s="154" t="str">
        <f>"Buy below ("&amp;Market_currency&amp;")"</f>
        <v>Buy below (CNY)</v>
      </c>
      <c r="F61" s="154" t="s">
        <v>452</v>
      </c>
      <c r="G61" s="154" t="s">
        <v>459</v>
      </c>
    </row>
    <row r="62" spans="2:7" x14ac:dyDescent="0.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x14ac:dyDescent="0.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4" x14ac:dyDescent="0.2">
      <c r="B65" s="153" t="s">
        <v>461</v>
      </c>
      <c r="C65" s="153" t="s">
        <v>103</v>
      </c>
      <c r="D65" s="153" t="s">
        <v>104</v>
      </c>
      <c r="E65" s="154" t="str">
        <f>"Sell above ("&amp;Market_currency&amp;")"</f>
        <v>Sell above (CNY)</v>
      </c>
      <c r="F65" s="154" t="s">
        <v>452</v>
      </c>
      <c r="G65" s="154" t="s">
        <v>459</v>
      </c>
    </row>
    <row r="66" spans="2:7" x14ac:dyDescent="0.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x14ac:dyDescent="0.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332</v>
      </c>
      <c r="B2" s="345"/>
      <c r="C2" s="345"/>
      <c r="D2" s="345"/>
      <c r="E2" s="345"/>
      <c r="F2" s="345"/>
      <c r="G2" s="346"/>
      <c r="H2" s="346"/>
      <c r="I2" s="346"/>
      <c r="J2" s="346"/>
    </row>
    <row r="3" spans="1:10" x14ac:dyDescent="0.2">
      <c r="E3" s="435" t="s">
        <v>539</v>
      </c>
      <c r="F3" s="436">
        <f>Thesis!F3</f>
        <v>46066</v>
      </c>
    </row>
    <row r="4" spans="1:10" x14ac:dyDescent="0.2">
      <c r="B4" s="422" t="s">
        <v>531</v>
      </c>
      <c r="C4" s="423" t="str">
        <f>Thesis!C4</f>
        <v>五粮液</v>
      </c>
      <c r="D4" s="349"/>
      <c r="E4" s="434" t="s">
        <v>537</v>
      </c>
      <c r="F4" s="437" t="str">
        <f>Thesis!F4</f>
        <v>CN</v>
      </c>
    </row>
    <row r="5" spans="1:10" x14ac:dyDescent="0.2">
      <c r="B5" s="343" t="s">
        <v>362</v>
      </c>
      <c r="C5" s="355" t="str">
        <f>Thesis!C5</f>
        <v>000858.SZ</v>
      </c>
      <c r="E5" s="438" t="s">
        <v>538</v>
      </c>
      <c r="F5" s="439" t="str">
        <f>Thesis!F5</f>
        <v>N</v>
      </c>
    </row>
    <row r="6" spans="1:10" x14ac:dyDescent="0.2">
      <c r="B6" s="350" t="s">
        <v>334</v>
      </c>
      <c r="C6" s="352" t="str">
        <f>Thesis!C6</f>
        <v>CNS_01</v>
      </c>
      <c r="E6" s="354"/>
    </row>
    <row r="7" spans="1:10" x14ac:dyDescent="0.2">
      <c r="B7" s="343" t="s">
        <v>364</v>
      </c>
      <c r="C7" s="352" t="str">
        <f>Market_currency</f>
        <v>CNY</v>
      </c>
      <c r="D7" s="354"/>
      <c r="E7" s="354"/>
    </row>
    <row r="8" spans="1:10" x14ac:dyDescent="0.2">
      <c r="B8" s="351" t="s">
        <v>363</v>
      </c>
      <c r="C8" s="356">
        <f>Market_Price</f>
        <v>106.06</v>
      </c>
    </row>
    <row r="9" spans="1:10" x14ac:dyDescent="0.2">
      <c r="B9" s="351" t="s">
        <v>359</v>
      </c>
      <c r="C9" s="353">
        <f>Common_Shares</f>
        <v>3881608005</v>
      </c>
    </row>
    <row r="10" spans="1:10" x14ac:dyDescent="0.2">
      <c r="B10" s="351" t="s">
        <v>365</v>
      </c>
      <c r="C10" s="357">
        <f>投资主题!C8*Common_Shares/1000000</f>
        <v>411683.34501029999</v>
      </c>
      <c r="D10" s="343" t="s">
        <v>526</v>
      </c>
      <c r="E10" s="360">
        <f>Scenarios!F34</f>
        <v>0.10787497156703298</v>
      </c>
    </row>
    <row r="11" spans="1:10" x14ac:dyDescent="0.2">
      <c r="D11" s="349"/>
      <c r="E11" s="349"/>
    </row>
    <row r="12" spans="1:10" ht="24.5" customHeight="1" x14ac:dyDescent="0.2">
      <c r="B12" s="474" t="s">
        <v>495</v>
      </c>
      <c r="C12" s="474"/>
      <c r="D12" s="474"/>
      <c r="E12" s="474"/>
      <c r="F12" s="474"/>
    </row>
    <row r="14" spans="1:10" x14ac:dyDescent="0.2">
      <c r="B14" s="347" t="s">
        <v>368</v>
      </c>
      <c r="C14" s="348"/>
      <c r="D14" s="349"/>
    </row>
    <row r="15" spans="1:10" x14ac:dyDescent="0.2">
      <c r="B15" s="343" t="s">
        <v>335</v>
      </c>
      <c r="C15" s="358" t="str">
        <f>Thesis!C15</f>
        <v>N</v>
      </c>
      <c r="D15" s="351" t="s">
        <v>366</v>
      </c>
      <c r="E15" s="344" t="str">
        <f>IF(E17=C7,C7,E17&amp;"/"&amp;C7)</f>
        <v>CNY</v>
      </c>
    </row>
    <row r="16" spans="1:10" x14ac:dyDescent="0.2">
      <c r="B16" s="343" t="s">
        <v>336</v>
      </c>
      <c r="C16" s="358" t="str">
        <f>Thesis!C16</f>
        <v>N</v>
      </c>
      <c r="D16" s="351" t="s">
        <v>367</v>
      </c>
      <c r="E16" s="425">
        <f>Exchange_Rate</f>
        <v>1</v>
      </c>
    </row>
    <row r="17" spans="1:6" x14ac:dyDescent="0.2">
      <c r="B17" s="343" t="s">
        <v>532</v>
      </c>
      <c r="C17" s="424">
        <f>Terminal_Growth</f>
        <v>0.02</v>
      </c>
      <c r="D17" s="351" t="s">
        <v>337</v>
      </c>
      <c r="E17" s="344" t="str">
        <f>Reporting_currency</f>
        <v>CNY</v>
      </c>
    </row>
    <row r="18" spans="1:6" x14ac:dyDescent="0.2">
      <c r="B18" s="343" t="str">
        <f>"预期股权价值 ("&amp;C7&amp;") :"</f>
        <v>预期股权价值 (CNY) :</v>
      </c>
      <c r="C18" s="359">
        <f>C125</f>
        <v>134.70696317865062</v>
      </c>
      <c r="D18" s="350" t="s">
        <v>360</v>
      </c>
      <c r="E18" s="426">
        <f>Thesis!E18</f>
        <v>6</v>
      </c>
    </row>
    <row r="19" spans="1:6" x14ac:dyDescent="0.2">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x14ac:dyDescent="0.2">
      <c r="D20" s="349"/>
      <c r="E20" s="349"/>
    </row>
    <row r="21" spans="1:6" x14ac:dyDescent="0.2">
      <c r="B21" s="347" t="s">
        <v>491</v>
      </c>
      <c r="C21" s="361" t="str">
        <f>C138&amp;" ("&amp;Market_currency&amp;")"</f>
        <v xml:space="preserve"> (CNY)</v>
      </c>
      <c r="D21" s="362" t="s">
        <v>342</v>
      </c>
      <c r="E21" s="363">
        <f>Holding_Period</f>
        <v>3</v>
      </c>
    </row>
    <row r="22" spans="1:6" x14ac:dyDescent="0.2">
      <c r="B22" s="343" t="s">
        <v>338</v>
      </c>
      <c r="C22" s="364">
        <f>E140</f>
        <v>62.294573384207148</v>
      </c>
      <c r="D22" s="365" t="s">
        <v>438</v>
      </c>
      <c r="E22" s="366">
        <f>Thesis!E22</f>
        <v>0.32950289523458665</v>
      </c>
    </row>
    <row r="23" spans="1:6" x14ac:dyDescent="0.2">
      <c r="B23" s="343" t="s">
        <v>339</v>
      </c>
      <c r="C23" s="367">
        <f>E141</f>
        <v>78.83107675053482</v>
      </c>
      <c r="D23" s="365" t="s">
        <v>439</v>
      </c>
      <c r="E23" s="368">
        <f>Thesis!E23</f>
        <v>0.22621703288100403</v>
      </c>
    </row>
    <row r="24" spans="1:6" x14ac:dyDescent="0.2">
      <c r="B24" s="343" t="s">
        <v>341</v>
      </c>
      <c r="C24" s="367">
        <f>E144</f>
        <v>112.14039032279322</v>
      </c>
      <c r="D24" s="365" t="s">
        <v>441</v>
      </c>
      <c r="E24" s="368">
        <f>Thesis!E24</f>
        <v>8.6999999999999994E-2</v>
      </c>
    </row>
    <row r="25" spans="1:6" x14ac:dyDescent="0.2">
      <c r="B25" s="343" t="s">
        <v>340</v>
      </c>
      <c r="C25" s="367">
        <f>E145</f>
        <v>116.64459638273874</v>
      </c>
      <c r="D25" s="365" t="s">
        <v>440</v>
      </c>
      <c r="E25" s="368">
        <f>Thesis!E25</f>
        <v>7.2499999999999995E-2</v>
      </c>
    </row>
    <row r="27" spans="1:6" ht="16" x14ac:dyDescent="0.25">
      <c r="A27" s="345" t="s">
        <v>343</v>
      </c>
      <c r="B27" s="345"/>
      <c r="C27" s="345"/>
      <c r="D27" s="345"/>
      <c r="E27" s="345"/>
      <c r="F27" s="345"/>
    </row>
    <row r="29" spans="1:6" x14ac:dyDescent="0.2">
      <c r="B29" s="474" t="s">
        <v>496</v>
      </c>
      <c r="C29" s="474"/>
      <c r="D29" s="474"/>
      <c r="E29" s="474"/>
      <c r="F29" s="474"/>
    </row>
    <row r="30" spans="1:6" ht="24.5" customHeight="1" x14ac:dyDescent="0.2">
      <c r="B30" s="477" t="s">
        <v>497</v>
      </c>
      <c r="C30" s="477"/>
      <c r="D30" s="477"/>
      <c r="E30" s="477"/>
      <c r="F30" s="477"/>
    </row>
    <row r="32" spans="1:6" x14ac:dyDescent="0.2">
      <c r="B32" s="369" t="s">
        <v>369</v>
      </c>
      <c r="C32" s="370">
        <f>scaling_factor</f>
        <v>1</v>
      </c>
    </row>
    <row r="33" spans="2:6" x14ac:dyDescent="0.2">
      <c r="B33" s="470" t="s">
        <v>498</v>
      </c>
      <c r="C33" s="470"/>
      <c r="D33" s="470"/>
      <c r="E33" s="470"/>
      <c r="F33" s="470"/>
    </row>
    <row r="34" spans="2:6" x14ac:dyDescent="0.2">
      <c r="B34" s="372" t="s">
        <v>197</v>
      </c>
      <c r="C34" s="373">
        <f>Normalized_FCF!C8</f>
        <v>41439976411.299469</v>
      </c>
      <c r="D34" s="343" t="str">
        <f>Reporting_currency</f>
        <v>CNY</v>
      </c>
    </row>
    <row r="35" spans="2:6" x14ac:dyDescent="0.2">
      <c r="B35" s="372"/>
      <c r="C35" s="374"/>
    </row>
    <row r="36" spans="2:6" ht="24.5" customHeight="1" x14ac:dyDescent="0.2">
      <c r="B36" s="470" t="s">
        <v>499</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500</v>
      </c>
      <c r="C40" s="470"/>
      <c r="D40" s="470"/>
      <c r="E40" s="470"/>
      <c r="F40" s="470"/>
    </row>
    <row r="41" spans="2:6" x14ac:dyDescent="0.2">
      <c r="B41" s="372" t="s">
        <v>202</v>
      </c>
      <c r="C41" s="373">
        <f>Normalized_FCF!C9</f>
        <v>0</v>
      </c>
      <c r="D41" s="343" t="str">
        <f>Reporting_currency</f>
        <v>CNY</v>
      </c>
    </row>
    <row r="43" spans="2:6" x14ac:dyDescent="0.2">
      <c r="B43" s="470" t="s">
        <v>501</v>
      </c>
      <c r="C43" s="470"/>
      <c r="D43" s="470"/>
      <c r="E43" s="470"/>
      <c r="F43" s="470"/>
    </row>
    <row r="44" spans="2:6" x14ac:dyDescent="0.2">
      <c r="B44" s="372" t="s">
        <v>267</v>
      </c>
      <c r="C44" s="376">
        <f>Normalized_FCF!C46</f>
        <v>180108053.03773659</v>
      </c>
      <c r="D44" s="343" t="str">
        <f>Reporting_currency</f>
        <v>CNY</v>
      </c>
      <c r="E44" s="371"/>
      <c r="F44" s="371"/>
    </row>
    <row r="45" spans="2:6" x14ac:dyDescent="0.2">
      <c r="B45" s="372" t="s">
        <v>268</v>
      </c>
      <c r="C45" s="376">
        <f>Normalized_FCF!C45</f>
        <v>-12922244.854800001</v>
      </c>
      <c r="D45" s="343" t="str">
        <f>Reporting_currency</f>
        <v>CNY</v>
      </c>
      <c r="E45" s="371"/>
      <c r="F45" s="371"/>
    </row>
    <row r="46" spans="2:6" x14ac:dyDescent="0.2">
      <c r="B46" s="372" t="s">
        <v>203</v>
      </c>
      <c r="C46" s="373">
        <f>Normalized_FCF!C10</f>
        <v>167185808.18293661</v>
      </c>
      <c r="D46" s="343" t="str">
        <f>Reporting_currency</f>
        <v>CNY</v>
      </c>
    </row>
    <row r="48" spans="2:6" x14ac:dyDescent="0.2">
      <c r="B48" s="343" t="s">
        <v>502</v>
      </c>
    </row>
    <row r="49" spans="2:6" x14ac:dyDescent="0.2">
      <c r="B49" s="372" t="s">
        <v>223</v>
      </c>
      <c r="C49" s="373">
        <f>Normalized_FCF!C13</f>
        <v>-1403071124.5631666</v>
      </c>
      <c r="D49" s="343" t="str">
        <f>Reporting_currency</f>
        <v>CNY</v>
      </c>
    </row>
    <row r="51" spans="2:6" x14ac:dyDescent="0.2">
      <c r="B51" s="470" t="s">
        <v>503</v>
      </c>
      <c r="C51" s="470"/>
      <c r="D51" s="470"/>
      <c r="E51" s="470"/>
      <c r="F51" s="470"/>
    </row>
    <row r="52" spans="2:6" x14ac:dyDescent="0.2">
      <c r="B52" s="372" t="s">
        <v>494</v>
      </c>
      <c r="C52" s="373">
        <f>Normalized_FCF!C12</f>
        <v>-10401790554.870602</v>
      </c>
      <c r="D52" s="343" t="str">
        <f>Reporting_currency</f>
        <v>CNY</v>
      </c>
    </row>
    <row r="54" spans="2:6" x14ac:dyDescent="0.2">
      <c r="B54" s="470" t="s">
        <v>504</v>
      </c>
      <c r="C54" s="476"/>
      <c r="D54" s="476"/>
      <c r="E54" s="476"/>
      <c r="F54" s="476"/>
    </row>
    <row r="55" spans="2:6" x14ac:dyDescent="0.2">
      <c r="B55" s="372" t="s">
        <v>207</v>
      </c>
      <c r="C55" s="373">
        <f>Normalized_FCF!C17</f>
        <v>0</v>
      </c>
      <c r="D55" s="343" t="str">
        <f>Reporting_currency</f>
        <v>CNY</v>
      </c>
    </row>
    <row r="57" spans="2:6" x14ac:dyDescent="0.2">
      <c r="B57" s="474" t="s">
        <v>505</v>
      </c>
      <c r="C57" s="474"/>
      <c r="D57" s="474"/>
      <c r="E57" s="474"/>
      <c r="F57" s="474"/>
    </row>
    <row r="58" spans="2:6" x14ac:dyDescent="0.2">
      <c r="B58" s="474" t="s">
        <v>506</v>
      </c>
      <c r="C58" s="474"/>
      <c r="D58" s="474"/>
      <c r="E58" s="474"/>
      <c r="F58" s="474"/>
    </row>
    <row r="60" spans="2:6" x14ac:dyDescent="0.2">
      <c r="B60" s="372" t="s">
        <v>370</v>
      </c>
      <c r="C60" s="373">
        <f>Normalized_FCF!G19</f>
        <v>26458526825.471798</v>
      </c>
      <c r="D60" s="343" t="str">
        <f>Reporting_currency</f>
        <v>CNY</v>
      </c>
    </row>
    <row r="61" spans="2:6" x14ac:dyDescent="0.2">
      <c r="B61" s="372" t="s">
        <v>213</v>
      </c>
      <c r="C61" s="373">
        <f>Normalized_FCF!C19</f>
        <v>29802300540.048637</v>
      </c>
      <c r="D61" s="343" t="str">
        <f>Reporting_currency</f>
        <v>CNY</v>
      </c>
    </row>
    <row r="62" spans="2:6" x14ac:dyDescent="0.2">
      <c r="B62" s="377" t="s">
        <v>302</v>
      </c>
      <c r="C62" s="378">
        <f>Normalized_FCF!C124</f>
        <v>7.2391319447967964E-2</v>
      </c>
      <c r="F62" s="379"/>
    </row>
    <row r="63" spans="2:6" x14ac:dyDescent="0.2">
      <c r="B63" s="377" t="s">
        <v>330</v>
      </c>
      <c r="C63" s="378">
        <f>Normalized_FCF!C92</f>
        <v>2.6891382236469922E-2</v>
      </c>
      <c r="E63" s="372" t="s">
        <v>371</v>
      </c>
      <c r="F63" s="380">
        <f>Normalized_FCF!C90</f>
        <v>0.4127471888056104</v>
      </c>
    </row>
    <row r="65" spans="1:6" x14ac:dyDescent="0.2">
      <c r="B65" s="369" t="s">
        <v>374</v>
      </c>
      <c r="C65" s="381" t="s">
        <v>325</v>
      </c>
      <c r="D65" s="381" t="s">
        <v>372</v>
      </c>
    </row>
    <row r="66" spans="1:6" x14ac:dyDescent="0.2">
      <c r="B66" s="372" t="s">
        <v>324</v>
      </c>
      <c r="C66" s="378">
        <f>Normalized_FCF!E119</f>
        <v>0.25</v>
      </c>
      <c r="D66" s="378">
        <f>Normalized_FCF!G119</f>
        <v>0.26898198471339402</v>
      </c>
    </row>
    <row r="67" spans="1:6" x14ac:dyDescent="0.2">
      <c r="B67" s="382" t="str">
        <f>Normalized_FCF!B116</f>
        <v>Pre-tax Profit/Sales</v>
      </c>
      <c r="C67" s="383">
        <f>Normalized_FCF!E116</f>
        <v>0.40406742273746776</v>
      </c>
      <c r="D67" s="383">
        <f>Normalized_FCF!G116</f>
        <v>0.43474742930380028</v>
      </c>
    </row>
    <row r="68" spans="1:6" x14ac:dyDescent="0.2">
      <c r="B68" s="382" t="str">
        <f>Normalized_FCF!B117</f>
        <v>Sales/Total Assets</v>
      </c>
      <c r="C68" s="384">
        <f>Normalized_FCF!E117</f>
        <v>0.4610552539366265</v>
      </c>
      <c r="D68" s="384">
        <f>Normalized_FCF!G117</f>
        <v>0.4610552539366265</v>
      </c>
    </row>
    <row r="69" spans="1:6" x14ac:dyDescent="0.2">
      <c r="B69" s="382" t="str">
        <f>Normalized_FCF!B118</f>
        <v>Total Assets/Equity</v>
      </c>
      <c r="C69" s="384">
        <f>Normalized_FCF!E118</f>
        <v>1.3419403008261008</v>
      </c>
      <c r="D69" s="384">
        <f>Normalized_FCF!G118</f>
        <v>1.3419403008261008</v>
      </c>
    </row>
    <row r="71" spans="1:6" ht="16" x14ac:dyDescent="0.25">
      <c r="A71" s="345" t="s">
        <v>474</v>
      </c>
      <c r="B71" s="345"/>
      <c r="C71" s="345"/>
      <c r="D71" s="345"/>
      <c r="E71" s="345"/>
      <c r="F71" s="345"/>
    </row>
    <row r="72" spans="1:6" x14ac:dyDescent="0.2">
      <c r="A72" s="385"/>
    </row>
    <row r="73" spans="1:6" x14ac:dyDescent="0.2">
      <c r="A73" s="386"/>
      <c r="B73" s="474" t="s">
        <v>507</v>
      </c>
      <c r="C73" s="474"/>
      <c r="D73" s="474"/>
      <c r="E73" s="474"/>
      <c r="F73" s="474"/>
    </row>
    <row r="74" spans="1:6" x14ac:dyDescent="0.2">
      <c r="B74" s="477" t="s">
        <v>477</v>
      </c>
      <c r="C74" s="477"/>
      <c r="D74" s="477"/>
      <c r="E74" s="477"/>
      <c r="F74" s="477"/>
    </row>
    <row r="76" spans="1:6" x14ac:dyDescent="0.2">
      <c r="B76" s="369" t="s">
        <v>369</v>
      </c>
    </row>
    <row r="77" spans="1:6" x14ac:dyDescent="0.2">
      <c r="B77" s="474" t="s">
        <v>508</v>
      </c>
      <c r="C77" s="474"/>
      <c r="D77" s="474"/>
      <c r="E77" s="474"/>
      <c r="F77" s="474"/>
    </row>
    <row r="78" spans="1:6" x14ac:dyDescent="0.2">
      <c r="B78" s="343" t="s">
        <v>215</v>
      </c>
      <c r="C78" s="373">
        <f>DCF!F4</f>
        <v>-215370747.58000001</v>
      </c>
      <c r="D78" s="343" t="str">
        <f>Reporting_currency</f>
        <v>CNY</v>
      </c>
    </row>
    <row r="79" spans="1:6" x14ac:dyDescent="0.2">
      <c r="B79" s="372" t="s">
        <v>234</v>
      </c>
      <c r="C79" s="387">
        <f>C78*scaling_factor*Exchange_Rate/Common_Shares</f>
        <v>-5.5484929777189086E-2</v>
      </c>
      <c r="D79" s="343" t="str">
        <f>Market_currency</f>
        <v>CNY</v>
      </c>
    </row>
    <row r="80" spans="1:6" x14ac:dyDescent="0.2">
      <c r="B80" s="382" t="s">
        <v>308</v>
      </c>
      <c r="C80" s="388">
        <f>IF(BS!G31/BS!G27&gt;300%,"nm",BS!G31/BS!G27)</f>
        <v>1.4942693904035366E-3</v>
      </c>
    </row>
    <row r="81" spans="1:6" x14ac:dyDescent="0.2">
      <c r="B81" s="382" t="s">
        <v>310</v>
      </c>
      <c r="C81" s="389">
        <f>IF(BS!C50&gt;30,"nm",BS!C50)</f>
        <v>5.1971735080735887E-3</v>
      </c>
    </row>
    <row r="83" spans="1:6" x14ac:dyDescent="0.2">
      <c r="B83" s="343" t="s">
        <v>509</v>
      </c>
    </row>
    <row r="84" spans="1:6" x14ac:dyDescent="0.2">
      <c r="B84" s="343" t="s">
        <v>224</v>
      </c>
      <c r="C84" s="373">
        <f>DCF!F5</f>
        <v>118301937502.43723</v>
      </c>
      <c r="D84" s="343" t="str">
        <f>Reporting_currency</f>
        <v>CNY</v>
      </c>
    </row>
    <row r="85" spans="1:6" x14ac:dyDescent="0.2">
      <c r="B85" s="382" t="s">
        <v>479</v>
      </c>
      <c r="C85" s="390">
        <f>BS!C66</f>
        <v>148319946342.06</v>
      </c>
      <c r="D85" s="391" t="str">
        <f>Reporting_currency</f>
        <v>CNY</v>
      </c>
    </row>
    <row r="86" spans="1:6" x14ac:dyDescent="0.2">
      <c r="B86" s="372" t="s">
        <v>235</v>
      </c>
      <c r="C86" s="387">
        <f>C84*scaling_factor*Exchange_Rate/Common_Shares</f>
        <v>30.477559132722682</v>
      </c>
      <c r="D86" s="343" t="str">
        <f>Market_currency</f>
        <v>CNY</v>
      </c>
    </row>
    <row r="88" spans="1:6" x14ac:dyDescent="0.2">
      <c r="B88" s="343" t="s">
        <v>510</v>
      </c>
    </row>
    <row r="89" spans="1:6" x14ac:dyDescent="0.2">
      <c r="B89" s="343" t="s">
        <v>217</v>
      </c>
      <c r="C89" s="373">
        <f>DCF!F6</f>
        <v>217300602.50500003</v>
      </c>
      <c r="D89" s="343" t="str">
        <f>Reporting_currency</f>
        <v>CNY</v>
      </c>
    </row>
    <row r="90" spans="1:6" x14ac:dyDescent="0.2">
      <c r="B90" s="372" t="s">
        <v>236</v>
      </c>
      <c r="C90" s="387">
        <f>C89*scaling_factor*Exchange_Rate/Common_Shares</f>
        <v>5.5982109019017241E-2</v>
      </c>
      <c r="D90" s="343" t="str">
        <f>Market_currency</f>
        <v>CNY</v>
      </c>
    </row>
    <row r="92" spans="1:6" x14ac:dyDescent="0.2">
      <c r="B92" s="372" t="s">
        <v>478</v>
      </c>
      <c r="C92" s="387">
        <f>DCF!F8</f>
        <v>30.478056311964512</v>
      </c>
      <c r="D92" s="343" t="str">
        <f>Market_currency</f>
        <v>CNY</v>
      </c>
    </row>
    <row r="94" spans="1:6" ht="16" x14ac:dyDescent="0.25">
      <c r="A94" s="345" t="s">
        <v>480</v>
      </c>
      <c r="B94" s="345"/>
      <c r="C94" s="345"/>
      <c r="D94" s="345"/>
      <c r="E94" s="345"/>
      <c r="F94" s="345"/>
    </row>
    <row r="95" spans="1:6" x14ac:dyDescent="0.2">
      <c r="A95" s="385"/>
    </row>
    <row r="96" spans="1:6" x14ac:dyDescent="0.2">
      <c r="A96" s="385"/>
      <c r="B96" s="474" t="s">
        <v>511</v>
      </c>
      <c r="C96" s="474"/>
      <c r="D96" s="474"/>
      <c r="E96" s="474"/>
      <c r="F96" s="474"/>
    </row>
    <row r="97" spans="1:6" x14ac:dyDescent="0.2">
      <c r="A97" s="385"/>
      <c r="B97" s="477" t="s">
        <v>512</v>
      </c>
      <c r="C97" s="477"/>
      <c r="D97" s="477"/>
      <c r="E97" s="477"/>
      <c r="F97" s="477"/>
    </row>
    <row r="98" spans="1:6" x14ac:dyDescent="0.2">
      <c r="A98" s="385"/>
      <c r="B98" s="477" t="s">
        <v>513</v>
      </c>
      <c r="C98" s="477"/>
      <c r="D98" s="477"/>
      <c r="E98" s="477"/>
      <c r="F98" s="477"/>
    </row>
    <row r="99" spans="1:6" x14ac:dyDescent="0.2">
      <c r="A99" s="385"/>
    </row>
    <row r="100" spans="1:6" x14ac:dyDescent="0.2">
      <c r="A100" s="385"/>
      <c r="B100" s="369" t="s">
        <v>369</v>
      </c>
    </row>
    <row r="101" spans="1:6" x14ac:dyDescent="0.2">
      <c r="A101" s="385"/>
      <c r="B101" s="372" t="s">
        <v>212</v>
      </c>
      <c r="C101" s="368">
        <f>E25+C103</f>
        <v>7.2499999999999995E-2</v>
      </c>
    </row>
    <row r="102" spans="1:6" x14ac:dyDescent="0.2">
      <c r="A102" s="385"/>
      <c r="B102" s="382" t="s">
        <v>317</v>
      </c>
      <c r="C102" s="383">
        <f>E25</f>
        <v>7.2499999999999995E-2</v>
      </c>
    </row>
    <row r="103" spans="1:6" x14ac:dyDescent="0.2">
      <c r="A103" s="385"/>
      <c r="B103" s="382" t="s">
        <v>316</v>
      </c>
      <c r="C103" s="383">
        <f>IF(C15="Y",1%,0)+IF(C16="Y",1%,0)</f>
        <v>0</v>
      </c>
    </row>
    <row r="104" spans="1:6" x14ac:dyDescent="0.2">
      <c r="A104" s="385"/>
      <c r="B104" s="372" t="s">
        <v>532</v>
      </c>
      <c r="C104" s="368">
        <v>0</v>
      </c>
    </row>
    <row r="105" spans="1:6" x14ac:dyDescent="0.2">
      <c r="A105" s="385"/>
      <c r="C105" s="392"/>
    </row>
    <row r="106" spans="1:6" x14ac:dyDescent="0.2">
      <c r="A106" s="385"/>
      <c r="B106" s="393" t="s">
        <v>373</v>
      </c>
      <c r="C106" s="392"/>
    </row>
    <row r="107" spans="1:6" x14ac:dyDescent="0.2">
      <c r="A107" s="385"/>
      <c r="B107" s="474" t="s">
        <v>514</v>
      </c>
      <c r="C107" s="474"/>
      <c r="D107" s="474"/>
      <c r="E107" s="474"/>
      <c r="F107" s="474"/>
    </row>
    <row r="108" spans="1:6" x14ac:dyDescent="0.2">
      <c r="A108" s="385"/>
      <c r="B108" s="474" t="s">
        <v>533</v>
      </c>
      <c r="C108" s="474"/>
      <c r="D108" s="474"/>
      <c r="E108" s="474"/>
      <c r="F108" s="474"/>
    </row>
    <row r="109" spans="1:6" x14ac:dyDescent="0.2">
      <c r="A109" s="385"/>
    </row>
    <row r="110" spans="1:6" x14ac:dyDescent="0.2">
      <c r="A110" s="385"/>
      <c r="B110" s="369" t="s">
        <v>487</v>
      </c>
    </row>
    <row r="111" spans="1:6" x14ac:dyDescent="0.2">
      <c r="A111" s="385"/>
      <c r="B111" s="375" t="s">
        <v>484</v>
      </c>
      <c r="C111" s="394">
        <f>BS!D47</f>
        <v>24.855396491318039</v>
      </c>
      <c r="D111" s="343" t="str">
        <f>Market_currency</f>
        <v>CNY</v>
      </c>
    </row>
    <row r="112" spans="1:6" x14ac:dyDescent="0.2">
      <c r="A112" s="385"/>
      <c r="B112" s="372" t="s">
        <v>375</v>
      </c>
      <c r="C112" s="394">
        <f>DCF!C11</f>
        <v>179.64719550176477</v>
      </c>
      <c r="D112" s="343" t="str">
        <f>Market_currency</f>
        <v>CNY</v>
      </c>
    </row>
    <row r="113" spans="1:6" x14ac:dyDescent="0.2">
      <c r="A113" s="385"/>
    </row>
    <row r="114" spans="1:6" x14ac:dyDescent="0.2">
      <c r="A114" s="385"/>
      <c r="B114" s="474" t="s">
        <v>515</v>
      </c>
      <c r="C114" s="474"/>
      <c r="D114" s="474"/>
      <c r="E114" s="474"/>
      <c r="F114" s="474"/>
    </row>
    <row r="115" spans="1:6" x14ac:dyDescent="0.2">
      <c r="A115" s="385"/>
    </row>
    <row r="116" spans="1:6" x14ac:dyDescent="0.2">
      <c r="A116" s="385"/>
      <c r="B116" s="369" t="s">
        <v>488</v>
      </c>
    </row>
    <row r="117" spans="1:6" x14ac:dyDescent="0.2">
      <c r="A117" s="385"/>
      <c r="B117" s="342" t="s">
        <v>376</v>
      </c>
      <c r="C117" s="342" t="s">
        <v>377</v>
      </c>
      <c r="D117" s="342" t="s">
        <v>99</v>
      </c>
      <c r="E117" s="342" t="s">
        <v>378</v>
      </c>
      <c r="F117" s="342" t="s">
        <v>379</v>
      </c>
    </row>
    <row r="118" spans="1:6" x14ac:dyDescent="0.2">
      <c r="A118" s="385"/>
      <c r="B118" s="395" t="str">
        <f>DCF!B90</f>
        <v>Snowball Scenario</v>
      </c>
      <c r="C118" s="396">
        <f>DCF!C90</f>
        <v>0.05</v>
      </c>
      <c r="D118" s="397">
        <f>DCF!D90</f>
        <v>5</v>
      </c>
      <c r="E118" s="398" t="str">
        <f>ROUND(DCF!E90,2)&amp;" "&amp;Market_currency</f>
        <v>147.07 CNY</v>
      </c>
      <c r="F118" s="399">
        <f>DCF!F90</f>
        <v>0.15</v>
      </c>
    </row>
    <row r="119" spans="1:6" x14ac:dyDescent="0.2">
      <c r="A119" s="385"/>
      <c r="B119" s="400" t="str">
        <f>DCF!B91</f>
        <v>Optimistic</v>
      </c>
      <c r="C119" s="401">
        <f>DCF!C91</f>
        <v>0.03</v>
      </c>
      <c r="D119" s="402">
        <f>DCF!D91</f>
        <v>5</v>
      </c>
      <c r="E119" s="398" t="str">
        <f>ROUND(DCF!E91,2)&amp;" "&amp;Market_currency</f>
        <v>137.65 CNY</v>
      </c>
      <c r="F119" s="403">
        <f>DCF!F91</f>
        <v>0.15999999999999995</v>
      </c>
    </row>
    <row r="120" spans="1:6" x14ac:dyDescent="0.2">
      <c r="B120" s="400" t="str">
        <f>DCF!B92</f>
        <v>Base</v>
      </c>
      <c r="C120" s="401">
        <f>DCF!C92</f>
        <v>0.02</v>
      </c>
      <c r="D120" s="402">
        <f>DCF!D92</f>
        <v>5</v>
      </c>
      <c r="E120" s="398" t="str">
        <f>ROUND(DCF!E92,2)&amp;" "&amp;Market_currency</f>
        <v>133.19 CNY</v>
      </c>
      <c r="F120" s="403">
        <f>DCF!F92</f>
        <v>0.44</v>
      </c>
    </row>
    <row r="121" spans="1:6" x14ac:dyDescent="0.2">
      <c r="B121" s="400" t="str">
        <f>DCF!B93</f>
        <v>Pessimistic</v>
      </c>
      <c r="C121" s="401">
        <f>DCF!C93</f>
        <v>0.01</v>
      </c>
      <c r="D121" s="402">
        <f>DCF!D93</f>
        <v>5</v>
      </c>
      <c r="E121" s="398" t="str">
        <f>ROUND(DCF!E93,2)&amp;" "&amp;Market_currency</f>
        <v>128.89 CNY</v>
      </c>
      <c r="F121" s="403">
        <f>DCF!F93</f>
        <v>0.19999999999999998</v>
      </c>
    </row>
    <row r="122" spans="1:6" x14ac:dyDescent="0.2">
      <c r="B122" s="400" t="str">
        <f>DCF!B94</f>
        <v>Devil's advocate</v>
      </c>
      <c r="C122" s="401">
        <f>DCF!C94</f>
        <v>0</v>
      </c>
      <c r="D122" s="402">
        <f>DCF!D94</f>
        <v>5</v>
      </c>
      <c r="E122" s="398" t="str">
        <f>ROUND(DCF!E94,2)&amp;" "&amp;Market_currency</f>
        <v>124.75 CNY</v>
      </c>
      <c r="F122" s="403">
        <f>DCF!F94</f>
        <v>0.05</v>
      </c>
    </row>
    <row r="124" spans="1:6" x14ac:dyDescent="0.2">
      <c r="B124" s="470" t="s">
        <v>516</v>
      </c>
      <c r="C124" s="470"/>
      <c r="D124" s="470"/>
      <c r="E124" s="470"/>
      <c r="F124" s="470"/>
    </row>
    <row r="125" spans="1:6" x14ac:dyDescent="0.2">
      <c r="B125" s="372" t="s">
        <v>218</v>
      </c>
      <c r="C125" s="404">
        <f>Scenarios!C36</f>
        <v>134.70696317865062</v>
      </c>
      <c r="D125" s="343" t="str">
        <f>Market_currency</f>
        <v>CNY</v>
      </c>
    </row>
    <row r="127" spans="1:6" x14ac:dyDescent="0.2">
      <c r="B127" s="472" t="s">
        <v>517</v>
      </c>
      <c r="C127" s="472"/>
      <c r="D127" s="472"/>
      <c r="E127" s="472"/>
      <c r="F127" s="472"/>
    </row>
    <row r="129" spans="1:6" ht="16" x14ac:dyDescent="0.25">
      <c r="A129" s="345" t="s">
        <v>490</v>
      </c>
      <c r="B129" s="345"/>
      <c r="C129" s="345"/>
      <c r="D129" s="345"/>
      <c r="E129" s="345"/>
      <c r="F129" s="345"/>
    </row>
    <row r="131" spans="1:6" x14ac:dyDescent="0.2">
      <c r="B131" s="473" t="s">
        <v>518</v>
      </c>
      <c r="C131" s="473"/>
      <c r="D131" s="473"/>
      <c r="E131" s="473"/>
      <c r="F131" s="473"/>
    </row>
    <row r="132" spans="1:6" ht="24.5" customHeight="1" x14ac:dyDescent="0.2">
      <c r="B132" s="474" t="s">
        <v>519</v>
      </c>
      <c r="C132" s="474"/>
      <c r="D132" s="474"/>
      <c r="E132" s="474"/>
      <c r="F132" s="474"/>
    </row>
    <row r="134" spans="1:6" x14ac:dyDescent="0.2">
      <c r="B134" s="369" t="s">
        <v>369</v>
      </c>
    </row>
    <row r="135" spans="1:6" x14ac:dyDescent="0.2">
      <c r="B135" s="343" t="s">
        <v>380</v>
      </c>
      <c r="C135" s="405">
        <f>E21</f>
        <v>3</v>
      </c>
    </row>
    <row r="136" spans="1:6" x14ac:dyDescent="0.2">
      <c r="B136" s="343" t="s">
        <v>381</v>
      </c>
      <c r="C136" s="406">
        <f>Scenarios!C58</f>
        <v>2.8521000000000001</v>
      </c>
      <c r="D136" s="343" t="str">
        <f>Market_currency</f>
        <v>CNY</v>
      </c>
    </row>
    <row r="138" spans="1:6" x14ac:dyDescent="0.2">
      <c r="B138" s="369" t="s">
        <v>491</v>
      </c>
      <c r="C138" s="407"/>
      <c r="D138" s="407"/>
    </row>
    <row r="139" spans="1:6" x14ac:dyDescent="0.2">
      <c r="B139" s="340" t="s">
        <v>460</v>
      </c>
      <c r="C139" s="340" t="str">
        <f>"PV("&amp;Holding_Period&amp;" yrs of Dividends)"</f>
        <v>PV(3 yrs of Dividends)</v>
      </c>
      <c r="D139" s="340" t="s">
        <v>469</v>
      </c>
      <c r="E139" s="341" t="str">
        <f>"Buy below ("&amp;Market_currency&amp;")"</f>
        <v>Buy below (CNY)</v>
      </c>
      <c r="F139" s="341" t="s">
        <v>493</v>
      </c>
    </row>
    <row r="140" spans="1:6" x14ac:dyDescent="0.2">
      <c r="B140" s="408" t="s">
        <v>311</v>
      </c>
      <c r="C140" s="409">
        <f>Scenarios!C62</f>
        <v>4.9724613932919821</v>
      </c>
      <c r="D140" s="409">
        <f>Scenarios!D62</f>
        <v>57.322111990915168</v>
      </c>
      <c r="E140" s="410">
        <f>Scenarios!E62</f>
        <v>62.294573384207148</v>
      </c>
      <c r="F140" s="411">
        <f>E22</f>
        <v>0.32950289523458665</v>
      </c>
    </row>
    <row r="141" spans="1:6" x14ac:dyDescent="0.2">
      <c r="B141" s="408" t="s">
        <v>312</v>
      </c>
      <c r="C141" s="409">
        <f>Scenarios!C63</f>
        <v>5.7696729926225894</v>
      </c>
      <c r="D141" s="409">
        <f>Scenarios!D63</f>
        <v>73.061403757912231</v>
      </c>
      <c r="E141" s="410">
        <f>Scenarios!E63</f>
        <v>78.83107675053482</v>
      </c>
      <c r="F141" s="411">
        <f>Scenarios!F63</f>
        <v>0.22621703288100403</v>
      </c>
    </row>
    <row r="143" spans="1:6" x14ac:dyDescent="0.2">
      <c r="B143" s="340" t="s">
        <v>461</v>
      </c>
      <c r="C143" s="340" t="str">
        <f>"PV("&amp;Holding_Period&amp;" yrs of Dividends)"</f>
        <v>PV(3 yrs of Dividends)</v>
      </c>
      <c r="D143" s="340" t="s">
        <v>469</v>
      </c>
      <c r="E143" s="341" t="str">
        <f>"Sell above ("&amp;Market_currency&amp;")"</f>
        <v>Sell above (CNY)</v>
      </c>
      <c r="F143" s="341" t="s">
        <v>493</v>
      </c>
    </row>
    <row r="144" spans="1:6" x14ac:dyDescent="0.2">
      <c r="B144" s="408" t="s">
        <v>314</v>
      </c>
      <c r="C144" s="409">
        <f>Scenarios!C66</f>
        <v>7.2582809357033913</v>
      </c>
      <c r="D144" s="409">
        <f>Scenarios!D66</f>
        <v>104.88210938708983</v>
      </c>
      <c r="E144" s="410">
        <f>Scenarios!E66</f>
        <v>112.14039032279322</v>
      </c>
      <c r="F144" s="411">
        <f>E24</f>
        <v>8.6999999999999994E-2</v>
      </c>
    </row>
    <row r="145" spans="1:6" x14ac:dyDescent="0.2">
      <c r="B145" s="408" t="s">
        <v>313</v>
      </c>
      <c r="C145" s="409">
        <f>Scenarios!C67</f>
        <v>7.4507553854201589</v>
      </c>
      <c r="D145" s="409">
        <f>Scenarios!D67</f>
        <v>109.19384099731857</v>
      </c>
      <c r="E145" s="410">
        <f>Scenarios!E67</f>
        <v>116.64459638273874</v>
      </c>
      <c r="F145" s="411">
        <f>Scenarios!F67</f>
        <v>7.2499999999999995E-2</v>
      </c>
    </row>
    <row r="147" spans="1:6" ht="16" x14ac:dyDescent="0.25">
      <c r="A147" s="345" t="s">
        <v>473</v>
      </c>
      <c r="B147" s="345"/>
      <c r="C147" s="345"/>
      <c r="D147" s="345"/>
      <c r="E147" s="345"/>
      <c r="F147" s="345"/>
    </row>
    <row r="149" spans="1:6" x14ac:dyDescent="0.2">
      <c r="B149" s="475" t="s">
        <v>520</v>
      </c>
      <c r="C149" s="474"/>
      <c r="D149" s="474"/>
      <c r="E149" s="474"/>
      <c r="F149" s="474"/>
    </row>
    <row r="151" spans="1:6" x14ac:dyDescent="0.2">
      <c r="B151" s="369" t="s">
        <v>382</v>
      </c>
    </row>
    <row r="152" spans="1:6" x14ac:dyDescent="0.2">
      <c r="B152" s="476" t="s">
        <v>521</v>
      </c>
      <c r="C152" s="476"/>
      <c r="D152" s="476"/>
      <c r="E152" s="476"/>
      <c r="F152" s="476"/>
    </row>
    <row r="153" spans="1:6" x14ac:dyDescent="0.2">
      <c r="B153" s="412" t="s">
        <v>383</v>
      </c>
    </row>
    <row r="154" spans="1:6" x14ac:dyDescent="0.2">
      <c r="B154" s="412" t="s">
        <v>384</v>
      </c>
    </row>
    <row r="155" spans="1:6" x14ac:dyDescent="0.2">
      <c r="B155" s="412" t="s">
        <v>385</v>
      </c>
    </row>
    <row r="157" spans="1:6" x14ac:dyDescent="0.2">
      <c r="B157" s="343" t="s">
        <v>522</v>
      </c>
    </row>
    <row r="158" spans="1:6" ht="24.5" customHeight="1" x14ac:dyDescent="0.2">
      <c r="B158" s="470" t="s">
        <v>437</v>
      </c>
      <c r="C158" s="470"/>
      <c r="D158" s="470"/>
      <c r="E158" s="470"/>
      <c r="F158" s="470"/>
    </row>
    <row r="160" spans="1:6" x14ac:dyDescent="0.2">
      <c r="B160" s="343" t="s">
        <v>523</v>
      </c>
    </row>
    <row r="161" spans="2:6" x14ac:dyDescent="0.2">
      <c r="B161" s="471" t="s">
        <v>386</v>
      </c>
      <c r="C161" s="471"/>
      <c r="D161" s="471"/>
      <c r="E161" s="471"/>
      <c r="F161" s="471"/>
    </row>
    <row r="162" spans="2:6" x14ac:dyDescent="0.2">
      <c r="B162" s="471" t="s">
        <v>387</v>
      </c>
      <c r="C162" s="471"/>
      <c r="D162" s="471"/>
      <c r="E162" s="471"/>
      <c r="F162" s="471"/>
    </row>
    <row r="164" spans="2:6" x14ac:dyDescent="0.2">
      <c r="B164" s="343" t="s">
        <v>524</v>
      </c>
    </row>
    <row r="165" spans="2:6" x14ac:dyDescent="0.2">
      <c r="B165" s="412" t="s">
        <v>388</v>
      </c>
    </row>
    <row r="166" spans="2:6" x14ac:dyDescent="0.2">
      <c r="B166" s="412" t="s">
        <v>389</v>
      </c>
    </row>
    <row r="167" spans="2:6" x14ac:dyDescent="0.2">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