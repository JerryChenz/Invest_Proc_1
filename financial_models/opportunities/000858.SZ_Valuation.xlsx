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A97C9C-E348-4E40-8D1D-45E1FBC3403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23" i="3"/>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<sst xmlns="http://schemas.openxmlformats.org/spreadsheetml/2006/main" count="768" uniqueCount="557">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</sst>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101.34</v>
      </c>
      <c r="E8" s="32"/>
    </row>
    <row r="9" spans="1:9">
      <c r="B9" s="4" t="s">
        <v>344</v>
      </c>
      <c r="C9" s="48">
        <v>3881608005</v>
      </c>
    </row>
    <row r="10" spans="1:9">
      <c r="B10" s="4" t="s">
        <v>350</v>
      </c>
      <c r="C10" s="33">
        <f>Thesis!C8*Common_Shares/1000000</f>
        <v>393362.15522670001</v>
      </c>
      <c r="D10" s="1" t="s">
        <v>525</v>
      </c>
      <c r="E10" s="303">
        <f>Scenarios!F34</f>
        <v>0.1662777039253833</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0.01</v>
      </c>
      <c r="D17" s="4" t="s">
        <v>274</v>
      </c>
      <c r="E17" s="224" t="s">
        <v>554</v>
      </c>
    </row>
    <row r="18" spans="1:6">
      <c r="B18" s="1" t="str">
        <f>"Expected Equity Value ("&amp;C7&amp;") :"</f>
        <v>Expected Equity Value (CNY) :</v>
      </c>
      <c r="C18" s="252">
        <f>C125</f>
        <v>150.70538803259237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73.77572463932286</v>
      </c>
      <c r="D22" s="38" t="s">
        <v>404</v>
      </c>
      <c r="E22" s="79">
        <v>0.3</v>
      </c>
    </row>
    <row r="23" spans="1:6">
      <c r="B23" s="1" t="s">
        <v>312</v>
      </c>
      <c r="C23" s="256">
        <f>E141</f>
        <v>93.221662055898364</v>
      </c>
      <c r="D23" s="38" t="s">
        <v>405</v>
      </c>
      <c r="E23" s="443">
        <v>0.2</v>
      </c>
    </row>
    <row r="24" spans="1:6">
      <c r="B24" s="1" t="s">
        <v>314</v>
      </c>
      <c r="C24" s="256">
        <f>E144</f>
        <v>124.59667696127181</v>
      </c>
      <c r="D24" s="38" t="s">
        <v>406</v>
      </c>
      <c r="E24" s="443">
        <v>8.6999999999999994E-2</v>
      </c>
    </row>
    <row r="25" spans="1:6">
      <c r="B25" s="1" t="s">
        <v>313</v>
      </c>
      <c r="C25" s="256">
        <f>E145</f>
        <v>129.61296430141905</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7.5763009084778787E-2</v>
      </c>
      <c r="F62" s="257"/>
    </row>
    <row r="63" spans="2:6">
      <c r="B63" s="204" t="s">
        <v>330</v>
      </c>
      <c r="C63" s="89">
        <f>Normalized_FCF!C92</f>
        <v>2.8143872113676732E-2</v>
      </c>
      <c r="E63" s="44" t="s">
        <v>321</v>
      </c>
      <c r="F63" s="258">
        <f>Normalized_FCF!C90</f>
        <v>0.4127471888056104</v>
      </c>
    </row>
    <row r="65" spans="1:6">
      <c r="B65" s="192" t="s">
        <v>323</v>
      </c>
      <c r="C65" s="264" t="s">
        <v>325</v>
      </c>
      <c r="D65" s="264" t="s">
        <v>326</v>
      </c>
    </row>
    <row r="66" spans="1:6">
      <c r="B66" s="44" t="s">
        <v>324</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154.55168149689248</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355</v>
      </c>
      <c r="C124" s="463"/>
      <c r="D124" s="463"/>
      <c r="E124" s="463"/>
      <c r="F124" s="463"/>
    </row>
    <row r="125" spans="2:6">
      <c r="B125" s="193" t="s">
        <v>218</v>
      </c>
      <c r="C125" s="197">
        <f>Scenarios!C36</f>
        <v>150.70538803259237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68.595989090847667</v>
      </c>
      <c r="E140" s="334">
        <f>Scenarios!E62</f>
        <v>73.77572463932286</v>
      </c>
      <c r="F140" s="335">
        <f>E22</f>
        <v>0.3</v>
      </c>
    </row>
    <row r="141" spans="1:6">
      <c r="B141" s="336" t="s">
        <v>312</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117.33839602556841</v>
      </c>
      <c r="E144" s="334">
        <f>Scenarios!E66</f>
        <v>124.59667696127181</v>
      </c>
      <c r="F144" s="335">
        <f>E24</f>
        <v>8.6999999999999994E-2</v>
      </c>
    </row>
    <row r="145" spans="1:6">
      <c r="B145" s="336" t="s">
        <v>313</v>
      </c>
      <c r="C145" s="333">
        <f>Scenarios!C67</f>
        <v>7.4507553854201589</v>
      </c>
      <c r="D145" s="333">
        <f>Scenarios!D67</f>
        <v>122.16220891599889</v>
      </c>
      <c r="E145" s="334">
        <f>Scenarios!E67</f>
        <v>129.61296430141905</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2" activePane="bottomRight" state="frozen"/>
      <selection activeCell="C17" sqref="C17"/>
      <selection pane="topRight" activeCell="C17" sqref="C17"/>
      <selection pane="bottomLeft" activeCell="C17" sqref="C17"/>
      <selection pane="bottomRight" activeCell="G116" sqref="G1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2.8143872113676732E-2</v>
      </c>
      <c r="E92" s="237"/>
      <c r="G92" s="22">
        <f t="shared" ref="G92:Q92" si="38">IF(G$4="","",(G88*(1-dividend_tax_rate))/Market_Price)</f>
        <v>2.8143872113676732E-2</v>
      </c>
      <c r="H92" s="22">
        <f t="shared" si="38"/>
        <v>4.1474245115452932E-2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7.5763009084778787E-2</v>
      </c>
      <c r="D124" s="26"/>
      <c r="E124" s="234"/>
      <c r="F124" s="26"/>
      <c r="G124" s="74">
        <f t="shared" ref="G124" si="49">IF(G$4="","",G123/Market_Price)</f>
        <v>6.7262512353847018E-2</v>
      </c>
      <c r="H124" s="74">
        <f t="shared" ref="H124" si="50">IF(H$4="","",H123/Market_Price)</f>
        <v>6.4759408754654399E-2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8.4383970453868778E-2</v>
      </c>
      <c r="H125" s="22">
        <f>IF(H$4="","",(Data!D47*$C$3)/(Market_Price*Common_Shares))</f>
        <v>8.0131698393771877E-2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481605176727.18604</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599909044084.54822</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599909044084.54822</v>
      </c>
      <c r="D10" t="str">
        <f>Market_currency</f>
        <v>CNY</v>
      </c>
      <c r="H10" s="308" t="s">
        <v>395</v>
      </c>
      <c r="I10" s="306">
        <f>Normalized_FCF!C41</f>
        <v>0.25</v>
      </c>
      <c r="N10" s="304"/>
      <c r="O10" s="304"/>
    </row>
    <row r="11" spans="2:15" ht="13.15">
      <c r="B11" s="136" t="s">
        <v>423</v>
      </c>
      <c r="C11" s="108">
        <f>(C10*scaling_factor)/Common_Shares</f>
        <v>154.55168149689248</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0.01</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0.4665778415257858</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164.84370370396726</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418</v>
      </c>
      <c r="K52" s="468"/>
      <c r="L52" s="317">
        <f>SUM(L21:L51)</f>
        <v>521554772513.8053</v>
      </c>
    </row>
    <row r="53" spans="1:21">
      <c r="C53" s="111"/>
    </row>
    <row r="54" spans="1:21" ht="13.15">
      <c r="B54" s="115" t="s">
        <v>108</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30" sqref="C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0.02</v>
      </c>
      <c r="D22" s="325">
        <f>C18</f>
        <v>15</v>
      </c>
      <c r="E22" s="326">
        <f>DCF!E91</f>
        <v>159.7656868981214</v>
      </c>
      <c r="F22" s="328">
        <f>1-F23-F24</f>
        <v>0.19999999999999996</v>
      </c>
      <c r="G22" s="328">
        <f>F22*(1-F$29-F$30)</f>
        <v>0.15999999999999995</v>
      </c>
    </row>
    <row r="23" spans="2:7">
      <c r="B23" s="302" t="s">
        <v>435</v>
      </c>
      <c r="C23" s="324">
        <v>0.01</v>
      </c>
      <c r="D23" s="325">
        <f>C18</f>
        <v>15</v>
      </c>
      <c r="E23" s="326">
        <f>DCF!E92</f>
        <v>147.59819590738326</v>
      </c>
      <c r="F23" s="327">
        <v>0.55000000000000004</v>
      </c>
      <c r="G23" s="328">
        <f t="shared" ref="G23:G24" si="0">F23*(1-F$29-F$30)</f>
        <v>0.44</v>
      </c>
    </row>
    <row r="24" spans="2:7">
      <c r="B24" s="302" t="s">
        <v>444</v>
      </c>
      <c r="C24" s="324">
        <v>0</v>
      </c>
      <c r="D24" s="325">
        <f>C18</f>
        <v>15</v>
      </c>
      <c r="E24" s="326">
        <f>DCF!E93</f>
        <v>136.74969792948104</v>
      </c>
      <c r="F24" s="327">
        <v>0.25</v>
      </c>
      <c r="G24" s="328">
        <f t="shared" si="0"/>
        <v>0.19999999999999998</v>
      </c>
    </row>
    <row r="25" spans="2:7">
      <c r="B25" s="141" t="s">
        <v>449</v>
      </c>
      <c r="C25" s="441">
        <f>E23*F23+E24*F24+E22*F22</f>
        <v>147.31956961105533</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0.03</v>
      </c>
      <c r="D29" s="325">
        <f>C18</f>
        <v>15</v>
      </c>
      <c r="E29" s="326">
        <f>DCF!E90</f>
        <v>173.41498298182717</v>
      </c>
      <c r="F29" s="327">
        <v>0.15</v>
      </c>
      <c r="G29" s="328">
        <f>F29</f>
        <v>0.15</v>
      </c>
    </row>
    <row r="30" spans="2:7">
      <c r="B30" s="315" t="s">
        <v>445</v>
      </c>
      <c r="C30" s="324">
        <v>0</v>
      </c>
      <c r="D30" s="325">
        <f>C18</f>
        <v>15</v>
      </c>
      <c r="E30" s="326">
        <f>DCF!E94</f>
        <v>136.74969792948104</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101.34</v>
      </c>
      <c r="D34" t="str">
        <f>Market_currency</f>
        <v>CNY</v>
      </c>
      <c r="E34" s="97" t="s">
        <v>452</v>
      </c>
      <c r="F34" s="330">
        <f>RATE(Holding_Period,$C$33,-C34,$C$36)</f>
        <v>0.1662777039253833</v>
      </c>
    </row>
    <row r="35" spans="2:7">
      <c r="B35" s="97" t="s">
        <v>432</v>
      </c>
      <c r="C35" s="320">
        <f>DCF!C11</f>
        <v>154.55168149689248</v>
      </c>
      <c r="D35" s="97" t="str">
        <f>Market_currency</f>
        <v>CNY</v>
      </c>
      <c r="E35" s="97" t="s">
        <v>452</v>
      </c>
      <c r="F35" s="330">
        <f>RATE(Holding_Period,$C$33,-C35,$C$36)</f>
        <v>1.0242821335361347E-2</v>
      </c>
    </row>
    <row r="36" spans="2:7">
      <c r="B36" s="97" t="s">
        <v>433</v>
      </c>
      <c r="C36" s="321">
        <f>E22*G22+E23*G23+E24*G24+E30*G30+E29*G29</f>
        <v>150.70538803259237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0.4665778415257858</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164.84370370396726</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0.20223600967321193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312</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313</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101.34</v>
      </c>
    </row>
    <row r="9" spans="1:10">
      <c r="B9" s="351" t="s">
        <v>359</v>
      </c>
      <c r="C9" s="353">
        <f>Common_Shares</f>
        <v>3881608005</v>
      </c>
    </row>
    <row r="10" spans="1:10">
      <c r="B10" s="351" t="s">
        <v>365</v>
      </c>
      <c r="C10" s="357">
        <f>投资主题!C8*Common_Shares/1000000</f>
        <v>393362.15522670001</v>
      </c>
      <c r="D10" s="343" t="s">
        <v>526</v>
      </c>
      <c r="E10" s="360">
        <f>Scenarios!F34</f>
        <v>0.1662777039253833</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0.01</v>
      </c>
      <c r="D17" s="351" t="s">
        <v>337</v>
      </c>
      <c r="E17" s="344" t="str">
        <f>Reporting_currency</f>
        <v>CNY</v>
      </c>
    </row>
    <row r="18" spans="1:6">
      <c r="B18" s="343" t="str">
        <f>"预期股权价值 ("&amp;C7&amp;") :"</f>
        <v>预期股权价值 (CNY) :</v>
      </c>
      <c r="C18" s="359">
        <f>C125</f>
        <v>150.70538803259237</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73.77572463932286</v>
      </c>
      <c r="D22" s="365" t="s">
        <v>438</v>
      </c>
      <c r="E22" s="366">
        <f>Thesis!E22</f>
        <v>0.3</v>
      </c>
    </row>
    <row r="23" spans="1:6">
      <c r="B23" s="343" t="s">
        <v>339</v>
      </c>
      <c r="C23" s="367">
        <f>E141</f>
        <v>93.221662055898364</v>
      </c>
      <c r="D23" s="365" t="s">
        <v>439</v>
      </c>
      <c r="E23" s="368">
        <f>Thesis!E23</f>
        <v>0.2</v>
      </c>
    </row>
    <row r="24" spans="1:6">
      <c r="B24" s="343" t="s">
        <v>341</v>
      </c>
      <c r="C24" s="367">
        <f>E144</f>
        <v>124.59667696127181</v>
      </c>
      <c r="D24" s="365" t="s">
        <v>441</v>
      </c>
      <c r="E24" s="368">
        <f>Thesis!E24</f>
        <v>8.6999999999999994E-2</v>
      </c>
    </row>
    <row r="25" spans="1:6">
      <c r="B25" s="343" t="s">
        <v>340</v>
      </c>
      <c r="C25" s="367">
        <f>E145</f>
        <v>129.61296430141905</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7.5763009084778787E-2</v>
      </c>
      <c r="F62" s="379"/>
    </row>
    <row r="63" spans="2:6">
      <c r="B63" s="377" t="s">
        <v>330</v>
      </c>
      <c r="C63" s="378">
        <f>Normalized_FCF!C92</f>
        <v>2.8143872113676732E-2</v>
      </c>
      <c r="E63" s="372" t="s">
        <v>371</v>
      </c>
      <c r="F63" s="380">
        <f>Normalized_FCF!C90</f>
        <v>0.4127471888056104</v>
      </c>
    </row>
    <row r="65" spans="1:6">
      <c r="B65" s="369" t="s">
        <v>374</v>
      </c>
      <c r="C65" s="381" t="s">
        <v>325</v>
      </c>
      <c r="D65" s="381" t="s">
        <v>372</v>
      </c>
    </row>
    <row r="66" spans="1:6">
      <c r="B66" s="372" t="s">
        <v>324</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154.55168149689248</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516</v>
      </c>
      <c r="C124" s="470"/>
      <c r="D124" s="470"/>
      <c r="E124" s="470"/>
      <c r="F124" s="470"/>
    </row>
    <row r="125" spans="1:6">
      <c r="B125" s="372" t="s">
        <v>218</v>
      </c>
      <c r="C125" s="404">
        <f>Scenarios!C36</f>
        <v>150.70538803259237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68.595989090847667</v>
      </c>
      <c r="E140" s="410">
        <f>Scenarios!E62</f>
        <v>73.77572463932286</v>
      </c>
      <c r="F140" s="411">
        <f>E22</f>
        <v>0.3</v>
      </c>
    </row>
    <row r="141" spans="1:6">
      <c r="B141" s="408" t="s">
        <v>312</v>
      </c>
      <c r="C141" s="409">
        <f>Scenarios!C63</f>
        <v>6.0078958333333334</v>
      </c>
      <c r="D141" s="409">
        <f>Scenarios!D63</f>
        <v>87.213766222565027</v>
      </c>
      <c r="E141" s="410">
        <f>Scenarios!E63</f>
        <v>93.221662055898364</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117.33839602556841</v>
      </c>
      <c r="E144" s="410">
        <f>Scenarios!E66</f>
        <v>124.59667696127181</v>
      </c>
      <c r="F144" s="411">
        <f>E24</f>
        <v>8.6999999999999994E-2</v>
      </c>
    </row>
    <row r="145" spans="1:6">
      <c r="B145" s="408" t="s">
        <v>313</v>
      </c>
      <c r="C145" s="409">
        <f>Scenarios!C67</f>
        <v>7.4507553854201589</v>
      </c>
      <c r="D145" s="409">
        <f>Scenarios!D67</f>
        <v>122.16220891599889</v>
      </c>
      <c r="E145" s="410">
        <f>Scenarios!E67</f>
        <v>129.61296430141905</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