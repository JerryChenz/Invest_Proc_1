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9C9D076-B930-4A70-AF8A-1BA5CFDE174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C23" i="3"/>
  <c r="C4" i="3"/>
  <c r="C5" i="4"/>
  <c r="D5" i="4"/>
  <c r="C6" i="4"/>
  <c r="D6" i="4"/>
  <c r="C12"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<sst xmlns="http://schemas.openxmlformats.org/spreadsheetml/2006/main" count="768" uniqueCount="557">
  <si>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</si>
  <si>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</si>
  <si>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</si>
  <si>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</si>
  <si>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</si>
  <si>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</si>
  <si>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</si>
  <si>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</si>
  <si>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</si>
  <si>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</si>
  <si>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</si>
  <si>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</si>
  <si>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</si>
  <si>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</si>
  <si>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</si>
  <si>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</si>
  <si>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</si>
  <si>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</si>
  <si>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</si>
  <si>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</si>
  <si>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</si>
  <si>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</si>
  <si>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</si>
  <si>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</si>
  <si>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</si>
  <si>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</si>
  <si>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</si>
  <si>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</si>
  <si>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</si>
  <si>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</si>
  <si>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</si>
  <si>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</si>
  <si>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</si>
  <si>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</si>
  <si>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</si>
  <si>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</si>
  <si>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</si>
  <si>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</si>
  <si>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</si>
  <si>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</si>
  <si>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</si>
  <si>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</si>
  <si>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</si>
  <si>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</si>
  <si>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</si>
  <si>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</si>
  <si>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</si>
  <si>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</si>
  <si>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</si>
  <si>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</si>
  <si>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</si>
  <si>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</si>
  <si>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</si>
  <si>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</si>
  <si>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</si>
  <si>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</si>
  <si>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</si>
  <si>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</si>
  <si>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</si>
  <si>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</si>
  <si>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</si>
  <si>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</si>
  <si>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</si>
  <si>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</si>
  <si>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</si>
  <si>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</si>
  <si>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</si>
  <si>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</si>
  <si>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</si>
  <si>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</si>
  <si>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</si>
  <si>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</si>
  <si>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</si>
  <si>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</si>
  <si>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</si>
  <si>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</si>
  <si>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</si>
  <si>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</si>
  <si>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</si>
  <si>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</si>
  <si>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</si>
  <si>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</si>
  <si>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</si>
  <si>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</si>
  <si>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</si>
  <si>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</si>
  <si>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</si>
  <si>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</si>
  <si>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</si>
  <si>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</si>
  <si>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</si>
  <si>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</si>
  <si>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</si>
  <si>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</si>
  <si>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</si>
  <si>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</si>
  <si>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</si>
  <si>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</si>
  <si>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</si>
  <si>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</si>
  <si>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</si>
  <si>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</si>
  <si>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</si>
  <si>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</si>
  <si>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</si>
  <si>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</si>
  <si>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</si>
  <si>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</si>
  <si>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</si>
  <si>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</si>
  <si>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</si>
  <si>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</si>
  <si>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</si>
  <si>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</si>
  <si>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</si>
  <si>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</si>
  <si>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</si>
  <si>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</si>
  <si>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</si>
  <si>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</si>
  <si>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</si>
  <si>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</si>
  <si>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</si>
  <si>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</si>
  <si>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</si>
  <si>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</si>
  <si>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</si>
  <si>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</si>
  <si>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</si>
  <si>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</si>
  <si>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</si>
  <si>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</si>
  <si>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</si>
  <si>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</si>
  <si>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</si>
  <si>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</si>
  <si>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</si>
  <si>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</si>
  <si>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</si>
  <si>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</si>
  <si>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</si>
  <si>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</si>
  <si>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</si>
  <si>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</si>
  <si>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</si>
  <si>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</si>
  <si>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</si>
  <si>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</si>
  <si>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</si>
  <si>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</si>
  <si>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</si>
  <si>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</si>
  <si>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</si>
  <si>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</si>
  <si>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</si>
  <si>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</si>
  <si>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</si>
  <si>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</si>
  <si>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</si>
  <si>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</si>
  <si>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</si>
  <si>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</si>
  <si>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</si>
  <si>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</si>
  <si>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</si>
  <si>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</si>
  <si>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</si>
  <si>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</si>
  <si>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</si>
  <si>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</si>
  <si>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</si>
  <si>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</si>
  <si>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</si>
  <si>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</si>
  <si>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</si>
  <si>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</si>
  <si>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</si>
  <si>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</si>
  <si>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</si>
  <si>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</si>
  <si>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</si>
  <si>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</si>
  <si>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</si>
  <si>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</si>
  <si>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</si>
  <si>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</si>
  <si>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</si>
  <si>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</si>
  <si>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</si>
  <si>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</si>
  <si>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</si>
  <si>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</si>
  <si>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</si>
  <si>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</si>
  <si>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</si>
  <si>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</si>
  <si>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</si>
  <si>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</si>
  <si>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</si>
  <si>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</si>
  <si>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</si>
  <si>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</si>
  <si>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</si>
  <si>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</si>
  <si>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</si>
  <si>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</si>
  <si>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</si>
  <si>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</si>
  <si>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</si>
  <si>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</si>
  <si>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</si>
  <si>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</si>
  <si>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</si>
  <si>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</si>
  <si>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</si>
  <si>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</si>
  <si>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</si>
  <si>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</si>
  <si>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</si>
  <si>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</si>
  <si>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</si>
  <si>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</si>
  <si>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</si>
  <si>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</si>
  <si>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</si>
  <si>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</si>
  <si>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</si>
  <si>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</si>
  <si>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</si>
  <si>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</si>
  <si>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</si>
  <si>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</si>
  <si>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</si>
  <si>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</si>
  <si>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</si>
  <si>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</si>
  <si>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</si>
  <si>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</si>
  <si>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</si>
  <si>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</si>
  <si>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</si>
  <si>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</si>
  <si>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</si>
  <si>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</si>
  <si>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</si>
  <si>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</si>
  <si>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</si>
  <si>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</si>
  <si>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</si>
  <si>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</si>
  <si>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</si>
  <si>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</si>
  <si>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</si>
  <si>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</si>
  <si>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</si>
  <si>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</si>
  <si>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</si>
  <si>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</si>
  <si>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</si>
  <si>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</si>
  <si>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</si>
  <si>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</si>
  <si>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</si>
  <si>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</si>
  <si>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</si>
  <si>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</si>
  <si>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</si>
  <si>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</si>
  <si>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</si>
  <si>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</si>
  <si>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</si>
  <si>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</si>
  <si>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</si>
  <si>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</si>
  <si>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</si>
  <si>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</si>
  <si>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</si>
  <si>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</si>
  <si>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</si>
  <si>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</si>
  <si>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</si>
  <si>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</si>
  <si>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</si>
  <si>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</si>
  <si>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</si>
  <si>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</si>
  <si>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</si>
  <si>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</si>
  <si>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</si>
  <si>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</si>
  <si>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</si>
  <si>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</si>
  <si>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</si>
  <si>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</si>
  <si>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</si>
  <si>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</si>
  <si>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</si>
  <si>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</si>
  <si>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</si>
  <si>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</si>
  <si>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</si>
  <si>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</si>
  <si>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</si>
  <si>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</si>
  <si>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</si>
  <si>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</si>
  <si>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</si>
  <si>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</si>
  <si>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</si>
  <si>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</si>
  <si>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</si>
  <si>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</si>
  <si>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</si>
  <si>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</si>
  <si>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</si>
  <si>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</si>
  <si>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</si>
  <si>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</si>
  <si>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</si>
  <si>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</si>
  <si>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</si>
  <si>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</si>
  <si>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</si>
  <si>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</si>
  <si>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</si>
  <si>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</si>
  <si>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</si>
  <si>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</si>
  <si>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</si>
  <si>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</si>
  <si>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</si>
  <si>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</si>
  <si>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</si>
  <si>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</si>
  <si>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</si>
  <si>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</si>
  <si>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</si>
  <si>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</si>
  <si>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</si>
  <si>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</si>
  <si>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</si>
  <si>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</si>
  <si>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</si>
  <si>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</si>
  <si>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</si>
  <si>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</si>
  <si>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</si>
  <si>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</si>
  <si>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</si>
  <si>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</si>
  <si>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</si>
  <si>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</si>
  <si>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</si>
  <si>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</si>
  <si>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</si>
  <si>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</si>
  <si>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</si>
  <si>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</si>
  <si>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</si>
  <si>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</si>
  <si>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</si>
  <si>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</si>
  <si>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</si>
  <si>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</si>
  <si>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</si>
  <si>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</si>
  <si>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</si>
  <si>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</si>
  <si>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</si>
  <si>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</si>
  <si>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</si>
  <si>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</si>
  <si>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</si>
  <si>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</si>
  <si>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</si>
  <si>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</si>
  <si>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</si>
  <si>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</si>
  <si>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</si>
  <si>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</si>
  <si>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</si>
  <si>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</si>
  <si>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</si>
  <si>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</si>
  <si>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</si>
  <si>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</si>
  <si>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</si>
  <si>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</si>
  <si>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</si>
  <si>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</si>
  <si>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</si>
  <si>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</si>
  <si>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</si>
  <si>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</si>
  <si>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</si>
  <si>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</si>
  <si>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</si>
  <si>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</si>
  <si>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</si>
  <si>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</si>
  <si>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</si>
  <si>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</si>
  <si>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</si>
  <si>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</si>
  <si>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</si>
  <si>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</si>
  <si>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</si>
  <si>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</si>
  <si>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</si>
  <si>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</si>
  <si>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</si>
  <si>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</si>
  <si>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</si>
  <si>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</si>
  <si>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</si>
  <si>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</si>
  <si>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</si>
  <si>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</si>
  <si>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</si>
  <si>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</si>
  <si>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</si>
  <si>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</si>
  <si>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</si>
  <si>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</si>
  <si>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</si>
  <si>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</si>
  <si>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</si>
  <si>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</si>
  <si>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</si>
  <si>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</si>
  <si>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</si>
  <si>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</si>
  <si>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</si>
  <si>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</si>
  <si>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</si>
  <si>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</si>
  <si>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</si>
  <si>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</si>
  <si>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</si>
  <si>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</si>
  <si>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</si>
  <si>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</si>
  <si>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</si>
  <si>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</si>
  <si>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</si>
  <si>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</si>
  <si>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</si>
  <si>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</si>
  <si>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</si>
  <si>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</si>
  <si>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</si>
  <si>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</si>
  <si>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</si>
  <si>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</si>
  <si>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</si>
  <si>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</si>
  <si>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</si>
  <si>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</si>
  <si>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</si>
  <si>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</si>
  <si>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</si>
  <si>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</si>
  <si>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</si>
  <si>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</si>
  <si>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</si>
  <si>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</si>
  <si>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</si>
  <si>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</si>
  <si>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</si>
  <si>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</si>
  <si>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</si>
  <si>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</si>
  <si>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</si>
  <si>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</si>
  <si>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</si>
  <si>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</si>
  <si>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</si>
  <si>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</si>
  <si>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</si>
  <si>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</si>
  <si>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</si>
  <si>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</si>
  <si>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</si>
  <si>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</si>
  <si>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</si>
  <si>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</si>
  <si>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</si>
  <si>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</si>
  <si>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</si>
  <si>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</si>
  <si>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</si>
  <si>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</si>
  <si>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</si>
  <si>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</si>
  <si>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</si>
  <si>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</si>
  <si>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</si>
  <si>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</si>
  <si>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</si>
  <si>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</si>
  <si>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</si>
  <si>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</si>
  <si>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</si>
  <si>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</si>
  <si>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</si>
  <si>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</si>
  <si>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</si>
  <si>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</si>
  <si>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</si>
  <si>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</si>
  <si>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</si>
  <si>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</si>
  <si>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</si>
  <si>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</si>
  <si>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</si>
  <si>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</si>
  <si>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</si>
  <si>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</si>
  <si>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</si>
  <si>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</si>
  <si>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</si>
  <si>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</si>
  <si>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</si>
  <si>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</si>
  <si>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</si>
  <si>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</si>
  <si>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</si>
  <si>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</si>
  <si>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</si>
  <si>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</si>
  <si>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</si>
  <si>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</si>
  <si>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</si>
  <si>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</si>
  <si>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</si>
  <si>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</si>
  <si>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</si>
  <si>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</si>
  <si>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</si>
  <si>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</si>
  <si>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</si>
  <si>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</si>
  <si>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</si>
  <si>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</si>
  <si>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</si>
  <si>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</si>
  <si>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</si>
  <si>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</si>
  <si>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</si>
  <si>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</si>
  <si>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</si>
  <si>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</si>
  <si>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</si>
  <si>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</si>
  <si>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五粮液</t>
  </si>
  <si>
    <t>000858.SZ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</si>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</sst>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46066</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101.27</v>
      </c>
      <c r="E8" s="32"/>
    </row>
    <row r="9" spans="1:9">
      <c r="B9" s="4" t="s">
        <v>343</v>
      </c>
      <c r="C9" s="48">
        <v>3881608005</v>
      </c>
    </row>
    <row r="10" spans="1:9">
      <c r="B10" s="4" t="s">
        <v>349</v>
      </c>
      <c r="C10" s="33">
        <f>Thesis!C8*Common_Shares/1000000</f>
        <v>393090.44266634999</v>
      </c>
      <c r="D10" s="1" t="s">
        <v>524</v>
      </c>
      <c r="E10" s="303">
        <f>Scenarios!F34</f>
        <v>0.16655268298421899</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0.01</v>
      </c>
      <c r="D17" s="4" t="s">
        <v>273</v>
      </c>
      <c r="E17" s="224" t="s">
        <v>556</v>
      </c>
    </row>
    <row r="18" spans="1:6">
      <c r="B18" s="1" t="str">
        <f>"Expected Equity Value ("&amp;C7&amp;") :"</f>
        <v>Expected Equity Value (CNY) :</v>
      </c>
      <c r="C18" s="252">
        <f>C125</f>
        <v>150.70538803259237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73.77572463932286</v>
      </c>
      <c r="D22" s="38" t="s">
        <v>403</v>
      </c>
      <c r="E22" s="79">
        <v>0.3</v>
      </c>
    </row>
    <row r="23" spans="1:6">
      <c r="B23" s="1" t="s">
        <v>311</v>
      </c>
      <c r="C23" s="256">
        <f>E141</f>
        <v>93.221662055898364</v>
      </c>
      <c r="D23" s="38" t="s">
        <v>404</v>
      </c>
      <c r="E23" s="443">
        <v>0.2</v>
      </c>
    </row>
    <row r="24" spans="1:6">
      <c r="B24" s="1" t="s">
        <v>313</v>
      </c>
      <c r="C24" s="256">
        <f>E144</f>
        <v>124.59667696127181</v>
      </c>
      <c r="D24" s="38" t="s">
        <v>405</v>
      </c>
      <c r="E24" s="443">
        <v>8.6999999999999994E-2</v>
      </c>
    </row>
    <row r="25" spans="1:6">
      <c r="B25" s="1" t="s">
        <v>312</v>
      </c>
      <c r="C25" s="256">
        <f>E145</f>
        <v>129.61296430141905</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41439976411.299469</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180108053.03773659</v>
      </c>
      <c r="D44" s="1" t="str">
        <f>Reporting_currency</f>
        <v>CNY</v>
      </c>
      <c r="E44" s="244"/>
      <c r="F44" s="244"/>
    </row>
    <row r="45" spans="2:6">
      <c r="B45" s="44" t="s">
        <v>267</v>
      </c>
      <c r="C45" s="286">
        <f>Normalized_FCF!C45</f>
        <v>-12922244.854800001</v>
      </c>
      <c r="D45" s="1" t="str">
        <f>Reporting_currency</f>
        <v>CNY</v>
      </c>
      <c r="E45" s="244"/>
      <c r="F45" s="244"/>
    </row>
    <row r="46" spans="2:6">
      <c r="B46" s="44" t="s">
        <v>202</v>
      </c>
      <c r="C46" s="285">
        <f>Normalized_FCF!C10</f>
        <v>167185808.18293661</v>
      </c>
      <c r="D46" s="1" t="str">
        <f>Reporting_currency</f>
        <v>CNY</v>
      </c>
    </row>
    <row r="48" spans="2:6">
      <c r="B48" s="1" t="s">
        <v>210</v>
      </c>
    </row>
    <row r="49" spans="2:6">
      <c r="B49" s="44" t="s">
        <v>222</v>
      </c>
      <c r="C49" s="285">
        <f>Normalized_FCF!C13</f>
        <v>-1403071124.5631666</v>
      </c>
      <c r="D49" s="1" t="str">
        <f>Reporting_currency</f>
        <v>CNY</v>
      </c>
    </row>
    <row r="51" spans="2:6">
      <c r="B51" s="461" t="s">
        <v>205</v>
      </c>
      <c r="C51" s="461"/>
      <c r="D51" s="461"/>
      <c r="E51" s="461"/>
      <c r="F51" s="461"/>
    </row>
    <row r="52" spans="2:6">
      <c r="B52" s="44" t="s">
        <v>203</v>
      </c>
      <c r="C52" s="285">
        <f>Normalized_FCF!C12</f>
        <v>-10401790554.870602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26458526825.471798</v>
      </c>
      <c r="D60" s="1" t="str">
        <f>Reporting_currency</f>
        <v>CNY</v>
      </c>
    </row>
    <row r="61" spans="2:6">
      <c r="B61" s="44" t="s">
        <v>212</v>
      </c>
      <c r="C61" s="285">
        <f>Normalized_FCF!C19</f>
        <v>29802300540.048637</v>
      </c>
      <c r="D61" s="1" t="str">
        <f>Reporting_currency</f>
        <v>CNY</v>
      </c>
    </row>
    <row r="62" spans="2:6">
      <c r="B62" s="204" t="s">
        <v>301</v>
      </c>
      <c r="C62" s="89">
        <f>Normalized_FCF!C124</f>
        <v>7.5815378104586578E-2</v>
      </c>
      <c r="F62" s="257"/>
    </row>
    <row r="63" spans="2:6">
      <c r="B63" s="204" t="s">
        <v>329</v>
      </c>
      <c r="C63" s="89">
        <f>Normalized_FCF!C92</f>
        <v>2.8163325762812285E-2</v>
      </c>
      <c r="E63" s="44" t="s">
        <v>320</v>
      </c>
      <c r="F63" s="258">
        <f>Normalized_FCF!C90</f>
        <v>0.4127471888056104</v>
      </c>
    </row>
    <row r="65" spans="1:6">
      <c r="B65" s="192" t="s">
        <v>322</v>
      </c>
      <c r="C65" s="264" t="s">
        <v>324</v>
      </c>
      <c r="D65" s="264" t="s">
        <v>325</v>
      </c>
    </row>
    <row r="66" spans="1:6">
      <c r="B66" s="44" t="s">
        <v>323</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-215370747.58000001</v>
      </c>
      <c r="D78" s="1" t="str">
        <f>Reporting_currency</f>
        <v>CNY</v>
      </c>
    </row>
    <row r="79" spans="1:6">
      <c r="A79" s="191"/>
      <c r="B79" s="44" t="s">
        <v>233</v>
      </c>
      <c r="C79" s="201">
        <f>C78*scaling_factor*Exchange_Rate/Common_Shares</f>
        <v>-5.5484929777189086E-2</v>
      </c>
      <c r="D79" s="1" t="str">
        <f>Market_currency</f>
        <v>CNY</v>
      </c>
    </row>
    <row r="80" spans="1:6">
      <c r="A80" s="191"/>
      <c r="B80" s="229" t="s">
        <v>307</v>
      </c>
      <c r="C80" s="337">
        <f>IF(BS!G31/BS!G27&gt;300%,"nm",BS!G31/BS!G27)</f>
        <v>1.4942693904035366E-3</v>
      </c>
    </row>
    <row r="81" spans="1:6">
      <c r="A81" s="191"/>
      <c r="B81" s="229" t="s">
        <v>309</v>
      </c>
      <c r="C81" s="338">
        <f>IF(BS!C50&gt;30,"nm",BS!C50)</f>
        <v>5.1971735080735887E-3</v>
      </c>
    </row>
    <row r="82" spans="1:6">
      <c r="A82" s="191"/>
    </row>
    <row r="83" spans="1:6">
      <c r="A83" s="191"/>
      <c r="B83" s="1" t="s">
        <v>463</v>
      </c>
    </row>
    <row r="84" spans="1:6">
      <c r="A84" s="191"/>
      <c r="B84" s="1" t="s">
        <v>223</v>
      </c>
      <c r="C84" s="285">
        <f>DCF!F5</f>
        <v>118301937502.43723</v>
      </c>
      <c r="D84" s="1" t="str">
        <f>Reporting_currency</f>
        <v>CNY</v>
      </c>
    </row>
    <row r="85" spans="1:6">
      <c r="A85" s="191"/>
      <c r="B85" s="229" t="s">
        <v>221</v>
      </c>
      <c r="C85" s="291">
        <f>BS!C66</f>
        <v>148319946342.06</v>
      </c>
      <c r="D85" s="339" t="str">
        <f>Reporting_currency</f>
        <v>CNY</v>
      </c>
    </row>
    <row r="86" spans="1:6">
      <c r="A86" s="191"/>
      <c r="B86" s="44" t="s">
        <v>234</v>
      </c>
      <c r="C86" s="201">
        <f>C84*scaling_factor*Exchange_Rate/Common_Shares</f>
        <v>30.477559132722682</v>
      </c>
      <c r="D86" s="1" t="str">
        <f>Market_currency</f>
        <v>CNY</v>
      </c>
    </row>
    <row r="87" spans="1:6">
      <c r="A87" s="191"/>
    </row>
    <row r="88" spans="1:6">
      <c r="A88" s="191"/>
      <c r="B88" s="1" t="s">
        <v>215</v>
      </c>
    </row>
    <row r="89" spans="1:6">
      <c r="A89" s="191"/>
      <c r="B89" s="1" t="s">
        <v>216</v>
      </c>
      <c r="C89" s="285">
        <f>DCF!F6</f>
        <v>217300602.50500003</v>
      </c>
      <c r="D89" s="1" t="str">
        <f>Reporting_currency</f>
        <v>CNY</v>
      </c>
    </row>
    <row r="90" spans="1:6">
      <c r="A90" s="191"/>
      <c r="B90" s="44" t="s">
        <v>235</v>
      </c>
      <c r="C90" s="201">
        <f>C89*scaling_factor*Exchange_Rate/Common_Shares</f>
        <v>5.5982109019017241E-2</v>
      </c>
      <c r="D90" s="1" t="str">
        <f>Market_currency</f>
        <v>CNY</v>
      </c>
    </row>
    <row r="91" spans="1:6">
      <c r="A91" s="191"/>
    </row>
    <row r="92" spans="1:6">
      <c r="A92" s="191"/>
      <c r="B92" s="44" t="s">
        <v>466</v>
      </c>
      <c r="C92" s="216">
        <f>DCF!F8</f>
        <v>30.478056311964512</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24.855396491318039</v>
      </c>
      <c r="D111" s="1" t="str">
        <f>Market_currency</f>
        <v>CNY</v>
      </c>
    </row>
    <row r="112" spans="2:6">
      <c r="B112" s="44" t="s">
        <v>321</v>
      </c>
      <c r="C112" s="216">
        <f>DCF!C11</f>
        <v>154.55168149689248</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1" t="s">
        <v>354</v>
      </c>
      <c r="C124" s="461"/>
      <c r="D124" s="461"/>
      <c r="E124" s="461"/>
      <c r="F124" s="461"/>
    </row>
    <row r="125" spans="2:6">
      <c r="B125" s="193" t="s">
        <v>217</v>
      </c>
      <c r="C125" s="197">
        <f>Scenarios!C36</f>
        <v>150.70538803259237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2.8521000000000001</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5.179735548475195</v>
      </c>
      <c r="D140" s="333">
        <f>Scenarios!D62</f>
        <v>68.595989090847667</v>
      </c>
      <c r="E140" s="334">
        <f>Scenarios!E62</f>
        <v>73.77572463932286</v>
      </c>
      <c r="F140" s="335">
        <f>E22</f>
        <v>0.3</v>
      </c>
    </row>
    <row r="141" spans="1:6">
      <c r="B141" s="336" t="s">
        <v>311</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7.2582809357033913</v>
      </c>
      <c r="D144" s="333">
        <f>Scenarios!D66</f>
        <v>117.33839602556841</v>
      </c>
      <c r="E144" s="334">
        <f>Scenarios!E66</f>
        <v>124.59667696127181</v>
      </c>
      <c r="F144" s="335">
        <f>E24</f>
        <v>8.6999999999999994E-2</v>
      </c>
    </row>
    <row r="145" spans="1:6">
      <c r="B145" s="336" t="s">
        <v>312</v>
      </c>
      <c r="C145" s="333">
        <f>Scenarios!C67</f>
        <v>7.4507553854201589</v>
      </c>
      <c r="D145" s="333">
        <f>Scenarios!D67</f>
        <v>122.16220891599889</v>
      </c>
      <c r="E145" s="334">
        <f>Scenarios!E67</f>
        <v>129.61296430141905</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89175178322.699997</v>
      </c>
      <c r="D4" s="287">
        <v>83272067317.190002</v>
      </c>
      <c r="E4" s="287"/>
      <c r="F4" s="287"/>
      <c r="G4" s="287"/>
      <c r="H4" s="287"/>
      <c r="I4" s="287"/>
      <c r="J4" s="287"/>
      <c r="K4" s="287"/>
      <c r="L4" s="287"/>
      <c r="M4" s="287"/>
    </row>
    <row r="5" spans="2:13">
      <c r="B5" s="38" t="s">
        <v>39</v>
      </c>
      <c r="C5" s="287">
        <f>20461423083.74+13040913970.28</f>
        <v>33502337054.020004</v>
      </c>
      <c r="D5" s="287">
        <f>20157143952.21+12531695628.42</f>
        <v>32688839580.629997</v>
      </c>
      <c r="E5" s="287"/>
      <c r="F5" s="287"/>
      <c r="G5" s="287"/>
      <c r="H5" s="287"/>
      <c r="I5" s="287"/>
      <c r="J5" s="287"/>
      <c r="K5" s="287"/>
      <c r="L5" s="287"/>
      <c r="M5" s="287"/>
    </row>
    <row r="6" spans="2:13">
      <c r="B6" s="38" t="s">
        <v>50</v>
      </c>
      <c r="C6" s="287">
        <f>3555238122.5+C7</f>
        <v>14247614239.91</v>
      </c>
      <c r="D6" s="287">
        <f>3319445339.77+D7</f>
        <v>11115743757.9</v>
      </c>
      <c r="E6" s="287"/>
      <c r="F6" s="287"/>
      <c r="G6" s="287"/>
      <c r="H6" s="287"/>
      <c r="I6" s="287"/>
      <c r="J6" s="287"/>
      <c r="K6" s="287"/>
      <c r="L6" s="287"/>
      <c r="M6" s="287"/>
    </row>
    <row r="7" spans="2:13">
      <c r="B7" s="66" t="s">
        <v>57</v>
      </c>
      <c r="C7" s="288">
        <v>10692376117.41</v>
      </c>
      <c r="D7" s="288">
        <v>7796298418.1300001</v>
      </c>
      <c r="E7" s="288"/>
      <c r="F7" s="288"/>
      <c r="G7" s="288"/>
      <c r="H7" s="288"/>
      <c r="I7" s="288"/>
      <c r="J7" s="288"/>
      <c r="K7" s="288"/>
      <c r="L7" s="288"/>
      <c r="M7" s="288"/>
    </row>
    <row r="8" spans="2:13">
      <c r="B8" s="38" t="s">
        <v>45</v>
      </c>
      <c r="C8" s="287">
        <v>405053632.26999998</v>
      </c>
      <c r="D8" s="287">
        <v>321845165.27999997</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2833530840.46</f>
        <v>2833530840.46</v>
      </c>
      <c r="D12" s="287">
        <v>2473170676.27</v>
      </c>
      <c r="E12" s="287"/>
      <c r="F12" s="287"/>
      <c r="G12" s="287"/>
      <c r="H12" s="287"/>
      <c r="I12" s="287"/>
      <c r="J12" s="287"/>
      <c r="K12" s="287"/>
      <c r="L12" s="287"/>
      <c r="M12" s="287"/>
    </row>
    <row r="13" spans="2:13">
      <c r="B13" s="38" t="s">
        <v>63</v>
      </c>
      <c r="C13" s="287">
        <v>2875863410.1100001</v>
      </c>
      <c r="D13" s="287">
        <v>2487953643.3299999</v>
      </c>
      <c r="E13" s="287"/>
      <c r="F13" s="287"/>
      <c r="G13" s="287"/>
      <c r="H13" s="287"/>
      <c r="I13" s="287"/>
      <c r="J13" s="287"/>
      <c r="K13" s="287"/>
      <c r="L13" s="287"/>
      <c r="M13" s="287"/>
    </row>
    <row r="14" spans="2:13">
      <c r="B14" s="38" t="s">
        <v>46</v>
      </c>
      <c r="C14" s="287">
        <v>10969864757.690001</v>
      </c>
      <c r="D14" s="287">
        <v>10391904361.49</v>
      </c>
      <c r="E14" s="287"/>
      <c r="F14" s="287"/>
      <c r="G14" s="287"/>
      <c r="H14" s="287"/>
      <c r="I14" s="287"/>
      <c r="J14" s="287"/>
      <c r="K14" s="287"/>
      <c r="L14" s="287"/>
      <c r="M14" s="287"/>
    </row>
    <row r="15" spans="2:13">
      <c r="B15" s="41" t="s">
        <v>38</v>
      </c>
      <c r="C15" s="289">
        <v>33193460484.32</v>
      </c>
      <c r="D15" s="289">
        <v>31520777582.150002</v>
      </c>
      <c r="E15" s="289"/>
      <c r="F15" s="289"/>
      <c r="G15" s="289"/>
      <c r="H15" s="289"/>
      <c r="I15" s="289"/>
      <c r="J15" s="289"/>
      <c r="K15" s="289"/>
      <c r="L15" s="289"/>
      <c r="M15" s="289"/>
    </row>
    <row r="16" spans="2:13">
      <c r="B16" s="27" t="s">
        <v>40</v>
      </c>
      <c r="C16" s="287">
        <v>1340287950.3399999</v>
      </c>
      <c r="D16" s="287">
        <v>1310192312.8499999</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33939755192.779999</v>
      </c>
      <c r="D22" s="287">
        <v>41742479908.230003</v>
      </c>
      <c r="E22" s="287"/>
      <c r="F22" s="287"/>
      <c r="G22" s="287"/>
      <c r="H22" s="287"/>
      <c r="I22" s="287"/>
      <c r="J22" s="287"/>
      <c r="K22" s="287"/>
      <c r="L22" s="287"/>
      <c r="M22" s="287"/>
    </row>
    <row r="23" spans="2:13">
      <c r="B23" s="26" t="s">
        <v>287</v>
      </c>
      <c r="C23" s="287">
        <v>-2642221739.0500002</v>
      </c>
      <c r="D23" s="287">
        <v>-2931832324.46</v>
      </c>
      <c r="E23" s="287"/>
      <c r="F23" s="287"/>
      <c r="G23" s="287"/>
      <c r="H23" s="287"/>
      <c r="I23" s="287"/>
      <c r="J23" s="287"/>
      <c r="K23" s="287"/>
      <c r="L23" s="287"/>
      <c r="M23" s="287"/>
    </row>
    <row r="24" spans="2:13">
      <c r="B24" s="26" t="s">
        <v>286</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25</v>
      </c>
      <c r="C27" s="94" t="s">
        <v>543</v>
      </c>
    </row>
    <row r="28" spans="2:13">
      <c r="B28" s="25" t="s">
        <v>21</v>
      </c>
      <c r="C28" s="270">
        <f>BS!C4</f>
        <v>4016935090.9299998</v>
      </c>
      <c r="D28" s="287">
        <f>42647461.48+14086450565.79+39624933.74</f>
        <v>14168722961.01</v>
      </c>
      <c r="E28" s="287"/>
      <c r="F28" s="287"/>
      <c r="G28" s="287"/>
      <c r="H28" s="287"/>
      <c r="I28" s="287"/>
      <c r="J28" s="287"/>
      <c r="K28" s="287"/>
      <c r="L28" s="287"/>
      <c r="M28" s="287"/>
    </row>
    <row r="29" spans="2:13">
      <c r="B29" s="25" t="s">
        <v>29</v>
      </c>
      <c r="C29" s="270">
        <f>BS!C6</f>
        <v>17745770666.169998</v>
      </c>
      <c r="D29" s="287">
        <v>17387841712.869999</v>
      </c>
      <c r="E29" s="287"/>
      <c r="F29" s="287"/>
      <c r="G29" s="287"/>
      <c r="H29" s="287"/>
      <c r="I29" s="287"/>
      <c r="J29" s="287"/>
      <c r="K29" s="287"/>
      <c r="L29" s="287"/>
      <c r="M29" s="287"/>
    </row>
    <row r="30" spans="2:13">
      <c r="B30" s="28" t="s">
        <v>37</v>
      </c>
      <c r="C30" s="271">
        <f>BS!C33+BS!C42</f>
        <v>49284244654.68</v>
      </c>
      <c r="D30" s="289">
        <v>33083608497.580002</v>
      </c>
      <c r="E30" s="289"/>
      <c r="F30" s="289"/>
      <c r="G30" s="289"/>
      <c r="H30" s="289"/>
      <c r="I30" s="289"/>
      <c r="J30" s="289"/>
      <c r="K30" s="289"/>
      <c r="L30" s="289"/>
      <c r="M30" s="289"/>
    </row>
    <row r="31" spans="2:13">
      <c r="B31" s="28" t="s">
        <v>27</v>
      </c>
      <c r="C31" s="271">
        <f>BS!G27</f>
        <v>144131137908.02997</v>
      </c>
      <c r="D31" s="289">
        <v>132349373187.17</v>
      </c>
      <c r="E31" s="289"/>
      <c r="F31" s="289"/>
      <c r="G31" s="289"/>
      <c r="H31" s="289"/>
      <c r="I31" s="289"/>
      <c r="J31" s="289"/>
      <c r="K31" s="289"/>
      <c r="L31" s="289"/>
      <c r="M31" s="289"/>
    </row>
    <row r="32" spans="2:13">
      <c r="B32" s="25" t="s">
        <v>142</v>
      </c>
      <c r="C32" s="270">
        <f>BS!G28</f>
        <v>3654729261.3800001</v>
      </c>
      <c r="D32" s="287">
        <v>2791132146.6599998</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82</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3368850.3+64351041.9+3888593774.07+60621424.66</f>
        <v>4016935090.9299998</v>
      </c>
      <c r="D4" s="231">
        <v>0.6</v>
      </c>
      <c r="E4" s="24"/>
      <c r="F4" s="4" t="s">
        <v>73</v>
      </c>
      <c r="G4" s="18">
        <v>148319946342.06</v>
      </c>
      <c r="H4" s="231">
        <v>0.9</v>
      </c>
    </row>
    <row r="5" spans="2:8" ht="15" customHeight="1">
      <c r="B5" s="1" t="s">
        <v>30</v>
      </c>
      <c r="C5" s="18">
        <v>0</v>
      </c>
      <c r="D5" s="231">
        <v>0.6</v>
      </c>
      <c r="E5" s="24"/>
      <c r="F5" s="1" t="s">
        <v>26</v>
      </c>
      <c r="G5" s="18">
        <v>0</v>
      </c>
      <c r="H5" s="231">
        <v>0.7</v>
      </c>
    </row>
    <row r="6" spans="2:8" ht="15" customHeight="1">
      <c r="B6" s="4" t="s">
        <v>8</v>
      </c>
      <c r="C6" s="18">
        <v>17745770666.169998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230243788.88</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191407289.30000001</v>
      </c>
      <c r="D11" s="231">
        <v>0.05</v>
      </c>
      <c r="H11" s="232"/>
    </row>
    <row r="12" spans="2:8" ht="15" customHeight="1">
      <c r="B12" s="77" t="s">
        <v>68</v>
      </c>
      <c r="C12" s="78">
        <f>SUM(C4:C11)</f>
        <v>22184356835.279999</v>
      </c>
      <c r="D12" s="19">
        <f>C4*D4+C5*D5+C9*D9+C6*D6+C8*D8+C7*D7+C10*D10+C11*D11</f>
        <v>11315641130.995998</v>
      </c>
      <c r="F12" s="77" t="s">
        <v>66</v>
      </c>
      <c r="G12" s="78">
        <f>SUM(G4:G10)</f>
        <v>148319946342.06</v>
      </c>
      <c r="H12" s="19">
        <f>G4*H4+G5*H5+G6*H6+G7*H7+G8*H8+G9*H9+G10*H10</f>
        <v>133487951707.854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7745514521.75+5932852216.53+581324329.56</f>
        <v>14259691067.839998</v>
      </c>
      <c r="D19" s="231">
        <v>0.1</v>
      </c>
      <c r="F19" s="4" t="s">
        <v>151</v>
      </c>
      <c r="G19" s="18">
        <v>2173006025.0500002</v>
      </c>
      <c r="H19" s="231">
        <v>0.1</v>
      </c>
    </row>
    <row r="20" spans="2:8" ht="15" customHeight="1">
      <c r="B20" s="4" t="s">
        <v>552</v>
      </c>
      <c r="C20" s="18">
        <v>0</v>
      </c>
      <c r="D20" s="231">
        <v>0.05</v>
      </c>
      <c r="F20" s="4" t="s">
        <v>148</v>
      </c>
      <c r="G20" s="18">
        <v>0</v>
      </c>
      <c r="H20" s="231">
        <v>0.2</v>
      </c>
    </row>
    <row r="21" spans="2:8" ht="15" customHeight="1">
      <c r="B21" s="4" t="s">
        <v>16</v>
      </c>
      <c r="C21" s="18">
        <v>2720969313.54</v>
      </c>
      <c r="D21" s="231">
        <v>0.05</v>
      </c>
      <c r="F21" s="1" t="s">
        <v>149</v>
      </c>
      <c r="G21" s="18">
        <v>0</v>
      </c>
      <c r="H21" s="231">
        <v>0.1</v>
      </c>
    </row>
    <row r="22" spans="2:8" ht="15" customHeight="1">
      <c r="B22" s="4" t="s">
        <v>17</v>
      </c>
      <c r="C22" s="18">
        <v>3149965433.77</v>
      </c>
      <c r="D22" s="231">
        <v>0.9</v>
      </c>
      <c r="H22" s="232"/>
    </row>
    <row r="23" spans="2:8" ht="15" customHeight="1">
      <c r="B23" s="4" t="s">
        <v>18</v>
      </c>
      <c r="C23" s="18">
        <f>1200000+1621619.53+136367275.12+468258650.52</f>
        <v>607447545.16999996</v>
      </c>
      <c r="D23" s="231">
        <v>0</v>
      </c>
      <c r="H23" s="232"/>
    </row>
    <row r="24" spans="2:8" ht="15" customHeight="1">
      <c r="B24" s="77" t="s">
        <v>69</v>
      </c>
      <c r="C24" s="78">
        <f>SUM(C15:C23)</f>
        <v>20738073360.319996</v>
      </c>
      <c r="D24" s="19">
        <f>C15*D15+C16*D16+C18*D18+C17*D17+C19*D19+C20*D20+C21*D21+C22*D22+C23*D23</f>
        <v>4396986462.8540001</v>
      </c>
      <c r="F24" s="77" t="s">
        <v>67</v>
      </c>
      <c r="G24" s="78">
        <f>SUM(G15:G21)</f>
        <v>2173006025.0500002</v>
      </c>
      <c r="H24" s="19">
        <f>G15*H15+G16*H16+G17*H17+G18*H18+G19*H19+G20*H20+G21*H21</f>
        <v>217300602.50500003</v>
      </c>
    </row>
    <row r="26" spans="2:8" ht="15" customHeight="1">
      <c r="B26" s="16" t="s">
        <v>168</v>
      </c>
      <c r="C26" s="164" t="s">
        <v>112</v>
      </c>
      <c r="F26" s="166" t="s">
        <v>164</v>
      </c>
      <c r="G26" s="167" t="s">
        <v>112</v>
      </c>
      <c r="H26" s="168" t="s">
        <v>32</v>
      </c>
    </row>
    <row r="27" spans="2:8" ht="15" customHeight="1">
      <c r="B27" s="4" t="s">
        <v>3</v>
      </c>
      <c r="C27" s="18">
        <v>0</v>
      </c>
      <c r="F27" s="169" t="s">
        <v>27</v>
      </c>
      <c r="G27" s="82">
        <f>G32-G30</f>
        <v>144131137908.02997</v>
      </c>
      <c r="H27" s="170">
        <f>H32-G30</f>
        <v>100133635249.52902</v>
      </c>
    </row>
    <row r="28" spans="2:8" ht="15" customHeight="1">
      <c r="B28" s="4" t="s">
        <v>4</v>
      </c>
      <c r="C28" s="18">
        <v>0</v>
      </c>
      <c r="F28" s="171" t="s">
        <v>208</v>
      </c>
      <c r="G28" s="287">
        <v>3654729261.3800001</v>
      </c>
      <c r="H28" s="170"/>
    </row>
    <row r="29" spans="2:8" ht="15" customHeight="1">
      <c r="B29" s="4" t="s">
        <v>5</v>
      </c>
      <c r="C29" s="18">
        <v>0</v>
      </c>
      <c r="F29" s="172" t="s">
        <v>71</v>
      </c>
      <c r="G29" s="14">
        <f>G27-G28</f>
        <v>140476408646.64996</v>
      </c>
      <c r="H29" s="170">
        <f>H27-G28</f>
        <v>96478905988.149017</v>
      </c>
    </row>
    <row r="30" spans="2:8" ht="15" customHeight="1">
      <c r="B30" s="2" t="s">
        <v>6</v>
      </c>
      <c r="C30" s="18">
        <v>0</v>
      </c>
      <c r="F30" s="169" t="s">
        <v>20</v>
      </c>
      <c r="G30" s="82">
        <f>C33+C42</f>
        <v>49284244654.68</v>
      </c>
      <c r="H30" s="170"/>
    </row>
    <row r="31" spans="2:8" ht="15" customHeight="1">
      <c r="B31" s="77" t="s">
        <v>171</v>
      </c>
      <c r="C31" s="78">
        <f>SUM(C27:C30)</f>
        <v>0</v>
      </c>
      <c r="F31" s="172" t="s">
        <v>72</v>
      </c>
      <c r="G31" s="173">
        <f>C31+C40</f>
        <v>215370747.58000001</v>
      </c>
      <c r="H31" s="170"/>
    </row>
    <row r="32" spans="2:8" ht="15" customHeight="1">
      <c r="B32" s="4" t="s">
        <v>7</v>
      </c>
      <c r="C32" s="20">
        <f>C33-C31</f>
        <v>48677259367.199997</v>
      </c>
      <c r="F32" s="174" t="s">
        <v>70</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42922430195.599991</v>
      </c>
      <c r="H35" s="182">
        <f>D12+D24</f>
        <v>15712627593.849998</v>
      </c>
    </row>
    <row r="36" spans="2:8" ht="15" customHeight="1">
      <c r="B36" s="4" t="s">
        <v>11</v>
      </c>
      <c r="C36" s="18">
        <v>0</v>
      </c>
      <c r="F36" s="172" t="s">
        <v>165</v>
      </c>
      <c r="G36" s="173">
        <f>C4+C15</f>
        <v>4016935090.9299998</v>
      </c>
      <c r="H36" s="177"/>
    </row>
    <row r="37" spans="2:8" ht="15" customHeight="1">
      <c r="B37" s="4" t="s">
        <v>12</v>
      </c>
      <c r="C37" s="18">
        <v>215370747.58000001</v>
      </c>
      <c r="F37" s="172" t="s">
        <v>166</v>
      </c>
      <c r="G37" s="173">
        <f>C6</f>
        <v>17745770666.169998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14259691067.839998</v>
      </c>
      <c r="H39" s="170">
        <f>C7*D7+C17*D17+C19*D19+C20*D20</f>
        <v>1425969106.7839999</v>
      </c>
    </row>
    <row r="40" spans="2:8" ht="15" customHeight="1">
      <c r="B40" s="77" t="s">
        <v>172</v>
      </c>
      <c r="C40" s="78">
        <f>SUM(C36:C39)</f>
        <v>215370747.58000001</v>
      </c>
      <c r="F40" s="181" t="s">
        <v>114</v>
      </c>
      <c r="G40" s="175">
        <f>G12+G24</f>
        <v>150492952367.10999</v>
      </c>
      <c r="H40" s="182">
        <f>H12+H24</f>
        <v>133705252310.35901</v>
      </c>
    </row>
    <row r="41" spans="2:8" ht="15" customHeight="1">
      <c r="B41" s="4" t="s">
        <v>15</v>
      </c>
      <c r="C41" s="20">
        <f>C42-C40</f>
        <v>391614539.89999998</v>
      </c>
      <c r="F41" s="172" t="s">
        <v>159</v>
      </c>
      <c r="G41" s="173">
        <f>C70</f>
        <v>148319946342.06</v>
      </c>
      <c r="H41" s="182">
        <f>H40-H42</f>
        <v>133487951707.854</v>
      </c>
    </row>
    <row r="42" spans="2:8" ht="15" customHeight="1">
      <c r="B42" s="80" t="s">
        <v>19</v>
      </c>
      <c r="C42" s="81">
        <v>606985287.48000002</v>
      </c>
      <c r="F42" s="183" t="s">
        <v>160</v>
      </c>
      <c r="G42" s="184">
        <f>C82</f>
        <v>2173006025.0500002</v>
      </c>
      <c r="H42" s="185">
        <f>D82</f>
        <v>217300602.50500003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5.1971735080735887E-3</v>
      </c>
      <c r="D50" s="92">
        <f>G31/Normalized_FCF!G8</f>
        <v>5.2503617061349702E-3</v>
      </c>
      <c r="F50" s="223"/>
    </row>
    <row r="51" spans="2:8" ht="15" customHeight="1">
      <c r="B51" s="1" t="s">
        <v>145</v>
      </c>
      <c r="C51" s="163"/>
      <c r="D51" s="89">
        <f>G29/G32</f>
        <v>0.72629387996636774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0.96546202585583119</v>
      </c>
      <c r="D54" s="89">
        <f>Normalized_FCF!G8/G35</f>
        <v>0.9556815215161093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7.3725734111229027E-2</v>
      </c>
      <c r="F59" s="223"/>
    </row>
    <row r="60" spans="2:8" ht="15" customHeight="1">
      <c r="F60" s="223"/>
    </row>
    <row r="61" spans="2:8" ht="15" customHeight="1">
      <c r="B61" s="143" t="s">
        <v>230</v>
      </c>
      <c r="C61" s="210" t="s">
        <v>113</v>
      </c>
      <c r="D61" s="179" t="s">
        <v>90</v>
      </c>
      <c r="F61" s="223"/>
    </row>
    <row r="62" spans="2:8" ht="15" customHeight="1">
      <c r="B62" s="1" t="s">
        <v>209</v>
      </c>
      <c r="C62" s="89">
        <f>IF(G28&lt;=0,0,G28/G29)</f>
        <v>2.6016676370001695E-2</v>
      </c>
      <c r="D62" s="89">
        <f>G28/G29</f>
        <v>2.6016676370001695E-2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148319946342.06</v>
      </c>
      <c r="D66" s="73">
        <f>C66-D75</f>
        <v>118301937502.43723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148319946342.06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-5037985057.8370838</v>
      </c>
      <c r="D73" s="285">
        <f>(Normalized_FCF!C26+Normalized_FCF!C35-Normalized_FCF!C89)/12</f>
        <v>-5003001473.2704611</v>
      </c>
      <c r="F73" s="1" t="s">
        <v>277</v>
      </c>
    </row>
    <row r="74" spans="2:6" ht="15" customHeight="1">
      <c r="B74" s="227" t="s">
        <v>258</v>
      </c>
      <c r="C74" s="228">
        <f>-$C$66/C73</f>
        <v>29.440330735267597</v>
      </c>
      <c r="D74" s="228">
        <f>-$C$66/D73</f>
        <v>29.646192817349558</v>
      </c>
      <c r="F74" s="223" t="s">
        <v>256</v>
      </c>
    </row>
    <row r="75" spans="2:6" ht="15" customHeight="1">
      <c r="B75" s="77" t="s">
        <v>257</v>
      </c>
      <c r="C75" s="261"/>
      <c r="D75" s="262">
        <f>MAX(-D73*D76,G5)</f>
        <v>30018008839.622765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2173006025.0500002</v>
      </c>
      <c r="D80" s="73">
        <f>G19*H19</f>
        <v>217300602.50500003</v>
      </c>
      <c r="F80" s="223"/>
    </row>
    <row r="81" spans="2:8" ht="15" customHeight="1">
      <c r="B81" s="102" t="s">
        <v>149</v>
      </c>
      <c r="C81" s="19">
        <f>G9+G21</f>
        <v>0</v>
      </c>
      <c r="D81" s="73">
        <f>G9*H9+G21*H21</f>
        <v>0</v>
      </c>
      <c r="F81" s="223"/>
    </row>
    <row r="82" spans="2:8" ht="15" customHeight="1">
      <c r="B82" s="77" t="s">
        <v>158</v>
      </c>
      <c r="C82" s="78">
        <f>SUM(C79:C81)</f>
        <v>2173006025.0500002</v>
      </c>
      <c r="D82" s="78">
        <f>SUM(D79:D81)</f>
        <v>217300602.50500003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-215370747.58000001</v>
      </c>
      <c r="D86" s="201">
        <f>C86*scaling_factor/Common_Shares</f>
        <v>-5.5484929777189086E-2</v>
      </c>
      <c r="E86" s="214" t="str">
        <f>Market_currency</f>
        <v>CNY</v>
      </c>
    </row>
    <row r="87" spans="2:8" ht="15" customHeight="1">
      <c r="B87" s="212" t="s">
        <v>239</v>
      </c>
      <c r="C87" s="73">
        <f>DCF!F5*Exchange_Rate</f>
        <v>118301937502.43723</v>
      </c>
      <c r="D87" s="201">
        <f>C87*scaling_factor/Common_Shares</f>
        <v>30.477559132722682</v>
      </c>
      <c r="E87" s="214" t="str">
        <f>Market_currency</f>
        <v>CNY</v>
      </c>
    </row>
    <row r="88" spans="2:8" ht="15" customHeight="1">
      <c r="B88" s="213" t="s">
        <v>158</v>
      </c>
      <c r="C88" s="73">
        <f>DCF!F6*Exchange_Rate</f>
        <v>217300602.50500003</v>
      </c>
      <c r="D88" s="201">
        <f>C88*scaling_factor/Common_Shares</f>
        <v>5.5982109019017241E-2</v>
      </c>
      <c r="E88" s="214" t="str">
        <f>Market_currency</f>
        <v>CNY</v>
      </c>
    </row>
    <row r="89" spans="2:8" ht="15" customHeight="1">
      <c r="B89" s="77" t="s">
        <v>243</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86</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2.8163325762812285E-2</v>
      </c>
      <c r="E92" s="237"/>
      <c r="G92" s="22">
        <f t="shared" ref="G92:Q92" si="38">IF(G$4="","",(G88*(1-dividend_tax_rate))/Market_Price)</f>
        <v>2.8163325762812285E-2</v>
      </c>
      <c r="H92" s="22">
        <f t="shared" si="38"/>
        <v>4.1502913004838556E-2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7.5815378104586578E-2</v>
      </c>
      <c r="D124" s="26"/>
      <c r="E124" s="234"/>
      <c r="F124" s="26"/>
      <c r="G124" s="74">
        <f t="shared" ref="G124" si="49">IF(G$4="","",G123/Market_Price)</f>
        <v>6.7309005647663248E-2</v>
      </c>
      <c r="H124" s="74">
        <f t="shared" ref="H124" si="50">IF(H$4="","",H123/Market_Price)</f>
        <v>6.4804171849478398E-2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8.4442298467414467E-2</v>
      </c>
      <c r="H125" s="22">
        <f>IF(H$4="","",(Data!D47*$C$3)/(Market_Price*Common_Shares))</f>
        <v>8.0187087145500574E-2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29802300540.048637</v>
      </c>
      <c r="D4" t="str">
        <f>Reporting_currency</f>
        <v>CNY</v>
      </c>
      <c r="E4" s="135" t="s">
        <v>428</v>
      </c>
      <c r="F4" s="275">
        <f>-BS!G31</f>
        <v>-215370747.58000001</v>
      </c>
      <c r="G4" t="str">
        <f>Reporting_currency</f>
        <v>CNY</v>
      </c>
      <c r="H4" s="308" t="s">
        <v>391</v>
      </c>
      <c r="I4" s="305">
        <f>Normalized_FCF!C4</f>
        <v>89175178322.699997</v>
      </c>
      <c r="J4" s="305"/>
    </row>
    <row r="5" spans="2:15">
      <c r="B5" s="187" t="s">
        <v>104</v>
      </c>
      <c r="C5" s="188">
        <f>Equity_Cost</f>
        <v>7.2499999999999995E-2</v>
      </c>
      <c r="E5" s="135" t="s">
        <v>429</v>
      </c>
      <c r="F5" s="275">
        <f>BS!D66</f>
        <v>118301937502.43723</v>
      </c>
      <c r="G5" t="str">
        <f>Reporting_currency</f>
        <v>CNY</v>
      </c>
      <c r="H5" s="308" t="s">
        <v>392</v>
      </c>
      <c r="I5" s="305">
        <f>Normalized_FCF!C7</f>
        <v>-3555238122.5</v>
      </c>
      <c r="J5" s="305"/>
    </row>
    <row r="6" spans="2:15" ht="13.25" customHeight="1">
      <c r="B6" s="136" t="s">
        <v>193</v>
      </c>
      <c r="C6" s="283">
        <f>(C4*(1+Terminal_Growth))/(Equity_Cost-Terminal_Growth)</f>
        <v>481605176727.18604</v>
      </c>
      <c r="D6" t="str">
        <f>Reporting_currency</f>
        <v>CNY</v>
      </c>
      <c r="E6" s="187" t="s">
        <v>430</v>
      </c>
      <c r="F6" s="284">
        <f>BS!H42</f>
        <v>217300602.50500003</v>
      </c>
      <c r="G6" t="str">
        <f>Reporting_currency</f>
        <v>CNY</v>
      </c>
      <c r="H6" s="308" t="s">
        <v>413</v>
      </c>
      <c r="I6" s="305">
        <f>I7+I8</f>
        <v>167185808.18293661</v>
      </c>
      <c r="J6" s="305"/>
      <c r="N6" s="135"/>
    </row>
    <row r="7" spans="2:15" ht="12.75" customHeight="1">
      <c r="B7" s="318" t="s">
        <v>427</v>
      </c>
      <c r="C7" s="275">
        <f>F7</f>
        <v>118303867357.36223</v>
      </c>
      <c r="E7" s="140" t="s">
        <v>421</v>
      </c>
      <c r="F7" s="283">
        <f>SUM(F4:F6)</f>
        <v>118303867357.36223</v>
      </c>
      <c r="G7" t="str">
        <f>Reporting_currency</f>
        <v>CNY</v>
      </c>
      <c r="H7" s="312" t="s">
        <v>414</v>
      </c>
      <c r="I7" s="313">
        <f>Normalized_FCF!C9</f>
        <v>0</v>
      </c>
      <c r="J7" s="313"/>
      <c r="N7" s="304"/>
      <c r="O7" s="304"/>
    </row>
    <row r="8" spans="2:15" ht="13.15">
      <c r="B8" s="136" t="s">
        <v>423</v>
      </c>
      <c r="C8" s="283">
        <f>C6+C7</f>
        <v>599909044084.54822</v>
      </c>
      <c r="D8" t="str">
        <f>Reporting_currency</f>
        <v>CNY</v>
      </c>
      <c r="E8" s="140" t="s">
        <v>461</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424</v>
      </c>
      <c r="C10" s="283">
        <f>C8*Exchange_Rate</f>
        <v>599909044084.54822</v>
      </c>
      <c r="D10" t="str">
        <f>Market_currency</f>
        <v>CNY</v>
      </c>
      <c r="H10" s="308" t="s">
        <v>394</v>
      </c>
      <c r="I10" s="306">
        <f>Normalized_FCF!C41</f>
        <v>0.25</v>
      </c>
      <c r="N10" s="304"/>
      <c r="O10" s="304"/>
    </row>
    <row r="11" spans="2:15" ht="13.15">
      <c r="B11" s="136" t="s">
        <v>422</v>
      </c>
      <c r="C11" s="108">
        <f>(C10*scaling_factor)/Common_Shares</f>
        <v>154.55168149689248</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0.01</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0.4665778415257858</v>
      </c>
      <c r="E17" s="308" t="s">
        <v>547</v>
      </c>
      <c r="F17" s="311">
        <f>Scenarios!C40</f>
        <v>0.4665778415257858</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164.84370370396726</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417</v>
      </c>
      <c r="K52" s="468"/>
      <c r="L52" s="317">
        <f>SUM(L21:L51)</f>
        <v>521554772513.8053</v>
      </c>
    </row>
    <row r="53" spans="1:21">
      <c r="C53" s="111"/>
    </row>
    <row r="54" spans="1:21" ht="13.15">
      <c r="B54" s="115" t="s">
        <v>107</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41020173396.499992</v>
      </c>
      <c r="D7" s="469"/>
      <c r="E7" s="469"/>
      <c r="F7" s="469"/>
      <c r="G7" s="469"/>
    </row>
    <row r="8" spans="2:7">
      <c r="B8" s="97" t="s">
        <v>62</v>
      </c>
      <c r="C8" s="447">
        <f>Normalized_FCF!G19</f>
        <v>26458526825.471798</v>
      </c>
      <c r="D8" s="469"/>
      <c r="E8" s="469"/>
      <c r="F8" s="469"/>
      <c r="G8" s="469"/>
    </row>
    <row r="9" spans="2:7">
      <c r="B9" s="97" t="s">
        <v>53</v>
      </c>
      <c r="C9" s="447">
        <f>Normalized_FCF!C19</f>
        <v>29802300540.048637</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0.02</v>
      </c>
      <c r="D22" s="325">
        <f>C18</f>
        <v>15</v>
      </c>
      <c r="E22" s="326">
        <f>DCF!E91</f>
        <v>159.7656868981214</v>
      </c>
      <c r="F22" s="328">
        <f>1-F23-F24</f>
        <v>0.19999999999999996</v>
      </c>
      <c r="G22" s="328">
        <f>F22*(1-F$29-F$30)</f>
        <v>0.15999999999999995</v>
      </c>
    </row>
    <row r="23" spans="2:7">
      <c r="B23" s="302" t="s">
        <v>434</v>
      </c>
      <c r="C23" s="324">
        <v>0.01</v>
      </c>
      <c r="D23" s="325">
        <f>C18</f>
        <v>15</v>
      </c>
      <c r="E23" s="326">
        <f>DCF!E92</f>
        <v>147.59819590738326</v>
      </c>
      <c r="F23" s="327">
        <v>0.55000000000000004</v>
      </c>
      <c r="G23" s="328">
        <f t="shared" ref="G23:G24" si="0">F23*(1-F$29-F$30)</f>
        <v>0.44</v>
      </c>
    </row>
    <row r="24" spans="2:7">
      <c r="B24" s="302" t="s">
        <v>443</v>
      </c>
      <c r="C24" s="324">
        <v>0</v>
      </c>
      <c r="D24" s="325">
        <f>C18</f>
        <v>15</v>
      </c>
      <c r="E24" s="326">
        <f>DCF!E93</f>
        <v>136.74969792948104</v>
      </c>
      <c r="F24" s="327">
        <v>0.25</v>
      </c>
      <c r="G24" s="328">
        <f t="shared" si="0"/>
        <v>0.19999999999999998</v>
      </c>
    </row>
    <row r="25" spans="2:7">
      <c r="B25" s="141" t="s">
        <v>448</v>
      </c>
      <c r="C25" s="441">
        <f>E23*F23+E24*F24+E22*F22</f>
        <v>147.31956961105533</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0.03</v>
      </c>
      <c r="D29" s="325">
        <f>C18</f>
        <v>15</v>
      </c>
      <c r="E29" s="326">
        <f>DCF!E90</f>
        <v>173.41498298182717</v>
      </c>
      <c r="F29" s="327">
        <v>0.15</v>
      </c>
      <c r="G29" s="328">
        <f>F29</f>
        <v>0.15</v>
      </c>
    </row>
    <row r="30" spans="2:7">
      <c r="B30" s="315" t="s">
        <v>444</v>
      </c>
      <c r="C30" s="324">
        <v>0</v>
      </c>
      <c r="D30" s="325">
        <f>C18</f>
        <v>15</v>
      </c>
      <c r="E30" s="326">
        <f>DCF!E94</f>
        <v>136.74969792948104</v>
      </c>
      <c r="F30" s="327">
        <v>0.05</v>
      </c>
      <c r="G30" s="328">
        <f>F30</f>
        <v>0.05</v>
      </c>
    </row>
    <row r="31" spans="2:7">
      <c r="E31" s="329"/>
      <c r="F31" s="329"/>
    </row>
    <row r="32" spans="2:7" ht="13.15">
      <c r="B32" s="145" t="s">
        <v>453</v>
      </c>
    </row>
    <row r="33" spans="2:7">
      <c r="B33" s="97" t="s">
        <v>455</v>
      </c>
      <c r="C33" s="155">
        <f>Normalized_FCF!C88*(1-dividend_tax_rate)</f>
        <v>2.8521000000000001</v>
      </c>
      <c r="D33" t="str">
        <f>Market_currency</f>
        <v>CNY</v>
      </c>
      <c r="E33" s="97" t="s">
        <v>452</v>
      </c>
      <c r="F33" s="219">
        <f>Holding_Period</f>
        <v>3</v>
      </c>
    </row>
    <row r="34" spans="2:7">
      <c r="B34" s="97" t="s">
        <v>232</v>
      </c>
      <c r="C34" s="146">
        <f>Market_Price</f>
        <v>101.27</v>
      </c>
      <c r="D34" t="str">
        <f>Market_currency</f>
        <v>CNY</v>
      </c>
      <c r="E34" s="97" t="s">
        <v>451</v>
      </c>
      <c r="F34" s="330">
        <f>RATE(Holding_Period,$C$33,-C34,$C$36)</f>
        <v>0.16655268298421899</v>
      </c>
    </row>
    <row r="35" spans="2:7">
      <c r="B35" s="97" t="s">
        <v>431</v>
      </c>
      <c r="C35" s="320">
        <f>DCF!C11</f>
        <v>154.55168149689248</v>
      </c>
      <c r="D35" s="97" t="str">
        <f>Market_currency</f>
        <v>CNY</v>
      </c>
      <c r="E35" s="97" t="s">
        <v>451</v>
      </c>
      <c r="F35" s="330">
        <f>RATE(Holding_Period,$C$33,-C35,$C$36)</f>
        <v>1.0242821335361347E-2</v>
      </c>
    </row>
    <row r="36" spans="2:7">
      <c r="B36" s="97" t="s">
        <v>432</v>
      </c>
      <c r="C36" s="321">
        <f>E22*G22+E23*G23+E24*G24+E30*G30+E29*G29</f>
        <v>150.70538803259237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0.4665778415257858</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164.84370370396726</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0.20223600967321193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2.8521000000000001</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311</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312</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46066</v>
      </c>
    </row>
    <row r="4" spans="1:10">
      <c r="B4" s="422" t="s">
        <v>530</v>
      </c>
      <c r="C4" s="423" t="str">
        <f>Thesis!C4</f>
        <v>五粮液</v>
      </c>
      <c r="D4" s="349"/>
      <c r="E4" s="434" t="s">
        <v>536</v>
      </c>
      <c r="F4" s="437" t="str">
        <f>Thesis!F4</f>
        <v>CN</v>
      </c>
    </row>
    <row r="5" spans="1:10">
      <c r="B5" s="343" t="s">
        <v>361</v>
      </c>
      <c r="C5" s="355" t="str">
        <f>Thesis!C5</f>
        <v>000858.SZ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101.27</v>
      </c>
    </row>
    <row r="9" spans="1:10">
      <c r="B9" s="351" t="s">
        <v>358</v>
      </c>
      <c r="C9" s="353">
        <f>Common_Shares</f>
        <v>3881608005</v>
      </c>
    </row>
    <row r="10" spans="1:10">
      <c r="B10" s="351" t="s">
        <v>364</v>
      </c>
      <c r="C10" s="357">
        <f>投资主题!C8*Common_Shares/1000000</f>
        <v>393090.44266634999</v>
      </c>
      <c r="D10" s="343" t="s">
        <v>525</v>
      </c>
      <c r="E10" s="360">
        <f>Scenarios!F34</f>
        <v>0.16655268298421899</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0.01</v>
      </c>
      <c r="D17" s="351" t="s">
        <v>336</v>
      </c>
      <c r="E17" s="344" t="str">
        <f>Reporting_currency</f>
        <v>CNY</v>
      </c>
    </row>
    <row r="18" spans="1:6">
      <c r="B18" s="343" t="str">
        <f>"预期股权价值 ("&amp;C7&amp;") :"</f>
        <v>预期股权价值 (CNY) :</v>
      </c>
      <c r="C18" s="359">
        <f>C125</f>
        <v>150.70538803259237</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73.77572463932286</v>
      </c>
      <c r="D22" s="365" t="s">
        <v>437</v>
      </c>
      <c r="E22" s="366">
        <f>Thesis!E22</f>
        <v>0.3</v>
      </c>
    </row>
    <row r="23" spans="1:6">
      <c r="B23" s="343" t="s">
        <v>338</v>
      </c>
      <c r="C23" s="367">
        <f>E141</f>
        <v>93.221662055898364</v>
      </c>
      <c r="D23" s="365" t="s">
        <v>438</v>
      </c>
      <c r="E23" s="368">
        <f>Thesis!E23</f>
        <v>0.2</v>
      </c>
    </row>
    <row r="24" spans="1:6">
      <c r="B24" s="343" t="s">
        <v>340</v>
      </c>
      <c r="C24" s="367">
        <f>E144</f>
        <v>124.59667696127181</v>
      </c>
      <c r="D24" s="365" t="s">
        <v>440</v>
      </c>
      <c r="E24" s="368">
        <f>Thesis!E24</f>
        <v>8.6999999999999994E-2</v>
      </c>
    </row>
    <row r="25" spans="1:6">
      <c r="B25" s="343" t="s">
        <v>339</v>
      </c>
      <c r="C25" s="367">
        <f>E145</f>
        <v>129.61296430141905</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41439976411.299469</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180108053.03773659</v>
      </c>
      <c r="D44" s="343" t="str">
        <f>Reporting_currency</f>
        <v>CNY</v>
      </c>
      <c r="E44" s="371"/>
      <c r="F44" s="371"/>
    </row>
    <row r="45" spans="2:6">
      <c r="B45" s="372" t="s">
        <v>267</v>
      </c>
      <c r="C45" s="376">
        <f>Normalized_FCF!C45</f>
        <v>-12922244.854800001</v>
      </c>
      <c r="D45" s="343" t="str">
        <f>Reporting_currency</f>
        <v>CNY</v>
      </c>
      <c r="E45" s="371"/>
      <c r="F45" s="371"/>
    </row>
    <row r="46" spans="2:6">
      <c r="B46" s="372" t="s">
        <v>202</v>
      </c>
      <c r="C46" s="373">
        <f>Normalized_FCF!C10</f>
        <v>167185808.18293661</v>
      </c>
      <c r="D46" s="343" t="str">
        <f>Reporting_currency</f>
        <v>CNY</v>
      </c>
    </row>
    <row r="48" spans="2:6">
      <c r="B48" s="343" t="s">
        <v>501</v>
      </c>
    </row>
    <row r="49" spans="2:6">
      <c r="B49" s="372" t="s">
        <v>222</v>
      </c>
      <c r="C49" s="373">
        <f>Normalized_FCF!C13</f>
        <v>-1403071124.5631666</v>
      </c>
      <c r="D49" s="343" t="str">
        <f>Reporting_currency</f>
        <v>CNY</v>
      </c>
    </row>
    <row r="51" spans="2:6">
      <c r="B51" s="470" t="s">
        <v>502</v>
      </c>
      <c r="C51" s="470"/>
      <c r="D51" s="470"/>
      <c r="E51" s="470"/>
      <c r="F51" s="470"/>
    </row>
    <row r="52" spans="2:6">
      <c r="B52" s="372" t="s">
        <v>493</v>
      </c>
      <c r="C52" s="373">
        <f>Normalized_FCF!C12</f>
        <v>-10401790554.870602</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26458526825.471798</v>
      </c>
      <c r="D60" s="343" t="str">
        <f>Reporting_currency</f>
        <v>CNY</v>
      </c>
    </row>
    <row r="61" spans="2:6">
      <c r="B61" s="372" t="s">
        <v>212</v>
      </c>
      <c r="C61" s="373">
        <f>Normalized_FCF!C19</f>
        <v>29802300540.048637</v>
      </c>
      <c r="D61" s="343" t="str">
        <f>Reporting_currency</f>
        <v>CNY</v>
      </c>
    </row>
    <row r="62" spans="2:6">
      <c r="B62" s="377" t="s">
        <v>301</v>
      </c>
      <c r="C62" s="378">
        <f>Normalized_FCF!C124</f>
        <v>7.5815378104586578E-2</v>
      </c>
      <c r="F62" s="379"/>
    </row>
    <row r="63" spans="2:6">
      <c r="B63" s="377" t="s">
        <v>329</v>
      </c>
      <c r="C63" s="378">
        <f>Normalized_FCF!C92</f>
        <v>2.8163325762812285E-2</v>
      </c>
      <c r="E63" s="372" t="s">
        <v>370</v>
      </c>
      <c r="F63" s="380">
        <f>Normalized_FCF!C90</f>
        <v>0.4127471888056104</v>
      </c>
    </row>
    <row r="65" spans="1:6">
      <c r="B65" s="369" t="s">
        <v>373</v>
      </c>
      <c r="C65" s="381" t="s">
        <v>324</v>
      </c>
      <c r="D65" s="381" t="s">
        <v>371</v>
      </c>
    </row>
    <row r="66" spans="1:6">
      <c r="B66" s="372" t="s">
        <v>323</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-215370747.58000001</v>
      </c>
      <c r="D78" s="343" t="str">
        <f>Reporting_currency</f>
        <v>CNY</v>
      </c>
    </row>
    <row r="79" spans="1:6">
      <c r="B79" s="372" t="s">
        <v>233</v>
      </c>
      <c r="C79" s="387">
        <f>C78*scaling_factor*Exchange_Rate/Common_Shares</f>
        <v>-5.5484929777189086E-2</v>
      </c>
      <c r="D79" s="343" t="str">
        <f>Market_currency</f>
        <v>CNY</v>
      </c>
    </row>
    <row r="80" spans="1:6">
      <c r="B80" s="382" t="s">
        <v>307</v>
      </c>
      <c r="C80" s="388">
        <f>IF(BS!G31/BS!G27&gt;300%,"nm",BS!G31/BS!G27)</f>
        <v>1.4942693904035366E-3</v>
      </c>
    </row>
    <row r="81" spans="1:6">
      <c r="B81" s="382" t="s">
        <v>309</v>
      </c>
      <c r="C81" s="389">
        <f>IF(BS!C50&gt;30,"nm",BS!C50)</f>
        <v>5.1971735080735887E-3</v>
      </c>
    </row>
    <row r="83" spans="1:6">
      <c r="B83" s="343" t="s">
        <v>508</v>
      </c>
    </row>
    <row r="84" spans="1:6">
      <c r="B84" s="343" t="s">
        <v>223</v>
      </c>
      <c r="C84" s="373">
        <f>DCF!F5</f>
        <v>118301937502.43723</v>
      </c>
      <c r="D84" s="343" t="str">
        <f>Reporting_currency</f>
        <v>CNY</v>
      </c>
    </row>
    <row r="85" spans="1:6">
      <c r="B85" s="382" t="s">
        <v>478</v>
      </c>
      <c r="C85" s="390">
        <f>BS!C66</f>
        <v>148319946342.06</v>
      </c>
      <c r="D85" s="391" t="str">
        <f>Reporting_currency</f>
        <v>CNY</v>
      </c>
    </row>
    <row r="86" spans="1:6">
      <c r="B86" s="372" t="s">
        <v>234</v>
      </c>
      <c r="C86" s="387">
        <f>C84*scaling_factor*Exchange_Rate/Common_Shares</f>
        <v>30.477559132722682</v>
      </c>
      <c r="D86" s="343" t="str">
        <f>Market_currency</f>
        <v>CNY</v>
      </c>
    </row>
    <row r="88" spans="1:6">
      <c r="B88" s="343" t="s">
        <v>509</v>
      </c>
    </row>
    <row r="89" spans="1:6">
      <c r="B89" s="343" t="s">
        <v>216</v>
      </c>
      <c r="C89" s="373">
        <f>DCF!F6</f>
        <v>217300602.50500003</v>
      </c>
      <c r="D89" s="343" t="str">
        <f>Reporting_currency</f>
        <v>CNY</v>
      </c>
    </row>
    <row r="90" spans="1:6">
      <c r="B90" s="372" t="s">
        <v>235</v>
      </c>
      <c r="C90" s="387">
        <f>C89*scaling_factor*Exchange_Rate/Common_Shares</f>
        <v>5.5982109019017241E-2</v>
      </c>
      <c r="D90" s="343" t="str">
        <f>Market_currency</f>
        <v>CNY</v>
      </c>
    </row>
    <row r="92" spans="1:6">
      <c r="B92" s="372" t="s">
        <v>477</v>
      </c>
      <c r="C92" s="387">
        <f>DCF!F8</f>
        <v>30.478056311964512</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24.855396491318039</v>
      </c>
      <c r="D111" s="343" t="str">
        <f>Market_currency</f>
        <v>CNY</v>
      </c>
    </row>
    <row r="112" spans="1:6">
      <c r="A112" s="385"/>
      <c r="B112" s="372" t="s">
        <v>374</v>
      </c>
      <c r="C112" s="394">
        <f>DCF!C11</f>
        <v>154.55168149689248</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515</v>
      </c>
      <c r="C124" s="470"/>
      <c r="D124" s="470"/>
      <c r="E124" s="470"/>
      <c r="F124" s="470"/>
    </row>
    <row r="125" spans="1:6">
      <c r="B125" s="372" t="s">
        <v>217</v>
      </c>
      <c r="C125" s="404">
        <f>Scenarios!C36</f>
        <v>150.70538803259237</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2.8521000000000001</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5.179735548475195</v>
      </c>
      <c r="D140" s="409">
        <f>Scenarios!D62</f>
        <v>68.595989090847667</v>
      </c>
      <c r="E140" s="410">
        <f>Scenarios!E62</f>
        <v>73.77572463932286</v>
      </c>
      <c r="F140" s="411">
        <f>E22</f>
        <v>0.3</v>
      </c>
    </row>
    <row r="141" spans="1:6">
      <c r="B141" s="408" t="s">
        <v>311</v>
      </c>
      <c r="C141" s="409">
        <f>Scenarios!C63</f>
        <v>6.0078958333333334</v>
      </c>
      <c r="D141" s="409">
        <f>Scenarios!D63</f>
        <v>87.213766222565027</v>
      </c>
      <c r="E141" s="410">
        <f>Scenarios!E63</f>
        <v>93.221662055898364</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7.2582809357033913</v>
      </c>
      <c r="D144" s="409">
        <f>Scenarios!D66</f>
        <v>117.33839602556841</v>
      </c>
      <c r="E144" s="410">
        <f>Scenarios!E66</f>
        <v>124.59667696127181</v>
      </c>
      <c r="F144" s="411">
        <f>E24</f>
        <v>8.6999999999999994E-2</v>
      </c>
    </row>
    <row r="145" spans="1:6">
      <c r="B145" s="408" t="s">
        <v>312</v>
      </c>
      <c r="C145" s="409">
        <f>Scenarios!C67</f>
        <v>7.4507553854201589</v>
      </c>
      <c r="D145" s="409">
        <f>Scenarios!D67</f>
        <v>122.16220891599889</v>
      </c>
      <c r="E145" s="410">
        <f>Scenarios!E67</f>
        <v>129.61296430141905</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