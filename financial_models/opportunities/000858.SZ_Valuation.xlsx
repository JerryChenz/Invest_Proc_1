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28B488-1CE7-4CD8-A733-1EB33A69C350}"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<sst xmlns="http://schemas.openxmlformats.org/spreadsheetml/2006/main" count="768" uniqueCount="557">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</sst>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4" sqref="D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106.06</v>
      </c>
      <c r="E8" s="32"/>
    </row>
    <row r="9" spans="1:9">
      <c r="B9" s="4" t="s">
        <v>344</v>
      </c>
      <c r="C9" s="48">
        <v>3881608005</v>
      </c>
    </row>
    <row r="10" spans="1:9">
      <c r="B10" s="4" t="s">
        <v>350</v>
      </c>
      <c r="C10" s="33">
        <f>Thesis!C8*Common_Shares/1000000</f>
        <v>411683.34501029999</v>
      </c>
      <c r="D10" s="1" t="s">
        <v>525</v>
      </c>
      <c r="E10" s="303">
        <f>Scenarios!F34</f>
        <v>0.15414602261437696</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153.11192896882034</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75.777412292583293</v>
      </c>
      <c r="D22" s="38" t="s">
        <v>404</v>
      </c>
      <c r="E22" s="79">
        <v>0.29465259038036601</v>
      </c>
    </row>
    <row r="23" spans="1:6">
      <c r="B23" s="1" t="s">
        <v>312</v>
      </c>
      <c r="C23" s="256">
        <f>E141</f>
        <v>94.440933033498069</v>
      </c>
      <c r="D23" s="38" t="s">
        <v>405</v>
      </c>
      <c r="E23" s="443">
        <v>0.20075184365903001</v>
      </c>
    </row>
    <row r="24" spans="1:6">
      <c r="B24" s="1" t="s">
        <v>314</v>
      </c>
      <c r="C24" s="256">
        <f>E144</f>
        <v>116.62555175843582</v>
      </c>
      <c r="D24" s="38" t="s">
        <v>406</v>
      </c>
      <c r="E24" s="443">
        <v>0.1174</v>
      </c>
    </row>
    <row r="25" spans="1:6">
      <c r="B25" s="1" t="s">
        <v>313</v>
      </c>
      <c r="C25" s="256">
        <f>E145</f>
        <v>131.56371311308598</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7.2391319447967964E-2</v>
      </c>
      <c r="F62" s="257"/>
    </row>
    <row r="63" spans="2:6">
      <c r="B63" s="204" t="s">
        <v>330</v>
      </c>
      <c r="C63" s="89">
        <f>Normalized_FCF!C92</f>
        <v>2.6891382236469922E-2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0.05</v>
      </c>
      <c r="D118" s="207" t="str">
        <f>ROUND(DCF!E90,2)&amp;" "&amp;Market_currency</f>
        <v>188.89 CNY</v>
      </c>
      <c r="E118" s="208">
        <f>DCF!F90</f>
        <v>0.15</v>
      </c>
      <c r="F118" s="208">
        <f>RATE(Holding_Period,Scenarios!C$58,-DCF!E90,C$18)</f>
        <v>-5.1402664599581899E-2</v>
      </c>
    </row>
    <row r="119" spans="2:6">
      <c r="B119" s="205" t="str">
        <f>DCF!B91&amp;" ("&amp;DCF!D91&amp;"yrs)"</f>
        <v>Optimistic (15yrs)</v>
      </c>
      <c r="C119" s="198">
        <f>DCF!C91</f>
        <v>0.03</v>
      </c>
      <c r="D119" s="207" t="str">
        <f>ROUND(DCF!E91,2)&amp;" "&amp;Market_currency</f>
        <v>160.29 CNY</v>
      </c>
      <c r="E119" s="199">
        <f>DCF!F91</f>
        <v>0.15999999999999995</v>
      </c>
      <c r="F119" s="208">
        <f>RATE(Holding_Period,Scenarios!C$58,-DCF!E91,C$18)</f>
        <v>2.900384096051417E-3</v>
      </c>
    </row>
    <row r="120" spans="2:6">
      <c r="B120" s="205" t="str">
        <f>DCF!B92&amp;" ("&amp;DCF!D92&amp;"yrs)"</f>
        <v>Base (15yrs)</v>
      </c>
      <c r="C120" s="198">
        <f>DCF!C92</f>
        <v>0.02</v>
      </c>
      <c r="D120" s="207" t="str">
        <f>ROUND(DCF!E92,2)&amp;" "&amp;Market_currency</f>
        <v>148.26 CNY</v>
      </c>
      <c r="E120" s="199">
        <f>DCF!F92</f>
        <v>0.44</v>
      </c>
      <c r="F120" s="208">
        <f>RATE(Holding_Period,Scenarios!C$58,-DCF!E92,C$18)</f>
        <v>2.9834228701124801E-2</v>
      </c>
    </row>
    <row r="121" spans="2:6">
      <c r="B121" s="205" t="str">
        <f>DCF!B93&amp;" ("&amp;DCF!D93&amp;"yrs)"</f>
        <v>Pessimistic (15yrs)</v>
      </c>
      <c r="C121" s="198">
        <f>DCF!C93</f>
        <v>0.01</v>
      </c>
      <c r="D121" s="207" t="str">
        <f>ROUND(DCF!E93,2)&amp;" "&amp;Market_currency</f>
        <v>137.51 CNY</v>
      </c>
      <c r="E121" s="199">
        <f>DCF!F93</f>
        <v>0.19999999999999998</v>
      </c>
      <c r="F121" s="208">
        <f>RATE(Holding_Period,Scenarios!C$58,-DCF!E93,C$18)</f>
        <v>5.6500650452795217E-2</v>
      </c>
    </row>
    <row r="122" spans="2:6">
      <c r="B122" s="205" t="str">
        <f>DCF!B94&amp;" ("&amp;DCF!D94&amp;"yrs)"</f>
        <v>Devil's advocate (15yrs)</v>
      </c>
      <c r="C122" s="198">
        <f>DCF!C94</f>
        <v>0</v>
      </c>
      <c r="D122" s="207" t="str">
        <f>ROUND(DCF!E94,2)&amp;" "&amp;Market_currency</f>
        <v>127.91 CNY</v>
      </c>
      <c r="E122" s="199">
        <f>DCF!F94</f>
        <v>0.05</v>
      </c>
      <c r="F122" s="208">
        <f>RATE(Holding_Period,Scenarios!C$58,-DCF!E94,C$18)</f>
        <v>8.2809577370351509E-2</v>
      </c>
    </row>
    <row r="124" spans="2:6">
      <c r="B124" s="461" t="s">
        <v>355</v>
      </c>
      <c r="C124" s="461"/>
      <c r="D124" s="461"/>
      <c r="E124" s="461"/>
      <c r="F124" s="461"/>
    </row>
    <row r="125" spans="2:6">
      <c r="B125" s="193" t="s">
        <v>218</v>
      </c>
      <c r="C125" s="197">
        <f>Scenarios!C36</f>
        <v>153.11192896882034</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5.2189196802236735</v>
      </c>
      <c r="D140" s="333">
        <f>Scenarios!D62</f>
        <v>70.558492612359615</v>
      </c>
      <c r="E140" s="334">
        <f>Scenarios!E62</f>
        <v>75.777412292583293</v>
      </c>
      <c r="F140" s="335">
        <f>E22</f>
        <v>0.29465259038036601</v>
      </c>
    </row>
    <row r="141" spans="1:6">
      <c r="B141" s="336" t="s">
        <v>312</v>
      </c>
      <c r="C141" s="333">
        <f>Scenarios!C63</f>
        <v>6.0008296580061398</v>
      </c>
      <c r="D141" s="333">
        <f>Scenarios!D63</f>
        <v>88.44010337549193</v>
      </c>
      <c r="E141" s="334">
        <f>Scenarios!E63</f>
        <v>94.440933033498069</v>
      </c>
      <c r="F141" s="335">
        <f>Scenarios!F63</f>
        <v>0.20075184365903001</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6.8809853754896215</v>
      </c>
      <c r="D144" s="333">
        <f>Scenarios!D66</f>
        <v>109.7445663829462</v>
      </c>
      <c r="E144" s="334">
        <f>Scenarios!E66</f>
        <v>116.62555175843582</v>
      </c>
      <c r="F144" s="335">
        <f>E24</f>
        <v>0.1174</v>
      </c>
    </row>
    <row r="145" spans="1:6">
      <c r="B145" s="336" t="s">
        <v>313</v>
      </c>
      <c r="C145" s="333">
        <f>Scenarios!C67</f>
        <v>7.4507553854201589</v>
      </c>
      <c r="D145" s="333">
        <f>Scenarios!D67</f>
        <v>124.11295772766583</v>
      </c>
      <c r="E145" s="334">
        <f>Scenarios!E67</f>
        <v>131.56371311308598</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5" sqref="C12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2.6891382236469922E-2</v>
      </c>
      <c r="E92" s="237"/>
      <c r="G92" s="22">
        <f t="shared" ref="G92:Q92" si="38">IF(G$4="","",(G88*(1-dividend_tax_rate))/Market_Price)</f>
        <v>2.6891382236469922E-2</v>
      </c>
      <c r="H92" s="22">
        <f t="shared" si="38"/>
        <v>3.9628512162926649E-2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7.2391319447967964E-2</v>
      </c>
      <c r="D124" s="26"/>
      <c r="E124" s="234"/>
      <c r="F124" s="26"/>
      <c r="G124" s="74">
        <f t="shared" ref="G124" si="49">IF(G$4="","",G123/Market_Price)</f>
        <v>6.4269121270402199E-2</v>
      </c>
      <c r="H124" s="74">
        <f t="shared" ref="H124" si="50">IF(H$4="","",H123/Market_Price)</f>
        <v>6.1877413569646211E-2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8.062862121247466E-2</v>
      </c>
      <c r="H125" s="22">
        <f>IF(H$4="","",(Data!D47*$C$3)/(Market_Price*Common_Shares))</f>
        <v>7.6565588489768452E-2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15</v>
      </c>
      <c r="E15" s="308" t="str">
        <f>IF(F14="II","Change year","Terminal Year")</f>
        <v>Change year</v>
      </c>
      <c r="F15" s="310">
        <f>IF(F14="II",_xlfn.CEILING.MATH(C15/2),C15+1)</f>
        <v>8</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152.73715485977306</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II</v>
      </c>
      <c r="B28" s="117">
        <v>8</v>
      </c>
      <c r="C28" s="277">
        <f t="shared" si="5"/>
        <v>107684883559.80049</v>
      </c>
      <c r="D28" s="299">
        <f t="shared" si="1"/>
        <v>2.38559171477595E-2</v>
      </c>
      <c r="E28" s="299">
        <f t="shared" si="6"/>
        <v>0.40406742273746776</v>
      </c>
      <c r="F28" s="277">
        <f t="shared" si="7"/>
        <v>43511953367.7929</v>
      </c>
      <c r="G28" s="299">
        <f t="shared" si="2"/>
        <v>0</v>
      </c>
      <c r="H28" s="277">
        <f t="shared" si="8"/>
        <v>30939664509.528885</v>
      </c>
      <c r="I28" s="299">
        <f t="shared" si="9"/>
        <v>-0.11977459625120035</v>
      </c>
      <c r="J28" s="299">
        <f t="shared" si="10"/>
        <v>0.28731669187669412</v>
      </c>
      <c r="K28" s="119">
        <f t="shared" si="3"/>
        <v>0.5712439231967511</v>
      </c>
      <c r="L28" s="277">
        <f t="shared" si="4"/>
        <v>17674095336.814564</v>
      </c>
    </row>
    <row r="29" spans="1:21">
      <c r="A29" s="302" t="str">
        <f t="shared" si="0"/>
        <v>II</v>
      </c>
      <c r="B29" s="117">
        <v>9</v>
      </c>
      <c r="C29" s="277">
        <f t="shared" si="5"/>
        <v>110253805220.06921</v>
      </c>
      <c r="D29" s="299">
        <f t="shared" si="1"/>
        <v>2.38559171477595E-2</v>
      </c>
      <c r="E29" s="299">
        <f t="shared" si="6"/>
        <v>0.40406742273746776</v>
      </c>
      <c r="F29" s="277">
        <f t="shared" si="7"/>
        <v>44549970922.272141</v>
      </c>
      <c r="G29" s="299">
        <f t="shared" si="2"/>
        <v>0</v>
      </c>
      <c r="H29" s="277">
        <f t="shared" si="8"/>
        <v>31677758582.647682</v>
      </c>
      <c r="I29" s="299">
        <f t="shared" si="9"/>
        <v>2.3855917147759476E-2</v>
      </c>
      <c r="J29" s="299">
        <f t="shared" si="10"/>
        <v>0.28731669187669417</v>
      </c>
      <c r="K29" s="119">
        <f t="shared" si="3"/>
        <v>0.53262836661701729</v>
      </c>
      <c r="L29" s="277">
        <f t="shared" si="4"/>
        <v>16872472811.963835</v>
      </c>
    </row>
    <row r="30" spans="1:21">
      <c r="A30" s="302" t="str">
        <f t="shared" si="0"/>
        <v>II</v>
      </c>
      <c r="B30" s="117">
        <v>10</v>
      </c>
      <c r="C30" s="277">
        <f t="shared" si="5"/>
        <v>112884010862.62439</v>
      </c>
      <c r="D30" s="299">
        <f t="shared" si="1"/>
        <v>2.38559171477595E-2</v>
      </c>
      <c r="E30" s="299">
        <f t="shared" si="6"/>
        <v>0.40406742273746776</v>
      </c>
      <c r="F30" s="277">
        <f t="shared" si="7"/>
        <v>45612751337.528954</v>
      </c>
      <c r="G30" s="299">
        <f t="shared" si="2"/>
        <v>0</v>
      </c>
      <c r="H30" s="277">
        <f t="shared" si="8"/>
        <v>32433460566.822048</v>
      </c>
      <c r="I30" s="299">
        <f t="shared" si="9"/>
        <v>2.3855917147759254E-2</v>
      </c>
      <c r="J30" s="299">
        <f t="shared" si="10"/>
        <v>0.28731669187669417</v>
      </c>
      <c r="K30" s="119">
        <f t="shared" si="3"/>
        <v>0.49662318565689262</v>
      </c>
      <c r="L30" s="277">
        <f t="shared" si="4"/>
        <v>16107208508.572372</v>
      </c>
    </row>
    <row r="31" spans="1:21">
      <c r="A31" s="302" t="str">
        <f t="shared" si="0"/>
        <v>II</v>
      </c>
      <c r="B31" s="117">
        <v>11</v>
      </c>
      <c r="C31" s="277">
        <f t="shared" si="5"/>
        <v>115576962473.06993</v>
      </c>
      <c r="D31" s="299">
        <f t="shared" si="1"/>
        <v>2.38559171477595E-2</v>
      </c>
      <c r="E31" s="299">
        <f t="shared" si="6"/>
        <v>0.40406742273746776</v>
      </c>
      <c r="F31" s="277">
        <f t="shared" si="7"/>
        <v>46700885354.318398</v>
      </c>
      <c r="G31" s="299">
        <f t="shared" si="2"/>
        <v>0</v>
      </c>
      <c r="H31" s="277">
        <f t="shared" si="8"/>
        <v>33207190514.919281</v>
      </c>
      <c r="I31" s="299">
        <f t="shared" si="9"/>
        <v>2.3855917147759476E-2</v>
      </c>
      <c r="J31" s="299">
        <f t="shared" si="10"/>
        <v>0.28731669187669417</v>
      </c>
      <c r="K31" s="119">
        <f t="shared" si="3"/>
        <v>0.46305192135840806</v>
      </c>
      <c r="L31" s="277">
        <f t="shared" si="4"/>
        <v>15376653370.848078</v>
      </c>
    </row>
    <row r="32" spans="1:21">
      <c r="A32" s="302" t="str">
        <f t="shared" si="0"/>
        <v>II</v>
      </c>
      <c r="B32" s="117">
        <v>12</v>
      </c>
      <c r="C32" s="277">
        <f t="shared" si="5"/>
        <v>118334156914.0172</v>
      </c>
      <c r="D32" s="299">
        <f t="shared" si="1"/>
        <v>2.38559171477595E-2</v>
      </c>
      <c r="E32" s="299">
        <f t="shared" si="6"/>
        <v>0.40406742273746776</v>
      </c>
      <c r="F32" s="277">
        <f t="shared" si="7"/>
        <v>47814977806.058029</v>
      </c>
      <c r="G32" s="299">
        <f t="shared" si="2"/>
        <v>0</v>
      </c>
      <c r="H32" s="277">
        <f t="shared" si="8"/>
        <v>33999378500.553051</v>
      </c>
      <c r="I32" s="299">
        <f t="shared" si="9"/>
        <v>2.3855917147759254E-2</v>
      </c>
      <c r="J32" s="299">
        <f t="shared" si="10"/>
        <v>0.28731669187669412</v>
      </c>
      <c r="K32" s="119">
        <f t="shared" si="3"/>
        <v>0.43175004322462285</v>
      </c>
      <c r="L32" s="277">
        <f t="shared" si="4"/>
        <v>14679233137.224092</v>
      </c>
    </row>
    <row r="33" spans="1:21">
      <c r="A33" s="302" t="str">
        <f t="shared" si="0"/>
        <v>II</v>
      </c>
      <c r="B33" s="117">
        <v>13</v>
      </c>
      <c r="C33" s="277">
        <f t="shared" si="5"/>
        <v>121157126757.10796</v>
      </c>
      <c r="D33" s="299">
        <f t="shared" si="1"/>
        <v>2.38559171477595E-2</v>
      </c>
      <c r="E33" s="299">
        <f t="shared" si="6"/>
        <v>0.40406742273746776</v>
      </c>
      <c r="F33" s="277">
        <f t="shared" si="7"/>
        <v>48955647955.021309</v>
      </c>
      <c r="G33" s="299">
        <f t="shared" si="2"/>
        <v>0</v>
      </c>
      <c r="H33" s="277">
        <f t="shared" si="8"/>
        <v>34810464857.137566</v>
      </c>
      <c r="I33" s="299">
        <f t="shared" si="9"/>
        <v>2.3855917147759698E-2</v>
      </c>
      <c r="J33" s="299">
        <f t="shared" si="10"/>
        <v>0.28731669187669417</v>
      </c>
      <c r="K33" s="119">
        <f t="shared" si="3"/>
        <v>0.40256414286678116</v>
      </c>
      <c r="L33" s="277">
        <f t="shared" si="4"/>
        <v>14013444948.007792</v>
      </c>
      <c r="N33" s="275"/>
      <c r="O33" s="275"/>
      <c r="P33" s="275"/>
      <c r="Q33" s="275"/>
      <c r="R33" s="275"/>
      <c r="S33" s="275"/>
      <c r="T33" s="275"/>
      <c r="U33" s="275"/>
    </row>
    <row r="34" spans="1:21">
      <c r="A34" s="302" t="str">
        <f t="shared" si="0"/>
        <v>II</v>
      </c>
      <c r="B34" s="117">
        <v>14</v>
      </c>
      <c r="C34" s="277">
        <f t="shared" si="5"/>
        <v>124047441134.88611</v>
      </c>
      <c r="D34" s="299">
        <f t="shared" si="1"/>
        <v>2.38559171477595E-2</v>
      </c>
      <c r="E34" s="299">
        <f t="shared" si="6"/>
        <v>0.40406742273746776</v>
      </c>
      <c r="F34" s="277">
        <f t="shared" si="7"/>
        <v>50123529836.55117</v>
      </c>
      <c r="G34" s="299">
        <f t="shared" si="2"/>
        <v>0</v>
      </c>
      <c r="H34" s="277">
        <f t="shared" si="8"/>
        <v>35640900422.644424</v>
      </c>
      <c r="I34" s="299">
        <f t="shared" si="9"/>
        <v>2.3855917147759254E-2</v>
      </c>
      <c r="J34" s="299">
        <f t="shared" si="10"/>
        <v>0.28731669187669412</v>
      </c>
      <c r="K34" s="119">
        <f t="shared" si="3"/>
        <v>0.37535118216016894</v>
      </c>
      <c r="L34" s="277">
        <f t="shared" si="4"/>
        <v>13377854106.89245</v>
      </c>
      <c r="N34" s="275"/>
      <c r="O34" s="275"/>
      <c r="P34" s="275"/>
      <c r="Q34" s="275"/>
      <c r="R34" s="275"/>
      <c r="S34" s="275"/>
      <c r="T34" s="275"/>
      <c r="U34" s="275"/>
    </row>
    <row r="35" spans="1:21">
      <c r="A35" s="302" t="str">
        <f t="shared" si="0"/>
        <v>II</v>
      </c>
      <c r="B35" s="117">
        <v>15</v>
      </c>
      <c r="C35" s="277">
        <f t="shared" si="5"/>
        <v>127006706612.99152</v>
      </c>
      <c r="D35" s="299">
        <f t="shared" si="1"/>
        <v>2.38559171477595E-2</v>
      </c>
      <c r="E35" s="299">
        <f t="shared" si="6"/>
        <v>0.40406742273746776</v>
      </c>
      <c r="F35" s="277">
        <f t="shared" si="7"/>
        <v>51319272611.485184</v>
      </c>
      <c r="G35" s="299">
        <f t="shared" si="2"/>
        <v>0</v>
      </c>
      <c r="H35" s="277">
        <f t="shared" si="8"/>
        <v>36491146790.198578</v>
      </c>
      <c r="I35" s="299">
        <f t="shared" si="9"/>
        <v>2.3855917147759476E-2</v>
      </c>
      <c r="J35" s="299">
        <f t="shared" si="10"/>
        <v>0.28731669187669417</v>
      </c>
      <c r="K35" s="119">
        <f t="shared" si="3"/>
        <v>0.34997779222393377</v>
      </c>
      <c r="L35" s="277">
        <f t="shared" si="4"/>
        <v>12771090989.353186</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129546840745.25134</v>
      </c>
      <c r="D51" s="301">
        <f>Terminal_Growth</f>
        <v>0.02</v>
      </c>
      <c r="E51" s="301">
        <f>F17</f>
        <v>0.40406742273746776</v>
      </c>
      <c r="F51" s="277">
        <f>C51*E51</f>
        <v>52345658063.71489</v>
      </c>
      <c r="G51" s="299">
        <f>F18</f>
        <v>0</v>
      </c>
      <c r="H51" s="277">
        <f>(F51*(1-$I$10)+C51*(G51-$I$9))/Equity_Cost</f>
        <v>513392685875.89728</v>
      </c>
      <c r="I51" s="415">
        <f>(F51*(1-$I$10)+C51*(G51-$I$9))/VLOOKUP(C15,B21:H50,COLUMN(H20)-1,FALSE)-1</f>
        <v>2.0000000000000018E-2</v>
      </c>
      <c r="J51" s="454"/>
      <c r="K51" s="119">
        <f>1/(1+Equity_Cost)^C15</f>
        <v>0.34997779222393377</v>
      </c>
      <c r="L51" s="277">
        <f t="shared" si="4"/>
        <v>179676038746.76208</v>
      </c>
    </row>
    <row r="52" spans="1:21" ht="13.15">
      <c r="G52" s="111"/>
      <c r="H52" s="111"/>
      <c r="I52" s="111"/>
      <c r="J52" s="468" t="s">
        <v>418</v>
      </c>
      <c r="K52" s="468"/>
      <c r="L52" s="317">
        <f>SUM(L21:L51)</f>
        <v>474561895607.25757</v>
      </c>
    </row>
    <row r="53" spans="1:21">
      <c r="C53" s="111"/>
    </row>
    <row r="54" spans="1:21" ht="13.15">
      <c r="B54" s="115" t="s">
        <v>108</v>
      </c>
      <c r="C54" s="128"/>
      <c r="D54" s="128"/>
      <c r="E54" s="113"/>
      <c r="F54" s="113"/>
      <c r="G54" s="113"/>
      <c r="H54" s="113"/>
      <c r="I54" s="113"/>
      <c r="J54" s="113"/>
      <c r="K54" s="113"/>
      <c r="L54" s="113"/>
    </row>
    <row r="55" spans="1:21" ht="13.15">
      <c r="A55" s="125">
        <f>L52</f>
        <v>474561895607.25757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188.89313519662784</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160.29427540963457</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148.25683445578099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137.51069985655747</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127.91454983859043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15</v>
      </c>
      <c r="E22" s="326">
        <f>DCF!E91</f>
        <v>160.29427540963457</v>
      </c>
      <c r="F22" s="328">
        <f>1-F23-F24</f>
        <v>0.19999999999999996</v>
      </c>
      <c r="G22" s="328">
        <f>F22*(1-F$29-F$30)</f>
        <v>0.15999999999999995</v>
      </c>
    </row>
    <row r="23" spans="2:7">
      <c r="B23" s="302" t="s">
        <v>435</v>
      </c>
      <c r="C23" s="324">
        <v>0.02</v>
      </c>
      <c r="D23" s="325">
        <f>C18</f>
        <v>15</v>
      </c>
      <c r="E23" s="326">
        <f>DCF!E92</f>
        <v>148.25683445578099</v>
      </c>
      <c r="F23" s="327">
        <v>0.55000000000000004</v>
      </c>
      <c r="G23" s="328">
        <f t="shared" ref="G23:G24" si="0">F23*(1-F$29-F$30)</f>
        <v>0.44</v>
      </c>
    </row>
    <row r="24" spans="2:7">
      <c r="B24" s="302" t="s">
        <v>444</v>
      </c>
      <c r="C24" s="324">
        <v>0.01</v>
      </c>
      <c r="D24" s="325">
        <f>C18</f>
        <v>15</v>
      </c>
      <c r="E24" s="326">
        <f>DCF!E93</f>
        <v>137.51069985655747</v>
      </c>
      <c r="F24" s="327">
        <v>0.25</v>
      </c>
      <c r="G24" s="328">
        <f t="shared" si="0"/>
        <v>0.19999999999999998</v>
      </c>
    </row>
    <row r="25" spans="2:7">
      <c r="B25" s="141" t="s">
        <v>449</v>
      </c>
      <c r="C25" s="441">
        <f>E23*F23+E24*F24+E22*F22</f>
        <v>147.97778899674583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15</v>
      </c>
      <c r="E29" s="326">
        <f>DCF!E90</f>
        <v>188.89313519662784</v>
      </c>
      <c r="F29" s="327">
        <v>0.15</v>
      </c>
      <c r="G29" s="328">
        <f>F29</f>
        <v>0.15</v>
      </c>
    </row>
    <row r="30" spans="2:7">
      <c r="B30" s="315" t="s">
        <v>445</v>
      </c>
      <c r="C30" s="324">
        <v>0</v>
      </c>
      <c r="D30" s="325">
        <f>C18</f>
        <v>15</v>
      </c>
      <c r="E30" s="326">
        <f>DCF!E94</f>
        <v>127.91454983859043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106.06</v>
      </c>
      <c r="D34" t="str">
        <f>Market_currency</f>
        <v>CNY</v>
      </c>
      <c r="E34" s="97" t="s">
        <v>452</v>
      </c>
      <c r="F34" s="330">
        <f>RATE(Holding_Period,$C$33,-C34,$C$36)</f>
        <v>0.15414602261437696</v>
      </c>
    </row>
    <row r="35" spans="2:7">
      <c r="B35" s="97" t="s">
        <v>432</v>
      </c>
      <c r="C35" s="320">
        <f>DCF!C11</f>
        <v>179.64719550176477</v>
      </c>
      <c r="D35" s="97" t="str">
        <f>Market_currency</f>
        <v>CNY</v>
      </c>
      <c r="E35" s="97" t="s">
        <v>452</v>
      </c>
      <c r="F35" s="330">
        <f>RATE(Holding_Period,$C$33,-C35,$C$36)</f>
        <v>-3.5130689103101562E-2</v>
      </c>
    </row>
    <row r="36" spans="2:7">
      <c r="B36" s="97" t="s">
        <v>433</v>
      </c>
      <c r="C36" s="321">
        <f>E22*G22+E23*G23+E24*G24+E30*G30+E29*G29</f>
        <v>153.11192896882034</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152.73715485977306</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0.19905735965334909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5.2189196802236735</v>
      </c>
      <c r="D62" s="119">
        <f>C36/(1+F62)^Holding_Period</f>
        <v>70.558492612359615</v>
      </c>
      <c r="E62" s="332">
        <f>C62+D62</f>
        <v>75.777412292583293</v>
      </c>
      <c r="F62" s="301">
        <f>Thesis!E22</f>
        <v>0.29465259038036601</v>
      </c>
      <c r="G62" s="440">
        <f>(1-E62/C36)</f>
        <v>0.5050848565299273</v>
      </c>
    </row>
    <row r="63" spans="2:7" ht="13.15">
      <c r="B63" s="302" t="s">
        <v>312</v>
      </c>
      <c r="C63" s="119">
        <f>PV(F63, Holding_Period, -C58, 0)</f>
        <v>6.0008296580061398</v>
      </c>
      <c r="D63" s="119">
        <f>C36/(1+F63)^Holding_Period</f>
        <v>88.44010337549193</v>
      </c>
      <c r="E63" s="332">
        <f>C63+D63</f>
        <v>94.440933033498069</v>
      </c>
      <c r="F63" s="301">
        <f>Thesis!E23</f>
        <v>0.20075184365903001</v>
      </c>
      <c r="G63" s="440">
        <f>(1-E63/C36)</f>
        <v>0.38319023429761645</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6.8809853754896215</v>
      </c>
      <c r="D66" s="119">
        <f>C36/(1+F66)^Holding_Period</f>
        <v>109.7445663829462</v>
      </c>
      <c r="E66" s="332">
        <f>C66+D66</f>
        <v>116.62555175843582</v>
      </c>
      <c r="F66" s="301">
        <f>Thesis!E24</f>
        <v>0.1174</v>
      </c>
      <c r="G66" s="440">
        <f>(1-E66/C36)</f>
        <v>0.23829872339871438</v>
      </c>
    </row>
    <row r="67" spans="2:7" ht="13.15">
      <c r="B67" s="302" t="s">
        <v>313</v>
      </c>
      <c r="C67" s="119">
        <f>PV(F67, Holding_Period, -C58, 0)</f>
        <v>7.4507553854201589</v>
      </c>
      <c r="D67" s="119">
        <f>C36/(1+F67)^Holding_Period</f>
        <v>124.11295772766583</v>
      </c>
      <c r="E67" s="332">
        <f>C67+D67</f>
        <v>131.56371311308598</v>
      </c>
      <c r="F67" s="301">
        <f>Thesis!E25</f>
        <v>7.2499999999999995E-2</v>
      </c>
      <c r="G67" s="440">
        <f>(1-E67/C36)</f>
        <v>0.14073505572594824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106.06</v>
      </c>
    </row>
    <row r="9" spans="1:10">
      <c r="B9" s="351" t="s">
        <v>359</v>
      </c>
      <c r="C9" s="353">
        <f>Common_Shares</f>
        <v>3881608005</v>
      </c>
    </row>
    <row r="10" spans="1:10">
      <c r="B10" s="351" t="s">
        <v>365</v>
      </c>
      <c r="C10" s="357">
        <f>投资主题!C8*Common_Shares/1000000</f>
        <v>411683.34501029999</v>
      </c>
      <c r="D10" s="343" t="s">
        <v>526</v>
      </c>
      <c r="E10" s="360">
        <f>Scenarios!F34</f>
        <v>0.15414602261437696</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153.11192896882034</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75.777412292583293</v>
      </c>
      <c r="D22" s="365" t="s">
        <v>438</v>
      </c>
      <c r="E22" s="366">
        <f>Thesis!E22</f>
        <v>0.29465259038036601</v>
      </c>
    </row>
    <row r="23" spans="1:6">
      <c r="B23" s="343" t="s">
        <v>339</v>
      </c>
      <c r="C23" s="367">
        <f>E141</f>
        <v>94.440933033498069</v>
      </c>
      <c r="D23" s="365" t="s">
        <v>439</v>
      </c>
      <c r="E23" s="368">
        <f>Thesis!E23</f>
        <v>0.20075184365903001</v>
      </c>
    </row>
    <row r="24" spans="1:6">
      <c r="B24" s="343" t="s">
        <v>341</v>
      </c>
      <c r="C24" s="367">
        <f>E144</f>
        <v>116.62555175843582</v>
      </c>
      <c r="D24" s="365" t="s">
        <v>441</v>
      </c>
      <c r="E24" s="368">
        <f>Thesis!E24</f>
        <v>0.1174</v>
      </c>
    </row>
    <row r="25" spans="1:6">
      <c r="B25" s="343" t="s">
        <v>340</v>
      </c>
      <c r="C25" s="367">
        <f>E145</f>
        <v>131.56371311308598</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7.2391319447967964E-2</v>
      </c>
      <c r="F62" s="379"/>
    </row>
    <row r="63" spans="2:6">
      <c r="B63" s="377" t="s">
        <v>330</v>
      </c>
      <c r="C63" s="378">
        <f>Normalized_FCF!C92</f>
        <v>2.6891382236469922E-2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15</v>
      </c>
      <c r="E118" s="398" t="str">
        <f>ROUND(DCF!E90,2)&amp;" "&amp;Market_currency</f>
        <v>188.89 CNY</v>
      </c>
      <c r="F118" s="399">
        <f>DCF!F90</f>
        <v>0.15</v>
      </c>
    </row>
    <row r="119" spans="1:6">
      <c r="A119" s="385"/>
      <c r="B119" s="400" t="str">
        <f>DCF!B91</f>
        <v>Optimistic</v>
      </c>
      <c r="C119" s="401">
        <f>DCF!C91</f>
        <v>0.03</v>
      </c>
      <c r="D119" s="402">
        <f>DCF!D91</f>
        <v>15</v>
      </c>
      <c r="E119" s="398" t="str">
        <f>ROUND(DCF!E91,2)&amp;" "&amp;Market_currency</f>
        <v>160.29 CNY</v>
      </c>
      <c r="F119" s="403">
        <f>DCF!F91</f>
        <v>0.15999999999999995</v>
      </c>
    </row>
    <row r="120" spans="1:6">
      <c r="B120" s="400" t="str">
        <f>DCF!B92</f>
        <v>Base</v>
      </c>
      <c r="C120" s="401">
        <f>DCF!C92</f>
        <v>0.02</v>
      </c>
      <c r="D120" s="402">
        <f>DCF!D92</f>
        <v>15</v>
      </c>
      <c r="E120" s="398" t="str">
        <f>ROUND(DCF!E92,2)&amp;" "&amp;Market_currency</f>
        <v>148.26 CNY</v>
      </c>
      <c r="F120" s="403">
        <f>DCF!F92</f>
        <v>0.44</v>
      </c>
    </row>
    <row r="121" spans="1:6">
      <c r="B121" s="400" t="str">
        <f>DCF!B93</f>
        <v>Pessimistic</v>
      </c>
      <c r="C121" s="401">
        <f>DCF!C93</f>
        <v>0.01</v>
      </c>
      <c r="D121" s="402">
        <f>DCF!D93</f>
        <v>15</v>
      </c>
      <c r="E121" s="398" t="str">
        <f>ROUND(DCF!E93,2)&amp;" "&amp;Market_currency</f>
        <v>137.51 CNY</v>
      </c>
      <c r="F121" s="403">
        <f>DCF!F93</f>
        <v>0.19999999999999998</v>
      </c>
    </row>
    <row r="122" spans="1:6">
      <c r="B122" s="400" t="str">
        <f>DCF!B94</f>
        <v>Devil's advocate</v>
      </c>
      <c r="C122" s="401">
        <f>DCF!C94</f>
        <v>0</v>
      </c>
      <c r="D122" s="402">
        <f>DCF!D94</f>
        <v>15</v>
      </c>
      <c r="E122" s="398" t="str">
        <f>ROUND(DCF!E94,2)&amp;" "&amp;Market_currency</f>
        <v>127.91 CNY</v>
      </c>
      <c r="F122" s="403">
        <f>DCF!F94</f>
        <v>0.05</v>
      </c>
    </row>
    <row r="124" spans="1:6">
      <c r="B124" s="470" t="s">
        <v>516</v>
      </c>
      <c r="C124" s="470"/>
      <c r="D124" s="470"/>
      <c r="E124" s="470"/>
      <c r="F124" s="470"/>
    </row>
    <row r="125" spans="1:6">
      <c r="B125" s="372" t="s">
        <v>218</v>
      </c>
      <c r="C125" s="404">
        <f>Scenarios!C36</f>
        <v>153.11192896882034</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5.2189196802236735</v>
      </c>
      <c r="D140" s="409">
        <f>Scenarios!D62</f>
        <v>70.558492612359615</v>
      </c>
      <c r="E140" s="410">
        <f>Scenarios!E62</f>
        <v>75.777412292583293</v>
      </c>
      <c r="F140" s="411">
        <f>E22</f>
        <v>0.29465259038036601</v>
      </c>
    </row>
    <row r="141" spans="1:6">
      <c r="B141" s="408" t="s">
        <v>312</v>
      </c>
      <c r="C141" s="409">
        <f>Scenarios!C63</f>
        <v>6.0008296580061398</v>
      </c>
      <c r="D141" s="409">
        <f>Scenarios!D63</f>
        <v>88.44010337549193</v>
      </c>
      <c r="E141" s="410">
        <f>Scenarios!E63</f>
        <v>94.440933033498069</v>
      </c>
      <c r="F141" s="411">
        <f>Scenarios!F63</f>
        <v>0.20075184365903001</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6.8809853754896215</v>
      </c>
      <c r="D144" s="409">
        <f>Scenarios!D66</f>
        <v>109.7445663829462</v>
      </c>
      <c r="E144" s="410">
        <f>Scenarios!E66</f>
        <v>116.62555175843582</v>
      </c>
      <c r="F144" s="411">
        <f>E24</f>
        <v>0.1174</v>
      </c>
    </row>
    <row r="145" spans="1:6">
      <c r="B145" s="408" t="s">
        <v>313</v>
      </c>
      <c r="C145" s="409">
        <f>Scenarios!C67</f>
        <v>7.4507553854201589</v>
      </c>
      <c r="D145" s="409">
        <f>Scenarios!D67</f>
        <v>124.11295772766583</v>
      </c>
      <c r="E145" s="410">
        <f>Scenarios!E67</f>
        <v>131.56371311308598</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2026-02-13T09:08:27Z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