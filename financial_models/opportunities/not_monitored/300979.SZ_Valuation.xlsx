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4DE1C0A-EF4B-48F9-8AE5-39AB7197F0F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D6" i="4"/>
  <c r="C6" i="4"/>
  <c r="D5" i="4"/>
  <c r="C5"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<sst xmlns="http://schemas.openxmlformats.org/spreadsheetml/2006/main" count="768" uniqueCount="557">
  <si>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</si>
  <si>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</si>
  <si>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</si>
  <si>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</si>
  <si>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</si>
  <si>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</si>
  <si>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</si>
  <si>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</si>
  <si>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</si>
  <si>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</si>
  <si>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</si>
  <si>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</si>
  <si>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</si>
  <si>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</si>
  <si>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</si>
  <si>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</si>
  <si>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</si>
  <si>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</si>
  <si>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</si>
  <si>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</si>
  <si>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</si>
  <si>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</si>
  <si>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</si>
  <si>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</si>
  <si>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</si>
  <si>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</si>
  <si>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</si>
  <si>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</si>
  <si>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</si>
  <si>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</si>
  <si>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</si>
  <si>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</si>
  <si>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</si>
  <si>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</si>
  <si>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</si>
  <si>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</si>
  <si>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</si>
  <si>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</si>
  <si>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</si>
  <si>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</si>
  <si>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</si>
  <si>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</si>
  <si>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</si>
  <si>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</si>
  <si>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</si>
  <si>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</si>
  <si>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</si>
  <si>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</si>
  <si>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</si>
  <si>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</si>
  <si>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</si>
  <si>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</si>
  <si>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</si>
  <si>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</si>
  <si>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</si>
  <si>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</si>
  <si>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</si>
  <si>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</si>
  <si>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</si>
  <si>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</si>
  <si>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</si>
  <si>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</si>
  <si>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</si>
  <si>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</si>
  <si>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</si>
  <si>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</si>
  <si>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</si>
  <si>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</si>
  <si>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</si>
  <si>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</si>
  <si>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</si>
  <si>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</si>
  <si>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</si>
  <si>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</si>
  <si>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</si>
  <si>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</si>
  <si>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</si>
  <si>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</si>
  <si>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</si>
  <si>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</si>
  <si>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</si>
  <si>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</si>
  <si>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</si>
  <si>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</si>
  <si>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</si>
  <si>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</si>
  <si>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</si>
  <si>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</si>
  <si>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</si>
  <si>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</si>
  <si>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</si>
  <si>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</si>
  <si>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</si>
  <si>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</si>
  <si>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</si>
  <si>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</si>
  <si>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</si>
  <si>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</si>
  <si>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</si>
  <si>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</si>
  <si>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</si>
  <si>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</si>
  <si>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</si>
  <si>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</si>
  <si>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</si>
  <si>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</si>
  <si>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</si>
  <si>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</si>
  <si>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</si>
  <si>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</si>
  <si>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</si>
  <si>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</si>
  <si>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</si>
  <si>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</si>
  <si>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</si>
  <si>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</si>
  <si>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</si>
  <si>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</si>
  <si>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</si>
  <si>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</si>
  <si>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</si>
  <si>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</si>
  <si>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</si>
  <si>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</si>
  <si>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</si>
  <si>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</si>
  <si>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</si>
  <si>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</si>
  <si>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</si>
  <si>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</si>
  <si>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</si>
  <si>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</si>
  <si>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</si>
  <si>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</si>
  <si>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</si>
  <si>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</si>
  <si>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</si>
  <si>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</si>
  <si>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</si>
  <si>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</si>
  <si>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</si>
  <si>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</si>
  <si>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</si>
  <si>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</si>
  <si>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</si>
  <si>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</si>
  <si>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</si>
  <si>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</si>
  <si>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</si>
  <si>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</si>
  <si>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</si>
  <si>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</si>
  <si>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</si>
  <si>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</si>
  <si>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</si>
  <si>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</si>
  <si>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</si>
  <si>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</si>
  <si>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</si>
  <si>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</si>
  <si>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</si>
  <si>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</si>
  <si>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</si>
  <si>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</si>
  <si>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</si>
  <si>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</si>
  <si>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</si>
  <si>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</si>
  <si>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</si>
  <si>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</si>
  <si>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</si>
  <si>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</si>
  <si>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</si>
  <si>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</si>
  <si>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</si>
  <si>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</si>
  <si>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</si>
  <si>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</si>
  <si>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</si>
  <si>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</si>
  <si>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</si>
  <si>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</si>
  <si>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</si>
  <si>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</si>
  <si>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</si>
  <si>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</si>
  <si>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</si>
  <si>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</si>
  <si>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</si>
  <si>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</si>
  <si>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</si>
  <si>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</si>
  <si>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</si>
  <si>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</si>
  <si>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</si>
  <si>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</si>
  <si>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</si>
  <si>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</si>
  <si>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</si>
  <si>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</si>
  <si>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</si>
  <si>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</si>
  <si>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</si>
  <si>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</si>
  <si>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</si>
  <si>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</si>
  <si>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</si>
  <si>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</si>
  <si>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</si>
  <si>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</si>
  <si>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</si>
  <si>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</si>
  <si>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</si>
  <si>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</si>
  <si>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</si>
  <si>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</si>
  <si>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</si>
  <si>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</si>
  <si>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</si>
  <si>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</si>
  <si>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</si>
  <si>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</si>
  <si>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</si>
  <si>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</si>
  <si>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</si>
  <si>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</si>
  <si>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</si>
  <si>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</si>
  <si>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</si>
  <si>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</si>
  <si>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</si>
  <si>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</si>
  <si>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</si>
  <si>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</si>
  <si>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</si>
  <si>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</si>
  <si>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</si>
  <si>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</si>
  <si>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</si>
  <si>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</si>
  <si>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</si>
  <si>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</si>
  <si>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</si>
  <si>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</si>
  <si>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</si>
  <si>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</si>
  <si>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</si>
  <si>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</si>
  <si>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</si>
  <si>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</si>
  <si>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</si>
  <si>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</si>
  <si>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</si>
  <si>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</si>
  <si>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</si>
  <si>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</si>
  <si>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</si>
  <si>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</si>
  <si>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</si>
  <si>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</si>
  <si>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</si>
  <si>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</si>
  <si>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</si>
  <si>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</si>
  <si>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</si>
  <si>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</si>
  <si>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</si>
  <si>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</si>
  <si>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</si>
  <si>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</si>
  <si>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</si>
  <si>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</si>
  <si>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</si>
  <si>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</si>
  <si>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</si>
  <si>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</si>
  <si>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</si>
  <si>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</si>
  <si>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</si>
  <si>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</si>
  <si>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</si>
  <si>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</si>
  <si>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</si>
  <si>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</si>
  <si>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</si>
  <si>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</si>
  <si>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</si>
  <si>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</si>
  <si>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</si>
  <si>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</si>
  <si>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</si>
  <si>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</si>
  <si>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</si>
  <si>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</si>
  <si>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</si>
  <si>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</si>
  <si>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</si>
  <si>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</si>
  <si>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</si>
  <si>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</si>
  <si>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</si>
  <si>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</si>
  <si>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</si>
  <si>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</si>
  <si>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</si>
  <si>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</si>
  <si>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</si>
  <si>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</si>
  <si>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</si>
  <si>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</si>
  <si>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</si>
  <si>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</si>
  <si>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</si>
  <si>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</si>
  <si>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</si>
  <si>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</si>
  <si>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</si>
  <si>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</si>
  <si>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</si>
  <si>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</si>
  <si>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</si>
  <si>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</si>
  <si>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</si>
  <si>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</si>
  <si>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</si>
  <si>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</si>
  <si>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</si>
  <si>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</si>
  <si>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</si>
  <si>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</si>
  <si>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</si>
  <si>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</si>
  <si>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</si>
  <si>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</si>
  <si>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</si>
  <si>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</si>
  <si>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</si>
  <si>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</si>
  <si>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</si>
  <si>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</si>
  <si>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</si>
  <si>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</si>
  <si>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</si>
  <si>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</si>
  <si>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</si>
  <si>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</si>
  <si>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</si>
  <si>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</si>
  <si>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</si>
  <si>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</si>
  <si>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</si>
  <si>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</si>
  <si>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</si>
  <si>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</si>
  <si>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</si>
  <si>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</si>
  <si>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</si>
  <si>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</si>
  <si>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</si>
  <si>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</si>
  <si>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</si>
  <si>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</si>
  <si>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</si>
  <si>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</si>
  <si>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</si>
  <si>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</si>
  <si>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</si>
  <si>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</si>
  <si>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</si>
  <si>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</si>
  <si>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</si>
  <si>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</si>
  <si>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</si>
  <si>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</si>
  <si>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</si>
  <si>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</si>
  <si>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</si>
  <si>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</si>
  <si>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</si>
  <si>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</si>
  <si>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</si>
  <si>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</si>
  <si>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</si>
  <si>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</si>
  <si>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</si>
  <si>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</si>
  <si>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</si>
  <si>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</si>
  <si>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</si>
  <si>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</si>
  <si>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</si>
  <si>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</si>
  <si>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</si>
  <si>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</si>
  <si>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</si>
  <si>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</si>
  <si>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</si>
  <si>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</si>
  <si>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</si>
  <si>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</si>
  <si>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</si>
  <si>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</si>
  <si>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</si>
  <si>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</si>
  <si>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</si>
  <si>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</si>
  <si>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</si>
  <si>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</si>
  <si>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</si>
  <si>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</si>
  <si>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</si>
  <si>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</si>
  <si>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</si>
  <si>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</si>
  <si>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</si>
  <si>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</si>
  <si>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</si>
  <si>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</si>
  <si>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</si>
  <si>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</si>
  <si>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</si>
  <si>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</si>
  <si>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</si>
  <si>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</si>
  <si>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</si>
  <si>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</si>
  <si>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</si>
  <si>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</si>
  <si>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</si>
  <si>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</si>
  <si>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</si>
  <si>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</si>
  <si>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</si>
  <si>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</si>
  <si>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</si>
  <si>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</si>
  <si>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</si>
  <si>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</si>
  <si>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</si>
  <si>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</si>
  <si>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</si>
  <si>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</si>
  <si>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</si>
  <si>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</si>
  <si>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</si>
  <si>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</si>
  <si>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</si>
  <si>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</si>
  <si>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</si>
  <si>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</si>
  <si>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</si>
  <si>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</si>
  <si>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</si>
  <si>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</si>
  <si>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</si>
  <si>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</si>
  <si>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</si>
  <si>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</si>
  <si>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</si>
  <si>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</si>
  <si>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</si>
  <si>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</si>
  <si>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</si>
  <si>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</si>
  <si>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</si>
  <si>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</si>
  <si>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</si>
  <si>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</si>
  <si>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</si>
  <si>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</si>
  <si>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</si>
  <si>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</si>
  <si>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</si>
  <si>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</si>
  <si>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</si>
  <si>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</si>
  <si>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</si>
  <si>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</si>
  <si>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</si>
  <si>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</si>
  <si>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</si>
  <si>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</si>
  <si>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</si>
  <si>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</si>
  <si>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</si>
  <si>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</si>
  <si>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</si>
  <si>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</si>
  <si>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</si>
  <si>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</si>
  <si>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</si>
  <si>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</si>
  <si>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</si>
  <si>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</si>
  <si>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</si>
  <si>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</si>
  <si>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</si>
  <si>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</si>
  <si>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</si>
  <si>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</si>
  <si>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</si>
  <si>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</si>
  <si>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</si>
  <si>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</si>
  <si>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</si>
  <si>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</si>
  <si>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</si>
  <si>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</si>
  <si>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</si>
  <si>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</si>
  <si>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</si>
  <si>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</si>
  <si>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</si>
  <si>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</si>
  <si>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</si>
  <si>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</si>
  <si>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</si>
  <si>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</si>
  <si>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</si>
  <si>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</si>
  <si>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</si>
  <si>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</si>
  <si>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</si>
  <si>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</si>
  <si>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</si>
  <si>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</si>
  <si>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</si>
  <si>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</si>
  <si>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</si>
  <si>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</si>
  <si>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</si>
  <si>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</si>
  <si>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</si>
  <si>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</si>
  <si>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</si>
  <si>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</si>
  <si>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</si>
  <si>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</si>
  <si>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</si>
  <si>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</si>
  <si>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</si>
  <si>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</si>
  <si>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</si>
  <si>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</si>
  <si>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</si>
  <si>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</si>
  <si>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</si>
  <si>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</si>
  <si>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</si>
  <si>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</si>
  <si>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</si>
  <si>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</si>
  <si>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300979.SZ</t>
  </si>
  <si>
    <t>CNY</t>
  </si>
  <si>
    <t>华利集团</t>
  </si>
  <si>
    <t>CN</t>
  </si>
  <si>
    <t>CNS_02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</si>
</sst>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4" sqref="C1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46077</v>
      </c>
    </row>
    <row r="4" spans="1:9" ht="12.4">
      <c r="B4" s="421" t="s">
        <v>530</v>
      </c>
      <c r="C4" s="420" t="s">
        <v>554</v>
      </c>
      <c r="E4" s="430" t="s">
        <v>534</v>
      </c>
      <c r="F4" s="431" t="s">
        <v>555</v>
      </c>
    </row>
    <row r="5" spans="1:9">
      <c r="B5" s="1" t="s">
        <v>347</v>
      </c>
      <c r="C5" s="46" t="s">
        <v>552</v>
      </c>
      <c r="E5" s="433" t="s">
        <v>536</v>
      </c>
      <c r="F5" s="432" t="s">
        <v>543</v>
      </c>
    </row>
    <row r="6" spans="1:9">
      <c r="B6" s="2" t="s">
        <v>53</v>
      </c>
      <c r="C6" s="45" t="s">
        <v>556</v>
      </c>
      <c r="D6" s="45"/>
      <c r="E6" s="45"/>
    </row>
    <row r="7" spans="1:9">
      <c r="B7" s="1" t="s">
        <v>349</v>
      </c>
      <c r="C7" s="45" t="s">
        <v>553</v>
      </c>
      <c r="D7" s="45"/>
      <c r="E7" s="45"/>
    </row>
    <row r="8" spans="1:9">
      <c r="B8" s="4" t="s">
        <v>348</v>
      </c>
      <c r="C8" s="47">
        <v>48.95</v>
      </c>
      <c r="E8" s="32"/>
    </row>
    <row r="9" spans="1:9">
      <c r="B9" s="4" t="s">
        <v>344</v>
      </c>
      <c r="C9" s="48">
        <v>1167000000</v>
      </c>
    </row>
    <row r="10" spans="1:9">
      <c r="B10" s="4" t="s">
        <v>350</v>
      </c>
      <c r="C10" s="33">
        <f>Thesis!C8*Common_Shares/1000000</f>
        <v>57124.65</v>
      </c>
      <c r="D10" s="1" t="s">
        <v>525</v>
      </c>
      <c r="E10" s="303">
        <f>Scenarios!F34</f>
        <v>8.05651608340405E-2</v>
      </c>
    </row>
    <row r="11" spans="1:9">
      <c r="D11" s="5"/>
      <c r="E11" s="5"/>
    </row>
    <row r="12" spans="1:9" ht="24.5" customHeight="1">
      <c r="B12" s="460" t="s">
        <v>353</v>
      </c>
      <c r="C12" s="460"/>
      <c r="D12" s="460"/>
      <c r="E12" s="460"/>
      <c r="F12" s="460"/>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0.01</v>
      </c>
      <c r="D17" s="4" t="s">
        <v>274</v>
      </c>
      <c r="E17" s="224" t="s">
        <v>553</v>
      </c>
    </row>
    <row r="18" spans="1:6">
      <c r="B18" s="1" t="str">
        <f>"Expected Equity Value ("&amp;C7&amp;") :"</f>
        <v>Expected Equity Value (CNY) :</v>
      </c>
      <c r="C18" s="252">
        <f>C125</f>
        <v>54.288928790724519</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29.226598159949372</v>
      </c>
      <c r="D22" s="38" t="s">
        <v>404</v>
      </c>
      <c r="E22" s="79">
        <v>0.29465259038036601</v>
      </c>
    </row>
    <row r="23" spans="1:6">
      <c r="B23" s="1" t="s">
        <v>312</v>
      </c>
      <c r="C23" s="256">
        <f>E141</f>
        <v>36.197435095021866</v>
      </c>
      <c r="D23" s="38" t="s">
        <v>405</v>
      </c>
      <c r="E23" s="443">
        <v>0.20075184365903001</v>
      </c>
    </row>
    <row r="24" spans="1:6">
      <c r="B24" s="1" t="s">
        <v>314</v>
      </c>
      <c r="C24" s="256">
        <f>E144</f>
        <v>44.461141126051231</v>
      </c>
      <c r="D24" s="38" t="s">
        <v>406</v>
      </c>
      <c r="E24" s="443">
        <v>0.1174</v>
      </c>
    </row>
    <row r="25" spans="1:6">
      <c r="B25" s="1" t="s">
        <v>313</v>
      </c>
      <c r="C25" s="256">
        <f>E145</f>
        <v>50.015220493730425</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5129811607.3060226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21560682.014963977</v>
      </c>
      <c r="D44" s="1" t="str">
        <f>Reporting_currency</f>
        <v>CNY</v>
      </c>
      <c r="E44" s="244"/>
      <c r="F44" s="244"/>
    </row>
    <row r="45" spans="2:6">
      <c r="B45" s="44" t="s">
        <v>268</v>
      </c>
      <c r="C45" s="286">
        <f>Normalized_FCF!C45</f>
        <v>-140238195.86939999</v>
      </c>
      <c r="D45" s="1" t="str">
        <f>Reporting_currency</f>
        <v>CNY</v>
      </c>
      <c r="E45" s="244"/>
      <c r="F45" s="244"/>
    </row>
    <row r="46" spans="2:6">
      <c r="B46" s="44" t="s">
        <v>203</v>
      </c>
      <c r="C46" s="285">
        <f>Normalized_FCF!C10</f>
        <v>-118677513.85443601</v>
      </c>
      <c r="D46" s="1" t="str">
        <f>Reporting_currency</f>
        <v>CNY</v>
      </c>
    </row>
    <row r="48" spans="2:6">
      <c r="B48" s="1" t="s">
        <v>211</v>
      </c>
    </row>
    <row r="49" spans="2:6">
      <c r="B49" s="44" t="s">
        <v>223</v>
      </c>
      <c r="C49" s="285">
        <f>Normalized_FCF!C13</f>
        <v>-1705.9869043465681</v>
      </c>
      <c r="D49" s="1" t="str">
        <f>Reporting_currency</f>
        <v>CNY</v>
      </c>
    </row>
    <row r="51" spans="2:6">
      <c r="B51" s="461" t="s">
        <v>206</v>
      </c>
      <c r="C51" s="461"/>
      <c r="D51" s="461"/>
      <c r="E51" s="461"/>
      <c r="F51" s="461"/>
    </row>
    <row r="52" spans="2:6">
      <c r="B52" s="44" t="s">
        <v>204</v>
      </c>
      <c r="C52" s="285">
        <f>Normalized_FCF!C12</f>
        <v>-1252783523.3628967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3809265502.0200481</v>
      </c>
      <c r="D60" s="1" t="str">
        <f>Reporting_currency</f>
        <v>CNY</v>
      </c>
    </row>
    <row r="61" spans="2:6">
      <c r="B61" s="44" t="s">
        <v>213</v>
      </c>
      <c r="C61" s="285">
        <f>Normalized_FCF!C19</f>
        <v>3758348864.1017857</v>
      </c>
      <c r="D61" s="1" t="str">
        <f>Reporting_currency</f>
        <v>CNY</v>
      </c>
    </row>
    <row r="62" spans="2:6">
      <c r="B62" s="204" t="s">
        <v>302</v>
      </c>
      <c r="C62" s="89">
        <f>Normalized_FCF!C124</f>
        <v>6.5792068119485819E-2</v>
      </c>
      <c r="F62" s="257"/>
    </row>
    <row r="63" spans="2:6">
      <c r="B63" s="204" t="s">
        <v>330</v>
      </c>
      <c r="C63" s="89">
        <f>Normalized_FCF!C92</f>
        <v>4.698672114402451E-2</v>
      </c>
      <c r="E63" s="44" t="s">
        <v>321</v>
      </c>
      <c r="F63" s="258">
        <f>Normalized_FCF!C90</f>
        <v>0.71416999779808299</v>
      </c>
    </row>
    <row r="65" spans="1:6">
      <c r="B65" s="192" t="s">
        <v>323</v>
      </c>
      <c r="C65" s="264" t="s">
        <v>325</v>
      </c>
      <c r="D65" s="264" t="s">
        <v>326</v>
      </c>
    </row>
    <row r="66" spans="1:6">
      <c r="B66" s="44" t="s">
        <v>324</v>
      </c>
      <c r="C66" s="89">
        <f>Normalized_FCF!E119</f>
        <v>0.3</v>
      </c>
      <c r="D66" s="89">
        <f>Normalized_FCF!G119</f>
        <v>0.30439765708831501</v>
      </c>
    </row>
    <row r="67" spans="1:6">
      <c r="B67" s="229" t="str">
        <f>Normalized_FCF!B116</f>
        <v>Pre-tax Profit/Sales</v>
      </c>
      <c r="C67" s="263">
        <f>Normalized_FCF!E116</f>
        <v>0.20202354119791383</v>
      </c>
      <c r="D67" s="263">
        <f>Normalized_FCF!G116</f>
        <v>0.20498497539109883</v>
      </c>
    </row>
    <row r="68" spans="1:6">
      <c r="B68" s="229" t="str">
        <f>Normalized_FCF!B117</f>
        <v>Sales/Total Assets</v>
      </c>
      <c r="C68" s="265">
        <f>Normalized_FCF!E117</f>
        <v>0.94234987040046703</v>
      </c>
      <c r="D68" s="265">
        <f>Normalized_FCF!G117</f>
        <v>0.94234987040046703</v>
      </c>
    </row>
    <row r="69" spans="1:6">
      <c r="B69" s="229" t="str">
        <f>Normalized_FCF!B118</f>
        <v>Total Assets/Equity</v>
      </c>
      <c r="C69" s="265">
        <f>Normalized_FCF!E118</f>
        <v>1.5758217850808147</v>
      </c>
      <c r="D69" s="265">
        <f>Normalized_FCF!G118</f>
        <v>1.5758217850808147</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-2337303264.4899998</v>
      </c>
      <c r="D78" s="1" t="str">
        <f>Reporting_currency</f>
        <v>CNY</v>
      </c>
    </row>
    <row r="79" spans="1:6">
      <c r="A79" s="191"/>
      <c r="B79" s="44" t="s">
        <v>234</v>
      </c>
      <c r="C79" s="201">
        <f>C78*scaling_factor*Exchange_Rate/Common_Shares</f>
        <v>-2.0028305608311907</v>
      </c>
      <c r="D79" s="1" t="str">
        <f>Market_currency</f>
        <v>CNY</v>
      </c>
    </row>
    <row r="80" spans="1:6">
      <c r="A80" s="191"/>
      <c r="B80" s="229" t="s">
        <v>308</v>
      </c>
      <c r="C80" s="337">
        <f>IF(BS!G31/BS!G27&gt;300%,"nm",BS!G31/BS!G27)</f>
        <v>0.14457973293043916</v>
      </c>
    </row>
    <row r="81" spans="1:6">
      <c r="A81" s="191"/>
      <c r="B81" s="229" t="s">
        <v>310</v>
      </c>
      <c r="C81" s="338">
        <f>IF(BS!C50&gt;30,"nm",BS!C50)</f>
        <v>0.45563140392156826</v>
      </c>
    </row>
    <row r="82" spans="1:6">
      <c r="A82" s="191"/>
    </row>
    <row r="83" spans="1:6">
      <c r="A83" s="191"/>
      <c r="B83" s="1" t="s">
        <v>464</v>
      </c>
    </row>
    <row r="84" spans="1:6">
      <c r="A84" s="191"/>
      <c r="B84" s="1" t="s">
        <v>224</v>
      </c>
      <c r="C84" s="285">
        <f>DCF!F5</f>
        <v>4137556467.9860034</v>
      </c>
      <c r="D84" s="1" t="str">
        <f>Reporting_currency</f>
        <v>CNY</v>
      </c>
    </row>
    <row r="85" spans="1:6">
      <c r="A85" s="191"/>
      <c r="B85" s="229" t="s">
        <v>222</v>
      </c>
      <c r="C85" s="291">
        <f>BS!C66</f>
        <v>7731003470.4799995</v>
      </c>
      <c r="D85" s="339" t="str">
        <f>Reporting_currency</f>
        <v>CNY</v>
      </c>
    </row>
    <row r="86" spans="1:6">
      <c r="A86" s="191"/>
      <c r="B86" s="44" t="s">
        <v>235</v>
      </c>
      <c r="C86" s="201">
        <f>C84*scaling_factor*Exchange_Rate/Common_Shares</f>
        <v>3.5454639828500456</v>
      </c>
      <c r="D86" s="1" t="str">
        <f>Market_currency</f>
        <v>CNY</v>
      </c>
    </row>
    <row r="87" spans="1:6">
      <c r="A87" s="191"/>
    </row>
    <row r="88" spans="1:6">
      <c r="A88" s="191"/>
      <c r="B88" s="1" t="s">
        <v>216</v>
      </c>
    </row>
    <row r="89" spans="1:6">
      <c r="A89" s="191"/>
      <c r="B89" s="1" t="s">
        <v>217</v>
      </c>
      <c r="C89" s="285">
        <f>DCF!F6</f>
        <v>853253884.91900003</v>
      </c>
      <c r="D89" s="1" t="str">
        <f>Reporting_currency</f>
        <v>CNY</v>
      </c>
    </row>
    <row r="90" spans="1:6">
      <c r="A90" s="191"/>
      <c r="B90" s="44" t="s">
        <v>236</v>
      </c>
      <c r="C90" s="201">
        <f>C89*scaling_factor*Exchange_Rate/Common_Shares</f>
        <v>0.73115157233847472</v>
      </c>
      <c r="D90" s="1" t="str">
        <f>Market_currency</f>
        <v>CNY</v>
      </c>
    </row>
    <row r="91" spans="1:6">
      <c r="A91" s="191"/>
    </row>
    <row r="92" spans="1:6">
      <c r="A92" s="191"/>
      <c r="B92" s="44" t="s">
        <v>467</v>
      </c>
      <c r="C92" s="216">
        <f>DCF!F8</f>
        <v>2.2737849943573298</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3.2235991107622088</v>
      </c>
      <c r="D111" s="1" t="str">
        <f>Market_currency</f>
        <v>CNY</v>
      </c>
    </row>
    <row r="112" spans="2:6">
      <c r="B112" s="44" t="s">
        <v>322</v>
      </c>
      <c r="C112" s="216">
        <f>DCF!C11</f>
        <v>54.317416223050444</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(10yrs)</v>
      </c>
      <c r="C118" s="206">
        <f>DCF!C90</f>
        <v>0.05</v>
      </c>
      <c r="D118" s="207" t="str">
        <f>ROUND(DCF!E90,2)&amp;" "&amp;Market_currency</f>
        <v>65.58 CNY</v>
      </c>
      <c r="E118" s="208">
        <f>DCF!F90</f>
        <v>0.15</v>
      </c>
      <c r="F118" s="208">
        <f>RATE(Holding_Period,Scenarios!C$58,-DCF!E90,C$18)</f>
        <v>-2.3711651808313684E-2</v>
      </c>
    </row>
    <row r="119" spans="2:6">
      <c r="B119" s="205" t="str">
        <f>DCF!B91&amp;" ("&amp;DCF!D91&amp;"yrs)"</f>
        <v>Optimistic (10yrs)</v>
      </c>
      <c r="C119" s="198">
        <f>DCF!C91</f>
        <v>0.03</v>
      </c>
      <c r="D119" s="207" t="str">
        <f>ROUND(DCF!E91,2)&amp;" "&amp;Market_currency</f>
        <v>56.75 CNY</v>
      </c>
      <c r="E119" s="199">
        <f>DCF!F91</f>
        <v>0.15999999999999995</v>
      </c>
      <c r="F119" s="208">
        <f>RATE(Holding_Period,Scenarios!C$58,-DCF!E91,C$18)</f>
        <v>2.6438258161387704E-2</v>
      </c>
    </row>
    <row r="120" spans="2:6">
      <c r="B120" s="205" t="str">
        <f>DCF!B92&amp;" ("&amp;DCF!D92&amp;"yrs)"</f>
        <v>Base (10yrs)</v>
      </c>
      <c r="C120" s="198">
        <f>DCF!C92</f>
        <v>0.02</v>
      </c>
      <c r="D120" s="207" t="str">
        <f>ROUND(DCF!E92,2)&amp;" "&amp;Market_currency</f>
        <v>52.82 CNY</v>
      </c>
      <c r="E120" s="199">
        <f>DCF!F92</f>
        <v>0.44</v>
      </c>
      <c r="F120" s="208">
        <f>RATE(Holding_Period,Scenarios!C$58,-DCF!E92,C$18)</f>
        <v>5.2323389743423848E-2</v>
      </c>
    </row>
    <row r="121" spans="2:6">
      <c r="B121" s="205" t="str">
        <f>DCF!B93&amp;" ("&amp;DCF!D93&amp;"yrs)"</f>
        <v>Pessimistic (10yrs)</v>
      </c>
      <c r="C121" s="198">
        <f>DCF!C93</f>
        <v>0.01</v>
      </c>
      <c r="D121" s="207" t="str">
        <f>ROUND(DCF!E93,2)&amp;" "&amp;Market_currency</f>
        <v>49.19 CNY</v>
      </c>
      <c r="E121" s="199">
        <f>DCF!F93</f>
        <v>0.19999999999999998</v>
      </c>
      <c r="F121" s="208">
        <f>RATE(Holding_Period,Scenarios!C$58,-DCF!E93,C$18)</f>
        <v>7.8735913620371217E-2</v>
      </c>
    </row>
    <row r="122" spans="2:6">
      <c r="B122" s="205" t="str">
        <f>DCF!B94&amp;" ("&amp;DCF!D94&amp;"yrs)"</f>
        <v>Devil's advocate (10yrs)</v>
      </c>
      <c r="C122" s="198">
        <f>DCF!C94</f>
        <v>0</v>
      </c>
      <c r="D122" s="207" t="str">
        <f>ROUND(DCF!E94,2)&amp;" "&amp;Market_currency</f>
        <v>45.83 CNY</v>
      </c>
      <c r="E122" s="199">
        <f>DCF!F94</f>
        <v>0.05</v>
      </c>
      <c r="F122" s="208">
        <f>RATE(Holding_Period,Scenarios!C$58,-DCF!E94,C$18)</f>
        <v>0.10566314064426917</v>
      </c>
    </row>
    <row r="124" spans="2:6">
      <c r="B124" s="461" t="s">
        <v>355</v>
      </c>
      <c r="C124" s="461"/>
      <c r="D124" s="461"/>
      <c r="E124" s="461"/>
      <c r="F124" s="461"/>
    </row>
    <row r="125" spans="2:6">
      <c r="B125" s="193" t="s">
        <v>218</v>
      </c>
      <c r="C125" s="197">
        <f>Scenarios!C36</f>
        <v>54.288928790724519</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2.2999999999999998</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4.2086586250532756</v>
      </c>
      <c r="D140" s="333">
        <f>Scenarios!D62</f>
        <v>25.017939534896097</v>
      </c>
      <c r="E140" s="334">
        <f>Scenarios!E62</f>
        <v>29.226598159949372</v>
      </c>
      <c r="F140" s="335">
        <f>E22</f>
        <v>0.29465259038036601</v>
      </c>
    </row>
    <row r="141" spans="1:6">
      <c r="B141" s="336" t="s">
        <v>312</v>
      </c>
      <c r="C141" s="333">
        <f>Scenarios!C63</f>
        <v>4.8392090787188815</v>
      </c>
      <c r="D141" s="333">
        <f>Scenarios!D63</f>
        <v>31.358226016302986</v>
      </c>
      <c r="E141" s="334">
        <f>Scenarios!E63</f>
        <v>36.197435095021866</v>
      </c>
      <c r="F141" s="335">
        <f>Scenarios!F63</f>
        <v>0.20075184365903001</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5.5489871896588925</v>
      </c>
      <c r="D144" s="333">
        <f>Scenarios!D66</f>
        <v>38.912153936392336</v>
      </c>
      <c r="E144" s="334">
        <f>Scenarios!E66</f>
        <v>44.461141126051231</v>
      </c>
      <c r="F144" s="335">
        <f>E24</f>
        <v>0.1174</v>
      </c>
    </row>
    <row r="145" spans="1:6">
      <c r="B145" s="336" t="s">
        <v>313</v>
      </c>
      <c r="C145" s="333">
        <f>Scenarios!C67</f>
        <v>6.0084630224979367</v>
      </c>
      <c r="D145" s="333">
        <f>Scenarios!D67</f>
        <v>44.00675747123249</v>
      </c>
      <c r="E145" s="334">
        <f>Scenarios!E67</f>
        <v>50.015220493730425</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F24" sqref="F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24006393622.27</v>
      </c>
      <c r="D4" s="287">
        <v>20113741026.09</v>
      </c>
      <c r="E4" s="287"/>
      <c r="F4" s="287"/>
      <c r="G4" s="287"/>
      <c r="H4" s="287"/>
      <c r="I4" s="287"/>
      <c r="J4" s="287"/>
      <c r="K4" s="287"/>
      <c r="L4" s="287"/>
      <c r="M4" s="287"/>
    </row>
    <row r="5" spans="2:13">
      <c r="B5" s="38" t="s">
        <v>40</v>
      </c>
      <c r="C5" s="287">
        <f>17571958665.53+3847252.01</f>
        <v>17575805917.539997</v>
      </c>
      <c r="D5" s="287">
        <f>14967259243.3+4651863.52</f>
        <v>14971911106.82</v>
      </c>
      <c r="E5" s="287"/>
      <c r="F5" s="287"/>
      <c r="G5" s="287"/>
      <c r="H5" s="287"/>
      <c r="I5" s="287"/>
      <c r="J5" s="287"/>
      <c r="K5" s="287"/>
      <c r="L5" s="287"/>
      <c r="M5" s="287"/>
    </row>
    <row r="6" spans="2:13">
      <c r="B6" s="38" t="s">
        <v>51</v>
      </c>
      <c r="C6" s="287">
        <f>1074310034.48+C7</f>
        <v>1150017887.76</v>
      </c>
      <c r="D6" s="287">
        <f>688947866.11+D7</f>
        <v>758971235.58000004</v>
      </c>
      <c r="E6" s="287"/>
      <c r="F6" s="287"/>
      <c r="G6" s="287"/>
      <c r="H6" s="287"/>
      <c r="I6" s="287"/>
      <c r="J6" s="287"/>
      <c r="K6" s="287"/>
      <c r="L6" s="287"/>
      <c r="M6" s="287"/>
    </row>
    <row r="7" spans="2:13">
      <c r="B7" s="66" t="s">
        <v>58</v>
      </c>
      <c r="C7" s="288">
        <v>75707853.280000001</v>
      </c>
      <c r="D7" s="288">
        <v>70023369.469999999</v>
      </c>
      <c r="E7" s="288"/>
      <c r="F7" s="288"/>
      <c r="G7" s="288"/>
      <c r="H7" s="288"/>
      <c r="I7" s="288"/>
      <c r="J7" s="288"/>
      <c r="K7" s="288"/>
      <c r="L7" s="288"/>
      <c r="M7" s="288"/>
    </row>
    <row r="8" spans="2:13">
      <c r="B8" s="38" t="s">
        <v>46</v>
      </c>
      <c r="C8" s="287">
        <v>374733057.13</v>
      </c>
      <c r="D8" s="287">
        <v>309034167.51999998</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42252229.270000003</v>
      </c>
      <c r="D12" s="287">
        <v>71098773.299999997</v>
      </c>
      <c r="E12" s="287"/>
      <c r="F12" s="287"/>
      <c r="G12" s="287"/>
      <c r="H12" s="287"/>
      <c r="I12" s="287"/>
      <c r="J12" s="287"/>
      <c r="K12" s="287"/>
      <c r="L12" s="287"/>
      <c r="M12" s="287"/>
    </row>
    <row r="13" spans="2:13">
      <c r="B13" s="38" t="s">
        <v>64</v>
      </c>
      <c r="C13" s="287">
        <v>123417066.81</v>
      </c>
      <c r="D13" s="287">
        <v>119471905.06999999</v>
      </c>
      <c r="E13" s="287"/>
      <c r="F13" s="287"/>
      <c r="G13" s="287"/>
      <c r="H13" s="287"/>
      <c r="I13" s="287"/>
      <c r="J13" s="287"/>
      <c r="K13" s="287"/>
      <c r="L13" s="287"/>
      <c r="M13" s="287"/>
    </row>
    <row r="14" spans="2:13">
      <c r="B14" s="38" t="s">
        <v>47</v>
      </c>
      <c r="C14" s="287">
        <v>1111684503.8699999</v>
      </c>
      <c r="D14" s="287">
        <v>835912345.94000006</v>
      </c>
      <c r="E14" s="287"/>
      <c r="F14" s="287"/>
      <c r="G14" s="287"/>
      <c r="H14" s="287"/>
      <c r="I14" s="287"/>
      <c r="J14" s="287"/>
      <c r="K14" s="287"/>
      <c r="L14" s="287"/>
      <c r="M14" s="287"/>
    </row>
    <row r="15" spans="2:13">
      <c r="B15" s="41" t="s">
        <v>39</v>
      </c>
      <c r="C15" s="289">
        <v>3836185784.1599998</v>
      </c>
      <c r="D15" s="289">
        <v>3200212140.5300002</v>
      </c>
      <c r="E15" s="289"/>
      <c r="F15" s="289"/>
      <c r="G15" s="289"/>
      <c r="H15" s="289"/>
      <c r="I15" s="289"/>
      <c r="J15" s="289"/>
      <c r="K15" s="289"/>
      <c r="L15" s="289"/>
      <c r="M15" s="289"/>
    </row>
    <row r="16" spans="2:13">
      <c r="B16" s="27" t="s">
        <v>41</v>
      </c>
      <c r="C16" s="287">
        <v>-4143253.71</v>
      </c>
      <c r="D16" s="287">
        <v>1429.36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4617054463.3999996</v>
      </c>
      <c r="D22" s="287">
        <v>3694392819.25</v>
      </c>
      <c r="E22" s="287"/>
      <c r="F22" s="287"/>
      <c r="G22" s="287"/>
      <c r="H22" s="287"/>
      <c r="I22" s="287"/>
      <c r="J22" s="287"/>
      <c r="K22" s="287"/>
      <c r="L22" s="287"/>
      <c r="M22" s="287"/>
    </row>
    <row r="23" spans="2:13">
      <c r="B23" s="26" t="s">
        <v>288</v>
      </c>
      <c r="C23" s="287">
        <v>-2165322111.6300001</v>
      </c>
      <c r="D23" s="287">
        <v>-1820945226.99</v>
      </c>
      <c r="E23" s="287"/>
      <c r="F23" s="287"/>
      <c r="G23" s="287"/>
      <c r="H23" s="287"/>
      <c r="I23" s="287"/>
      <c r="J23" s="287"/>
      <c r="K23" s="287"/>
      <c r="L23" s="287"/>
      <c r="M23" s="287"/>
    </row>
    <row r="24" spans="2:13">
      <c r="B24" s="26" t="s">
        <v>287</v>
      </c>
      <c r="C24" s="287">
        <v>-1937043189.26</v>
      </c>
      <c r="D24" s="287">
        <v>-1962667425.6099999</v>
      </c>
      <c r="E24" s="287"/>
      <c r="F24" s="287"/>
      <c r="G24" s="287"/>
      <c r="H24" s="287"/>
      <c r="I24" s="287"/>
      <c r="J24" s="287"/>
      <c r="K24" s="287"/>
      <c r="L24" s="287"/>
      <c r="M24" s="287"/>
    </row>
    <row r="25" spans="2:13">
      <c r="B25" s="23" t="str">
        <f>"Dividend per share ("&amp;Market_currency&amp;")"</f>
        <v>Dividend per share (CNY)</v>
      </c>
      <c r="C25" s="37">
        <v>2.2999999999999998</v>
      </c>
      <c r="D25" s="37">
        <v>1.2</v>
      </c>
      <c r="E25" s="37"/>
      <c r="F25" s="37"/>
      <c r="G25" s="37"/>
      <c r="H25" s="37"/>
      <c r="I25" s="37"/>
      <c r="J25" s="37"/>
      <c r="K25" s="37"/>
      <c r="L25" s="37"/>
      <c r="M25" s="37"/>
    </row>
    <row r="27" spans="2:13">
      <c r="B27" s="16" t="s">
        <v>26</v>
      </c>
      <c r="C27" s="94" t="s">
        <v>544</v>
      </c>
    </row>
    <row r="28" spans="2:13">
      <c r="B28" s="25" t="s">
        <v>22</v>
      </c>
      <c r="C28" s="270">
        <f>BS!C4</f>
        <v>4977195516.0900002</v>
      </c>
      <c r="D28" s="287">
        <v>3764847381.21</v>
      </c>
      <c r="E28" s="287"/>
      <c r="F28" s="287"/>
      <c r="G28" s="287"/>
      <c r="H28" s="287"/>
      <c r="I28" s="287"/>
      <c r="J28" s="287"/>
      <c r="K28" s="287"/>
      <c r="L28" s="287"/>
      <c r="M28" s="287"/>
    </row>
    <row r="29" spans="2:13">
      <c r="B29" s="25" t="s">
        <v>30</v>
      </c>
      <c r="C29" s="270">
        <f>BS!C6</f>
        <v>2901732696.8800001</v>
      </c>
      <c r="D29" s="287">
        <v>2741315254.1599998</v>
      </c>
      <c r="E29" s="287"/>
      <c r="F29" s="287"/>
      <c r="G29" s="287"/>
      <c r="H29" s="287"/>
      <c r="I29" s="287"/>
      <c r="J29" s="287"/>
      <c r="K29" s="287"/>
      <c r="L29" s="287"/>
      <c r="M29" s="287"/>
    </row>
    <row r="30" spans="2:13">
      <c r="B30" s="28" t="s">
        <v>38</v>
      </c>
      <c r="C30" s="271">
        <f>BS!C33+BS!C42</f>
        <v>9308843713.8100014</v>
      </c>
      <c r="D30" s="289">
        <v>4330731111.79</v>
      </c>
      <c r="E30" s="289"/>
      <c r="F30" s="289"/>
      <c r="G30" s="289"/>
      <c r="H30" s="289"/>
      <c r="I30" s="289"/>
      <c r="J30" s="289"/>
      <c r="K30" s="289"/>
      <c r="L30" s="289"/>
      <c r="M30" s="289"/>
    </row>
    <row r="31" spans="2:13">
      <c r="B31" s="28" t="s">
        <v>28</v>
      </c>
      <c r="C31" s="271">
        <f>BS!G27</f>
        <v>16166188836.539997</v>
      </c>
      <c r="D31" s="289">
        <v>15116090808.6</v>
      </c>
      <c r="E31" s="289"/>
      <c r="F31" s="289"/>
      <c r="G31" s="289"/>
      <c r="H31" s="289"/>
      <c r="I31" s="289"/>
      <c r="J31" s="289"/>
      <c r="K31" s="289"/>
      <c r="L31" s="289"/>
      <c r="M31" s="289"/>
    </row>
    <row r="32" spans="2:13">
      <c r="B32" s="25" t="s">
        <v>143</v>
      </c>
      <c r="C32" s="270">
        <f>BS!G28</f>
        <v>11833960.619999999</v>
      </c>
      <c r="D32" s="287">
        <v>7084134.8099999996</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24006393622.27</v>
      </c>
      <c r="D36" s="270">
        <f t="shared" si="1"/>
        <v>20113741026.09</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-17575805917.539997</v>
      </c>
      <c r="D37" s="270">
        <f t="shared" si="2"/>
        <v>-14971911106.82</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6430587704.7300034</v>
      </c>
      <c r="D38" s="267">
        <f t="shared" ref="D38" si="3">IF(D36="","",D36+D37)</f>
        <v>5141829919.2700005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-1150017887.76</v>
      </c>
      <c r="D39" s="270">
        <f t="shared" si="13"/>
        <v>-758971235.58000004</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-75707853.280000001</v>
      </c>
      <c r="D40" s="282">
        <f t="shared" si="14"/>
        <v>-70023369.469999999</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-1074310034.48</v>
      </c>
      <c r="D41" s="282">
        <f t="shared" ref="D41:M41" si="15">IF(D$4="","",D39-D40)</f>
        <v>-688947866.11000001</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-374733057.13</v>
      </c>
      <c r="D42" s="270">
        <f t="shared" si="16"/>
        <v>-309034167.51999998</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4905836759.840003</v>
      </c>
      <c r="D43" s="271">
        <f t="shared" ref="D43:M43" si="17">IF(D$4="","",D38+D39+D42)</f>
        <v>4073824516.1700006</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-39131309.350003242</v>
      </c>
      <c r="D44" s="290">
        <f t="shared" si="18"/>
        <v>-86073161.470000267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81164837.539999992</v>
      </c>
      <c r="D45" s="285">
        <f t="shared" si="19"/>
        <v>48373131.769999996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-1111684503.8699999</v>
      </c>
      <c r="D46" s="270">
        <f t="shared" ref="D46:M46" si="20">IF(D$4="","",-D14)</f>
        <v>-835912345.94000006</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3836185784.1599998</v>
      </c>
      <c r="D47" s="271">
        <f t="shared" si="21"/>
        <v>3200212140.5300002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0</v>
      </c>
      <c r="D48" s="270">
        <f t="shared" si="22"/>
        <v>-1429.36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-42252229.270000003</v>
      </c>
      <c r="D51" s="270">
        <f t="shared" si="23"/>
        <v>-71098773.299999997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123417066.81</v>
      </c>
      <c r="D52" s="270">
        <f t="shared" ref="D52:M52" si="24">IF(D$4="","",D13)</f>
        <v>119471905.06999999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-39131309.350003242</v>
      </c>
      <c r="D58" s="285">
        <f t="shared" ref="D58:M58" si="28">IF(D$4="","",D44-D55-D56-D57)</f>
        <v>-86073161.470000267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514689162.50999951</v>
      </c>
      <c r="D64" s="270">
        <f t="shared" ref="D64:M64" si="32">IF(D$4="","",D22+D23+D24)</f>
        <v>-89219833.349999905</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2.2999999999999998</v>
      </c>
      <c r="D65" s="70">
        <f t="shared" ref="D65:M65" si="33">IF(D$4="","",D25)</f>
        <v>1.2</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0.19353200337673382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0.25064185429979591</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0.20423369744267172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-0.54537153414956219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0.19872858913805436</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25475032550.349998</v>
      </c>
      <c r="D76" s="285">
        <f t="shared" ref="D76:M76" si="39">IF(D$4="","",D79+D80)</f>
        <v>19446821920.389999</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4977195516.0900002</v>
      </c>
      <c r="D77" s="282">
        <f t="shared" si="40"/>
        <v>3764847381.21</v>
      </c>
      <c r="E77" s="282" t="str">
        <f t="shared" si="40"/>
        <v/>
      </c>
      <c r="F77" s="282" t="str">
        <f t="shared" si="40"/>
        <v/>
      </c>
      <c r="G77" s="282" t="str">
        <f t="shared" si="40"/>
        <v/>
      </c>
      <c r="H77" s="282" t="str">
        <f t="shared" si="40"/>
        <v/>
      </c>
      <c r="I77" s="291"/>
      <c r="J77" s="291"/>
      <c r="K77" s="291"/>
      <c r="L77" s="291"/>
      <c r="M77" s="291"/>
    </row>
    <row r="78" spans="2:13">
      <c r="B78" s="90" t="s">
        <v>83</v>
      </c>
      <c r="C78" s="260">
        <f t="shared" si="40"/>
        <v>2901732696.8800001</v>
      </c>
      <c r="D78" s="282">
        <f t="shared" si="40"/>
        <v>2741315254.1599998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9308843713.8100014</v>
      </c>
      <c r="D79" s="270">
        <f t="shared" si="41"/>
        <v>4330731111.79</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16166188836.539997</v>
      </c>
      <c r="D80" s="270">
        <f t="shared" si="42"/>
        <v>15116090808.6</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4876537317.33+100658198.76</f>
        <v>4977195516.0900002</v>
      </c>
      <c r="D4" s="231">
        <v>0.6</v>
      </c>
      <c r="E4" s="24"/>
      <c r="F4" s="4" t="s">
        <v>74</v>
      </c>
      <c r="G4" s="18">
        <v>7731003470.4799995</v>
      </c>
      <c r="H4" s="231">
        <v>0.9</v>
      </c>
    </row>
    <row r="5" spans="2:8" ht="15" customHeight="1">
      <c r="B5" s="1" t="s">
        <v>31</v>
      </c>
      <c r="C5" s="18">
        <v>0</v>
      </c>
      <c r="D5" s="231">
        <v>0.6</v>
      </c>
      <c r="E5" s="24"/>
      <c r="F5" s="1" t="s">
        <v>27</v>
      </c>
      <c r="G5" s="18">
        <v>0</v>
      </c>
      <c r="H5" s="231">
        <v>0.7</v>
      </c>
    </row>
    <row r="6" spans="2:8" ht="15" customHeight="1">
      <c r="B6" s="4" t="s">
        <v>8</v>
      </c>
      <c r="C6" s="18">
        <v>2901732696.8800001</v>
      </c>
      <c r="D6" s="231">
        <v>0.5</v>
      </c>
      <c r="E6" s="24"/>
      <c r="F6" s="4" t="s">
        <v>147</v>
      </c>
      <c r="G6" s="18">
        <v>0</v>
      </c>
      <c r="H6" s="231">
        <v>0.6</v>
      </c>
    </row>
    <row r="7" spans="2:8" ht="15" customHeight="1">
      <c r="B7" s="1" t="s">
        <v>66</v>
      </c>
      <c r="C7" s="18">
        <v>0</v>
      </c>
      <c r="D7" s="231">
        <v>0.6</v>
      </c>
      <c r="E7" s="24"/>
      <c r="F7" s="4" t="s">
        <v>148</v>
      </c>
      <c r="G7" s="18">
        <v>1195096605.48</v>
      </c>
      <c r="H7" s="231">
        <v>0.6</v>
      </c>
    </row>
    <row r="8" spans="2:8" ht="15" customHeight="1">
      <c r="B8" s="1" t="s">
        <v>144</v>
      </c>
      <c r="C8" s="18">
        <v>0</v>
      </c>
      <c r="D8" s="231">
        <v>0.6</v>
      </c>
      <c r="E8" s="24"/>
      <c r="F8" s="1" t="s">
        <v>149</v>
      </c>
      <c r="G8" s="18">
        <v>0</v>
      </c>
      <c r="H8" s="231">
        <v>0.6</v>
      </c>
    </row>
    <row r="9" spans="2:8" ht="15" customHeight="1">
      <c r="B9" s="4" t="s">
        <v>23</v>
      </c>
      <c r="C9" s="18">
        <v>80607292.379999995</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467000950.70999998</v>
      </c>
      <c r="D11" s="231">
        <v>0.05</v>
      </c>
      <c r="H11" s="232"/>
    </row>
    <row r="12" spans="2:8" ht="15" customHeight="1">
      <c r="B12" s="77" t="s">
        <v>69</v>
      </c>
      <c r="C12" s="78">
        <f>SUM(C4:C11)</f>
        <v>8426536456.0600004</v>
      </c>
      <c r="D12" s="19">
        <f>C4*D4+C5*D5+C9*D9+C6*D6+C8*D8+C7*D7+C10*D10+C11*D11</f>
        <v>4468594434.8674994</v>
      </c>
      <c r="F12" s="77" t="s">
        <v>67</v>
      </c>
      <c r="G12" s="78">
        <f>SUM(G4:G10)</f>
        <v>8926100075.9599991</v>
      </c>
      <c r="H12" s="19">
        <f>G4*H4+G5*H5+G6*H6+G7*H7+G8*H8+G9*H9+G10*H10</f>
        <v>7674961086.7200003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225913825.53999999</v>
      </c>
      <c r="H17" s="231">
        <v>0.6</v>
      </c>
    </row>
    <row r="18" spans="2:8" ht="15" customHeight="1">
      <c r="B18" s="4" t="s">
        <v>144</v>
      </c>
      <c r="C18" s="18">
        <v>0</v>
      </c>
      <c r="D18" s="231">
        <v>0.6</v>
      </c>
      <c r="F18" s="4" t="s">
        <v>151</v>
      </c>
      <c r="G18" s="18">
        <v>0</v>
      </c>
      <c r="H18" s="231">
        <v>0.1</v>
      </c>
    </row>
    <row r="19" spans="2:8" ht="15" customHeight="1">
      <c r="B19" s="4" t="s">
        <v>24</v>
      </c>
      <c r="C19" s="18">
        <f>5352123935+800296405.95+156538460.21</f>
        <v>6308958801.1599998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769537566.22000003</v>
      </c>
      <c r="D21" s="231">
        <v>0.05</v>
      </c>
      <c r="F21" s="1" t="s">
        <v>150</v>
      </c>
      <c r="G21" s="18">
        <v>6476263.0700000003</v>
      </c>
      <c r="H21" s="231">
        <v>0.1</v>
      </c>
    </row>
    <row r="22" spans="2:8" ht="15" customHeight="1">
      <c r="B22" s="4" t="s">
        <v>18</v>
      </c>
      <c r="C22" s="18">
        <v>148326261.16</v>
      </c>
      <c r="D22" s="231">
        <v>0.9</v>
      </c>
      <c r="H22" s="232"/>
    </row>
    <row r="23" spans="2:8" ht="15" customHeight="1">
      <c r="B23" s="4" t="s">
        <v>19</v>
      </c>
      <c r="C23" s="18">
        <f>128963631.47+241421272.13+292798397.58</f>
        <v>663183301.18000007</v>
      </c>
      <c r="D23" s="231">
        <v>0</v>
      </c>
      <c r="H23" s="232"/>
    </row>
    <row r="24" spans="2:8" ht="15" customHeight="1">
      <c r="B24" s="77" t="s">
        <v>70</v>
      </c>
      <c r="C24" s="78">
        <f>SUM(C15:C23)</f>
        <v>7890005929.7200003</v>
      </c>
      <c r="D24" s="19">
        <f>C15*D15+C16*D16+C18*D18+C17*D17+C19*D19+C20*D20+C21*D21+C22*D22+C23*D23</f>
        <v>802866393.47100008</v>
      </c>
      <c r="F24" s="77" t="s">
        <v>68</v>
      </c>
      <c r="G24" s="78">
        <f>SUM(G15:G21)</f>
        <v>232390088.60999998</v>
      </c>
      <c r="H24" s="19">
        <f>G15*H15+G16*H16+G17*H17+G18*H18+G19*H19+G20*H20+G21*H21</f>
        <v>136195921.63100001</v>
      </c>
    </row>
    <row r="26" spans="2:8" ht="15" customHeight="1">
      <c r="B26" s="16" t="s">
        <v>169</v>
      </c>
      <c r="C26" s="164" t="s">
        <v>113</v>
      </c>
      <c r="F26" s="166" t="s">
        <v>165</v>
      </c>
      <c r="G26" s="167" t="s">
        <v>113</v>
      </c>
      <c r="H26" s="168" t="s">
        <v>33</v>
      </c>
    </row>
    <row r="27" spans="2:8" ht="15" customHeight="1">
      <c r="B27" s="4" t="s">
        <v>3</v>
      </c>
      <c r="C27" s="18">
        <v>2190681167.4899998</v>
      </c>
      <c r="F27" s="169" t="s">
        <v>28</v>
      </c>
      <c r="G27" s="82">
        <f>G32-G30</f>
        <v>16166188836.539997</v>
      </c>
      <c r="H27" s="170">
        <f>H32-G30</f>
        <v>3773774122.8794975</v>
      </c>
    </row>
    <row r="28" spans="2:8" ht="15" customHeight="1">
      <c r="B28" s="4" t="s">
        <v>4</v>
      </c>
      <c r="C28" s="18">
        <v>0</v>
      </c>
      <c r="F28" s="171" t="s">
        <v>209</v>
      </c>
      <c r="G28" s="287">
        <v>11833960.619999999</v>
      </c>
      <c r="H28" s="170"/>
    </row>
    <row r="29" spans="2:8" ht="15" customHeight="1">
      <c r="B29" s="4" t="s">
        <v>5</v>
      </c>
      <c r="C29" s="18">
        <v>0</v>
      </c>
      <c r="F29" s="172" t="s">
        <v>72</v>
      </c>
      <c r="G29" s="14">
        <f>G27-G28</f>
        <v>16154354875.919996</v>
      </c>
      <c r="H29" s="170">
        <f>H27-G28</f>
        <v>3761940162.2594976</v>
      </c>
    </row>
    <row r="30" spans="2:8" ht="15" customHeight="1">
      <c r="B30" s="2" t="s">
        <v>6</v>
      </c>
      <c r="C30" s="18">
        <v>34945924.100000001</v>
      </c>
      <c r="F30" s="169" t="s">
        <v>21</v>
      </c>
      <c r="G30" s="82">
        <f>C33+C42</f>
        <v>9308843713.8100014</v>
      </c>
      <c r="H30" s="170"/>
    </row>
    <row r="31" spans="2:8" ht="15" customHeight="1">
      <c r="B31" s="77" t="s">
        <v>172</v>
      </c>
      <c r="C31" s="78">
        <f>SUM(C27:C30)</f>
        <v>2225627091.5899997</v>
      </c>
      <c r="F31" s="172" t="s">
        <v>73</v>
      </c>
      <c r="G31" s="173">
        <f>C31+C40</f>
        <v>2337303264.4899998</v>
      </c>
      <c r="H31" s="170"/>
    </row>
    <row r="32" spans="2:8" ht="15" customHeight="1">
      <c r="B32" s="4" t="s">
        <v>7</v>
      </c>
      <c r="C32" s="20">
        <f>C33-C31</f>
        <v>6774460582.6100006</v>
      </c>
      <c r="F32" s="174" t="s">
        <v>71</v>
      </c>
      <c r="G32" s="175">
        <f>G35+G40</f>
        <v>25475032550.349998</v>
      </c>
      <c r="H32" s="170">
        <f>H35+H40</f>
        <v>13082617836.689499</v>
      </c>
    </row>
    <row r="33" spans="2:8" ht="15" customHeight="1">
      <c r="B33" s="80" t="s">
        <v>2</v>
      </c>
      <c r="C33" s="81">
        <v>9000087674.2000008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16316542385.780001</v>
      </c>
      <c r="H35" s="182">
        <f>D12+D24</f>
        <v>5271460828.3384991</v>
      </c>
    </row>
    <row r="36" spans="2:8" ht="15" customHeight="1">
      <c r="B36" s="4" t="s">
        <v>11</v>
      </c>
      <c r="C36" s="18">
        <v>0</v>
      </c>
      <c r="F36" s="172" t="s">
        <v>166</v>
      </c>
      <c r="G36" s="173">
        <f>C4+C15</f>
        <v>4977195516.0900002</v>
      </c>
      <c r="H36" s="177"/>
    </row>
    <row r="37" spans="2:8" ht="15" customHeight="1">
      <c r="B37" s="4" t="s">
        <v>12</v>
      </c>
      <c r="C37" s="18">
        <v>111676172.90000001</v>
      </c>
      <c r="F37" s="172" t="s">
        <v>167</v>
      </c>
      <c r="G37" s="173">
        <f>C6</f>
        <v>2901732696.8800001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6308958801.1599998</v>
      </c>
      <c r="H39" s="170">
        <f>C7*D7+C17*D17+C19*D19+C20*D20</f>
        <v>630895880.11600006</v>
      </c>
    </row>
    <row r="40" spans="2:8" ht="15" customHeight="1">
      <c r="B40" s="77" t="s">
        <v>173</v>
      </c>
      <c r="C40" s="78">
        <f>SUM(C36:C39)</f>
        <v>111676172.90000001</v>
      </c>
      <c r="F40" s="181" t="s">
        <v>115</v>
      </c>
      <c r="G40" s="175">
        <f>G12+G24</f>
        <v>9158490164.5699997</v>
      </c>
      <c r="H40" s="182">
        <f>H12+H24</f>
        <v>7811157008.3509998</v>
      </c>
    </row>
    <row r="41" spans="2:8" ht="15" customHeight="1">
      <c r="B41" s="4" t="s">
        <v>15</v>
      </c>
      <c r="C41" s="20">
        <f>C42-C40</f>
        <v>197079866.71000001</v>
      </c>
      <c r="F41" s="172" t="s">
        <v>160</v>
      </c>
      <c r="G41" s="173">
        <f>C70</f>
        <v>7731003470.4799995</v>
      </c>
      <c r="H41" s="182">
        <f>H40-H42</f>
        <v>6957903123.4320002</v>
      </c>
    </row>
    <row r="42" spans="2:8" ht="15" customHeight="1">
      <c r="B42" s="80" t="s">
        <v>20</v>
      </c>
      <c r="C42" s="81">
        <v>308756039.61000001</v>
      </c>
      <c r="F42" s="183" t="s">
        <v>161</v>
      </c>
      <c r="G42" s="184">
        <f>C82</f>
        <v>1427486694.0899999</v>
      </c>
      <c r="H42" s="185">
        <f>D82</f>
        <v>853253884.91900003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16154354875.919996</v>
      </c>
      <c r="D46" s="73">
        <f>H29</f>
        <v>3761940162.2594976</v>
      </c>
      <c r="F46" s="223"/>
    </row>
    <row r="47" spans="2:8" ht="15" customHeight="1">
      <c r="B47" s="1" t="str">
        <f>"Equity per share ("&amp;Market_currency&amp;")"</f>
        <v>Equity per share (CNY)</v>
      </c>
      <c r="C47" s="134">
        <f>C46*H1/Common_Shares*Exchange_Rate</f>
        <v>13.842634855115678</v>
      </c>
      <c r="D47" s="134">
        <f>D46*H1/Common_Shares*Exchange_Rate</f>
        <v>3.2235991107622088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0.45563140392156826</v>
      </c>
      <c r="D50" s="92">
        <f>G31/Normalized_FCF!G8</f>
        <v>0.47643315073659875</v>
      </c>
      <c r="F50" s="223"/>
    </row>
    <row r="51" spans="2:8" ht="15" customHeight="1">
      <c r="B51" s="1" t="s">
        <v>146</v>
      </c>
      <c r="C51" s="163"/>
      <c r="D51" s="89">
        <f>G29/G32</f>
        <v>0.63412499450164794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0.31439330012568689</v>
      </c>
      <c r="D54" s="89">
        <f>Normalized_FCF!G8/G35</f>
        <v>0.30066644291718819</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0.24765262963612275</v>
      </c>
      <c r="F59" s="223"/>
    </row>
    <row r="60" spans="2:8" ht="15" customHeight="1">
      <c r="F60" s="223"/>
    </row>
    <row r="61" spans="2:8" ht="15" customHeight="1">
      <c r="B61" s="143" t="s">
        <v>231</v>
      </c>
      <c r="C61" s="210" t="s">
        <v>114</v>
      </c>
      <c r="D61" s="179" t="s">
        <v>91</v>
      </c>
      <c r="F61" s="223"/>
    </row>
    <row r="62" spans="2:8" ht="15" customHeight="1">
      <c r="B62" s="1" t="s">
        <v>210</v>
      </c>
      <c r="C62" s="89">
        <f>IF(G28&lt;=0,0,G28/G29)</f>
        <v>7.3255544470178361E-4</v>
      </c>
      <c r="D62" s="89">
        <f>G28/G29</f>
        <v>7.3255544470178361E-4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7731003470.4799995</v>
      </c>
      <c r="D66" s="73">
        <f>C66-D75</f>
        <v>4137556467.9860034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7731003470.4799995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-1815388071.8691664</v>
      </c>
      <c r="D73" s="285">
        <f>(Normalized_FCF!C26+Normalized_FCF!C35-Normalized_FCF!C89)/12</f>
        <v>-1796723501.2469981</v>
      </c>
      <c r="F73" s="1" t="s">
        <v>278</v>
      </c>
    </row>
    <row r="74" spans="2:6" ht="15" customHeight="1">
      <c r="B74" s="227" t="s">
        <v>259</v>
      </c>
      <c r="C74" s="228">
        <f>-$C$66/C73</f>
        <v>4.2585954982727063</v>
      </c>
      <c r="D74" s="228">
        <f>-$C$66/D73</f>
        <v>4.3028342786824867</v>
      </c>
      <c r="F74" s="223" t="s">
        <v>257</v>
      </c>
    </row>
    <row r="75" spans="2:6" ht="15" customHeight="1">
      <c r="B75" s="77" t="s">
        <v>258</v>
      </c>
      <c r="C75" s="261"/>
      <c r="D75" s="262">
        <f>MAX(-D73*D76,G5)</f>
        <v>3593447002.4939961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1421010431.02</v>
      </c>
      <c r="D79" s="73">
        <f>G7*H7+G17*H17</f>
        <v>852606258.61199999</v>
      </c>
      <c r="F79" s="223"/>
    </row>
    <row r="80" spans="2:6" ht="15" customHeight="1">
      <c r="B80" s="102" t="s">
        <v>152</v>
      </c>
      <c r="C80" s="19">
        <f>G19</f>
        <v>0</v>
      </c>
      <c r="D80" s="73">
        <f>G19*H19</f>
        <v>0</v>
      </c>
      <c r="F80" s="223"/>
    </row>
    <row r="81" spans="2:8" ht="15" customHeight="1">
      <c r="B81" s="102" t="s">
        <v>150</v>
      </c>
      <c r="C81" s="19">
        <f>G9+G21</f>
        <v>6476263.0700000003</v>
      </c>
      <c r="D81" s="73">
        <f>G9*H9+G21*H21</f>
        <v>647626.30700000003</v>
      </c>
      <c r="F81" s="223"/>
    </row>
    <row r="82" spans="2:8" ht="15" customHeight="1">
      <c r="B82" s="77" t="s">
        <v>159</v>
      </c>
      <c r="C82" s="78">
        <f>SUM(C79:C81)</f>
        <v>1427486694.0899999</v>
      </c>
      <c r="D82" s="78">
        <f>SUM(D79:D81)</f>
        <v>853253884.91900003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-2337303264.4899998</v>
      </c>
      <c r="D86" s="201">
        <f>C86*scaling_factor/Common_Shares</f>
        <v>-2.0028305608311907</v>
      </c>
      <c r="E86" s="214" t="str">
        <f>Market_currency</f>
        <v>CNY</v>
      </c>
    </row>
    <row r="87" spans="2:8" ht="15" customHeight="1">
      <c r="B87" s="212" t="s">
        <v>240</v>
      </c>
      <c r="C87" s="73">
        <f>DCF!F5*Exchange_Rate</f>
        <v>4137556467.9860034</v>
      </c>
      <c r="D87" s="201">
        <f>C87*scaling_factor/Common_Shares</f>
        <v>3.5454639828500456</v>
      </c>
      <c r="E87" s="214" t="str">
        <f>Market_currency</f>
        <v>CNY</v>
      </c>
    </row>
    <row r="88" spans="2:8" ht="15" customHeight="1">
      <c r="B88" s="213" t="s">
        <v>159</v>
      </c>
      <c r="C88" s="73">
        <f>DCF!F6*Exchange_Rate</f>
        <v>853253884.91900003</v>
      </c>
      <c r="D88" s="201">
        <f>C88*scaling_factor/Common_Shares</f>
        <v>0.73115157233847472</v>
      </c>
      <c r="E88" s="214" t="str">
        <f>Market_currency</f>
        <v>CNY</v>
      </c>
    </row>
    <row r="89" spans="2:8" ht="15" customHeight="1">
      <c r="B89" s="77" t="s">
        <v>244</v>
      </c>
      <c r="C89" s="162">
        <f>SUM(C86:C88)</f>
        <v>2653507088.4150038</v>
      </c>
      <c r="D89" s="216">
        <f>SUM(D86:D88)</f>
        <v>2.2737849943573298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24006393622.27</v>
      </c>
      <c r="D4" s="54"/>
      <c r="E4" s="235"/>
      <c r="F4" s="54"/>
      <c r="G4" s="270">
        <f>Data!C36</f>
        <v>24006393622.27</v>
      </c>
      <c r="H4" s="270">
        <f>Data!D36</f>
        <v>20113741026.09</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-17802271980.483978</v>
      </c>
      <c r="E5" s="237"/>
      <c r="G5" s="270">
        <f t="shared" ref="G5:Q5" si="1">G26</f>
        <v>-18026246827.949997</v>
      </c>
      <c r="H5" s="270">
        <f t="shared" si="1"/>
        <v>-15350968643.809999</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6204121641.7860222</v>
      </c>
      <c r="E6" s="237"/>
      <c r="G6" s="267">
        <f>IF(G4="","",G4+G5)</f>
        <v>5980146794.3200035</v>
      </c>
      <c r="H6" s="267">
        <f t="shared" ref="H6:Q6" si="2">IF(H4="","",H4+H5)</f>
        <v>4762772382.2800007</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-1074310034.48</v>
      </c>
      <c r="E7" s="237"/>
      <c r="G7" s="266">
        <f t="shared" ref="G7:Q7" si="3">G35</f>
        <v>-1074310034.48</v>
      </c>
      <c r="H7" s="266">
        <f t="shared" si="3"/>
        <v>-688947866.11000001</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5129811607.3060226</v>
      </c>
      <c r="D8" s="56"/>
      <c r="E8" s="241"/>
      <c r="F8" s="56"/>
      <c r="G8" s="267">
        <f>IF(G$4="","",G6+G7)</f>
        <v>4905836759.840004</v>
      </c>
      <c r="H8" s="267">
        <f t="shared" ref="H8:Q8" si="4">IF(H$4="","",H6+H7)</f>
        <v>4073824516.1700006</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-118677513.85443601</v>
      </c>
      <c r="E10" s="237"/>
      <c r="G10" s="266">
        <f>G48</f>
        <v>15113246.050044104</v>
      </c>
      <c r="H10" s="266">
        <f t="shared" ref="H10:Q10" si="6">H48</f>
        <v>-15567048.24059014</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5011134093.4515867</v>
      </c>
      <c r="E11" s="237"/>
      <c r="G11" s="267">
        <f t="shared" ref="G11:Q11" si="7">IF(G$4="","",SUM(G8:G10))</f>
        <v>4920950005.890048</v>
      </c>
      <c r="H11" s="267">
        <f t="shared" si="7"/>
        <v>4058257467.9294105</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-1252783523.3628967</v>
      </c>
      <c r="E12" s="237"/>
      <c r="G12" s="266">
        <f>Data!C46</f>
        <v>-1111684503.8699999</v>
      </c>
      <c r="H12" s="266">
        <f>Data!D46</f>
        <v>-835912345.94000006</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-1705.9869043465681</v>
      </c>
      <c r="D13" s="57"/>
      <c r="E13" s="242"/>
      <c r="F13" s="57"/>
      <c r="G13" s="270">
        <f>Data!C48</f>
        <v>0</v>
      </c>
      <c r="H13" s="270">
        <f>Data!D48</f>
        <v>-1429.36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3758348864.1017857</v>
      </c>
      <c r="D14" s="58"/>
      <c r="E14" s="243"/>
      <c r="F14" s="58"/>
      <c r="G14" s="267">
        <f t="shared" ref="G14:Q14" si="8">IF(G$4="","",SUM(G11:G13))</f>
        <v>3809265502.0200481</v>
      </c>
      <c r="H14" s="267">
        <f t="shared" si="8"/>
        <v>3222343692.6294103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3758348864.1017857</v>
      </c>
      <c r="D19" s="26"/>
      <c r="E19" s="234"/>
      <c r="F19" s="26"/>
      <c r="G19" s="271">
        <f t="shared" ref="G19:Q19" si="9">IF(G$4="","",G14+G17)</f>
        <v>3809265502.0200481</v>
      </c>
      <c r="H19" s="271">
        <f t="shared" si="9"/>
        <v>3222343692.6294103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-17722630487.620621</v>
      </c>
      <c r="D23" s="55"/>
      <c r="E23" s="236"/>
      <c r="F23" s="55"/>
      <c r="G23" s="270">
        <f>Data!C37</f>
        <v>-17575805917.539997</v>
      </c>
      <c r="H23" s="270">
        <f>Data!D37</f>
        <v>-14971911106.82</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-79641492.863359168</v>
      </c>
      <c r="D24" s="26"/>
      <c r="E24" s="234"/>
      <c r="F24" s="26"/>
      <c r="G24" s="270">
        <f>Data!C40</f>
        <v>-75707853.280000001</v>
      </c>
      <c r="H24" s="270">
        <f>Data!D40</f>
        <v>-70023369.469999999</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-374733057.13</v>
      </c>
      <c r="H25" s="270">
        <f>Data!D42</f>
        <v>-309034167.51999998</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-17802271980.483978</v>
      </c>
      <c r="D26" s="9"/>
      <c r="E26" s="240"/>
      <c r="F26" s="9"/>
      <c r="G26" s="267">
        <f>IF(G$4="","",SUM(G23:G25))</f>
        <v>-18026246827.949997</v>
      </c>
      <c r="H26" s="267">
        <f t="shared" ref="H26:Q26" si="10">IF(H$4="","",SUM(H23:H25))</f>
        <v>-15350968643.809999</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0.73824626749350131</v>
      </c>
      <c r="D29" s="25"/>
      <c r="E29" s="235"/>
      <c r="F29" s="25"/>
      <c r="G29" s="13">
        <f t="shared" ref="G29:Q29" si="11">IF(G$4="","",ABS(G23/G$4))</f>
        <v>0.73213020639782633</v>
      </c>
      <c r="H29" s="13">
        <f t="shared" si="11"/>
        <v>0.74436232858917628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3.3175117477653193E-3</v>
      </c>
      <c r="D30" s="25"/>
      <c r="E30" s="235"/>
      <c r="F30" s="25"/>
      <c r="G30" s="13">
        <f t="shared" ref="G30:Q30" si="12">IF(G$4="","",ABS(G24/G$4))</f>
        <v>3.1536537503812374E-3</v>
      </c>
      <c r="H30" s="13">
        <f t="shared" si="12"/>
        <v>3.4813697451494012E-3</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1.5609718936807382E-2</v>
      </c>
      <c r="H31" s="13">
        <f t="shared" si="13"/>
        <v>1.5364330639394462E-2</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0.74156377924126649</v>
      </c>
      <c r="E32" s="237"/>
      <c r="G32" s="29">
        <f t="shared" ref="G32:Q32" si="14">IF(G$4="","",ABS(G26/G$4))</f>
        <v>0.75089357908501497</v>
      </c>
      <c r="H32" s="29">
        <f t="shared" si="14"/>
        <v>0.76320802897372009</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-1074310034.48</v>
      </c>
      <c r="D35" s="55"/>
      <c r="E35" s="236"/>
      <c r="F35" s="55"/>
      <c r="G35" s="267">
        <f>IF(G4="","",Data!C41)</f>
        <v>-1074310034.48</v>
      </c>
      <c r="H35" s="267">
        <f>IF(H4="","",Data!D41)</f>
        <v>-688947866.11000001</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4.4750996396368148E-2</v>
      </c>
      <c r="E38" s="237"/>
      <c r="G38" s="29">
        <f t="shared" ref="G38:Q38" si="15">IF(G$4="","",ABS(G35/G$4))</f>
        <v>4.4750996396368148E-2</v>
      </c>
      <c r="H38" s="29">
        <f t="shared" si="15"/>
        <v>3.425259702888437E-2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0.22590851411605237</v>
      </c>
      <c r="H41" s="6">
        <f t="shared" si="16"/>
        <v>0.2059781451881357</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-140238195.86939999</v>
      </c>
      <c r="E45" s="237"/>
      <c r="G45" s="266">
        <f>Data!C51</f>
        <v>-42252229.270000003</v>
      </c>
      <c r="H45" s="266">
        <f>Data!D51</f>
        <v>-71098773.299999997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21560682.014963977</v>
      </c>
      <c r="E46" s="237"/>
      <c r="G46" s="274">
        <f t="shared" ref="G46:Q46" si="17">IFERROR(IF(G$4="","",($C$46/$C$47)*G47),0)</f>
        <v>57365475.320044108</v>
      </c>
      <c r="H46" s="274">
        <f t="shared" si="17"/>
        <v>55531725.059409857</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46386020.82288</v>
      </c>
      <c r="D47" s="246"/>
      <c r="E47" s="247"/>
      <c r="F47" s="246"/>
      <c r="G47" s="278">
        <f>Data!C52</f>
        <v>123417066.81</v>
      </c>
      <c r="H47" s="278">
        <f>Data!D52</f>
        <v>119471905.06999999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-118677513.85443601</v>
      </c>
      <c r="E48" s="237"/>
      <c r="G48" s="267">
        <f>IF(G$4="","",(G45+G46))</f>
        <v>15113246.050044104</v>
      </c>
      <c r="H48" s="267">
        <f t="shared" ref="H48:Q48" si="18">IF(H$4="","",(H45+H46))</f>
        <v>-15567048.24059014</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1.5963913000589733E-2</v>
      </c>
      <c r="H51" s="151"/>
      <c r="I51" s="151"/>
      <c r="J51" s="151"/>
      <c r="K51" s="151"/>
      <c r="L51" s="151"/>
      <c r="M51" s="151"/>
      <c r="N51" s="151"/>
      <c r="O51" s="151"/>
      <c r="P51" s="151"/>
      <c r="Q51" s="151"/>
    </row>
    <row r="52" spans="1:17" ht="15.75" customHeight="1">
      <c r="A52" s="10"/>
      <c r="B52" s="8" t="s">
        <v>84</v>
      </c>
      <c r="C52" s="79">
        <v>0.06</v>
      </c>
      <c r="E52" s="234"/>
      <c r="G52" s="22">
        <f>IFERROR(ABS(Normalized_FCF!G45/BS!$G$31),0)</f>
        <v>1.8077341486629657E-2</v>
      </c>
      <c r="H52" s="151"/>
      <c r="I52" s="151"/>
      <c r="J52" s="151"/>
      <c r="K52" s="151"/>
      <c r="L52" s="151"/>
      <c r="M52" s="151"/>
      <c r="N52" s="151"/>
      <c r="O52" s="151"/>
      <c r="P52" s="151"/>
      <c r="Q52" s="151"/>
    </row>
    <row r="53" spans="1:17" ht="15.75" customHeight="1">
      <c r="A53" s="10"/>
      <c r="B53" s="25" t="s">
        <v>87</v>
      </c>
      <c r="C53" s="40">
        <f>-C8/C45</f>
        <v>36.57927553548447</v>
      </c>
      <c r="E53" s="237"/>
      <c r="G53" s="40">
        <f t="shared" ref="G53:Q53" si="19">IF(G4="","",-G8/G45)</f>
        <v>116.10835320642488</v>
      </c>
      <c r="H53" s="40">
        <f t="shared" si="19"/>
        <v>57.298098505589842</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-39131309.350003242</v>
      </c>
      <c r="H60" s="266">
        <f>Data!D58</f>
        <v>-86073161.470000267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-39131309.350003242</v>
      </c>
      <c r="H61" s="267">
        <f t="shared" si="21"/>
        <v>-86073161.470000267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0.74156377924126649</v>
      </c>
      <c r="D71" s="26"/>
      <c r="E71" s="234"/>
      <c r="F71" s="26"/>
      <c r="G71" s="6">
        <f t="shared" ref="G71:Q71" si="23">IF(G$4="","",ABS(G5/G$4))</f>
        <v>0.75089357908501497</v>
      </c>
      <c r="H71" s="6">
        <f t="shared" si="23"/>
        <v>0.76320802897372009</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0.25843622075873351</v>
      </c>
      <c r="D72" s="26"/>
      <c r="E72" s="234"/>
      <c r="F72" s="26"/>
      <c r="G72" s="62">
        <f t="shared" ref="G72:Q72" si="24">IF(G$4="","",ABS(G6/G$4))</f>
        <v>0.24910642091498506</v>
      </c>
      <c r="H72" s="62">
        <f t="shared" si="24"/>
        <v>0.23679197102627991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4.4750996396368148E-2</v>
      </c>
      <c r="D73" s="26"/>
      <c r="E73" s="234"/>
      <c r="F73" s="26"/>
      <c r="G73" s="6">
        <f t="shared" ref="G73:Q73" si="25">IF(G$4="","",ABS(G7/G$4))</f>
        <v>4.4750996396368148E-2</v>
      </c>
      <c r="H73" s="6">
        <f t="shared" si="25"/>
        <v>3.425259702888437E-2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0.21368522436236539</v>
      </c>
      <c r="D74" s="26"/>
      <c r="E74" s="234"/>
      <c r="F74" s="26"/>
      <c r="G74" s="62">
        <f t="shared" ref="G74:Q74" si="26">IF(G$4="","",ABS(G8/G$4))</f>
        <v>0.20435542451861693</v>
      </c>
      <c r="H74" s="62">
        <f t="shared" si="26"/>
        <v>0.20253937399739552</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4.9435794364523994E-3</v>
      </c>
      <c r="D76" s="26"/>
      <c r="E76" s="234"/>
      <c r="F76" s="26"/>
      <c r="G76" s="6">
        <f t="shared" ref="G76:Q76" si="28">IF(G$4="","",ABS(G10/G$4))</f>
        <v>6.2955087248190442E-4</v>
      </c>
      <c r="H76" s="6">
        <f t="shared" si="28"/>
        <v>7.739509134773964E-4</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0.20874164492591299</v>
      </c>
      <c r="D77" s="26"/>
      <c r="E77" s="234"/>
      <c r="F77" s="26"/>
      <c r="G77" s="62">
        <f t="shared" ref="G77:Q77" si="29">IF(G$4="","",G11/G$4)</f>
        <v>0.20498497539109883</v>
      </c>
      <c r="H77" s="62">
        <f t="shared" si="29"/>
        <v>0.20176542308391812</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5.2185411231478247E-2</v>
      </c>
      <c r="D78" s="26"/>
      <c r="E78" s="234"/>
      <c r="F78" s="26"/>
      <c r="G78" s="6">
        <f t="shared" ref="G78:Q78" si="30">IF(G$4="","",ABS(G12/G$4))</f>
        <v>4.6307851206718695E-2</v>
      </c>
      <c r="H78" s="6">
        <f t="shared" si="30"/>
        <v>4.1559267609924913E-2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7.1063856203872956E-8</v>
      </c>
      <c r="D79" s="26"/>
      <c r="E79" s="234"/>
      <c r="F79" s="26"/>
      <c r="G79" s="6">
        <f t="shared" ref="G79:Q79" si="31">IF(G$4="","",-G13/G$4)</f>
        <v>0</v>
      </c>
      <c r="H79" s="6">
        <f t="shared" si="31"/>
        <v>7.1063856203872956E-8</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0.15655616263057853</v>
      </c>
      <c r="D80" s="26"/>
      <c r="E80" s="234"/>
      <c r="F80" s="26"/>
      <c r="G80" s="62">
        <f t="shared" ref="G80:Q80" si="32">IF(G$4="","",ABS(G14/G$4))</f>
        <v>0.15867712418438013</v>
      </c>
      <c r="H80" s="62">
        <f t="shared" si="32"/>
        <v>0.16020608441013701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0.15655616263057853</v>
      </c>
      <c r="D85" s="72"/>
      <c r="E85" s="234"/>
      <c r="F85" s="72"/>
      <c r="G85" s="62">
        <f t="shared" ref="G85:Q85" si="35">IF(G$4="","",ABS(G19/G$4))</f>
        <v>0.15867712418438013</v>
      </c>
      <c r="H85" s="62">
        <f t="shared" si="35"/>
        <v>0.16020608441013701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2.2999999999999998</v>
      </c>
      <c r="E88" s="237"/>
      <c r="G88" s="109">
        <f>Data!C65</f>
        <v>2.2999999999999998</v>
      </c>
      <c r="H88" s="109">
        <f>Data!D65</f>
        <v>1.2</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2684100000</v>
      </c>
      <c r="E89" s="237"/>
      <c r="G89" s="71">
        <f t="shared" ref="G89:Q89" si="36">IF(G$4="","",G88*Common_Shares/scaling_factor)</f>
        <v>2684100000</v>
      </c>
      <c r="H89" s="71">
        <f t="shared" si="36"/>
        <v>1400400000</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0.71416999779808299</v>
      </c>
      <c r="E90" s="237"/>
      <c r="G90" s="152">
        <f t="shared" ref="G90:Q90" si="37">IF(G$4="","",G88/(G19*scaling_factor/Common_Shares))</f>
        <v>0.70462402753933151</v>
      </c>
      <c r="H90" s="152">
        <f t="shared" si="37"/>
        <v>0.43459051348345873</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4.698672114402451E-2</v>
      </c>
      <c r="E92" s="237"/>
      <c r="G92" s="22">
        <f t="shared" ref="G92:Q92" si="38">IF(G$4="","",(G88*(1-dividend_tax_rate))/Market_Price)</f>
        <v>4.698672114402451E-2</v>
      </c>
      <c r="H92" s="22">
        <f t="shared" si="38"/>
        <v>2.4514811031664963E-2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0.19353200337673382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1.8326560410813819E-2</v>
      </c>
      <c r="D96" s="26"/>
      <c r="E96" s="234"/>
      <c r="F96" s="26"/>
      <c r="G96" s="6">
        <f t="shared" ref="G96:Q96" si="40">IF(H5="","",G11/H11-1)</f>
        <v>0.21257708382923202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25475032550.349998</v>
      </c>
      <c r="D100" s="25"/>
      <c r="E100" s="238"/>
      <c r="F100" s="25"/>
      <c r="G100" s="270">
        <f t="shared" ref="G100:Q100" si="41">IF(G$4="","",G104+G103)</f>
        <v>25475032550.349998</v>
      </c>
      <c r="H100" s="270">
        <f t="shared" si="41"/>
        <v>19446821920.389999</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4977195516.0900002</v>
      </c>
      <c r="D101" s="86"/>
      <c r="E101" s="239"/>
      <c r="F101" s="86"/>
      <c r="G101" s="282">
        <f>IF(G$4="","",Data!D77)</f>
        <v>3764847381.21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2901732696.8800001</v>
      </c>
      <c r="D102" s="86"/>
      <c r="E102" s="239"/>
      <c r="F102" s="86"/>
      <c r="G102" s="282">
        <f>IF(G$4="","",Data!D78)</f>
        <v>2741315254.1599998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9308843713.8100014</v>
      </c>
      <c r="D103" s="25"/>
      <c r="E103" s="238"/>
      <c r="F103" s="25"/>
      <c r="G103" s="270">
        <f>Data!C79</f>
        <v>9308843713.8100014</v>
      </c>
      <c r="H103" s="270">
        <f>Data!D79</f>
        <v>4330731111.79</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16166188836.539997</v>
      </c>
      <c r="D104" s="25"/>
      <c r="E104" s="238"/>
      <c r="F104" s="25"/>
      <c r="G104" s="270">
        <f>Data!C80</f>
        <v>16166188836.539997</v>
      </c>
      <c r="H104" s="270">
        <f>Data!D80</f>
        <v>15116090808.6</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0.20732791415503607</v>
      </c>
      <c r="D107" s="25"/>
      <c r="E107" s="238"/>
      <c r="F107" s="25"/>
      <c r="G107" s="91">
        <f t="shared" ref="G107:Q107" si="42">IF(G$4="","",G101/G$4)</f>
        <v>0.15682686206217439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0.12087332826985521</v>
      </c>
      <c r="D108" s="25"/>
      <c r="E108" s="238"/>
      <c r="F108" s="25"/>
      <c r="G108" s="91">
        <f t="shared" ref="G108:Q108" si="43">IF(G$4="","",G102/G$4)</f>
        <v>0.11419104832210054</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551</v>
      </c>
      <c r="G112" s="251">
        <f>IF(G$4="","",Data!C$22/Data!C15)</f>
        <v>1.2035534051724726</v>
      </c>
      <c r="H112" s="251">
        <f>IF(H$4="","",Data!D$22/Data!D15)</f>
        <v>1.1544212249123449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1.2120589811740825</v>
      </c>
      <c r="H113" s="251">
        <f>IF(H$4="","",Data!D$22/H19)</f>
        <v>1.1464924823817912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0.20874164492591299</v>
      </c>
      <c r="E116" s="22">
        <f>E119/E117/E118</f>
        <v>0.20202354119791383</v>
      </c>
      <c r="G116" s="22">
        <f t="shared" ref="G116:Q116" si="44">IF(G4="","",G77)</f>
        <v>0.20498497539109883</v>
      </c>
      <c r="H116" s="22">
        <f t="shared" si="44"/>
        <v>0.20176542308391812</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0.94234987040046703</v>
      </c>
      <c r="E117" s="452">
        <f>C117</f>
        <v>0.94234987040046703</v>
      </c>
      <c r="G117" s="40">
        <f t="shared" ref="G117:Q117" si="45">IF(G4="","",G4/G100)</f>
        <v>0.94234987040046703</v>
      </c>
      <c r="H117" s="40">
        <f t="shared" si="45"/>
        <v>1.034294503669041</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1.5758217850808147</v>
      </c>
      <c r="D118" s="11"/>
      <c r="E118" s="15">
        <f>C100/C104</f>
        <v>1.5758217850808147</v>
      </c>
      <c r="F118" s="11"/>
      <c r="G118" s="15">
        <f t="shared" ref="G118:Q118" si="46">IF(G$4="","",G100/G104)</f>
        <v>1.5758217850808147</v>
      </c>
      <c r="H118" s="15">
        <f t="shared" si="46"/>
        <v>1.286498087807604</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0.30997621913985418</v>
      </c>
      <c r="D119" s="100"/>
      <c r="E119" s="453">
        <v>0.3</v>
      </c>
      <c r="F119" s="100"/>
      <c r="G119" s="99">
        <f t="shared" ref="G119:Q119" si="47">IF(G$4="","",G11/G104)</f>
        <v>0.30439765708831501</v>
      </c>
      <c r="H119" s="99">
        <f t="shared" si="47"/>
        <v>0.26847268379868061</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3.2205217344488308</v>
      </c>
      <c r="D123" s="26"/>
      <c r="E123" s="234"/>
      <c r="F123" s="26"/>
      <c r="G123" s="159">
        <f t="shared" ref="G123:Q123" si="48">IF(G$4="","",G14*$C$3/Common_Shares*Exchange_Rate)</f>
        <v>3.2641521011311467</v>
      </c>
      <c r="H123" s="159">
        <f t="shared" si="48"/>
        <v>2.7612199594082352</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6.5792068119485819E-2</v>
      </c>
      <c r="D124" s="26"/>
      <c r="E124" s="234"/>
      <c r="F124" s="26"/>
      <c r="G124" s="74">
        <f t="shared" ref="G124" si="49">IF(G$4="","",G123/Market_Price)</f>
        <v>6.6683393281535164E-2</v>
      </c>
      <c r="H124" s="74">
        <f t="shared" ref="H124" si="50">IF(H$4="","",H123/Market_Price)</f>
        <v>5.6408987934795402E-2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6.7154648372637724E-2</v>
      </c>
      <c r="H125" s="22">
        <f>IF(H$4="","",(Data!D47*$C$3)/(Market_Price*Common_Shares))</f>
        <v>5.6021562329572262E-2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3758348864.1017857</v>
      </c>
      <c r="D4" t="str">
        <f>Reporting_currency</f>
        <v>CNY</v>
      </c>
      <c r="E4" s="135" t="s">
        <v>429</v>
      </c>
      <c r="F4" s="275">
        <f>-BS!G31</f>
        <v>-2337303264.4899998</v>
      </c>
      <c r="G4" t="str">
        <f>Reporting_currency</f>
        <v>CNY</v>
      </c>
      <c r="H4" s="308" t="s">
        <v>392</v>
      </c>
      <c r="I4" s="305">
        <f>Normalized_FCF!C4</f>
        <v>24006393622.27</v>
      </c>
      <c r="J4" s="305"/>
    </row>
    <row r="5" spans="2:15">
      <c r="B5" s="187" t="s">
        <v>105</v>
      </c>
      <c r="C5" s="188">
        <f>Equity_Cost</f>
        <v>7.2499999999999995E-2</v>
      </c>
      <c r="E5" s="135" t="s">
        <v>430</v>
      </c>
      <c r="F5" s="275">
        <f>BS!D66</f>
        <v>4137556467.9860034</v>
      </c>
      <c r="G5" t="str">
        <f>Reporting_currency</f>
        <v>CNY</v>
      </c>
      <c r="H5" s="308" t="s">
        <v>393</v>
      </c>
      <c r="I5" s="305">
        <f>Normalized_FCF!C7</f>
        <v>-1074310034.48</v>
      </c>
      <c r="J5" s="305"/>
    </row>
    <row r="6" spans="2:15" ht="13.25" customHeight="1">
      <c r="B6" s="136" t="s">
        <v>194</v>
      </c>
      <c r="C6" s="283">
        <f>(C4*(1+Terminal_Growth))/(Equity_Cost-Terminal_Growth)</f>
        <v>60734917643.884865</v>
      </c>
      <c r="D6" t="str">
        <f>Reporting_currency</f>
        <v>CNY</v>
      </c>
      <c r="E6" s="187" t="s">
        <v>431</v>
      </c>
      <c r="F6" s="284">
        <f>BS!H42</f>
        <v>853253884.91900003</v>
      </c>
      <c r="G6" t="str">
        <f>Reporting_currency</f>
        <v>CNY</v>
      </c>
      <c r="H6" s="308" t="s">
        <v>414</v>
      </c>
      <c r="I6" s="305">
        <f>I7+I8</f>
        <v>-118677513.85443601</v>
      </c>
      <c r="J6" s="305"/>
      <c r="N6" s="135"/>
    </row>
    <row r="7" spans="2:15" ht="12.75" customHeight="1">
      <c r="B7" s="318" t="s">
        <v>428</v>
      </c>
      <c r="C7" s="275">
        <f>F7</f>
        <v>2653507088.4150038</v>
      </c>
      <c r="E7" s="140" t="s">
        <v>422</v>
      </c>
      <c r="F7" s="283">
        <f>SUM(F4:F6)</f>
        <v>2653507088.4150038</v>
      </c>
      <c r="G7" t="str">
        <f>Reporting_currency</f>
        <v>CNY</v>
      </c>
      <c r="H7" s="312" t="s">
        <v>415</v>
      </c>
      <c r="I7" s="313">
        <f>Normalized_FCF!C9</f>
        <v>0</v>
      </c>
      <c r="J7" s="313"/>
      <c r="N7" s="304"/>
      <c r="O7" s="304"/>
    </row>
    <row r="8" spans="2:15" ht="13.15">
      <c r="B8" s="136" t="s">
        <v>424</v>
      </c>
      <c r="C8" s="283">
        <f>C6+C7</f>
        <v>63388424732.299866</v>
      </c>
      <c r="D8" t="str">
        <f>Reporting_currency</f>
        <v>CNY</v>
      </c>
      <c r="E8" s="140" t="s">
        <v>462</v>
      </c>
      <c r="F8" s="108">
        <f>FV_adjustments*scaling_factor/Common_Shares*Exchange_Rate</f>
        <v>2.2737849943573298</v>
      </c>
      <c r="G8" s="294" t="str">
        <f>Market_currency</f>
        <v>CNY</v>
      </c>
      <c r="H8" s="314" t="str">
        <f>Normalized_FCF!B10</f>
        <v>Net Interest Income</v>
      </c>
      <c r="I8" s="313">
        <f>Normalized_FCF!C10</f>
        <v>-118677513.85443601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7.1063856203872956E-8</v>
      </c>
      <c r="J9" s="306"/>
      <c r="N9" s="304"/>
      <c r="O9" s="304"/>
    </row>
    <row r="10" spans="2:15" ht="13.5" thickTop="1">
      <c r="B10" s="107" t="s">
        <v>425</v>
      </c>
      <c r="C10" s="283">
        <f>C8*Exchange_Rate</f>
        <v>63388424732.299866</v>
      </c>
      <c r="D10" t="str">
        <f>Market_currency</f>
        <v>CNY</v>
      </c>
      <c r="H10" s="308" t="s">
        <v>395</v>
      </c>
      <c r="I10" s="306">
        <f>Normalized_FCF!C41</f>
        <v>0.25</v>
      </c>
      <c r="N10" s="304"/>
      <c r="O10" s="304"/>
    </row>
    <row r="11" spans="2:15" ht="13.15">
      <c r="B11" s="136" t="s">
        <v>423</v>
      </c>
      <c r="C11" s="108">
        <f>(C10*scaling_factor)/Common_Shares</f>
        <v>54.317416223050444</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10</v>
      </c>
      <c r="E15" s="308" t="str">
        <f>IF(F14="II","Change year","Terminal Year")</f>
        <v>Change year</v>
      </c>
      <c r="F15" s="310">
        <f>IF(F14="II",_xlfn.CEILING.MATH(C15/2),C15+1)</f>
        <v>5</v>
      </c>
      <c r="H15" s="97" t="s">
        <v>427</v>
      </c>
      <c r="I15" s="126">
        <f>Terminal_Growth</f>
        <v>0.01</v>
      </c>
      <c r="J15" s="126"/>
    </row>
    <row r="16" spans="2:15" ht="13.25" customHeight="1">
      <c r="B16" s="114" t="s">
        <v>420</v>
      </c>
      <c r="C16" s="147">
        <f>Scenarios!C46</f>
        <v>2.38559171477595E-2</v>
      </c>
      <c r="E16" s="308" t="s">
        <v>398</v>
      </c>
      <c r="F16" s="311">
        <f>Scenarios!C41</f>
        <v>2.38559171477595E-2</v>
      </c>
    </row>
    <row r="17" spans="1:21" ht="13.25" customHeight="1">
      <c r="B17" s="308" t="s">
        <v>546</v>
      </c>
      <c r="C17" s="306">
        <f>Normalized_FCF!C77</f>
        <v>0.20874164492591299</v>
      </c>
      <c r="E17" s="308" t="s">
        <v>547</v>
      </c>
      <c r="F17" s="311">
        <f>Scenarios!C40</f>
        <v>0.20202354119791383</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54.301934005978339</v>
      </c>
      <c r="J18" t="str">
        <f>Market_currency</f>
        <v>CNY</v>
      </c>
    </row>
    <row r="19" spans="1:21">
      <c r="L19" s="275"/>
    </row>
    <row r="20" spans="1:21" ht="13.15">
      <c r="A20" s="121" t="s">
        <v>397</v>
      </c>
      <c r="B20" s="121" t="s">
        <v>98</v>
      </c>
      <c r="C20" s="121" t="s">
        <v>392</v>
      </c>
      <c r="D20" s="121" t="s">
        <v>102</v>
      </c>
      <c r="E20" s="121" t="s">
        <v>546</v>
      </c>
      <c r="F20" s="121" t="s">
        <v>548</v>
      </c>
      <c r="G20" s="121" t="str">
        <f>B18</f>
        <v>D&amp;A - maint. Capx</v>
      </c>
      <c r="H20" s="121" t="s">
        <v>550</v>
      </c>
      <c r="I20" s="121" t="s">
        <v>527</v>
      </c>
      <c r="J20" s="121" t="s">
        <v>549</v>
      </c>
      <c r="K20" s="121" t="s">
        <v>528</v>
      </c>
      <c r="L20" s="122" t="s">
        <v>417</v>
      </c>
    </row>
    <row r="21" spans="1:21">
      <c r="A21" s="302" t="str">
        <f t="shared" ref="A21:A50" si="0">IF($C$15&lt;B21,"",IF(B21&gt;=$F$15,"II","I"))</f>
        <v>I</v>
      </c>
      <c r="B21" s="117">
        <v>1</v>
      </c>
      <c r="C21" s="277">
        <f>I4*(1+D21)</f>
        <v>24579088159.539375</v>
      </c>
      <c r="D21" s="299">
        <f t="shared" ref="D21:D50" si="1">IF(A21="",0,IF(A21="I",$C$16,$F$16))</f>
        <v>2.38559171477595E-2</v>
      </c>
      <c r="E21" s="299">
        <f>$C$17</f>
        <v>0.20874164492591299</v>
      </c>
      <c r="F21" s="277">
        <f>C21*E21</f>
        <v>5130679293.2012806</v>
      </c>
      <c r="G21" s="299">
        <f t="shared" ref="G21:G50" si="2">IF(A21="",0%,IF(A21="I",$C$18,$F$18))</f>
        <v>0</v>
      </c>
      <c r="H21" s="277">
        <f>(F21*(1-$I$10)+C21*(G21-$I$9))</f>
        <v>3848007723.2161736</v>
      </c>
      <c r="I21" s="299">
        <f>H21/C4-1</f>
        <v>2.3855917147759476E-2</v>
      </c>
      <c r="J21" s="299">
        <f>H21/C21</f>
        <v>0.15655616263057853</v>
      </c>
      <c r="K21" s="119">
        <f t="shared" ref="K21:K50" si="3">IF($C$15&lt;B21,0,1/(1+Equity_Cost)^B21)</f>
        <v>0.93240093240093236</v>
      </c>
      <c r="L21" s="277">
        <f t="shared" ref="L21:L51" si="4">H21*K21</f>
        <v>3587885989.0127492</v>
      </c>
    </row>
    <row r="22" spans="1:21">
      <c r="A22" s="302" t="str">
        <f t="shared" si="0"/>
        <v>I</v>
      </c>
      <c r="B22" s="117">
        <v>2</v>
      </c>
      <c r="C22" s="277">
        <f t="shared" ref="C22:C50" si="5">IF(A22="",0,C21*(1+D22))</f>
        <v>25165444850.240822</v>
      </c>
      <c r="D22" s="299">
        <f t="shared" si="1"/>
        <v>2.38559171477595E-2</v>
      </c>
      <c r="E22" s="299">
        <f t="shared" ref="E22:E50" si="6">IF($C$15&lt;B22,0,IF(B22&gt;=$F$15,$F$17,$C$17))</f>
        <v>0.20874164492591299</v>
      </c>
      <c r="F22" s="277">
        <f t="shared" ref="F22:F50" si="7">IF(A22="", 0,C22*E22)</f>
        <v>5253076353.3316154</v>
      </c>
      <c r="G22" s="299">
        <f t="shared" si="2"/>
        <v>0</v>
      </c>
      <c r="H22" s="277">
        <f t="shared" ref="H22:H50" si="8">IF(A22="", 0,F22*(1-$I$10)+C22*(G22-$I$9))</f>
        <v>3939805476.6451573</v>
      </c>
      <c r="I22" s="299">
        <f t="shared" ref="I22:I50" si="9">IF(A22="", 0,H22/H21-1)</f>
        <v>2.3855917147759476E-2</v>
      </c>
      <c r="J22" s="299">
        <f>IF(A22="", 0,H22/C22)</f>
        <v>0.15655616263057853</v>
      </c>
      <c r="K22" s="119">
        <f t="shared" si="3"/>
        <v>0.86937149874212816</v>
      </c>
      <c r="L22" s="277">
        <f t="shared" si="4"/>
        <v>3425154591.9834452</v>
      </c>
    </row>
    <row r="23" spans="1:21">
      <c r="A23" s="302" t="str">
        <f t="shared" si="0"/>
        <v>I</v>
      </c>
      <c r="B23" s="117">
        <v>3</v>
      </c>
      <c r="C23" s="277">
        <f t="shared" si="5"/>
        <v>25765789617.574677</v>
      </c>
      <c r="D23" s="299">
        <f t="shared" si="1"/>
        <v>2.38559171477595E-2</v>
      </c>
      <c r="E23" s="299">
        <f t="shared" si="6"/>
        <v>0.20874164492591299</v>
      </c>
      <c r="F23" s="277">
        <f t="shared" si="7"/>
        <v>5378393307.5875483</v>
      </c>
      <c r="G23" s="299">
        <f t="shared" si="2"/>
        <v>0</v>
      </c>
      <c r="H23" s="277">
        <f t="shared" si="8"/>
        <v>4033793149.674293</v>
      </c>
      <c r="I23" s="299">
        <f t="shared" si="9"/>
        <v>2.3855917147759476E-2</v>
      </c>
      <c r="J23" s="299">
        <f t="shared" ref="J23:J50" si="10">IF(A23="", 0,H23/C23)</f>
        <v>0.15655616263057853</v>
      </c>
      <c r="K23" s="119">
        <f t="shared" si="3"/>
        <v>0.81060279602995633</v>
      </c>
      <c r="L23" s="277">
        <f t="shared" si="4"/>
        <v>3269804005.7324662</v>
      </c>
      <c r="N23" s="275"/>
      <c r="O23" s="275"/>
      <c r="P23" s="275"/>
      <c r="Q23" s="275"/>
      <c r="R23" s="275"/>
      <c r="S23" s="275"/>
      <c r="T23" s="275"/>
      <c r="U23" s="275"/>
    </row>
    <row r="24" spans="1:21">
      <c r="A24" s="302" t="str">
        <f t="shared" si="0"/>
        <v>I</v>
      </c>
      <c r="B24" s="117">
        <v>4</v>
      </c>
      <c r="C24" s="277">
        <f t="shared" si="5"/>
        <v>26380456159.938141</v>
      </c>
      <c r="D24" s="299">
        <f t="shared" si="1"/>
        <v>2.38559171477595E-2</v>
      </c>
      <c r="E24" s="299">
        <f t="shared" si="6"/>
        <v>0.20874164492591299</v>
      </c>
      <c r="F24" s="277">
        <f t="shared" si="7"/>
        <v>5506699812.7214212</v>
      </c>
      <c r="G24" s="299">
        <f t="shared" si="2"/>
        <v>0</v>
      </c>
      <c r="H24" s="277">
        <f t="shared" si="8"/>
        <v>4130022984.8441229</v>
      </c>
      <c r="I24" s="299">
        <f t="shared" si="9"/>
        <v>2.3855917147759476E-2</v>
      </c>
      <c r="J24" s="299">
        <f t="shared" si="10"/>
        <v>0.15655616263057853</v>
      </c>
      <c r="K24" s="119">
        <f t="shared" si="3"/>
        <v>0.75580680282513402</v>
      </c>
      <c r="L24" s="277">
        <f t="shared" si="4"/>
        <v>3121499467.7693534</v>
      </c>
      <c r="N24" s="275"/>
      <c r="O24" s="275"/>
      <c r="P24" s="275"/>
      <c r="Q24" s="275"/>
      <c r="R24" s="275"/>
      <c r="S24" s="275"/>
      <c r="T24" s="275"/>
      <c r="U24" s="275"/>
    </row>
    <row r="25" spans="1:21">
      <c r="A25" s="302" t="str">
        <f t="shared" si="0"/>
        <v>II</v>
      </c>
      <c r="B25" s="117">
        <v>5</v>
      </c>
      <c r="C25" s="277">
        <f t="shared" si="5"/>
        <v>27009786136.409725</v>
      </c>
      <c r="D25" s="299">
        <f t="shared" si="1"/>
        <v>2.38559171477595E-2</v>
      </c>
      <c r="E25" s="299">
        <f t="shared" si="6"/>
        <v>0.20202354119791383</v>
      </c>
      <c r="F25" s="277">
        <f t="shared" si="7"/>
        <v>5456612642.2758121</v>
      </c>
      <c r="G25" s="299">
        <f t="shared" si="2"/>
        <v>0</v>
      </c>
      <c r="H25" s="277">
        <f t="shared" si="8"/>
        <v>4092457562.2873011</v>
      </c>
      <c r="I25" s="299">
        <f t="shared" si="9"/>
        <v>-9.095693339885802E-3</v>
      </c>
      <c r="J25" s="299">
        <f t="shared" si="10"/>
        <v>0.15151758483457917</v>
      </c>
      <c r="K25" s="119">
        <f t="shared" si="3"/>
        <v>0.70471496766912267</v>
      </c>
      <c r="L25" s="277">
        <f t="shared" si="4"/>
        <v>2884016098.6945519</v>
      </c>
      <c r="N25" s="275"/>
      <c r="O25" s="275"/>
      <c r="P25" s="275"/>
      <c r="Q25" s="275"/>
      <c r="R25" s="275"/>
      <c r="S25" s="275"/>
      <c r="T25" s="275"/>
      <c r="U25" s="275"/>
    </row>
    <row r="26" spans="1:21">
      <c r="A26" s="302" t="str">
        <f t="shared" si="0"/>
        <v>II</v>
      </c>
      <c r="B26" s="117">
        <v>6</v>
      </c>
      <c r="C26" s="277">
        <f t="shared" si="5"/>
        <v>27654129356.658619</v>
      </c>
      <c r="D26" s="299">
        <f t="shared" si="1"/>
        <v>2.38559171477595E-2</v>
      </c>
      <c r="E26" s="299">
        <f t="shared" si="6"/>
        <v>0.20202354119791383</v>
      </c>
      <c r="F26" s="277">
        <f t="shared" si="7"/>
        <v>5586785141.3773603</v>
      </c>
      <c r="G26" s="299">
        <f t="shared" si="2"/>
        <v>0</v>
      </c>
      <c r="H26" s="277">
        <f t="shared" si="8"/>
        <v>4190086890.8239479</v>
      </c>
      <c r="I26" s="299">
        <f t="shared" si="9"/>
        <v>2.3855917147759254E-2</v>
      </c>
      <c r="J26" s="299">
        <f t="shared" si="10"/>
        <v>0.15151758483457914</v>
      </c>
      <c r="K26" s="119">
        <f t="shared" si="3"/>
        <v>0.65707689293158289</v>
      </c>
      <c r="L26" s="277">
        <f t="shared" si="4"/>
        <v>2753209275.3359561</v>
      </c>
    </row>
    <row r="27" spans="1:21">
      <c r="A27" s="302" t="str">
        <f t="shared" si="0"/>
        <v>II</v>
      </c>
      <c r="B27" s="117">
        <v>7</v>
      </c>
      <c r="C27" s="277">
        <f t="shared" si="5"/>
        <v>28313843975.384491</v>
      </c>
      <c r="D27" s="299">
        <f t="shared" si="1"/>
        <v>2.38559171477595E-2</v>
      </c>
      <c r="E27" s="299">
        <f t="shared" si="6"/>
        <v>0.20202354119791383</v>
      </c>
      <c r="F27" s="277">
        <f t="shared" si="7"/>
        <v>5720063024.8323927</v>
      </c>
      <c r="G27" s="299">
        <f t="shared" si="2"/>
        <v>0</v>
      </c>
      <c r="H27" s="277">
        <f t="shared" si="8"/>
        <v>4290045256.5333576</v>
      </c>
      <c r="I27" s="299">
        <f t="shared" si="9"/>
        <v>2.3855917147759698E-2</v>
      </c>
      <c r="J27" s="299">
        <f t="shared" si="10"/>
        <v>0.15151758483457917</v>
      </c>
      <c r="K27" s="119">
        <f t="shared" si="3"/>
        <v>0.61265910762851561</v>
      </c>
      <c r="L27" s="277">
        <f t="shared" si="4"/>
        <v>2628335298.5536733</v>
      </c>
    </row>
    <row r="28" spans="1:21">
      <c r="A28" s="302" t="str">
        <f t="shared" si="0"/>
        <v>II</v>
      </c>
      <c r="B28" s="117">
        <v>8</v>
      </c>
      <c r="C28" s="277">
        <f t="shared" si="5"/>
        <v>28989296691.395851</v>
      </c>
      <c r="D28" s="299">
        <f t="shared" si="1"/>
        <v>2.38559171477595E-2</v>
      </c>
      <c r="E28" s="299">
        <f t="shared" si="6"/>
        <v>0.20202354119791383</v>
      </c>
      <c r="F28" s="277">
        <f t="shared" si="7"/>
        <v>5856520374.4327564</v>
      </c>
      <c r="G28" s="299">
        <f t="shared" si="2"/>
        <v>0</v>
      </c>
      <c r="H28" s="277">
        <f t="shared" si="8"/>
        <v>4392388220.7333565</v>
      </c>
      <c r="I28" s="299">
        <f t="shared" si="9"/>
        <v>2.3855917147759698E-2</v>
      </c>
      <c r="J28" s="299">
        <f t="shared" si="10"/>
        <v>0.15151758483457919</v>
      </c>
      <c r="K28" s="119">
        <f t="shared" si="3"/>
        <v>0.5712439231967511</v>
      </c>
      <c r="L28" s="277">
        <f t="shared" si="4"/>
        <v>2509125079.4149199</v>
      </c>
    </row>
    <row r="29" spans="1:21">
      <c r="A29" s="302" t="str">
        <f t="shared" si="0"/>
        <v>II</v>
      </c>
      <c r="B29" s="117">
        <v>9</v>
      </c>
      <c r="C29" s="277">
        <f t="shared" si="5"/>
        <v>29680862951.437607</v>
      </c>
      <c r="D29" s="299">
        <f t="shared" si="1"/>
        <v>2.38559171477595E-2</v>
      </c>
      <c r="E29" s="299">
        <f t="shared" si="6"/>
        <v>0.20202354119791383</v>
      </c>
      <c r="F29" s="277">
        <f t="shared" si="7"/>
        <v>5996233039.2593899</v>
      </c>
      <c r="G29" s="299">
        <f t="shared" si="2"/>
        <v>0</v>
      </c>
      <c r="H29" s="277">
        <f t="shared" si="8"/>
        <v>4497172670.2079649</v>
      </c>
      <c r="I29" s="299">
        <f t="shared" si="9"/>
        <v>2.3855917147759254E-2</v>
      </c>
      <c r="J29" s="299">
        <f t="shared" si="10"/>
        <v>0.15151758483457914</v>
      </c>
      <c r="K29" s="119">
        <f t="shared" si="3"/>
        <v>0.53262836661701729</v>
      </c>
      <c r="L29" s="277">
        <f t="shared" si="4"/>
        <v>2395321733.7275586</v>
      </c>
    </row>
    <row r="30" spans="1:21">
      <c r="A30" s="302" t="str">
        <f t="shared" si="0"/>
        <v>II</v>
      </c>
      <c r="B30" s="117">
        <v>10</v>
      </c>
      <c r="C30" s="277">
        <f t="shared" si="5"/>
        <v>30388927158.881107</v>
      </c>
      <c r="D30" s="299">
        <f t="shared" si="1"/>
        <v>2.38559171477595E-2</v>
      </c>
      <c r="E30" s="299">
        <f t="shared" si="6"/>
        <v>0.20202354119791383</v>
      </c>
      <c r="F30" s="277">
        <f t="shared" si="7"/>
        <v>6139278677.8426199</v>
      </c>
      <c r="G30" s="299">
        <f t="shared" si="2"/>
        <v>0</v>
      </c>
      <c r="H30" s="277">
        <f t="shared" si="8"/>
        <v>4604456848.8276148</v>
      </c>
      <c r="I30" s="299">
        <f t="shared" si="9"/>
        <v>2.3855917147759476E-2</v>
      </c>
      <c r="J30" s="299">
        <f t="shared" si="10"/>
        <v>0.15151758483457917</v>
      </c>
      <c r="K30" s="119">
        <f t="shared" si="3"/>
        <v>0.49662318565689262</v>
      </c>
      <c r="L30" s="277">
        <f t="shared" si="4"/>
        <v>2286680028.4844675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11</v>
      </c>
      <c r="C51" s="277">
        <f>VLOOKUP(C15,B21:C50,2,FALSE)*(1+Terminal_Growth)</f>
        <v>30692816430.469917</v>
      </c>
      <c r="D51" s="301">
        <f>Terminal_Growth</f>
        <v>0.01</v>
      </c>
      <c r="E51" s="301">
        <f>F17</f>
        <v>0.20202354119791383</v>
      </c>
      <c r="F51" s="277">
        <f>C51*E51</f>
        <v>6200671464.6210461</v>
      </c>
      <c r="G51" s="299">
        <f>F18</f>
        <v>0</v>
      </c>
      <c r="H51" s="277">
        <f>(F51*(1-$I$10)+C51*(G51-$I$9))/Equity_Cost</f>
        <v>64144847135.391594</v>
      </c>
      <c r="I51" s="415">
        <f>(F51*(1-$I$10)+C51*(G51-$I$9))/VLOOKUP(C15,B21:H50,COLUMN(H20)-1,FALSE)-1</f>
        <v>9.9999999999997868E-3</v>
      </c>
      <c r="J51" s="454"/>
      <c r="K51" s="119">
        <f>1/(1+Equity_Cost)^C15</f>
        <v>0.49662318565689262</v>
      </c>
      <c r="L51" s="277">
        <f t="shared" si="4"/>
        <v>31855818327.852577</v>
      </c>
    </row>
    <row r="52" spans="1:21" ht="13.15">
      <c r="G52" s="111"/>
      <c r="H52" s="111"/>
      <c r="I52" s="111"/>
      <c r="J52" s="468" t="s">
        <v>418</v>
      </c>
      <c r="K52" s="468"/>
      <c r="L52" s="317">
        <f>SUM(L21:L51)</f>
        <v>60716849896.561722</v>
      </c>
    </row>
    <row r="53" spans="1:21">
      <c r="C53" s="111"/>
    </row>
    <row r="54" spans="1:21" ht="13.15">
      <c r="B54" s="115" t="s">
        <v>108</v>
      </c>
      <c r="C54" s="128"/>
      <c r="D54" s="128"/>
      <c r="E54" s="113"/>
      <c r="F54" s="113"/>
      <c r="G54" s="113"/>
      <c r="H54" s="113"/>
      <c r="I54" s="113"/>
      <c r="J54" s="113"/>
      <c r="K54" s="113"/>
      <c r="L54" s="113"/>
    </row>
    <row r="55" spans="1:21" ht="13.15">
      <c r="A55" s="125">
        <f>L52</f>
        <v>60716849896.561722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50751482777.32428</v>
      </c>
      <c r="C56" s="118">
        <v>51258997605.097519</v>
      </c>
      <c r="D56" s="118">
        <v>51766512432.87075</v>
      </c>
      <c r="E56" s="118">
        <v>52274027260.643997</v>
      </c>
      <c r="F56" s="118">
        <v>53289056916.190498</v>
      </c>
      <c r="G56" s="295"/>
      <c r="H56" s="295"/>
      <c r="I56" s="295"/>
      <c r="J56" s="295"/>
      <c r="K56" s="295"/>
      <c r="L56" s="295"/>
    </row>
    <row r="57" spans="1:21" ht="13.15">
      <c r="A57" s="131">
        <v>2</v>
      </c>
      <c r="B57" s="118">
        <v>50719860338.565666</v>
      </c>
      <c r="C57" s="118">
        <v>51703936222.720543</v>
      </c>
      <c r="D57" s="118">
        <v>52697455221.346107</v>
      </c>
      <c r="E57" s="118">
        <v>53700417334.44236</v>
      </c>
      <c r="F57" s="118">
        <v>55734670904.046883</v>
      </c>
      <c r="G57" s="295"/>
      <c r="H57" s="295"/>
      <c r="I57" s="295"/>
      <c r="J57" s="295"/>
      <c r="K57" s="295"/>
      <c r="L57" s="295"/>
    </row>
    <row r="58" spans="1:21" ht="13.15">
      <c r="A58" s="131">
        <v>3</v>
      </c>
      <c r="B58" s="118">
        <v>50690375547.182335</v>
      </c>
      <c r="C58" s="118">
        <v>52122946016.472771</v>
      </c>
      <c r="D58" s="118">
        <v>53582827383.81218</v>
      </c>
      <c r="E58" s="118">
        <v>55070283792.262665</v>
      </c>
      <c r="F58" s="118">
        <v>58128978304.745438</v>
      </c>
      <c r="G58" s="295"/>
      <c r="H58" s="295"/>
      <c r="I58" s="295"/>
      <c r="J58" s="295"/>
      <c r="K58" s="295"/>
      <c r="L58" s="295"/>
    </row>
    <row r="59" spans="1:21" ht="13.15">
      <c r="A59" s="131">
        <v>4</v>
      </c>
      <c r="B59" s="118">
        <v>50662883900.204865</v>
      </c>
      <c r="C59" s="118">
        <v>52517537990.076256</v>
      </c>
      <c r="D59" s="118">
        <v>54424859650.21347</v>
      </c>
      <c r="E59" s="118">
        <v>56385866497.675194</v>
      </c>
      <c r="F59" s="118">
        <v>60473055480.254517</v>
      </c>
      <c r="G59" s="295"/>
      <c r="H59" s="295"/>
      <c r="I59" s="295"/>
      <c r="J59" s="295"/>
      <c r="K59" s="295"/>
      <c r="L59" s="295"/>
    </row>
    <row r="60" spans="1:21" ht="13.15">
      <c r="A60" s="131">
        <v>5</v>
      </c>
      <c r="B60" s="118">
        <v>50742408171.847694</v>
      </c>
      <c r="C60" s="118">
        <v>52996406268.270233</v>
      </c>
      <c r="D60" s="118">
        <v>55335079426.20192</v>
      </c>
      <c r="E60" s="118">
        <v>57760878156.298645</v>
      </c>
      <c r="F60" s="118">
        <v>62883892365.104073</v>
      </c>
      <c r="G60" s="295"/>
      <c r="H60" s="295"/>
      <c r="I60" s="295"/>
      <c r="J60" s="295"/>
      <c r="K60" s="295"/>
      <c r="L60" s="295"/>
    </row>
    <row r="61" spans="1:21" ht="13.15">
      <c r="A61" s="131">
        <v>6</v>
      </c>
      <c r="B61" s="118">
        <v>50718507717.512009</v>
      </c>
      <c r="C61" s="118">
        <v>53346348528.764717</v>
      </c>
      <c r="D61" s="118">
        <v>56096692649.311035</v>
      </c>
      <c r="E61" s="118">
        <v>58974261428.219269</v>
      </c>
      <c r="F61" s="118">
        <v>65130648325.785675</v>
      </c>
      <c r="G61" s="295"/>
      <c r="H61" s="295"/>
      <c r="I61" s="295"/>
      <c r="J61" s="295"/>
      <c r="K61" s="295"/>
      <c r="L61" s="295"/>
    </row>
    <row r="62" spans="1:21" ht="13.15">
      <c r="A62" s="131">
        <v>7</v>
      </c>
      <c r="B62" s="118">
        <v>50794271870.968582</v>
      </c>
      <c r="C62" s="118">
        <v>53776917824.517647</v>
      </c>
      <c r="D62" s="118">
        <v>56925074446.322685</v>
      </c>
      <c r="E62" s="118">
        <v>60246702658.359619</v>
      </c>
      <c r="F62" s="118">
        <v>67443773472.617096</v>
      </c>
      <c r="G62" s="295"/>
      <c r="H62" s="295"/>
      <c r="I62" s="295"/>
      <c r="J62" s="295"/>
      <c r="K62" s="295"/>
      <c r="L62" s="295"/>
    </row>
    <row r="63" spans="1:21" ht="13.15">
      <c r="A63" s="131">
        <v>8</v>
      </c>
      <c r="B63" s="118">
        <v>50773493497.16214</v>
      </c>
      <c r="C63" s="118">
        <v>54087262671.529282</v>
      </c>
      <c r="D63" s="118">
        <v>57613949118.660034</v>
      </c>
      <c r="E63" s="118">
        <v>61365825734.787659</v>
      </c>
      <c r="F63" s="118">
        <v>69597248793.139313</v>
      </c>
      <c r="G63" s="295"/>
      <c r="H63" s="295"/>
      <c r="I63" s="295"/>
      <c r="J63" s="295"/>
      <c r="K63" s="295"/>
      <c r="L63" s="295"/>
    </row>
    <row r="64" spans="1:21" ht="13.15">
      <c r="A64" s="131">
        <v>9</v>
      </c>
      <c r="B64" s="118">
        <v>50845540663.183151</v>
      </c>
      <c r="C64" s="118">
        <v>54474655152.435791</v>
      </c>
      <c r="D64" s="118">
        <v>58368059619.969276</v>
      </c>
      <c r="E64" s="118">
        <v>62543496351.381012</v>
      </c>
      <c r="F64" s="118">
        <v>71816669035.061218</v>
      </c>
      <c r="G64" s="295"/>
      <c r="H64" s="295"/>
      <c r="I64" s="295"/>
      <c r="J64" s="295"/>
      <c r="K64" s="295"/>
      <c r="L64" s="295"/>
    </row>
    <row r="65" spans="1:21" ht="13.15">
      <c r="A65" s="131">
        <v>10</v>
      </c>
      <c r="B65" s="118">
        <v>50827476537.205627</v>
      </c>
      <c r="C65" s="118">
        <v>54749883197.001137</v>
      </c>
      <c r="D65" s="118">
        <v>58991142701.760635</v>
      </c>
      <c r="E65" s="118">
        <v>63575681720.321648</v>
      </c>
      <c r="F65" s="118">
        <v>73880736533.825745</v>
      </c>
      <c r="G65" s="295"/>
      <c r="H65" s="295"/>
      <c r="I65" s="295"/>
      <c r="J65" s="295"/>
      <c r="K65" s="295"/>
      <c r="L65" s="295"/>
    </row>
    <row r="66" spans="1:21" ht="13.15">
      <c r="A66" s="131">
        <v>15</v>
      </c>
      <c r="B66" s="118">
        <v>50992729014.604103</v>
      </c>
      <c r="C66" s="277">
        <v>56156743858.5214</v>
      </c>
      <c r="D66" s="118">
        <v>61946578752.534752</v>
      </c>
      <c r="E66" s="118">
        <v>68439400963.536087</v>
      </c>
      <c r="F66" s="118">
        <v>83889002839.14035</v>
      </c>
      <c r="G66" s="295"/>
      <c r="H66" s="295"/>
      <c r="I66" s="295"/>
      <c r="J66" s="295"/>
      <c r="K66" s="295"/>
      <c r="L66" s="295"/>
      <c r="M66" s="275"/>
      <c r="N66" s="275"/>
      <c r="O66" s="275"/>
      <c r="P66" s="275"/>
      <c r="Q66" s="275"/>
      <c r="R66" s="275"/>
      <c r="S66" s="275"/>
      <c r="T66" s="275"/>
      <c r="U66" s="275"/>
    </row>
    <row r="67" spans="1:21" ht="13.15">
      <c r="A67" s="132">
        <v>20</v>
      </c>
      <c r="B67" s="118">
        <v>51074403066.438637</v>
      </c>
      <c r="C67" s="277">
        <v>57156345274.868546</v>
      </c>
      <c r="D67" s="118">
        <v>64194945181.028084</v>
      </c>
      <c r="E67" s="118">
        <v>72351725639.069794</v>
      </c>
      <c r="F67" s="118">
        <v>92805186661.855423</v>
      </c>
      <c r="G67" s="295"/>
      <c r="H67" s="295"/>
      <c r="I67" s="295"/>
      <c r="J67" s="295"/>
      <c r="K67" s="295"/>
      <c r="L67" s="295"/>
      <c r="M67" s="275"/>
      <c r="N67" s="275"/>
      <c r="O67" s="275"/>
      <c r="P67" s="275"/>
      <c r="Q67" s="275"/>
      <c r="R67" s="275"/>
      <c r="S67" s="275"/>
      <c r="T67" s="275"/>
      <c r="U67" s="275"/>
    </row>
    <row r="68" spans="1:21" ht="13.15">
      <c r="A68" s="132">
        <v>25</v>
      </c>
      <c r="B68" s="118">
        <v>51206168964.901062</v>
      </c>
      <c r="C68" s="277">
        <v>57976797471.129341</v>
      </c>
      <c r="D68" s="118">
        <v>66030516690.295639</v>
      </c>
      <c r="E68" s="118">
        <v>75640466709.70015</v>
      </c>
      <c r="F68" s="118">
        <v>100930253350.52116</v>
      </c>
      <c r="G68" s="295"/>
      <c r="H68" s="295"/>
      <c r="I68" s="295"/>
      <c r="J68" s="295"/>
      <c r="K68" s="295"/>
      <c r="L68" s="295"/>
      <c r="M68" s="275"/>
      <c r="N68" s="275"/>
      <c r="O68" s="275"/>
      <c r="P68" s="275"/>
      <c r="Q68" s="275"/>
      <c r="R68" s="275"/>
      <c r="S68" s="275"/>
      <c r="T68" s="275"/>
      <c r="U68" s="275"/>
    </row>
    <row r="69" spans="1:21" ht="13.15">
      <c r="A69" s="132">
        <v>30</v>
      </c>
      <c r="B69" s="118">
        <v>51274515080.81057</v>
      </c>
      <c r="C69" s="277">
        <v>58553065983.813309</v>
      </c>
      <c r="D69" s="118">
        <v>67418910189.479568</v>
      </c>
      <c r="E69" s="118">
        <v>78277289819.657257</v>
      </c>
      <c r="F69" s="118">
        <v>108161249520.53519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54.317416223050444</v>
      </c>
      <c r="C73" s="119">
        <f>C11</f>
        <v>54.317416223050444</v>
      </c>
      <c r="D73" s="119">
        <f>C11</f>
        <v>54.317416223050444</v>
      </c>
      <c r="E73" s="119">
        <f>C11</f>
        <v>54.317416223050444</v>
      </c>
      <c r="F73" s="119">
        <f>C11</f>
        <v>54.317416223050444</v>
      </c>
      <c r="G73" s="296"/>
      <c r="H73" s="296"/>
      <c r="I73" s="296"/>
      <c r="J73" s="296"/>
      <c r="K73" s="296"/>
      <c r="L73" s="296"/>
    </row>
    <row r="74" spans="1:21" ht="13.15">
      <c r="A74" s="131">
        <v>1</v>
      </c>
      <c r="B74" s="119">
        <f t="shared" ref="B74:F87" si="11">(B56+FV_adjustments)/Common_Shares*scaling_factor*Exchange_Rate</f>
        <v>45.762630561901695</v>
      </c>
      <c r="C74" s="119">
        <f t="shared" si="11"/>
        <v>46.197519017577136</v>
      </c>
      <c r="D74" s="119">
        <f t="shared" si="11"/>
        <v>46.63240747325257</v>
      </c>
      <c r="E74" s="119">
        <f t="shared" si="11"/>
        <v>47.067295928928019</v>
      </c>
      <c r="F74" s="119">
        <f t="shared" si="11"/>
        <v>47.937072840278923</v>
      </c>
      <c r="G74" s="296"/>
      <c r="H74" s="296"/>
      <c r="I74" s="296"/>
      <c r="J74" s="296"/>
      <c r="K74" s="296"/>
      <c r="L74" s="296"/>
    </row>
    <row r="75" spans="1:21" ht="13.15">
      <c r="A75" s="131">
        <v>2</v>
      </c>
      <c r="B75" s="119">
        <f t="shared" si="11"/>
        <v>45.735533356453011</v>
      </c>
      <c r="C75" s="119">
        <f t="shared" si="11"/>
        <v>46.578786042104149</v>
      </c>
      <c r="D75" s="119">
        <f t="shared" si="11"/>
        <v>47.43013051393411</v>
      </c>
      <c r="E75" s="119">
        <f t="shared" si="11"/>
        <v>48.289566771942894</v>
      </c>
      <c r="F75" s="119">
        <f t="shared" si="11"/>
        <v>50.032714646496899</v>
      </c>
      <c r="G75" s="296"/>
      <c r="H75" s="296"/>
      <c r="I75" s="296"/>
      <c r="J75" s="296"/>
      <c r="K75" s="296"/>
      <c r="L75" s="296"/>
    </row>
    <row r="76" spans="1:21" ht="13.15">
      <c r="A76" s="131">
        <v>3</v>
      </c>
      <c r="B76" s="119">
        <f t="shared" si="11"/>
        <v>45.710267896827197</v>
      </c>
      <c r="C76" s="119">
        <f t="shared" si="11"/>
        <v>46.937834708558505</v>
      </c>
      <c r="D76" s="119">
        <f t="shared" si="11"/>
        <v>48.18880417500187</v>
      </c>
      <c r="E76" s="119">
        <f t="shared" si="11"/>
        <v>49.463402639826619</v>
      </c>
      <c r="F76" s="119">
        <f t="shared" si="11"/>
        <v>52.084391939297717</v>
      </c>
      <c r="G76" s="296"/>
      <c r="H76" s="296"/>
      <c r="I76" s="296"/>
      <c r="J76" s="296"/>
      <c r="K76" s="296"/>
      <c r="L76" s="296"/>
    </row>
    <row r="77" spans="1:21" ht="13.15">
      <c r="A77" s="131">
        <v>4</v>
      </c>
      <c r="B77" s="119">
        <f t="shared" si="11"/>
        <v>45.686710358714535</v>
      </c>
      <c r="C77" s="119">
        <f t="shared" si="11"/>
        <v>47.275959793051634</v>
      </c>
      <c r="D77" s="119">
        <f t="shared" si="11"/>
        <v>48.910339964548818</v>
      </c>
      <c r="E77" s="119">
        <f t="shared" si="11"/>
        <v>50.590722867258094</v>
      </c>
      <c r="F77" s="119">
        <f t="shared" si="11"/>
        <v>54.09302705113069</v>
      </c>
      <c r="G77" s="296"/>
      <c r="H77" s="296"/>
      <c r="I77" s="296"/>
      <c r="J77" s="296"/>
      <c r="K77" s="296"/>
      <c r="L77" s="296"/>
    </row>
    <row r="78" spans="1:21" ht="13.15">
      <c r="A78" s="131">
        <v>5</v>
      </c>
      <c r="B78" s="119">
        <f t="shared" si="11"/>
        <v>45.754854550353635</v>
      </c>
      <c r="C78" s="119">
        <f t="shared" si="11"/>
        <v>47.686301076851102</v>
      </c>
      <c r="D78" s="119">
        <f t="shared" si="11"/>
        <v>49.6903054966726</v>
      </c>
      <c r="E78" s="119">
        <f t="shared" si="11"/>
        <v>51.768967647569532</v>
      </c>
      <c r="F78" s="119">
        <f t="shared" si="11"/>
        <v>56.15886842632311</v>
      </c>
      <c r="G78" s="296"/>
      <c r="H78" s="296"/>
      <c r="I78" s="296"/>
      <c r="J78" s="296"/>
      <c r="K78" s="296"/>
      <c r="L78" s="296"/>
    </row>
    <row r="79" spans="1:21" ht="13.15">
      <c r="A79" s="131">
        <v>6</v>
      </c>
      <c r="B79" s="119">
        <f t="shared" si="11"/>
        <v>45.734374298137972</v>
      </c>
      <c r="C79" s="119">
        <f t="shared" si="11"/>
        <v>47.986165910179707</v>
      </c>
      <c r="D79" s="119">
        <f t="shared" si="11"/>
        <v>50.342930366517599</v>
      </c>
      <c r="E79" s="119">
        <f t="shared" si="11"/>
        <v>52.808713381863129</v>
      </c>
      <c r="F79" s="119">
        <f t="shared" si="11"/>
        <v>58.084109180977443</v>
      </c>
      <c r="G79" s="296"/>
      <c r="H79" s="296"/>
      <c r="I79" s="296"/>
      <c r="J79" s="296"/>
      <c r="K79" s="296"/>
      <c r="L79" s="296"/>
    </row>
    <row r="80" spans="1:21" ht="13.15">
      <c r="A80" s="131">
        <f t="shared" ref="A80" si="12">A62</f>
        <v>7</v>
      </c>
      <c r="B80" s="119">
        <f t="shared" si="11"/>
        <v>45.799296451913953</v>
      </c>
      <c r="C80" s="119">
        <f t="shared" si="11"/>
        <v>48.355119891116239</v>
      </c>
      <c r="D80" s="119">
        <f t="shared" si="11"/>
        <v>51.052769095747806</v>
      </c>
      <c r="E80" s="119">
        <f t="shared" si="11"/>
        <v>53.899065764159914</v>
      </c>
      <c r="F80" s="119">
        <f t="shared" si="11"/>
        <v>60.066221560438819</v>
      </c>
      <c r="G80" s="296"/>
      <c r="H80" s="296"/>
      <c r="I80" s="296"/>
      <c r="J80" s="296"/>
      <c r="K80" s="296"/>
      <c r="L80" s="296"/>
    </row>
    <row r="81" spans="1:12" ht="13.15">
      <c r="A81" s="131">
        <v>8</v>
      </c>
      <c r="B81" s="119">
        <f t="shared" si="11"/>
        <v>45.781491504350591</v>
      </c>
      <c r="C81" s="119">
        <f t="shared" si="11"/>
        <v>48.621053778872565</v>
      </c>
      <c r="D81" s="119">
        <f t="shared" si="11"/>
        <v>51.643064444794376</v>
      </c>
      <c r="E81" s="119">
        <f t="shared" si="11"/>
        <v>54.858040122710079</v>
      </c>
      <c r="F81" s="119">
        <f t="shared" si="11"/>
        <v>61.911530318384166</v>
      </c>
      <c r="G81" s="296"/>
      <c r="H81" s="296"/>
      <c r="I81" s="296"/>
      <c r="J81" s="296"/>
      <c r="K81" s="296"/>
      <c r="L81" s="296"/>
    </row>
    <row r="82" spans="1:12" ht="13.15">
      <c r="A82" s="131">
        <f t="shared" ref="A82" si="13">A64</f>
        <v>9</v>
      </c>
      <c r="B82" s="119">
        <f t="shared" si="11"/>
        <v>45.843228578918726</v>
      </c>
      <c r="C82" s="119">
        <f t="shared" si="11"/>
        <v>48.953009632262891</v>
      </c>
      <c r="D82" s="119">
        <f t="shared" si="11"/>
        <v>52.289260247115919</v>
      </c>
      <c r="E82" s="119">
        <f t="shared" si="11"/>
        <v>55.867183753038574</v>
      </c>
      <c r="F82" s="119">
        <f t="shared" si="11"/>
        <v>63.813347149508338</v>
      </c>
      <c r="G82" s="296"/>
      <c r="H82" s="296"/>
      <c r="I82" s="296"/>
      <c r="J82" s="296"/>
      <c r="K82" s="296"/>
      <c r="L82" s="296"/>
    </row>
    <row r="83" spans="1:12" ht="13.15">
      <c r="A83" s="131">
        <f t="shared" ref="A83:A87" si="14">A65</f>
        <v>10</v>
      </c>
      <c r="B83" s="119">
        <f t="shared" si="11"/>
        <v>45.827749464970545</v>
      </c>
      <c r="C83" s="119">
        <f t="shared" si="11"/>
        <v>49.188852001213483</v>
      </c>
      <c r="D83" s="119">
        <f t="shared" si="11"/>
        <v>52.823178911890004</v>
      </c>
      <c r="E83" s="119">
        <f t="shared" si="11"/>
        <v>56.751661361385302</v>
      </c>
      <c r="F83" s="119">
        <f t="shared" si="11"/>
        <v>65.582042521200307</v>
      </c>
      <c r="G83" s="296"/>
      <c r="H83" s="296"/>
      <c r="I83" s="296"/>
      <c r="J83" s="296"/>
      <c r="K83" s="296"/>
      <c r="L83" s="296"/>
    </row>
    <row r="84" spans="1:12" ht="13.15">
      <c r="A84" s="131">
        <f t="shared" si="14"/>
        <v>15</v>
      </c>
      <c r="B84" s="119">
        <f t="shared" si="11"/>
        <v>45.969353987162897</v>
      </c>
      <c r="C84" s="119">
        <f t="shared" si="11"/>
        <v>50.394388129337102</v>
      </c>
      <c r="D84" s="119">
        <f t="shared" si="11"/>
        <v>55.355686239031492</v>
      </c>
      <c r="E84" s="119">
        <f t="shared" si="11"/>
        <v>60.919372795159468</v>
      </c>
      <c r="F84" s="119">
        <f t="shared" si="11"/>
        <v>74.158106193277945</v>
      </c>
      <c r="G84" s="296"/>
      <c r="H84" s="296"/>
      <c r="I84" s="296"/>
      <c r="J84" s="296"/>
      <c r="K84" s="296"/>
      <c r="L84" s="296"/>
    </row>
    <row r="85" spans="1:12" ht="13.15">
      <c r="A85" s="132">
        <f t="shared" si="14"/>
        <v>20</v>
      </c>
      <c r="B85" s="119">
        <f t="shared" si="11"/>
        <v>46.039340321211341</v>
      </c>
      <c r="C85" s="119">
        <f t="shared" si="11"/>
        <v>51.250944612925061</v>
      </c>
      <c r="D85" s="119">
        <f t="shared" si="11"/>
        <v>57.282307000379681</v>
      </c>
      <c r="E85" s="119">
        <f t="shared" si="11"/>
        <v>64.271836098958701</v>
      </c>
      <c r="F85" s="119">
        <f t="shared" si="11"/>
        <v>81.798366538363695</v>
      </c>
      <c r="G85" s="296"/>
      <c r="H85" s="296"/>
      <c r="I85" s="296"/>
      <c r="J85" s="296"/>
      <c r="K85" s="296"/>
      <c r="L85" s="296"/>
    </row>
    <row r="86" spans="1:12" ht="13.15">
      <c r="A86" s="132">
        <f t="shared" si="14"/>
        <v>25</v>
      </c>
      <c r="B86" s="119">
        <f t="shared" si="11"/>
        <v>46.152250259910936</v>
      </c>
      <c r="C86" s="119">
        <f t="shared" si="11"/>
        <v>51.953988482900037</v>
      </c>
      <c r="D86" s="119">
        <f t="shared" si="11"/>
        <v>58.855204609006549</v>
      </c>
      <c r="E86" s="119">
        <f t="shared" si="11"/>
        <v>67.089951840715642</v>
      </c>
      <c r="F86" s="119">
        <f t="shared" si="11"/>
        <v>88.760720170468019</v>
      </c>
      <c r="G86" s="296"/>
      <c r="H86" s="296"/>
      <c r="I86" s="296"/>
      <c r="J86" s="296"/>
      <c r="K86" s="296"/>
      <c r="L86" s="296"/>
    </row>
    <row r="87" spans="1:12" ht="13.15">
      <c r="A87" s="132">
        <f t="shared" si="14"/>
        <v>30</v>
      </c>
      <c r="B87" s="119">
        <f t="shared" si="11"/>
        <v>46.210815911932791</v>
      </c>
      <c r="C87" s="119">
        <f t="shared" si="11"/>
        <v>52.447791835671218</v>
      </c>
      <c r="D87" s="119">
        <f t="shared" si="11"/>
        <v>60.044916262120459</v>
      </c>
      <c r="E87" s="119">
        <f t="shared" si="11"/>
        <v>69.349440366814278</v>
      </c>
      <c r="F87" s="119">
        <f t="shared" si="11"/>
        <v>94.956946537232383</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65.582042521200307</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56.751661361385302</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52.823178911890004</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49.188852001213483</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45.827749464970545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E23" sqref="E2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300979.SZ – 华利集团: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4905836759.840004</v>
      </c>
      <c r="D7" s="469"/>
      <c r="E7" s="469"/>
      <c r="F7" s="469"/>
      <c r="G7" s="469"/>
    </row>
    <row r="8" spans="2:7">
      <c r="B8" s="97" t="s">
        <v>63</v>
      </c>
      <c r="C8" s="447">
        <f>Normalized_FCF!G19</f>
        <v>3809265502.0200481</v>
      </c>
      <c r="D8" s="469"/>
      <c r="E8" s="469"/>
      <c r="F8" s="469"/>
      <c r="G8" s="469"/>
    </row>
    <row r="9" spans="2:7">
      <c r="B9" s="97" t="s">
        <v>54</v>
      </c>
      <c r="C9" s="447">
        <f>Normalized_FCF!C19</f>
        <v>3758348864.1017857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10</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10</v>
      </c>
      <c r="E22" s="326">
        <f>DCF!E91</f>
        <v>56.751661361385302</v>
      </c>
      <c r="F22" s="328">
        <f>1-F23-F24</f>
        <v>0.19999999999999996</v>
      </c>
      <c r="G22" s="328">
        <f>F22*(1-F$29-F$30)</f>
        <v>0.15999999999999995</v>
      </c>
    </row>
    <row r="23" spans="2:7">
      <c r="B23" s="302" t="s">
        <v>435</v>
      </c>
      <c r="C23" s="324">
        <v>0.02</v>
      </c>
      <c r="D23" s="325">
        <f>C18</f>
        <v>10</v>
      </c>
      <c r="E23" s="326">
        <f>DCF!E92</f>
        <v>52.823178911890004</v>
      </c>
      <c r="F23" s="327">
        <v>0.55000000000000004</v>
      </c>
      <c r="G23" s="328">
        <f t="shared" ref="G23:G24" si="0">F23*(1-F$29-F$30)</f>
        <v>0.44</v>
      </c>
    </row>
    <row r="24" spans="2:7">
      <c r="B24" s="302" t="s">
        <v>444</v>
      </c>
      <c r="C24" s="324">
        <v>0.01</v>
      </c>
      <c r="D24" s="325">
        <f>C18</f>
        <v>10</v>
      </c>
      <c r="E24" s="326">
        <f>DCF!E93</f>
        <v>49.188852001213483</v>
      </c>
      <c r="F24" s="327">
        <v>0.25</v>
      </c>
      <c r="G24" s="328">
        <f t="shared" si="0"/>
        <v>0.19999999999999998</v>
      </c>
    </row>
    <row r="25" spans="2:7">
      <c r="B25" s="141" t="s">
        <v>449</v>
      </c>
      <c r="C25" s="441">
        <f>E23*F23+E24*F24+E22*F22</f>
        <v>52.700293674119933</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10</v>
      </c>
      <c r="E29" s="326">
        <f>DCF!E90</f>
        <v>65.582042521200307</v>
      </c>
      <c r="F29" s="327">
        <v>0.15</v>
      </c>
      <c r="G29" s="328">
        <f>F29</f>
        <v>0.15</v>
      </c>
    </row>
    <row r="30" spans="2:7">
      <c r="B30" s="315" t="s">
        <v>445</v>
      </c>
      <c r="C30" s="324">
        <v>0</v>
      </c>
      <c r="D30" s="325">
        <f>C18</f>
        <v>10</v>
      </c>
      <c r="E30" s="326">
        <f>DCF!E94</f>
        <v>45.827749464970545</v>
      </c>
      <c r="F30" s="327">
        <v>0.05</v>
      </c>
      <c r="G30" s="328">
        <f>F30</f>
        <v>0.05</v>
      </c>
    </row>
    <row r="31" spans="2:7">
      <c r="E31" s="329"/>
      <c r="F31" s="329"/>
    </row>
    <row r="32" spans="2:7" ht="13.15">
      <c r="B32" s="145" t="s">
        <v>454</v>
      </c>
    </row>
    <row r="33" spans="2:7">
      <c r="B33" s="97" t="s">
        <v>456</v>
      </c>
      <c r="C33" s="155">
        <f>Normalized_FCF!C88*(1-dividend_tax_rate)</f>
        <v>2.2999999999999998</v>
      </c>
      <c r="D33" t="str">
        <f>Market_currency</f>
        <v>CNY</v>
      </c>
      <c r="E33" s="97" t="s">
        <v>453</v>
      </c>
      <c r="F33" s="219">
        <f>Holding_Period</f>
        <v>3</v>
      </c>
    </row>
    <row r="34" spans="2:7">
      <c r="B34" s="97" t="s">
        <v>233</v>
      </c>
      <c r="C34" s="146">
        <f>Market_Price</f>
        <v>48.95</v>
      </c>
      <c r="D34" t="str">
        <f>Market_currency</f>
        <v>CNY</v>
      </c>
      <c r="E34" s="97" t="s">
        <v>452</v>
      </c>
      <c r="F34" s="330">
        <f>RATE(Holding_Period,$C$33,-C34,$C$36)</f>
        <v>8.05651608340405E-2</v>
      </c>
    </row>
    <row r="35" spans="2:7">
      <c r="B35" s="97" t="s">
        <v>432</v>
      </c>
      <c r="C35" s="320">
        <f>DCF!C11</f>
        <v>54.317416223050444</v>
      </c>
      <c r="D35" s="97" t="str">
        <f>Market_currency</f>
        <v>CNY</v>
      </c>
      <c r="E35" s="97" t="s">
        <v>452</v>
      </c>
      <c r="F35" s="330">
        <f>RATE(Holding_Period,$C$33,-C35,$C$36)</f>
        <v>4.2176042556715192E-2</v>
      </c>
    </row>
    <row r="36" spans="2:7">
      <c r="B36" s="97" t="s">
        <v>433</v>
      </c>
      <c r="C36" s="321">
        <f>E22*G22+E23*G23+E24*G24+E30*G30+E29*G29</f>
        <v>54.288928790724519</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547</v>
      </c>
      <c r="C40" s="126">
        <f>Normalized_FCF!E116</f>
        <v>0.20202354119791383</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54.301934005978339</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4.1883032968331749E-2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2.2999999999999998</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4.2086586250532756</v>
      </c>
      <c r="D62" s="119">
        <f>C36/(1+F62)^Holding_Period</f>
        <v>25.017939534896097</v>
      </c>
      <c r="E62" s="332">
        <f>C62+D62</f>
        <v>29.226598159949372</v>
      </c>
      <c r="F62" s="301">
        <f>Thesis!E22</f>
        <v>0.29465259038036601</v>
      </c>
      <c r="G62" s="440">
        <f>(1-E62/C36)</f>
        <v>0.46164717538241695</v>
      </c>
    </row>
    <row r="63" spans="2:7" ht="13.15">
      <c r="B63" s="302" t="s">
        <v>312</v>
      </c>
      <c r="C63" s="119">
        <f>PV(F63, Holding_Period, -C58, 0)</f>
        <v>4.8392090787188815</v>
      </c>
      <c r="D63" s="119">
        <f>C36/(1+F63)^Holding_Period</f>
        <v>31.358226016302986</v>
      </c>
      <c r="E63" s="332">
        <f>C63+D63</f>
        <v>36.197435095021866</v>
      </c>
      <c r="F63" s="301">
        <f>Thesis!E23</f>
        <v>0.20075184365903001</v>
      </c>
      <c r="G63" s="440">
        <f>(1-E63/C36)</f>
        <v>0.33324462461660609</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5.5489871896588925</v>
      </c>
      <c r="D66" s="119">
        <f>C36/(1+F66)^Holding_Period</f>
        <v>38.912153936392336</v>
      </c>
      <c r="E66" s="332">
        <f>C66+D66</f>
        <v>44.461141126051231</v>
      </c>
      <c r="F66" s="301">
        <f>Thesis!E24</f>
        <v>0.1174</v>
      </c>
      <c r="G66" s="440">
        <f>(1-E66/C36)</f>
        <v>0.18102747435960465</v>
      </c>
    </row>
    <row r="67" spans="2:7" ht="13.15">
      <c r="B67" s="302" t="s">
        <v>313</v>
      </c>
      <c r="C67" s="119">
        <f>PV(F67, Holding_Period, -C58, 0)</f>
        <v>6.0084630224979367</v>
      </c>
      <c r="D67" s="119">
        <f>C36/(1+F67)^Holding_Period</f>
        <v>44.00675747123249</v>
      </c>
      <c r="E67" s="332">
        <f>C67+D67</f>
        <v>50.015220493730425</v>
      </c>
      <c r="F67" s="301">
        <f>Thesis!E25</f>
        <v>7.2499999999999995E-2</v>
      </c>
      <c r="G67" s="440">
        <f>(1-E67/C36)</f>
        <v>7.8721544008882205E-2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46077</v>
      </c>
    </row>
    <row r="4" spans="1:10">
      <c r="B4" s="422" t="s">
        <v>531</v>
      </c>
      <c r="C4" s="423" t="str">
        <f>Thesis!C4</f>
        <v>华利集团</v>
      </c>
      <c r="D4" s="349"/>
      <c r="E4" s="434" t="s">
        <v>537</v>
      </c>
      <c r="F4" s="437" t="str">
        <f>Thesis!F4</f>
        <v>CN</v>
      </c>
    </row>
    <row r="5" spans="1:10">
      <c r="B5" s="343" t="s">
        <v>362</v>
      </c>
      <c r="C5" s="355" t="str">
        <f>Thesis!C5</f>
        <v>300979.SZ</v>
      </c>
      <c r="E5" s="438" t="s">
        <v>538</v>
      </c>
      <c r="F5" s="439" t="str">
        <f>Thesis!F5</f>
        <v>N</v>
      </c>
    </row>
    <row r="6" spans="1:10">
      <c r="B6" s="350" t="s">
        <v>334</v>
      </c>
      <c r="C6" s="352" t="str">
        <f>Thesis!C6</f>
        <v>CNS_02</v>
      </c>
      <c r="E6" s="354"/>
    </row>
    <row r="7" spans="1:10">
      <c r="B7" s="343" t="s">
        <v>364</v>
      </c>
      <c r="C7" s="352" t="str">
        <f>Market_currency</f>
        <v>CNY</v>
      </c>
      <c r="D7" s="354"/>
      <c r="E7" s="354"/>
    </row>
    <row r="8" spans="1:10">
      <c r="B8" s="351" t="s">
        <v>363</v>
      </c>
      <c r="C8" s="356">
        <f>Market_Price</f>
        <v>48.95</v>
      </c>
    </row>
    <row r="9" spans="1:10">
      <c r="B9" s="351" t="s">
        <v>359</v>
      </c>
      <c r="C9" s="353">
        <f>Common_Shares</f>
        <v>1167000000</v>
      </c>
    </row>
    <row r="10" spans="1:10">
      <c r="B10" s="351" t="s">
        <v>365</v>
      </c>
      <c r="C10" s="357">
        <f>投资主题!C8*Common_Shares/1000000</f>
        <v>57124.65</v>
      </c>
      <c r="D10" s="343" t="s">
        <v>526</v>
      </c>
      <c r="E10" s="360">
        <f>Scenarios!F34</f>
        <v>8.05651608340405E-2</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0.01</v>
      </c>
      <c r="D17" s="351" t="s">
        <v>337</v>
      </c>
      <c r="E17" s="344" t="str">
        <f>Reporting_currency</f>
        <v>CNY</v>
      </c>
    </row>
    <row r="18" spans="1:6">
      <c r="B18" s="343" t="str">
        <f>"预期股权价值 ("&amp;C7&amp;") :"</f>
        <v>预期股权价值 (CNY) :</v>
      </c>
      <c r="C18" s="359">
        <f>C125</f>
        <v>54.288928790724519</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29.226598159949372</v>
      </c>
      <c r="D22" s="365" t="s">
        <v>438</v>
      </c>
      <c r="E22" s="366">
        <f>Thesis!E22</f>
        <v>0.29465259038036601</v>
      </c>
    </row>
    <row r="23" spans="1:6">
      <c r="B23" s="343" t="s">
        <v>339</v>
      </c>
      <c r="C23" s="367">
        <f>E141</f>
        <v>36.197435095021866</v>
      </c>
      <c r="D23" s="365" t="s">
        <v>439</v>
      </c>
      <c r="E23" s="368">
        <f>Thesis!E23</f>
        <v>0.20075184365903001</v>
      </c>
    </row>
    <row r="24" spans="1:6">
      <c r="B24" s="343" t="s">
        <v>341</v>
      </c>
      <c r="C24" s="367">
        <f>E144</f>
        <v>44.461141126051231</v>
      </c>
      <c r="D24" s="365" t="s">
        <v>441</v>
      </c>
      <c r="E24" s="368">
        <f>Thesis!E24</f>
        <v>0.1174</v>
      </c>
    </row>
    <row r="25" spans="1:6">
      <c r="B25" s="343" t="s">
        <v>340</v>
      </c>
      <c r="C25" s="367">
        <f>E145</f>
        <v>50.015220493730425</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5129811607.3060226</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21560682.014963977</v>
      </c>
      <c r="D44" s="343" t="str">
        <f>Reporting_currency</f>
        <v>CNY</v>
      </c>
      <c r="E44" s="371"/>
      <c r="F44" s="371"/>
    </row>
    <row r="45" spans="2:6">
      <c r="B45" s="372" t="s">
        <v>268</v>
      </c>
      <c r="C45" s="376">
        <f>Normalized_FCF!C45</f>
        <v>-140238195.86939999</v>
      </c>
      <c r="D45" s="343" t="str">
        <f>Reporting_currency</f>
        <v>CNY</v>
      </c>
      <c r="E45" s="371"/>
      <c r="F45" s="371"/>
    </row>
    <row r="46" spans="2:6">
      <c r="B46" s="372" t="s">
        <v>203</v>
      </c>
      <c r="C46" s="373">
        <f>Normalized_FCF!C10</f>
        <v>-118677513.85443601</v>
      </c>
      <c r="D46" s="343" t="str">
        <f>Reporting_currency</f>
        <v>CNY</v>
      </c>
    </row>
    <row r="48" spans="2:6">
      <c r="B48" s="343" t="s">
        <v>502</v>
      </c>
    </row>
    <row r="49" spans="2:6">
      <c r="B49" s="372" t="s">
        <v>223</v>
      </c>
      <c r="C49" s="373">
        <f>Normalized_FCF!C13</f>
        <v>-1705.9869043465681</v>
      </c>
      <c r="D49" s="343" t="str">
        <f>Reporting_currency</f>
        <v>CNY</v>
      </c>
    </row>
    <row r="51" spans="2:6">
      <c r="B51" s="470" t="s">
        <v>503</v>
      </c>
      <c r="C51" s="470"/>
      <c r="D51" s="470"/>
      <c r="E51" s="470"/>
      <c r="F51" s="470"/>
    </row>
    <row r="52" spans="2:6">
      <c r="B52" s="372" t="s">
        <v>494</v>
      </c>
      <c r="C52" s="373">
        <f>Normalized_FCF!C12</f>
        <v>-1252783523.3628967</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3809265502.0200481</v>
      </c>
      <c r="D60" s="343" t="str">
        <f>Reporting_currency</f>
        <v>CNY</v>
      </c>
    </row>
    <row r="61" spans="2:6">
      <c r="B61" s="372" t="s">
        <v>213</v>
      </c>
      <c r="C61" s="373">
        <f>Normalized_FCF!C19</f>
        <v>3758348864.1017857</v>
      </c>
      <c r="D61" s="343" t="str">
        <f>Reporting_currency</f>
        <v>CNY</v>
      </c>
    </row>
    <row r="62" spans="2:6">
      <c r="B62" s="377" t="s">
        <v>302</v>
      </c>
      <c r="C62" s="378">
        <f>Normalized_FCF!C124</f>
        <v>6.5792068119485819E-2</v>
      </c>
      <c r="F62" s="379"/>
    </row>
    <row r="63" spans="2:6">
      <c r="B63" s="377" t="s">
        <v>330</v>
      </c>
      <c r="C63" s="378">
        <f>Normalized_FCF!C92</f>
        <v>4.698672114402451E-2</v>
      </c>
      <c r="E63" s="372" t="s">
        <v>371</v>
      </c>
      <c r="F63" s="380">
        <f>Normalized_FCF!C90</f>
        <v>0.71416999779808299</v>
      </c>
    </row>
    <row r="65" spans="1:6">
      <c r="B65" s="369" t="s">
        <v>374</v>
      </c>
      <c r="C65" s="381" t="s">
        <v>325</v>
      </c>
      <c r="D65" s="381" t="s">
        <v>372</v>
      </c>
    </row>
    <row r="66" spans="1:6">
      <c r="B66" s="372" t="s">
        <v>324</v>
      </c>
      <c r="C66" s="378">
        <f>Normalized_FCF!E119</f>
        <v>0.3</v>
      </c>
      <c r="D66" s="378">
        <f>Normalized_FCF!G119</f>
        <v>0.30439765708831501</v>
      </c>
    </row>
    <row r="67" spans="1:6">
      <c r="B67" s="382" t="str">
        <f>Normalized_FCF!B116</f>
        <v>Pre-tax Profit/Sales</v>
      </c>
      <c r="C67" s="383">
        <f>Normalized_FCF!E116</f>
        <v>0.20202354119791383</v>
      </c>
      <c r="D67" s="383">
        <f>Normalized_FCF!G116</f>
        <v>0.20498497539109883</v>
      </c>
    </row>
    <row r="68" spans="1:6">
      <c r="B68" s="382" t="str">
        <f>Normalized_FCF!B117</f>
        <v>Sales/Total Assets</v>
      </c>
      <c r="C68" s="384">
        <f>Normalized_FCF!E117</f>
        <v>0.94234987040046703</v>
      </c>
      <c r="D68" s="384">
        <f>Normalized_FCF!G117</f>
        <v>0.94234987040046703</v>
      </c>
    </row>
    <row r="69" spans="1:6">
      <c r="B69" s="382" t="str">
        <f>Normalized_FCF!B118</f>
        <v>Total Assets/Equity</v>
      </c>
      <c r="C69" s="384">
        <f>Normalized_FCF!E118</f>
        <v>1.5758217850808147</v>
      </c>
      <c r="D69" s="384">
        <f>Normalized_FCF!G118</f>
        <v>1.5758217850808147</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-2337303264.4899998</v>
      </c>
      <c r="D78" s="343" t="str">
        <f>Reporting_currency</f>
        <v>CNY</v>
      </c>
    </row>
    <row r="79" spans="1:6">
      <c r="B79" s="372" t="s">
        <v>234</v>
      </c>
      <c r="C79" s="387">
        <f>C78*scaling_factor*Exchange_Rate/Common_Shares</f>
        <v>-2.0028305608311907</v>
      </c>
      <c r="D79" s="343" t="str">
        <f>Market_currency</f>
        <v>CNY</v>
      </c>
    </row>
    <row r="80" spans="1:6">
      <c r="B80" s="382" t="s">
        <v>308</v>
      </c>
      <c r="C80" s="388">
        <f>IF(BS!G31/BS!G27&gt;300%,"nm",BS!G31/BS!G27)</f>
        <v>0.14457973293043916</v>
      </c>
    </row>
    <row r="81" spans="1:6">
      <c r="B81" s="382" t="s">
        <v>310</v>
      </c>
      <c r="C81" s="389">
        <f>IF(BS!C50&gt;30,"nm",BS!C50)</f>
        <v>0.45563140392156826</v>
      </c>
    </row>
    <row r="83" spans="1:6">
      <c r="B83" s="343" t="s">
        <v>509</v>
      </c>
    </row>
    <row r="84" spans="1:6">
      <c r="B84" s="343" t="s">
        <v>224</v>
      </c>
      <c r="C84" s="373">
        <f>DCF!F5</f>
        <v>4137556467.9860034</v>
      </c>
      <c r="D84" s="343" t="str">
        <f>Reporting_currency</f>
        <v>CNY</v>
      </c>
    </row>
    <row r="85" spans="1:6">
      <c r="B85" s="382" t="s">
        <v>479</v>
      </c>
      <c r="C85" s="390">
        <f>BS!C66</f>
        <v>7731003470.4799995</v>
      </c>
      <c r="D85" s="391" t="str">
        <f>Reporting_currency</f>
        <v>CNY</v>
      </c>
    </row>
    <row r="86" spans="1:6">
      <c r="B86" s="372" t="s">
        <v>235</v>
      </c>
      <c r="C86" s="387">
        <f>C84*scaling_factor*Exchange_Rate/Common_Shares</f>
        <v>3.5454639828500456</v>
      </c>
      <c r="D86" s="343" t="str">
        <f>Market_currency</f>
        <v>CNY</v>
      </c>
    </row>
    <row r="88" spans="1:6">
      <c r="B88" s="343" t="s">
        <v>510</v>
      </c>
    </row>
    <row r="89" spans="1:6">
      <c r="B89" s="343" t="s">
        <v>217</v>
      </c>
      <c r="C89" s="373">
        <f>DCF!F6</f>
        <v>853253884.91900003</v>
      </c>
      <c r="D89" s="343" t="str">
        <f>Reporting_currency</f>
        <v>CNY</v>
      </c>
    </row>
    <row r="90" spans="1:6">
      <c r="B90" s="372" t="s">
        <v>236</v>
      </c>
      <c r="C90" s="387">
        <f>C89*scaling_factor*Exchange_Rate/Common_Shares</f>
        <v>0.73115157233847472</v>
      </c>
      <c r="D90" s="343" t="str">
        <f>Market_currency</f>
        <v>CNY</v>
      </c>
    </row>
    <row r="92" spans="1:6">
      <c r="B92" s="372" t="s">
        <v>478</v>
      </c>
      <c r="C92" s="387">
        <f>DCF!F8</f>
        <v>2.2737849943573298</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3.2235991107622088</v>
      </c>
      <c r="D111" s="343" t="str">
        <f>Market_currency</f>
        <v>CNY</v>
      </c>
    </row>
    <row r="112" spans="1:6">
      <c r="A112" s="385"/>
      <c r="B112" s="372" t="s">
        <v>375</v>
      </c>
      <c r="C112" s="394">
        <f>DCF!C11</f>
        <v>54.317416223050444</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10</v>
      </c>
      <c r="E118" s="398" t="str">
        <f>ROUND(DCF!E90,2)&amp;" "&amp;Market_currency</f>
        <v>65.58 CNY</v>
      </c>
      <c r="F118" s="399">
        <f>DCF!F90</f>
        <v>0.15</v>
      </c>
    </row>
    <row r="119" spans="1:6">
      <c r="A119" s="385"/>
      <c r="B119" s="400" t="str">
        <f>DCF!B91</f>
        <v>Optimistic</v>
      </c>
      <c r="C119" s="401">
        <f>DCF!C91</f>
        <v>0.03</v>
      </c>
      <c r="D119" s="402">
        <f>DCF!D91</f>
        <v>10</v>
      </c>
      <c r="E119" s="398" t="str">
        <f>ROUND(DCF!E91,2)&amp;" "&amp;Market_currency</f>
        <v>56.75 CNY</v>
      </c>
      <c r="F119" s="403">
        <f>DCF!F91</f>
        <v>0.15999999999999995</v>
      </c>
    </row>
    <row r="120" spans="1:6">
      <c r="B120" s="400" t="str">
        <f>DCF!B92</f>
        <v>Base</v>
      </c>
      <c r="C120" s="401">
        <f>DCF!C92</f>
        <v>0.02</v>
      </c>
      <c r="D120" s="402">
        <f>DCF!D92</f>
        <v>10</v>
      </c>
      <c r="E120" s="398" t="str">
        <f>ROUND(DCF!E92,2)&amp;" "&amp;Market_currency</f>
        <v>52.82 CNY</v>
      </c>
      <c r="F120" s="403">
        <f>DCF!F92</f>
        <v>0.44</v>
      </c>
    </row>
    <row r="121" spans="1:6">
      <c r="B121" s="400" t="str">
        <f>DCF!B93</f>
        <v>Pessimistic</v>
      </c>
      <c r="C121" s="401">
        <f>DCF!C93</f>
        <v>0.01</v>
      </c>
      <c r="D121" s="402">
        <f>DCF!D93</f>
        <v>10</v>
      </c>
      <c r="E121" s="398" t="str">
        <f>ROUND(DCF!E93,2)&amp;" "&amp;Market_currency</f>
        <v>49.19 CNY</v>
      </c>
      <c r="F121" s="403">
        <f>DCF!F93</f>
        <v>0.19999999999999998</v>
      </c>
    </row>
    <row r="122" spans="1:6">
      <c r="B122" s="400" t="str">
        <f>DCF!B94</f>
        <v>Devil's advocate</v>
      </c>
      <c r="C122" s="401">
        <f>DCF!C94</f>
        <v>0</v>
      </c>
      <c r="D122" s="402">
        <f>DCF!D94</f>
        <v>10</v>
      </c>
      <c r="E122" s="398" t="str">
        <f>ROUND(DCF!E94,2)&amp;" "&amp;Market_currency</f>
        <v>45.83 CNY</v>
      </c>
      <c r="F122" s="403">
        <f>DCF!F94</f>
        <v>0.05</v>
      </c>
    </row>
    <row r="124" spans="1:6">
      <c r="B124" s="470" t="s">
        <v>516</v>
      </c>
      <c r="C124" s="470"/>
      <c r="D124" s="470"/>
      <c r="E124" s="470"/>
      <c r="F124" s="470"/>
    </row>
    <row r="125" spans="1:6">
      <c r="B125" s="372" t="s">
        <v>218</v>
      </c>
      <c r="C125" s="404">
        <f>Scenarios!C36</f>
        <v>54.288928790724519</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2.2999999999999998</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4.2086586250532756</v>
      </c>
      <c r="D140" s="409">
        <f>Scenarios!D62</f>
        <v>25.017939534896097</v>
      </c>
      <c r="E140" s="410">
        <f>Scenarios!E62</f>
        <v>29.226598159949372</v>
      </c>
      <c r="F140" s="411">
        <f>E22</f>
        <v>0.29465259038036601</v>
      </c>
    </row>
    <row r="141" spans="1:6">
      <c r="B141" s="408" t="s">
        <v>312</v>
      </c>
      <c r="C141" s="409">
        <f>Scenarios!C63</f>
        <v>4.8392090787188815</v>
      </c>
      <c r="D141" s="409">
        <f>Scenarios!D63</f>
        <v>31.358226016302986</v>
      </c>
      <c r="E141" s="410">
        <f>Scenarios!E63</f>
        <v>36.197435095021866</v>
      </c>
      <c r="F141" s="411">
        <f>Scenarios!F63</f>
        <v>0.20075184365903001</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5.5489871896588925</v>
      </c>
      <c r="D144" s="409">
        <f>Scenarios!D66</f>
        <v>38.912153936392336</v>
      </c>
      <c r="E144" s="410">
        <f>Scenarios!E66</f>
        <v>44.461141126051231</v>
      </c>
      <c r="F144" s="411">
        <f>E24</f>
        <v>0.1174</v>
      </c>
    </row>
    <row r="145" spans="1:6">
      <c r="B145" s="408" t="s">
        <v>313</v>
      </c>
      <c r="C145" s="409">
        <f>Scenarios!C67</f>
        <v>6.0084630224979367</v>
      </c>
      <c r="D145" s="409">
        <f>Scenarios!D67</f>
        <v>44.00675747123249</v>
      </c>
      <c r="E145" s="410">
        <f>Scenarios!E67</f>
        <v>50.015220493730425</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2026-02-24T06:34:44Z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