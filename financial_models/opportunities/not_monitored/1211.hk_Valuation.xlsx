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1481CF80-24F9-4F92-A2BC-221EEB80D759}"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88" i="2" l="1"/>
  <c r="C31" i="2"/>
  <c r="C27" i="3"/>
  <c r="C23" i="3"/>
  <c r="C19" i="3"/>
  <c r="G19" i="3"/>
  <c r="C15" i="3"/>
  <c r="C4" i="3"/>
  <c r="C9" i="3"/>
  <c r="G7" i="3"/>
  <c r="D28" i="4"/>
  <c r="D6" i="4"/>
  <c r="C6" i="4"/>
  <c r="D5" i="4"/>
  <c r="C5" i="4"/>
  <c r="C9" i="6"/>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D73" i="3"/>
  <c r="C73" i="3"/>
  <c r="C74" i="3" s="1"/>
  <c r="F1" i="3"/>
  <c r="H1" i="2"/>
  <c r="E1" i="4"/>
  <c r="F1" i="4" s="1"/>
  <c r="G1" i="4" s="1"/>
  <c r="H1" i="4" s="1"/>
  <c r="I1" i="4" s="1"/>
  <c r="J1" i="4" s="1"/>
  <c r="K1" i="4" s="1"/>
  <c r="L1" i="4" s="1"/>
  <c r="M1" i="4" s="1"/>
  <c r="C49" i="6" l="1"/>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E90" i="8" l="1"/>
  <c r="E91" i="8"/>
  <c r="E93" i="8"/>
  <c r="E92" i="8"/>
  <c r="D120" i="6" l="1"/>
  <c r="E120" i="12"/>
  <c r="D121" i="6"/>
  <c r="E121" i="12"/>
  <c r="E118" i="12"/>
  <c r="D118" i="6"/>
  <c r="E119" i="12"/>
  <c r="D119" i="6"/>
  <c r="E24" i="9"/>
  <c r="E29" i="9"/>
  <c r="E23" i="9"/>
  <c r="E22" i="9"/>
  <c r="C36" i="9" l="1"/>
  <c r="C25" i="9"/>
  <c r="F34" i="9" l="1"/>
  <c r="D62" i="9"/>
  <c r="D63" i="9"/>
  <c r="D67" i="9"/>
  <c r="D66" i="9"/>
  <c r="C125" i="12"/>
  <c r="C18" i="12" s="1"/>
  <c r="C125" i="6"/>
  <c r="C18" i="6" s="1"/>
  <c r="F53" i="9"/>
  <c r="C53" i="9" s="1"/>
  <c r="H74" i="2"/>
  <c r="H11" i="2"/>
  <c r="F122" i="6" l="1"/>
  <c r="F121" i="6"/>
  <c r="F119" i="6"/>
  <c r="F120" i="6"/>
  <c r="F118" i="6"/>
  <c r="E10" i="12"/>
  <c r="H119" i="2"/>
  <c r="H115" i="2" s="1"/>
  <c r="E66" i="9"/>
  <c r="G66" i="9" s="1"/>
  <c r="D144" i="12"/>
  <c r="E62" i="9"/>
  <c r="D140" i="12"/>
  <c r="D145" i="6"/>
  <c r="D145" i="12"/>
  <c r="D141" i="6"/>
  <c r="D141" i="12"/>
  <c r="D144" i="6"/>
  <c r="D140" i="6"/>
  <c r="E67" i="9"/>
  <c r="E63" i="9"/>
  <c r="E141" i="12" s="1"/>
  <c r="C23" i="12" s="1"/>
  <c r="H14" i="2"/>
  <c r="H19" i="2" s="1"/>
  <c r="H90" i="2" s="1"/>
  <c r="H77" i="2"/>
  <c r="H116" i="2" s="1"/>
  <c r="E10" i="6" l="1"/>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96" i="2" l="1"/>
  <c r="G119" i="2"/>
  <c r="D66" i="12" s="1"/>
  <c r="C23" i="6"/>
  <c r="H85" i="2"/>
  <c r="G14" i="2"/>
  <c r="G19" i="2" s="1"/>
  <c r="G77" i="2"/>
  <c r="G116" i="2" s="1"/>
  <c r="D67" i="12" l="1"/>
  <c r="G90" i="2"/>
  <c r="C60" i="12"/>
  <c r="G115" i="2"/>
  <c r="D66" i="6"/>
  <c r="G113" i="2"/>
  <c r="G123" i="2"/>
  <c r="G124" i="2" s="1"/>
  <c r="G80" i="2"/>
  <c r="J74" i="2"/>
  <c r="I74" i="2"/>
  <c r="N74" i="2"/>
  <c r="L74" i="2"/>
  <c r="J11" i="2"/>
  <c r="M74" i="2"/>
  <c r="L11" i="2"/>
  <c r="L119" i="2" s="1"/>
  <c r="L115" i="2" s="1"/>
  <c r="K11" i="2"/>
  <c r="N11" i="2"/>
  <c r="M11" i="2"/>
  <c r="M119" i="2" s="1"/>
  <c r="M115" i="2" s="1"/>
  <c r="I11" i="2"/>
  <c r="K74" i="2"/>
  <c r="K14" i="2" l="1"/>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L85" i="2" l="1"/>
  <c r="L90" i="2"/>
  <c r="C81" i="6"/>
  <c r="C81" i="12"/>
  <c r="M113" i="2"/>
  <c r="L113" i="2"/>
  <c r="C14" i="9"/>
  <c r="M85" i="2"/>
  <c r="C77" i="2"/>
  <c r="C96" i="2"/>
  <c r="J85" i="2"/>
  <c r="C78" i="2"/>
  <c r="C17" i="8" l="1"/>
  <c r="F14" i="8" s="1"/>
  <c r="C116" i="2"/>
  <c r="C67" i="12"/>
  <c r="C123" i="2"/>
  <c r="E21" i="8" l="1"/>
  <c r="B39" i="9"/>
  <c r="B14" i="6" s="1"/>
  <c r="F18" i="8"/>
  <c r="G51" i="8" s="1"/>
  <c r="F15" i="8"/>
  <c r="E15" i="8"/>
  <c r="C67" i="6"/>
  <c r="C80" i="2"/>
  <c r="C9" i="9"/>
  <c r="E115" i="2" l="1"/>
  <c r="E42" i="8"/>
  <c r="A46" i="8"/>
  <c r="E38" i="8"/>
  <c r="A38" i="8"/>
  <c r="E45" i="8"/>
  <c r="A37" i="8"/>
  <c r="A41" i="8"/>
  <c r="A47" i="8"/>
  <c r="A43" i="8"/>
  <c r="E40" i="8"/>
  <c r="A49" i="8"/>
  <c r="E50" i="8"/>
  <c r="E49" i="8"/>
  <c r="A40" i="8"/>
  <c r="E46" i="8"/>
  <c r="A48" i="8"/>
  <c r="E47" i="8"/>
  <c r="E37" i="8"/>
  <c r="E41" i="8"/>
  <c r="E39" i="8"/>
  <c r="A44" i="8"/>
  <c r="E44" i="8"/>
  <c r="A36" i="8"/>
  <c r="A42" i="8"/>
  <c r="A45" i="8"/>
  <c r="A50" i="8"/>
  <c r="A39" i="8"/>
  <c r="E48" i="8"/>
  <c r="E36" i="8"/>
  <c r="E43" i="8"/>
  <c r="E33" i="8"/>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G36" i="8" l="1"/>
  <c r="D36" i="8"/>
  <c r="G41" i="8"/>
  <c r="D41" i="8"/>
  <c r="D40" i="8"/>
  <c r="G40" i="8"/>
  <c r="D37" i="8"/>
  <c r="G37" i="8"/>
  <c r="G44" i="8"/>
  <c r="D44" i="8"/>
  <c r="D38" i="8"/>
  <c r="G38" i="8"/>
  <c r="D39" i="8"/>
  <c r="G39" i="8"/>
  <c r="D49" i="8"/>
  <c r="G49" i="8"/>
  <c r="G50" i="8"/>
  <c r="D50" i="8"/>
  <c r="D46" i="8"/>
  <c r="G46" i="8"/>
  <c r="G45" i="8"/>
  <c r="D45" i="8"/>
  <c r="D43" i="8"/>
  <c r="G43" i="8"/>
  <c r="G42" i="8"/>
  <c r="D42" i="8"/>
  <c r="D48" i="8"/>
  <c r="G48" i="8"/>
  <c r="D47" i="8"/>
  <c r="G47" i="8"/>
  <c r="D32" i="8"/>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I34" i="8"/>
  <c r="J34" i="8"/>
  <c r="L34" i="8"/>
  <c r="C37" i="8" l="1"/>
  <c r="F36" i="8"/>
  <c r="H36" i="8" s="1"/>
  <c r="I35" i="8"/>
  <c r="J35" i="8"/>
  <c r="L35" i="8"/>
  <c r="J36" i="8" l="1"/>
  <c r="I36" i="8"/>
  <c r="L36" i="8"/>
  <c r="F37" i="8"/>
  <c r="H37" i="8" s="1"/>
  <c r="C38" i="8"/>
  <c r="F38" i="8" l="1"/>
  <c r="H38" i="8" s="1"/>
  <c r="C39" i="8"/>
  <c r="J37" i="8"/>
  <c r="I37" i="8"/>
  <c r="L37" i="8"/>
  <c r="C40" i="8" l="1"/>
  <c r="F39" i="8"/>
  <c r="H39" i="8" s="1"/>
  <c r="J38" i="8"/>
  <c r="I38" i="8"/>
  <c r="L38" i="8"/>
  <c r="J39" i="8" l="1"/>
  <c r="I39" i="8"/>
  <c r="L39" i="8"/>
  <c r="C41" i="8"/>
  <c r="F40" i="8"/>
  <c r="H40" i="8" s="1"/>
  <c r="C42" i="8" l="1"/>
  <c r="F41" i="8"/>
  <c r="H41" i="8" s="1"/>
  <c r="I40" i="8"/>
  <c r="J40" i="8"/>
  <c r="L40" i="8"/>
  <c r="I41" i="8" l="1"/>
  <c r="J41" i="8"/>
  <c r="L41" i="8"/>
  <c r="C43" i="8"/>
  <c r="F42" i="8"/>
  <c r="H42" i="8" s="1"/>
  <c r="C44" i="8" l="1"/>
  <c r="F43" i="8"/>
  <c r="H43" i="8" s="1"/>
  <c r="I42" i="8"/>
  <c r="J42" i="8"/>
  <c r="L42" i="8"/>
  <c r="J43" i="8" l="1"/>
  <c r="I43" i="8"/>
  <c r="L43" i="8"/>
  <c r="C45" i="8"/>
  <c r="F44" i="8"/>
  <c r="H44" i="8" s="1"/>
  <c r="J44" i="8" l="1"/>
  <c r="I44" i="8"/>
  <c r="L44" i="8"/>
  <c r="C46" i="8"/>
  <c r="F45" i="8"/>
  <c r="H45" i="8" s="1"/>
  <c r="J45" i="8" l="1"/>
  <c r="I45" i="8"/>
  <c r="L45" i="8"/>
  <c r="F46" i="8"/>
  <c r="H46" i="8" s="1"/>
  <c r="C47" i="8"/>
  <c r="J46" i="8" l="1"/>
  <c r="I46" i="8"/>
  <c r="L46" i="8"/>
  <c r="C48" i="8"/>
  <c r="F47" i="8"/>
  <c r="H47" i="8" s="1"/>
  <c r="F48" i="8" l="1"/>
  <c r="H48" i="8" s="1"/>
  <c r="C49" i="8"/>
  <c r="J47" i="8"/>
  <c r="I47" i="8"/>
  <c r="L47" i="8"/>
  <c r="F49" i="8" l="1"/>
  <c r="H49" i="8" s="1"/>
  <c r="C50" i="8"/>
  <c r="J48" i="8"/>
  <c r="I48" i="8"/>
  <c r="L48" i="8"/>
  <c r="F50" i="8" l="1"/>
  <c r="H50" i="8" s="1"/>
  <c r="C51" i="8"/>
  <c r="F51" i="8" s="1"/>
  <c r="I49" i="8"/>
  <c r="J49" i="8"/>
  <c r="L49" i="8"/>
  <c r="H51" i="8" l="1"/>
  <c r="L51" i="8" s="1"/>
  <c r="I51" i="8"/>
  <c r="I50" i="8"/>
  <c r="J50" i="8"/>
  <c r="L50" i="8"/>
  <c r="L52" i="8" l="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<sst xmlns="http://schemas.openxmlformats.org/spreadsheetml/2006/main" count="768" uniqueCount="559">
  <si>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</si>
  <si>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</si>
  <si>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</si>
  <si>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</si>
  <si>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</si>
  <si>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</si>
  <si>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</si>
  <si>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</si>
  <si>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</si>
  <si>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</si>
  <si>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</si>
  <si>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</si>
  <si>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</si>
  <si>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</si>
  <si>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</si>
  <si>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</si>
  <si>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</si>
  <si>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</si>
  <si>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</si>
  <si>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</si>
  <si>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</si>
  <si>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</si>
  <si>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</si>
  <si>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</si>
  <si>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</si>
  <si>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</si>
  <si>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</si>
  <si>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</si>
  <si>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</si>
  <si>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</si>
  <si>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</si>
  <si>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</si>
  <si>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</si>
  <si>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</si>
  <si>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</si>
  <si>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</si>
  <si>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</si>
  <si>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</si>
  <si>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</si>
  <si>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</si>
  <si>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</si>
  <si>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</si>
  <si>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</si>
  <si>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</si>
  <si>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</si>
  <si>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</si>
  <si>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</si>
  <si>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</si>
  <si>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</si>
  <si>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</si>
  <si>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</si>
  <si>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</si>
  <si>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</si>
  <si>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</si>
  <si>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</si>
  <si>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</si>
  <si>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</si>
  <si>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</si>
  <si>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</si>
  <si>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</si>
  <si>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</si>
  <si>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</si>
  <si>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</si>
  <si>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</si>
  <si>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</si>
  <si>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</si>
  <si>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</si>
  <si>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</si>
  <si>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</si>
  <si>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</si>
  <si>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</si>
  <si>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</si>
  <si>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</si>
  <si>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</si>
  <si>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</si>
  <si>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</si>
  <si>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</si>
  <si>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</si>
  <si>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</si>
  <si>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</si>
  <si>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</si>
  <si>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</si>
  <si>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</si>
  <si>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</si>
  <si>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</si>
  <si>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</si>
  <si>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</si>
  <si>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</si>
  <si>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</si>
  <si>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</si>
  <si>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</si>
  <si>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</si>
  <si>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</si>
  <si>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</si>
  <si>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</si>
  <si>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</si>
  <si>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</si>
  <si>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</si>
  <si>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</si>
  <si>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</si>
  <si>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</si>
  <si>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</si>
  <si>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</si>
  <si>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</si>
  <si>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</si>
  <si>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</si>
  <si>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</si>
  <si>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</si>
  <si>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</si>
  <si>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</si>
  <si>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</si>
  <si>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</si>
  <si>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</si>
  <si>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</si>
  <si>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</si>
  <si>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</si>
  <si>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</si>
  <si>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</si>
  <si>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</si>
  <si>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</si>
  <si>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</si>
  <si>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</si>
  <si>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</si>
  <si>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</si>
  <si>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</si>
  <si>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</si>
  <si>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</si>
  <si>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</si>
  <si>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</si>
  <si>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</si>
  <si>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</si>
  <si>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</si>
  <si>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</si>
  <si>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</si>
  <si>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</si>
  <si>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</si>
  <si>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</si>
  <si>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</si>
  <si>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</si>
  <si>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</si>
  <si>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</si>
  <si>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</si>
  <si>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</si>
  <si>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</si>
  <si>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</si>
  <si>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</si>
  <si>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</si>
  <si>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</si>
  <si>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</si>
  <si>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</si>
  <si>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</si>
  <si>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</si>
  <si>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</si>
  <si>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</si>
  <si>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</si>
  <si>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</si>
  <si>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</si>
  <si>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</si>
  <si>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</si>
  <si>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</si>
  <si>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</si>
  <si>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</si>
  <si>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</si>
  <si>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</si>
  <si>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</si>
  <si>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</si>
  <si>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</si>
  <si>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</si>
  <si>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</si>
  <si>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</si>
  <si>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</si>
  <si>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</si>
  <si>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</si>
  <si>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</si>
  <si>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</si>
  <si>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</si>
  <si>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</si>
  <si>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</si>
  <si>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</si>
  <si>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</si>
  <si>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</si>
  <si>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</si>
  <si>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</si>
  <si>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</si>
  <si>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</si>
  <si>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</si>
  <si>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</si>
  <si>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</si>
  <si>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</si>
  <si>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</si>
  <si>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</si>
  <si>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</si>
  <si>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</si>
  <si>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</si>
  <si>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</si>
  <si>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</si>
  <si>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</si>
  <si>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</si>
  <si>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</si>
  <si>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</si>
  <si>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</si>
  <si>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</si>
  <si>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</si>
  <si>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</si>
  <si>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</si>
  <si>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</si>
  <si>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</si>
  <si>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</si>
  <si>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</si>
  <si>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</si>
  <si>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</si>
  <si>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</si>
  <si>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</si>
  <si>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</si>
  <si>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</si>
  <si>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</si>
  <si>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</si>
  <si>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</si>
  <si>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</si>
  <si>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</si>
  <si>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</si>
  <si>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</si>
  <si>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</si>
  <si>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</si>
  <si>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</si>
  <si>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</si>
  <si>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</si>
  <si>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</si>
  <si>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</si>
  <si>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</si>
  <si>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</si>
  <si>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</si>
  <si>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</si>
  <si>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</si>
  <si>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</si>
  <si>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</si>
  <si>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</si>
  <si>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</si>
  <si>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</si>
  <si>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</si>
  <si>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</si>
  <si>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</si>
  <si>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</si>
  <si>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</si>
  <si>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</si>
  <si>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</si>
  <si>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</si>
  <si>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</si>
  <si>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</si>
  <si>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</si>
  <si>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</si>
  <si>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</si>
  <si>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</si>
  <si>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</si>
  <si>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</si>
  <si>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</si>
  <si>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</si>
  <si>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</si>
  <si>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</si>
  <si>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</si>
  <si>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</si>
  <si>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</si>
  <si>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</si>
  <si>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</si>
  <si>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</si>
  <si>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</si>
  <si>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</si>
  <si>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</si>
  <si>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</si>
  <si>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</si>
  <si>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</si>
  <si>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</si>
  <si>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</si>
  <si>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</si>
  <si>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</si>
  <si>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</si>
  <si>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</si>
  <si>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</si>
  <si>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</si>
  <si>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</si>
  <si>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</si>
  <si>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</si>
  <si>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</si>
  <si>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</si>
  <si>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</si>
  <si>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</si>
  <si>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</si>
  <si>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</si>
  <si>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</si>
  <si>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</si>
  <si>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</si>
  <si>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</si>
  <si>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</si>
  <si>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</si>
  <si>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</si>
  <si>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</si>
  <si>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</si>
  <si>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</si>
  <si>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</si>
  <si>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</si>
  <si>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</si>
  <si>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</si>
  <si>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</si>
  <si>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</si>
  <si>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</si>
  <si>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</si>
  <si>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</si>
  <si>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</si>
  <si>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</si>
  <si>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</si>
  <si>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</si>
  <si>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</si>
  <si>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</si>
  <si>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</si>
  <si>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</si>
  <si>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</si>
  <si>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</si>
  <si>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</si>
  <si>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</si>
  <si>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</si>
  <si>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</si>
  <si>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</si>
  <si>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</si>
  <si>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</si>
  <si>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</si>
  <si>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</si>
  <si>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</si>
  <si>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</si>
  <si>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</si>
  <si>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</si>
  <si>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</si>
  <si>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</si>
  <si>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</si>
  <si>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</si>
  <si>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</si>
  <si>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</si>
  <si>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</si>
  <si>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</si>
  <si>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</si>
  <si>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</si>
  <si>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</si>
  <si>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</si>
  <si>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</si>
  <si>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</si>
  <si>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</si>
  <si>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</si>
  <si>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</si>
  <si>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</si>
  <si>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</si>
  <si>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</si>
  <si>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</si>
  <si>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</si>
  <si>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</si>
  <si>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</si>
  <si>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</si>
  <si>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</si>
  <si>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</si>
  <si>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</si>
  <si>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</si>
  <si>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</si>
  <si>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</si>
  <si>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</si>
  <si>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</si>
  <si>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</si>
  <si>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</si>
  <si>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</si>
  <si>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</si>
  <si>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</si>
  <si>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</si>
  <si>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</si>
  <si>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</si>
  <si>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</si>
  <si>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</si>
  <si>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</si>
  <si>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</si>
  <si>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</si>
  <si>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</si>
  <si>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</si>
  <si>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</si>
  <si>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</si>
  <si>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</si>
  <si>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</si>
  <si>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</si>
  <si>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</si>
  <si>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</si>
  <si>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</si>
  <si>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</si>
  <si>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</si>
  <si>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</si>
  <si>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</si>
  <si>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</si>
  <si>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</si>
  <si>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</si>
  <si>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</si>
  <si>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</si>
  <si>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</si>
  <si>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</si>
  <si>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</si>
  <si>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</si>
  <si>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</si>
  <si>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</si>
  <si>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</si>
  <si>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</si>
  <si>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</si>
  <si>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</si>
  <si>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</si>
  <si>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</si>
  <si>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</si>
  <si>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</si>
  <si>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</si>
  <si>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</si>
  <si>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</si>
  <si>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</si>
  <si>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</si>
  <si>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</si>
  <si>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</si>
  <si>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</si>
  <si>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</si>
  <si>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</si>
  <si>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</si>
  <si>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</si>
  <si>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</si>
  <si>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</si>
  <si>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</si>
  <si>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</si>
  <si>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</si>
  <si>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</si>
  <si>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</si>
  <si>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</si>
  <si>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</si>
  <si>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</si>
  <si>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</si>
  <si>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</si>
  <si>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</si>
  <si>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</si>
  <si>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</si>
  <si>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</si>
  <si>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</si>
  <si>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</si>
  <si>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</si>
  <si>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</si>
  <si>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</si>
  <si>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</si>
  <si>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</si>
  <si>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</si>
  <si>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</si>
  <si>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</si>
  <si>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</si>
  <si>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</si>
  <si>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</si>
  <si>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</si>
  <si>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</si>
  <si>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</si>
  <si>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</si>
  <si>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</si>
  <si>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</si>
  <si>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</si>
  <si>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</si>
  <si>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</si>
  <si>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</si>
  <si>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</si>
  <si>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</si>
  <si>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</si>
  <si>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</si>
  <si>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</si>
  <si>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</si>
  <si>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</si>
  <si>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</si>
  <si>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</si>
  <si>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</si>
  <si>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</si>
  <si>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</si>
  <si>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</si>
  <si>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</si>
  <si>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</si>
  <si>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</si>
  <si>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</si>
  <si>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</si>
  <si>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</si>
  <si>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</si>
  <si>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</si>
  <si>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</si>
  <si>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</si>
  <si>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</si>
  <si>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</si>
  <si>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</si>
  <si>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</si>
  <si>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</si>
  <si>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</si>
  <si>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</si>
  <si>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</si>
  <si>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</si>
  <si>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</si>
  <si>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</si>
  <si>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</si>
  <si>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</si>
  <si>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</si>
  <si>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</si>
  <si>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</si>
  <si>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</si>
  <si>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</si>
  <si>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</si>
  <si>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</si>
  <si>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</si>
  <si>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</si>
  <si>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</si>
  <si>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</si>
  <si>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</si>
  <si>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</si>
  <si>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</si>
  <si>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</si>
  <si>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</si>
  <si>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</si>
  <si>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</si>
  <si>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</si>
  <si>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</si>
  <si>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</si>
  <si>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</si>
  <si>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</si>
  <si>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</si>
  <si>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</si>
  <si>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</si>
  <si>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</si>
  <si>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</si>
  <si>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</si>
  <si>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</si>
  <si>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</si>
  <si>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</si>
  <si>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</si>
  <si>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</si>
  <si>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</si>
  <si>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</si>
  <si>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</si>
  <si>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</si>
  <si>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</si>
  <si>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</si>
  <si>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</si>
  <si>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</si>
  <si>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</si>
  <si>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</si>
  <si>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</si>
  <si>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</si>
  <si>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</si>
  <si>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</si>
  <si>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</si>
  <si>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</si>
  <si>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</si>
  <si>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</si>
  <si>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</si>
  <si>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</si>
  <si>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</si>
  <si>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</si>
  <si>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</si>
  <si>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</si>
  <si>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</si>
  <si>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</si>
  <si>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1211.hk</t>
  </si>
  <si>
    <t>比亞迪股份</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</si>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</sst>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F4" sqref="F4"/>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46057</v>
      </c>
    </row>
    <row r="4" spans="1:9" ht="12.4">
      <c r="B4" s="421" t="s">
        <v>533</v>
      </c>
      <c r="C4" s="420" t="s">
        <v>557</v>
      </c>
      <c r="E4" s="430" t="s">
        <v>537</v>
      </c>
      <c r="F4" s="431" t="s">
        <v>324</v>
      </c>
    </row>
    <row r="5" spans="1:9">
      <c r="B5" s="1" t="s">
        <v>349</v>
      </c>
      <c r="C5" s="46" t="s">
        <v>556</v>
      </c>
      <c r="E5" s="433" t="s">
        <v>539</v>
      </c>
      <c r="F5" s="432" t="s">
        <v>497</v>
      </c>
    </row>
    <row r="6" spans="1:9">
      <c r="B6" s="2" t="s">
        <v>53</v>
      </c>
      <c r="C6" s="45" t="s">
        <v>549</v>
      </c>
      <c r="D6" s="45"/>
      <c r="E6" s="45"/>
    </row>
    <row r="7" spans="1:9">
      <c r="B7" s="1" t="s">
        <v>351</v>
      </c>
      <c r="C7" s="45" t="s">
        <v>308</v>
      </c>
      <c r="D7" s="45"/>
      <c r="E7" s="45"/>
    </row>
    <row r="8" spans="1:9">
      <c r="B8" s="4" t="s">
        <v>350</v>
      </c>
      <c r="C8" s="47">
        <v>89.1</v>
      </c>
      <c r="E8" s="32"/>
    </row>
    <row r="9" spans="1:9">
      <c r="B9" s="4" t="s">
        <v>346</v>
      </c>
      <c r="C9" s="48">
        <f>5433797565+3683400000</f>
        <v>9117197565</v>
      </c>
    </row>
    <row r="10" spans="1:9">
      <c r="B10" s="4" t="s">
        <v>352</v>
      </c>
      <c r="C10" s="33">
        <f>Thesis!C8*Common_Shares/1000000</f>
        <v>812342.30304150004</v>
      </c>
      <c r="D10" s="1" t="s">
        <v>528</v>
      </c>
      <c r="E10" s="303">
        <f>Scenarios!F34</f>
        <v>-5.7977852888980988E-3</v>
      </c>
    </row>
    <row r="11" spans="1:9">
      <c r="D11" s="5"/>
      <c r="E11" s="5"/>
    </row>
    <row r="12" spans="1:9" ht="24.5" customHeight="1">
      <c r="B12" s="460" t="s">
        <v>355</v>
      </c>
      <c r="C12" s="460"/>
      <c r="D12" s="460"/>
      <c r="E12" s="460"/>
      <c r="F12" s="460"/>
    </row>
    <row r="14" spans="1:9">
      <c r="B14" s="42" t="str">
        <f>Scenarios!B39&amp;" Valuation Conclusion"</f>
        <v>2-stage DCF Valuation Conclusion</v>
      </c>
      <c r="C14" s="43"/>
    </row>
    <row r="15" spans="1:9">
      <c r="B15" s="1" t="s">
        <v>319</v>
      </c>
      <c r="C15" s="417" t="s">
        <v>546</v>
      </c>
      <c r="D15" s="4" t="s">
        <v>353</v>
      </c>
      <c r="E15" s="253" t="str">
        <f>IF(E17=C7,C7,E17&amp;"/"&amp;C7)</f>
        <v>CNY/HKD</v>
      </c>
    </row>
    <row r="16" spans="1:9">
      <c r="B16" s="1" t="s">
        <v>320</v>
      </c>
      <c r="C16" s="417" t="s">
        <v>546</v>
      </c>
      <c r="D16" s="4" t="s">
        <v>354</v>
      </c>
      <c r="E16" s="416">
        <v>1.1200000000000001</v>
      </c>
    </row>
    <row r="17" spans="1:6">
      <c r="B17" s="1" t="s">
        <v>532</v>
      </c>
      <c r="C17" s="456">
        <v>0.02</v>
      </c>
      <c r="D17" s="4" t="s">
        <v>274</v>
      </c>
      <c r="E17" s="224" t="s">
        <v>558</v>
      </c>
    </row>
    <row r="18" spans="1:6">
      <c r="B18" s="1" t="str">
        <f>"Expected Equity Value ("&amp;C7&amp;") :"</f>
        <v>Expected Equity Value (HKD) :</v>
      </c>
      <c r="C18" s="252">
        <f>C125</f>
        <v>81.092915306367118</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41.337088673600626</v>
      </c>
      <c r="D22" s="38" t="s">
        <v>406</v>
      </c>
      <c r="E22" s="79">
        <v>0.29465259038036601</v>
      </c>
    </row>
    <row r="23" spans="1:6">
      <c r="B23" s="1" t="s">
        <v>313</v>
      </c>
      <c r="C23" s="256">
        <f>E141</f>
        <v>51.402111578751118</v>
      </c>
      <c r="D23" s="38" t="s">
        <v>407</v>
      </c>
      <c r="E23" s="443">
        <v>0.20075184365903001</v>
      </c>
    </row>
    <row r="24" spans="1:6">
      <c r="B24" s="1" t="s">
        <v>315</v>
      </c>
      <c r="C24" s="256">
        <f>E144</f>
        <v>63.354665170680271</v>
      </c>
      <c r="D24" s="38" t="s">
        <v>408</v>
      </c>
      <c r="E24" s="443">
        <v>0.1174</v>
      </c>
    </row>
    <row r="25" spans="1:6">
      <c r="B25" s="1" t="s">
        <v>314</v>
      </c>
      <c r="C25" s="256">
        <f>E145</f>
        <v>71.397721130568186</v>
      </c>
      <c r="D25" s="38" t="s">
        <v>409</v>
      </c>
      <c r="E25" s="444">
        <v>7.2499999999999995E-2</v>
      </c>
    </row>
    <row r="26" spans="1:6">
      <c r="D26" s="5"/>
      <c r="E26" s="5"/>
    </row>
    <row r="27" spans="1:6" ht="13.9">
      <c r="A27" s="200" t="s">
        <v>280</v>
      </c>
      <c r="B27" s="34"/>
      <c r="C27" s="34"/>
      <c r="D27" s="34"/>
      <c r="E27" s="34"/>
      <c r="F27" s="34"/>
    </row>
    <row r="29" spans="1:6">
      <c r="B29" s="460" t="s">
        <v>356</v>
      </c>
      <c r="C29" s="460"/>
      <c r="D29" s="460"/>
      <c r="E29" s="460"/>
      <c r="F29" s="460"/>
    </row>
    <row r="30" spans="1:6" ht="24.5" customHeight="1">
      <c r="B30" s="462" t="s">
        <v>266</v>
      </c>
      <c r="C30" s="462"/>
      <c r="D30" s="462"/>
      <c r="E30" s="462"/>
      <c r="F30" s="462"/>
    </row>
    <row r="32" spans="1:6">
      <c r="B32" s="192" t="s">
        <v>195</v>
      </c>
      <c r="C32" s="105">
        <f>scaling_factor</f>
        <v>1000</v>
      </c>
    </row>
    <row r="33" spans="2:6" ht="24.5" customHeight="1">
      <c r="B33" s="461" t="s">
        <v>196</v>
      </c>
      <c r="C33" s="461"/>
      <c r="D33" s="461"/>
      <c r="E33" s="461"/>
      <c r="F33" s="461"/>
    </row>
    <row r="34" spans="2:6">
      <c r="B34" s="44" t="s">
        <v>197</v>
      </c>
      <c r="C34" s="285">
        <f>Normalized_FCF!C8</f>
        <v>40942070.486213326</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0</v>
      </c>
      <c r="D41" s="1" t="str">
        <f>Reporting_currency</f>
        <v>CNY</v>
      </c>
    </row>
    <row r="43" spans="2:6">
      <c r="B43" s="461" t="s">
        <v>205</v>
      </c>
      <c r="C43" s="461"/>
      <c r="D43" s="461"/>
      <c r="E43" s="461"/>
      <c r="F43" s="461"/>
    </row>
    <row r="44" spans="2:6">
      <c r="B44" s="44" t="s">
        <v>267</v>
      </c>
      <c r="C44" s="286">
        <f>Normalized_FCF!C46</f>
        <v>377963.14324537769</v>
      </c>
      <c r="D44" s="1" t="str">
        <f>Reporting_currency</f>
        <v>CNY</v>
      </c>
      <c r="E44" s="244"/>
      <c r="F44" s="244"/>
    </row>
    <row r="45" spans="2:6">
      <c r="B45" s="44" t="s">
        <v>268</v>
      </c>
      <c r="C45" s="286">
        <f>Normalized_FCF!C45</f>
        <v>-1932691.7999999998</v>
      </c>
      <c r="D45" s="1" t="str">
        <f>Reporting_currency</f>
        <v>CNY</v>
      </c>
      <c r="E45" s="244"/>
      <c r="F45" s="244"/>
    </row>
    <row r="46" spans="2:6">
      <c r="B46" s="44" t="s">
        <v>203</v>
      </c>
      <c r="C46" s="285">
        <f>Normalized_FCF!C10</f>
        <v>-1554728.6567546222</v>
      </c>
      <c r="D46" s="1" t="str">
        <f>Reporting_currency</f>
        <v>CNY</v>
      </c>
    </row>
    <row r="48" spans="2:6">
      <c r="B48" s="1" t="s">
        <v>211</v>
      </c>
    </row>
    <row r="49" spans="2:6">
      <c r="B49" s="44" t="s">
        <v>223</v>
      </c>
      <c r="C49" s="285">
        <f>Normalized_FCF!C13</f>
        <v>-1681454.3439330037</v>
      </c>
      <c r="D49" s="1" t="str">
        <f>Reporting_currency</f>
        <v>CNY</v>
      </c>
    </row>
    <row r="51" spans="2:6">
      <c r="B51" s="461" t="s">
        <v>206</v>
      </c>
      <c r="C51" s="461"/>
      <c r="D51" s="461"/>
      <c r="E51" s="461"/>
      <c r="F51" s="461"/>
    </row>
    <row r="52" spans="2:6">
      <c r="B52" s="44" t="s">
        <v>204</v>
      </c>
      <c r="C52" s="285">
        <f>Normalized_FCF!C12</f>
        <v>-9846835.4573646765</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31727854.696170337</v>
      </c>
      <c r="D60" s="1" t="str">
        <f>Reporting_currency</f>
        <v>CNY</v>
      </c>
    </row>
    <row r="61" spans="2:6">
      <c r="B61" s="44" t="s">
        <v>213</v>
      </c>
      <c r="C61" s="285">
        <f>Normalized_FCF!C19</f>
        <v>27859052.028161023</v>
      </c>
      <c r="D61" s="1" t="str">
        <f>Reporting_currency</f>
        <v>CNY</v>
      </c>
    </row>
    <row r="62" spans="2:6">
      <c r="B62" s="204" t="s">
        <v>302</v>
      </c>
      <c r="C62" s="89">
        <f>Normalized_FCF!C124</f>
        <v>3.8410086677397037E-2</v>
      </c>
      <c r="F62" s="257"/>
    </row>
    <row r="63" spans="2:6">
      <c r="B63" s="204" t="s">
        <v>332</v>
      </c>
      <c r="C63" s="89">
        <f>Normalized_FCF!C92</f>
        <v>2.4331986531986535E-2</v>
      </c>
      <c r="E63" s="44" t="s">
        <v>322</v>
      </c>
      <c r="F63" s="258">
        <f>Normalized_FCF!C90</f>
        <v>0.70949657429077451</v>
      </c>
    </row>
    <row r="65" spans="1:6">
      <c r="B65" s="192" t="s">
        <v>325</v>
      </c>
      <c r="C65" s="264" t="s">
        <v>327</v>
      </c>
      <c r="D65" s="264" t="s">
        <v>328</v>
      </c>
    </row>
    <row r="66" spans="1:6">
      <c r="B66" s="44" t="s">
        <v>326</v>
      </c>
      <c r="C66" s="89">
        <f>Normalized_FCF!E119</f>
        <v>0.2</v>
      </c>
      <c r="D66" s="89">
        <f>Normalized_FCF!G119</f>
        <v>0.16814771567644096</v>
      </c>
    </row>
    <row r="67" spans="1:6">
      <c r="B67" s="229" t="str">
        <f>Normalized_FCF!B116</f>
        <v>Pre-tax Profit/Sales</v>
      </c>
      <c r="C67" s="263">
        <f>Normalized_FCF!E116</f>
        <v>6.2990456515801388E-2</v>
      </c>
      <c r="D67" s="263">
        <f>Normalized_FCF!G116</f>
        <v>5.2958506862740944E-2</v>
      </c>
    </row>
    <row r="68" spans="1:6">
      <c r="B68" s="229" t="str">
        <f>Normalized_FCF!B117</f>
        <v>Sales/Total Assets</v>
      </c>
      <c r="C68" s="265">
        <f>Normalized_FCF!E117</f>
        <v>0.91818894088265857</v>
      </c>
      <c r="D68" s="265">
        <f>Normalized_FCF!G117</f>
        <v>0.91818894088265857</v>
      </c>
    </row>
    <row r="69" spans="1:6">
      <c r="B69" s="229" t="str">
        <f>Normalized_FCF!B118</f>
        <v>Total Assets/Equity</v>
      </c>
      <c r="C69" s="265">
        <f>Normalized_FCF!E118</f>
        <v>3.4579856141645027</v>
      </c>
      <c r="D69" s="265">
        <f>Normalized_FCF!G118</f>
        <v>3.4579856141645027</v>
      </c>
    </row>
    <row r="71" spans="1:6" ht="13.9">
      <c r="A71" s="200" t="s">
        <v>477</v>
      </c>
      <c r="B71" s="34"/>
      <c r="C71" s="34"/>
      <c r="D71" s="34"/>
      <c r="E71" s="34"/>
      <c r="F71" s="34"/>
    </row>
    <row r="72" spans="1:6">
      <c r="A72" s="191"/>
    </row>
    <row r="73" spans="1:6">
      <c r="A73" s="191"/>
      <c r="B73" s="460" t="s">
        <v>478</v>
      </c>
      <c r="C73" s="460"/>
      <c r="D73" s="460"/>
      <c r="E73" s="460"/>
      <c r="F73" s="460"/>
    </row>
    <row r="74" spans="1:6">
      <c r="A74" s="191"/>
      <c r="B74" s="1" t="s">
        <v>465</v>
      </c>
    </row>
    <row r="75" spans="1:6">
      <c r="A75" s="191"/>
    </row>
    <row r="76" spans="1:6">
      <c r="A76" s="191"/>
      <c r="B76" s="192" t="s">
        <v>195</v>
      </c>
    </row>
    <row r="77" spans="1:6">
      <c r="A77" s="191"/>
      <c r="B77" s="460" t="s">
        <v>271</v>
      </c>
      <c r="C77" s="460"/>
      <c r="D77" s="460"/>
      <c r="E77" s="460"/>
      <c r="F77" s="460"/>
    </row>
    <row r="78" spans="1:6">
      <c r="A78" s="191"/>
      <c r="B78" s="1" t="s">
        <v>215</v>
      </c>
      <c r="C78" s="285">
        <f>DCF!F4</f>
        <v>-32211530</v>
      </c>
      <c r="D78" s="1" t="str">
        <f>Reporting_currency</f>
        <v>CNY</v>
      </c>
    </row>
    <row r="79" spans="1:6">
      <c r="A79" s="191"/>
      <c r="B79" s="44" t="s">
        <v>234</v>
      </c>
      <c r="C79" s="201">
        <f>C78*scaling_factor*Exchange_Rate/Common_Shares</f>
        <v>-3.9570178602354331</v>
      </c>
      <c r="D79" s="1" t="str">
        <f>Market_currency</f>
        <v>HKD</v>
      </c>
    </row>
    <row r="80" spans="1:6">
      <c r="A80" s="191"/>
      <c r="B80" s="229" t="s">
        <v>309</v>
      </c>
      <c r="C80" s="337">
        <f>IF(BS!G31/BS!G27&gt;300%,"nm",BS!G31/BS!G27)</f>
        <v>0.13160982525398796</v>
      </c>
    </row>
    <row r="81" spans="1:6">
      <c r="A81" s="191"/>
      <c r="B81" s="229" t="s">
        <v>311</v>
      </c>
      <c r="C81" s="338">
        <f>IF(BS!C50&gt;30,"nm",BS!C50)</f>
        <v>0.78675869631084694</v>
      </c>
    </row>
    <row r="82" spans="1:6">
      <c r="A82" s="191"/>
    </row>
    <row r="83" spans="1:6">
      <c r="A83" s="191"/>
      <c r="B83" s="1" t="s">
        <v>466</v>
      </c>
    </row>
    <row r="84" spans="1:6">
      <c r="A84" s="191"/>
      <c r="B84" s="1" t="s">
        <v>224</v>
      </c>
      <c r="C84" s="285">
        <f>DCF!F5</f>
        <v>48740425.792437054</v>
      </c>
      <c r="D84" s="1" t="str">
        <f>Reporting_currency</f>
        <v>CNY</v>
      </c>
    </row>
    <row r="85" spans="1:6">
      <c r="A85" s="191"/>
      <c r="B85" s="229" t="s">
        <v>222</v>
      </c>
      <c r="C85" s="291">
        <f>BS!C66</f>
        <v>111734283</v>
      </c>
      <c r="D85" s="339" t="str">
        <f>Reporting_currency</f>
        <v>CNY</v>
      </c>
    </row>
    <row r="86" spans="1:6">
      <c r="A86" s="191"/>
      <c r="B86" s="44" t="s">
        <v>235</v>
      </c>
      <c r="C86" s="201">
        <f>C84*scaling_factor*Exchange_Rate/Common_Shares</f>
        <v>5.9875061934702645</v>
      </c>
      <c r="D86" s="1" t="str">
        <f>Market_currency</f>
        <v>HKD</v>
      </c>
    </row>
    <row r="87" spans="1:6">
      <c r="A87" s="191"/>
    </row>
    <row r="88" spans="1:6">
      <c r="A88" s="191"/>
      <c r="B88" s="1" t="s">
        <v>216</v>
      </c>
    </row>
    <row r="89" spans="1:6">
      <c r="A89" s="191"/>
      <c r="B89" s="1" t="s">
        <v>217</v>
      </c>
      <c r="C89" s="285">
        <f>DCF!F6</f>
        <v>26128562</v>
      </c>
      <c r="D89" s="1" t="str">
        <f>Reporting_currency</f>
        <v>CNY</v>
      </c>
    </row>
    <row r="90" spans="1:6">
      <c r="A90" s="191"/>
      <c r="B90" s="44" t="s">
        <v>236</v>
      </c>
      <c r="C90" s="201">
        <f>C89*scaling_factor*Exchange_Rate/Common_Shares</f>
        <v>3.2097570806561766</v>
      </c>
      <c r="D90" s="1" t="str">
        <f>Market_currency</f>
        <v>HKD</v>
      </c>
    </row>
    <row r="91" spans="1:6">
      <c r="A91" s="191"/>
    </row>
    <row r="92" spans="1:6">
      <c r="A92" s="191"/>
      <c r="B92" s="44" t="s">
        <v>469</v>
      </c>
      <c r="C92" s="216">
        <f>DCF!F8</f>
        <v>5.2402454138910075</v>
      </c>
      <c r="D92" s="44" t="str">
        <f>Market_currency</f>
        <v>HKD</v>
      </c>
    </row>
    <row r="94" spans="1:6" ht="13.9">
      <c r="A94" s="200" t="s">
        <v>470</v>
      </c>
      <c r="B94" s="34"/>
      <c r="C94" s="34"/>
      <c r="D94" s="34"/>
      <c r="E94" s="34"/>
      <c r="F94" s="34"/>
    </row>
    <row r="95" spans="1:6">
      <c r="A95" s="191"/>
    </row>
    <row r="96" spans="1:6" ht="11.75" customHeight="1">
      <c r="B96" s="460" t="s">
        <v>485</v>
      </c>
      <c r="C96" s="460"/>
      <c r="D96" s="460"/>
      <c r="E96" s="460"/>
      <c r="F96" s="460"/>
    </row>
    <row r="97" spans="2:6">
      <c r="B97" s="462" t="s">
        <v>484</v>
      </c>
      <c r="C97" s="462"/>
      <c r="D97" s="462"/>
      <c r="E97" s="462"/>
      <c r="F97" s="462"/>
    </row>
    <row r="98" spans="2:6">
      <c r="B98" s="462" t="s">
        <v>483</v>
      </c>
      <c r="C98" s="462"/>
      <c r="D98" s="462"/>
      <c r="E98" s="462"/>
      <c r="F98" s="462"/>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487</v>
      </c>
    </row>
    <row r="111" spans="2:6">
      <c r="B111" s="49" t="s">
        <v>468</v>
      </c>
      <c r="C111" s="216">
        <f>BS!D47</f>
        <v>-39.979897111289588</v>
      </c>
      <c r="D111" s="1" t="str">
        <f>Market_currency</f>
        <v>HKD</v>
      </c>
    </row>
    <row r="112" spans="2:6">
      <c r="B112" s="44" t="s">
        <v>323</v>
      </c>
      <c r="C112" s="216">
        <f>DCF!C11</f>
        <v>71.731397745609073</v>
      </c>
      <c r="D112" s="1" t="str">
        <f>Market_currency</f>
        <v>HKD</v>
      </c>
    </row>
    <row r="114" spans="2:6" ht="24.5" customHeight="1">
      <c r="B114" s="460" t="s">
        <v>491</v>
      </c>
      <c r="C114" s="460"/>
      <c r="D114" s="460"/>
      <c r="E114" s="460"/>
      <c r="F114" s="460"/>
    </row>
    <row r="116" spans="2:6">
      <c r="B116" s="192" t="s">
        <v>488</v>
      </c>
    </row>
    <row r="117" spans="2:6" ht="12.4">
      <c r="B117" s="342" t="s">
        <v>101</v>
      </c>
      <c r="C117" s="342" t="s">
        <v>110</v>
      </c>
      <c r="D117" s="342" t="s">
        <v>219</v>
      </c>
      <c r="E117" s="342" t="s">
        <v>124</v>
      </c>
      <c r="F117" s="342" t="s">
        <v>545</v>
      </c>
    </row>
    <row r="118" spans="2:6">
      <c r="B118" s="205" t="str">
        <f>DCF!B90&amp;" ("&amp;DCF!D90&amp;"yrs)"</f>
        <v>Snowball Scenario (30yrs)</v>
      </c>
      <c r="C118" s="206">
        <f>DCF!C90</f>
        <v>0.05</v>
      </c>
      <c r="D118" s="207" t="str">
        <f>ROUND(DCF!E90,2)&amp;" "&amp;Market_currency</f>
        <v>121.24 HKD</v>
      </c>
      <c r="E118" s="208">
        <f>DCF!F90</f>
        <v>0.15</v>
      </c>
      <c r="F118" s="208">
        <f>RATE(Holding_Period,Scenarios!C$58,-DCF!E90,C$18)</f>
        <v>-0.10494620216609765</v>
      </c>
    </row>
    <row r="119" spans="2:6">
      <c r="B119" s="205" t="str">
        <f>DCF!B91&amp;" ("&amp;DCF!D91&amp;"yrs)"</f>
        <v>Optimistic (30yrs)</v>
      </c>
      <c r="C119" s="198">
        <f>DCF!C91</f>
        <v>0.03</v>
      </c>
      <c r="D119" s="207" t="str">
        <f>ROUND(DCF!E91,2)&amp;" "&amp;Market_currency</f>
        <v>87.3 HKD</v>
      </c>
      <c r="E119" s="199">
        <f>DCF!F91</f>
        <v>0.15999999999999995</v>
      </c>
      <c r="F119" s="208">
        <f>RATE(Holding_Period,Scenarios!C$58,-DCF!E91,C$18)</f>
        <v>1.1701431537752094E-3</v>
      </c>
    </row>
    <row r="120" spans="2:6">
      <c r="B120" s="205" t="str">
        <f>DCF!B92&amp;" ("&amp;DCF!D92&amp;"yrs)"</f>
        <v>Base (30yrs)</v>
      </c>
      <c r="C120" s="198">
        <f>DCF!C92</f>
        <v>0.02</v>
      </c>
      <c r="D120" s="207" t="str">
        <f>ROUND(DCF!E92,2)&amp;" "&amp;Market_currency</f>
        <v>75.09 HKD</v>
      </c>
      <c r="E120" s="199">
        <f>DCF!F92</f>
        <v>0.44</v>
      </c>
      <c r="F120" s="208">
        <f>RATE(Holding_Period,Scenarios!C$58,-DCF!E92,C$18)</f>
        <v>5.4118254275900404E-2</v>
      </c>
    </row>
    <row r="121" spans="2:6">
      <c r="B121" s="205" t="str">
        <f>DCF!B93&amp;" ("&amp;DCF!D93&amp;"yrs)"</f>
        <v>Pessimistic (30yrs)</v>
      </c>
      <c r="C121" s="198">
        <f>DCF!C93</f>
        <v>0.01</v>
      </c>
      <c r="D121" s="207" t="str">
        <f>ROUND(DCF!E93,2)&amp;" "&amp;Market_currency</f>
        <v>65.2 HKD</v>
      </c>
      <c r="E121" s="199">
        <f>DCF!F93</f>
        <v>0.19999999999999998</v>
      </c>
      <c r="F121" s="208">
        <f>RATE(Holding_Period,Scenarios!C$58,-DCF!E93,C$18)</f>
        <v>0.106422031307998</v>
      </c>
    </row>
    <row r="122" spans="2:6">
      <c r="B122" s="205" t="str">
        <f>DCF!B94&amp;" ("&amp;DCF!D94&amp;"yrs)"</f>
        <v>Devil's advocate (30yrs)</v>
      </c>
      <c r="C122" s="198">
        <f>DCF!C94</f>
        <v>0</v>
      </c>
      <c r="D122" s="207" t="str">
        <f>ROUND(DCF!E94,2)&amp;" "&amp;Market_currency</f>
        <v>57.15 HKD</v>
      </c>
      <c r="E122" s="199">
        <f>DCF!F94</f>
        <v>0.05</v>
      </c>
      <c r="F122" s="208">
        <f>RATE(Holding_Period,Scenarios!C$58,-DCF!E94,C$18)</f>
        <v>0.1576915946802718</v>
      </c>
    </row>
    <row r="124" spans="2:6">
      <c r="B124" s="461" t="s">
        <v>357</v>
      </c>
      <c r="C124" s="461"/>
      <c r="D124" s="461"/>
      <c r="E124" s="461"/>
      <c r="F124" s="461"/>
    </row>
    <row r="125" spans="2:6">
      <c r="B125" s="193" t="s">
        <v>218</v>
      </c>
      <c r="C125" s="197">
        <f>Scenarios!C36</f>
        <v>81.092915306367118</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3" t="s">
        <v>285</v>
      </c>
      <c r="C131" s="463"/>
      <c r="D131" s="463"/>
      <c r="E131" s="463"/>
      <c r="F131" s="463"/>
    </row>
    <row r="132" spans="1:6">
      <c r="B132" s="460" t="s">
        <v>359</v>
      </c>
      <c r="C132" s="460"/>
      <c r="D132" s="460"/>
      <c r="E132" s="460"/>
      <c r="F132" s="460"/>
    </row>
    <row r="134" spans="1:6">
      <c r="B134" s="192" t="s">
        <v>195</v>
      </c>
    </row>
    <row r="135" spans="1:6">
      <c r="B135" s="1" t="s">
        <v>221</v>
      </c>
      <c r="C135" s="202">
        <f>E21</f>
        <v>3</v>
      </c>
    </row>
    <row r="136" spans="1:6">
      <c r="B136" s="194" t="s">
        <v>220</v>
      </c>
      <c r="C136" s="195">
        <f>Scenarios!C58</f>
        <v>2.16798</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3.9670816199752177</v>
      </c>
      <c r="D140" s="333">
        <f>Scenarios!D62</f>
        <v>37.370007053625407</v>
      </c>
      <c r="E140" s="334">
        <f>Scenarios!E62</f>
        <v>41.337088673600626</v>
      </c>
      <c r="F140" s="335">
        <f>E22</f>
        <v>0.29465259038036601</v>
      </c>
    </row>
    <row r="141" spans="1:6">
      <c r="B141" s="336" t="s">
        <v>313</v>
      </c>
      <c r="C141" s="333">
        <f>Scenarios!C63</f>
        <v>4.5614384776004178</v>
      </c>
      <c r="D141" s="333">
        <f>Scenarios!D63</f>
        <v>46.840673101150699</v>
      </c>
      <c r="E141" s="334">
        <f>Scenarios!E63</f>
        <v>51.402111578751118</v>
      </c>
      <c r="F141" s="335">
        <f>Scenarios!F63</f>
        <v>0.20075184365903001</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5.2304753249724723</v>
      </c>
      <c r="D144" s="333">
        <f>Scenarios!D66</f>
        <v>58.124189845707797</v>
      </c>
      <c r="E144" s="334">
        <f>Scenarios!E66</f>
        <v>63.354665170680271</v>
      </c>
      <c r="F144" s="335">
        <f>E24</f>
        <v>0.1174</v>
      </c>
    </row>
    <row r="145" spans="1:6">
      <c r="B145" s="336" t="s">
        <v>314</v>
      </c>
      <c r="C145" s="333">
        <f>Scenarios!C67</f>
        <v>5.6635772450065556</v>
      </c>
      <c r="D145" s="333">
        <f>Scenarios!D67</f>
        <v>65.734143885561636</v>
      </c>
      <c r="E145" s="334">
        <f>Scenarios!E67</f>
        <v>71.397721130568186</v>
      </c>
      <c r="F145" s="335">
        <f>Scenarios!F67</f>
        <v>7.2499999999999995E-2</v>
      </c>
    </row>
    <row r="147" spans="1:6" ht="13.9">
      <c r="A147" s="200" t="s">
        <v>475</v>
      </c>
      <c r="B147" s="34"/>
      <c r="C147" s="34"/>
      <c r="D147" s="34"/>
      <c r="E147" s="34"/>
      <c r="F147" s="34"/>
    </row>
    <row r="149" spans="1:6">
      <c r="B149" s="467" t="s">
        <v>360</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438</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F22" sqref="F22"/>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87">
        <v>777102455</v>
      </c>
      <c r="D4" s="287">
        <v>602315354</v>
      </c>
      <c r="E4" s="287"/>
      <c r="F4" s="287"/>
      <c r="G4" s="287"/>
      <c r="H4" s="287"/>
      <c r="I4" s="287"/>
      <c r="J4" s="287"/>
      <c r="K4" s="287"/>
      <c r="L4" s="287"/>
      <c r="M4" s="287"/>
    </row>
    <row r="5" spans="2:13">
      <c r="B5" s="38" t="s">
        <v>40</v>
      </c>
      <c r="C5" s="287">
        <f>626046616+14752402</f>
        <v>640799018</v>
      </c>
      <c r="D5" s="287">
        <f>490398945+10349628</f>
        <v>500748573</v>
      </c>
      <c r="E5" s="287"/>
      <c r="F5" s="287"/>
      <c r="G5" s="287"/>
      <c r="H5" s="287"/>
      <c r="I5" s="287"/>
      <c r="J5" s="287"/>
      <c r="K5" s="287"/>
      <c r="L5" s="287"/>
      <c r="M5" s="287"/>
    </row>
    <row r="6" spans="2:13">
      <c r="B6" s="38" t="s">
        <v>51</v>
      </c>
      <c r="C6" s="287">
        <f>18644661+C7</f>
        <v>42729978</v>
      </c>
      <c r="D6" s="287">
        <f>13461708+D7</f>
        <v>28832508</v>
      </c>
      <c r="E6" s="287"/>
      <c r="F6" s="287"/>
      <c r="G6" s="287"/>
      <c r="H6" s="287"/>
      <c r="I6" s="287"/>
      <c r="J6" s="287"/>
      <c r="K6" s="287"/>
      <c r="L6" s="287"/>
      <c r="M6" s="287"/>
    </row>
    <row r="7" spans="2:13">
      <c r="B7" s="66" t="s">
        <v>58</v>
      </c>
      <c r="C7" s="288">
        <v>24085317</v>
      </c>
      <c r="D7" s="288">
        <v>15370800</v>
      </c>
      <c r="E7" s="288"/>
      <c r="F7" s="288"/>
      <c r="G7" s="288"/>
      <c r="H7" s="288"/>
      <c r="I7" s="288"/>
      <c r="J7" s="288"/>
      <c r="K7" s="288"/>
      <c r="L7" s="288"/>
      <c r="M7" s="288"/>
    </row>
    <row r="8" spans="2:13">
      <c r="B8" s="38" t="s">
        <v>46</v>
      </c>
      <c r="C8" s="287">
        <v>53194745</v>
      </c>
      <c r="D8" s="287">
        <v>39574945</v>
      </c>
      <c r="E8" s="287"/>
      <c r="F8" s="287"/>
      <c r="G8" s="287"/>
      <c r="H8" s="287"/>
      <c r="I8" s="287"/>
      <c r="J8" s="287"/>
      <c r="K8" s="287"/>
      <c r="L8" s="287"/>
      <c r="M8" s="287"/>
    </row>
    <row r="9" spans="2:13">
      <c r="B9" s="38" t="s">
        <v>134</v>
      </c>
      <c r="C9" s="287">
        <v>1468954</v>
      </c>
      <c r="D9" s="287">
        <v>1277455</v>
      </c>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2093781</v>
      </c>
      <c r="D12" s="287">
        <v>1827605</v>
      </c>
      <c r="E12" s="287"/>
      <c r="F12" s="287"/>
      <c r="G12" s="287"/>
      <c r="H12" s="287"/>
      <c r="I12" s="287"/>
      <c r="J12" s="287"/>
      <c r="K12" s="287"/>
      <c r="L12" s="287"/>
      <c r="M12" s="287"/>
    </row>
    <row r="13" spans="2:13">
      <c r="B13" s="38" t="s">
        <v>64</v>
      </c>
      <c r="C13" s="287">
        <v>2483756</v>
      </c>
      <c r="D13" s="287">
        <v>2796195</v>
      </c>
      <c r="E13" s="287"/>
      <c r="F13" s="287"/>
      <c r="G13" s="287"/>
      <c r="H13" s="287"/>
      <c r="I13" s="287"/>
      <c r="J13" s="287"/>
      <c r="K13" s="287"/>
      <c r="L13" s="287"/>
      <c r="M13" s="287"/>
    </row>
    <row r="14" spans="2:13">
      <c r="B14" s="38" t="s">
        <v>47</v>
      </c>
      <c r="C14" s="287">
        <v>8092737</v>
      </c>
      <c r="D14" s="287">
        <v>5924567</v>
      </c>
      <c r="E14" s="287"/>
      <c r="F14" s="287"/>
      <c r="G14" s="287"/>
      <c r="H14" s="287"/>
      <c r="I14" s="287"/>
      <c r="J14" s="287"/>
      <c r="K14" s="287"/>
      <c r="L14" s="287"/>
      <c r="M14" s="287"/>
    </row>
    <row r="15" spans="2:13">
      <c r="B15" s="41" t="s">
        <v>39</v>
      </c>
      <c r="C15" s="289">
        <v>41587940</v>
      </c>
      <c r="D15" s="289">
        <v>31344070</v>
      </c>
      <c r="E15" s="289"/>
      <c r="F15" s="289"/>
      <c r="G15" s="289"/>
      <c r="H15" s="289"/>
      <c r="I15" s="289"/>
      <c r="J15" s="289"/>
      <c r="K15" s="289"/>
      <c r="L15" s="289"/>
      <c r="M15" s="289"/>
    </row>
    <row r="16" spans="2:13">
      <c r="B16" s="27" t="s">
        <v>41</v>
      </c>
      <c r="C16" s="287">
        <v>1333594</v>
      </c>
      <c r="D16" s="287">
        <v>1303259</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133453873</v>
      </c>
      <c r="D22" s="287">
        <v>169725025</v>
      </c>
      <c r="E22" s="287"/>
      <c r="F22" s="287"/>
      <c r="G22" s="287"/>
      <c r="H22" s="287"/>
      <c r="I22" s="287"/>
      <c r="J22" s="287"/>
      <c r="K22" s="287"/>
      <c r="L22" s="287"/>
      <c r="M22" s="287"/>
    </row>
    <row r="23" spans="2:13">
      <c r="B23" s="26" t="s">
        <v>288</v>
      </c>
      <c r="C23" s="287">
        <v>-129082282</v>
      </c>
      <c r="D23" s="287">
        <v>-125663644</v>
      </c>
      <c r="E23" s="287"/>
      <c r="F23" s="287"/>
      <c r="G23" s="287"/>
      <c r="H23" s="287"/>
      <c r="I23" s="287"/>
      <c r="J23" s="287"/>
      <c r="K23" s="287"/>
      <c r="L23" s="287"/>
      <c r="M23" s="287"/>
    </row>
    <row r="24" spans="2:13">
      <c r="B24" s="26" t="s">
        <v>287</v>
      </c>
      <c r="C24" s="287">
        <v>55721666</v>
      </c>
      <c r="D24" s="287">
        <v>45430316</v>
      </c>
      <c r="E24" s="287"/>
      <c r="F24" s="287"/>
      <c r="G24" s="287"/>
      <c r="H24" s="287"/>
      <c r="I24" s="287"/>
      <c r="J24" s="287"/>
      <c r="K24" s="287"/>
      <c r="L24" s="287"/>
      <c r="M24" s="287"/>
    </row>
    <row r="25" spans="2:13">
      <c r="B25" s="23" t="str">
        <f>"Dividend per share ("&amp;Market_currency&amp;")"</f>
        <v>Dividend per share (HKD)</v>
      </c>
      <c r="C25" s="37">
        <v>4.33596</v>
      </c>
      <c r="D25" s="37">
        <v>3.4060899999999998</v>
      </c>
      <c r="E25" s="37">
        <v>1.2601899999999999</v>
      </c>
      <c r="F25" s="37">
        <v>0.12345</v>
      </c>
      <c r="G25" s="37"/>
      <c r="H25" s="37"/>
      <c r="I25" s="37"/>
      <c r="J25" s="37"/>
      <c r="K25" s="37"/>
      <c r="L25" s="37"/>
      <c r="M25" s="37"/>
    </row>
    <row r="27" spans="2:13">
      <c r="B27" s="16" t="s">
        <v>26</v>
      </c>
      <c r="C27" s="94" t="s">
        <v>547</v>
      </c>
    </row>
    <row r="28" spans="2:13">
      <c r="B28" s="25" t="s">
        <v>22</v>
      </c>
      <c r="C28" s="270">
        <f>BS!C4</f>
        <v>68215922</v>
      </c>
      <c r="D28" s="287">
        <f>61866019+5564924+2757912+7508351+8238190</f>
        <v>85935396</v>
      </c>
      <c r="E28" s="287"/>
      <c r="F28" s="287"/>
      <c r="G28" s="287"/>
      <c r="H28" s="287"/>
      <c r="I28" s="287"/>
      <c r="J28" s="287"/>
      <c r="K28" s="287"/>
      <c r="L28" s="287"/>
      <c r="M28" s="287"/>
    </row>
    <row r="29" spans="2:13">
      <c r="B29" s="25" t="s">
        <v>30</v>
      </c>
      <c r="C29" s="270">
        <f>BS!C6</f>
        <v>140839351</v>
      </c>
      <c r="D29" s="287">
        <v>87676748</v>
      </c>
      <c r="E29" s="287"/>
      <c r="F29" s="287"/>
      <c r="G29" s="287"/>
      <c r="H29" s="287"/>
      <c r="I29" s="287"/>
      <c r="J29" s="287"/>
      <c r="K29" s="287"/>
      <c r="L29" s="287"/>
      <c r="M29" s="287"/>
    </row>
    <row r="30" spans="2:13">
      <c r="B30" s="28" t="s">
        <v>38</v>
      </c>
      <c r="C30" s="271">
        <f>BS!C33+BS!C42</f>
        <v>601592451</v>
      </c>
      <c r="D30" s="289">
        <v>529085557</v>
      </c>
      <c r="E30" s="289"/>
      <c r="F30" s="289"/>
      <c r="G30" s="289"/>
      <c r="H30" s="289"/>
      <c r="I30" s="289"/>
      <c r="J30" s="289"/>
      <c r="K30" s="289"/>
      <c r="L30" s="289"/>
      <c r="M30" s="289"/>
    </row>
    <row r="31" spans="2:13">
      <c r="B31" s="28" t="s">
        <v>28</v>
      </c>
      <c r="C31" s="271">
        <f>BS!G27</f>
        <v>244750192</v>
      </c>
      <c r="D31" s="289">
        <v>150462113</v>
      </c>
      <c r="E31" s="289"/>
      <c r="F31" s="289"/>
      <c r="G31" s="289"/>
      <c r="H31" s="289"/>
      <c r="I31" s="289"/>
      <c r="J31" s="289"/>
      <c r="K31" s="289"/>
      <c r="L31" s="289"/>
      <c r="M31" s="289"/>
    </row>
    <row r="32" spans="2:13">
      <c r="B32" s="25" t="s">
        <v>143</v>
      </c>
      <c r="C32" s="270">
        <f>BS!G28</f>
        <v>12583829</v>
      </c>
      <c r="D32" s="287">
        <v>11652048</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777102455</v>
      </c>
      <c r="D36" s="270">
        <f t="shared" si="1"/>
        <v>602315354</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-640799018</v>
      </c>
      <c r="D37" s="270">
        <f t="shared" si="2"/>
        <v>-500748573</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136303437</v>
      </c>
      <c r="D38" s="267">
        <f t="shared" ref="D38" si="3">IF(D36="","",D36+D37)</f>
        <v>101566781</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-42729978</v>
      </c>
      <c r="D39" s="270">
        <f t="shared" si="13"/>
        <v>-28832508</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-24085317</v>
      </c>
      <c r="D40" s="282">
        <f t="shared" si="14"/>
        <v>-15370800</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-18644661</v>
      </c>
      <c r="D41" s="282">
        <f t="shared" ref="D41:M41" si="15">IF(D$4="","",D39-D40)</f>
        <v>-13461708</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-53194745</v>
      </c>
      <c r="D42" s="270">
        <f t="shared" si="16"/>
        <v>-39574945</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40378714</v>
      </c>
      <c r="D43" s="271">
        <f t="shared" ref="D43:M43" si="17">IF(D$4="","",D38+D39+D42)</f>
        <v>33159328</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8911988</v>
      </c>
      <c r="D44" s="290">
        <f t="shared" si="18"/>
        <v>3140719</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389975</v>
      </c>
      <c r="D45" s="285">
        <f t="shared" si="19"/>
        <v>968590</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-8092737</v>
      </c>
      <c r="D46" s="270">
        <f t="shared" ref="D46:M46" si="20">IF(D$4="","",-D14)</f>
        <v>-5924567</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41587940</v>
      </c>
      <c r="D47" s="271">
        <f t="shared" si="21"/>
        <v>31344070</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-1333594</v>
      </c>
      <c r="D48" s="270">
        <f t="shared" si="22"/>
        <v>-1303259</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-2093781</v>
      </c>
      <c r="D51" s="270">
        <f t="shared" si="23"/>
        <v>-1827605</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2483756</v>
      </c>
      <c r="D52" s="270">
        <f t="shared" ref="D52:M52" si="24">IF(D$4="","",D13)</f>
        <v>2796195</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1468954</v>
      </c>
      <c r="D55" s="285">
        <f t="shared" si="25"/>
        <v>1277455</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7443034</v>
      </c>
      <c r="D58" s="285">
        <f t="shared" ref="D58:M58" si="28">IF(D$4="","",D44-D55-D56-D57)</f>
        <v>1863264</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60093257</v>
      </c>
      <c r="D64" s="270">
        <f t="shared" ref="D64:M64" si="32">IF(D$4="","",D22+D23+D24)</f>
        <v>89491697</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4.33596</v>
      </c>
      <c r="D65" s="70">
        <f t="shared" ref="D65:M65" si="33">IF(D$4="","",D25)</f>
        <v>3.4060899999999998</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0.29019200629575859</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0.3420080429643626</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0.21771810333430164</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1.8375629911494786</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0.32682003326307019</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846342643</v>
      </c>
      <c r="D76" s="285">
        <f t="shared" ref="D76:M76" si="39">IF(D$4="","",D79+D80)</f>
        <v>679547670</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68215922</v>
      </c>
      <c r="D77" s="282">
        <f t="shared" si="40"/>
        <v>85935396</v>
      </c>
      <c r="E77" s="282" t="str">
        <f t="shared" si="40"/>
        <v/>
      </c>
      <c r="F77" s="282" t="str">
        <f t="shared" si="40"/>
        <v/>
      </c>
      <c r="G77" s="282" t="str">
        <f t="shared" si="40"/>
        <v/>
      </c>
      <c r="H77" s="282" t="str">
        <f t="shared" si="40"/>
        <v/>
      </c>
      <c r="I77" s="291"/>
      <c r="J77" s="291"/>
      <c r="K77" s="291"/>
      <c r="L77" s="291"/>
      <c r="M77" s="291"/>
    </row>
    <row r="78" spans="2:13">
      <c r="B78" s="90" t="s">
        <v>83</v>
      </c>
      <c r="C78" s="260">
        <f t="shared" si="40"/>
        <v>140839351</v>
      </c>
      <c r="D78" s="282">
        <f t="shared" si="40"/>
        <v>87676748</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601592451</v>
      </c>
      <c r="D79" s="270">
        <f t="shared" si="41"/>
        <v>529085557</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244750192</v>
      </c>
      <c r="D80" s="270">
        <f t="shared" si="42"/>
        <v>150462113</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33" sqref="G3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43381542+7810231+4620945+12403204</f>
        <v>68215922</v>
      </c>
      <c r="D4" s="231">
        <v>0.6</v>
      </c>
      <c r="E4" s="24"/>
      <c r="F4" s="4" t="s">
        <v>74</v>
      </c>
      <c r="G4" s="18">
        <v>111734283</v>
      </c>
      <c r="H4" s="231">
        <v>0.9</v>
      </c>
    </row>
    <row r="5" spans="2:8" ht="15" customHeight="1">
      <c r="B5" s="1" t="s">
        <v>31</v>
      </c>
      <c r="C5" s="18">
        <v>0</v>
      </c>
      <c r="D5" s="231">
        <v>0.6</v>
      </c>
      <c r="E5" s="24"/>
      <c r="F5" s="1" t="s">
        <v>27</v>
      </c>
      <c r="G5" s="18">
        <v>0</v>
      </c>
      <c r="H5" s="231">
        <v>0.7</v>
      </c>
    </row>
    <row r="6" spans="2:8" ht="15" customHeight="1">
      <c r="B6" s="4" t="s">
        <v>8</v>
      </c>
      <c r="C6" s="18">
        <v>140839351</v>
      </c>
      <c r="D6" s="231">
        <v>0.5</v>
      </c>
      <c r="E6" s="24"/>
      <c r="F6" s="4" t="s">
        <v>147</v>
      </c>
      <c r="G6" s="18">
        <v>0</v>
      </c>
      <c r="H6" s="231">
        <v>0.6</v>
      </c>
    </row>
    <row r="7" spans="2:8" ht="15" customHeight="1">
      <c r="B7" s="1" t="s">
        <v>66</v>
      </c>
      <c r="C7" s="18">
        <v>0</v>
      </c>
      <c r="D7" s="231">
        <v>0.6</v>
      </c>
      <c r="E7" s="24"/>
      <c r="F7" s="4" t="s">
        <v>148</v>
      </c>
      <c r="G7" s="18">
        <f>35694505+4720</f>
        <v>35699225</v>
      </c>
      <c r="H7" s="231">
        <v>0.6</v>
      </c>
    </row>
    <row r="8" spans="2:8" ht="15" customHeight="1">
      <c r="B8" s="1" t="s">
        <v>144</v>
      </c>
      <c r="C8" s="18">
        <v>0</v>
      </c>
      <c r="D8" s="231">
        <v>0.6</v>
      </c>
      <c r="E8" s="24"/>
      <c r="F8" s="1" t="s">
        <v>149</v>
      </c>
      <c r="G8" s="18">
        <v>0</v>
      </c>
      <c r="H8" s="231">
        <v>0.6</v>
      </c>
    </row>
    <row r="9" spans="2:8" ht="15" customHeight="1">
      <c r="B9" s="4" t="s">
        <v>23</v>
      </c>
      <c r="C9" s="18">
        <f>5665391+1249271</f>
        <v>6914662</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27232017</v>
      </c>
      <c r="D11" s="231">
        <v>0.05</v>
      </c>
      <c r="H11" s="232"/>
    </row>
    <row r="12" spans="2:8" ht="15" customHeight="1">
      <c r="B12" s="77" t="s">
        <v>69</v>
      </c>
      <c r="C12" s="78">
        <f>SUM(C4:C11)</f>
        <v>243201952</v>
      </c>
      <c r="D12" s="19">
        <f>C4*D4+C5*D5+C9*D9+C6*D6+C8*D8+C7*D7+C10*D10+C11*D11</f>
        <v>113402295.75</v>
      </c>
      <c r="F12" s="77" t="s">
        <v>67</v>
      </c>
      <c r="G12" s="78">
        <f>SUM(G4:G10)</f>
        <v>147433508</v>
      </c>
      <c r="H12" s="19">
        <f>G4*H4+G5*H5+G6*H6+G7*H7+G8*H8+G9*H9+G10*H10</f>
        <v>121980389.7</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f>10709541</f>
        <v>10709541</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3051233</v>
      </c>
      <c r="H17" s="231">
        <v>0.6</v>
      </c>
    </row>
    <row r="18" spans="2:8" ht="15" customHeight="1">
      <c r="B18" s="4" t="s">
        <v>144</v>
      </c>
      <c r="C18" s="18">
        <v>0</v>
      </c>
      <c r="D18" s="231">
        <v>0.6</v>
      </c>
      <c r="F18" s="4" t="s">
        <v>151</v>
      </c>
      <c r="G18" s="18">
        <v>0</v>
      </c>
      <c r="H18" s="231">
        <v>0.1</v>
      </c>
    </row>
    <row r="19" spans="2:8" ht="15" customHeight="1">
      <c r="B19" s="4" t="s">
        <v>24</v>
      </c>
      <c r="C19" s="18">
        <f>280794676+35606548+9665615</f>
        <v>326066839</v>
      </c>
      <c r="D19" s="231">
        <v>0.1</v>
      </c>
      <c r="F19" s="4" t="s">
        <v>152</v>
      </c>
      <c r="G19" s="18">
        <f>20353959+8369539</f>
        <v>28723498</v>
      </c>
      <c r="H19" s="231">
        <v>0.1</v>
      </c>
    </row>
    <row r="20" spans="2:8" ht="15" customHeight="1">
      <c r="B20" s="4" t="s">
        <v>16</v>
      </c>
      <c r="C20" s="18">
        <v>0</v>
      </c>
      <c r="D20" s="231">
        <v>0.05</v>
      </c>
      <c r="F20" s="4" t="s">
        <v>149</v>
      </c>
      <c r="G20" s="18">
        <v>0</v>
      </c>
      <c r="H20" s="231">
        <v>0.2</v>
      </c>
    </row>
    <row r="21" spans="2:8" ht="15" customHeight="1">
      <c r="B21" s="4" t="s">
        <v>17</v>
      </c>
      <c r="C21" s="18">
        <v>41062499</v>
      </c>
      <c r="D21" s="231">
        <v>0.05</v>
      </c>
      <c r="F21" s="1" t="s">
        <v>150</v>
      </c>
      <c r="G21" s="18">
        <v>59374</v>
      </c>
      <c r="H21" s="231">
        <v>0.1</v>
      </c>
    </row>
    <row r="22" spans="2:8" ht="15" customHeight="1">
      <c r="B22" s="4" t="s">
        <v>18</v>
      </c>
      <c r="C22" s="18">
        <v>10767098</v>
      </c>
      <c r="D22" s="231">
        <v>0.9</v>
      </c>
      <c r="H22" s="232"/>
    </row>
    <row r="23" spans="2:8" ht="15" customHeight="1">
      <c r="B23" s="4" t="s">
        <v>19</v>
      </c>
      <c r="C23" s="18">
        <f>1792011+4427571+4536454+24511065</f>
        <v>35267101</v>
      </c>
      <c r="D23" s="231">
        <v>0</v>
      </c>
      <c r="H23" s="232"/>
    </row>
    <row r="24" spans="2:8" ht="15" customHeight="1">
      <c r="B24" s="77" t="s">
        <v>70</v>
      </c>
      <c r="C24" s="78">
        <f>SUM(C15:C23)</f>
        <v>423873078</v>
      </c>
      <c r="D24" s="19">
        <f>C15*D15+C16*D16+C18*D18+C17*D17+C19*D19+C20*D20+C21*D21+C22*D22+C23*D23</f>
        <v>48634013.45000001</v>
      </c>
      <c r="F24" s="77" t="s">
        <v>68</v>
      </c>
      <c r="G24" s="78">
        <f>SUM(G15:G21)</f>
        <v>31834105</v>
      </c>
      <c r="H24" s="19">
        <f>G15*H15+G16*H16+G17*H17+G18*H18+G19*H19+G20*H20+G21*H21</f>
        <v>4709027.0000000009</v>
      </c>
    </row>
    <row r="26" spans="2:8" ht="15" customHeight="1">
      <c r="B26" s="16" t="s">
        <v>169</v>
      </c>
      <c r="C26" s="164" t="s">
        <v>113</v>
      </c>
      <c r="F26" s="166" t="s">
        <v>165</v>
      </c>
      <c r="G26" s="167" t="s">
        <v>113</v>
      </c>
      <c r="H26" s="168" t="s">
        <v>33</v>
      </c>
    </row>
    <row r="27" spans="2:8" ht="15" customHeight="1">
      <c r="B27" s="4" t="s">
        <v>3</v>
      </c>
      <c r="C27" s="18">
        <f>16107126+1471593</f>
        <v>17578719</v>
      </c>
      <c r="F27" s="169" t="s">
        <v>28</v>
      </c>
      <c r="G27" s="82">
        <f>G32-G30</f>
        <v>244750192</v>
      </c>
      <c r="H27" s="170">
        <f>H32-G30</f>
        <v>-312866725.09999996</v>
      </c>
    </row>
    <row r="28" spans="2:8" ht="15" customHeight="1">
      <c r="B28" s="4" t="s">
        <v>4</v>
      </c>
      <c r="C28" s="18">
        <v>0</v>
      </c>
      <c r="F28" s="171" t="s">
        <v>209</v>
      </c>
      <c r="G28" s="287">
        <v>12583829</v>
      </c>
      <c r="H28" s="170"/>
    </row>
    <row r="29" spans="2:8" ht="15" customHeight="1">
      <c r="B29" s="4" t="s">
        <v>5</v>
      </c>
      <c r="C29" s="18">
        <v>0</v>
      </c>
      <c r="F29" s="172" t="s">
        <v>72</v>
      </c>
      <c r="G29" s="14">
        <f>G27-G28</f>
        <v>232166363</v>
      </c>
      <c r="H29" s="170">
        <f>H27-G28</f>
        <v>-325450554.09999996</v>
      </c>
    </row>
    <row r="30" spans="2:8" ht="15" customHeight="1">
      <c r="B30" s="2" t="s">
        <v>6</v>
      </c>
      <c r="C30" s="18">
        <v>129564</v>
      </c>
      <c r="F30" s="169" t="s">
        <v>21</v>
      </c>
      <c r="G30" s="82">
        <f>C33+C42</f>
        <v>601592451</v>
      </c>
      <c r="H30" s="170"/>
    </row>
    <row r="31" spans="2:8" ht="15" customHeight="1">
      <c r="B31" s="77" t="s">
        <v>172</v>
      </c>
      <c r="C31" s="78">
        <f>SUM(C27:C30)</f>
        <v>17708283</v>
      </c>
      <c r="F31" s="172" t="s">
        <v>73</v>
      </c>
      <c r="G31" s="173">
        <f>C31+C40</f>
        <v>32211530</v>
      </c>
      <c r="H31" s="170"/>
    </row>
    <row r="32" spans="2:8" ht="15" customHeight="1">
      <c r="B32" s="4" t="s">
        <v>7</v>
      </c>
      <c r="C32" s="20">
        <f>C33-C31</f>
        <v>495647509</v>
      </c>
      <c r="F32" s="174" t="s">
        <v>71</v>
      </c>
      <c r="G32" s="175">
        <f>G35+G40</f>
        <v>846342643</v>
      </c>
      <c r="H32" s="170">
        <f>H35+H40</f>
        <v>288725725.90000004</v>
      </c>
    </row>
    <row r="33" spans="2:8" ht="15" customHeight="1">
      <c r="B33" s="80" t="s">
        <v>2</v>
      </c>
      <c r="C33" s="81">
        <v>513355792</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667075030</v>
      </c>
      <c r="H35" s="182">
        <f>D12+D24</f>
        <v>162036309.20000002</v>
      </c>
    </row>
    <row r="36" spans="2:8" ht="15" customHeight="1">
      <c r="B36" s="4" t="s">
        <v>11</v>
      </c>
      <c r="C36" s="18">
        <v>5496374</v>
      </c>
      <c r="F36" s="172" t="s">
        <v>166</v>
      </c>
      <c r="G36" s="173">
        <f>C4+C15</f>
        <v>78925463</v>
      </c>
      <c r="H36" s="177"/>
    </row>
    <row r="37" spans="2:8" ht="15" customHeight="1">
      <c r="B37" s="4" t="s">
        <v>12</v>
      </c>
      <c r="C37" s="18">
        <v>9006873</v>
      </c>
      <c r="F37" s="172" t="s">
        <v>167</v>
      </c>
      <c r="G37" s="173">
        <f>C6</f>
        <v>140839351</v>
      </c>
      <c r="H37" s="177"/>
    </row>
    <row r="38" spans="2:8" ht="15" customHeight="1">
      <c r="B38" s="4" t="s">
        <v>13</v>
      </c>
      <c r="C38" s="18">
        <v>0</v>
      </c>
      <c r="F38" s="172" t="s">
        <v>168</v>
      </c>
      <c r="G38" s="173">
        <f>C7+C17</f>
        <v>0</v>
      </c>
      <c r="H38" s="177"/>
    </row>
    <row r="39" spans="2:8" ht="15" customHeight="1">
      <c r="B39" s="2" t="s">
        <v>14</v>
      </c>
      <c r="C39" s="18">
        <v>0</v>
      </c>
      <c r="F39" s="172" t="s">
        <v>76</v>
      </c>
      <c r="G39" s="173">
        <f>C7+C17+C19+C20</f>
        <v>326066839</v>
      </c>
      <c r="H39" s="170">
        <f>C7*D7+C17*D17+C19*D19+C20*D20</f>
        <v>32606683.900000002</v>
      </c>
    </row>
    <row r="40" spans="2:8" ht="15" customHeight="1">
      <c r="B40" s="77" t="s">
        <v>173</v>
      </c>
      <c r="C40" s="78">
        <f>SUM(C36:C39)</f>
        <v>14503247</v>
      </c>
      <c r="F40" s="181" t="s">
        <v>115</v>
      </c>
      <c r="G40" s="175">
        <f>G12+G24</f>
        <v>179267613</v>
      </c>
      <c r="H40" s="182">
        <f>H12+H24</f>
        <v>126689416.7</v>
      </c>
    </row>
    <row r="41" spans="2:8" ht="15" customHeight="1">
      <c r="B41" s="4" t="s">
        <v>15</v>
      </c>
      <c r="C41" s="20">
        <f>C42-C40</f>
        <v>73733412</v>
      </c>
      <c r="F41" s="172" t="s">
        <v>160</v>
      </c>
      <c r="G41" s="173">
        <f>C70</f>
        <v>111734283</v>
      </c>
      <c r="H41" s="182">
        <f>H40-H42</f>
        <v>100560854.7</v>
      </c>
    </row>
    <row r="42" spans="2:8" ht="15" customHeight="1">
      <c r="B42" s="80" t="s">
        <v>20</v>
      </c>
      <c r="C42" s="81">
        <v>88236659</v>
      </c>
      <c r="F42" s="183" t="s">
        <v>161</v>
      </c>
      <c r="G42" s="184">
        <f>C82</f>
        <v>67533330</v>
      </c>
      <c r="H42" s="185">
        <f>D82</f>
        <v>26128562</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232166363</v>
      </c>
      <c r="D46" s="73">
        <f>H29</f>
        <v>-325450554.09999996</v>
      </c>
      <c r="F46" s="223"/>
    </row>
    <row r="47" spans="2:8" ht="15" customHeight="1">
      <c r="B47" s="1" t="str">
        <f>"Equity per share ("&amp;Market_currency&amp;")"</f>
        <v>Equity per share (HKD)</v>
      </c>
      <c r="C47" s="134">
        <f>C46*H1/Common_Shares*Exchange_Rate</f>
        <v>28.520422498928269</v>
      </c>
      <c r="D47" s="134">
        <f>D46*H1/Common_Shares*Exchange_Rate</f>
        <v>-39.979897111289588</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0.78675869631084694</v>
      </c>
      <c r="D50" s="92">
        <f>G31/Normalized_FCF!G8</f>
        <v>0.79773541079094301</v>
      </c>
      <c r="F50" s="223"/>
    </row>
    <row r="51" spans="2:8" ht="15" customHeight="1">
      <c r="B51" s="1" t="s">
        <v>146</v>
      </c>
      <c r="C51" s="163"/>
      <c r="D51" s="89">
        <f>G29/G32</f>
        <v>0.27431722236876582</v>
      </c>
      <c r="F51" s="223"/>
    </row>
    <row r="52" spans="2:8" ht="15" customHeight="1">
      <c r="F52" s="223"/>
    </row>
    <row r="53" spans="2:8" ht="15" customHeight="1">
      <c r="B53" s="143" t="s">
        <v>119</v>
      </c>
      <c r="C53" s="210" t="s">
        <v>54</v>
      </c>
      <c r="D53" s="179" t="s">
        <v>91</v>
      </c>
      <c r="F53" s="223"/>
    </row>
    <row r="54" spans="2:8" ht="15" customHeight="1">
      <c r="B54" s="1" t="s">
        <v>116</v>
      </c>
      <c r="C54" s="89">
        <f>Normalized_FCF!C8/G35</f>
        <v>6.1375510467260821E-2</v>
      </c>
      <c r="D54" s="89">
        <f>Normalized_FCF!G8/G35</f>
        <v>6.0530993042866556E-2</v>
      </c>
      <c r="F54" s="223"/>
    </row>
    <row r="55" spans="2:8" ht="15" customHeight="1">
      <c r="B55" s="1" t="s">
        <v>118</v>
      </c>
      <c r="C55" s="89">
        <f>Normalized_FCF!C9/G40</f>
        <v>0</v>
      </c>
      <c r="D55" s="89">
        <f>Normalized_FCF!G9/G40</f>
        <v>8.1941962377777636E-3</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0.38526575695654747</v>
      </c>
      <c r="F59" s="223"/>
    </row>
    <row r="60" spans="2:8" ht="15" customHeight="1">
      <c r="F60" s="223"/>
    </row>
    <row r="61" spans="2:8" ht="15" customHeight="1">
      <c r="B61" s="143" t="s">
        <v>231</v>
      </c>
      <c r="C61" s="210" t="s">
        <v>114</v>
      </c>
      <c r="D61" s="179" t="s">
        <v>91</v>
      </c>
      <c r="F61" s="223"/>
    </row>
    <row r="62" spans="2:8" ht="15" customHeight="1">
      <c r="B62" s="1" t="s">
        <v>210</v>
      </c>
      <c r="C62" s="89">
        <f>IF(G28&lt;=0,0,G28/G29)</f>
        <v>5.4201775129672856E-2</v>
      </c>
      <c r="D62" s="89">
        <f>G28/G29</f>
        <v>5.4201775129672856E-2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111734283</v>
      </c>
      <c r="D66" s="73">
        <f>C66-D75</f>
        <v>48740425.792437054</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111734283</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-64687962.079494782</v>
      </c>
      <c r="D73" s="285">
        <f>(Normalized_FCF!C26+Normalized_FCF!C35-Normalized_FCF!C89)/12</f>
        <v>-62993857.207562946</v>
      </c>
      <c r="F73" s="1" t="s">
        <v>278</v>
      </c>
    </row>
    <row r="74" spans="2:6" ht="15" customHeight="1">
      <c r="B74" s="227" t="s">
        <v>259</v>
      </c>
      <c r="C74" s="228">
        <f>-$C$66/C73</f>
        <v>1.727280925355017</v>
      </c>
      <c r="D74" s="228">
        <f>-$C$66/D73</f>
        <v>1.7737329948194591</v>
      </c>
      <c r="F74" s="223" t="s">
        <v>257</v>
      </c>
    </row>
    <row r="75" spans="2:6" ht="15" customHeight="1">
      <c r="B75" s="77" t="s">
        <v>258</v>
      </c>
      <c r="C75" s="261"/>
      <c r="D75" s="262">
        <f>MAX(-D73*D76,G5)</f>
        <v>62993857.207562946</v>
      </c>
      <c r="F75" s="223" t="s">
        <v>279</v>
      </c>
    </row>
    <row r="76" spans="2:6" ht="15" customHeight="1">
      <c r="B76" s="229" t="s">
        <v>260</v>
      </c>
      <c r="C76" s="230"/>
      <c r="D76" s="248">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38750458</v>
      </c>
      <c r="D79" s="73">
        <f>G7*H7+G17*H17</f>
        <v>23250274.800000001</v>
      </c>
      <c r="F79" s="223"/>
    </row>
    <row r="80" spans="2:6" ht="15" customHeight="1">
      <c r="B80" s="102" t="s">
        <v>152</v>
      </c>
      <c r="C80" s="19">
        <f>G19</f>
        <v>28723498</v>
      </c>
      <c r="D80" s="73">
        <f>G19*H19</f>
        <v>2872349.8000000003</v>
      </c>
      <c r="F80" s="223"/>
    </row>
    <row r="81" spans="2:8" ht="15" customHeight="1">
      <c r="B81" s="102" t="s">
        <v>150</v>
      </c>
      <c r="C81" s="19">
        <f>G9+G21</f>
        <v>59374</v>
      </c>
      <c r="D81" s="73">
        <f>G9*H9+G21*H21</f>
        <v>5937.4000000000005</v>
      </c>
      <c r="F81" s="223"/>
    </row>
    <row r="82" spans="2:8" ht="15" customHeight="1">
      <c r="B82" s="77" t="s">
        <v>159</v>
      </c>
      <c r="C82" s="78">
        <f>SUM(C79:C81)</f>
        <v>67533330</v>
      </c>
      <c r="D82" s="78">
        <f>SUM(D79:D81)</f>
        <v>26128562</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-36076913.600000001</v>
      </c>
      <c r="D86" s="201">
        <f>C86*scaling_factor/Common_Shares</f>
        <v>-3.9570178602354331</v>
      </c>
      <c r="E86" s="214" t="str">
        <f>Market_currency</f>
        <v>HKD</v>
      </c>
    </row>
    <row r="87" spans="2:8" ht="15" customHeight="1">
      <c r="B87" s="212" t="s">
        <v>240</v>
      </c>
      <c r="C87" s="73">
        <f>DCF!F5*Exchange_Rate</f>
        <v>54589276.887529507</v>
      </c>
      <c r="D87" s="201">
        <f>C87*scaling_factor/Common_Shares</f>
        <v>5.9875061934702645</v>
      </c>
      <c r="E87" s="214" t="str">
        <f>Market_currency</f>
        <v>HKD</v>
      </c>
    </row>
    <row r="88" spans="2:8" ht="15" customHeight="1">
      <c r="B88" s="213" t="s">
        <v>159</v>
      </c>
      <c r="C88" s="73">
        <f>DCF!F6*Exchange_Rate</f>
        <v>29263989.440000001</v>
      </c>
      <c r="D88" s="201">
        <f>C88*scaling_factor/Common_Shares</f>
        <v>3.2097570806561766</v>
      </c>
      <c r="E88" s="214" t="str">
        <f>Market_currency</f>
        <v>HKD</v>
      </c>
    </row>
    <row r="89" spans="2:8" ht="15" customHeight="1">
      <c r="B89" s="77" t="s">
        <v>244</v>
      </c>
      <c r="C89" s="162">
        <f>SUM(C86:C88)</f>
        <v>47776352.727529511</v>
      </c>
      <c r="D89" s="216">
        <f>SUM(D86:D88)</f>
        <v>5.2402454138910084</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4" activePane="bottomRight" state="frozen"/>
      <selection activeCell="C17" sqref="C17"/>
      <selection pane="topRight" activeCell="C17" sqref="C17"/>
      <selection pane="bottomLeft" activeCell="C17" sqref="C17"/>
      <selection pane="bottomRight" activeCell="E90" sqref="E9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7"/>
      <c r="F3" s="9"/>
      <c r="G3" s="16" t="s">
        <v>410</v>
      </c>
      <c r="H3" s="104">
        <f>scaling_factor</f>
        <v>1000</v>
      </c>
    </row>
    <row r="4" spans="1:17" ht="15.75" customHeight="1">
      <c r="A4" s="10"/>
      <c r="B4" s="25" t="s">
        <v>0</v>
      </c>
      <c r="C4" s="458">
        <f>C100*C117</f>
        <v>777102455</v>
      </c>
      <c r="D4" s="54"/>
      <c r="E4" s="235"/>
      <c r="F4" s="54"/>
      <c r="G4" s="270">
        <f>Data!C36</f>
        <v>777102455</v>
      </c>
      <c r="H4" s="270">
        <f>Data!D36</f>
        <v>602315354</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-717515723.51378667</v>
      </c>
      <c r="E5" s="237"/>
      <c r="G5" s="270">
        <f t="shared" ref="G5:Q5" si="1">G26</f>
        <v>-718079080</v>
      </c>
      <c r="H5" s="270">
        <f t="shared" si="1"/>
        <v>-555694318</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59586731.486213326</v>
      </c>
      <c r="E6" s="237"/>
      <c r="G6" s="267">
        <f>IF(G4="","",G4+G5)</f>
        <v>59023375</v>
      </c>
      <c r="H6" s="267">
        <f t="shared" ref="H6:Q6" si="2">IF(H4="","",H4+H5)</f>
        <v>46621036</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-18644661</v>
      </c>
      <c r="E7" s="237"/>
      <c r="G7" s="266">
        <f t="shared" ref="G7:Q7" si="3">G35</f>
        <v>-18644661</v>
      </c>
      <c r="H7" s="266">
        <f t="shared" si="3"/>
        <v>-13461708</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40942070.486213326</v>
      </c>
      <c r="D8" s="56"/>
      <c r="E8" s="241"/>
      <c r="F8" s="56"/>
      <c r="G8" s="267">
        <f>IF(G$4="","",G6+G7)</f>
        <v>40378714</v>
      </c>
      <c r="H8" s="267">
        <f t="shared" ref="H8:Q8" si="4">IF(H$4="","",H6+H7)</f>
        <v>33159328</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0</v>
      </c>
      <c r="D9" s="55"/>
      <c r="E9" s="236"/>
      <c r="F9" s="55"/>
      <c r="G9" s="270">
        <f>G59</f>
        <v>1468954</v>
      </c>
      <c r="H9" s="270">
        <f t="shared" ref="H9:Q9" si="5">H59</f>
        <v>1277455</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-1554728.6567546222</v>
      </c>
      <c r="E10" s="237"/>
      <c r="G10" s="266">
        <f>G48</f>
        <v>-693482.30382966041</v>
      </c>
      <c r="H10" s="266">
        <f t="shared" ref="H10:Q10" si="6">H48</f>
        <v>-251158.59675506665</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39387341.829458706</v>
      </c>
      <c r="E11" s="237"/>
      <c r="G11" s="267">
        <f t="shared" ref="G11:Q11" si="7">IF(G$4="","",SUM(G8:G10))</f>
        <v>41154185.696170337</v>
      </c>
      <c r="H11" s="267">
        <f t="shared" si="7"/>
        <v>34185624.403244935</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-9846835.4573646765</v>
      </c>
      <c r="E12" s="237"/>
      <c r="G12" s="266">
        <f>Data!C46</f>
        <v>-8092737</v>
      </c>
      <c r="H12" s="266">
        <f>Data!D46</f>
        <v>-5924567</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-1681454.3439330037</v>
      </c>
      <c r="D13" s="57"/>
      <c r="E13" s="242"/>
      <c r="F13" s="57"/>
      <c r="G13" s="270">
        <f>Data!C48</f>
        <v>-1333594</v>
      </c>
      <c r="H13" s="270">
        <f>Data!D48</f>
        <v>-1303259</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27859052.028161023</v>
      </c>
      <c r="D14" s="58"/>
      <c r="E14" s="243"/>
      <c r="F14" s="58"/>
      <c r="G14" s="267">
        <f t="shared" ref="G14:Q14" si="8">IF(G$4="","",SUM(G11:G13))</f>
        <v>31727854.696170337</v>
      </c>
      <c r="H14" s="267">
        <f t="shared" si="8"/>
        <v>26957798.403244935</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27859052.028161023</v>
      </c>
      <c r="D19" s="26"/>
      <c r="E19" s="234"/>
      <c r="F19" s="26"/>
      <c r="G19" s="271">
        <f t="shared" ref="G19:Q19" si="9">IF(G$4="","",G14+G17)</f>
        <v>31727854.696170337</v>
      </c>
      <c r="H19" s="271">
        <f t="shared" si="9"/>
        <v>26957798.403244935</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-643430412.02430403</v>
      </c>
      <c r="D23" s="55"/>
      <c r="E23" s="236"/>
      <c r="F23" s="55"/>
      <c r="G23" s="270">
        <f>Data!C37</f>
        <v>-640799018</v>
      </c>
      <c r="H23" s="270">
        <f>Data!D37</f>
        <v>-500748573</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-21958300.145185422</v>
      </c>
      <c r="D24" s="26"/>
      <c r="E24" s="234"/>
      <c r="F24" s="26"/>
      <c r="G24" s="270">
        <f>Data!C40</f>
        <v>-24085317</v>
      </c>
      <c r="H24" s="270">
        <f>Data!D40</f>
        <v>-15370800</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-52127011.344297148</v>
      </c>
      <c r="D25" s="55"/>
      <c r="E25" s="235"/>
      <c r="F25" s="55"/>
      <c r="G25" s="270">
        <f>Data!C42</f>
        <v>-53194745</v>
      </c>
      <c r="H25" s="270">
        <f>Data!D42</f>
        <v>-39574945</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-717515723.51378667</v>
      </c>
      <c r="D26" s="9"/>
      <c r="E26" s="240"/>
      <c r="F26" s="9"/>
      <c r="G26" s="267">
        <f>IF(G$4="","",SUM(G23:G25))</f>
        <v>-718079080</v>
      </c>
      <c r="H26" s="267">
        <f t="shared" ref="H26:Q26" si="10">IF(H$4="","",SUM(H23:H25))</f>
        <v>-555694318</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0.82798659029368782</v>
      </c>
      <c r="D29" s="25"/>
      <c r="E29" s="235"/>
      <c r="F29" s="25"/>
      <c r="G29" s="13">
        <f t="shared" ref="G29:Q29" si="11">IF(G$4="","",ABS(G23/G$4))</f>
        <v>0.8246004292960315</v>
      </c>
      <c r="H29" s="13">
        <f t="shared" si="11"/>
        <v>0.83137275129134425</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2.8256634635371758E-2</v>
      </c>
      <c r="D30" s="25"/>
      <c r="E30" s="235"/>
      <c r="F30" s="25"/>
      <c r="G30" s="13">
        <f t="shared" ref="G30:Q30" si="12">IF(G$4="","",ABS(G24/G$4))</f>
        <v>3.0993747150110343E-2</v>
      </c>
      <c r="H30" s="13">
        <f t="shared" si="12"/>
        <v>2.5519522120633173E-2</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AVERAGE(G31:H31)</f>
        <v>6.7078685711135927E-2</v>
      </c>
      <c r="D31" s="26"/>
      <c r="E31" s="234"/>
      <c r="F31" s="26"/>
      <c r="G31" s="13">
        <f t="shared" ref="G31:Q31" si="13">IF(G$4="","",ABS(G25/G$4))</f>
        <v>6.8452679125817456E-2</v>
      </c>
      <c r="H31" s="13">
        <f t="shared" si="13"/>
        <v>6.5704692296454398E-2</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0.92332191064019564</v>
      </c>
      <c r="E32" s="237"/>
      <c r="G32" s="29">
        <f t="shared" ref="G32:Q32" si="14">IF(G$4="","",ABS(G26/G$4))</f>
        <v>0.92404685557195931</v>
      </c>
      <c r="H32" s="29">
        <f t="shared" si="14"/>
        <v>0.92259696570843186</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-18644661</v>
      </c>
      <c r="D35" s="55"/>
      <c r="E35" s="236"/>
      <c r="F35" s="55"/>
      <c r="G35" s="267">
        <f>IF(G4="","",Data!C41)</f>
        <v>-18644661</v>
      </c>
      <c r="H35" s="267">
        <f>IF(H4="","",Data!D41)</f>
        <v>-13461708</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2.3992539053296388E-2</v>
      </c>
      <c r="E38" s="237"/>
      <c r="G38" s="29">
        <f t="shared" ref="G38:Q38" si="15">IF(G$4="","",ABS(G35/G$4))</f>
        <v>2.3992539053296388E-2</v>
      </c>
      <c r="H38" s="29">
        <f t="shared" si="15"/>
        <v>2.2349933320809881E-2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0.19664432336837809</v>
      </c>
      <c r="H41" s="6">
        <f t="shared" si="16"/>
        <v>0.1733058004181908</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-1932691.7999999998</v>
      </c>
      <c r="E45" s="237"/>
      <c r="G45" s="266">
        <f>Data!C51</f>
        <v>-2093781</v>
      </c>
      <c r="H45" s="266">
        <f>Data!D51</f>
        <v>-1827605</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377963.14324537769</v>
      </c>
      <c r="E46" s="237"/>
      <c r="G46" s="274">
        <f t="shared" ref="G46:Q46" si="17">IFERROR(IF(G$4="","",($C$46/$C$47)*G47),0)</f>
        <v>1400298.6961703396</v>
      </c>
      <c r="H46" s="274">
        <f t="shared" si="17"/>
        <v>1576446.4032449333</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670405.69799999997</v>
      </c>
      <c r="D47" s="246"/>
      <c r="E47" s="247"/>
      <c r="F47" s="246"/>
      <c r="G47" s="278">
        <f>Data!C52</f>
        <v>2483756</v>
      </c>
      <c r="H47" s="278">
        <f>Data!D52</f>
        <v>2796195</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-1554728.6567546222</v>
      </c>
      <c r="E48" s="237"/>
      <c r="G48" s="267">
        <f>IF(G$4="","",(G45+G46))</f>
        <v>-693482.30382966041</v>
      </c>
      <c r="H48" s="267">
        <f t="shared" ref="H48:Q48" si="18">IF(H$4="","",(H45+H46))</f>
        <v>-251158.59675506665</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2.222913087471998E-2</v>
      </c>
      <c r="H51" s="151"/>
      <c r="I51" s="151"/>
      <c r="J51" s="151"/>
      <c r="K51" s="151"/>
      <c r="L51" s="151"/>
      <c r="M51" s="151"/>
      <c r="N51" s="151"/>
      <c r="O51" s="151"/>
      <c r="P51" s="151"/>
      <c r="Q51" s="151"/>
    </row>
    <row r="52" spans="1:17" ht="15.75" customHeight="1">
      <c r="A52" s="10"/>
      <c r="B52" s="8" t="s">
        <v>84</v>
      </c>
      <c r="C52" s="79">
        <v>0.06</v>
      </c>
      <c r="E52" s="234"/>
      <c r="G52" s="22">
        <f>IFERROR(ABS(Normalized_FCF!G45/BS!$G$31),0)</f>
        <v>6.5000979462943864E-2</v>
      </c>
      <c r="H52" s="151"/>
      <c r="I52" s="151"/>
      <c r="J52" s="151"/>
      <c r="K52" s="151"/>
      <c r="L52" s="151"/>
      <c r="M52" s="151"/>
      <c r="N52" s="151"/>
      <c r="O52" s="151"/>
      <c r="P52" s="151"/>
      <c r="Q52" s="151"/>
    </row>
    <row r="53" spans="1:17" ht="15.75" customHeight="1">
      <c r="A53" s="10"/>
      <c r="B53" s="25" t="s">
        <v>87</v>
      </c>
      <c r="C53" s="40">
        <f>-C8/C45</f>
        <v>21.18396243323086</v>
      </c>
      <c r="E53" s="237"/>
      <c r="G53" s="40">
        <f t="shared" ref="G53:Q53" si="19">IF(G4="","",-G8/G45)</f>
        <v>19.285070406121747</v>
      </c>
      <c r="H53" s="40">
        <f t="shared" si="19"/>
        <v>18.143596674336084</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1468954</v>
      </c>
      <c r="H57" s="266">
        <f>Data!D55</f>
        <v>1277455</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1468954</v>
      </c>
      <c r="H59" s="267">
        <f t="shared" si="20"/>
        <v>1277455</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7443034</v>
      </c>
      <c r="H60" s="266">
        <f>Data!D58</f>
        <v>1863264</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8911988</v>
      </c>
      <c r="H61" s="267">
        <f t="shared" si="21"/>
        <v>3140719</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1.314685126676832E-2</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0.92332191064019564</v>
      </c>
      <c r="D71" s="26"/>
      <c r="E71" s="234"/>
      <c r="F71" s="26"/>
      <c r="G71" s="6">
        <f t="shared" ref="G71:Q71" si="23">IF(G$4="","",ABS(G5/G$4))</f>
        <v>0.92404685557195931</v>
      </c>
      <c r="H71" s="6">
        <f t="shared" si="23"/>
        <v>0.92259696570843186</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7.667808935980433E-2</v>
      </c>
      <c r="D72" s="26"/>
      <c r="E72" s="234"/>
      <c r="F72" s="26"/>
      <c r="G72" s="62">
        <f t="shared" ref="G72:Q72" si="24">IF(G$4="","",ABS(G6/G$4))</f>
        <v>7.59531444280407E-2</v>
      </c>
      <c r="H72" s="62">
        <f t="shared" si="24"/>
        <v>7.740303429156814E-2</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2.3992539053296388E-2</v>
      </c>
      <c r="D73" s="26"/>
      <c r="E73" s="234"/>
      <c r="F73" s="26"/>
      <c r="G73" s="6">
        <f t="shared" ref="G73:Q73" si="25">IF(G$4="","",ABS(G7/G$4))</f>
        <v>2.3992539053296388E-2</v>
      </c>
      <c r="H73" s="6">
        <f t="shared" si="25"/>
        <v>2.2349933320809881E-2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5.2685550306507942E-2</v>
      </c>
      <c r="D74" s="26"/>
      <c r="E74" s="234"/>
      <c r="F74" s="26"/>
      <c r="G74" s="62">
        <f t="shared" ref="G74:Q74" si="26">IF(G$4="","",ABS(G8/G$4))</f>
        <v>5.1960605374744312E-2</v>
      </c>
      <c r="H74" s="62">
        <f t="shared" si="26"/>
        <v>5.5053100970758252E-2</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1.8902964345930422E-3</v>
      </c>
      <c r="H75" s="6">
        <f t="shared" si="27"/>
        <v>2.1209072481987567E-3</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2.0006739738772567E-3</v>
      </c>
      <c r="D76" s="26"/>
      <c r="E76" s="234"/>
      <c r="F76" s="26"/>
      <c r="G76" s="6">
        <f t="shared" ref="G76:Q76" si="28">IF(G$4="","",ABS(G10/G$4))</f>
        <v>8.9239494659640523E-4</v>
      </c>
      <c r="H76" s="6">
        <f t="shared" si="28"/>
        <v>4.1698853447303395E-4</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5.0684876332630691E-2</v>
      </c>
      <c r="D77" s="26"/>
      <c r="E77" s="234"/>
      <c r="F77" s="26"/>
      <c r="G77" s="62">
        <f t="shared" ref="G77:Q77" si="29">IF(G$4="","",G11/G$4)</f>
        <v>5.2958506862740944E-2</v>
      </c>
      <c r="H77" s="62">
        <f t="shared" si="29"/>
        <v>5.6757019684483975E-2</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1.2671219083157673E-2</v>
      </c>
      <c r="D78" s="26"/>
      <c r="E78" s="234"/>
      <c r="F78" s="26"/>
      <c r="G78" s="6">
        <f t="shared" ref="G78:Q78" si="30">IF(G$4="","",ABS(G12/G$4))</f>
        <v>1.0413989748623301E-2</v>
      </c>
      <c r="H78" s="6">
        <f t="shared" si="30"/>
        <v>9.836320725770507E-3</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2.1637485933987993E-3</v>
      </c>
      <c r="D79" s="26"/>
      <c r="E79" s="234"/>
      <c r="F79" s="26"/>
      <c r="G79" s="6">
        <f t="shared" ref="G79:Q79" si="31">IF(G$4="","",-G13/G$4)</f>
        <v>1.7161109084387078E-3</v>
      </c>
      <c r="H79" s="6">
        <f t="shared" si="31"/>
        <v>2.1637485933987993E-3</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3.5849908656074216E-2</v>
      </c>
      <c r="D80" s="26"/>
      <c r="E80" s="234"/>
      <c r="F80" s="26"/>
      <c r="G80" s="62">
        <f t="shared" ref="G80:Q80" si="32">IF(G$4="","",ABS(G14/G$4))</f>
        <v>4.0828406205678937E-2</v>
      </c>
      <c r="H80" s="62">
        <f t="shared" si="32"/>
        <v>4.4756950365314671E-2</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548</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3.5849908656074216E-2</v>
      </c>
      <c r="D85" s="72"/>
      <c r="E85" s="234"/>
      <c r="F85" s="72"/>
      <c r="G85" s="62">
        <f t="shared" ref="G85:Q85" si="35">IF(G$4="","",ABS(G19/G$4))</f>
        <v>4.0828406205678937E-2</v>
      </c>
      <c r="H85" s="62">
        <f t="shared" si="35"/>
        <v>4.4756950365314671E-2</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G88/2</f>
        <v>2.16798</v>
      </c>
      <c r="E88" s="237"/>
      <c r="G88" s="109">
        <f>Data!C65</f>
        <v>4.33596</v>
      </c>
      <c r="H88" s="109">
        <f>Data!D65</f>
        <v>3.4060899999999998</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19765901.976968702</v>
      </c>
      <c r="E89" s="237"/>
      <c r="G89" s="71">
        <f t="shared" ref="G89:Q89" si="36">IF(G$4="","",G88*Common_Shares/scaling_factor)</f>
        <v>39531803.953937404</v>
      </c>
      <c r="H89" s="71">
        <f t="shared" si="36"/>
        <v>31053995.454170849</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0.70949657429077451</v>
      </c>
      <c r="E90" s="237"/>
      <c r="G90" s="152">
        <f t="shared" ref="G90:Q90" si="37">IF(G$4="","",G88/(G19*scaling_factor/Common_Shares))</f>
        <v>1.2459652356737825</v>
      </c>
      <c r="H90" s="152">
        <f t="shared" si="37"/>
        <v>1.1519485007511909</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v>
      </c>
      <c r="E91" s="237"/>
      <c r="G91" s="293"/>
      <c r="H91" s="293"/>
      <c r="I91" s="293"/>
      <c r="J91" s="293"/>
      <c r="K91" s="293"/>
      <c r="L91" s="293"/>
      <c r="M91" s="293"/>
      <c r="N91" s="293"/>
      <c r="O91" s="293"/>
      <c r="P91" s="293"/>
      <c r="Q91" s="293"/>
    </row>
    <row r="92" spans="1:17" ht="15.75" customHeight="1">
      <c r="A92" s="10"/>
      <c r="B92" s="2" t="s">
        <v>330</v>
      </c>
      <c r="C92" s="22">
        <f>(C88*(1-dividend_tax_rate))/Market_Price</f>
        <v>2.4331986531986535E-2</v>
      </c>
      <c r="E92" s="237"/>
      <c r="G92" s="22">
        <f t="shared" ref="G92:Q92" si="38">IF(G$4="","",(G88*(1-dividend_tax_rate))/Market_Price)</f>
        <v>4.8663973063973069E-2</v>
      </c>
      <c r="H92" s="22">
        <f t="shared" si="38"/>
        <v>3.8227721661054995E-2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0.29019200629575859</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-4.2932300489571973E-2</v>
      </c>
      <c r="D96" s="26"/>
      <c r="E96" s="234"/>
      <c r="F96" s="26"/>
      <c r="G96" s="6">
        <f t="shared" ref="G96:Q96" si="40">IF(H5="","",G11/H11-1)</f>
        <v>0.20384478606346423</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846342643</v>
      </c>
      <c r="D100" s="25"/>
      <c r="E100" s="238"/>
      <c r="F100" s="25"/>
      <c r="G100" s="270">
        <f t="shared" ref="G100:Q100" si="41">IF(G$4="","",G104+G103)</f>
        <v>846342643</v>
      </c>
      <c r="H100" s="270">
        <f t="shared" si="41"/>
        <v>679547670</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68215922</v>
      </c>
      <c r="D101" s="86"/>
      <c r="E101" s="239"/>
      <c r="F101" s="86"/>
      <c r="G101" s="282">
        <f>IF(G$4="","",Data!D77)</f>
        <v>85935396</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140839351</v>
      </c>
      <c r="D102" s="86"/>
      <c r="E102" s="239"/>
      <c r="F102" s="86"/>
      <c r="G102" s="282">
        <f>IF(G$4="","",Data!D78)</f>
        <v>87676748</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601592451</v>
      </c>
      <c r="D103" s="25"/>
      <c r="E103" s="238"/>
      <c r="F103" s="25"/>
      <c r="G103" s="270">
        <f>Data!C79</f>
        <v>601592451</v>
      </c>
      <c r="H103" s="270">
        <f>Data!D79</f>
        <v>529085557</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244750192</v>
      </c>
      <c r="D104" s="25"/>
      <c r="E104" s="238"/>
      <c r="F104" s="25"/>
      <c r="G104" s="270">
        <f>Data!C80</f>
        <v>244750192</v>
      </c>
      <c r="H104" s="270">
        <f>Data!D80</f>
        <v>150462113</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8.778240444498403E-2</v>
      </c>
      <c r="D107" s="25"/>
      <c r="E107" s="238"/>
      <c r="F107" s="25"/>
      <c r="G107" s="91">
        <f t="shared" ref="G107:Q107" si="42">IF(G$4="","",G101/G$4)</f>
        <v>0.1105843836254513</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0.18123652820013289</v>
      </c>
      <c r="D108" s="25"/>
      <c r="E108" s="238"/>
      <c r="F108" s="25"/>
      <c r="G108" s="91">
        <f t="shared" ref="G108:Q108" si="43">IF(G$4="","",G102/G$4)</f>
        <v>0.11282521041578746</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555</v>
      </c>
      <c r="G112" s="251">
        <f>IF(G$4="","",Data!C$22/Data!C15)</f>
        <v>3.2089560819795353</v>
      </c>
      <c r="H112" s="251">
        <f>IF(H$4="","",Data!D$22/Data!D15)</f>
        <v>5.4149006494689429</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4.2062053762528215</v>
      </c>
      <c r="H113" s="251">
        <f>IF(H$4="","",Data!D$22/H19)</f>
        <v>6.2959527503392136</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15yrs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5.0684876332630691E-2</v>
      </c>
      <c r="E116" s="22">
        <f>E119/E117/E118</f>
        <v>6.2990456515801388E-2</v>
      </c>
      <c r="G116" s="22">
        <f t="shared" ref="G116:Q116" si="44">IF(G4="","",G77)</f>
        <v>5.2958506862740944E-2</v>
      </c>
      <c r="H116" s="22">
        <f t="shared" si="44"/>
        <v>5.6757019684483975E-2</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0.91818894088265857</v>
      </c>
      <c r="E117" s="452">
        <f>C117</f>
        <v>0.91818894088265857</v>
      </c>
      <c r="G117" s="40">
        <f t="shared" ref="G117:Q117" si="45">IF(G4="","",G4/G100)</f>
        <v>0.91818894088265857</v>
      </c>
      <c r="H117" s="40">
        <f t="shared" si="45"/>
        <v>0.88634746404177944</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3.4579856141645027</v>
      </c>
      <c r="D118" s="11"/>
      <c r="E118" s="15">
        <f>C100/C104</f>
        <v>3.4579856141645027</v>
      </c>
      <c r="F118" s="11"/>
      <c r="G118" s="15">
        <f t="shared" ref="G118:Q118" si="46">IF(G$4="","",G100/G104)</f>
        <v>3.4579856141645027</v>
      </c>
      <c r="H118" s="15">
        <f t="shared" si="46"/>
        <v>4.5164038737113836</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0.16092874742038488</v>
      </c>
      <c r="D119" s="100"/>
      <c r="E119" s="453">
        <v>0.2</v>
      </c>
      <c r="F119" s="100"/>
      <c r="G119" s="99">
        <f t="shared" ref="G119:Q119" si="47">IF(G$4="","",G11/G104)</f>
        <v>0.16814771567644096</v>
      </c>
      <c r="H119" s="99">
        <f t="shared" si="47"/>
        <v>0.22720420258384205</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3.4223387229560762</v>
      </c>
      <c r="D123" s="26"/>
      <c r="E123" s="234"/>
      <c r="F123" s="26"/>
      <c r="G123" s="159">
        <f t="shared" ref="G123:Q123" si="48">IF(G$4="","",G14*$C$3/Common_Shares*Exchange_Rate)</f>
        <v>3.8976008807933278</v>
      </c>
      <c r="H123" s="159">
        <f t="shared" si="48"/>
        <v>3.3116244324397646</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3.8410086677397037E-2</v>
      </c>
      <c r="D124" s="26"/>
      <c r="E124" s="234"/>
      <c r="F124" s="26"/>
      <c r="G124" s="74">
        <f t="shared" ref="G124" si="49">IF(G$4="","",G123/Market_Price)</f>
        <v>4.3744117629554748E-2</v>
      </c>
      <c r="H124" s="74">
        <f t="shared" ref="H124" si="50">IF(H$4="","",H123/Market_Price)</f>
        <v>3.7167502047584344E-2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5.1195093305236132E-2</v>
      </c>
      <c r="H125" s="22">
        <f>IF(H$4="","",(Data!D47*$C$3)/(Market_Price*Common_Shares))</f>
        <v>3.858480579263731E-2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424</v>
      </c>
      <c r="H3" s="106" t="s">
        <v>414</v>
      </c>
    </row>
    <row r="4" spans="2:15">
      <c r="B4" s="97" t="s">
        <v>393</v>
      </c>
      <c r="C4" s="275">
        <f>Normalized_FCF!C19</f>
        <v>27859052.028161023</v>
      </c>
      <c r="D4" t="str">
        <f>Reporting_currency</f>
        <v>CNY</v>
      </c>
      <c r="E4" s="135" t="s">
        <v>431</v>
      </c>
      <c r="F4" s="275">
        <f>-BS!G31</f>
        <v>-32211530</v>
      </c>
      <c r="G4" t="str">
        <f>Reporting_currency</f>
        <v>CNY</v>
      </c>
      <c r="H4" s="308" t="s">
        <v>394</v>
      </c>
      <c r="I4" s="305">
        <f>Normalized_FCF!C4</f>
        <v>777102455</v>
      </c>
      <c r="J4" s="305"/>
    </row>
    <row r="5" spans="2:15">
      <c r="B5" s="187" t="s">
        <v>105</v>
      </c>
      <c r="C5" s="188">
        <f>Equity_Cost</f>
        <v>7.2499999999999995E-2</v>
      </c>
      <c r="E5" s="135" t="s">
        <v>432</v>
      </c>
      <c r="F5" s="275">
        <f>BS!D66</f>
        <v>48740425.792437054</v>
      </c>
      <c r="G5" t="str">
        <f>Reporting_currency</f>
        <v>CNY</v>
      </c>
      <c r="H5" s="308" t="s">
        <v>395</v>
      </c>
      <c r="I5" s="305">
        <f>Normalized_FCF!C7</f>
        <v>-18644661</v>
      </c>
      <c r="J5" s="305"/>
    </row>
    <row r="6" spans="2:15" ht="13.25" customHeight="1">
      <c r="B6" s="136" t="s">
        <v>194</v>
      </c>
      <c r="C6" s="283">
        <f>(C4*(1+Terminal_Growth))/(Equity_Cost-Terminal_Growth)</f>
        <v>541261582.26141429</v>
      </c>
      <c r="D6" t="str">
        <f>Reporting_currency</f>
        <v>CNY</v>
      </c>
      <c r="E6" s="187" t="s">
        <v>433</v>
      </c>
      <c r="F6" s="284">
        <f>BS!H42</f>
        <v>26128562</v>
      </c>
      <c r="G6" t="str">
        <f>Reporting_currency</f>
        <v>CNY</v>
      </c>
      <c r="H6" s="308" t="s">
        <v>416</v>
      </c>
      <c r="I6" s="305">
        <f>I7+I8</f>
        <v>-1554728.6567546222</v>
      </c>
      <c r="J6" s="305"/>
      <c r="N6" s="135"/>
    </row>
    <row r="7" spans="2:15" ht="12.75" customHeight="1">
      <c r="B7" s="318" t="s">
        <v>430</v>
      </c>
      <c r="C7" s="275">
        <f>F7</f>
        <v>42657457.792437054</v>
      </c>
      <c r="E7" s="140" t="s">
        <v>424</v>
      </c>
      <c r="F7" s="283">
        <f>SUM(F4:F6)</f>
        <v>42657457.792437054</v>
      </c>
      <c r="G7" t="str">
        <f>Reporting_currency</f>
        <v>CNY</v>
      </c>
      <c r="H7" s="312" t="s">
        <v>417</v>
      </c>
      <c r="I7" s="313">
        <f>Normalized_FCF!C9</f>
        <v>0</v>
      </c>
      <c r="J7" s="313"/>
      <c r="N7" s="304"/>
      <c r="O7" s="304"/>
    </row>
    <row r="8" spans="2:15" ht="13.15">
      <c r="B8" s="136" t="s">
        <v>426</v>
      </c>
      <c r="C8" s="283">
        <f>C6+C7</f>
        <v>583919040.05385137</v>
      </c>
      <c r="D8" t="str">
        <f>Reporting_currency</f>
        <v>CNY</v>
      </c>
      <c r="E8" s="140" t="s">
        <v>464</v>
      </c>
      <c r="F8" s="108">
        <f>FV_adjustments*scaling_factor/Common_Shares*Exchange_Rate</f>
        <v>5.2402454138910075</v>
      </c>
      <c r="G8" s="294" t="str">
        <f>Market_currency</f>
        <v>HKD</v>
      </c>
      <c r="H8" s="314" t="str">
        <f>Normalized_FCF!B10</f>
        <v>Net Interest Income</v>
      </c>
      <c r="I8" s="313">
        <f>Normalized_FCF!C10</f>
        <v>-1554728.6567546222</v>
      </c>
      <c r="J8" s="313"/>
      <c r="N8" s="304"/>
      <c r="O8" s="304"/>
    </row>
    <row r="9" spans="2:15" ht="13.15" thickBot="1">
      <c r="B9" s="189" t="str">
        <f>"*"&amp;Thesis!E15</f>
        <v>*CNY/HKD</v>
      </c>
      <c r="C9" s="190">
        <f>Exchange_Rate</f>
        <v>1.1200000000000001</v>
      </c>
      <c r="D9" t="str">
        <f>Thesis!E15</f>
        <v>CNY/HKD</v>
      </c>
      <c r="F9" s="322"/>
      <c r="H9" s="308" t="str">
        <f>Normalized_FCF!B79</f>
        <v>NCI’s Share of Profits</v>
      </c>
      <c r="I9" s="144">
        <f>Normalized_FCF!C79</f>
        <v>2.1637485933987993E-3</v>
      </c>
      <c r="J9" s="306"/>
      <c r="N9" s="304"/>
      <c r="O9" s="304"/>
    </row>
    <row r="10" spans="2:15" ht="13.5" thickTop="1">
      <c r="B10" s="107" t="s">
        <v>427</v>
      </c>
      <c r="C10" s="283">
        <f>C8*Exchange_Rate</f>
        <v>653989324.86031353</v>
      </c>
      <c r="D10" t="str">
        <f>Market_currency</f>
        <v>HKD</v>
      </c>
      <c r="H10" s="308" t="s">
        <v>397</v>
      </c>
      <c r="I10" s="306">
        <f>Normalized_FCF!C41</f>
        <v>0.25</v>
      </c>
      <c r="N10" s="304"/>
      <c r="O10" s="304"/>
    </row>
    <row r="11" spans="2:15" ht="13.15">
      <c r="B11" s="136" t="s">
        <v>425</v>
      </c>
      <c r="C11" s="108">
        <f>(C10*scaling_factor)/Common_Shares</f>
        <v>71.731397745609073</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II</v>
      </c>
      <c r="H14" s="106" t="s">
        <v>413</v>
      </c>
    </row>
    <row r="15" spans="2:15">
      <c r="B15" s="139" t="s">
        <v>421</v>
      </c>
      <c r="C15" s="148">
        <f>Scenarios!C45</f>
        <v>30</v>
      </c>
      <c r="E15" s="308" t="str">
        <f>IF(F14="II","Change year","Terminal Year")</f>
        <v>Change year</v>
      </c>
      <c r="F15" s="310">
        <f>IF(F14="II",_xlfn.CEILING.MATH(C15/2),C15+1)</f>
        <v>15</v>
      </c>
      <c r="H15" s="97" t="s">
        <v>429</v>
      </c>
      <c r="I15" s="126">
        <f>Terminal_Growth</f>
        <v>0.02</v>
      </c>
      <c r="J15" s="126"/>
    </row>
    <row r="16" spans="2:15" ht="13.25" customHeight="1">
      <c r="B16" s="114" t="s">
        <v>422</v>
      </c>
      <c r="C16" s="147">
        <f>Scenarios!C46</f>
        <v>2.38559171477595E-2</v>
      </c>
      <c r="E16" s="308" t="s">
        <v>400</v>
      </c>
      <c r="F16" s="311">
        <f>Scenarios!C41</f>
        <v>2.38559171477595E-2</v>
      </c>
    </row>
    <row r="17" spans="1:21" ht="13.25" customHeight="1">
      <c r="B17" s="308" t="s">
        <v>550</v>
      </c>
      <c r="C17" s="306">
        <f>Normalized_FCF!C77</f>
        <v>5.0684876332630691E-2</v>
      </c>
      <c r="E17" s="308" t="s">
        <v>551</v>
      </c>
      <c r="F17" s="311">
        <f>Scenarios!C40</f>
        <v>6.2990456515801388E-2</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79.493988681493235</v>
      </c>
      <c r="J18" t="str">
        <f>Market_currency</f>
        <v>HKD</v>
      </c>
    </row>
    <row r="19" spans="1:21">
      <c r="L19" s="275"/>
    </row>
    <row r="20" spans="1:21" ht="13.15">
      <c r="A20" s="121" t="s">
        <v>399</v>
      </c>
      <c r="B20" s="121" t="s">
        <v>98</v>
      </c>
      <c r="C20" s="121" t="s">
        <v>394</v>
      </c>
      <c r="D20" s="121" t="s">
        <v>102</v>
      </c>
      <c r="E20" s="121" t="s">
        <v>550</v>
      </c>
      <c r="F20" s="121" t="s">
        <v>552</v>
      </c>
      <c r="G20" s="121" t="str">
        <f>B18</f>
        <v>D&amp;A - maint. Capx</v>
      </c>
      <c r="H20" s="121" t="s">
        <v>554</v>
      </c>
      <c r="I20" s="121" t="s">
        <v>530</v>
      </c>
      <c r="J20" s="121" t="s">
        <v>553</v>
      </c>
      <c r="K20" s="121" t="s">
        <v>531</v>
      </c>
      <c r="L20" s="122" t="s">
        <v>419</v>
      </c>
    </row>
    <row r="21" spans="1:21">
      <c r="A21" s="302" t="str">
        <f t="shared" ref="A21:A50" si="0">IF($C$15&lt;B21,"",IF(B21&gt;=$F$15,"II","I"))</f>
        <v>I</v>
      </c>
      <c r="B21" s="117">
        <v>1</v>
      </c>
      <c r="C21" s="277">
        <f>I4*(1+D21)</f>
        <v>795640946.78180051</v>
      </c>
      <c r="D21" s="299">
        <f t="shared" ref="D21:D50" si="1">IF(A21="",0,IF(A21="I",$C$16,$F$16))</f>
        <v>2.38559171477595E-2</v>
      </c>
      <c r="E21" s="299">
        <f>$C$17</f>
        <v>5.0684876332630691E-2</v>
      </c>
      <c r="F21" s="277">
        <f>C21*E21</f>
        <v>40326962.992812753</v>
      </c>
      <c r="G21" s="299">
        <f t="shared" ref="G21:G50" si="2">IF(A21="",0%,IF(A21="I",$C$18,$F$18))</f>
        <v>0</v>
      </c>
      <c r="H21" s="277">
        <f>(F21*(1-$I$10)+C21*(G21-$I$9))</f>
        <v>28523655.265159953</v>
      </c>
      <c r="I21" s="299">
        <f>H21/C4-1</f>
        <v>2.3855917147759476E-2</v>
      </c>
      <c r="J21" s="299">
        <f>H21/C21</f>
        <v>3.5849908656074216E-2</v>
      </c>
      <c r="K21" s="119">
        <f t="shared" ref="K21:K50" si="3">IF($C$15&lt;B21,0,1/(1+Equity_Cost)^B21)</f>
        <v>0.93240093240093236</v>
      </c>
      <c r="L21" s="277">
        <f t="shared" ref="L21:L51" si="4">H21*K21</f>
        <v>26595482.764717903</v>
      </c>
    </row>
    <row r="22" spans="1:21">
      <c r="A22" s="302" t="str">
        <f t="shared" si="0"/>
        <v>I</v>
      </c>
      <c r="B22" s="117">
        <v>2</v>
      </c>
      <c r="C22" s="277">
        <f t="shared" ref="C22:C50" si="5">IF(A22="",0,C21*(1+D22))</f>
        <v>814621691.28759205</v>
      </c>
      <c r="D22" s="299">
        <f t="shared" si="1"/>
        <v>2.38559171477595E-2</v>
      </c>
      <c r="E22" s="299">
        <f t="shared" ref="E22:E50" si="6">IF($C$15&lt;B22,0,IF(B22&gt;=$F$15,$F$17,$C$17))</f>
        <v>5.0684876332630691E-2</v>
      </c>
      <c r="F22" s="277">
        <f t="shared" ref="F22:F50" si="7">IF(A22="", 0,C22*E22)</f>
        <v>41288999.680790059</v>
      </c>
      <c r="G22" s="299">
        <f t="shared" si="2"/>
        <v>0</v>
      </c>
      <c r="H22" s="277">
        <f t="shared" ref="H22:H50" si="8">IF(A22="", 0,F22*(1-$I$10)+C22*(G22-$I$9))</f>
        <v>29204113.221916866</v>
      </c>
      <c r="I22" s="299">
        <f t="shared" ref="I22:I50" si="9">IF(A22="", 0,H22/H21-1)</f>
        <v>2.3855917147759476E-2</v>
      </c>
      <c r="J22" s="299">
        <f>IF(A22="", 0,H22/C22)</f>
        <v>3.5849908656074216E-2</v>
      </c>
      <c r="K22" s="119">
        <f t="shared" si="3"/>
        <v>0.86937149874212816</v>
      </c>
      <c r="L22" s="277">
        <f t="shared" si="4"/>
        <v>25389223.681172665</v>
      </c>
    </row>
    <row r="23" spans="1:21">
      <c r="A23" s="302" t="str">
        <f t="shared" si="0"/>
        <v>I</v>
      </c>
      <c r="B23" s="117">
        <v>3</v>
      </c>
      <c r="C23" s="277">
        <f t="shared" si="5"/>
        <v>834055238.86171651</v>
      </c>
      <c r="D23" s="299">
        <f t="shared" si="1"/>
        <v>2.38559171477595E-2</v>
      </c>
      <c r="E23" s="299">
        <f t="shared" si="6"/>
        <v>5.0684876332630691E-2</v>
      </c>
      <c r="F23" s="277">
        <f t="shared" si="7"/>
        <v>42273986.636288851</v>
      </c>
      <c r="G23" s="299">
        <f t="shared" si="2"/>
        <v>0</v>
      </c>
      <c r="H23" s="277">
        <f t="shared" si="8"/>
        <v>29900804.127312701</v>
      </c>
      <c r="I23" s="299">
        <f t="shared" si="9"/>
        <v>2.3855917147759476E-2</v>
      </c>
      <c r="J23" s="299">
        <f t="shared" ref="J23:J50" si="10">IF(A23="", 0,H23/C23)</f>
        <v>3.5849908656074223E-2</v>
      </c>
      <c r="K23" s="119">
        <f t="shared" si="3"/>
        <v>0.81060279602995633</v>
      </c>
      <c r="L23" s="277">
        <f t="shared" si="4"/>
        <v>24237675.429143734</v>
      </c>
      <c r="N23" s="275"/>
      <c r="O23" s="275"/>
      <c r="P23" s="275"/>
      <c r="Q23" s="275"/>
      <c r="R23" s="275"/>
      <c r="S23" s="275"/>
      <c r="T23" s="275"/>
      <c r="U23" s="275"/>
    </row>
    <row r="24" spans="1:21">
      <c r="A24" s="302" t="str">
        <f t="shared" si="0"/>
        <v>I</v>
      </c>
      <c r="B24" s="117">
        <v>4</v>
      </c>
      <c r="C24" s="277">
        <f t="shared" si="5"/>
        <v>853952391.53665638</v>
      </c>
      <c r="D24" s="299">
        <f t="shared" si="1"/>
        <v>2.38559171477595E-2</v>
      </c>
      <c r="E24" s="299">
        <f t="shared" si="6"/>
        <v>5.0684876332630691E-2</v>
      </c>
      <c r="F24" s="277">
        <f t="shared" si="7"/>
        <v>43282471.358989649</v>
      </c>
      <c r="G24" s="299">
        <f t="shared" si="2"/>
        <v>0</v>
      </c>
      <c r="H24" s="277">
        <f t="shared" si="8"/>
        <v>30614115.233225252</v>
      </c>
      <c r="I24" s="299">
        <f t="shared" si="9"/>
        <v>2.3855917147759254E-2</v>
      </c>
      <c r="J24" s="299">
        <f t="shared" si="10"/>
        <v>3.5849908656074216E-2</v>
      </c>
      <c r="K24" s="119">
        <f t="shared" si="3"/>
        <v>0.75580680282513402</v>
      </c>
      <c r="L24" s="277">
        <f t="shared" si="4"/>
        <v>23138356.555744208</v>
      </c>
      <c r="N24" s="275"/>
      <c r="O24" s="275"/>
      <c r="P24" s="275"/>
      <c r="Q24" s="275"/>
      <c r="R24" s="275"/>
      <c r="S24" s="275"/>
      <c r="T24" s="275"/>
      <c r="U24" s="275"/>
    </row>
    <row r="25" spans="1:21">
      <c r="A25" s="302" t="str">
        <f t="shared" si="0"/>
        <v>I</v>
      </c>
      <c r="B25" s="117">
        <v>5</v>
      </c>
      <c r="C25" s="277">
        <f t="shared" si="5"/>
        <v>874324209.03728592</v>
      </c>
      <c r="D25" s="299">
        <f t="shared" si="1"/>
        <v>2.38559171477595E-2</v>
      </c>
      <c r="E25" s="299">
        <f t="shared" si="6"/>
        <v>5.0684876332630691E-2</v>
      </c>
      <c r="F25" s="277">
        <f t="shared" si="7"/>
        <v>44315014.409679979</v>
      </c>
      <c r="G25" s="299">
        <f t="shared" si="2"/>
        <v>0</v>
      </c>
      <c r="H25" s="277">
        <f t="shared" si="8"/>
        <v>31344443.02978104</v>
      </c>
      <c r="I25" s="299">
        <f t="shared" si="9"/>
        <v>2.3855917147759698E-2</v>
      </c>
      <c r="J25" s="299">
        <f t="shared" si="10"/>
        <v>3.5849908656074216E-2</v>
      </c>
      <c r="K25" s="119">
        <f t="shared" si="3"/>
        <v>0.70471496766912267</v>
      </c>
      <c r="L25" s="277">
        <f t="shared" si="4"/>
        <v>22088898.156338803</v>
      </c>
      <c r="N25" s="275"/>
      <c r="O25" s="275"/>
      <c r="P25" s="275"/>
      <c r="Q25" s="275"/>
      <c r="R25" s="275"/>
      <c r="S25" s="275"/>
      <c r="T25" s="275"/>
      <c r="U25" s="275"/>
    </row>
    <row r="26" spans="1:21">
      <c r="A26" s="302" t="str">
        <f t="shared" si="0"/>
        <v>I</v>
      </c>
      <c r="B26" s="117">
        <v>6</v>
      </c>
      <c r="C26" s="277">
        <f t="shared" si="5"/>
        <v>895182014.92835975</v>
      </c>
      <c r="D26" s="299">
        <f t="shared" si="1"/>
        <v>2.38559171477595E-2</v>
      </c>
      <c r="E26" s="299">
        <f t="shared" si="6"/>
        <v>5.0684876332630691E-2</v>
      </c>
      <c r="F26" s="277">
        <f t="shared" si="7"/>
        <v>45372189.721839078</v>
      </c>
      <c r="G26" s="299">
        <f t="shared" si="2"/>
        <v>0</v>
      </c>
      <c r="H26" s="277">
        <f t="shared" si="8"/>
        <v>32092193.465742167</v>
      </c>
      <c r="I26" s="299">
        <f t="shared" si="9"/>
        <v>2.3855917147759698E-2</v>
      </c>
      <c r="J26" s="299">
        <f t="shared" si="10"/>
        <v>3.5849908656074223E-2</v>
      </c>
      <c r="K26" s="119">
        <f t="shared" si="3"/>
        <v>0.65707689293158289</v>
      </c>
      <c r="L26" s="277">
        <f t="shared" si="4"/>
        <v>21087038.769829109</v>
      </c>
    </row>
    <row r="27" spans="1:21">
      <c r="A27" s="302" t="str">
        <f t="shared" si="0"/>
        <v>I</v>
      </c>
      <c r="B27" s="117">
        <v>7</v>
      </c>
      <c r="C27" s="277">
        <f t="shared" si="5"/>
        <v>916537402.90865505</v>
      </c>
      <c r="D27" s="299">
        <f t="shared" si="1"/>
        <v>2.38559171477595E-2</v>
      </c>
      <c r="E27" s="299">
        <f t="shared" si="6"/>
        <v>5.0684876332630691E-2</v>
      </c>
      <c r="F27" s="277">
        <f t="shared" si="7"/>
        <v>46454584.92065569</v>
      </c>
      <c r="G27" s="299">
        <f t="shared" si="2"/>
        <v>0</v>
      </c>
      <c r="H27" s="277">
        <f t="shared" si="8"/>
        <v>32857782.174150776</v>
      </c>
      <c r="I27" s="299">
        <f t="shared" si="9"/>
        <v>2.3855917147759254E-2</v>
      </c>
      <c r="J27" s="299">
        <f t="shared" si="10"/>
        <v>3.5849908656074216E-2</v>
      </c>
      <c r="K27" s="119">
        <f t="shared" si="3"/>
        <v>0.61265910762851561</v>
      </c>
      <c r="L27" s="277">
        <f t="shared" si="4"/>
        <v>20130619.505467363</v>
      </c>
    </row>
    <row r="28" spans="1:21">
      <c r="A28" s="302" t="str">
        <f t="shared" si="0"/>
        <v>I</v>
      </c>
      <c r="B28" s="117">
        <v>8</v>
      </c>
      <c r="C28" s="277">
        <f t="shared" si="5"/>
        <v>938402243.25526655</v>
      </c>
      <c r="D28" s="299">
        <f t="shared" si="1"/>
        <v>2.38559171477595E-2</v>
      </c>
      <c r="E28" s="299">
        <f t="shared" si="6"/>
        <v>5.0684876332630691E-2</v>
      </c>
      <c r="F28" s="277">
        <f t="shared" si="7"/>
        <v>47562801.649656408</v>
      </c>
      <c r="G28" s="299">
        <f t="shared" si="2"/>
        <v>0</v>
      </c>
      <c r="H28" s="277">
        <f t="shared" si="8"/>
        <v>33641634.703356445</v>
      </c>
      <c r="I28" s="299">
        <f t="shared" si="9"/>
        <v>2.3855917147759476E-2</v>
      </c>
      <c r="J28" s="299">
        <f t="shared" si="10"/>
        <v>3.5849908656074216E-2</v>
      </c>
      <c r="K28" s="119">
        <f t="shared" si="3"/>
        <v>0.5712439231967511</v>
      </c>
      <c r="L28" s="277">
        <f t="shared" si="4"/>
        <v>19217579.390697304</v>
      </c>
    </row>
    <row r="29" spans="1:21">
      <c r="A29" s="302" t="str">
        <f t="shared" si="0"/>
        <v>I</v>
      </c>
      <c r="B29" s="117">
        <v>9</v>
      </c>
      <c r="C29" s="277">
        <f t="shared" si="5"/>
        <v>960788689.42163587</v>
      </c>
      <c r="D29" s="299">
        <f t="shared" si="1"/>
        <v>2.38559171477595E-2</v>
      </c>
      <c r="E29" s="299">
        <f t="shared" si="6"/>
        <v>5.0684876332630691E-2</v>
      </c>
      <c r="F29" s="277">
        <f t="shared" si="7"/>
        <v>48697455.905125931</v>
      </c>
      <c r="G29" s="299">
        <f t="shared" si="2"/>
        <v>0</v>
      </c>
      <c r="H29" s="277">
        <f t="shared" si="8"/>
        <v>34444186.75355491</v>
      </c>
      <c r="I29" s="299">
        <f t="shared" si="9"/>
        <v>2.3855917147759698E-2</v>
      </c>
      <c r="J29" s="299">
        <f t="shared" si="10"/>
        <v>3.5849908656074223E-2</v>
      </c>
      <c r="K29" s="119">
        <f t="shared" si="3"/>
        <v>0.53262836661701729</v>
      </c>
      <c r="L29" s="277">
        <f t="shared" si="4"/>
        <v>18345950.929997455</v>
      </c>
    </row>
    <row r="30" spans="1:21">
      <c r="A30" s="302" t="str">
        <f t="shared" si="0"/>
        <v>I</v>
      </c>
      <c r="B30" s="117">
        <v>10</v>
      </c>
      <c r="C30" s="277">
        <f t="shared" si="5"/>
        <v>983709184.79298282</v>
      </c>
      <c r="D30" s="299">
        <f t="shared" si="1"/>
        <v>2.38559171477595E-2</v>
      </c>
      <c r="E30" s="299">
        <f t="shared" si="6"/>
        <v>5.0684876332630691E-2</v>
      </c>
      <c r="F30" s="277">
        <f t="shared" si="7"/>
        <v>49859178.378505282</v>
      </c>
      <c r="G30" s="299">
        <f t="shared" si="2"/>
        <v>0</v>
      </c>
      <c r="H30" s="277">
        <f t="shared" si="8"/>
        <v>35265884.418969661</v>
      </c>
      <c r="I30" s="299">
        <f t="shared" si="9"/>
        <v>2.3855917147759254E-2</v>
      </c>
      <c r="J30" s="299">
        <f t="shared" si="10"/>
        <v>3.5849908656074209E-2</v>
      </c>
      <c r="K30" s="119">
        <f t="shared" si="3"/>
        <v>0.49662318565689262</v>
      </c>
      <c r="L30" s="277">
        <f t="shared" si="4"/>
        <v>17513855.865156487</v>
      </c>
    </row>
    <row r="31" spans="1:21">
      <c r="A31" s="302" t="str">
        <f t="shared" si="0"/>
        <v>I</v>
      </c>
      <c r="B31" s="117">
        <v>11</v>
      </c>
      <c r="C31" s="277">
        <f t="shared" si="5"/>
        <v>1007176469.6028942</v>
      </c>
      <c r="D31" s="299">
        <f t="shared" si="1"/>
        <v>2.38559171477595E-2</v>
      </c>
      <c r="E31" s="299">
        <f t="shared" si="6"/>
        <v>5.0684876332630691E-2</v>
      </c>
      <c r="F31" s="277">
        <f t="shared" si="7"/>
        <v>51048614.806958266</v>
      </c>
      <c r="G31" s="299">
        <f t="shared" si="2"/>
        <v>0</v>
      </c>
      <c r="H31" s="277">
        <f t="shared" si="8"/>
        <v>36107184.435811073</v>
      </c>
      <c r="I31" s="299">
        <f t="shared" si="9"/>
        <v>2.3855917147759698E-2</v>
      </c>
      <c r="J31" s="299">
        <f t="shared" si="10"/>
        <v>3.5849908656074223E-2</v>
      </c>
      <c r="K31" s="119">
        <f t="shared" si="3"/>
        <v>0.46305192135840806</v>
      </c>
      <c r="L31" s="277">
        <f t="shared" si="4"/>
        <v>16719501.127844725</v>
      </c>
    </row>
    <row r="32" spans="1:21">
      <c r="A32" s="302" t="str">
        <f t="shared" si="0"/>
        <v>I</v>
      </c>
      <c r="B32" s="117">
        <v>12</v>
      </c>
      <c r="C32" s="277">
        <f t="shared" si="5"/>
        <v>1031203588.0149137</v>
      </c>
      <c r="D32" s="299">
        <f t="shared" si="1"/>
        <v>2.38559171477595E-2</v>
      </c>
      <c r="E32" s="299">
        <f t="shared" si="6"/>
        <v>5.0684876332630691E-2</v>
      </c>
      <c r="F32" s="277">
        <f t="shared" si="7"/>
        <v>52266426.332300946</v>
      </c>
      <c r="G32" s="299">
        <f t="shared" si="2"/>
        <v>0</v>
      </c>
      <c r="H32" s="277">
        <f t="shared" si="8"/>
        <v>36968554.43615064</v>
      </c>
      <c r="I32" s="299">
        <f t="shared" si="9"/>
        <v>2.3855917147759254E-2</v>
      </c>
      <c r="J32" s="299">
        <f t="shared" si="10"/>
        <v>3.5849908656074216E-2</v>
      </c>
      <c r="K32" s="119">
        <f t="shared" si="3"/>
        <v>0.43175004322462285</v>
      </c>
      <c r="L32" s="277">
        <f t="shared" si="4"/>
        <v>15961174.975759862</v>
      </c>
    </row>
    <row r="33" spans="1:21">
      <c r="A33" s="302" t="str">
        <f t="shared" si="0"/>
        <v>I</v>
      </c>
      <c r="B33" s="117">
        <v>13</v>
      </c>
      <c r="C33" s="277">
        <f t="shared" si="5"/>
        <v>1055803895.3730698</v>
      </c>
      <c r="D33" s="299">
        <f t="shared" si="1"/>
        <v>2.38559171477595E-2</v>
      </c>
      <c r="E33" s="299">
        <f t="shared" si="6"/>
        <v>5.0684876332630691E-2</v>
      </c>
      <c r="F33" s="277">
        <f t="shared" si="7"/>
        <v>53513289.868493795</v>
      </c>
      <c r="G33" s="299">
        <f t="shared" si="2"/>
        <v>0</v>
      </c>
      <c r="H33" s="277">
        <f t="shared" si="8"/>
        <v>37850473.207851894</v>
      </c>
      <c r="I33" s="299">
        <f t="shared" si="9"/>
        <v>2.3855917147759698E-2</v>
      </c>
      <c r="J33" s="299">
        <f t="shared" si="10"/>
        <v>3.5849908656074223E-2</v>
      </c>
      <c r="K33" s="119">
        <f t="shared" si="3"/>
        <v>0.40256414286678116</v>
      </c>
      <c r="L33" s="277">
        <f t="shared" si="4"/>
        <v>15237243.304020962</v>
      </c>
      <c r="N33" s="275"/>
      <c r="O33" s="275"/>
      <c r="P33" s="275"/>
      <c r="Q33" s="275"/>
      <c r="R33" s="275"/>
      <c r="S33" s="275"/>
      <c r="T33" s="275"/>
      <c r="U33" s="275"/>
    </row>
    <row r="34" spans="1:21">
      <c r="A34" s="302" t="str">
        <f t="shared" si="0"/>
        <v>I</v>
      </c>
      <c r="B34" s="117">
        <v>14</v>
      </c>
      <c r="C34" s="277">
        <f t="shared" si="5"/>
        <v>1080991065.6253715</v>
      </c>
      <c r="D34" s="299">
        <f t="shared" si="1"/>
        <v>2.38559171477595E-2</v>
      </c>
      <c r="E34" s="299">
        <f t="shared" si="6"/>
        <v>5.0684876332630691E-2</v>
      </c>
      <c r="F34" s="277">
        <f t="shared" si="7"/>
        <v>54789898.477900617</v>
      </c>
      <c r="G34" s="299">
        <f t="shared" si="2"/>
        <v>0</v>
      </c>
      <c r="H34" s="277">
        <f t="shared" si="8"/>
        <v>38753430.960701898</v>
      </c>
      <c r="I34" s="299">
        <f t="shared" si="9"/>
        <v>2.3855917147759476E-2</v>
      </c>
      <c r="J34" s="299">
        <f t="shared" si="10"/>
        <v>3.5849908656074216E-2</v>
      </c>
      <c r="K34" s="119">
        <f t="shared" si="3"/>
        <v>0.37535118216016894</v>
      </c>
      <c r="L34" s="277">
        <f t="shared" si="4"/>
        <v>14546146.123861948</v>
      </c>
      <c r="N34" s="275"/>
      <c r="O34" s="275"/>
      <c r="P34" s="275"/>
      <c r="Q34" s="275"/>
      <c r="R34" s="275"/>
      <c r="S34" s="275"/>
      <c r="T34" s="275"/>
      <c r="U34" s="275"/>
    </row>
    <row r="35" spans="1:21">
      <c r="A35" s="302" t="str">
        <f t="shared" si="0"/>
        <v>II</v>
      </c>
      <c r="B35" s="117">
        <v>15</v>
      </c>
      <c r="C35" s="277">
        <f t="shared" si="5"/>
        <v>1106779098.9243987</v>
      </c>
      <c r="D35" s="299">
        <f t="shared" si="1"/>
        <v>2.38559171477595E-2</v>
      </c>
      <c r="E35" s="299">
        <f t="shared" si="6"/>
        <v>6.2990456515801388E-2</v>
      </c>
      <c r="F35" s="277">
        <f t="shared" si="7"/>
        <v>69716520.703395173</v>
      </c>
      <c r="G35" s="299">
        <f t="shared" si="2"/>
        <v>0</v>
      </c>
      <c r="H35" s="277">
        <f t="shared" si="8"/>
        <v>49892598.809045516</v>
      </c>
      <c r="I35" s="299">
        <f t="shared" si="9"/>
        <v>0.28743694615424742</v>
      </c>
      <c r="J35" s="299">
        <f t="shared" si="10"/>
        <v>4.5079093793452235E-2</v>
      </c>
      <c r="K35" s="119">
        <f t="shared" si="3"/>
        <v>0.34997779222393377</v>
      </c>
      <c r="L35" s="277">
        <f t="shared" si="4"/>
        <v>17461301.579504218</v>
      </c>
      <c r="N35" s="275"/>
      <c r="O35" s="275"/>
      <c r="P35" s="275"/>
      <c r="Q35" s="275"/>
      <c r="R35" s="275"/>
      <c r="S35" s="275"/>
      <c r="T35" s="275"/>
      <c r="U35" s="275"/>
    </row>
    <row r="36" spans="1:21">
      <c r="A36" s="302" t="str">
        <f t="shared" si="0"/>
        <v>II</v>
      </c>
      <c r="B36" s="117">
        <v>16</v>
      </c>
      <c r="C36" s="277">
        <f t="shared" si="5"/>
        <v>1133182329.4092109</v>
      </c>
      <c r="D36" s="299">
        <f t="shared" si="1"/>
        <v>2.38559171477595E-2</v>
      </c>
      <c r="E36" s="299">
        <f t="shared" si="6"/>
        <v>6.2990456515801388E-2</v>
      </c>
      <c r="F36" s="277">
        <f t="shared" si="7"/>
        <v>71379672.245125428</v>
      </c>
      <c r="G36" s="299">
        <f t="shared" si="2"/>
        <v>0</v>
      </c>
      <c r="H36" s="277">
        <f t="shared" si="8"/>
        <v>51082832.512520522</v>
      </c>
      <c r="I36" s="299">
        <f t="shared" si="9"/>
        <v>2.3855917147759698E-2</v>
      </c>
      <c r="J36" s="299">
        <f t="shared" si="10"/>
        <v>4.5079093793452249E-2</v>
      </c>
      <c r="K36" s="119">
        <f t="shared" si="3"/>
        <v>0.32631961978921564</v>
      </c>
      <c r="L36" s="277">
        <f t="shared" si="4"/>
        <v>16669330.48324188</v>
      </c>
    </row>
    <row r="37" spans="1:21">
      <c r="A37" s="302" t="str">
        <f t="shared" si="0"/>
        <v>II</v>
      </c>
      <c r="B37" s="117">
        <v>17</v>
      </c>
      <c r="C37" s="277">
        <f t="shared" si="5"/>
        <v>1160215433.1729021</v>
      </c>
      <c r="D37" s="299">
        <f t="shared" si="1"/>
        <v>2.38559171477595E-2</v>
      </c>
      <c r="E37" s="299">
        <f t="shared" si="6"/>
        <v>6.2990456515801388E-2</v>
      </c>
      <c r="F37" s="277">
        <f t="shared" si="7"/>
        <v>73082499.792239368</v>
      </c>
      <c r="G37" s="299">
        <f t="shared" si="2"/>
        <v>0</v>
      </c>
      <c r="H37" s="277">
        <f t="shared" si="8"/>
        <v>52301460.332612082</v>
      </c>
      <c r="I37" s="299">
        <f t="shared" si="9"/>
        <v>2.3855917147759476E-2</v>
      </c>
      <c r="J37" s="299">
        <f t="shared" si="10"/>
        <v>4.5079093793452249E-2</v>
      </c>
      <c r="K37" s="119">
        <f t="shared" si="3"/>
        <v>0.30426071775218239</v>
      </c>
      <c r="L37" s="277">
        <f t="shared" si="4"/>
        <v>15913279.860287847</v>
      </c>
    </row>
    <row r="38" spans="1:21">
      <c r="A38" s="302" t="str">
        <f t="shared" si="0"/>
        <v>II</v>
      </c>
      <c r="B38" s="117">
        <v>18</v>
      </c>
      <c r="C38" s="277">
        <f t="shared" si="5"/>
        <v>1187893436.4202268</v>
      </c>
      <c r="D38" s="299">
        <f t="shared" si="1"/>
        <v>2.38559171477595E-2</v>
      </c>
      <c r="E38" s="299">
        <f t="shared" si="6"/>
        <v>6.2990456515801388E-2</v>
      </c>
      <c r="F38" s="277">
        <f t="shared" si="7"/>
        <v>74825949.852234185</v>
      </c>
      <c r="G38" s="299">
        <f t="shared" si="2"/>
        <v>0</v>
      </c>
      <c r="H38" s="277">
        <f t="shared" si="8"/>
        <v>53549159.637013704</v>
      </c>
      <c r="I38" s="299">
        <f t="shared" si="9"/>
        <v>2.3855917147759476E-2</v>
      </c>
      <c r="J38" s="299">
        <f t="shared" si="10"/>
        <v>4.5079093793452242E-2</v>
      </c>
      <c r="K38" s="119">
        <f t="shared" si="3"/>
        <v>0.28369297692511181</v>
      </c>
      <c r="L38" s="277">
        <f t="shared" si="4"/>
        <v>15191520.509262457</v>
      </c>
    </row>
    <row r="39" spans="1:21">
      <c r="A39" s="302" t="str">
        <f t="shared" si="0"/>
        <v>II</v>
      </c>
      <c r="B39" s="117">
        <v>19</v>
      </c>
      <c r="C39" s="277">
        <f t="shared" si="5"/>
        <v>1216231723.8198349</v>
      </c>
      <c r="D39" s="299">
        <f t="shared" si="1"/>
        <v>2.38559171477595E-2</v>
      </c>
      <c r="E39" s="299">
        <f t="shared" si="6"/>
        <v>6.2990456515801388E-2</v>
      </c>
      <c r="F39" s="277">
        <f t="shared" si="7"/>
        <v>76610991.512411475</v>
      </c>
      <c r="G39" s="299">
        <f t="shared" si="2"/>
        <v>0</v>
      </c>
      <c r="H39" s="277">
        <f t="shared" si="8"/>
        <v>54826623.952646442</v>
      </c>
      <c r="I39" s="299">
        <f t="shared" si="9"/>
        <v>2.3855917147759254E-2</v>
      </c>
      <c r="J39" s="299">
        <f t="shared" si="10"/>
        <v>4.5079093793452242E-2</v>
      </c>
      <c r="K39" s="119">
        <f t="shared" si="3"/>
        <v>0.26451559620057047</v>
      </c>
      <c r="L39" s="277">
        <f t="shared" si="4"/>
        <v>14502497.122498751</v>
      </c>
    </row>
    <row r="40" spans="1:21">
      <c r="A40" s="302" t="str">
        <f t="shared" si="0"/>
        <v>II</v>
      </c>
      <c r="B40" s="117">
        <v>20</v>
      </c>
      <c r="C40" s="277">
        <f t="shared" si="5"/>
        <v>1245246047.0557575</v>
      </c>
      <c r="D40" s="299">
        <f t="shared" si="1"/>
        <v>2.38559171477595E-2</v>
      </c>
      <c r="E40" s="299">
        <f t="shared" si="6"/>
        <v>6.2990456515801388E-2</v>
      </c>
      <c r="F40" s="277">
        <f t="shared" si="7"/>
        <v>78438616.978539258</v>
      </c>
      <c r="G40" s="299">
        <f t="shared" si="2"/>
        <v>0</v>
      </c>
      <c r="H40" s="277">
        <f t="shared" si="8"/>
        <v>56134563.351152137</v>
      </c>
      <c r="I40" s="299">
        <f t="shared" si="9"/>
        <v>2.3855917147759476E-2</v>
      </c>
      <c r="J40" s="299">
        <f t="shared" si="10"/>
        <v>4.5079093793452242E-2</v>
      </c>
      <c r="K40" s="119">
        <f t="shared" si="3"/>
        <v>0.2466345885320004</v>
      </c>
      <c r="L40" s="277">
        <f t="shared" si="4"/>
        <v>13844724.934534917</v>
      </c>
    </row>
    <row r="41" spans="1:21">
      <c r="A41" s="302" t="str">
        <f t="shared" si="0"/>
        <v>II</v>
      </c>
      <c r="B41" s="117">
        <v>21</v>
      </c>
      <c r="C41" s="277">
        <f t="shared" si="5"/>
        <v>1274952533.5828946</v>
      </c>
      <c r="D41" s="299">
        <f t="shared" si="1"/>
        <v>2.38559171477595E-2</v>
      </c>
      <c r="E41" s="299">
        <f t="shared" si="6"/>
        <v>6.2990456515801388E-2</v>
      </c>
      <c r="F41" s="277">
        <f t="shared" si="7"/>
        <v>80309842.126364127</v>
      </c>
      <c r="G41" s="299">
        <f t="shared" si="2"/>
        <v>0</v>
      </c>
      <c r="H41" s="277">
        <f t="shared" si="8"/>
        <v>57473704.843582876</v>
      </c>
      <c r="I41" s="299">
        <f t="shared" si="9"/>
        <v>2.3855917147759476E-2</v>
      </c>
      <c r="J41" s="299">
        <f t="shared" si="10"/>
        <v>4.5079093793452242E-2</v>
      </c>
      <c r="K41" s="119">
        <f t="shared" si="3"/>
        <v>0.22996232030955746</v>
      </c>
      <c r="L41" s="277">
        <f t="shared" si="4"/>
        <v>13216786.522616969</v>
      </c>
    </row>
    <row r="42" spans="1:21">
      <c r="A42" s="302" t="str">
        <f t="shared" si="0"/>
        <v>II</v>
      </c>
      <c r="B42" s="117">
        <v>22</v>
      </c>
      <c r="C42" s="277">
        <f t="shared" si="5"/>
        <v>1305367695.5913742</v>
      </c>
      <c r="D42" s="299">
        <f t="shared" si="1"/>
        <v>2.38559171477595E-2</v>
      </c>
      <c r="E42" s="299">
        <f t="shared" si="6"/>
        <v>6.2990456515801388E-2</v>
      </c>
      <c r="F42" s="277">
        <f t="shared" si="7"/>
        <v>82225707.06628032</v>
      </c>
      <c r="G42" s="299">
        <f t="shared" si="2"/>
        <v>0</v>
      </c>
      <c r="H42" s="277">
        <f t="shared" si="8"/>
        <v>58844792.784506179</v>
      </c>
      <c r="I42" s="299">
        <f t="shared" si="9"/>
        <v>2.3855917147759698E-2</v>
      </c>
      <c r="J42" s="299">
        <f t="shared" si="10"/>
        <v>4.5079093793452249E-2</v>
      </c>
      <c r="K42" s="119">
        <f t="shared" si="3"/>
        <v>0.21441708187371325</v>
      </c>
      <c r="L42" s="277">
        <f t="shared" si="4"/>
        <v>12617328.752317153</v>
      </c>
    </row>
    <row r="43" spans="1:21">
      <c r="A43" s="302" t="str">
        <f t="shared" si="0"/>
        <v>II</v>
      </c>
      <c r="B43" s="117">
        <v>23</v>
      </c>
      <c r="C43" s="277">
        <f t="shared" si="5"/>
        <v>1336508439.1847637</v>
      </c>
      <c r="D43" s="299">
        <f t="shared" si="1"/>
        <v>2.38559171477595E-2</v>
      </c>
      <c r="E43" s="299">
        <f t="shared" si="6"/>
        <v>6.2990456515801388E-2</v>
      </c>
      <c r="F43" s="277">
        <f t="shared" si="7"/>
        <v>84187276.721469447</v>
      </c>
      <c r="G43" s="299">
        <f t="shared" si="2"/>
        <v>0</v>
      </c>
      <c r="H43" s="277">
        <f t="shared" si="8"/>
        <v>60248589.285750426</v>
      </c>
      <c r="I43" s="299">
        <f t="shared" si="9"/>
        <v>2.3855917147759254E-2</v>
      </c>
      <c r="J43" s="299">
        <f t="shared" si="10"/>
        <v>4.5079093793452242E-2</v>
      </c>
      <c r="K43" s="119">
        <f t="shared" si="3"/>
        <v>0.19992268706173733</v>
      </c>
      <c r="L43" s="277">
        <f t="shared" si="4"/>
        <v>12045059.861686222</v>
      </c>
    </row>
    <row r="44" spans="1:21">
      <c r="A44" s="302" t="str">
        <f t="shared" si="0"/>
        <v>II</v>
      </c>
      <c r="B44" s="117">
        <v>24</v>
      </c>
      <c r="C44" s="277">
        <f t="shared" si="5"/>
        <v>1368392073.7772367</v>
      </c>
      <c r="D44" s="299">
        <f t="shared" si="1"/>
        <v>2.38559171477595E-2</v>
      </c>
      <c r="E44" s="299">
        <f t="shared" si="6"/>
        <v>6.2990456515801388E-2</v>
      </c>
      <c r="F44" s="277">
        <f t="shared" si="7"/>
        <v>86195641.419832319</v>
      </c>
      <c r="G44" s="299">
        <f t="shared" si="2"/>
        <v>0</v>
      </c>
      <c r="H44" s="277">
        <f t="shared" si="8"/>
        <v>61685874.640020676</v>
      </c>
      <c r="I44" s="299">
        <f t="shared" si="9"/>
        <v>2.3855917147759476E-2</v>
      </c>
      <c r="J44" s="299">
        <f t="shared" si="10"/>
        <v>4.5079093793452242E-2</v>
      </c>
      <c r="K44" s="119">
        <f t="shared" si="3"/>
        <v>0.18640809982446369</v>
      </c>
      <c r="L44" s="277">
        <f t="shared" si="4"/>
        <v>11498746.677656326</v>
      </c>
    </row>
    <row r="45" spans="1:21">
      <c r="A45" s="302" t="str">
        <f t="shared" si="0"/>
        <v>II</v>
      </c>
      <c r="B45" s="117">
        <v>25</v>
      </c>
      <c r="C45" s="277">
        <f t="shared" si="5"/>
        <v>1401036321.7149172</v>
      </c>
      <c r="D45" s="299">
        <f t="shared" si="1"/>
        <v>2.38559171477595E-2</v>
      </c>
      <c r="E45" s="299">
        <f t="shared" si="6"/>
        <v>6.2990456515801388E-2</v>
      </c>
      <c r="F45" s="277">
        <f t="shared" si="7"/>
        <v>88251917.500041813</v>
      </c>
      <c r="G45" s="299">
        <f t="shared" si="2"/>
        <v>0</v>
      </c>
      <c r="H45" s="277">
        <f t="shared" si="8"/>
        <v>63157447.754620083</v>
      </c>
      <c r="I45" s="299">
        <f t="shared" si="9"/>
        <v>2.3855917147759476E-2</v>
      </c>
      <c r="J45" s="299">
        <f t="shared" si="10"/>
        <v>4.5079093793452242E-2</v>
      </c>
      <c r="K45" s="119">
        <f t="shared" si="3"/>
        <v>0.17380708608341602</v>
      </c>
      <c r="L45" s="277">
        <f t="shared" si="4"/>
        <v>10977211.958696103</v>
      </c>
    </row>
    <row r="46" spans="1:21">
      <c r="A46" s="302" t="str">
        <f t="shared" si="0"/>
        <v>II</v>
      </c>
      <c r="B46" s="117">
        <v>26</v>
      </c>
      <c r="C46" s="277">
        <f t="shared" si="5"/>
        <v>1434459328.12675</v>
      </c>
      <c r="D46" s="299">
        <f t="shared" si="1"/>
        <v>2.38559171477595E-2</v>
      </c>
      <c r="E46" s="299">
        <f t="shared" si="6"/>
        <v>6.2990456515801388E-2</v>
      </c>
      <c r="F46" s="277">
        <f t="shared" si="7"/>
        <v>90357247.932053715</v>
      </c>
      <c r="G46" s="299">
        <f t="shared" si="2"/>
        <v>0</v>
      </c>
      <c r="H46" s="277">
        <f t="shared" si="8"/>
        <v>64664126.595518254</v>
      </c>
      <c r="I46" s="299">
        <f t="shared" si="9"/>
        <v>2.3855917147759476E-2</v>
      </c>
      <c r="J46" s="299">
        <f t="shared" si="10"/>
        <v>4.5079093793452249E-2</v>
      </c>
      <c r="K46" s="119">
        <f t="shared" si="3"/>
        <v>0.16205788912206626</v>
      </c>
      <c r="L46" s="277">
        <f t="shared" si="4"/>
        <v>10479331.857991753</v>
      </c>
    </row>
    <row r="47" spans="1:21">
      <c r="A47" s="302" t="str">
        <f t="shared" si="0"/>
        <v>II</v>
      </c>
      <c r="B47" s="117">
        <v>27</v>
      </c>
      <c r="C47" s="277">
        <f t="shared" si="5"/>
        <v>1468679671.0103724</v>
      </c>
      <c r="D47" s="299">
        <f t="shared" si="1"/>
        <v>2.38559171477595E-2</v>
      </c>
      <c r="E47" s="299">
        <f t="shared" si="6"/>
        <v>6.2990456515801388E-2</v>
      </c>
      <c r="F47" s="277">
        <f t="shared" si="7"/>
        <v>92512802.952420354</v>
      </c>
      <c r="G47" s="299">
        <f t="shared" si="2"/>
        <v>0</v>
      </c>
      <c r="H47" s="277">
        <f t="shared" si="8"/>
        <v>66206748.642013162</v>
      </c>
      <c r="I47" s="299">
        <f t="shared" si="9"/>
        <v>2.3855917147759476E-2</v>
      </c>
      <c r="J47" s="299">
        <f t="shared" si="10"/>
        <v>4.5079093793452242E-2</v>
      </c>
      <c r="K47" s="119">
        <f t="shared" si="3"/>
        <v>0.15110292692034147</v>
      </c>
      <c r="L47" s="277">
        <f t="shared" si="4"/>
        <v>10004033.501687532</v>
      </c>
      <c r="N47" s="275"/>
      <c r="O47" s="275"/>
      <c r="P47" s="275"/>
      <c r="Q47" s="275"/>
      <c r="R47" s="275"/>
      <c r="S47" s="275"/>
      <c r="T47" s="275"/>
      <c r="U47" s="275"/>
    </row>
    <row r="48" spans="1:21">
      <c r="A48" s="302" t="str">
        <f t="shared" si="0"/>
        <v>II</v>
      </c>
      <c r="B48" s="117">
        <v>28</v>
      </c>
      <c r="C48" s="277">
        <f t="shared" si="5"/>
        <v>1503716371.5585945</v>
      </c>
      <c r="D48" s="299">
        <f t="shared" si="1"/>
        <v>2.38559171477595E-2</v>
      </c>
      <c r="E48" s="299">
        <f t="shared" si="6"/>
        <v>6.2990456515801388E-2</v>
      </c>
      <c r="F48" s="277">
        <f t="shared" si="7"/>
        <v>94719780.714760289</v>
      </c>
      <c r="G48" s="299">
        <f t="shared" si="2"/>
        <v>0</v>
      </c>
      <c r="H48" s="277">
        <f t="shared" si="8"/>
        <v>67786171.352239564</v>
      </c>
      <c r="I48" s="299">
        <f t="shared" si="9"/>
        <v>2.3855917147759476E-2</v>
      </c>
      <c r="J48" s="299">
        <f t="shared" si="10"/>
        <v>4.5079093793452242E-2</v>
      </c>
      <c r="K48" s="119">
        <f t="shared" si="3"/>
        <v>0.14088850994903634</v>
      </c>
      <c r="L48" s="277">
        <f t="shared" si="4"/>
        <v>9550292.6769670863</v>
      </c>
      <c r="N48" s="275"/>
      <c r="O48" s="275"/>
      <c r="P48" s="275"/>
      <c r="Q48" s="275"/>
      <c r="R48" s="275"/>
      <c r="S48" s="275"/>
      <c r="T48" s="275"/>
      <c r="U48" s="275"/>
    </row>
    <row r="49" spans="1:21">
      <c r="A49" s="302" t="str">
        <f t="shared" si="0"/>
        <v>II</v>
      </c>
      <c r="B49" s="117">
        <v>29</v>
      </c>
      <c r="C49" s="277">
        <f t="shared" si="5"/>
        <v>1539588904.7322259</v>
      </c>
      <c r="D49" s="299">
        <f t="shared" si="1"/>
        <v>2.38559171477595E-2</v>
      </c>
      <c r="E49" s="299">
        <f t="shared" si="6"/>
        <v>6.2990456515801388E-2</v>
      </c>
      <c r="F49" s="277">
        <f t="shared" si="7"/>
        <v>96979407.955745563</v>
      </c>
      <c r="G49" s="299">
        <f t="shared" si="2"/>
        <v>0</v>
      </c>
      <c r="H49" s="277">
        <f t="shared" si="8"/>
        <v>69403272.639782414</v>
      </c>
      <c r="I49" s="299">
        <f t="shared" si="9"/>
        <v>2.3855917147759476E-2</v>
      </c>
      <c r="J49" s="299">
        <f t="shared" si="10"/>
        <v>4.5079093793452235E-2</v>
      </c>
      <c r="K49" s="119">
        <f t="shared" si="3"/>
        <v>0.1313645780410595</v>
      </c>
      <c r="L49" s="277">
        <f t="shared" si="4"/>
        <v>9117131.624993626</v>
      </c>
      <c r="N49" s="275"/>
      <c r="O49" s="275"/>
      <c r="P49" s="275"/>
      <c r="Q49" s="275"/>
      <c r="R49" s="275"/>
      <c r="S49" s="275"/>
      <c r="T49" s="275"/>
      <c r="U49" s="275"/>
    </row>
    <row r="50" spans="1:21">
      <c r="A50" s="302" t="str">
        <f t="shared" si="0"/>
        <v>II</v>
      </c>
      <c r="B50" s="117">
        <v>30</v>
      </c>
      <c r="C50" s="277">
        <f t="shared" si="5"/>
        <v>1576317210.0851276</v>
      </c>
      <c r="D50" s="299">
        <f t="shared" si="1"/>
        <v>2.38559171477595E-2</v>
      </c>
      <c r="E50" s="299">
        <f t="shared" si="6"/>
        <v>6.2990456515801388E-2</v>
      </c>
      <c r="F50" s="277">
        <f t="shared" si="7"/>
        <v>99292940.676976591</v>
      </c>
      <c r="G50" s="299">
        <f t="shared" si="2"/>
        <v>0</v>
      </c>
      <c r="H50" s="277">
        <f t="shared" si="8"/>
        <v>71058951.361660436</v>
      </c>
      <c r="I50" s="299">
        <f t="shared" si="9"/>
        <v>2.3855917147759698E-2</v>
      </c>
      <c r="J50" s="299">
        <f t="shared" si="10"/>
        <v>4.5079093793452249E-2</v>
      </c>
      <c r="K50" s="119">
        <f t="shared" si="3"/>
        <v>0.12248445504993893</v>
      </c>
      <c r="L50" s="277">
        <f t="shared" si="4"/>
        <v>8703616.9339530952</v>
      </c>
      <c r="N50" s="275"/>
      <c r="O50" s="275"/>
      <c r="P50" s="275"/>
      <c r="Q50" s="275"/>
      <c r="R50" s="275"/>
      <c r="S50" s="275"/>
      <c r="T50" s="275"/>
      <c r="U50" s="275"/>
    </row>
    <row r="51" spans="1:21">
      <c r="A51" s="315" t="s">
        <v>418</v>
      </c>
      <c r="B51" s="316">
        <f>C15+1</f>
        <v>31</v>
      </c>
      <c r="C51" s="277">
        <f>VLOOKUP(C15,B21:C50,2,FALSE)*(1+Terminal_Growth)</f>
        <v>1607843554.2868302</v>
      </c>
      <c r="D51" s="301">
        <f>Terminal_Growth</f>
        <v>0.02</v>
      </c>
      <c r="E51" s="301">
        <f>F17</f>
        <v>6.2990456515801388E-2</v>
      </c>
      <c r="F51" s="277">
        <f>C51*E51</f>
        <v>101278799.49051613</v>
      </c>
      <c r="G51" s="299">
        <f>F18</f>
        <v>0</v>
      </c>
      <c r="H51" s="277">
        <f>(F51*(1-$I$10)+C51*(G51-$I$9))/Equity_Cost</f>
        <v>999725936.39853299</v>
      </c>
      <c r="I51" s="415">
        <f>(F51*(1-$I$10)+C51*(G51-$I$9))/VLOOKUP(C15,B21:H50,COLUMN(H20)-1,FALSE)-1</f>
        <v>1.9999999999999796E-2</v>
      </c>
      <c r="J51" s="454"/>
      <c r="K51" s="119">
        <f>1/(1+Equity_Cost)^C15</f>
        <v>0.12248445504993893</v>
      </c>
      <c r="L51" s="277">
        <f t="shared" si="4"/>
        <v>122450886.51906422</v>
      </c>
    </row>
    <row r="52" spans="1:21" ht="13.15">
      <c r="G52" s="111"/>
      <c r="H52" s="111"/>
      <c r="I52" s="111"/>
      <c r="J52" s="468" t="s">
        <v>420</v>
      </c>
      <c r="K52" s="468"/>
      <c r="L52" s="317">
        <f>SUM(L21:L51)</f>
        <v>604451827.9567126</v>
      </c>
    </row>
    <row r="53" spans="1:21">
      <c r="C53" s="111"/>
    </row>
    <row r="54" spans="1:21" ht="13.15">
      <c r="B54" s="115" t="s">
        <v>108</v>
      </c>
      <c r="C54" s="128"/>
      <c r="D54" s="128"/>
      <c r="E54" s="113"/>
      <c r="F54" s="113"/>
      <c r="G54" s="113"/>
      <c r="H54" s="113"/>
      <c r="I54" s="113"/>
      <c r="J54" s="113"/>
      <c r="K54" s="113"/>
      <c r="L54" s="113"/>
    </row>
    <row r="55" spans="1:21" ht="13.15">
      <c r="A55" s="125">
        <f>L52</f>
        <v>604451827.9567126</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485510518.02562505</v>
      </c>
      <c r="C56" s="118">
        <v>490365623.20588136</v>
      </c>
      <c r="D56" s="118">
        <v>495220728.38613772</v>
      </c>
      <c r="E56" s="118">
        <v>500075833.56639391</v>
      </c>
      <c r="F56" s="118">
        <v>509786043.92690653</v>
      </c>
      <c r="G56" s="295"/>
      <c r="H56" s="295"/>
      <c r="I56" s="295"/>
      <c r="J56" s="295"/>
      <c r="K56" s="295"/>
      <c r="L56" s="295"/>
    </row>
    <row r="57" spans="1:21" ht="13.15">
      <c r="A57" s="131">
        <v>2</v>
      </c>
      <c r="B57" s="118">
        <v>484901417.67157674</v>
      </c>
      <c r="C57" s="118">
        <v>494385580.52529812</v>
      </c>
      <c r="D57" s="118">
        <v>503961528.50133651</v>
      </c>
      <c r="E57" s="118">
        <v>513629261.59969175</v>
      </c>
      <c r="F57" s="118">
        <v>533240083.16335326</v>
      </c>
      <c r="G57" s="295"/>
      <c r="H57" s="295"/>
      <c r="I57" s="295"/>
      <c r="J57" s="295"/>
      <c r="K57" s="295"/>
      <c r="L57" s="295"/>
    </row>
    <row r="58" spans="1:21" ht="13.15">
      <c r="A58" s="131">
        <v>3</v>
      </c>
      <c r="B58" s="118">
        <v>484333491.93353629</v>
      </c>
      <c r="C58" s="118">
        <v>498171274.59766269</v>
      </c>
      <c r="D58" s="118">
        <v>512274457.28222495</v>
      </c>
      <c r="E58" s="118">
        <v>526645607.40323192</v>
      </c>
      <c r="F58" s="118">
        <v>556202079.61861575</v>
      </c>
      <c r="G58" s="295"/>
      <c r="H58" s="295"/>
      <c r="I58" s="295"/>
      <c r="J58" s="295"/>
      <c r="K58" s="295"/>
      <c r="L58" s="295"/>
    </row>
    <row r="59" spans="1:21" ht="13.15">
      <c r="A59" s="131">
        <v>4</v>
      </c>
      <c r="B59" s="118">
        <v>483803957.44585288</v>
      </c>
      <c r="C59" s="118">
        <v>501736357.12734854</v>
      </c>
      <c r="D59" s="118">
        <v>520180459.47943342</v>
      </c>
      <c r="E59" s="118">
        <v>539146153.95581591</v>
      </c>
      <c r="F59" s="118">
        <v>578682355.868523</v>
      </c>
      <c r="G59" s="295"/>
      <c r="H59" s="295"/>
      <c r="I59" s="295"/>
      <c r="J59" s="295"/>
      <c r="K59" s="295"/>
      <c r="L59" s="295"/>
    </row>
    <row r="60" spans="1:21" ht="13.15">
      <c r="A60" s="131">
        <v>5</v>
      </c>
      <c r="B60" s="118">
        <v>477075067.10863775</v>
      </c>
      <c r="C60" s="118">
        <v>498733205.8247689</v>
      </c>
      <c r="D60" s="118">
        <v>521212402.55267733</v>
      </c>
      <c r="E60" s="118">
        <v>544536468.21771216</v>
      </c>
      <c r="F60" s="118">
        <v>593816762.97577453</v>
      </c>
      <c r="G60" s="295"/>
      <c r="H60" s="295"/>
      <c r="I60" s="295"/>
      <c r="J60" s="295"/>
      <c r="K60" s="295"/>
      <c r="L60" s="295"/>
    </row>
    <row r="61" spans="1:21" ht="13.15">
      <c r="A61" s="131">
        <v>6</v>
      </c>
      <c r="B61" s="118">
        <v>476614704.91744477</v>
      </c>
      <c r="C61" s="118">
        <v>501894884.52769506</v>
      </c>
      <c r="D61" s="118">
        <v>528363334.95228457</v>
      </c>
      <c r="E61" s="118">
        <v>556065925.09972119</v>
      </c>
      <c r="F61" s="118">
        <v>615363704.85548425</v>
      </c>
      <c r="G61" s="295"/>
      <c r="H61" s="295"/>
      <c r="I61" s="295"/>
      <c r="J61" s="295"/>
      <c r="K61" s="295"/>
      <c r="L61" s="295"/>
    </row>
    <row r="62" spans="1:21" ht="13.15">
      <c r="A62" s="131">
        <v>7</v>
      </c>
      <c r="B62" s="118">
        <v>470371801.3478843</v>
      </c>
      <c r="C62" s="118">
        <v>498882495.03162211</v>
      </c>
      <c r="D62" s="118">
        <v>528994717.68769664</v>
      </c>
      <c r="E62" s="118">
        <v>560785758.92001748</v>
      </c>
      <c r="F62" s="118">
        <v>629728573.17279959</v>
      </c>
      <c r="G62" s="295"/>
      <c r="H62" s="295"/>
      <c r="I62" s="295"/>
      <c r="J62" s="295"/>
      <c r="K62" s="295"/>
      <c r="L62" s="295"/>
    </row>
    <row r="63" spans="1:21" ht="13.15">
      <c r="A63" s="131">
        <v>8</v>
      </c>
      <c r="B63" s="118">
        <v>469971575.57976258</v>
      </c>
      <c r="C63" s="118">
        <v>501686416.71851128</v>
      </c>
      <c r="D63" s="118">
        <v>535462693.90477985</v>
      </c>
      <c r="E63" s="118">
        <v>571419564.04485226</v>
      </c>
      <c r="F63" s="118">
        <v>650380930.78648794</v>
      </c>
      <c r="G63" s="295"/>
      <c r="H63" s="295"/>
      <c r="I63" s="295"/>
      <c r="J63" s="295"/>
      <c r="K63" s="295"/>
      <c r="L63" s="295"/>
    </row>
    <row r="64" spans="1:21" ht="13.15">
      <c r="A64" s="131">
        <v>9</v>
      </c>
      <c r="B64" s="118">
        <v>464177741.35936928</v>
      </c>
      <c r="C64" s="118">
        <v>498686175.69616687</v>
      </c>
      <c r="D64" s="118">
        <v>535746555.57258719</v>
      </c>
      <c r="E64" s="118">
        <v>575530978.60625052</v>
      </c>
      <c r="F64" s="118">
        <v>664011171.98636961</v>
      </c>
      <c r="G64" s="295"/>
      <c r="H64" s="295"/>
      <c r="I64" s="295"/>
      <c r="J64" s="295"/>
      <c r="K64" s="295"/>
      <c r="L64" s="295"/>
    </row>
    <row r="65" spans="1:21" ht="13.15">
      <c r="A65" s="131">
        <v>10</v>
      </c>
      <c r="B65" s="118">
        <v>463829796.48350221</v>
      </c>
      <c r="C65" s="118">
        <v>501172822.05239904</v>
      </c>
      <c r="D65" s="118">
        <v>541596801.94703937</v>
      </c>
      <c r="E65" s="118">
        <v>585338709.58527136</v>
      </c>
      <c r="F65" s="118">
        <v>683806086.61438513</v>
      </c>
      <c r="G65" s="295"/>
      <c r="H65" s="295"/>
      <c r="I65" s="295"/>
      <c r="J65" s="295"/>
      <c r="K65" s="295"/>
      <c r="L65" s="295"/>
    </row>
    <row r="66" spans="1:21" ht="13.15">
      <c r="A66" s="131">
        <v>15</v>
      </c>
      <c r="B66" s="118">
        <v>448251846.21628869</v>
      </c>
      <c r="C66" s="277">
        <v>496568588.45663244</v>
      </c>
      <c r="D66" s="118">
        <v>550887942.94984484</v>
      </c>
      <c r="E66" s="118">
        <v>611956239.3757</v>
      </c>
      <c r="F66" s="118">
        <v>757774291.21236372</v>
      </c>
      <c r="G66" s="295"/>
      <c r="H66" s="295"/>
      <c r="I66" s="295"/>
      <c r="J66" s="295"/>
      <c r="K66" s="295"/>
      <c r="L66" s="295"/>
      <c r="M66" s="275"/>
      <c r="N66" s="275"/>
      <c r="O66" s="275"/>
      <c r="P66" s="275"/>
      <c r="Q66" s="275"/>
      <c r="R66" s="275"/>
      <c r="S66" s="275"/>
      <c r="T66" s="275"/>
      <c r="U66" s="275"/>
    </row>
    <row r="67" spans="1:21" ht="13.15">
      <c r="A67" s="132">
        <v>20</v>
      </c>
      <c r="B67" s="118">
        <v>439336167.06156301</v>
      </c>
      <c r="C67" s="277">
        <v>495672894.58025748</v>
      </c>
      <c r="D67" s="118">
        <v>561149702.37451291</v>
      </c>
      <c r="E67" s="118">
        <v>637326166.94745374</v>
      </c>
      <c r="F67" s="118">
        <v>829365938.3222692</v>
      </c>
      <c r="G67" s="295"/>
      <c r="H67" s="295"/>
      <c r="I67" s="295"/>
      <c r="J67" s="295"/>
      <c r="K67" s="295"/>
      <c r="L67" s="295"/>
      <c r="M67" s="275"/>
      <c r="N67" s="275"/>
      <c r="O67" s="275"/>
      <c r="P67" s="275"/>
      <c r="Q67" s="275"/>
      <c r="R67" s="275"/>
      <c r="S67" s="275"/>
      <c r="T67" s="275"/>
      <c r="U67" s="275"/>
    </row>
    <row r="68" spans="1:21" ht="13.15">
      <c r="A68" s="132">
        <v>25</v>
      </c>
      <c r="B68" s="118">
        <v>428653048.28812408</v>
      </c>
      <c r="C68" s="277">
        <v>490260977.46537948</v>
      </c>
      <c r="D68" s="118">
        <v>564022750.52650595</v>
      </c>
      <c r="E68" s="118">
        <v>652565492.01171923</v>
      </c>
      <c r="F68" s="118">
        <v>887488032.72753024</v>
      </c>
      <c r="G68" s="295"/>
      <c r="H68" s="295"/>
      <c r="I68" s="295"/>
      <c r="J68" s="295"/>
      <c r="K68" s="295"/>
      <c r="L68" s="295"/>
      <c r="M68" s="275"/>
      <c r="N68" s="275"/>
      <c r="O68" s="275"/>
      <c r="P68" s="275"/>
      <c r="Q68" s="275"/>
      <c r="R68" s="275"/>
      <c r="S68" s="275"/>
      <c r="T68" s="275"/>
      <c r="U68" s="275"/>
    </row>
    <row r="69" spans="1:21" ht="13.15">
      <c r="A69" s="132">
        <v>30</v>
      </c>
      <c r="B69" s="118">
        <v>422577853.32753211</v>
      </c>
      <c r="C69" s="277">
        <v>488114961.33538991</v>
      </c>
      <c r="D69" s="118">
        <v>568617769.46376503</v>
      </c>
      <c r="E69" s="118">
        <v>667976464.74530125</v>
      </c>
      <c r="F69" s="118">
        <v>944318135.9694134</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71.731397745609073</v>
      </c>
      <c r="C73" s="119">
        <f>C11</f>
        <v>71.731397745609073</v>
      </c>
      <c r="D73" s="119">
        <f>C11</f>
        <v>71.731397745609073</v>
      </c>
      <c r="E73" s="119">
        <f>C11</f>
        <v>71.731397745609073</v>
      </c>
      <c r="F73" s="119">
        <f>C11</f>
        <v>71.731397745609073</v>
      </c>
      <c r="G73" s="296"/>
      <c r="H73" s="296"/>
      <c r="I73" s="296"/>
      <c r="J73" s="296"/>
      <c r="K73" s="296"/>
      <c r="L73" s="296"/>
    </row>
    <row r="74" spans="1:21" ht="13.15">
      <c r="A74" s="131">
        <v>1</v>
      </c>
      <c r="B74" s="119">
        <f t="shared" ref="B74:F87" si="11">(B56+FV_adjustments)/Common_Shares*scaling_factor*Exchange_Rate</f>
        <v>64.882671314168192</v>
      </c>
      <c r="C74" s="119">
        <f t="shared" si="11"/>
        <v>65.47909557317098</v>
      </c>
      <c r="D74" s="119">
        <f t="shared" si="11"/>
        <v>66.075519832173768</v>
      </c>
      <c r="E74" s="119">
        <f t="shared" si="11"/>
        <v>66.671944091176513</v>
      </c>
      <c r="F74" s="119">
        <f t="shared" si="11"/>
        <v>67.864792609182075</v>
      </c>
      <c r="G74" s="296"/>
      <c r="H74" s="296"/>
      <c r="I74" s="296"/>
      <c r="J74" s="296"/>
      <c r="K74" s="296"/>
      <c r="L74" s="296"/>
    </row>
    <row r="75" spans="1:21" ht="13.15">
      <c r="A75" s="131">
        <v>2</v>
      </c>
      <c r="B75" s="119">
        <f t="shared" si="11"/>
        <v>64.807846523801373</v>
      </c>
      <c r="C75" s="119">
        <f t="shared" si="11"/>
        <v>65.972926288766175</v>
      </c>
      <c r="D75" s="119">
        <f t="shared" si="11"/>
        <v>67.149281375589709</v>
      </c>
      <c r="E75" s="119">
        <f t="shared" si="11"/>
        <v>68.33691178427199</v>
      </c>
      <c r="F75" s="119">
        <f t="shared" si="11"/>
        <v>70.745998567212695</v>
      </c>
      <c r="G75" s="296"/>
      <c r="H75" s="296"/>
      <c r="I75" s="296"/>
      <c r="J75" s="296"/>
      <c r="K75" s="296"/>
      <c r="L75" s="296"/>
    </row>
    <row r="76" spans="1:21" ht="13.15">
      <c r="A76" s="131">
        <v>3</v>
      </c>
      <c r="B76" s="119">
        <f t="shared" si="11"/>
        <v>64.738079819496619</v>
      </c>
      <c r="C76" s="119">
        <f t="shared" si="11"/>
        <v>66.437978990632061</v>
      </c>
      <c r="D76" s="119">
        <f t="shared" si="11"/>
        <v>68.170481165132173</v>
      </c>
      <c r="E76" s="119">
        <f t="shared" si="11"/>
        <v>69.935901736615406</v>
      </c>
      <c r="F76" s="119">
        <f t="shared" si="11"/>
        <v>73.566759645004936</v>
      </c>
      <c r="G76" s="296"/>
      <c r="H76" s="296"/>
      <c r="I76" s="296"/>
      <c r="J76" s="296"/>
      <c r="K76" s="296"/>
      <c r="L76" s="296"/>
    </row>
    <row r="77" spans="1:21" ht="13.15">
      <c r="A77" s="131">
        <v>4</v>
      </c>
      <c r="B77" s="119">
        <f t="shared" si="11"/>
        <v>64.673029279352335</v>
      </c>
      <c r="C77" s="119">
        <f t="shared" si="11"/>
        <v>66.875930719195722</v>
      </c>
      <c r="D77" s="119">
        <f t="shared" si="11"/>
        <v>69.141692153787943</v>
      </c>
      <c r="E77" s="119">
        <f t="shared" si="11"/>
        <v>71.471528450754093</v>
      </c>
      <c r="F77" s="119">
        <f t="shared" si="11"/>
        <v>76.328343916969331</v>
      </c>
      <c r="G77" s="296"/>
      <c r="H77" s="296"/>
      <c r="I77" s="296"/>
      <c r="J77" s="296"/>
      <c r="K77" s="296"/>
      <c r="L77" s="296"/>
    </row>
    <row r="78" spans="1:21" ht="13.15">
      <c r="A78" s="131">
        <v>5</v>
      </c>
      <c r="B78" s="119">
        <f t="shared" si="11"/>
        <v>63.846420321506308</v>
      </c>
      <c r="C78" s="119">
        <f t="shared" si="11"/>
        <v>66.507009300644768</v>
      </c>
      <c r="D78" s="119">
        <f t="shared" si="11"/>
        <v>69.26846095898199</v>
      </c>
      <c r="E78" s="119">
        <f t="shared" si="11"/>
        <v>72.133700344066995</v>
      </c>
      <c r="F78" s="119">
        <f t="shared" si="11"/>
        <v>78.187526614204401</v>
      </c>
      <c r="G78" s="296"/>
      <c r="H78" s="296"/>
      <c r="I78" s="296"/>
      <c r="J78" s="296"/>
      <c r="K78" s="296"/>
      <c r="L78" s="296"/>
    </row>
    <row r="79" spans="1:21" ht="13.15">
      <c r="A79" s="131">
        <v>6</v>
      </c>
      <c r="B79" s="119">
        <f t="shared" si="11"/>
        <v>63.789867235927083</v>
      </c>
      <c r="C79" s="119">
        <f t="shared" si="11"/>
        <v>66.895404980570703</v>
      </c>
      <c r="D79" s="119">
        <f t="shared" si="11"/>
        <v>70.146915575157692</v>
      </c>
      <c r="E79" s="119">
        <f t="shared" si="11"/>
        <v>73.550033775013119</v>
      </c>
      <c r="F79" s="119">
        <f t="shared" si="11"/>
        <v>80.834455644010376</v>
      </c>
      <c r="G79" s="296"/>
      <c r="H79" s="296"/>
      <c r="I79" s="296"/>
      <c r="J79" s="296"/>
      <c r="K79" s="296"/>
      <c r="L79" s="296"/>
    </row>
    <row r="80" spans="1:21" ht="13.15">
      <c r="A80" s="131">
        <f t="shared" ref="A80" si="12">A62</f>
        <v>7</v>
      </c>
      <c r="B80" s="119">
        <f t="shared" si="11"/>
        <v>63.022959208755502</v>
      </c>
      <c r="C80" s="119">
        <f t="shared" si="11"/>
        <v>66.525348698303247</v>
      </c>
      <c r="D80" s="119">
        <f t="shared" si="11"/>
        <v>70.224477639445539</v>
      </c>
      <c r="E80" s="119">
        <f t="shared" si="11"/>
        <v>74.129840655476585</v>
      </c>
      <c r="F80" s="119">
        <f t="shared" si="11"/>
        <v>82.599104528790065</v>
      </c>
      <c r="G80" s="296"/>
      <c r="H80" s="296"/>
      <c r="I80" s="296"/>
      <c r="J80" s="296"/>
      <c r="K80" s="296"/>
      <c r="L80" s="296"/>
    </row>
    <row r="81" spans="1:12" ht="13.15">
      <c r="A81" s="131">
        <v>8</v>
      </c>
      <c r="B81" s="119">
        <f t="shared" si="11"/>
        <v>62.973793567986995</v>
      </c>
      <c r="C81" s="119">
        <f t="shared" si="11"/>
        <v>66.869795801366095</v>
      </c>
      <c r="D81" s="119">
        <f t="shared" si="11"/>
        <v>71.019034663299308</v>
      </c>
      <c r="E81" s="119">
        <f t="shared" si="11"/>
        <v>75.436147956037431</v>
      </c>
      <c r="F81" s="119">
        <f t="shared" si="11"/>
        <v>85.136138563911445</v>
      </c>
      <c r="G81" s="296"/>
      <c r="H81" s="296"/>
      <c r="I81" s="296"/>
      <c r="J81" s="296"/>
      <c r="K81" s="296"/>
      <c r="L81" s="296"/>
    </row>
    <row r="82" spans="1:12" ht="13.15">
      <c r="A82" s="131">
        <f t="shared" ref="A82" si="13">A64</f>
        <v>9</v>
      </c>
      <c r="B82" s="119">
        <f t="shared" si="11"/>
        <v>62.262051359860294</v>
      </c>
      <c r="C82" s="119">
        <f t="shared" si="11"/>
        <v>66.501231895509164</v>
      </c>
      <c r="D82" s="119">
        <f t="shared" si="11"/>
        <v>71.053905583412373</v>
      </c>
      <c r="E82" s="119">
        <f t="shared" si="11"/>
        <v>75.941213715108333</v>
      </c>
      <c r="F82" s="119">
        <f t="shared" si="11"/>
        <v>86.810542352469426</v>
      </c>
      <c r="G82" s="296"/>
      <c r="H82" s="296"/>
      <c r="I82" s="296"/>
      <c r="J82" s="296"/>
      <c r="K82" s="296"/>
      <c r="L82" s="296"/>
    </row>
    <row r="83" spans="1:12" ht="13.15">
      <c r="A83" s="131">
        <f t="shared" ref="A83:A87" si="14">A65</f>
        <v>10</v>
      </c>
      <c r="B83" s="119">
        <f t="shared" si="11"/>
        <v>62.219308153058769</v>
      </c>
      <c r="C83" s="119">
        <f t="shared" si="11"/>
        <v>66.806703384870275</v>
      </c>
      <c r="D83" s="119">
        <f t="shared" si="11"/>
        <v>71.772577729395039</v>
      </c>
      <c r="E83" s="119">
        <f t="shared" si="11"/>
        <v>77.146042130659211</v>
      </c>
      <c r="F83" s="119">
        <f t="shared" si="11"/>
        <v>89.242244004793704</v>
      </c>
      <c r="G83" s="296"/>
      <c r="H83" s="296"/>
      <c r="I83" s="296"/>
      <c r="J83" s="296"/>
      <c r="K83" s="296"/>
      <c r="L83" s="296"/>
    </row>
    <row r="84" spans="1:12" ht="13.15">
      <c r="A84" s="131">
        <f t="shared" si="14"/>
        <v>15</v>
      </c>
      <c r="B84" s="119">
        <f t="shared" si="11"/>
        <v>60.305638500197716</v>
      </c>
      <c r="C84" s="119">
        <f t="shared" si="11"/>
        <v>66.24109738692033</v>
      </c>
      <c r="D84" s="119">
        <f t="shared" si="11"/>
        <v>72.913945770281856</v>
      </c>
      <c r="E84" s="119">
        <f t="shared" si="11"/>
        <v>80.415866345034459</v>
      </c>
      <c r="F84" s="119">
        <f t="shared" si="11"/>
        <v>98.328850778323229</v>
      </c>
      <c r="G84" s="296"/>
      <c r="H84" s="296"/>
      <c r="I84" s="296"/>
      <c r="J84" s="296"/>
      <c r="K84" s="296"/>
      <c r="L84" s="296"/>
    </row>
    <row r="85" spans="1:12" ht="13.15">
      <c r="A85" s="132">
        <f t="shared" si="14"/>
        <v>20</v>
      </c>
      <c r="B85" s="119">
        <f t="shared" si="11"/>
        <v>59.210393982120557</v>
      </c>
      <c r="C85" s="119">
        <f t="shared" si="11"/>
        <v>66.131066082411678</v>
      </c>
      <c r="D85" s="119">
        <f t="shared" si="11"/>
        <v>74.174549203923505</v>
      </c>
      <c r="E85" s="119">
        <f t="shared" si="11"/>
        <v>83.532429156993686</v>
      </c>
      <c r="F85" s="119">
        <f t="shared" si="11"/>
        <v>107.12350990372238</v>
      </c>
      <c r="G85" s="296"/>
      <c r="H85" s="296"/>
      <c r="I85" s="296"/>
      <c r="J85" s="296"/>
      <c r="K85" s="296"/>
      <c r="L85" s="296"/>
    </row>
    <row r="86" spans="1:12" ht="13.15">
      <c r="A86" s="132">
        <f t="shared" si="14"/>
        <v>25</v>
      </c>
      <c r="B86" s="119">
        <f t="shared" si="11"/>
        <v>57.898028757944168</v>
      </c>
      <c r="C86" s="119">
        <f t="shared" si="11"/>
        <v>65.466240391682746</v>
      </c>
      <c r="D86" s="119">
        <f t="shared" si="11"/>
        <v>74.527488131405477</v>
      </c>
      <c r="E86" s="119">
        <f t="shared" si="11"/>
        <v>85.404500476090661</v>
      </c>
      <c r="F86" s="119">
        <f t="shared" si="11"/>
        <v>114.26350498113435</v>
      </c>
      <c r="G86" s="296"/>
      <c r="H86" s="296"/>
      <c r="I86" s="296"/>
      <c r="J86" s="296"/>
      <c r="K86" s="296"/>
      <c r="L86" s="296"/>
    </row>
    <row r="87" spans="1:12" ht="13.15">
      <c r="A87" s="132">
        <f t="shared" si="14"/>
        <v>30</v>
      </c>
      <c r="B87" s="119">
        <f t="shared" si="11"/>
        <v>57.151722855570867</v>
      </c>
      <c r="C87" s="119">
        <f t="shared" si="11"/>
        <v>65.202613542702835</v>
      </c>
      <c r="D87" s="119">
        <f t="shared" si="11"/>
        <v>75.091962156788725</v>
      </c>
      <c r="E87" s="119">
        <f t="shared" si="11"/>
        <v>87.297657812932016</v>
      </c>
      <c r="F87" s="119">
        <f t="shared" si="11"/>
        <v>121.24478570661232</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0.05</v>
      </c>
      <c r="D90" s="133">
        <f>Scenarios!D29</f>
        <v>30</v>
      </c>
      <c r="E90" s="127">
        <f>INDEX(B$73:F$87, MATCH(D90, A$73:A$87, 0), MATCH(C90, B$72:F$72, 0))</f>
        <v>121.24478570661232</v>
      </c>
      <c r="F90" s="130">
        <f>Scenarios!F29</f>
        <v>0.15</v>
      </c>
      <c r="G90" s="297"/>
      <c r="H90" s="297"/>
      <c r="I90" s="297"/>
      <c r="J90" s="297"/>
      <c r="K90" s="297"/>
      <c r="L90" s="297"/>
    </row>
    <row r="91" spans="1:12">
      <c r="B91" s="120" t="str">
        <f>Scenarios!B22</f>
        <v>Optimistic</v>
      </c>
      <c r="C91" s="130">
        <f>Scenarios!C22</f>
        <v>0.03</v>
      </c>
      <c r="D91" s="133">
        <f>Scenarios!D22</f>
        <v>30</v>
      </c>
      <c r="E91" s="127">
        <f>INDEX(B$73:F$87, MATCH(D91, A$73:A$87, 0), MATCH(C91, B$72:F$72, 0))</f>
        <v>87.297657812932016</v>
      </c>
      <c r="F91" s="130">
        <f>Scenarios!F22*(1-F$90-F$94)</f>
        <v>0.15999999999999995</v>
      </c>
      <c r="G91" s="297"/>
      <c r="H91" s="297"/>
      <c r="I91" s="297"/>
      <c r="J91" s="297"/>
      <c r="K91" s="297"/>
      <c r="L91" s="297"/>
    </row>
    <row r="92" spans="1:12">
      <c r="B92" s="120" t="str">
        <f>Scenarios!B23</f>
        <v>Base</v>
      </c>
      <c r="C92" s="130">
        <f>Scenarios!C23</f>
        <v>0.02</v>
      </c>
      <c r="D92" s="133">
        <f>Scenarios!D23</f>
        <v>30</v>
      </c>
      <c r="E92" s="127">
        <f>INDEX(B$73:F$87, MATCH(D92, A$73:A$87, 0), MATCH(C92, B$72:F$72, 0))</f>
        <v>75.091962156788725</v>
      </c>
      <c r="F92" s="130">
        <f>Scenarios!F23*(1-F$90-F$94)</f>
        <v>0.44</v>
      </c>
      <c r="G92" s="297"/>
      <c r="H92" s="297"/>
      <c r="I92" s="297"/>
      <c r="J92" s="297"/>
      <c r="K92" s="297"/>
      <c r="L92" s="297"/>
    </row>
    <row r="93" spans="1:12">
      <c r="B93" s="120" t="str">
        <f>Scenarios!B24</f>
        <v>Pessimistic</v>
      </c>
      <c r="C93" s="130">
        <f>Scenarios!C24</f>
        <v>0.01</v>
      </c>
      <c r="D93" s="133">
        <f>Scenarios!D24</f>
        <v>30</v>
      </c>
      <c r="E93" s="127">
        <f>INDEX(B$73:F$87, MATCH(D93, A$73:A$87, 0), MATCH(C93, B$72:F$72, 0))</f>
        <v>65.202613542702835</v>
      </c>
      <c r="F93" s="130">
        <f>Scenarios!F24*(1-F$90-F$94)</f>
        <v>0.19999999999999998</v>
      </c>
      <c r="G93" s="297"/>
      <c r="H93" s="297"/>
      <c r="I93" s="297"/>
      <c r="J93" s="297"/>
      <c r="K93" s="297"/>
      <c r="L93" s="297"/>
    </row>
    <row r="94" spans="1:12">
      <c r="B94" s="120" t="str">
        <f>Scenarios!B30</f>
        <v>Devil's advocate</v>
      </c>
      <c r="C94" s="130">
        <f>Scenarios!C30</f>
        <v>0</v>
      </c>
      <c r="D94" s="133">
        <f>Scenarios!D30</f>
        <v>30</v>
      </c>
      <c r="E94" s="127">
        <f>INDEX(B$73:F$87, MATCH(D94, A$73:A$87, 0), MATCH(C94, B$72:F$72, 0))</f>
        <v>57.151722855570867</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0" zoomScaleNormal="100" workbookViewId="0">
      <selection activeCell="C19" sqref="C19"/>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1211.hk – 比亞迪股份: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 CNY</v>
      </c>
      <c r="D6" s="469"/>
      <c r="E6" s="469"/>
      <c r="F6" s="469"/>
      <c r="G6" s="469"/>
    </row>
    <row r="7" spans="2:7" ht="12.75" customHeight="1">
      <c r="B7" s="97" t="s">
        <v>232</v>
      </c>
      <c r="C7" s="447">
        <f>Normalized_FCF!G8</f>
        <v>40378714</v>
      </c>
      <c r="D7" s="469"/>
      <c r="E7" s="469"/>
      <c r="F7" s="469"/>
      <c r="G7" s="469"/>
    </row>
    <row r="8" spans="2:7">
      <c r="B8" s="97" t="s">
        <v>63</v>
      </c>
      <c r="C8" s="447">
        <f>Normalized_FCF!G19</f>
        <v>31727854.696170337</v>
      </c>
      <c r="D8" s="469"/>
      <c r="E8" s="469"/>
      <c r="F8" s="469"/>
      <c r="G8" s="469"/>
    </row>
    <row r="9" spans="2:7">
      <c r="B9" s="97" t="s">
        <v>54</v>
      </c>
      <c r="C9" s="447">
        <f>Normalized_FCF!C19</f>
        <v>27859052.028161023</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30</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0.03</v>
      </c>
      <c r="D22" s="325">
        <f>C18</f>
        <v>30</v>
      </c>
      <c r="E22" s="326">
        <f>DCF!E91</f>
        <v>87.297657812932016</v>
      </c>
      <c r="F22" s="328">
        <f>1-F23-F24</f>
        <v>0.19999999999999996</v>
      </c>
      <c r="G22" s="328">
        <f>F22*(1-F$29-F$30)</f>
        <v>0.15999999999999995</v>
      </c>
    </row>
    <row r="23" spans="2:7">
      <c r="B23" s="302" t="s">
        <v>437</v>
      </c>
      <c r="C23" s="324">
        <v>0.02</v>
      </c>
      <c r="D23" s="325">
        <f>C18</f>
        <v>30</v>
      </c>
      <c r="E23" s="326">
        <f>DCF!E92</f>
        <v>75.091962156788725</v>
      </c>
      <c r="F23" s="327">
        <v>0.55000000000000004</v>
      </c>
      <c r="G23" s="328">
        <f t="shared" ref="G23:G24" si="0">F23*(1-F$29-F$30)</f>
        <v>0.44</v>
      </c>
    </row>
    <row r="24" spans="2:7">
      <c r="B24" s="302" t="s">
        <v>446</v>
      </c>
      <c r="C24" s="324">
        <v>0.01</v>
      </c>
      <c r="D24" s="325">
        <f>C18</f>
        <v>30</v>
      </c>
      <c r="E24" s="326">
        <f>DCF!E93</f>
        <v>65.202613542702835</v>
      </c>
      <c r="F24" s="327">
        <v>0.25</v>
      </c>
      <c r="G24" s="328">
        <f t="shared" si="0"/>
        <v>0.19999999999999998</v>
      </c>
    </row>
    <row r="25" spans="2:7">
      <c r="B25" s="141" t="s">
        <v>451</v>
      </c>
      <c r="C25" s="441">
        <f>E23*F23+E24*F24+E22*F22</f>
        <v>75.060764134495912</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0.05</v>
      </c>
      <c r="D29" s="325">
        <f>C18</f>
        <v>30</v>
      </c>
      <c r="E29" s="326">
        <f>DCF!E90</f>
        <v>121.24478570661232</v>
      </c>
      <c r="F29" s="327">
        <v>0.15</v>
      </c>
      <c r="G29" s="328">
        <f>F29</f>
        <v>0.15</v>
      </c>
    </row>
    <row r="30" spans="2:7">
      <c r="B30" s="315" t="s">
        <v>447</v>
      </c>
      <c r="C30" s="324">
        <v>0</v>
      </c>
      <c r="D30" s="325">
        <f>C18</f>
        <v>30</v>
      </c>
      <c r="E30" s="326">
        <f>DCF!E94</f>
        <v>57.151722855570867</v>
      </c>
      <c r="F30" s="327">
        <v>0.05</v>
      </c>
      <c r="G30" s="328">
        <f>F30</f>
        <v>0.05</v>
      </c>
    </row>
    <row r="31" spans="2:7">
      <c r="E31" s="329"/>
      <c r="F31" s="329"/>
    </row>
    <row r="32" spans="2:7" ht="13.15">
      <c r="B32" s="145" t="s">
        <v>456</v>
      </c>
    </row>
    <row r="33" spans="2:7">
      <c r="B33" s="97" t="s">
        <v>458</v>
      </c>
      <c r="C33" s="155">
        <f>Normalized_FCF!C88*(1-dividend_tax_rate)</f>
        <v>2.16798</v>
      </c>
      <c r="D33" t="str">
        <f>Market_currency</f>
        <v>HKD</v>
      </c>
      <c r="E33" s="97" t="s">
        <v>455</v>
      </c>
      <c r="F33" s="219">
        <f>Holding_Period</f>
        <v>3</v>
      </c>
    </row>
    <row r="34" spans="2:7">
      <c r="B34" s="97" t="s">
        <v>233</v>
      </c>
      <c r="C34" s="146">
        <f>Market_Price</f>
        <v>89.1</v>
      </c>
      <c r="D34" t="str">
        <f>Market_currency</f>
        <v>HKD</v>
      </c>
      <c r="E34" s="97" t="s">
        <v>454</v>
      </c>
      <c r="F34" s="330">
        <f>RATE(Holding_Period,$C$33,-C34,$C$36)</f>
        <v>-5.7977852888980988E-3</v>
      </c>
    </row>
    <row r="35" spans="2:7">
      <c r="B35" s="97" t="s">
        <v>434</v>
      </c>
      <c r="C35" s="320">
        <f>DCF!C11</f>
        <v>71.731397745609073</v>
      </c>
      <c r="D35" s="97" t="str">
        <f>Market_currency</f>
        <v>HKD</v>
      </c>
      <c r="E35" s="97" t="s">
        <v>454</v>
      </c>
      <c r="F35" s="330">
        <f>RATE(Holding_Period,$C$33,-C35,$C$36)</f>
        <v>7.0787107959360898E-2</v>
      </c>
    </row>
    <row r="36" spans="2:7">
      <c r="B36" s="97" t="s">
        <v>435</v>
      </c>
      <c r="C36" s="321">
        <f>E22*G22+E23*G23+E24*G24+E30*G30+E29*G29</f>
        <v>81.092915306367118</v>
      </c>
      <c r="D36" t="str">
        <f>Market_currency</f>
        <v>HKD</v>
      </c>
      <c r="E36" s="97" t="s">
        <v>460</v>
      </c>
      <c r="F36" s="331" t="s">
        <v>459</v>
      </c>
    </row>
    <row r="38" spans="2:7" ht="13.9">
      <c r="B38" s="34" t="s">
        <v>411</v>
      </c>
      <c r="C38" s="35"/>
      <c r="D38" s="35"/>
      <c r="E38" s="35"/>
      <c r="F38" s="35"/>
      <c r="G38" s="35"/>
    </row>
    <row r="39" spans="2:7" ht="13.15">
      <c r="B39" s="414" t="str">
        <f>IF(DCF!F14="II","2","1")&amp;"-stage DCF"</f>
        <v>2-stage DCF</v>
      </c>
      <c r="E39" s="222" t="s">
        <v>251</v>
      </c>
    </row>
    <row r="40" spans="2:7">
      <c r="B40" t="s">
        <v>551</v>
      </c>
      <c r="C40" s="126">
        <f>Normalized_FCF!E116</f>
        <v>6.2990456515801388E-2</v>
      </c>
      <c r="E40" s="97" t="s">
        <v>401</v>
      </c>
    </row>
    <row r="41" spans="2:7">
      <c r="B41" s="97" t="s">
        <v>400</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30</v>
      </c>
      <c r="D45" s="137"/>
      <c r="E45" s="221" t="s">
        <v>307</v>
      </c>
    </row>
    <row r="46" spans="2:7">
      <c r="B46" s="114" t="s">
        <v>112</v>
      </c>
      <c r="C46" s="138">
        <v>2.38559171477595E-2</v>
      </c>
      <c r="D46" s="138"/>
      <c r="E46" s="221" t="s">
        <v>252</v>
      </c>
    </row>
    <row r="47" spans="2:7">
      <c r="B47" s="97" t="s">
        <v>96</v>
      </c>
      <c r="C47" s="146">
        <f>DCF!I18</f>
        <v>79.493988681493235</v>
      </c>
      <c r="D47" s="146" t="str">
        <f>Market_currency</f>
        <v>HKD</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6.4620261758915498E-2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2.16798</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3.9670816199752177</v>
      </c>
      <c r="D62" s="119">
        <f>C36/(1+F62)^Holding_Period</f>
        <v>37.370007053625407</v>
      </c>
      <c r="E62" s="332">
        <f>C62+D62</f>
        <v>41.337088673600626</v>
      </c>
      <c r="F62" s="301">
        <f>Thesis!E22</f>
        <v>0.29465259038036601</v>
      </c>
      <c r="G62" s="440">
        <f>(1-E62/C36)</f>
        <v>0.49025030710229023</v>
      </c>
    </row>
    <row r="63" spans="2:7" ht="13.15">
      <c r="B63" s="302" t="s">
        <v>313</v>
      </c>
      <c r="C63" s="119">
        <f>PV(F63, Holding_Period, -C58, 0)</f>
        <v>4.5614384776004178</v>
      </c>
      <c r="D63" s="119">
        <f>C36/(1+F63)^Holding_Period</f>
        <v>46.840673101150699</v>
      </c>
      <c r="E63" s="332">
        <f>C63+D63</f>
        <v>51.402111578751118</v>
      </c>
      <c r="F63" s="301">
        <f>Thesis!E23</f>
        <v>0.20075184365903001</v>
      </c>
      <c r="G63" s="440">
        <f>(1-E63/C36)</f>
        <v>0.36613314018178833</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5.2304753249724723</v>
      </c>
      <c r="D66" s="119">
        <f>C36/(1+F66)^Holding_Period</f>
        <v>58.124189845707797</v>
      </c>
      <c r="E66" s="332">
        <f>C66+D66</f>
        <v>63.354665170680271</v>
      </c>
      <c r="F66" s="301">
        <f>Thesis!E24</f>
        <v>0.1174</v>
      </c>
      <c r="G66" s="440">
        <f>(1-E66/C36)</f>
        <v>0.21873982540487236</v>
      </c>
    </row>
    <row r="67" spans="2:7" ht="13.15">
      <c r="B67" s="302" t="s">
        <v>314</v>
      </c>
      <c r="C67" s="119">
        <f>PV(F67, Holding_Period, -C58, 0)</f>
        <v>5.6635772450065556</v>
      </c>
      <c r="D67" s="119">
        <f>C36/(1+F67)^Holding_Period</f>
        <v>65.734143885561636</v>
      </c>
      <c r="E67" s="332">
        <f>C67+D67</f>
        <v>71.397721130568186</v>
      </c>
      <c r="F67" s="301">
        <f>Thesis!E25</f>
        <v>7.2499999999999995E-2</v>
      </c>
      <c r="G67" s="440">
        <f>(1-E67/C36)</f>
        <v>0.11955661156305353</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46057</v>
      </c>
    </row>
    <row r="4" spans="1:10">
      <c r="B4" s="422" t="s">
        <v>534</v>
      </c>
      <c r="C4" s="423" t="str">
        <f>Thesis!C4</f>
        <v>比亞迪股份</v>
      </c>
      <c r="D4" s="349"/>
      <c r="E4" s="434" t="s">
        <v>540</v>
      </c>
      <c r="F4" s="437" t="str">
        <f>Thesis!F4</f>
        <v>INT</v>
      </c>
    </row>
    <row r="5" spans="1:10">
      <c r="B5" s="343" t="s">
        <v>364</v>
      </c>
      <c r="C5" s="355" t="str">
        <f>Thesis!C5</f>
        <v>1211.hk</v>
      </c>
      <c r="E5" s="438" t="s">
        <v>541</v>
      </c>
      <c r="F5" s="439" t="str">
        <f>Thesis!F5</f>
        <v>Y</v>
      </c>
    </row>
    <row r="6" spans="1:10">
      <c r="B6" s="350" t="s">
        <v>336</v>
      </c>
      <c r="C6" s="352" t="str">
        <f>Thesis!C6</f>
        <v>CNS_01</v>
      </c>
      <c r="E6" s="354"/>
    </row>
    <row r="7" spans="1:10">
      <c r="B7" s="343" t="s">
        <v>366</v>
      </c>
      <c r="C7" s="352" t="str">
        <f>Market_currency</f>
        <v>HKD</v>
      </c>
      <c r="D7" s="354"/>
      <c r="E7" s="354"/>
    </row>
    <row r="8" spans="1:10">
      <c r="B8" s="351" t="s">
        <v>365</v>
      </c>
      <c r="C8" s="356">
        <f>Market_Price</f>
        <v>89.1</v>
      </c>
    </row>
    <row r="9" spans="1:10">
      <c r="B9" s="351" t="s">
        <v>361</v>
      </c>
      <c r="C9" s="353">
        <f>Common_Shares</f>
        <v>9117197565</v>
      </c>
    </row>
    <row r="10" spans="1:10">
      <c r="B10" s="351" t="s">
        <v>367</v>
      </c>
      <c r="C10" s="357">
        <f>投资主题!C8*Common_Shares/1000000</f>
        <v>812342.30304150004</v>
      </c>
      <c r="D10" s="343" t="s">
        <v>529</v>
      </c>
      <c r="E10" s="360">
        <f>Scenarios!F34</f>
        <v>-5.7977852888980988E-3</v>
      </c>
    </row>
    <row r="11" spans="1:10">
      <c r="D11" s="349"/>
      <c r="E11" s="349"/>
    </row>
    <row r="12" spans="1:10" ht="24.5" customHeight="1">
      <c r="B12" s="471" t="s">
        <v>498</v>
      </c>
      <c r="C12" s="471"/>
      <c r="D12" s="471"/>
      <c r="E12" s="471"/>
      <c r="F12" s="471"/>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1.1200000000000001</v>
      </c>
    </row>
    <row r="17" spans="1:6">
      <c r="B17" s="343" t="s">
        <v>535</v>
      </c>
      <c r="C17" s="424">
        <f>Terminal_Growth</f>
        <v>0.02</v>
      </c>
      <c r="D17" s="351" t="s">
        <v>339</v>
      </c>
      <c r="E17" s="344" t="str">
        <f>Reporting_currency</f>
        <v>CNY</v>
      </c>
    </row>
    <row r="18" spans="1:6">
      <c r="B18" s="343" t="str">
        <f>"预期股权价值 ("&amp;C7&amp;") :"</f>
        <v>预期股权价值 (HKD) :</v>
      </c>
      <c r="C18" s="359">
        <f>C125</f>
        <v>81.092915306367118</v>
      </c>
      <c r="D18" s="350" t="s">
        <v>362</v>
      </c>
      <c r="E18" s="426">
        <f>Thesis!E18</f>
        <v>6</v>
      </c>
    </row>
    <row r="19" spans="1:6">
      <c r="B19" s="350" t="s">
        <v>335</v>
      </c>
      <c r="C19" s="352" t="str">
        <f>IF(Scenarios!C50="Y",Scenarios!B50,"")&amp;IF(Scenarios!C51="Y",Scenarios!B51,"")&amp;IF(Scenarios!C52="Y",Scenarios!B52,"")&amp;" "&amp;IF(Scenarios!C53="Y",Scenarios!B53,"")</f>
        <v xml:space="preserve">Low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41.337088673600626</v>
      </c>
      <c r="D22" s="365" t="s">
        <v>440</v>
      </c>
      <c r="E22" s="366">
        <f>Thesis!E22</f>
        <v>0.29465259038036601</v>
      </c>
    </row>
    <row r="23" spans="1:6">
      <c r="B23" s="343" t="s">
        <v>341</v>
      </c>
      <c r="C23" s="367">
        <f>E141</f>
        <v>51.402111578751118</v>
      </c>
      <c r="D23" s="365" t="s">
        <v>441</v>
      </c>
      <c r="E23" s="368">
        <f>Thesis!E23</f>
        <v>0.20075184365903001</v>
      </c>
    </row>
    <row r="24" spans="1:6">
      <c r="B24" s="343" t="s">
        <v>343</v>
      </c>
      <c r="C24" s="367">
        <f>E144</f>
        <v>63.354665170680271</v>
      </c>
      <c r="D24" s="365" t="s">
        <v>443</v>
      </c>
      <c r="E24" s="368">
        <f>Thesis!E24</f>
        <v>0.1174</v>
      </c>
    </row>
    <row r="25" spans="1:6">
      <c r="B25" s="343" t="s">
        <v>342</v>
      </c>
      <c r="C25" s="367">
        <f>E145</f>
        <v>71.397721130568186</v>
      </c>
      <c r="D25" s="365" t="s">
        <v>442</v>
      </c>
      <c r="E25" s="368">
        <f>Thesis!E25</f>
        <v>7.2499999999999995E-2</v>
      </c>
    </row>
    <row r="27" spans="1:6" ht="13.9">
      <c r="A27" s="345" t="s">
        <v>345</v>
      </c>
      <c r="B27" s="345"/>
      <c r="C27" s="345"/>
      <c r="D27" s="345"/>
      <c r="E27" s="345"/>
      <c r="F27" s="345"/>
    </row>
    <row r="29" spans="1:6">
      <c r="B29" s="471" t="s">
        <v>499</v>
      </c>
      <c r="C29" s="471"/>
      <c r="D29" s="471"/>
      <c r="E29" s="471"/>
      <c r="F29" s="471"/>
    </row>
    <row r="30" spans="1:6" ht="24.5" customHeight="1">
      <c r="B30" s="472" t="s">
        <v>500</v>
      </c>
      <c r="C30" s="472"/>
      <c r="D30" s="472"/>
      <c r="E30" s="472"/>
      <c r="F30" s="472"/>
    </row>
    <row r="32" spans="1:6">
      <c r="B32" s="369" t="s">
        <v>371</v>
      </c>
      <c r="C32" s="370">
        <f>scaling_factor</f>
        <v>1000</v>
      </c>
    </row>
    <row r="33" spans="2:6">
      <c r="B33" s="470" t="s">
        <v>501</v>
      </c>
      <c r="C33" s="470"/>
      <c r="D33" s="470"/>
      <c r="E33" s="470"/>
      <c r="F33" s="470"/>
    </row>
    <row r="34" spans="2:6">
      <c r="B34" s="372" t="s">
        <v>197</v>
      </c>
      <c r="C34" s="373">
        <f>Normalized_FCF!C8</f>
        <v>40942070.486213326</v>
      </c>
      <c r="D34" s="343" t="str">
        <f>Reporting_currency</f>
        <v>CNY</v>
      </c>
    </row>
    <row r="35" spans="2:6">
      <c r="B35" s="372"/>
      <c r="C35" s="374"/>
    </row>
    <row r="36" spans="2:6" ht="24.5" customHeight="1">
      <c r="B36" s="470" t="s">
        <v>502</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503</v>
      </c>
      <c r="C40" s="470"/>
      <c r="D40" s="470"/>
      <c r="E40" s="470"/>
      <c r="F40" s="470"/>
    </row>
    <row r="41" spans="2:6">
      <c r="B41" s="372" t="s">
        <v>202</v>
      </c>
      <c r="C41" s="373">
        <f>Normalized_FCF!C9</f>
        <v>0</v>
      </c>
      <c r="D41" s="343" t="str">
        <f>Reporting_currency</f>
        <v>CNY</v>
      </c>
    </row>
    <row r="43" spans="2:6">
      <c r="B43" s="470" t="s">
        <v>504</v>
      </c>
      <c r="C43" s="470"/>
      <c r="D43" s="470"/>
      <c r="E43" s="470"/>
      <c r="F43" s="470"/>
    </row>
    <row r="44" spans="2:6">
      <c r="B44" s="372" t="s">
        <v>267</v>
      </c>
      <c r="C44" s="376">
        <f>Normalized_FCF!C46</f>
        <v>377963.14324537769</v>
      </c>
      <c r="D44" s="343" t="str">
        <f>Reporting_currency</f>
        <v>CNY</v>
      </c>
      <c r="E44" s="371"/>
      <c r="F44" s="371"/>
    </row>
    <row r="45" spans="2:6">
      <c r="B45" s="372" t="s">
        <v>268</v>
      </c>
      <c r="C45" s="376">
        <f>Normalized_FCF!C45</f>
        <v>-1932691.7999999998</v>
      </c>
      <c r="D45" s="343" t="str">
        <f>Reporting_currency</f>
        <v>CNY</v>
      </c>
      <c r="E45" s="371"/>
      <c r="F45" s="371"/>
    </row>
    <row r="46" spans="2:6">
      <c r="B46" s="372" t="s">
        <v>203</v>
      </c>
      <c r="C46" s="373">
        <f>Normalized_FCF!C10</f>
        <v>-1554728.6567546222</v>
      </c>
      <c r="D46" s="343" t="str">
        <f>Reporting_currency</f>
        <v>CNY</v>
      </c>
    </row>
    <row r="48" spans="2:6">
      <c r="B48" s="343" t="s">
        <v>505</v>
      </c>
    </row>
    <row r="49" spans="2:6">
      <c r="B49" s="372" t="s">
        <v>223</v>
      </c>
      <c r="C49" s="373">
        <f>Normalized_FCF!C13</f>
        <v>-1681454.3439330037</v>
      </c>
      <c r="D49" s="343" t="str">
        <f>Reporting_currency</f>
        <v>CNY</v>
      </c>
    </row>
    <row r="51" spans="2:6">
      <c r="B51" s="470" t="s">
        <v>506</v>
      </c>
      <c r="C51" s="470"/>
      <c r="D51" s="470"/>
      <c r="E51" s="470"/>
      <c r="F51" s="470"/>
    </row>
    <row r="52" spans="2:6">
      <c r="B52" s="372" t="s">
        <v>496</v>
      </c>
      <c r="C52" s="373">
        <f>Normalized_FCF!C12</f>
        <v>-9846835.4573646765</v>
      </c>
      <c r="D52" s="343" t="str">
        <f>Reporting_currency</f>
        <v>CNY</v>
      </c>
    </row>
    <row r="54" spans="2:6">
      <c r="B54" s="470" t="s">
        <v>507</v>
      </c>
      <c r="C54" s="473"/>
      <c r="D54" s="473"/>
      <c r="E54" s="473"/>
      <c r="F54" s="473"/>
    </row>
    <row r="55" spans="2:6">
      <c r="B55" s="372" t="s">
        <v>207</v>
      </c>
      <c r="C55" s="373">
        <f>Normalized_FCF!C17</f>
        <v>0</v>
      </c>
      <c r="D55" s="343" t="str">
        <f>Reporting_currency</f>
        <v>CNY</v>
      </c>
    </row>
    <row r="57" spans="2:6">
      <c r="B57" s="471" t="s">
        <v>508</v>
      </c>
      <c r="C57" s="471"/>
      <c r="D57" s="471"/>
      <c r="E57" s="471"/>
      <c r="F57" s="471"/>
    </row>
    <row r="58" spans="2:6">
      <c r="B58" s="471" t="s">
        <v>509</v>
      </c>
      <c r="C58" s="471"/>
      <c r="D58" s="471"/>
      <c r="E58" s="471"/>
      <c r="F58" s="471"/>
    </row>
    <row r="60" spans="2:6">
      <c r="B60" s="372" t="s">
        <v>372</v>
      </c>
      <c r="C60" s="373">
        <f>Normalized_FCF!G19</f>
        <v>31727854.696170337</v>
      </c>
      <c r="D60" s="343" t="str">
        <f>Reporting_currency</f>
        <v>CNY</v>
      </c>
    </row>
    <row r="61" spans="2:6">
      <c r="B61" s="372" t="s">
        <v>213</v>
      </c>
      <c r="C61" s="373">
        <f>Normalized_FCF!C19</f>
        <v>27859052.028161023</v>
      </c>
      <c r="D61" s="343" t="str">
        <f>Reporting_currency</f>
        <v>CNY</v>
      </c>
    </row>
    <row r="62" spans="2:6">
      <c r="B62" s="377" t="s">
        <v>302</v>
      </c>
      <c r="C62" s="378">
        <f>Normalized_FCF!C124</f>
        <v>3.8410086677397037E-2</v>
      </c>
      <c r="F62" s="379"/>
    </row>
    <row r="63" spans="2:6">
      <c r="B63" s="377" t="s">
        <v>332</v>
      </c>
      <c r="C63" s="378">
        <f>Normalized_FCF!C92</f>
        <v>2.4331986531986535E-2</v>
      </c>
      <c r="E63" s="372" t="s">
        <v>373</v>
      </c>
      <c r="F63" s="380">
        <f>Normalized_FCF!C90</f>
        <v>0.70949657429077451</v>
      </c>
    </row>
    <row r="65" spans="1:6">
      <c r="B65" s="369" t="s">
        <v>376</v>
      </c>
      <c r="C65" s="381" t="s">
        <v>327</v>
      </c>
      <c r="D65" s="381" t="s">
        <v>374</v>
      </c>
    </row>
    <row r="66" spans="1:6">
      <c r="B66" s="372" t="s">
        <v>326</v>
      </c>
      <c r="C66" s="378">
        <f>Normalized_FCF!E119</f>
        <v>0.2</v>
      </c>
      <c r="D66" s="378">
        <f>Normalized_FCF!G119</f>
        <v>0.16814771567644096</v>
      </c>
    </row>
    <row r="67" spans="1:6">
      <c r="B67" s="382" t="str">
        <f>Normalized_FCF!B116</f>
        <v>Pre-tax Profit/Sales</v>
      </c>
      <c r="C67" s="383">
        <f>Normalized_FCF!E116</f>
        <v>6.2990456515801388E-2</v>
      </c>
      <c r="D67" s="383">
        <f>Normalized_FCF!G116</f>
        <v>5.2958506862740944E-2</v>
      </c>
    </row>
    <row r="68" spans="1:6">
      <c r="B68" s="382" t="str">
        <f>Normalized_FCF!B117</f>
        <v>Sales/Total Assets</v>
      </c>
      <c r="C68" s="384">
        <f>Normalized_FCF!E117</f>
        <v>0.91818894088265857</v>
      </c>
      <c r="D68" s="384">
        <f>Normalized_FCF!G117</f>
        <v>0.91818894088265857</v>
      </c>
    </row>
    <row r="69" spans="1:6">
      <c r="B69" s="382" t="str">
        <f>Normalized_FCF!B118</f>
        <v>Total Assets/Equity</v>
      </c>
      <c r="C69" s="384">
        <f>Normalized_FCF!E118</f>
        <v>3.4579856141645027</v>
      </c>
      <c r="D69" s="384">
        <f>Normalized_FCF!G118</f>
        <v>3.4579856141645027</v>
      </c>
    </row>
    <row r="71" spans="1:6" ht="13.9">
      <c r="A71" s="345" t="s">
        <v>476</v>
      </c>
      <c r="B71" s="345"/>
      <c r="C71" s="345"/>
      <c r="D71" s="345"/>
      <c r="E71" s="345"/>
      <c r="F71" s="345"/>
    </row>
    <row r="72" spans="1:6">
      <c r="A72" s="385"/>
    </row>
    <row r="73" spans="1:6">
      <c r="A73" s="386"/>
      <c r="B73" s="471" t="s">
        <v>510</v>
      </c>
      <c r="C73" s="471"/>
      <c r="D73" s="471"/>
      <c r="E73" s="471"/>
      <c r="F73" s="471"/>
    </row>
    <row r="74" spans="1:6">
      <c r="B74" s="472" t="s">
        <v>479</v>
      </c>
      <c r="C74" s="472"/>
      <c r="D74" s="472"/>
      <c r="E74" s="472"/>
      <c r="F74" s="472"/>
    </row>
    <row r="76" spans="1:6">
      <c r="B76" s="369" t="s">
        <v>371</v>
      </c>
    </row>
    <row r="77" spans="1:6">
      <c r="B77" s="471" t="s">
        <v>511</v>
      </c>
      <c r="C77" s="471"/>
      <c r="D77" s="471"/>
      <c r="E77" s="471"/>
      <c r="F77" s="471"/>
    </row>
    <row r="78" spans="1:6">
      <c r="B78" s="343" t="s">
        <v>215</v>
      </c>
      <c r="C78" s="373">
        <f>DCF!F4</f>
        <v>-32211530</v>
      </c>
      <c r="D78" s="343" t="str">
        <f>Reporting_currency</f>
        <v>CNY</v>
      </c>
    </row>
    <row r="79" spans="1:6">
      <c r="B79" s="372" t="s">
        <v>234</v>
      </c>
      <c r="C79" s="387">
        <f>C78*scaling_factor*Exchange_Rate/Common_Shares</f>
        <v>-3.9570178602354331</v>
      </c>
      <c r="D79" s="343" t="str">
        <f>Market_currency</f>
        <v>HKD</v>
      </c>
    </row>
    <row r="80" spans="1:6">
      <c r="B80" s="382" t="s">
        <v>309</v>
      </c>
      <c r="C80" s="388">
        <f>IF(BS!G31/BS!G27&gt;300%,"nm",BS!G31/BS!G27)</f>
        <v>0.13160982525398796</v>
      </c>
    </row>
    <row r="81" spans="1:6">
      <c r="B81" s="382" t="s">
        <v>311</v>
      </c>
      <c r="C81" s="389">
        <f>IF(BS!C50&gt;30,"nm",BS!C50)</f>
        <v>0.78675869631084694</v>
      </c>
    </row>
    <row r="83" spans="1:6">
      <c r="B83" s="343" t="s">
        <v>512</v>
      </c>
    </row>
    <row r="84" spans="1:6">
      <c r="B84" s="343" t="s">
        <v>224</v>
      </c>
      <c r="C84" s="373">
        <f>DCF!F5</f>
        <v>48740425.792437054</v>
      </c>
      <c r="D84" s="343" t="str">
        <f>Reporting_currency</f>
        <v>CNY</v>
      </c>
    </row>
    <row r="85" spans="1:6">
      <c r="B85" s="382" t="s">
        <v>481</v>
      </c>
      <c r="C85" s="390">
        <f>BS!C66</f>
        <v>111734283</v>
      </c>
      <c r="D85" s="391" t="str">
        <f>Reporting_currency</f>
        <v>CNY</v>
      </c>
    </row>
    <row r="86" spans="1:6">
      <c r="B86" s="372" t="s">
        <v>235</v>
      </c>
      <c r="C86" s="387">
        <f>C84*scaling_factor*Exchange_Rate/Common_Shares</f>
        <v>5.9875061934702645</v>
      </c>
      <c r="D86" s="343" t="str">
        <f>Market_currency</f>
        <v>HKD</v>
      </c>
    </row>
    <row r="88" spans="1:6">
      <c r="B88" s="343" t="s">
        <v>513</v>
      </c>
    </row>
    <row r="89" spans="1:6">
      <c r="B89" s="343" t="s">
        <v>217</v>
      </c>
      <c r="C89" s="373">
        <f>DCF!F6</f>
        <v>26128562</v>
      </c>
      <c r="D89" s="343" t="str">
        <f>Reporting_currency</f>
        <v>CNY</v>
      </c>
    </row>
    <row r="90" spans="1:6">
      <c r="B90" s="372" t="s">
        <v>236</v>
      </c>
      <c r="C90" s="387">
        <f>C89*scaling_factor*Exchange_Rate/Common_Shares</f>
        <v>3.2097570806561766</v>
      </c>
      <c r="D90" s="343" t="str">
        <f>Market_currency</f>
        <v>HKD</v>
      </c>
    </row>
    <row r="92" spans="1:6">
      <c r="B92" s="372" t="s">
        <v>480</v>
      </c>
      <c r="C92" s="387">
        <f>DCF!F8</f>
        <v>5.2402454138910075</v>
      </c>
      <c r="D92" s="343" t="str">
        <f>Market_currency</f>
        <v>HKD</v>
      </c>
    </row>
    <row r="94" spans="1:6" ht="13.9">
      <c r="A94" s="345" t="s">
        <v>482</v>
      </c>
      <c r="B94" s="345"/>
      <c r="C94" s="345"/>
      <c r="D94" s="345"/>
      <c r="E94" s="345"/>
      <c r="F94" s="345"/>
    </row>
    <row r="95" spans="1:6">
      <c r="A95" s="385"/>
    </row>
    <row r="96" spans="1:6">
      <c r="A96" s="385"/>
      <c r="B96" s="471" t="s">
        <v>514</v>
      </c>
      <c r="C96" s="471"/>
      <c r="D96" s="471"/>
      <c r="E96" s="471"/>
      <c r="F96" s="471"/>
    </row>
    <row r="97" spans="1:6">
      <c r="A97" s="385"/>
      <c r="B97" s="472" t="s">
        <v>515</v>
      </c>
      <c r="C97" s="472"/>
      <c r="D97" s="472"/>
      <c r="E97" s="472"/>
      <c r="F97" s="472"/>
    </row>
    <row r="98" spans="1:6">
      <c r="A98" s="385"/>
      <c r="B98" s="472" t="s">
        <v>516</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1" t="s">
        <v>517</v>
      </c>
      <c r="C107" s="471"/>
      <c r="D107" s="471"/>
      <c r="E107" s="471"/>
      <c r="F107" s="471"/>
    </row>
    <row r="108" spans="1:6">
      <c r="A108" s="385"/>
      <c r="B108" s="471" t="s">
        <v>536</v>
      </c>
      <c r="C108" s="471"/>
      <c r="D108" s="471"/>
      <c r="E108" s="471"/>
      <c r="F108" s="471"/>
    </row>
    <row r="109" spans="1:6">
      <c r="A109" s="385"/>
    </row>
    <row r="110" spans="1:6">
      <c r="A110" s="385"/>
      <c r="B110" s="369" t="s">
        <v>489</v>
      </c>
    </row>
    <row r="111" spans="1:6">
      <c r="A111" s="385"/>
      <c r="B111" s="375" t="s">
        <v>486</v>
      </c>
      <c r="C111" s="394">
        <f>BS!D47</f>
        <v>-39.979897111289588</v>
      </c>
      <c r="D111" s="343" t="str">
        <f>Market_currency</f>
        <v>HKD</v>
      </c>
    </row>
    <row r="112" spans="1:6">
      <c r="A112" s="385"/>
      <c r="B112" s="372" t="s">
        <v>377</v>
      </c>
      <c r="C112" s="394">
        <f>DCF!C11</f>
        <v>71.731397745609073</v>
      </c>
      <c r="D112" s="343" t="str">
        <f>Market_currency</f>
        <v>HKD</v>
      </c>
    </row>
    <row r="113" spans="1:6">
      <c r="A113" s="385"/>
    </row>
    <row r="114" spans="1:6">
      <c r="A114" s="385"/>
      <c r="B114" s="471" t="s">
        <v>518</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0.05</v>
      </c>
      <c r="D118" s="397">
        <f>DCF!D90</f>
        <v>30</v>
      </c>
      <c r="E118" s="398" t="str">
        <f>ROUND(DCF!E90,2)&amp;" "&amp;Market_currency</f>
        <v>121.24 HKD</v>
      </c>
      <c r="F118" s="399">
        <f>DCF!F90</f>
        <v>0.15</v>
      </c>
    </row>
    <row r="119" spans="1:6">
      <c r="A119" s="385"/>
      <c r="B119" s="400" t="str">
        <f>DCF!B91</f>
        <v>Optimistic</v>
      </c>
      <c r="C119" s="401">
        <f>DCF!C91</f>
        <v>0.03</v>
      </c>
      <c r="D119" s="402">
        <f>DCF!D91</f>
        <v>30</v>
      </c>
      <c r="E119" s="398" t="str">
        <f>ROUND(DCF!E91,2)&amp;" "&amp;Market_currency</f>
        <v>87.3 HKD</v>
      </c>
      <c r="F119" s="403">
        <f>DCF!F91</f>
        <v>0.15999999999999995</v>
      </c>
    </row>
    <row r="120" spans="1:6">
      <c r="B120" s="400" t="str">
        <f>DCF!B92</f>
        <v>Base</v>
      </c>
      <c r="C120" s="401">
        <f>DCF!C92</f>
        <v>0.02</v>
      </c>
      <c r="D120" s="402">
        <f>DCF!D92</f>
        <v>30</v>
      </c>
      <c r="E120" s="398" t="str">
        <f>ROUND(DCF!E92,2)&amp;" "&amp;Market_currency</f>
        <v>75.09 HKD</v>
      </c>
      <c r="F120" s="403">
        <f>DCF!F92</f>
        <v>0.44</v>
      </c>
    </row>
    <row r="121" spans="1:6">
      <c r="B121" s="400" t="str">
        <f>DCF!B93</f>
        <v>Pessimistic</v>
      </c>
      <c r="C121" s="401">
        <f>DCF!C93</f>
        <v>0.01</v>
      </c>
      <c r="D121" s="402">
        <f>DCF!D93</f>
        <v>30</v>
      </c>
      <c r="E121" s="398" t="str">
        <f>ROUND(DCF!E93,2)&amp;" "&amp;Market_currency</f>
        <v>65.2 HKD</v>
      </c>
      <c r="F121" s="403">
        <f>DCF!F93</f>
        <v>0.19999999999999998</v>
      </c>
    </row>
    <row r="122" spans="1:6">
      <c r="B122" s="400" t="str">
        <f>DCF!B94</f>
        <v>Devil's advocate</v>
      </c>
      <c r="C122" s="401">
        <f>DCF!C94</f>
        <v>0</v>
      </c>
      <c r="D122" s="402">
        <f>DCF!D94</f>
        <v>30</v>
      </c>
      <c r="E122" s="398" t="str">
        <f>ROUND(DCF!E94,2)&amp;" "&amp;Market_currency</f>
        <v>57.15 HKD</v>
      </c>
      <c r="F122" s="403">
        <f>DCF!F94</f>
        <v>0.05</v>
      </c>
    </row>
    <row r="124" spans="1:6">
      <c r="B124" s="470" t="s">
        <v>519</v>
      </c>
      <c r="C124" s="470"/>
      <c r="D124" s="470"/>
      <c r="E124" s="470"/>
      <c r="F124" s="470"/>
    </row>
    <row r="125" spans="1:6">
      <c r="B125" s="372" t="s">
        <v>218</v>
      </c>
      <c r="C125" s="404">
        <f>Scenarios!C36</f>
        <v>81.092915306367118</v>
      </c>
      <c r="D125" s="343" t="str">
        <f>Market_currency</f>
        <v>HKD</v>
      </c>
    </row>
    <row r="127" spans="1:6">
      <c r="B127" s="475" t="s">
        <v>520</v>
      </c>
      <c r="C127" s="475"/>
      <c r="D127" s="475"/>
      <c r="E127" s="475"/>
      <c r="F127" s="475"/>
    </row>
    <row r="129" spans="1:6" ht="13.9">
      <c r="A129" s="345" t="s">
        <v>492</v>
      </c>
      <c r="B129" s="345"/>
      <c r="C129" s="345"/>
      <c r="D129" s="345"/>
      <c r="E129" s="345"/>
      <c r="F129" s="345"/>
    </row>
    <row r="131" spans="1:6">
      <c r="B131" s="476" t="s">
        <v>521</v>
      </c>
      <c r="C131" s="476"/>
      <c r="D131" s="476"/>
      <c r="E131" s="476"/>
      <c r="F131" s="476"/>
    </row>
    <row r="132" spans="1:6" ht="24.5" customHeight="1">
      <c r="B132" s="471" t="s">
        <v>522</v>
      </c>
      <c r="C132" s="471"/>
      <c r="D132" s="471"/>
      <c r="E132" s="471"/>
      <c r="F132" s="471"/>
    </row>
    <row r="134" spans="1:6">
      <c r="B134" s="369" t="s">
        <v>371</v>
      </c>
    </row>
    <row r="135" spans="1:6">
      <c r="B135" s="343" t="s">
        <v>382</v>
      </c>
      <c r="C135" s="405">
        <f>E21</f>
        <v>3</v>
      </c>
    </row>
    <row r="136" spans="1:6">
      <c r="B136" s="343" t="s">
        <v>383</v>
      </c>
      <c r="C136" s="406">
        <f>Scenarios!C58</f>
        <v>2.16798</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3.9670816199752177</v>
      </c>
      <c r="D140" s="409">
        <f>Scenarios!D62</f>
        <v>37.370007053625407</v>
      </c>
      <c r="E140" s="410">
        <f>Scenarios!E62</f>
        <v>41.337088673600626</v>
      </c>
      <c r="F140" s="411">
        <f>E22</f>
        <v>0.29465259038036601</v>
      </c>
    </row>
    <row r="141" spans="1:6">
      <c r="B141" s="408" t="s">
        <v>313</v>
      </c>
      <c r="C141" s="409">
        <f>Scenarios!C63</f>
        <v>4.5614384776004178</v>
      </c>
      <c r="D141" s="409">
        <f>Scenarios!D63</f>
        <v>46.840673101150699</v>
      </c>
      <c r="E141" s="410">
        <f>Scenarios!E63</f>
        <v>51.402111578751118</v>
      </c>
      <c r="F141" s="411">
        <f>Scenarios!F63</f>
        <v>0.20075184365903001</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5.2304753249724723</v>
      </c>
      <c r="D144" s="409">
        <f>Scenarios!D66</f>
        <v>58.124189845707797</v>
      </c>
      <c r="E144" s="410">
        <f>Scenarios!E66</f>
        <v>63.354665170680271</v>
      </c>
      <c r="F144" s="411">
        <f>E24</f>
        <v>0.1174</v>
      </c>
    </row>
    <row r="145" spans="1:6">
      <c r="B145" s="408" t="s">
        <v>314</v>
      </c>
      <c r="C145" s="409">
        <f>Scenarios!C67</f>
        <v>5.6635772450065556</v>
      </c>
      <c r="D145" s="409">
        <f>Scenarios!D67</f>
        <v>65.734143885561636</v>
      </c>
      <c r="E145" s="410">
        <f>Scenarios!E67</f>
        <v>71.397721130568186</v>
      </c>
      <c r="F145" s="411">
        <f>Scenarios!F67</f>
        <v>7.2499999999999995E-2</v>
      </c>
    </row>
    <row r="147" spans="1:6" ht="13.9">
      <c r="A147" s="345" t="s">
        <v>475</v>
      </c>
      <c r="B147" s="345"/>
      <c r="C147" s="345"/>
      <c r="D147" s="345"/>
      <c r="E147" s="345"/>
      <c r="F147" s="345"/>
    </row>
    <row r="149" spans="1:6">
      <c r="B149" s="477" t="s">
        <v>523</v>
      </c>
      <c r="C149" s="471"/>
      <c r="D149" s="471"/>
      <c r="E149" s="471"/>
      <c r="F149" s="471"/>
    </row>
    <row r="151" spans="1:6">
      <c r="B151" s="369" t="s">
        <v>384</v>
      </c>
    </row>
    <row r="152" spans="1:6">
      <c r="B152" s="473" t="s">
        <v>524</v>
      </c>
      <c r="C152" s="473"/>
      <c r="D152" s="473"/>
      <c r="E152" s="473"/>
      <c r="F152" s="473"/>
    </row>
    <row r="153" spans="1:6">
      <c r="B153" s="412" t="s">
        <v>385</v>
      </c>
    </row>
    <row r="154" spans="1:6">
      <c r="B154" s="412" t="s">
        <v>386</v>
      </c>
    </row>
    <row r="155" spans="1:6">
      <c r="B155" s="412" t="s">
        <v>387</v>
      </c>
    </row>
    <row r="157" spans="1:6">
      <c r="B157" s="343" t="s">
        <v>525</v>
      </c>
    </row>
    <row r="158" spans="1:6" ht="24.5" customHeight="1">
      <c r="B158" s="470" t="s">
        <v>439</v>
      </c>
      <c r="C158" s="470"/>
      <c r="D158" s="470"/>
      <c r="E158" s="470"/>
      <c r="F158" s="470"/>
    </row>
    <row r="160" spans="1:6">
      <c r="B160" s="343" t="s">
        <v>526</v>
      </c>
    </row>
    <row r="161" spans="2:6">
      <c r="B161" s="474" t="s">
        <v>388</v>
      </c>
      <c r="C161" s="474"/>
      <c r="D161" s="474"/>
      <c r="E161" s="474"/>
      <c r="F161" s="474"/>
    </row>
    <row r="162" spans="2:6">
      <c r="B162" s="474" t="s">
        <v>389</v>
      </c>
      <c r="C162" s="474"/>
      <c r="D162" s="474"/>
      <c r="E162" s="474"/>
      <c r="F162" s="474"/>
    </row>
    <row r="164" spans="2:6">
      <c r="B164" s="343" t="s">
        <v>527</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2026-02-04T03:12:18Z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