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8CBDAE-EC59-47B7-9B5F-B7815BC39D83}" xr6:coauthVersionLast="47" xr6:coauthVersionMax="47" xr10:uidLastSave="{00000000-0000-0000-0000-000000000000}"/>
  <bookViews>
    <workbookView xWindow="2205" yWindow="2205"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8" i="3"/>
  <c r="G4" i="3"/>
  <c r="C25" i="4"/>
  <c r="D25" i="4"/>
  <c r="E25" i="4"/>
  <c r="F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J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<sst xmlns="http://schemas.openxmlformats.org/spreadsheetml/2006/main" count="837" uniqueCount="561">
  <si>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</si>
  <si>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</si>
  <si>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</si>
  <si>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</si>
  <si>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</si>
  <si>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</si>
  <si>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</si>
  <si>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</si>
  <si>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</si>
  <si>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</si>
  <si>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</si>
  <si>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</si>
  <si>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</si>
  <si>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</si>
  <si>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</si>
  <si>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</si>
  <si>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</si>
  <si>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</si>
  <si>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</si>
  <si>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</si>
  <si>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</si>
  <si>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</si>
  <si>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</si>
  <si>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</si>
  <si>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</si>
  <si>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</si>
  <si>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</si>
  <si>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</si>
  <si>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</si>
  <si>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</si>
  <si>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</si>
  <si>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</si>
  <si>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</si>
  <si>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</si>
  <si>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</si>
  <si>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</si>
  <si>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</si>
  <si>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</si>
  <si>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</si>
  <si>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</si>
  <si>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</si>
  <si>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</si>
  <si>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</si>
  <si>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</si>
  <si>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</si>
  <si>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</si>
  <si>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</si>
  <si>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</si>
  <si>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</si>
  <si>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</si>
  <si>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</si>
  <si>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</si>
  <si>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</si>
  <si>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</si>
  <si>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</si>
  <si>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</si>
  <si>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</si>
  <si>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</si>
  <si>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</si>
  <si>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</si>
  <si>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</si>
  <si>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</si>
  <si>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</si>
  <si>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</si>
  <si>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</si>
  <si>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</si>
  <si>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</si>
  <si>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</si>
  <si>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</si>
  <si>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</si>
  <si>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</si>
  <si>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</si>
  <si>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</si>
  <si>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</si>
  <si>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</si>
  <si>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</si>
  <si>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</si>
  <si>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</si>
  <si>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</si>
  <si>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</si>
  <si>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</si>
  <si>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</si>
  <si>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</si>
  <si>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</si>
  <si>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</si>
  <si>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</si>
  <si>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</si>
  <si>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</si>
  <si>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</si>
  <si>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</si>
  <si>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</si>
  <si>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</si>
  <si>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</si>
  <si>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</si>
  <si>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</si>
  <si>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</si>
  <si>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</si>
  <si>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</si>
  <si>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</si>
  <si>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</si>
  <si>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</si>
  <si>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</si>
  <si>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</si>
  <si>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</si>
  <si>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</si>
  <si>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</si>
  <si>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</si>
  <si>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</si>
  <si>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</si>
  <si>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</si>
  <si>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</si>
  <si>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</si>
  <si>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</si>
  <si>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</si>
  <si>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</si>
  <si>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</si>
  <si>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</si>
  <si>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</si>
  <si>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</si>
  <si>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</si>
  <si>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</si>
  <si>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</si>
  <si>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</si>
  <si>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</si>
  <si>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</si>
  <si>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</si>
  <si>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</si>
  <si>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</si>
  <si>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</si>
  <si>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</si>
  <si>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</si>
  <si>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</si>
  <si>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</si>
  <si>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</si>
  <si>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</si>
  <si>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</si>
  <si>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</si>
  <si>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</si>
  <si>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</si>
  <si>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</si>
  <si>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</si>
  <si>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</si>
  <si>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</si>
  <si>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</si>
  <si>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</si>
  <si>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</si>
  <si>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</si>
  <si>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</si>
  <si>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</si>
  <si>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</si>
  <si>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</si>
  <si>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</si>
  <si>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</si>
  <si>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</si>
  <si>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</si>
  <si>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</si>
  <si>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</si>
  <si>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</si>
  <si>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</si>
  <si>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</si>
  <si>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</si>
  <si>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</si>
  <si>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</si>
  <si>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</si>
  <si>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</si>
  <si>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</si>
  <si>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</si>
  <si>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</si>
  <si>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</si>
  <si>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</si>
  <si>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</si>
  <si>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</si>
  <si>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</si>
  <si>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</si>
  <si>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</si>
  <si>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</si>
  <si>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</si>
  <si>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</si>
  <si>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</si>
  <si>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</si>
  <si>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</si>
  <si>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</si>
  <si>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</si>
  <si>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</si>
  <si>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</si>
  <si>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</si>
  <si>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</si>
  <si>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</si>
  <si>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</si>
  <si>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</si>
  <si>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</si>
  <si>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</si>
  <si>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</si>
  <si>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</si>
  <si>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</si>
  <si>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</si>
  <si>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</si>
  <si>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</si>
  <si>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</si>
  <si>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</si>
  <si>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</si>
  <si>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</si>
  <si>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</si>
  <si>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</si>
  <si>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</si>
  <si>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</si>
  <si>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</si>
  <si>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</si>
  <si>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</si>
  <si>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</si>
  <si>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</si>
  <si>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</si>
  <si>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</si>
  <si>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</si>
  <si>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</si>
  <si>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</si>
  <si>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</si>
  <si>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</si>
  <si>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</si>
  <si>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</si>
  <si>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</si>
  <si>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</si>
  <si>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</si>
  <si>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</si>
  <si>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</si>
  <si>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</si>
  <si>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</si>
  <si>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</si>
  <si>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</si>
  <si>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</si>
  <si>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</si>
  <si>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</si>
  <si>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</si>
  <si>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</si>
  <si>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</si>
  <si>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</si>
  <si>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</si>
  <si>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</si>
  <si>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</si>
  <si>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</si>
  <si>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</si>
  <si>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</si>
  <si>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</si>
  <si>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</si>
  <si>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</si>
  <si>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</si>
  <si>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</si>
  <si>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</si>
  <si>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</si>
  <si>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</si>
  <si>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</si>
  <si>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</si>
  <si>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</si>
  <si>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</si>
  <si>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</si>
  <si>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</si>
  <si>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</si>
  <si>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</si>
  <si>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</si>
  <si>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</si>
  <si>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</si>
  <si>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</si>
  <si>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</si>
  <si>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</si>
  <si>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</si>
  <si>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</si>
  <si>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</si>
  <si>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</si>
  <si>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</si>
  <si>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</si>
  <si>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</si>
  <si>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</si>
  <si>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</si>
  <si>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</si>
  <si>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</si>
  <si>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</si>
  <si>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</si>
  <si>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</si>
  <si>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</si>
  <si>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</si>
  <si>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</si>
  <si>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</si>
  <si>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</si>
  <si>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</si>
  <si>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</si>
  <si>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</si>
  <si>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</si>
  <si>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</si>
  <si>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</si>
  <si>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</si>
  <si>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</si>
  <si>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</si>
  <si>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</si>
  <si>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</si>
  <si>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</si>
  <si>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</si>
  <si>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</si>
  <si>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</si>
  <si>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</si>
  <si>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</si>
  <si>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</si>
  <si>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</si>
  <si>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</si>
  <si>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</si>
  <si>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</si>
  <si>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</si>
  <si>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</si>
  <si>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</si>
  <si>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</si>
  <si>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</si>
  <si>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</si>
  <si>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</si>
  <si>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</si>
  <si>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</si>
  <si>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</si>
  <si>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</si>
  <si>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</si>
  <si>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</si>
  <si>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</si>
  <si>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</si>
  <si>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</si>
  <si>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</si>
  <si>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</si>
  <si>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</si>
  <si>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</si>
  <si>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</si>
  <si>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</si>
  <si>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</si>
  <si>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</si>
  <si>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</si>
  <si>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</si>
  <si>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</si>
  <si>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</si>
  <si>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</si>
  <si>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</si>
  <si>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</si>
  <si>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</si>
  <si>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</si>
  <si>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</si>
  <si>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</si>
  <si>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</si>
  <si>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</si>
  <si>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</si>
  <si>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</si>
  <si>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</si>
  <si>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</si>
  <si>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</si>
  <si>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</si>
  <si>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</si>
  <si>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</si>
  <si>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</si>
  <si>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</si>
  <si>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</si>
  <si>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</si>
  <si>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</si>
  <si>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</si>
  <si>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</si>
  <si>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</si>
  <si>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</si>
  <si>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</si>
  <si>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</si>
  <si>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</si>
  <si>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</si>
  <si>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</si>
  <si>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</si>
  <si>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</si>
  <si>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</si>
  <si>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</si>
  <si>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</si>
  <si>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</si>
  <si>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</si>
  <si>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</si>
  <si>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</si>
  <si>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</si>
  <si>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</si>
  <si>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</si>
  <si>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</si>
  <si>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</si>
  <si>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</si>
  <si>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</si>
  <si>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</si>
  <si>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</si>
  <si>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</si>
  <si>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</si>
  <si>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</si>
  <si>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</si>
  <si>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</si>
  <si>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</si>
  <si>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</si>
  <si>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</si>
  <si>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</si>
  <si>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</si>
  <si>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</si>
  <si>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</si>
  <si>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</si>
  <si>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</si>
  <si>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</si>
  <si>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</si>
  <si>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</si>
  <si>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</si>
  <si>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</si>
  <si>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</si>
  <si>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</si>
  <si>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</si>
  <si>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</si>
  <si>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</si>
  <si>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</si>
  <si>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</si>
  <si>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</si>
  <si>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</si>
  <si>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</si>
  <si>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</si>
  <si>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</si>
  <si>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</si>
  <si>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</si>
  <si>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</si>
  <si>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</si>
  <si>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</si>
  <si>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</si>
  <si>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</si>
  <si>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</si>
  <si>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</si>
  <si>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</si>
  <si>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</si>
  <si>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</si>
  <si>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</si>
  <si>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</si>
  <si>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</si>
  <si>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</si>
  <si>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</si>
  <si>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</si>
  <si>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</si>
  <si>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</si>
  <si>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</si>
  <si>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</si>
  <si>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</si>
  <si>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</si>
  <si>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</si>
  <si>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</si>
  <si>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</si>
  <si>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</si>
  <si>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</si>
  <si>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</si>
  <si>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</si>
  <si>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</si>
  <si>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</si>
  <si>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</si>
  <si>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</si>
  <si>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</si>
  <si>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</si>
  <si>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</si>
  <si>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</si>
  <si>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</si>
  <si>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</si>
  <si>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</si>
  <si>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</si>
  <si>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</si>
  <si>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</si>
  <si>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</si>
  <si>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</si>
  <si>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</si>
  <si>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</si>
  <si>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</si>
  <si>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</si>
  <si>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</si>
  <si>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</si>
  <si>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</si>
  <si>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</si>
  <si>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</si>
  <si>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</si>
  <si>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</si>
  <si>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</si>
  <si>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</si>
  <si>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</si>
  <si>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</si>
  <si>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</si>
  <si>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</si>
  <si>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</si>
  <si>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</si>
  <si>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</si>
  <si>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</si>
  <si>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</si>
  <si>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</si>
  <si>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</si>
  <si>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</si>
  <si>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</si>
  <si>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</si>
  <si>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</si>
  <si>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</si>
  <si>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</si>
  <si>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</si>
  <si>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</si>
  <si>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</si>
  <si>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</si>
  <si>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</si>
  <si>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</si>
  <si>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</si>
  <si>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</si>
  <si>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</si>
  <si>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</si>
  <si>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</si>
  <si>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</si>
  <si>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</si>
  <si>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</si>
  <si>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</si>
  <si>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</si>
  <si>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</si>
  <si>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</si>
  <si>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</si>
  <si>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</si>
  <si>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</si>
  <si>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</si>
  <si>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</si>
  <si>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</si>
  <si>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</si>
  <si>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</si>
  <si>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</si>
  <si>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</si>
  <si>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</si>
  <si>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</si>
  <si>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</si>
  <si>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</si>
  <si>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</si>
  <si>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</si>
  <si>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</si>
  <si>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</si>
  <si>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</si>
  <si>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</si>
  <si>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</si>
  <si>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</si>
  <si>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</si>
  <si>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</si>
  <si>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</si>
  <si>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</si>
  <si>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</si>
  <si>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</si>
  <si>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</si>
  <si>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</si>
  <si>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</si>
  <si>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</si>
  <si>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</si>
  <si>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</si>
  <si>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</si>
  <si>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</si>
  <si>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</si>
  <si>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</si>
  <si>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</si>
  <si>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</si>
  <si>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</si>
  <si>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</si>
  <si>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</si>
  <si>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</si>
  <si>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昆仑能源是中国国内销售规模最大的
天然气终端利用企业和 LPG 销售企业之一。</t>
  </si>
  <si>
    <t>N</t>
  </si>
  <si>
    <t>昆仑能源</t>
  </si>
  <si>
    <t>0135.HK</t>
  </si>
  <si>
    <t/>
  </si>
  <si>
    <t>ENG_02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</si>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</sst>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ACDDE7F-B1E4-4BD6-B1C6-8E7DA039EDE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8658801708</v>
          </cell>
        </row>
        <row r="12">
          <cell r="C12">
            <v>7.58</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427</v>
      </c>
      <c r="E1" s="292" t="s">
        <v>344</v>
      </c>
      <c r="F1" s="254" t="s">
        <v>553</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554</v>
      </c>
    </row>
    <row r="6" spans="1:10">
      <c r="B6" s="4" t="s">
        <v>460</v>
      </c>
      <c r="C6" s="51">
        <v>8658801708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555</v>
      </c>
      <c r="D11" s="49" t="s">
        <v>556</v>
      </c>
      <c r="E11" s="34"/>
    </row>
    <row r="12" spans="1:10">
      <c r="B12" s="4" t="s">
        <v>464</v>
      </c>
      <c r="C12" s="50">
        <v>7.59</v>
      </c>
      <c r="D12" s="50"/>
      <c r="E12" s="48"/>
    </row>
    <row r="13" spans="1:10">
      <c r="B13" s="1" t="s">
        <v>465</v>
      </c>
      <c r="C13" s="48" t="s">
        <v>377</v>
      </c>
      <c r="D13" s="48"/>
      <c r="E13" s="5"/>
    </row>
    <row r="14" spans="1:10">
      <c r="B14" s="4" t="s">
        <v>466</v>
      </c>
      <c r="C14" s="35">
        <f>Thesis!C12*Common_Shares/1000000</f>
        <v>65720.304963720002</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1.09192109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557</v>
      </c>
      <c r="D22" s="1" t="str">
        <f>IF(valuation_method="DDM","Terminal Value Discount Rate","")</f>
        <v/>
      </c>
      <c r="E22" s="313"/>
    </row>
    <row r="23" spans="2:6">
      <c r="B23" s="1" t="s">
        <v>411</v>
      </c>
      <c r="C23" s="262" t="s">
        <v>553</v>
      </c>
    </row>
    <row r="24" spans="2:6">
      <c r="B24" s="1" t="s">
        <v>412</v>
      </c>
      <c r="C24" s="262" t="s">
        <v>553</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12.956085561144668</v>
      </c>
      <c r="D26" s="1" t="s">
        <v>380</v>
      </c>
      <c r="E26" s="301">
        <f ca="1">Scenarios!C87</f>
        <v>0.23368025713785046</v>
      </c>
    </row>
    <row r="27" spans="2:6">
      <c r="D27" s="5"/>
      <c r="E27" s="5"/>
    </row>
    <row r="28" spans="2:6">
      <c r="B28" s="45" t="s">
        <v>410</v>
      </c>
      <c r="C28" s="309" t="str">
        <f>C145&amp;" ("&amp;Market_currency&amp;")"</f>
        <v>0135.HK (HKD)</v>
      </c>
      <c r="D28" s="309" t="str">
        <f>IF(D11="","",D145&amp;" ("&amp;D13&amp;")")</f>
        <v/>
      </c>
      <c r="E28" s="305" t="s">
        <v>406</v>
      </c>
      <c r="F28" s="303">
        <v>3</v>
      </c>
    </row>
    <row r="29" spans="2:6">
      <c r="B29" s="1" t="s">
        <v>402</v>
      </c>
      <c r="C29" s="310">
        <f>C149</f>
        <v>5.8506866755559459</v>
      </c>
      <c r="D29" s="310" t="str">
        <f>D149</f>
        <v/>
      </c>
      <c r="E29" s="306" t="s">
        <v>401</v>
      </c>
      <c r="F29" s="302">
        <v>0.35</v>
      </c>
    </row>
    <row r="30" spans="2:6">
      <c r="B30" s="1" t="s">
        <v>403</v>
      </c>
      <c r="C30" s="311">
        <f>C157</f>
        <v>7.306621391099414</v>
      </c>
      <c r="D30" s="311" t="str">
        <f>D157</f>
        <v/>
      </c>
      <c r="E30" s="307" t="s">
        <v>414</v>
      </c>
      <c r="F30" s="312">
        <v>0.25</v>
      </c>
    </row>
    <row r="31" spans="2:6">
      <c r="B31" s="1" t="s">
        <v>404</v>
      </c>
      <c r="C31" s="311">
        <f>C165</f>
        <v>11.325873870677544</v>
      </c>
      <c r="D31" s="311" t="str">
        <f>D165</f>
        <v/>
      </c>
      <c r="E31" s="307" t="s">
        <v>413</v>
      </c>
      <c r="F31" s="312">
        <v>7.4999999999999997E-2</v>
      </c>
    </row>
    <row r="32" spans="2:6">
      <c r="B32" s="1" t="s">
        <v>405</v>
      </c>
      <c r="C32" s="311">
        <f>C173</f>
        <v>10.118343730556358</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17421.507258354162</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900.8</v>
      </c>
      <c r="D48" s="1" t="str">
        <f>Reporting_currency</f>
        <v>CNY</v>
      </c>
    </row>
    <row r="50" spans="2:6">
      <c r="B50" s="373" t="s">
        <v>236</v>
      </c>
      <c r="C50" s="373"/>
      <c r="D50" s="373"/>
      <c r="E50" s="373"/>
      <c r="F50" s="373"/>
    </row>
    <row r="51" spans="2:6">
      <c r="B51" s="47" t="s">
        <v>331</v>
      </c>
      <c r="C51" s="350">
        <f>Normalized_FCF!C48</f>
        <v>279.60715984486581</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-523.39284015513419</v>
      </c>
      <c r="D53" s="1" t="str">
        <f>Reporting_currency</f>
        <v>CNY</v>
      </c>
    </row>
    <row r="55" spans="2:6">
      <c r="B55" s="1" t="s">
        <v>242</v>
      </c>
    </row>
    <row r="56" spans="2:6">
      <c r="B56" s="47" t="s">
        <v>261</v>
      </c>
      <c r="C56" s="349">
        <f>Normalized_FCF!C15</f>
        <v>-6118.862069912404</v>
      </c>
      <c r="D56" s="1" t="str">
        <f>Reporting_currency</f>
        <v>CNY</v>
      </c>
    </row>
    <row r="58" spans="2:6">
      <c r="B58" s="373" t="s">
        <v>237</v>
      </c>
      <c r="C58" s="373"/>
      <c r="D58" s="373"/>
      <c r="E58" s="373"/>
      <c r="F58" s="373"/>
    </row>
    <row r="59" spans="2:6">
      <c r="B59" s="47" t="s">
        <v>235</v>
      </c>
      <c r="C59" s="349">
        <f>Normalized_FCF!C14</f>
        <v>-4449.7286045497567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10305.038097958353</v>
      </c>
      <c r="D67" s="1" t="str">
        <f>Reporting_currency</f>
        <v>CNY</v>
      </c>
    </row>
    <row r="68" spans="1:6">
      <c r="B68" s="47" t="s">
        <v>244</v>
      </c>
      <c r="C68" s="349">
        <f>Normalized_FCF!C19</f>
        <v>7230.3237437368662</v>
      </c>
      <c r="D68" s="1" t="str">
        <f>Reporting_currency</f>
        <v>CNY</v>
      </c>
    </row>
    <row r="69" spans="1:6">
      <c r="B69" s="227" t="s">
        <v>371</v>
      </c>
      <c r="C69" s="92">
        <f>Normalized_FCF!C126</f>
        <v>0.12012943317399906</v>
      </c>
      <c r="F69" s="314"/>
    </row>
    <row r="70" spans="1:6">
      <c r="B70" s="227" t="s">
        <v>435</v>
      </c>
      <c r="C70" s="92">
        <f>Normalized_FCF!C94</f>
        <v>4.5431973678787874E-2</v>
      </c>
      <c r="E70" s="47" t="s">
        <v>425</v>
      </c>
      <c r="F70" s="315">
        <f>Normalized_FCF!C92</f>
        <v>0.4129556671456151</v>
      </c>
    </row>
    <row r="72" spans="1:6">
      <c r="B72" s="210" t="s">
        <v>428</v>
      </c>
      <c r="C72" s="323" t="s">
        <v>430</v>
      </c>
      <c r="D72" s="323" t="s">
        <v>431</v>
      </c>
    </row>
    <row r="73" spans="1:6">
      <c r="B73" s="47" t="s">
        <v>429</v>
      </c>
      <c r="C73" s="92">
        <f>Normalized_FCF!C121</f>
        <v>0.20035925500308469</v>
      </c>
      <c r="D73" s="92">
        <f>Normalized_FCF!G121</f>
        <v>0.19114130802001861</v>
      </c>
    </row>
    <row r="74" spans="1:6">
      <c r="B74" s="259" t="str">
        <f>Normalized_FCF!B118</f>
        <v>Pre-tax Profit/Sales</v>
      </c>
      <c r="C74" s="322">
        <f>Normalized_FCF!C118</f>
        <v>9.7688882646536926E-2</v>
      </c>
      <c r="D74" s="322">
        <f>Normalized_FCF!G118</f>
        <v>9.0780011857822959E-2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12.157098637208703</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24279</v>
      </c>
      <c r="D102" s="1" t="str">
        <f>Reporting_currency</f>
        <v>CNY</v>
      </c>
    </row>
    <row r="103" spans="2:6">
      <c r="B103" s="47" t="s">
        <v>276</v>
      </c>
      <c r="C103" s="223">
        <f>C102*scaling_factor*Exchange_Rate/Common_Shares</f>
        <v>3.0617114282241049</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17131.284015513422</v>
      </c>
      <c r="D109" s="1" t="str">
        <f>Reporting_currency</f>
        <v>CNY</v>
      </c>
    </row>
    <row r="110" spans="2:6">
      <c r="B110" s="47" t="s">
        <v>277</v>
      </c>
      <c r="C110" s="223">
        <f>C109*scaling_factor*Exchange_Rate/Common_Shares</f>
        <v>2.1603463095864894</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1.9975085062428365E-2</v>
      </c>
      <c r="D114" s="1" t="str">
        <f>Market_currency</f>
        <v>HKD</v>
      </c>
    </row>
    <row r="116" spans="1:6" ht="24.6" customHeight="1">
      <c r="B116" s="372" t="s">
        <v>352</v>
      </c>
      <c r="C116" s="372"/>
      <c r="D116" s="372"/>
      <c r="E116" s="372"/>
      <c r="F116" s="372"/>
    </row>
    <row r="118" spans="1:6">
      <c r="B118" s="47" t="s">
        <v>426</v>
      </c>
      <c r="C118" s="223">
        <f>IF(valuation_method="DCF",DCF!C12,DDM!C7)</f>
        <v>11.275708603633516</v>
      </c>
      <c r="D118" s="1" t="str">
        <f>Market_currency</f>
        <v>HKD</v>
      </c>
    </row>
    <row r="119" spans="1:6">
      <c r="B119" s="296" t="s">
        <v>550</v>
      </c>
      <c r="C119" s="223">
        <f>BS!D47</f>
        <v>-3.1887877742936066</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12.89 HKD</v>
      </c>
      <c r="F126" s="232">
        <f>DCF!F74</f>
        <v>0.05</v>
      </c>
    </row>
    <row r="127" spans="1:6">
      <c r="B127" s="218" t="str">
        <f>DCF!B75</f>
        <v>Optimistic</v>
      </c>
      <c r="C127" s="219">
        <f>DCF!C75</f>
        <v>0.03</v>
      </c>
      <c r="D127" s="220">
        <f>DCF!D75</f>
        <v>20</v>
      </c>
      <c r="E127" s="231" t="str">
        <f>ROUND(IF(valuation_method="DCF",DCF!E75,DDM!E70),2)&amp;" "&amp;Market_currency</f>
        <v>14.06 HKD</v>
      </c>
      <c r="F127" s="221">
        <f>DCF!F75</f>
        <v>0.18</v>
      </c>
    </row>
    <row r="128" spans="1:6">
      <c r="B128" s="218" t="str">
        <f>DCF!B76</f>
        <v>Base</v>
      </c>
      <c r="C128" s="219">
        <f>DCF!C76</f>
        <v>0.02</v>
      </c>
      <c r="D128" s="220">
        <f>DCF!D76</f>
        <v>20</v>
      </c>
      <c r="E128" s="231" t="str">
        <f>ROUND(IF(valuation_method="DCF",DCF!E76,DDM!E71),2)&amp;" "&amp;Market_currency</f>
        <v>13.03 HKD</v>
      </c>
      <c r="F128" s="221">
        <f>DCF!F76</f>
        <v>0.53999999999999992</v>
      </c>
    </row>
    <row r="129" spans="1:6">
      <c r="B129" s="218" t="str">
        <f>DCF!B77</f>
        <v>Pessimistic</v>
      </c>
      <c r="C129" s="219">
        <f>DCF!C77</f>
        <v>0.01</v>
      </c>
      <c r="D129" s="220">
        <f>DCF!D77</f>
        <v>20</v>
      </c>
      <c r="E129" s="231" t="str">
        <f>ROUND(IF(valuation_method="DCF",DCF!E77,DDM!E72),2)&amp;" "&amp;Market_currency</f>
        <v>12.11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12.956085561144668</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0.34482868022199997</v>
      </c>
      <c r="D143" s="212" t="str">
        <f>Market_currency</f>
        <v>HKD</v>
      </c>
    </row>
    <row r="145" spans="2:4">
      <c r="B145" s="210" t="s">
        <v>388</v>
      </c>
      <c r="C145" s="241" t="str">
        <f>C11</f>
        <v>0135.HK</v>
      </c>
      <c r="D145" s="241" t="str">
        <f>IF(D11="","",D11)</f>
        <v/>
      </c>
    </row>
    <row r="146" spans="2:4">
      <c r="B146" s="1" t="s">
        <v>387</v>
      </c>
      <c r="C146" s="297">
        <f>F29</f>
        <v>0.35</v>
      </c>
    </row>
    <row r="147" spans="2:4">
      <c r="B147" s="212" t="str">
        <f>"PV("&amp;C141&amp;" yrs of Dividends)"</f>
        <v>PV(3 yrs of Dividends)</v>
      </c>
      <c r="C147" s="216">
        <f>Scenarios!C81</f>
        <v>0.58478795639944925</v>
      </c>
    </row>
    <row r="148" spans="2:4">
      <c r="B148" s="212" t="str">
        <f>"+ PV(Equity Value realized at year "&amp;C141&amp;")"</f>
        <v>+ PV(Equity Value realized at year 3)</v>
      </c>
      <c r="C148" s="216">
        <f>Scenarios!C82</f>
        <v>5.265898719156497</v>
      </c>
    </row>
    <row r="149" spans="2:4">
      <c r="B149" s="80" t="s">
        <v>256</v>
      </c>
      <c r="C149" s="215">
        <f>Scenarios!C83</f>
        <v>5.8506866755559459</v>
      </c>
      <c r="D149" s="300" t="str">
        <f>IF($D$11="","",C149*$E$25)</f>
        <v/>
      </c>
    </row>
    <row r="150" spans="2:4">
      <c r="B150" s="259" t="s">
        <v>396</v>
      </c>
      <c r="C150" s="298" t="str">
        <f>Market_currency</f>
        <v>HKD</v>
      </c>
      <c r="D150" s="298" t="str">
        <f>IF($D$11="","",D$13)</f>
        <v/>
      </c>
    </row>
    <row r="151" spans="2:4">
      <c r="B151" s="214" t="s">
        <v>258</v>
      </c>
      <c r="C151" s="92">
        <f>Scenarios!F83</f>
        <v>0.54842173217023449</v>
      </c>
    </row>
    <row r="153" spans="2:4">
      <c r="B153" s="210" t="s">
        <v>391</v>
      </c>
    </row>
    <row r="154" spans="2:4">
      <c r="B154" s="1" t="s">
        <v>390</v>
      </c>
      <c r="C154" s="297">
        <f>Scenarios!C90</f>
        <v>0.25</v>
      </c>
    </row>
    <row r="155" spans="2:4">
      <c r="B155" s="212" t="str">
        <f>"PV("&amp;C141&amp;" yrs of Dividends)"</f>
        <v>PV(3 yrs of Dividends)</v>
      </c>
      <c r="C155" s="216">
        <f>Scenarios!C91</f>
        <v>0.67310558379334395</v>
      </c>
    </row>
    <row r="156" spans="2:4">
      <c r="B156" s="212" t="str">
        <f>"+ PV(Equity Value realized at year "&amp;C141&amp;")"</f>
        <v>+ PV(Equity Value realized at year 3)</v>
      </c>
      <c r="C156" s="216">
        <f>Scenarios!C92</f>
        <v>6.63351580730607</v>
      </c>
    </row>
    <row r="157" spans="2:4">
      <c r="B157" s="80" t="s">
        <v>256</v>
      </c>
      <c r="C157" s="215">
        <f>Scenarios!C93</f>
        <v>7.306621391099414</v>
      </c>
      <c r="D157" s="300" t="str">
        <f>IF($D$11="","",C157*$E$25)</f>
        <v/>
      </c>
    </row>
    <row r="158" spans="2:4">
      <c r="B158" s="259" t="s">
        <v>396</v>
      </c>
      <c r="C158" s="298" t="str">
        <f>Market_currency</f>
        <v>HKD</v>
      </c>
      <c r="D158" s="298" t="str">
        <f>IF($D$11="","",D$13)</f>
        <v/>
      </c>
    </row>
    <row r="159" spans="2:4">
      <c r="B159" s="214" t="s">
        <v>258</v>
      </c>
      <c r="C159" s="92">
        <f>Scenarios!F93</f>
        <v>0.43604714891571961</v>
      </c>
    </row>
    <row r="161" spans="2:4">
      <c r="B161" s="210" t="s">
        <v>381</v>
      </c>
    </row>
    <row r="162" spans="2:4">
      <c r="B162" s="1" t="s">
        <v>389</v>
      </c>
      <c r="C162" s="92">
        <f>Scenarios!C96</f>
        <v>7.4999999999999997E-2</v>
      </c>
    </row>
    <row r="163" spans="2:4">
      <c r="B163" s="212" t="str">
        <f>"PV("&amp;C141&amp;" yrs of Dividends)"</f>
        <v>PV(3 yrs of Dividends)</v>
      </c>
      <c r="C163" s="216">
        <f>Scenarios!C97</f>
        <v>0.89673585876338791</v>
      </c>
    </row>
    <row r="164" spans="2:4">
      <c r="B164" s="212" t="str">
        <f>"+ PV(Equity Value realized at year "&amp;C141&amp;")"</f>
        <v>+ PV(Equity Value realized at year 3)</v>
      </c>
      <c r="C164" s="216">
        <f>Scenarios!C98</f>
        <v>10.429138011914157</v>
      </c>
    </row>
    <row r="165" spans="2:4">
      <c r="B165" s="80" t="s">
        <v>382</v>
      </c>
      <c r="C165" s="215">
        <f>Scenarios!C99</f>
        <v>11.325873870677544</v>
      </c>
      <c r="D165" s="300" t="str">
        <f>IF($D$11="","",C165*$E$25)</f>
        <v/>
      </c>
    </row>
    <row r="166" spans="2:4">
      <c r="B166" s="259" t="s">
        <v>396</v>
      </c>
      <c r="C166" s="298" t="str">
        <f>Market_currency</f>
        <v>HKD</v>
      </c>
      <c r="D166" s="298" t="str">
        <f>IF($D$11="","",D$13)</f>
        <v/>
      </c>
    </row>
    <row r="167" spans="2:4">
      <c r="B167" s="214" t="s">
        <v>258</v>
      </c>
      <c r="C167" s="92">
        <f>Scenarios!F99</f>
        <v>0.12582594355166454</v>
      </c>
    </row>
    <row r="169" spans="2:4">
      <c r="B169" s="210" t="s">
        <v>409</v>
      </c>
    </row>
    <row r="170" spans="2:4">
      <c r="B170" s="1" t="s">
        <v>400</v>
      </c>
      <c r="C170" s="92">
        <f>F32</f>
        <v>0.1174</v>
      </c>
    </row>
    <row r="171" spans="2:4">
      <c r="B171" s="212" t="str">
        <f>"PV("&amp;C141&amp;" yrs of Dividends)"</f>
        <v>PV(3 yrs of Dividends)</v>
      </c>
      <c r="C171" s="216">
        <f>Scenarios!C103</f>
        <v>0.83193475181689591</v>
      </c>
    </row>
    <row r="172" spans="2:4">
      <c r="B172" s="212" t="str">
        <f>"+ PV(Equity Value realized at year "&amp;C141&amp;")"</f>
        <v>+ PV(Equity Value realized at year 3)</v>
      </c>
      <c r="C172" s="216">
        <f>Scenarios!C104</f>
        <v>9.2864089787394626</v>
      </c>
    </row>
    <row r="173" spans="2:4">
      <c r="B173" s="80" t="s">
        <v>382</v>
      </c>
      <c r="C173" s="215">
        <f>Scenarios!C105</f>
        <v>10.118343730556358</v>
      </c>
      <c r="D173" s="300" t="str">
        <f>IF($D$11="","",C173*$E$25)</f>
        <v/>
      </c>
    </row>
    <row r="174" spans="2:4">
      <c r="B174" s="259" t="s">
        <v>396</v>
      </c>
      <c r="C174" s="298" t="str">
        <f>Market_currency</f>
        <v>HKD</v>
      </c>
      <c r="D174" s="298" t="str">
        <f>IF($D$11="","",D$13)</f>
        <v/>
      </c>
    </row>
    <row r="175" spans="2:4">
      <c r="B175" s="214" t="s">
        <v>258</v>
      </c>
      <c r="C175" s="92">
        <f>Scenarios!F105</f>
        <v>0.22261917648858442</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12514</v>
      </c>
      <c r="D22" s="351">
        <v>14408</v>
      </c>
      <c r="E22" s="351">
        <v>14870</v>
      </c>
      <c r="F22" s="351">
        <v>12000</v>
      </c>
      <c r="G22" s="351">
        <v>16738</v>
      </c>
      <c r="H22" s="351">
        <v>16085</v>
      </c>
      <c r="I22" s="351">
        <v>17018</v>
      </c>
      <c r="J22" s="351">
        <v>13287</v>
      </c>
      <c r="K22" s="351">
        <v>15749</v>
      </c>
      <c r="L22" s="351">
        <v>13370</v>
      </c>
      <c r="M22" s="351"/>
    </row>
    <row r="23" spans="2:13">
      <c r="B23" s="27" t="s">
        <v>356</v>
      </c>
      <c r="C23" s="351">
        <v>-3491</v>
      </c>
      <c r="D23" s="351">
        <v>-1061</v>
      </c>
      <c r="E23" s="351">
        <v>-18452</v>
      </c>
      <c r="F23" s="351">
        <v>25602</v>
      </c>
      <c r="G23" s="351">
        <v>-8833</v>
      </c>
      <c r="H23" s="351">
        <v>-10277</v>
      </c>
      <c r="I23" s="351">
        <v>-7000</v>
      </c>
      <c r="J23" s="351">
        <v>-13493</v>
      </c>
      <c r="K23" s="351">
        <v>-23127</v>
      </c>
      <c r="L23" s="351">
        <v>-4719</v>
      </c>
      <c r="M23" s="351"/>
    </row>
    <row r="24" spans="2:13">
      <c r="B24" s="27" t="s">
        <v>355</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0.34482868022199997</v>
      </c>
      <c r="D25" s="39">
        <f>(0.2838)*Exchange_Rate</f>
        <v>0.30988720534199998</v>
      </c>
      <c r="E25" s="39">
        <f>0.2539*Exchange_Rate</f>
        <v>0.27723876475100001</v>
      </c>
      <c r="F25" s="39">
        <f>0.2078*Exchange_Rate</f>
        <v>0.22690120250200002</v>
      </c>
      <c r="G25" s="39"/>
      <c r="H25" s="39"/>
      <c r="I25" s="39"/>
      <c r="J25" s="39"/>
      <c r="K25" s="39"/>
      <c r="L25" s="39"/>
      <c r="M25" s="39"/>
    </row>
    <row r="27" spans="2:13">
      <c r="B27" s="16" t="s">
        <v>26</v>
      </c>
      <c r="C27" s="97" t="s">
        <v>559</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0.34482868022199997</v>
      </c>
      <c r="D65" s="73">
        <f t="shared" ref="D65:M65" si="33">IF(D$4="","",D25)</f>
        <v>0.30988720534199998</v>
      </c>
      <c r="E65" s="73">
        <f t="shared" si="33"/>
        <v>0.27723876475100001</v>
      </c>
      <c r="F65" s="73">
        <f t="shared" si="33"/>
        <v>0.22690120250200002</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8.2156364692685955</v>
      </c>
      <c r="D47" s="147">
        <f>D46*H1/Common_Shares*Exchange_Rate</f>
        <v>-3.1887877742936066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17131.284015513422</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-14497.400263772803</v>
      </c>
      <c r="D73" s="349">
        <f>(Normalized_FCF!C25+Normalized_FCF!C35-Normalized_FCF!C91)/12</f>
        <v>-13980.357992243289</v>
      </c>
      <c r="F73" s="1" t="s">
        <v>342</v>
      </c>
    </row>
    <row r="74" spans="2:6" ht="15" customHeight="1">
      <c r="B74" s="257" t="s">
        <v>312</v>
      </c>
      <c r="C74" s="258">
        <f>-$C$66/C73</f>
        <v>3.1103507649353719</v>
      </c>
      <c r="D74" s="258">
        <f>-$C$66/D73</f>
        <v>3.2253823560897623</v>
      </c>
      <c r="F74" s="253" t="s">
        <v>310</v>
      </c>
    </row>
    <row r="75" spans="2:6" ht="15" customHeight="1">
      <c r="B75" s="80" t="s">
        <v>311</v>
      </c>
      <c r="C75" s="320"/>
      <c r="D75" s="321">
        <f>MAX(-D73*D76,G5)</f>
        <v>27960.715984486578</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-26510.75214411</v>
      </c>
      <c r="D86" s="223">
        <f>C86*scaling_factor/Common_Shares</f>
        <v>-3.0617114282241049</v>
      </c>
      <c r="E86" s="240" t="str">
        <f>Market_currency</f>
        <v>HKD</v>
      </c>
    </row>
    <row r="87" spans="2:8" ht="15" customHeight="1">
      <c r="B87" s="238" t="s">
        <v>282</v>
      </c>
      <c r="C87" s="76">
        <f>DCF!C8*Exchange_Rate</f>
        <v>18706.010315318992</v>
      </c>
      <c r="D87" s="223">
        <f>C87*scaling_factor/Common_Shares</f>
        <v>2.1603463095864894</v>
      </c>
      <c r="E87" s="240" t="str">
        <f>Market_currency</f>
        <v>HKD</v>
      </c>
    </row>
    <row r="88" spans="2:8" ht="15" customHeight="1">
      <c r="B88" s="239" t="s">
        <v>185</v>
      </c>
      <c r="C88" s="76">
        <f>DCF!C9*Exchange_Rate</f>
        <v>172.96030065600002</v>
      </c>
      <c r="D88" s="223">
        <f>C88*scaling_factor/Common_Shares</f>
        <v>1.9975085062428365E-2</v>
      </c>
      <c r="E88" s="240" t="str">
        <f>Market_currency</f>
        <v>HKD</v>
      </c>
    </row>
    <row r="89" spans="2:8" ht="15" customHeight="1">
      <c r="B89" s="80" t="s">
        <v>286</v>
      </c>
      <c r="C89" s="180">
        <f>SUM(C86:C88)</f>
        <v>-7631.7815281350076</v>
      </c>
      <c r="D89" s="242">
        <f>SUM(D86:D88)</f>
        <v>-0.88139003357518708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-523.39284015513419</v>
      </c>
      <c r="E12" s="268"/>
      <c r="G12" s="328">
        <f>G50</f>
        <v>-208.96190204164509</v>
      </c>
      <c r="H12" s="328">
        <f t="shared" ref="H12:Q12" si="6">H50</f>
        <v>-420.52907596683838</v>
      </c>
      <c r="I12" s="328">
        <f t="shared" si="6"/>
        <v>-366.34997270748761</v>
      </c>
      <c r="J12" s="328">
        <f t="shared" si="6"/>
        <v>-454.97687492696269</v>
      </c>
      <c r="K12" s="328">
        <f t="shared" si="6"/>
        <v>-503.37309778052492</v>
      </c>
      <c r="L12" s="328">
        <f t="shared" si="6"/>
        <v>-818.09766300564797</v>
      </c>
      <c r="M12" s="328">
        <f t="shared" si="6"/>
        <v>-947.07595104622681</v>
      </c>
      <c r="N12" s="328">
        <f t="shared" si="6"/>
        <v>-1014.1627988839114</v>
      </c>
      <c r="O12" s="328">
        <f t="shared" si="6"/>
        <v>-468.59154886485817</v>
      </c>
      <c r="P12" s="328">
        <f t="shared" si="6"/>
        <v>-437.48165757763059</v>
      </c>
      <c r="Q12" s="328" t="str">
        <f t="shared" si="6"/>
        <v/>
      </c>
    </row>
    <row r="13" spans="1:17" ht="15.75" customHeight="1">
      <c r="A13" s="10"/>
      <c r="B13" s="70" t="s">
        <v>160</v>
      </c>
      <c r="C13" s="329">
        <f>SUM(C8:C12)</f>
        <v>17798.914418199027</v>
      </c>
      <c r="E13" s="268"/>
      <c r="G13" s="329">
        <f>IF(G$4="","",SUM(G8:G12))</f>
        <v>16980.038097958353</v>
      </c>
      <c r="H13" s="329">
        <f t="shared" ref="H13:Q13" si="7">IF(H$4="","",SUM(H8:H12))</f>
        <v>17261.470924033161</v>
      </c>
      <c r="I13" s="329">
        <f t="shared" si="7"/>
        <v>16973.650027292511</v>
      </c>
      <c r="J13" s="329">
        <f t="shared" si="7"/>
        <v>14670.023125073038</v>
      </c>
      <c r="K13" s="329">
        <f t="shared" si="7"/>
        <v>11589.626902219476</v>
      </c>
      <c r="L13" s="329">
        <f t="shared" si="7"/>
        <v>20402.902336994353</v>
      </c>
      <c r="M13" s="329">
        <f t="shared" si="7"/>
        <v>19208.924048953773</v>
      </c>
      <c r="N13" s="329">
        <f t="shared" si="7"/>
        <v>16944.83720111609</v>
      </c>
      <c r="O13" s="329">
        <f t="shared" si="7"/>
        <v>17752.408451135143</v>
      </c>
      <c r="P13" s="329">
        <f t="shared" si="7"/>
        <v>11857.518342422369</v>
      </c>
      <c r="Q13" s="329" t="str">
        <f t="shared" si="7"/>
        <v/>
      </c>
    </row>
    <row r="14" spans="1:17" ht="15.75" customHeight="1">
      <c r="A14" s="10"/>
      <c r="B14" s="2" t="s">
        <v>61</v>
      </c>
      <c r="C14" s="328">
        <f>-SUM(C8+C11,C12)*C43</f>
        <v>-4449.7286045497567</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7230.3237437368662</v>
      </c>
      <c r="D16" s="61"/>
      <c r="E16" s="276"/>
      <c r="F16" s="61"/>
      <c r="G16" s="329">
        <f>IF(G$4="","",SUM(G13:G15))</f>
        <v>10305.038097958353</v>
      </c>
      <c r="H16" s="329">
        <f t="shared" ref="H16:Q16" si="8">IF(H$4="","",SUM(H13:H15))</f>
        <v>10350.470924033161</v>
      </c>
      <c r="I16" s="329">
        <f t="shared" si="8"/>
        <v>10809.650027292511</v>
      </c>
      <c r="J16" s="329">
        <f t="shared" si="8"/>
        <v>8651.0231250730376</v>
      </c>
      <c r="K16" s="329">
        <f t="shared" si="8"/>
        <v>5607.6269022194756</v>
      </c>
      <c r="L16" s="329">
        <f t="shared" si="8"/>
        <v>12308.902336994353</v>
      </c>
      <c r="M16" s="329">
        <f t="shared" si="8"/>
        <v>11857.924048953773</v>
      </c>
      <c r="N16" s="329">
        <f t="shared" si="8"/>
        <v>10224.83720111609</v>
      </c>
      <c r="O16" s="329">
        <f t="shared" si="8"/>
        <v>11296.408451135143</v>
      </c>
      <c r="P16" s="329">
        <f t="shared" si="8"/>
        <v>7067.5183424223687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7230.3237437368662</v>
      </c>
      <c r="D19" s="27"/>
      <c r="E19" s="265"/>
      <c r="F19" s="27"/>
      <c r="G19" s="334">
        <f>IF(G$4="","",G16+G17)</f>
        <v>10305.038097958353</v>
      </c>
      <c r="H19" s="334">
        <f t="shared" ref="H19:Q19" si="9">IF(H$4="","",H16+H17)</f>
        <v>10350.470924033161</v>
      </c>
      <c r="I19" s="334">
        <f t="shared" si="9"/>
        <v>10809.650027292511</v>
      </c>
      <c r="J19" s="334">
        <f t="shared" si="9"/>
        <v>8651.0231250730376</v>
      </c>
      <c r="K19" s="334">
        <f t="shared" si="9"/>
        <v>5607.6269022194756</v>
      </c>
      <c r="L19" s="334">
        <f t="shared" si="9"/>
        <v>12308.902336994353</v>
      </c>
      <c r="M19" s="334">
        <f t="shared" si="9"/>
        <v>11857.924048953773</v>
      </c>
      <c r="N19" s="334">
        <f t="shared" si="9"/>
        <v>10224.83720111609</v>
      </c>
      <c r="O19" s="334">
        <f t="shared" si="9"/>
        <v>11296.408451135143</v>
      </c>
      <c r="P19" s="334">
        <f t="shared" si="9"/>
        <v>7067.5183424223687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324</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324</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324</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0.18421631223407589</v>
      </c>
      <c r="H43" s="6">
        <f t="shared" si="18"/>
        <v>0.19337865322662043</v>
      </c>
      <c r="I43" s="6">
        <f t="shared" si="18"/>
        <v>0.18787944813710061</v>
      </c>
      <c r="J43" s="6">
        <f t="shared" si="18"/>
        <v>0.18391245719229685</v>
      </c>
      <c r="K43" s="6">
        <f t="shared" si="18"/>
        <v>0.19957501820503368</v>
      </c>
      <c r="L43" s="6">
        <f t="shared" si="18"/>
        <v>0.19967747395492164</v>
      </c>
      <c r="M43" s="6">
        <f t="shared" si="18"/>
        <v>0.19636706305814378</v>
      </c>
      <c r="N43" s="6">
        <f t="shared" si="18"/>
        <v>0.20838205514110381</v>
      </c>
      <c r="O43" s="6">
        <f t="shared" si="18"/>
        <v>0.20847875431591631</v>
      </c>
      <c r="P43" s="6">
        <f t="shared" si="18"/>
        <v>0.21986050746158212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336</v>
      </c>
      <c r="C48" s="328">
        <f>BS!D75*C53</f>
        <v>279.60715984486581</v>
      </c>
      <c r="E48" s="268"/>
      <c r="G48" s="337">
        <f>IFERROR(IF(G$4="","",($C$48/$C$49)*G49),0)</f>
        <v>594.03809795835491</v>
      </c>
      <c r="H48" s="337">
        <f t="shared" ref="H48:Q48" si="19">IFERROR(IF(H$4="","",($C$48/$C$49)*H49),0)</f>
        <v>539.47092403316162</v>
      </c>
      <c r="I48" s="337">
        <f t="shared" si="19"/>
        <v>532.65002729251239</v>
      </c>
      <c r="J48" s="337">
        <f t="shared" si="19"/>
        <v>328.02312507303731</v>
      </c>
      <c r="K48" s="337">
        <f t="shared" si="19"/>
        <v>204.62690221947508</v>
      </c>
      <c r="L48" s="337">
        <f t="shared" si="19"/>
        <v>169.90233699435203</v>
      </c>
      <c r="M48" s="337">
        <f t="shared" si="19"/>
        <v>182.92404895377319</v>
      </c>
      <c r="N48" s="337">
        <f t="shared" si="19"/>
        <v>130.83720111608861</v>
      </c>
      <c r="O48" s="337">
        <f t="shared" si="19"/>
        <v>216.40845113514183</v>
      </c>
      <c r="P48" s="337">
        <f t="shared" si="19"/>
        <v>139.51834242236939</v>
      </c>
      <c r="Q48" s="337" t="str">
        <f t="shared" si="19"/>
        <v/>
      </c>
    </row>
    <row r="49" spans="1:17" ht="15.75" customHeight="1">
      <c r="A49" s="10"/>
      <c r="B49" s="287" t="s">
        <v>333</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-523.39284015513419</v>
      </c>
      <c r="E50" s="268"/>
      <c r="G50" s="329">
        <f>IF(G$4="","",(G47+G48))</f>
        <v>-208.96190204164509</v>
      </c>
      <c r="H50" s="329">
        <f t="shared" ref="H50:Q50" si="20">IF(H$4="","",(H47+H48))</f>
        <v>-420.52907596683838</v>
      </c>
      <c r="I50" s="329">
        <f t="shared" si="20"/>
        <v>-366.34997270748761</v>
      </c>
      <c r="J50" s="329">
        <f t="shared" si="20"/>
        <v>-454.97687492696269</v>
      </c>
      <c r="K50" s="329">
        <f t="shared" si="20"/>
        <v>-503.37309778052492</v>
      </c>
      <c r="L50" s="329">
        <f t="shared" si="20"/>
        <v>-818.09766300564797</v>
      </c>
      <c r="M50" s="329">
        <f t="shared" si="20"/>
        <v>-947.07595104622681</v>
      </c>
      <c r="N50" s="329">
        <f t="shared" si="20"/>
        <v>-1014.1627988839114</v>
      </c>
      <c r="O50" s="329">
        <f t="shared" si="20"/>
        <v>-468.59154886485817</v>
      </c>
      <c r="P50" s="329">
        <f t="shared" si="20"/>
        <v>-437.48165757763059</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327</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328</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2.8726281018393754E-3</v>
      </c>
      <c r="D80" s="27"/>
      <c r="E80" s="265"/>
      <c r="F80" s="27"/>
      <c r="G80" s="6">
        <f t="shared" ref="G80:Q80" si="31">IF(G$4="","",ABS(G12/G$4))</f>
        <v>1.1171685149195657E-3</v>
      </c>
      <c r="H80" s="6">
        <f t="shared" si="31"/>
        <v>2.3711282292298926E-3</v>
      </c>
      <c r="I80" s="6">
        <f t="shared" si="31"/>
        <v>2.1306353970332644E-3</v>
      </c>
      <c r="J80" s="6">
        <f t="shared" si="31"/>
        <v>3.2839171900291069E-3</v>
      </c>
      <c r="K80" s="6">
        <f t="shared" si="31"/>
        <v>4.6074919019553585E-3</v>
      </c>
      <c r="L80" s="6">
        <f t="shared" si="31"/>
        <v>7.2198041090223361E-3</v>
      </c>
      <c r="M80" s="6">
        <f t="shared" si="31"/>
        <v>8.9795766667889153E-3</v>
      </c>
      <c r="N80" s="6">
        <f t="shared" si="31"/>
        <v>1.1432854585754193E-2</v>
      </c>
      <c r="O80" s="6">
        <f t="shared" si="31"/>
        <v>5.7227662839800953E-3</v>
      </c>
      <c r="P80" s="6">
        <f t="shared" si="31"/>
        <v>1.050603149726545E-2</v>
      </c>
      <c r="Q80" s="6" t="str">
        <f t="shared" si="31"/>
        <v/>
      </c>
    </row>
    <row r="81" spans="1:17" ht="15.75" customHeight="1">
      <c r="A81" s="10"/>
      <c r="B81" s="70" t="s">
        <v>160</v>
      </c>
      <c r="C81" s="78">
        <f>C13/C4</f>
        <v>9.7688882646536926E-2</v>
      </c>
      <c r="D81" s="27"/>
      <c r="E81" s="265"/>
      <c r="F81" s="27"/>
      <c r="G81" s="65">
        <f t="shared" ref="G81:Q81" si="32">IF(G$4="","",G13/G$4)</f>
        <v>9.0780011857822959E-2</v>
      </c>
      <c r="H81" s="65">
        <f t="shared" si="32"/>
        <v>9.7327779040975462E-2</v>
      </c>
      <c r="I81" s="65">
        <f t="shared" si="32"/>
        <v>9.8716151929072904E-2</v>
      </c>
      <c r="J81" s="65">
        <f t="shared" si="32"/>
        <v>0.10588481255511153</v>
      </c>
      <c r="K81" s="65">
        <f t="shared" si="32"/>
        <v>0.1060825704315702</v>
      </c>
      <c r="L81" s="65">
        <f t="shared" si="32"/>
        <v>0.18005791336381838</v>
      </c>
      <c r="M81" s="65">
        <f t="shared" si="32"/>
        <v>0.18212689910831301</v>
      </c>
      <c r="N81" s="65">
        <f t="shared" si="32"/>
        <v>0.1910224471976652</v>
      </c>
      <c r="O81" s="65">
        <f t="shared" si="32"/>
        <v>0.21680477334621948</v>
      </c>
      <c r="P81" s="65">
        <f t="shared" si="32"/>
        <v>0.28475584982162699</v>
      </c>
      <c r="Q81" s="65" t="str">
        <f t="shared" si="32"/>
        <v/>
      </c>
    </row>
    <row r="82" spans="1:17" ht="15.75" customHeight="1">
      <c r="A82" s="10"/>
      <c r="B82" s="2" t="s">
        <v>61</v>
      </c>
      <c r="C82" s="77">
        <f>ABS(C14/C$4)</f>
        <v>2.4422220661634231E-2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3.9683445355306622E-2</v>
      </c>
      <c r="D84" s="27"/>
      <c r="E84" s="265"/>
      <c r="F84" s="27"/>
      <c r="G84" s="65">
        <f t="shared" ref="G84:Q84" si="35">IF(G$4="","",ABS(G16/G$4))</f>
        <v>5.5093603166912704E-2</v>
      </c>
      <c r="H84" s="65">
        <f t="shared" si="35"/>
        <v>5.8360515827289836E-2</v>
      </c>
      <c r="I84" s="65">
        <f t="shared" si="35"/>
        <v>6.2867270898039548E-2</v>
      </c>
      <c r="J84" s="65">
        <f t="shared" si="35"/>
        <v>6.2441071441987468E-2</v>
      </c>
      <c r="K84" s="65">
        <f t="shared" si="35"/>
        <v>5.1327922876856738E-2</v>
      </c>
      <c r="L84" s="65">
        <f t="shared" si="35"/>
        <v>0.10862745083965965</v>
      </c>
      <c r="M84" s="65">
        <f t="shared" si="35"/>
        <v>0.11242935478291242</v>
      </c>
      <c r="N84" s="65">
        <f t="shared" si="35"/>
        <v>0.11526657949987701</v>
      </c>
      <c r="O84" s="65">
        <f t="shared" si="35"/>
        <v>0.13795960591015294</v>
      </c>
      <c r="P84" s="65">
        <f t="shared" si="35"/>
        <v>0.16972499081247733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3.9683445355306622E-2</v>
      </c>
      <c r="D87" s="75"/>
      <c r="E87" s="265"/>
      <c r="F87" s="75"/>
      <c r="G87" s="65">
        <f t="shared" ref="G87:Q87" si="36">IF(G$4="","",ABS(G19/G$4))</f>
        <v>5.5093603166912704E-2</v>
      </c>
      <c r="H87" s="65">
        <f t="shared" si="36"/>
        <v>5.8360515827289836E-2</v>
      </c>
      <c r="I87" s="65">
        <f t="shared" si="36"/>
        <v>6.2867270898039548E-2</v>
      </c>
      <c r="J87" s="65">
        <f t="shared" si="36"/>
        <v>6.2441071441987468E-2</v>
      </c>
      <c r="K87" s="65">
        <f t="shared" si="36"/>
        <v>5.1327922876856738E-2</v>
      </c>
      <c r="L87" s="65">
        <f t="shared" si="36"/>
        <v>0.10862745083965965</v>
      </c>
      <c r="M87" s="65">
        <f t="shared" si="36"/>
        <v>0.11242935478291242</v>
      </c>
      <c r="N87" s="65">
        <f t="shared" si="36"/>
        <v>0.11526657949987701</v>
      </c>
      <c r="O87" s="65">
        <f t="shared" si="36"/>
        <v>0.13795960591015294</v>
      </c>
      <c r="P87" s="65">
        <f t="shared" si="36"/>
        <v>0.16972499081247733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0.34482868022199997</v>
      </c>
      <c r="E90" s="268"/>
      <c r="G90" s="112">
        <f>Data!C65</f>
        <v>0.34482868022199997</v>
      </c>
      <c r="H90" s="112">
        <f>Data!D65</f>
        <v>0.30988720534199998</v>
      </c>
      <c r="I90" s="112">
        <f>Data!E65</f>
        <v>0.27723876475100001</v>
      </c>
      <c r="J90" s="112">
        <f>Data!F65</f>
        <v>0.22690120250200002</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2985.803165273639</v>
      </c>
      <c r="E91" s="268"/>
      <c r="G91" s="74">
        <f t="shared" ref="G91:Q91" si="37">IF(G$4="","",G90*Common_Shares/scaling_factor)</f>
        <v>2985.803165273639</v>
      </c>
      <c r="H91" s="74">
        <f t="shared" si="37"/>
        <v>2683.2518629026563</v>
      </c>
      <c r="I91" s="74">
        <f t="shared" si="37"/>
        <v>2400.5554897497691</v>
      </c>
      <c r="J91" s="74">
        <f t="shared" si="37"/>
        <v>1964.6925197715716</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0.4129556671456151</v>
      </c>
      <c r="E92" s="268"/>
      <c r="G92" s="170">
        <f t="shared" ref="G92:Q92" si="38">IF(G$4="","",G90/(G19*scaling_factor/Common_Shares))</f>
        <v>0.28974207925201073</v>
      </c>
      <c r="H92" s="170">
        <f t="shared" si="38"/>
        <v>0.25923959234282851</v>
      </c>
      <c r="I92" s="170">
        <f t="shared" si="38"/>
        <v>0.22207522756877221</v>
      </c>
      <c r="J92" s="170">
        <f t="shared" si="38"/>
        <v>0.2271052211243493</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4.5431973678787874E-2</v>
      </c>
      <c r="E94" s="268"/>
      <c r="G94" s="23">
        <f t="shared" ref="G94:Q94" si="39">IF(G$4="","",(G90*(1-dividend_tax_rate))/Market_Price)</f>
        <v>4.5431973678787874E-2</v>
      </c>
      <c r="H94" s="23">
        <f t="shared" si="39"/>
        <v>4.0828353800000002E-2</v>
      </c>
      <c r="I94" s="23">
        <f t="shared" si="39"/>
        <v>3.6526846475757581E-2</v>
      </c>
      <c r="J94" s="23">
        <f t="shared" si="39"/>
        <v>2.9894756587878792E-2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4.8225823494420395E-2</v>
      </c>
      <c r="D98" s="27"/>
      <c r="E98" s="265"/>
      <c r="F98" s="27"/>
      <c r="G98" s="6">
        <f t="shared" ref="G98:Q98" si="41">IF(H5="","",G13/H13-1)</f>
        <v>-1.6304104517707585E-2</v>
      </c>
      <c r="H98" s="6">
        <f t="shared" si="41"/>
        <v>1.6956924190015377E-2</v>
      </c>
      <c r="I98" s="6">
        <f t="shared" si="41"/>
        <v>0.15702953448534562</v>
      </c>
      <c r="J98" s="6">
        <f t="shared" si="41"/>
        <v>0.26578907576944077</v>
      </c>
      <c r="K98" s="6">
        <f t="shared" si="41"/>
        <v>-0.4319618497999046</v>
      </c>
      <c r="L98" s="6">
        <f t="shared" si="41"/>
        <v>6.2157478732163041E-2</v>
      </c>
      <c r="M98" s="6">
        <f t="shared" si="41"/>
        <v>0.13361514312386302</v>
      </c>
      <c r="N98" s="6">
        <f t="shared" si="41"/>
        <v>-4.5490799304328422E-2</v>
      </c>
      <c r="O98" s="6">
        <f t="shared" si="41"/>
        <v>0.49714366349514827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373</v>
      </c>
      <c r="C115" s="169"/>
      <c r="E115" s="268"/>
      <c r="G115" s="295">
        <f>IF(G$4="","",Data!C$22/G19)</f>
        <v>1.2143574706899229</v>
      </c>
      <c r="H115" s="295">
        <f>IF(H$4="","",Data!D$22/H19)</f>
        <v>1.3920139581809272</v>
      </c>
      <c r="I115" s="295">
        <f>IF(I$4="","",Data!E$22/I19)</f>
        <v>1.3756227040150053</v>
      </c>
      <c r="J115" s="295">
        <f>IF(J$4="","",Data!F$22/J19)</f>
        <v>1.3871191680462289</v>
      </c>
      <c r="K115" s="295">
        <f>IF(K$4="","",Data!G$22/K19)</f>
        <v>2.9848633462713376</v>
      </c>
      <c r="L115" s="295">
        <f>IF(L$4="","",Data!H$22/L19)</f>
        <v>1.3067777742988993</v>
      </c>
      <c r="M115" s="295">
        <f>IF(M$4="","",Data!I$22/M19)</f>
        <v>1.4351584585753441</v>
      </c>
      <c r="N115" s="295">
        <f>IF(N$4="","",Data!J$22/N19)</f>
        <v>1.2994827926013004</v>
      </c>
      <c r="O115" s="295">
        <f>IF(O$4="","",Data!K$22/O19)</f>
        <v>1.3941599286291237</v>
      </c>
      <c r="P115" s="295">
        <f>IF(P$4="","",Data!L$22/P19)</f>
        <v>1.8917531376957808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9.7688882646536926E-2</v>
      </c>
      <c r="E118" s="268"/>
      <c r="G118" s="23">
        <f t="shared" ref="G118:Q118" si="45">IF(G4="","",IF(valuation_method="DDM",G13/(G4+G12),G81))</f>
        <v>9.0780011857822959E-2</v>
      </c>
      <c r="H118" s="23">
        <f t="shared" si="45"/>
        <v>9.7327779040975462E-2</v>
      </c>
      <c r="I118" s="23">
        <f t="shared" si="45"/>
        <v>9.8716151929072904E-2</v>
      </c>
      <c r="J118" s="23">
        <f t="shared" si="45"/>
        <v>0.10588481255511153</v>
      </c>
      <c r="K118" s="23">
        <f t="shared" si="45"/>
        <v>0.1060825704315702</v>
      </c>
      <c r="L118" s="23">
        <f t="shared" si="45"/>
        <v>0.18005791336381838</v>
      </c>
      <c r="M118" s="23">
        <f t="shared" si="45"/>
        <v>0.18212689910831301</v>
      </c>
      <c r="N118" s="23">
        <f t="shared" si="45"/>
        <v>0.1910224471976652</v>
      </c>
      <c r="O118" s="23">
        <f t="shared" si="45"/>
        <v>0.21680477334621948</v>
      </c>
      <c r="P118" s="23">
        <f t="shared" si="45"/>
        <v>0.28475584982162699</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0.20035925500308469</v>
      </c>
      <c r="D121" s="103"/>
      <c r="E121" s="271"/>
      <c r="F121" s="103"/>
      <c r="G121" s="102">
        <f t="shared" ref="G121:Q121" si="48">IF(G$4="","",G13/G106)</f>
        <v>0.19114130802001861</v>
      </c>
      <c r="H121" s="102">
        <f t="shared" si="48"/>
        <v>0.20122251406494482</v>
      </c>
      <c r="I121" s="102">
        <f t="shared" si="48"/>
        <v>0.21032502326203206</v>
      </c>
      <c r="J121" s="102">
        <f t="shared" si="48"/>
        <v>0.19338030246204291</v>
      </c>
      <c r="K121" s="102">
        <f t="shared" si="48"/>
        <v>0.1371115371682359</v>
      </c>
      <c r="L121" s="102">
        <f t="shared" si="48"/>
        <v>0.25766120271508941</v>
      </c>
      <c r="M121" s="102">
        <f t="shared" si="48"/>
        <v>0.27404519714888254</v>
      </c>
      <c r="N121" s="102">
        <f t="shared" si="48"/>
        <v>0.25820704306462611</v>
      </c>
      <c r="O121" s="102">
        <f t="shared" si="48"/>
        <v>0.26774668493333853</v>
      </c>
      <c r="P121" s="102">
        <f t="shared" si="48"/>
        <v>0.16861268332891144</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0.91178239779065284</v>
      </c>
      <c r="D125" s="27"/>
      <c r="E125" s="265"/>
      <c r="F125" s="27"/>
      <c r="G125" s="177">
        <f t="shared" ref="G125:Q125" si="49">IF(G$4="","",G16*$C$3/Common_Shares*Exchange_Rate)</f>
        <v>1.2995202814285549</v>
      </c>
      <c r="H125" s="177">
        <f t="shared" si="49"/>
        <v>1.3052496031802647</v>
      </c>
      <c r="I125" s="177">
        <f t="shared" si="49"/>
        <v>1.3631545378172285</v>
      </c>
      <c r="J125" s="177">
        <f t="shared" si="49"/>
        <v>1.0909401691942475</v>
      </c>
      <c r="K125" s="177">
        <f t="shared" si="49"/>
        <v>0.7071516690037607</v>
      </c>
      <c r="L125" s="177">
        <f t="shared" si="49"/>
        <v>1.5522182525668278</v>
      </c>
      <c r="M125" s="177">
        <f t="shared" si="49"/>
        <v>1.4953474844802181</v>
      </c>
      <c r="N125" s="177">
        <f t="shared" si="49"/>
        <v>1.2894065204657565</v>
      </c>
      <c r="O125" s="177">
        <f t="shared" si="49"/>
        <v>1.4245373719151462</v>
      </c>
      <c r="P125" s="177">
        <f t="shared" si="49"/>
        <v>0.89125176811969409</v>
      </c>
      <c r="Q125" s="177" t="str">
        <f t="shared" si="49"/>
        <v/>
      </c>
    </row>
    <row r="126" spans="1:17" ht="15.75" customHeight="1">
      <c r="A126" s="10"/>
      <c r="B126" s="27" t="s">
        <v>264</v>
      </c>
      <c r="C126" s="77">
        <f>C19*Exchange_Rate*$C$3/(Market_Price*Common_Shares)</f>
        <v>0.12012943317399906</v>
      </c>
      <c r="D126" s="27"/>
      <c r="E126" s="265"/>
      <c r="F126" s="27"/>
      <c r="G126" s="77">
        <f t="shared" ref="G126" si="50">IF(G$4="","",G125/Market_Price)</f>
        <v>0.17121479333709552</v>
      </c>
      <c r="H126" s="77">
        <f t="shared" ref="H126" si="51">IF(H$4="","",H125/Market_Price)</f>
        <v>0.17196964468778192</v>
      </c>
      <c r="I126" s="77">
        <f t="shared" ref="I126" si="52">IF(I$4="","",I125/Market_Price)</f>
        <v>0.17959875333560324</v>
      </c>
      <c r="J126" s="77">
        <f t="shared" ref="J126" si="53">IF(J$4="","",J125/Market_Price)</f>
        <v>0.14373388263428821</v>
      </c>
      <c r="K126" s="77">
        <f t="shared" ref="K126" si="54">IF(K$4="","",K125/Market_Price)</f>
        <v>9.3168862846345291E-2</v>
      </c>
      <c r="L126" s="77">
        <f t="shared" ref="L126" si="55">IF(L$4="","",L125/Market_Price)</f>
        <v>0.20450833367151883</v>
      </c>
      <c r="M126" s="77">
        <f t="shared" ref="M126" si="56">IF(M$4="","",M125/Market_Price)</f>
        <v>0.19701547885114865</v>
      </c>
      <c r="N126" s="77">
        <f t="shared" ref="N126" si="57">IF(N$4="","",N125/Market_Price)</f>
        <v>0.16988228201129862</v>
      </c>
      <c r="O126" s="77">
        <f t="shared" ref="O126" si="58">IF(O$4="","",O125/Market_Price)</f>
        <v>0.1876860832562775</v>
      </c>
      <c r="P126" s="77">
        <f t="shared" ref="P126" si="59">IF(P$4="","",P125/Market_Price)</f>
        <v>0.11742447537808881</v>
      </c>
      <c r="Q126" s="77" t="str">
        <f t="shared" ref="Q126" si="60">IF(Q$4="","",Q125/Market_Price)</f>
        <v/>
      </c>
    </row>
    <row r="127" spans="1:17" ht="15.75" customHeight="1">
      <c r="B127" s="2" t="s">
        <v>375</v>
      </c>
      <c r="C127" s="169"/>
      <c r="G127" s="23">
        <f>IF(G$4="","",(Data!C47*$C$3)/(Market_Price*Common_Shares))</f>
        <v>0.14465848880719909</v>
      </c>
      <c r="H127" s="23">
        <f>IF(H$4="","",(Data!D47*$C$3)/(Market_Price*Common_Shares))</f>
        <v>0.14082405742196566</v>
      </c>
      <c r="I127" s="23">
        <f>IF(I$4="","",(Data!E47*$C$3)/(Market_Price*Common_Shares))</f>
        <v>0.12481682798837215</v>
      </c>
      <c r="J127" s="23">
        <f>IF(J$4="","",(Data!F47*$C$3)/(Market_Price*Common_Shares))</f>
        <v>0.40074372774957423</v>
      </c>
      <c r="K127" s="23">
        <f>IF(K$4="","",(Data!G47*$C$3)/(Market_Price*Common_Shares))</f>
        <v>0.14808208825830035</v>
      </c>
      <c r="L127" s="23">
        <f>IF(L$4="","",(Data!H47*$C$3)/(Market_Price*Common_Shares))</f>
        <v>0.14563231265106788</v>
      </c>
      <c r="M127" s="23">
        <f>IF(M$4="","",(Data!I47*$C$3)/(Market_Price*Common_Shares))</f>
        <v>0.12496898796397665</v>
      </c>
      <c r="N127" s="23">
        <f>IF(N$4="","",(Data!J47*$C$3)/(Market_Price*Common_Shares))</f>
        <v>0.12095196460801783</v>
      </c>
      <c r="O127" s="23">
        <f>IF(O$4="","",(Data!K47*$C$3)/(Market_Price*Common_Shares))</f>
        <v>5.1947415671376632E-2</v>
      </c>
      <c r="P127" s="23">
        <f>IF(P$4="","",(Data!L47*$C$3)/(Market_Price*Common_Shares))</f>
        <v>3.530111434024423E-2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7230.3237437368662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96404.316583158216</v>
      </c>
      <c r="D6" t="str">
        <f>Reporting_currency</f>
        <v>CNY</v>
      </c>
      <c r="E6" s="378" t="s">
        <v>245</v>
      </c>
      <c r="F6" s="378"/>
      <c r="H6" s="120"/>
    </row>
    <row r="7" spans="2:8">
      <c r="B7" s="148" t="s">
        <v>220</v>
      </c>
      <c r="C7" s="338">
        <f>BS!G31</f>
        <v>24279</v>
      </c>
      <c r="D7" t="str">
        <f>Reporting_currency</f>
        <v>CNY</v>
      </c>
      <c r="E7" s="378"/>
      <c r="F7" s="378"/>
      <c r="H7" s="120"/>
    </row>
    <row r="8" spans="2:8">
      <c r="B8" s="148" t="s">
        <v>221</v>
      </c>
      <c r="C8" s="338">
        <f>BS!D66</f>
        <v>17131.284015513422</v>
      </c>
      <c r="D8" t="str">
        <f>Reporting_currency</f>
        <v>CNY</v>
      </c>
      <c r="E8" s="378"/>
      <c r="F8" s="378"/>
      <c r="H8" s="120"/>
    </row>
    <row r="9" spans="2:8">
      <c r="B9" s="205" t="s">
        <v>186</v>
      </c>
      <c r="C9" s="348">
        <f>BS!H42</f>
        <v>158.4</v>
      </c>
      <c r="D9" t="str">
        <f>Reporting_currency</f>
        <v>CNY</v>
      </c>
      <c r="E9" s="378"/>
      <c r="F9" s="378"/>
      <c r="H9" s="120"/>
    </row>
    <row r="10" spans="2:8" ht="13.15">
      <c r="B10" s="149" t="s">
        <v>223</v>
      </c>
      <c r="C10" s="347">
        <f>C6-C7+C8+C9</f>
        <v>89415.000598671628</v>
      </c>
      <c r="D10" t="str">
        <f>Reporting_currency</f>
        <v>CNY</v>
      </c>
      <c r="H10" s="120"/>
    </row>
    <row r="11" spans="2:8" ht="13.15" thickBot="1">
      <c r="B11" s="207" t="s">
        <v>162</v>
      </c>
      <c r="C11" s="208">
        <f>Exchange_Rate</f>
        <v>1.09192109</v>
      </c>
      <c r="D11" t="str">
        <f>Thesis!C15</f>
        <v>CNY/HKD</v>
      </c>
      <c r="H11" s="120"/>
    </row>
    <row r="12" spans="2:8" ht="13.5" thickTop="1">
      <c r="B12" s="149" t="s">
        <v>99</v>
      </c>
      <c r="C12" s="111">
        <f>(C10*scaling_factor)/Common_Shares*Exchange_Rate</f>
        <v>11.275708603633516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1.983423674168E-2</v>
      </c>
      <c r="H16" s="120"/>
    </row>
    <row r="17" spans="2:17" ht="13.35" customHeight="1">
      <c r="B17" s="118" t="s">
        <v>130</v>
      </c>
      <c r="C17" s="162">
        <f>Scenarios!C64</f>
        <v>20</v>
      </c>
      <c r="H17" s="120"/>
    </row>
    <row r="18" spans="2:17" ht="13.35" customHeight="1">
      <c r="B18" s="153" t="s">
        <v>103</v>
      </c>
      <c r="C18" s="140">
        <f>(F52-C7+C8+C9)*Exchange_Rate/Common_Shares*scaling_factor</f>
        <v>13.015942025495272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7373.7316965891332</v>
      </c>
      <c r="D21" s="138">
        <f>IF($C$17&lt;B21,0,DCF!$C$16)</f>
        <v>1.983423674168E-2</v>
      </c>
      <c r="E21" s="124">
        <f t="shared" ref="E21:E50" si="0">IF($C$17&lt;B21,0,1/(1+Equity_Cost)^B21)</f>
        <v>0.93023255813953487</v>
      </c>
      <c r="F21" s="125">
        <f t="shared" ref="F21:F51" si="1">C21*E21</f>
        <v>6859.2852991526815</v>
      </c>
      <c r="H21" s="120"/>
    </row>
    <row r="22" spans="2:17">
      <c r="B22" s="122">
        <v>2</v>
      </c>
      <c r="C22" s="123">
        <f t="shared" ref="C22:C50" si="2">IF(ROW()-ROW($C$21)&lt;$C$17, $C$21*(1+D22)^(ROW()-ROW($C$21)), 0)</f>
        <v>7519.9840367289116</v>
      </c>
      <c r="D22" s="138">
        <f>IF($C$17&lt;B22,0,DCF!$C$16)</f>
        <v>1.983423674168E-2</v>
      </c>
      <c r="E22" s="124">
        <f t="shared" si="0"/>
        <v>0.86533261222282321</v>
      </c>
      <c r="F22" s="125">
        <f t="shared" si="1"/>
        <v>6507.2874303765602</v>
      </c>
      <c r="H22" s="120"/>
    </row>
    <row r="23" spans="2:17">
      <c r="B23" s="122">
        <v>3</v>
      </c>
      <c r="C23" s="123">
        <f t="shared" si="2"/>
        <v>7669.1371804070468</v>
      </c>
      <c r="D23" s="138">
        <f>IF($C$17&lt;B23,0,DCF!$C$16)</f>
        <v>1.983423674168E-2</v>
      </c>
      <c r="E23" s="124">
        <f t="shared" si="0"/>
        <v>0.80496056950960304</v>
      </c>
      <c r="F23" s="125">
        <f t="shared" si="1"/>
        <v>6173.3530323877276</v>
      </c>
      <c r="G23" s="338"/>
      <c r="H23" s="339"/>
      <c r="I23" s="338"/>
      <c r="J23" s="338"/>
      <c r="K23" s="338"/>
      <c r="L23" s="338"/>
      <c r="M23" s="338"/>
      <c r="N23" s="338"/>
      <c r="O23" s="338"/>
      <c r="P23" s="338"/>
      <c r="Q23" s="338"/>
    </row>
    <row r="24" spans="2:17">
      <c r="B24" s="122">
        <v>4</v>
      </c>
      <c r="C24" s="123">
        <f t="shared" si="2"/>
        <v>7821.2486628476599</v>
      </c>
      <c r="D24" s="138">
        <f>IF($C$17&lt;B24,0,DCF!$C$16)</f>
        <v>1.983423674168E-2</v>
      </c>
      <c r="E24" s="124">
        <f t="shared" si="0"/>
        <v>0.7488005297763749</v>
      </c>
      <c r="F24" s="125">
        <f t="shared" si="1"/>
        <v>5856.5551422530916</v>
      </c>
      <c r="G24" s="338"/>
      <c r="H24" s="339"/>
      <c r="I24" s="338"/>
      <c r="J24" s="338"/>
      <c r="K24" s="338"/>
      <c r="L24" s="338"/>
      <c r="M24" s="338"/>
      <c r="N24" s="338"/>
      <c r="O24" s="338"/>
      <c r="P24" s="338"/>
      <c r="Q24" s="338"/>
    </row>
    <row r="25" spans="2:17">
      <c r="B25" s="122">
        <v>5</v>
      </c>
      <c r="C25" s="123">
        <f t="shared" si="2"/>
        <v>7976.377160442129</v>
      </c>
      <c r="D25" s="138">
        <f>IF($C$17&lt;B25,0,DCF!$C$16)</f>
        <v>1.983423674168E-2</v>
      </c>
      <c r="E25" s="124">
        <f t="shared" si="0"/>
        <v>0.69655863235011617</v>
      </c>
      <c r="F25" s="125">
        <f t="shared" si="1"/>
        <v>5556.0143659862724</v>
      </c>
      <c r="G25" s="338"/>
      <c r="H25" s="339"/>
      <c r="I25" s="338"/>
      <c r="J25" s="338"/>
      <c r="K25" s="338"/>
      <c r="L25" s="338"/>
      <c r="M25" s="338"/>
      <c r="N25" s="338"/>
      <c r="O25" s="338"/>
      <c r="P25" s="338"/>
      <c r="Q25" s="338"/>
    </row>
    <row r="26" spans="2:17">
      <c r="B26" s="122">
        <v>6</v>
      </c>
      <c r="C26" s="123">
        <f t="shared" si="2"/>
        <v>8134.5825133832668</v>
      </c>
      <c r="D26" s="138">
        <f>IF($C$17&lt;B26,0,DCF!$C$16)</f>
        <v>1.983423674168E-2</v>
      </c>
      <c r="E26" s="124">
        <f t="shared" si="0"/>
        <v>0.64796151846522443</v>
      </c>
      <c r="F26" s="125">
        <f t="shared" si="1"/>
        <v>5270.896437452483</v>
      </c>
      <c r="H26" s="120"/>
    </row>
    <row r="27" spans="2:17">
      <c r="B27" s="122">
        <v>7</v>
      </c>
      <c r="C27" s="123">
        <f t="shared" si="2"/>
        <v>8295.925748748441</v>
      </c>
      <c r="D27" s="138">
        <f>IF($C$17&lt;B27,0,DCF!$C$16)</f>
        <v>1.983423674168E-2</v>
      </c>
      <c r="E27" s="124">
        <f t="shared" si="0"/>
        <v>0.60275490089788319</v>
      </c>
      <c r="F27" s="125">
        <f t="shared" si="1"/>
        <v>5000.4099025430642</v>
      </c>
      <c r="H27" s="120"/>
    </row>
    <row r="28" spans="2:17">
      <c r="B28" s="122">
        <v>8</v>
      </c>
      <c r="C28" s="123">
        <f t="shared" si="2"/>
        <v>8460.469104040516</v>
      </c>
      <c r="D28" s="138">
        <f>IF($C$17&lt;B28,0,DCF!$C$16)</f>
        <v>1.983423674168E-2</v>
      </c>
      <c r="E28" s="124">
        <f t="shared" si="0"/>
        <v>0.56070223339337966</v>
      </c>
      <c r="F28" s="125">
        <f t="shared" si="1"/>
        <v>4743.8039221912031</v>
      </c>
      <c r="H28" s="120"/>
    </row>
    <row r="29" spans="2:17">
      <c r="B29" s="122">
        <v>9</v>
      </c>
      <c r="C29" s="123">
        <f t="shared" si="2"/>
        <v>8628.276051195724</v>
      </c>
      <c r="D29" s="138">
        <f>IF($C$17&lt;B29,0,DCF!$C$16)</f>
        <v>1.983423674168E-2</v>
      </c>
      <c r="E29" s="124">
        <f t="shared" si="0"/>
        <v>0.52158347292407414</v>
      </c>
      <c r="F29" s="125">
        <f t="shared" si="1"/>
        <v>4500.3661881302824</v>
      </c>
      <c r="H29" s="120"/>
    </row>
    <row r="30" spans="2:17">
      <c r="B30" s="122">
        <v>10</v>
      </c>
      <c r="C30" s="123">
        <f t="shared" si="2"/>
        <v>8799.4113210677078</v>
      </c>
      <c r="D30" s="138">
        <f>IF($C$17&lt;B30,0,DCF!$C$16)</f>
        <v>1.983423674168E-2</v>
      </c>
      <c r="E30" s="124">
        <f t="shared" si="0"/>
        <v>0.48519392830146441</v>
      </c>
      <c r="F30" s="125">
        <f t="shared" si="1"/>
        <v>4269.4209456092194</v>
      </c>
      <c r="H30" s="120"/>
    </row>
    <row r="31" spans="2:17">
      <c r="B31" s="122">
        <v>11</v>
      </c>
      <c r="C31" s="123">
        <f t="shared" si="2"/>
        <v>8973.9409283971818</v>
      </c>
      <c r="D31" s="138">
        <f>IF($C$17&lt;B31,0,DCF!$C$16)</f>
        <v>1.983423674168E-2</v>
      </c>
      <c r="E31" s="124">
        <f t="shared" si="0"/>
        <v>0.45134318911764126</v>
      </c>
      <c r="F31" s="125">
        <f t="shared" si="1"/>
        <v>4050.3271175761106</v>
      </c>
      <c r="H31" s="120"/>
    </row>
    <row r="32" spans="2:17">
      <c r="B32" s="122">
        <v>12</v>
      </c>
      <c r="C32" s="123">
        <f t="shared" si="2"/>
        <v>9151.932197276863</v>
      </c>
      <c r="D32" s="138">
        <f>IF($C$17&lt;B32,0,DCF!$C$16)</f>
        <v>1.983423674168E-2</v>
      </c>
      <c r="E32" s="124">
        <f t="shared" si="0"/>
        <v>0.41985412941175931</v>
      </c>
      <c r="F32" s="125">
        <f t="shared" si="1"/>
        <v>3842.476525123127</v>
      </c>
      <c r="H32" s="120"/>
    </row>
    <row r="33" spans="2:17">
      <c r="B33" s="122">
        <v>13</v>
      </c>
      <c r="C33" s="341">
        <f t="shared" si="2"/>
        <v>9333.4537871214561</v>
      </c>
      <c r="D33" s="138">
        <f>IF($C$17&lt;B33,0,DCF!$C$16)</f>
        <v>1.983423674168E-2</v>
      </c>
      <c r="E33" s="124">
        <f t="shared" si="0"/>
        <v>0.39056198084814819</v>
      </c>
      <c r="F33" s="125">
        <f t="shared" si="1"/>
        <v>3645.2921992528063</v>
      </c>
      <c r="G33" s="338"/>
      <c r="H33" s="339"/>
      <c r="I33" s="338"/>
      <c r="J33" s="338"/>
      <c r="K33" s="338"/>
      <c r="L33" s="338"/>
      <c r="M33" s="338"/>
      <c r="N33" s="338"/>
      <c r="O33" s="338"/>
      <c r="P33" s="338"/>
      <c r="Q33" s="338"/>
    </row>
    <row r="34" spans="2:17">
      <c r="B34" s="122">
        <v>14</v>
      </c>
      <c r="C34" s="341">
        <f t="shared" si="2"/>
        <v>9518.5757191527537</v>
      </c>
      <c r="D34" s="138">
        <f>IF($C$17&lt;B34,0,DCF!$C$16)</f>
        <v>1.983423674168E-2</v>
      </c>
      <c r="E34" s="124">
        <f t="shared" si="0"/>
        <v>0.36331347055641694</v>
      </c>
      <c r="F34" s="125">
        <f t="shared" si="1"/>
        <v>3458.2267792794291</v>
      </c>
      <c r="G34" s="338"/>
      <c r="H34" s="339"/>
      <c r="I34" s="338"/>
      <c r="J34" s="338"/>
      <c r="K34" s="338"/>
      <c r="L34" s="338"/>
      <c r="M34" s="338"/>
      <c r="N34" s="338"/>
      <c r="O34" s="338"/>
      <c r="P34" s="338"/>
      <c r="Q34" s="338"/>
    </row>
    <row r="35" spans="2:17">
      <c r="B35" s="122">
        <v>15</v>
      </c>
      <c r="C35" s="341">
        <f t="shared" si="2"/>
        <v>9707.3694034100354</v>
      </c>
      <c r="D35" s="138">
        <f>IF($C$17&lt;B35,0,DCF!$C$16)</f>
        <v>1.983423674168E-2</v>
      </c>
      <c r="E35" s="124">
        <f t="shared" si="0"/>
        <v>0.33796601912224833</v>
      </c>
      <c r="F35" s="125">
        <f t="shared" si="1"/>
        <v>3280.7609934196043</v>
      </c>
      <c r="G35" s="338"/>
      <c r="H35" s="339"/>
      <c r="I35" s="338"/>
      <c r="J35" s="338"/>
      <c r="K35" s="338"/>
      <c r="L35" s="338"/>
      <c r="M35" s="338"/>
      <c r="N35" s="338"/>
      <c r="O35" s="338"/>
      <c r="P35" s="338"/>
      <c r="Q35" s="338"/>
    </row>
    <row r="36" spans="2:17">
      <c r="B36" s="122">
        <v>16</v>
      </c>
      <c r="C36" s="123">
        <f t="shared" si="2"/>
        <v>9899.9076662962125</v>
      </c>
      <c r="D36" s="138">
        <f>IF($C$17&lt;B36,0,DCF!$C$16)</f>
        <v>1.983423674168E-2</v>
      </c>
      <c r="E36" s="124">
        <f t="shared" si="0"/>
        <v>0.31438699453232405</v>
      </c>
      <c r="F36" s="125">
        <f t="shared" si="1"/>
        <v>3112.4022173543804</v>
      </c>
      <c r="H36" s="120"/>
    </row>
    <row r="37" spans="2:17">
      <c r="B37" s="122">
        <v>17</v>
      </c>
      <c r="C37" s="123">
        <f t="shared" si="2"/>
        <v>10096.264778670302</v>
      </c>
      <c r="D37" s="138">
        <f>IF($C$17&lt;B37,0,DCF!$C$16)</f>
        <v>1.983423674168E-2</v>
      </c>
      <c r="E37" s="124">
        <f t="shared" si="0"/>
        <v>0.29245301816960378</v>
      </c>
      <c r="F37" s="125">
        <f t="shared" si="1"/>
        <v>2952.6831067615967</v>
      </c>
      <c r="H37" s="120"/>
    </row>
    <row r="38" spans="2:17">
      <c r="B38" s="122">
        <v>18</v>
      </c>
      <c r="C38" s="123">
        <f t="shared" si="2"/>
        <v>10296.516484497133</v>
      </c>
      <c r="D38" s="138">
        <f>IF($C$17&lt;B38,0,DCF!$C$16)</f>
        <v>1.983423674168E-2</v>
      </c>
      <c r="E38" s="124">
        <f t="shared" si="0"/>
        <v>0.27204931922753844</v>
      </c>
      <c r="F38" s="125">
        <f t="shared" si="1"/>
        <v>2801.1603000225723</v>
      </c>
      <c r="H38" s="120"/>
    </row>
    <row r="39" spans="2:17">
      <c r="B39" s="122">
        <v>19</v>
      </c>
      <c r="C39" s="123">
        <f t="shared" si="2"/>
        <v>10500.740030065259</v>
      </c>
      <c r="D39" s="138">
        <f>IF($C$17&lt;B39,0,DCF!$C$16)</f>
        <v>1.983423674168E-2</v>
      </c>
      <c r="E39" s="124">
        <f t="shared" si="0"/>
        <v>0.25306913416515198</v>
      </c>
      <c r="F39" s="125">
        <f t="shared" si="1"/>
        <v>2657.4131875019671</v>
      </c>
      <c r="H39" s="120"/>
    </row>
    <row r="40" spans="2:17">
      <c r="B40" s="122">
        <v>20</v>
      </c>
      <c r="C40" s="123">
        <f t="shared" si="2"/>
        <v>10709.014193784409</v>
      </c>
      <c r="D40" s="138">
        <f>IF($C$17&lt;B40,0,DCF!$C$16)</f>
        <v>1.983423674168E-2</v>
      </c>
      <c r="E40" s="124">
        <f t="shared" si="0"/>
        <v>0.23541314806060654</v>
      </c>
      <c r="F40" s="125">
        <f t="shared" si="1"/>
        <v>2521.0427439845062</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98316.422621188452</v>
      </c>
      <c r="D51" s="139">
        <f>Terminal_Growth</f>
        <v>0</v>
      </c>
      <c r="E51" s="124">
        <f>1/(1+Equity_Cost)^C17</f>
        <v>0.23541314806060654</v>
      </c>
      <c r="F51" s="125">
        <f t="shared" si="1"/>
        <v>23144.978555311001</v>
      </c>
      <c r="H51" s="120"/>
    </row>
    <row r="52" spans="1:17">
      <c r="C52" s="114"/>
      <c r="E52" s="127" t="s">
        <v>97</v>
      </c>
      <c r="F52" s="137">
        <f>SUM(F21:F51)</f>
        <v>110204.15639166971</v>
      </c>
      <c r="H52" s="120"/>
    </row>
    <row r="53" spans="1:17">
      <c r="C53" s="114"/>
      <c r="H53" s="120"/>
    </row>
    <row r="54" spans="1:17" ht="13.15">
      <c r="B54" s="119" t="s">
        <v>125</v>
      </c>
      <c r="C54" s="136"/>
      <c r="D54" s="136"/>
      <c r="E54" s="117"/>
      <c r="F54" s="117"/>
      <c r="H54" s="120"/>
    </row>
    <row r="55" spans="1:17" ht="13.15">
      <c r="A55" s="133">
        <f>F52</f>
        <v>110204.15639166971</v>
      </c>
      <c r="B55" s="131">
        <f>C78</f>
        <v>0</v>
      </c>
      <c r="C55" s="131">
        <f>C77</f>
        <v>0.01</v>
      </c>
      <c r="D55" s="131">
        <f>C76</f>
        <v>0.02</v>
      </c>
      <c r="E55" s="131">
        <f>C75</f>
        <v>0.03</v>
      </c>
      <c r="F55" s="131">
        <f>C74</f>
        <v>0.04</v>
      </c>
      <c r="H55" s="120"/>
    </row>
    <row r="56" spans="1:17" ht="13.15">
      <c r="A56" s="143">
        <v>5</v>
      </c>
      <c r="B56" s="123">
        <f t="dataTable" ref="B56:F61" dt2D="1" dtr="1" r1="C16" r2="C17"/>
        <v>96404.31658315823</v>
      </c>
      <c r="C56" s="123">
        <v>97921.939126941274</v>
      </c>
      <c r="D56" s="123">
        <v>99461.34598378255</v>
      </c>
      <c r="E56" s="123">
        <v>101023.01528281669</v>
      </c>
      <c r="F56" s="123">
        <v>102607.43261704073</v>
      </c>
      <c r="H56" s="120"/>
    </row>
    <row r="57" spans="1:17" ht="13.15">
      <c r="A57" s="143">
        <v>10</v>
      </c>
      <c r="B57" s="123">
        <v>96404.316583158245</v>
      </c>
      <c r="C57" s="123">
        <v>99377.007916942093</v>
      </c>
      <c r="D57" s="123">
        <v>102492.78290434886</v>
      </c>
      <c r="E57" s="123">
        <v>105760.03066767703</v>
      </c>
      <c r="F57" s="123">
        <v>109187.60309270237</v>
      </c>
      <c r="H57" s="120"/>
    </row>
    <row r="58" spans="1:17" ht="13.15">
      <c r="A58" s="143">
        <v>15</v>
      </c>
      <c r="B58" s="123">
        <v>96404.316583158245</v>
      </c>
      <c r="C58" s="341">
        <v>101173.49581943882</v>
      </c>
      <c r="D58" s="123">
        <v>106330.93704644879</v>
      </c>
      <c r="E58" s="123">
        <v>111913.64263225286</v>
      </c>
      <c r="F58" s="123">
        <v>117962.14500504021</v>
      </c>
      <c r="G58" s="338"/>
      <c r="H58" s="339"/>
      <c r="I58" s="338"/>
      <c r="J58" s="338"/>
      <c r="K58" s="338"/>
      <c r="L58" s="338"/>
      <c r="M58" s="338"/>
      <c r="N58" s="338"/>
      <c r="O58" s="338"/>
      <c r="P58" s="338"/>
      <c r="Q58" s="338"/>
    </row>
    <row r="59" spans="1:17" ht="13.15">
      <c r="A59" s="144">
        <v>20</v>
      </c>
      <c r="B59" s="123">
        <v>96404.316583158245</v>
      </c>
      <c r="C59" s="341">
        <v>102998.04287039749</v>
      </c>
      <c r="D59" s="123">
        <v>110332.27535730705</v>
      </c>
      <c r="E59" s="123">
        <v>118504.6083402471</v>
      </c>
      <c r="F59" s="123">
        <v>127625.93212154656</v>
      </c>
      <c r="G59" s="338"/>
      <c r="H59" s="339"/>
      <c r="I59" s="338"/>
      <c r="J59" s="338"/>
      <c r="K59" s="338"/>
      <c r="L59" s="338"/>
      <c r="M59" s="338"/>
      <c r="N59" s="338"/>
      <c r="O59" s="338"/>
      <c r="P59" s="338"/>
      <c r="Q59" s="338"/>
    </row>
    <row r="60" spans="1:17" ht="13.15">
      <c r="A60" s="144">
        <v>25</v>
      </c>
      <c r="B60" s="123">
        <v>96404.316583158245</v>
      </c>
      <c r="C60" s="341">
        <v>104688.57206515179</v>
      </c>
      <c r="D60" s="123">
        <v>114140.62592694239</v>
      </c>
      <c r="E60" s="123">
        <v>124956.58379257467</v>
      </c>
      <c r="F60" s="123">
        <v>137367.37425660394</v>
      </c>
      <c r="G60" s="338"/>
      <c r="H60" s="339"/>
      <c r="I60" s="338"/>
      <c r="J60" s="338"/>
      <c r="K60" s="338"/>
      <c r="L60" s="338"/>
      <c r="M60" s="338"/>
      <c r="N60" s="338"/>
      <c r="O60" s="338"/>
      <c r="P60" s="338"/>
      <c r="Q60" s="338"/>
    </row>
    <row r="61" spans="1:17" ht="13.15">
      <c r="A61" s="144">
        <v>30</v>
      </c>
      <c r="B61" s="123">
        <v>96404.31658315823</v>
      </c>
      <c r="C61" s="341">
        <v>106173.32823059156</v>
      </c>
      <c r="D61" s="123">
        <v>117578.71397722626</v>
      </c>
      <c r="E61" s="123">
        <v>130953.50986319828</v>
      </c>
      <c r="F61" s="123">
        <v>146703.78532061359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11.275708603633516</v>
      </c>
      <c r="C65" s="124">
        <f>C12</f>
        <v>11.275708603633516</v>
      </c>
      <c r="D65" s="124">
        <f>C12</f>
        <v>11.275708603633516</v>
      </c>
      <c r="E65" s="141">
        <f>C12</f>
        <v>11.275708603633516</v>
      </c>
      <c r="F65" s="124">
        <f>C12</f>
        <v>11.275708603633516</v>
      </c>
      <c r="H65" s="120"/>
    </row>
    <row r="66" spans="1:8" ht="13.15">
      <c r="A66" s="143">
        <f t="shared" ref="A66:A71" si="3">A56</f>
        <v>5</v>
      </c>
      <c r="B66" s="124">
        <f t="shared" ref="B66:F71" si="4">(B56-$C$7+$C$8+$C$9)/Common_Shares*$C$3*Exchange_Rate</f>
        <v>11.275708603633516</v>
      </c>
      <c r="C66" s="124">
        <f t="shared" si="4"/>
        <v>11.467088902905772</v>
      </c>
      <c r="D66" s="124">
        <f t="shared" si="4"/>
        <v>11.661216320273764</v>
      </c>
      <c r="E66" s="124">
        <f t="shared" si="4"/>
        <v>11.858151150372185</v>
      </c>
      <c r="F66" s="124">
        <f t="shared" si="4"/>
        <v>12.057954629068597</v>
      </c>
      <c r="H66" s="120"/>
    </row>
    <row r="67" spans="1:8" ht="13.15">
      <c r="A67" s="143">
        <f t="shared" si="3"/>
        <v>10</v>
      </c>
      <c r="B67" s="124">
        <f t="shared" si="4"/>
        <v>11.275708603633518</v>
      </c>
      <c r="C67" s="124">
        <f t="shared" si="4"/>
        <v>11.650580840102432</v>
      </c>
      <c r="D67" s="124">
        <f t="shared" si="4"/>
        <v>12.043496688643071</v>
      </c>
      <c r="E67" s="124">
        <f t="shared" si="4"/>
        <v>12.455514062333151</v>
      </c>
      <c r="F67" s="124">
        <f t="shared" si="4"/>
        <v>12.887749231193725</v>
      </c>
      <c r="H67" s="120"/>
    </row>
    <row r="68" spans="1:8" ht="13.15">
      <c r="A68" s="143">
        <f t="shared" si="3"/>
        <v>15</v>
      </c>
      <c r="B68" s="124">
        <f t="shared" si="4"/>
        <v>11.275708603633518</v>
      </c>
      <c r="C68" s="124">
        <f t="shared" si="4"/>
        <v>11.877127548852405</v>
      </c>
      <c r="D68" s="124">
        <f t="shared" si="4"/>
        <v>12.527508402476139</v>
      </c>
      <c r="E68" s="124">
        <f t="shared" si="4"/>
        <v>13.23151736052494</v>
      </c>
      <c r="F68" s="124">
        <f t="shared" si="4"/>
        <v>13.994265778433569</v>
      </c>
      <c r="H68" s="120"/>
    </row>
    <row r="69" spans="1:8" ht="13.15">
      <c r="A69" s="144">
        <f t="shared" si="3"/>
        <v>20</v>
      </c>
      <c r="B69" s="124">
        <f t="shared" si="4"/>
        <v>11.275708603633518</v>
      </c>
      <c r="C69" s="124">
        <f t="shared" si="4"/>
        <v>12.107212665918709</v>
      </c>
      <c r="D69" s="124">
        <f t="shared" si="4"/>
        <v>13.032098510575551</v>
      </c>
      <c r="E69" s="124">
        <f t="shared" si="4"/>
        <v>14.06267329903967</v>
      </c>
      <c r="F69" s="124">
        <f t="shared" si="4"/>
        <v>15.212920890033404</v>
      </c>
      <c r="H69" s="120"/>
    </row>
    <row r="70" spans="1:8" ht="13.15">
      <c r="A70" s="144">
        <f t="shared" si="3"/>
        <v>25</v>
      </c>
      <c r="B70" s="124">
        <f t="shared" si="4"/>
        <v>11.275708603633518</v>
      </c>
      <c r="C70" s="124">
        <f t="shared" si="4"/>
        <v>12.320397416333705</v>
      </c>
      <c r="D70" s="124">
        <f t="shared" si="4"/>
        <v>13.512351834919071</v>
      </c>
      <c r="E70" s="124">
        <f t="shared" si="4"/>
        <v>14.8763018248032</v>
      </c>
      <c r="F70" s="124">
        <f t="shared" si="4"/>
        <v>16.441368713761278</v>
      </c>
    </row>
    <row r="71" spans="1:8" ht="13.15">
      <c r="A71" s="144">
        <f t="shared" si="3"/>
        <v>30</v>
      </c>
      <c r="B71" s="124">
        <f t="shared" si="4"/>
        <v>11.275708603633516</v>
      </c>
      <c r="C71" s="124">
        <f t="shared" si="4"/>
        <v>12.507633089955073</v>
      </c>
      <c r="D71" s="124">
        <f t="shared" si="4"/>
        <v>13.945913080225502</v>
      </c>
      <c r="E71" s="124">
        <f t="shared" si="4"/>
        <v>15.632546195849921</v>
      </c>
      <c r="F71" s="124">
        <f t="shared" si="4"/>
        <v>17.618739958593284</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12.887749231193725</v>
      </c>
      <c r="F74" s="142">
        <f>Scenarios!C58</f>
        <v>0.05</v>
      </c>
    </row>
    <row r="75" spans="1:8">
      <c r="B75" s="127" t="str">
        <f>Scenarios!B36</f>
        <v>Optimistic</v>
      </c>
      <c r="C75" s="142">
        <f>Scenarios!C38</f>
        <v>0.03</v>
      </c>
      <c r="D75" s="145">
        <f>Scenarios!C37</f>
        <v>20</v>
      </c>
      <c r="E75" s="135">
        <f>INDEX(B$65:F$71, MATCH(D75, A$65:A$71, 0), MATCH(C75, B$64:F$64, 0))</f>
        <v>14.06267329903967</v>
      </c>
      <c r="F75" s="142">
        <f>Scenarios!C40*(1-F$74-F$78)</f>
        <v>0.18</v>
      </c>
      <c r="H75" s="120"/>
    </row>
    <row r="76" spans="1:8">
      <c r="B76" s="127" t="str">
        <f>Scenarios!B24</f>
        <v>Base</v>
      </c>
      <c r="C76" s="142">
        <f>Scenarios!C26</f>
        <v>0.02</v>
      </c>
      <c r="D76" s="145">
        <f>Scenarios!C25</f>
        <v>20</v>
      </c>
      <c r="E76" s="135">
        <f>INDEX(B$65:F$71, MATCH(D76, A$65:A$71, 0), MATCH(C76, B$64:F$64, 0))</f>
        <v>13.032098510575551</v>
      </c>
      <c r="F76" s="142">
        <f>Scenarios!C28*(1-F$74-F$78)</f>
        <v>0.53999999999999992</v>
      </c>
      <c r="H76" s="120"/>
    </row>
    <row r="77" spans="1:8">
      <c r="B77" s="127" t="str">
        <f>Scenarios!B30</f>
        <v>Pessimistic</v>
      </c>
      <c r="C77" s="142">
        <f>Scenarios!C32</f>
        <v>0.01</v>
      </c>
      <c r="D77" s="145">
        <f>Scenarios!C31</f>
        <v>20</v>
      </c>
      <c r="E77" s="135">
        <f>INDEX(B$65:F$71, MATCH(D77, A$65:A$71, 0), MATCH(C77, B$64:F$64, 0))</f>
        <v>12.107212665918709</v>
      </c>
      <c r="F77" s="142">
        <f>Scenarios!C34*(1-F$74-F$78)</f>
        <v>0.18</v>
      </c>
      <c r="H77" s="120"/>
    </row>
    <row r="78" spans="1:8">
      <c r="B78" s="127" t="str">
        <f>Scenarios!B48</f>
        <v>Devil's advocate</v>
      </c>
      <c r="C78" s="142">
        <f>Scenarios!C50</f>
        <v>0</v>
      </c>
      <c r="D78" s="145">
        <f>Scenarios!C49</f>
        <v>10</v>
      </c>
      <c r="E78" s="135">
        <f>INDEX(B$65:F$71, MATCH(D78, A$65:A$71, 0), MATCH(C78, B$64:F$64, 0))</f>
        <v>11.275708603633518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2985.803165273639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39810.708870315189</v>
      </c>
      <c r="D6" t="str">
        <f>Reporting_currency</f>
        <v>CNY</v>
      </c>
      <c r="E6" s="378"/>
      <c r="F6" s="378"/>
      <c r="H6" s="120"/>
    </row>
    <row r="7" spans="2:8" ht="13.15">
      <c r="B7" s="149" t="s">
        <v>421</v>
      </c>
      <c r="C7" s="111">
        <f>(C6*scaling_factor)/Common_Shares*Exchange_Rate</f>
        <v>5.0203427782835695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1.983423674168E-2</v>
      </c>
      <c r="H11" s="120"/>
    </row>
    <row r="12" spans="2:8" ht="13.35" customHeight="1">
      <c r="B12" s="118" t="s">
        <v>130</v>
      </c>
      <c r="C12" s="162">
        <f>Scenarios!C64</f>
        <v>20</v>
      </c>
      <c r="H12" s="120"/>
    </row>
    <row r="13" spans="2:8" ht="13.35" customHeight="1">
      <c r="B13" s="153" t="s">
        <v>103</v>
      </c>
      <c r="C13" s="140">
        <f>F47/Common_Shares*scaling_factor</f>
        <v>5.2558578495792085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3045.0242921177337</v>
      </c>
      <c r="D16" s="138">
        <f>IF($C$12&lt;B16,0,DDM!$C$11)</f>
        <v>1.983423674168E-2</v>
      </c>
      <c r="E16" s="124">
        <f t="shared" ref="E16:E45" si="0">IF($C$12&lt;B16,0,1/(1+Equity_Cost)^B16)</f>
        <v>0.93023255813953487</v>
      </c>
      <c r="F16" s="125">
        <f t="shared" ref="F16:F46" si="1">C16*E16</f>
        <v>2832.5807368537057</v>
      </c>
      <c r="H16" s="120"/>
    </row>
    <row r="17" spans="2:8">
      <c r="B17" s="122">
        <v>2</v>
      </c>
      <c r="C17" s="123">
        <f t="shared" ref="C17:C45" si="2">IF(ROW()-ROW($C$16)&lt;$C$12, $C$16*(1+D17)^(ROW()-ROW($C$16)), 0)</f>
        <v>3105.4200248117631</v>
      </c>
      <c r="D17" s="138">
        <f>IF($C$12&lt;B17,0,DDM!$C$11)</f>
        <v>1.983423674168E-2</v>
      </c>
      <c r="E17" s="124">
        <f t="shared" si="0"/>
        <v>0.86533261222282321</v>
      </c>
      <c r="F17" s="125">
        <f t="shared" si="1"/>
        <v>2687.2212221194272</v>
      </c>
      <c r="H17" s="120"/>
    </row>
    <row r="18" spans="2:8">
      <c r="B18" s="122">
        <v>3</v>
      </c>
      <c r="C18" s="123">
        <f t="shared" si="2"/>
        <v>3167.0136607662334</v>
      </c>
      <c r="D18" s="138">
        <f>IF($C$12&lt;B18,0,DDM!$C$11)</f>
        <v>1.983423674168E-2</v>
      </c>
      <c r="E18" s="124">
        <f t="shared" si="0"/>
        <v>0.80496056950960304</v>
      </c>
      <c r="F18" s="125">
        <f t="shared" si="1"/>
        <v>2549.3211200150799</v>
      </c>
      <c r="H18" s="120"/>
    </row>
    <row r="19" spans="2:8">
      <c r="B19" s="122">
        <v>4</v>
      </c>
      <c r="C19" s="123">
        <f t="shared" si="2"/>
        <v>3229.8289594780053</v>
      </c>
      <c r="D19" s="138">
        <f>IF($C$12&lt;B19,0,DDM!$C$11)</f>
        <v>1.983423674168E-2</v>
      </c>
      <c r="E19" s="124">
        <f t="shared" si="0"/>
        <v>0.7488005297763749</v>
      </c>
      <c r="F19" s="125">
        <f t="shared" si="1"/>
        <v>2418.497635944208</v>
      </c>
      <c r="H19" s="120"/>
    </row>
    <row r="20" spans="2:8">
      <c r="B20" s="122">
        <v>5</v>
      </c>
      <c r="C20" s="123">
        <f t="shared" si="2"/>
        <v>3293.8901516954261</v>
      </c>
      <c r="D20" s="138">
        <f>IF($C$12&lt;B20,0,DDM!$C$11)</f>
        <v>1.983423674168E-2</v>
      </c>
      <c r="E20" s="124">
        <f t="shared" si="0"/>
        <v>0.69655863235011617</v>
      </c>
      <c r="F20" s="125">
        <f t="shared" si="1"/>
        <v>2294.3876191764825</v>
      </c>
      <c r="H20" s="120"/>
    </row>
    <row r="21" spans="2:8">
      <c r="B21" s="122">
        <v>6</v>
      </c>
      <c r="C21" s="123">
        <f t="shared" si="2"/>
        <v>3359.2219487652415</v>
      </c>
      <c r="D21" s="138">
        <f>IF($C$12&lt;B21,0,DDM!$C$11)</f>
        <v>1.983423674168E-2</v>
      </c>
      <c r="E21" s="124">
        <f t="shared" si="0"/>
        <v>0.64796151846522443</v>
      </c>
      <c r="F21" s="125">
        <f t="shared" si="1"/>
        <v>2176.646554783636</v>
      </c>
      <c r="H21" s="120"/>
    </row>
    <row r="22" spans="2:8">
      <c r="B22" s="122">
        <v>7</v>
      </c>
      <c r="C22" s="123">
        <f t="shared" si="2"/>
        <v>3425.8495521648988</v>
      </c>
      <c r="D22" s="138">
        <f>IF($C$12&lt;B22,0,DDM!$C$11)</f>
        <v>1.983423674168E-2</v>
      </c>
      <c r="E22" s="124">
        <f t="shared" si="0"/>
        <v>0.60275490089788319</v>
      </c>
      <c r="F22" s="125">
        <f t="shared" si="1"/>
        <v>2064.947607306211</v>
      </c>
      <c r="H22" s="120"/>
    </row>
    <row r="23" spans="2:8">
      <c r="B23" s="122">
        <v>8</v>
      </c>
      <c r="C23" s="123">
        <f t="shared" si="2"/>
        <v>3493.7986632239158</v>
      </c>
      <c r="D23" s="138">
        <f>IF($C$12&lt;B23,0,DDM!$C$11)</f>
        <v>1.983423674168E-2</v>
      </c>
      <c r="E23" s="124">
        <f t="shared" si="0"/>
        <v>0.56070223339337966</v>
      </c>
      <c r="F23" s="125">
        <f t="shared" si="1"/>
        <v>1958.980713496454</v>
      </c>
      <c r="H23" s="120"/>
    </row>
    <row r="24" spans="2:8">
      <c r="B24" s="122">
        <v>9</v>
      </c>
      <c r="C24" s="123">
        <f t="shared" si="2"/>
        <v>3563.0954930380635</v>
      </c>
      <c r="D24" s="138">
        <f>IF($C$12&lt;B24,0,DDM!$C$11)</f>
        <v>1.983423674168E-2</v>
      </c>
      <c r="E24" s="124">
        <f t="shared" si="0"/>
        <v>0.52158347292407414</v>
      </c>
      <c r="F24" s="125">
        <f t="shared" si="1"/>
        <v>1858.4517216189095</v>
      </c>
      <c r="H24" s="120"/>
    </row>
    <row r="25" spans="2:8">
      <c r="B25" s="122">
        <v>10</v>
      </c>
      <c r="C25" s="123">
        <f t="shared" si="2"/>
        <v>3633.7667725801934</v>
      </c>
      <c r="D25" s="138">
        <f>IF($C$12&lt;B25,0,DDM!$C$11)</f>
        <v>1.983423674168E-2</v>
      </c>
      <c r="E25" s="124">
        <f t="shared" si="0"/>
        <v>0.48519392830146441</v>
      </c>
      <c r="F25" s="125">
        <f t="shared" si="1"/>
        <v>1763.0815749195181</v>
      </c>
      <c r="H25" s="120"/>
    </row>
    <row r="26" spans="2:8">
      <c r="B26" s="122">
        <v>11</v>
      </c>
      <c r="C26" s="123">
        <f t="shared" si="2"/>
        <v>3705.8397630115992</v>
      </c>
      <c r="D26" s="138">
        <f>IF($C$12&lt;B26,0,DDM!$C$11)</f>
        <v>1.983423674168E-2</v>
      </c>
      <c r="E26" s="124">
        <f t="shared" si="0"/>
        <v>0.45134318911764126</v>
      </c>
      <c r="F26" s="125">
        <f t="shared" si="1"/>
        <v>1672.6055369966191</v>
      </c>
      <c r="H26" s="120"/>
    </row>
    <row r="27" spans="2:8">
      <c r="B27" s="122">
        <v>12</v>
      </c>
      <c r="C27" s="123">
        <f t="shared" si="2"/>
        <v>3779.3422661979025</v>
      </c>
      <c r="D27" s="138">
        <f>IF($C$12&lt;B27,0,DDM!$C$11)</f>
        <v>1.983423674168E-2</v>
      </c>
      <c r="E27" s="124">
        <f t="shared" si="0"/>
        <v>0.41985412941175931</v>
      </c>
      <c r="F27" s="125">
        <f t="shared" si="1"/>
        <v>1586.7724569235859</v>
      </c>
      <c r="H27" s="120"/>
    </row>
    <row r="28" spans="2:8">
      <c r="B28" s="122">
        <v>13</v>
      </c>
      <c r="C28" s="123">
        <f t="shared" si="2"/>
        <v>3854.3026354335088</v>
      </c>
      <c r="D28" s="138">
        <f>IF($C$12&lt;B28,0,DDM!$C$11)</f>
        <v>1.983423674168E-2</v>
      </c>
      <c r="E28" s="124">
        <f t="shared" si="0"/>
        <v>0.39056198084814819</v>
      </c>
      <c r="F28" s="125">
        <f t="shared" si="1"/>
        <v>1505.3440720831493</v>
      </c>
      <c r="H28" s="120"/>
    </row>
    <row r="29" spans="2:8">
      <c r="B29" s="122">
        <v>14</v>
      </c>
      <c r="C29" s="123">
        <f t="shared" si="2"/>
        <v>3930.7497863787785</v>
      </c>
      <c r="D29" s="138">
        <f>IF($C$12&lt;B29,0,DDM!$C$11)</f>
        <v>1.983423674168E-2</v>
      </c>
      <c r="E29" s="124">
        <f t="shared" si="0"/>
        <v>0.36331347055641694</v>
      </c>
      <c r="F29" s="125">
        <f t="shared" si="1"/>
        <v>1428.0943467781685</v>
      </c>
      <c r="H29" s="120"/>
    </row>
    <row r="30" spans="2:8">
      <c r="B30" s="122">
        <v>15</v>
      </c>
      <c r="C30" s="123">
        <f t="shared" si="2"/>
        <v>4008.7132082141229</v>
      </c>
      <c r="D30" s="138">
        <f>IF($C$12&lt;B30,0,DDM!$C$11)</f>
        <v>1.983423674168E-2</v>
      </c>
      <c r="E30" s="124">
        <f t="shared" si="0"/>
        <v>0.33796601912224833</v>
      </c>
      <c r="F30" s="125">
        <f t="shared" si="1"/>
        <v>1354.8088447829036</v>
      </c>
      <c r="H30" s="120"/>
    </row>
    <row r="31" spans="2:8">
      <c r="B31" s="122">
        <v>16</v>
      </c>
      <c r="C31" s="123">
        <f t="shared" si="2"/>
        <v>4088.2229750153415</v>
      </c>
      <c r="D31" s="138">
        <f>IF($C$12&lt;B31,0,DDM!$C$11)</f>
        <v>1.983423674168E-2</v>
      </c>
      <c r="E31" s="124">
        <f t="shared" si="0"/>
        <v>0.31438699453232405</v>
      </c>
      <c r="F31" s="125">
        <f t="shared" si="1"/>
        <v>1285.2841340930697</v>
      </c>
      <c r="H31" s="120"/>
    </row>
    <row r="32" spans="2:8">
      <c r="B32" s="122">
        <v>17</v>
      </c>
      <c r="C32" s="123">
        <f t="shared" si="2"/>
        <v>4169.3097573545701</v>
      </c>
      <c r="D32" s="138">
        <f>IF($C$12&lt;B32,0,DDM!$C$11)</f>
        <v>1.983423674168E-2</v>
      </c>
      <c r="E32" s="124">
        <f t="shared" si="0"/>
        <v>0.29245301816960378</v>
      </c>
      <c r="F32" s="125">
        <f t="shared" si="1"/>
        <v>1219.3272222223225</v>
      </c>
      <c r="H32" s="120"/>
    </row>
    <row r="33" spans="2:8">
      <c r="B33" s="122">
        <v>18</v>
      </c>
      <c r="C33" s="123">
        <f t="shared" si="2"/>
        <v>4252.0048341313368</v>
      </c>
      <c r="D33" s="138">
        <f>IF($C$12&lt;B33,0,DDM!$C$11)</f>
        <v>1.983423674168E-2</v>
      </c>
      <c r="E33" s="124">
        <f t="shared" si="0"/>
        <v>0.27204931922753844</v>
      </c>
      <c r="F33" s="125">
        <f t="shared" si="1"/>
        <v>1156.7550204776328</v>
      </c>
      <c r="H33" s="120"/>
    </row>
    <row r="34" spans="2:8">
      <c r="B34" s="122">
        <v>19</v>
      </c>
      <c r="C34" s="123">
        <f t="shared" si="2"/>
        <v>4336.3401046382651</v>
      </c>
      <c r="D34" s="138">
        <f>IF($C$12&lt;B34,0,DDM!$C$11)</f>
        <v>1.983423674168E-2</v>
      </c>
      <c r="E34" s="124">
        <f t="shared" si="0"/>
        <v>0.25306913416515198</v>
      </c>
      <c r="F34" s="125">
        <f t="shared" si="1"/>
        <v>1097.3938357264303</v>
      </c>
      <c r="H34" s="120"/>
    </row>
    <row r="35" spans="2:8">
      <c r="B35" s="122">
        <v>20</v>
      </c>
      <c r="C35" s="123">
        <f t="shared" si="2"/>
        <v>4422.348100866102</v>
      </c>
      <c r="D35" s="138">
        <f>IF($C$12&lt;B35,0,DDM!$C$11)</f>
        <v>1.983423674168E-2</v>
      </c>
      <c r="E35" s="124">
        <f t="shared" si="0"/>
        <v>0.23541314806060654</v>
      </c>
      <c r="F35" s="125">
        <f t="shared" si="1"/>
        <v>1041.0788882447339</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40600.323894903115</v>
      </c>
      <c r="D46" s="139">
        <f>Terminal_Growth</f>
        <v>0</v>
      </c>
      <c r="E46" s="124">
        <f>1/(1+Equity_Cost)^C12</f>
        <v>0.23541314806060654</v>
      </c>
      <c r="F46" s="125">
        <f t="shared" si="1"/>
        <v>9557.8500603794091</v>
      </c>
      <c r="H46" s="120"/>
    </row>
    <row r="47" spans="2:8">
      <c r="C47" s="114"/>
      <c r="E47" s="127" t="s">
        <v>97</v>
      </c>
      <c r="F47" s="137">
        <f>SUM(F16:F46)</f>
        <v>45509.430924941655</v>
      </c>
      <c r="H47" s="120"/>
    </row>
    <row r="48" spans="2:8">
      <c r="C48" s="114"/>
      <c r="H48" s="120"/>
    </row>
    <row r="49" spans="1:8" ht="13.15">
      <c r="B49" s="119" t="s">
        <v>125</v>
      </c>
      <c r="C49" s="136"/>
      <c r="D49" s="136"/>
      <c r="E49" s="117"/>
      <c r="F49" s="117"/>
      <c r="H49" s="120"/>
    </row>
    <row r="50" spans="1:8" ht="13.15">
      <c r="A50" s="133">
        <f>F47</f>
        <v>45509.430924941655</v>
      </c>
      <c r="B50" s="131">
        <f>C73</f>
        <v>0</v>
      </c>
      <c r="C50" s="131">
        <f>C72</f>
        <v>0.01</v>
      </c>
      <c r="D50" s="131">
        <f>C71</f>
        <v>0.02</v>
      </c>
      <c r="E50" s="131">
        <f>C70</f>
        <v>0.03</v>
      </c>
      <c r="F50" s="131">
        <f>C69</f>
        <v>0.04</v>
      </c>
      <c r="H50" s="120"/>
    </row>
    <row r="51" spans="1:8" ht="13.15">
      <c r="A51" s="143">
        <v>5</v>
      </c>
      <c r="B51" s="123">
        <f t="dataTable" ref="B51:F56" dt2D="1" dtr="1" r1="C11" r2="C12"/>
        <v>39810.708870315197</v>
      </c>
      <c r="C51" s="123">
        <v>40437.419700358339</v>
      </c>
      <c r="D51" s="123">
        <v>41073.126485933775</v>
      </c>
      <c r="E51" s="123">
        <v>41718.026673177228</v>
      </c>
      <c r="F51" s="123">
        <v>42372.320790468802</v>
      </c>
      <c r="H51" s="120"/>
    </row>
    <row r="52" spans="1:8" ht="13.15">
      <c r="A52" s="143">
        <v>10</v>
      </c>
      <c r="B52" s="123">
        <v>39810.708870315204</v>
      </c>
      <c r="C52" s="123">
        <v>41038.298603275893</v>
      </c>
      <c r="D52" s="123">
        <v>42324.975541876076</v>
      </c>
      <c r="E52" s="123">
        <v>43674.204021711266</v>
      </c>
      <c r="F52" s="123">
        <v>45089.639479177524</v>
      </c>
      <c r="H52" s="120"/>
    </row>
    <row r="53" spans="1:8" ht="13.15">
      <c r="A53" s="143">
        <v>15</v>
      </c>
      <c r="B53" s="123">
        <v>39810.708870315204</v>
      </c>
      <c r="C53" s="123">
        <v>41780.168463570459</v>
      </c>
      <c r="D53" s="123">
        <v>43909.963046234654</v>
      </c>
      <c r="E53" s="123">
        <v>46215.372955897925</v>
      </c>
      <c r="F53" s="123">
        <v>48713.136288484166</v>
      </c>
      <c r="H53" s="120"/>
    </row>
    <row r="54" spans="1:8" ht="13.15">
      <c r="A54" s="144">
        <v>20</v>
      </c>
      <c r="B54" s="123">
        <v>39810.708870315204</v>
      </c>
      <c r="C54" s="123">
        <v>42533.625508237645</v>
      </c>
      <c r="D54" s="123">
        <v>45562.33837787043</v>
      </c>
      <c r="E54" s="123">
        <v>48937.149596976567</v>
      </c>
      <c r="F54" s="123">
        <v>52703.851944334252</v>
      </c>
      <c r="H54" s="120"/>
    </row>
    <row r="55" spans="1:8" ht="13.15">
      <c r="A55" s="144">
        <v>25</v>
      </c>
      <c r="B55" s="123">
        <v>39810.708870315197</v>
      </c>
      <c r="C55" s="123">
        <v>43231.739119686543</v>
      </c>
      <c r="D55" s="123">
        <v>47135.018328078579</v>
      </c>
      <c r="E55" s="123">
        <v>51601.529424299632</v>
      </c>
      <c r="F55" s="123">
        <v>56726.635680177293</v>
      </c>
      <c r="H55" s="120"/>
    </row>
    <row r="56" spans="1:8" ht="13.15">
      <c r="A56" s="144">
        <v>30</v>
      </c>
      <c r="B56" s="123">
        <v>39810.708870315204</v>
      </c>
      <c r="C56" s="123">
        <v>43844.877592534292</v>
      </c>
      <c r="D56" s="123">
        <v>48554.796272588937</v>
      </c>
      <c r="E56" s="123">
        <v>54077.994030616945</v>
      </c>
      <c r="F56" s="123">
        <v>60582.159539861103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5.0203427782835695</v>
      </c>
      <c r="C60" s="124">
        <f>C7</f>
        <v>5.0203427782835695</v>
      </c>
      <c r="D60" s="124">
        <f>C7</f>
        <v>5.0203427782835695</v>
      </c>
      <c r="E60" s="141">
        <f>C7</f>
        <v>5.0203427782835695</v>
      </c>
      <c r="F60" s="124">
        <f>C7</f>
        <v>5.0203427782835695</v>
      </c>
      <c r="H60" s="120"/>
    </row>
    <row r="61" spans="1:8" ht="13.15">
      <c r="A61" s="143">
        <f t="shared" ref="A61:A66" si="3">A51</f>
        <v>5</v>
      </c>
      <c r="B61" s="124">
        <f t="shared" ref="B61:F66" si="4">B51/Common_Shares*$C$3*Exchange_Rate</f>
        <v>5.0203427782835695</v>
      </c>
      <c r="C61" s="124">
        <f t="shared" si="4"/>
        <v>5.0993743574480694</v>
      </c>
      <c r="D61" s="124">
        <f t="shared" si="4"/>
        <v>5.1795403745985258</v>
      </c>
      <c r="E61" s="124">
        <f t="shared" si="4"/>
        <v>5.2608657287460261</v>
      </c>
      <c r="F61" s="124">
        <f t="shared" si="4"/>
        <v>5.3433757075891171</v>
      </c>
      <c r="H61" s="120"/>
    </row>
    <row r="62" spans="1:8" ht="13.15">
      <c r="A62" s="143">
        <f t="shared" si="3"/>
        <v>10</v>
      </c>
      <c r="B62" s="124">
        <f t="shared" si="4"/>
        <v>5.0203427782835712</v>
      </c>
      <c r="C62" s="124">
        <f t="shared" si="4"/>
        <v>5.1751483927889588</v>
      </c>
      <c r="D62" s="124">
        <f t="shared" si="4"/>
        <v>5.3374052191551433</v>
      </c>
      <c r="E62" s="124">
        <f t="shared" si="4"/>
        <v>5.5075501285829134</v>
      </c>
      <c r="F62" s="124">
        <f t="shared" si="4"/>
        <v>5.6860440911035299</v>
      </c>
      <c r="H62" s="120"/>
    </row>
    <row r="63" spans="1:8" ht="13.15">
      <c r="A63" s="143">
        <f t="shared" si="3"/>
        <v>15</v>
      </c>
      <c r="B63" s="124">
        <f t="shared" si="4"/>
        <v>5.0203427782835712</v>
      </c>
      <c r="C63" s="124">
        <f t="shared" si="4"/>
        <v>5.2687021400404488</v>
      </c>
      <c r="D63" s="124">
        <f t="shared" si="4"/>
        <v>5.537280599347369</v>
      </c>
      <c r="E63" s="124">
        <f t="shared" si="4"/>
        <v>5.8280050882949022</v>
      </c>
      <c r="F63" s="124">
        <f t="shared" si="4"/>
        <v>6.1429863700766232</v>
      </c>
      <c r="H63" s="120"/>
    </row>
    <row r="64" spans="1:8" ht="13.15">
      <c r="A64" s="144">
        <f t="shared" si="3"/>
        <v>20</v>
      </c>
      <c r="B64" s="124">
        <f t="shared" si="4"/>
        <v>5.0203427782835712</v>
      </c>
      <c r="C64" s="124">
        <f t="shared" si="4"/>
        <v>5.3637170930588374</v>
      </c>
      <c r="D64" s="124">
        <f t="shared" si="4"/>
        <v>5.7456539440726395</v>
      </c>
      <c r="E64" s="124">
        <f t="shared" si="4"/>
        <v>6.1712356433862938</v>
      </c>
      <c r="F64" s="124">
        <f t="shared" si="4"/>
        <v>6.6462369047077479</v>
      </c>
      <c r="H64" s="120"/>
    </row>
    <row r="65" spans="1:8" ht="13.15">
      <c r="A65" s="144">
        <f t="shared" si="3"/>
        <v>25</v>
      </c>
      <c r="B65" s="124">
        <f t="shared" si="4"/>
        <v>5.0203427782835695</v>
      </c>
      <c r="C65" s="124">
        <f t="shared" si="4"/>
        <v>5.4517529438917336</v>
      </c>
      <c r="D65" s="124">
        <f t="shared" si="4"/>
        <v>5.9439772760258176</v>
      </c>
      <c r="E65" s="124">
        <f t="shared" si="4"/>
        <v>6.507228154051675</v>
      </c>
      <c r="F65" s="124">
        <f t="shared" si="4"/>
        <v>7.1535313953088728</v>
      </c>
    </row>
    <row r="66" spans="1:8" ht="13.15">
      <c r="A66" s="144">
        <f t="shared" si="3"/>
        <v>30</v>
      </c>
      <c r="B66" s="124">
        <f t="shared" si="4"/>
        <v>5.0203427782835712</v>
      </c>
      <c r="C66" s="124">
        <f t="shared" si="4"/>
        <v>5.5290729764055042</v>
      </c>
      <c r="D66" s="124">
        <f t="shared" si="4"/>
        <v>6.1230188493298208</v>
      </c>
      <c r="E66" s="124">
        <f t="shared" si="4"/>
        <v>6.8195235528223908</v>
      </c>
      <c r="F66" s="124">
        <f t="shared" si="4"/>
        <v>7.6397335231965373</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5.6860440911035299</v>
      </c>
      <c r="F69" s="142">
        <f>Scenarios!C58</f>
        <v>0.05</v>
      </c>
    </row>
    <row r="70" spans="1:8">
      <c r="B70" s="127" t="str">
        <f>Scenarios!B36</f>
        <v>Optimistic</v>
      </c>
      <c r="C70" s="142">
        <f>Scenarios!C38</f>
        <v>0.03</v>
      </c>
      <c r="D70" s="145">
        <f>Scenarios!C37</f>
        <v>20</v>
      </c>
      <c r="E70" s="135">
        <f>INDEX(B$60:F$66, MATCH(D70, A$60:A$66, 0), MATCH(C70, B$59:F$59, 0))</f>
        <v>6.1712356433862938</v>
      </c>
      <c r="F70" s="142">
        <f>Scenarios!C40*(1-F$69-F$73)</f>
        <v>0.18</v>
      </c>
      <c r="H70" s="120"/>
    </row>
    <row r="71" spans="1:8">
      <c r="B71" s="127" t="str">
        <f>Scenarios!B24</f>
        <v>Base</v>
      </c>
      <c r="C71" s="142">
        <f>Scenarios!C26</f>
        <v>0.02</v>
      </c>
      <c r="D71" s="145">
        <f>Scenarios!C25</f>
        <v>20</v>
      </c>
      <c r="E71" s="135">
        <f>INDEX(B$60:F$66, MATCH(D71, A$60:A$66, 0), MATCH(C71, B$59:F$59, 0))</f>
        <v>5.7456539440726395</v>
      </c>
      <c r="F71" s="142">
        <f>Scenarios!C28*(1-F$69-F$73)</f>
        <v>0.53999999999999992</v>
      </c>
      <c r="H71" s="120"/>
    </row>
    <row r="72" spans="1:8">
      <c r="B72" s="127" t="str">
        <f>Scenarios!B30</f>
        <v>Pessimistic</v>
      </c>
      <c r="C72" s="142">
        <f>Scenarios!C32</f>
        <v>0.01</v>
      </c>
      <c r="D72" s="145">
        <f>Scenarios!C31</f>
        <v>20</v>
      </c>
      <c r="E72" s="135">
        <f>INDEX(B$60:F$66, MATCH(D72, A$60:A$66, 0), MATCH(C72, B$59:F$59, 0))</f>
        <v>5.3637170930588374</v>
      </c>
      <c r="F72" s="142">
        <f>Scenarios!C34*(1-F$69-F$73)</f>
        <v>0.18</v>
      </c>
      <c r="H72" s="120"/>
    </row>
    <row r="73" spans="1:8">
      <c r="B73" s="127" t="str">
        <f>Scenarios!B48</f>
        <v>Devil's advocate</v>
      </c>
      <c r="C73" s="142">
        <f>Scenarios!C50</f>
        <v>0</v>
      </c>
      <c r="D73" s="145">
        <f>Scenarios!C49</f>
        <v>10</v>
      </c>
      <c r="E73" s="135">
        <f>INDEX(B$60:F$66, MATCH(D73, A$60:A$66, 0), MATCH(C73, B$59:F$59, 0))</f>
        <v>5.0203427782835712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-7.59</v>
      </c>
    </row>
    <row r="4" spans="2:9">
      <c r="B4" s="152" t="s">
        <v>142</v>
      </c>
      <c r="C4" s="120">
        <v>3</v>
      </c>
      <c r="D4" s="120"/>
      <c r="E4" s="155" t="s">
        <v>146</v>
      </c>
      <c r="F4" s="155"/>
      <c r="H4" s="247">
        <v>1</v>
      </c>
      <c r="I4" s="124">
        <f t="shared" ref="I4:I13" si="0">IF(ROW()-3 &lt; $C$76, $C$77, IF(ROW()-3 = $C$76, $C$77 + $C$60, ""))</f>
        <v>0.34482868022199997</v>
      </c>
    </row>
    <row r="5" spans="2:9">
      <c r="H5" s="247">
        <v>2</v>
      </c>
      <c r="I5" s="124">
        <f t="shared" si="0"/>
        <v>0.34482868022199997</v>
      </c>
    </row>
    <row r="6" spans="2:9" ht="13.15">
      <c r="B6" s="159" t="s">
        <v>92</v>
      </c>
      <c r="C6" s="107">
        <f>DCF!C3</f>
        <v>1000000</v>
      </c>
      <c r="E6" s="100" t="s">
        <v>274</v>
      </c>
      <c r="F6" s="100"/>
      <c r="H6" s="247">
        <v>3</v>
      </c>
      <c r="I6" s="124">
        <f t="shared" si="0"/>
        <v>13.300914241366668</v>
      </c>
    </row>
    <row r="7" spans="2:9" ht="12.75" customHeight="1">
      <c r="B7" s="100" t="s">
        <v>270</v>
      </c>
      <c r="C7" s="338">
        <f>Normalized_FCF!G8</f>
        <v>16063</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80"/>
      <c r="H7" s="247">
        <v>4</v>
      </c>
      <c r="I7" s="124" t="str">
        <f t="shared" si="0"/>
        <v/>
      </c>
    </row>
    <row r="8" spans="2:9">
      <c r="B8" s="100" t="s">
        <v>64</v>
      </c>
      <c r="C8" s="338">
        <f>Normalized_FCF!G19</f>
        <v>10305.038097958353</v>
      </c>
      <c r="D8" t="str">
        <f>Reporting_currency</f>
        <v>CNY</v>
      </c>
      <c r="E8" s="380"/>
      <c r="F8" s="380"/>
      <c r="H8" s="247">
        <v>5</v>
      </c>
      <c r="I8" s="124" t="str">
        <f t="shared" si="0"/>
        <v/>
      </c>
    </row>
    <row r="9" spans="2:9">
      <c r="B9" s="100" t="s">
        <v>55</v>
      </c>
      <c r="C9" s="338">
        <f>Normalized_FCF!C19</f>
        <v>7230.3237437368662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0.10522432036524854</v>
      </c>
      <c r="D12" s="158"/>
      <c r="E12" s="380"/>
      <c r="F12" s="380"/>
      <c r="H12" s="247">
        <v>9</v>
      </c>
      <c r="I12" s="124" t="str">
        <f t="shared" si="0"/>
        <v/>
      </c>
    </row>
    <row r="13" spans="2:9">
      <c r="B13" s="148" t="s">
        <v>148</v>
      </c>
      <c r="C13" s="158">
        <f ca="1">(Normalized_FCF!G8/OFFSET(Normalized_FCF!G8, 0, $C$4))^(1/$C$4) - 1</f>
        <v>5.2708395417024878E-2</v>
      </c>
      <c r="E13" s="380"/>
      <c r="F13" s="380"/>
      <c r="H13" s="247">
        <v>10</v>
      </c>
      <c r="I13" s="124" t="str">
        <f t="shared" si="0"/>
        <v/>
      </c>
    </row>
    <row r="14" spans="2:9">
      <c r="B14" s="100" t="s">
        <v>64</v>
      </c>
      <c r="C14" s="158">
        <f ca="1">(Normalized_FCF!G19/OFFSET(Normalized_FCF!G19, 0, $C$4))^(1/$C$4) - 1</f>
        <v>6.0052504052653388E-2</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7.59</v>
      </c>
      <c r="D21" t="str">
        <f>Market_currency</f>
        <v>HKD</v>
      </c>
      <c r="E21" s="381"/>
      <c r="F21" s="381"/>
    </row>
    <row r="22" spans="2:6">
      <c r="B22" s="100" t="s">
        <v>273</v>
      </c>
      <c r="C22" s="160">
        <f>IF(valuation_method="DCF",DCF!C12,DDM!C7)</f>
        <v>11.275708603633516</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0.02</v>
      </c>
      <c r="D26" s="164"/>
      <c r="E26" s="379"/>
      <c r="F26" s="379"/>
    </row>
    <row r="27" spans="2:6">
      <c r="B27" s="100" t="s">
        <v>109</v>
      </c>
      <c r="C27" s="160">
        <f>IF(valuation_method="DCF",DCF!E76,DDM!E71)</f>
        <v>13.032098510575551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0.01</v>
      </c>
      <c r="D32" s="164"/>
      <c r="E32" s="379"/>
      <c r="F32" s="379"/>
    </row>
    <row r="33" spans="2:6">
      <c r="B33" s="100" t="s">
        <v>109</v>
      </c>
      <c r="C33" s="160">
        <f>IF(valuation_method="DCF",DCF!E77,DDM!E72)</f>
        <v>12.107212665918709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0.03</v>
      </c>
      <c r="D38" s="164"/>
      <c r="E38" s="379"/>
      <c r="F38" s="379"/>
    </row>
    <row r="39" spans="2:6">
      <c r="B39" s="100" t="s">
        <v>109</v>
      </c>
      <c r="C39" s="160">
        <f>IF(valuation_method="DCF",DCF!E75,DDM!E70)</f>
        <v>14.06267329903967</v>
      </c>
      <c r="D39" t="str">
        <f>Market_currency</f>
        <v>HKD</v>
      </c>
      <c r="E39" s="379"/>
      <c r="F39" s="379"/>
    </row>
    <row r="40" spans="2:6">
      <c r="B40" s="100" t="s">
        <v>143</v>
      </c>
      <c r="C40" s="167">
        <f>1-C28-C34</f>
        <v>0.2</v>
      </c>
      <c r="D40" s="165"/>
      <c r="E40" s="379"/>
      <c r="F40" s="379"/>
    </row>
    <row r="42" spans="2:6" ht="13.15">
      <c r="B42" s="100" t="s">
        <v>116</v>
      </c>
      <c r="C42" s="154">
        <f>C27*C28+C33*C34+C39*C40</f>
        <v>13.053236299337007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11.275708603633518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12.887749231193725</v>
      </c>
      <c r="D57" t="str">
        <f>Market_currency</f>
        <v>HKD</v>
      </c>
      <c r="E57" s="379"/>
      <c r="F57" s="379"/>
    </row>
    <row r="58" spans="2:6">
      <c r="B58" s="100" t="s">
        <v>143</v>
      </c>
      <c r="C58" s="165">
        <v>0.05</v>
      </c>
      <c r="D58" s="165"/>
      <c r="E58" s="379"/>
      <c r="F58" s="379"/>
    </row>
    <row r="60" spans="2:6" ht="13.15">
      <c r="B60" s="100" t="s">
        <v>116</v>
      </c>
      <c r="C60" s="154">
        <f>C51*C52+C57*C58+C42*(1-C52-C58)</f>
        <v>12.956085561144668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1.983423674168E-2</v>
      </c>
      <c r="D65" s="151"/>
      <c r="E65" s="251" t="s">
        <v>304</v>
      </c>
    </row>
    <row r="66" spans="2:6">
      <c r="B66" s="100" t="s">
        <v>99</v>
      </c>
      <c r="C66" s="160">
        <f>IF(valuation_method="DCF",DCF!C18,DDM!C13)</f>
        <v>13.015942025495272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-6.8029037737947481E-2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0.34482868022199997</v>
      </c>
      <c r="D77" t="str">
        <f>Market_currency</f>
        <v>HKD</v>
      </c>
    </row>
    <row r="79" spans="2:6" ht="13.15">
      <c r="B79" s="109" t="s">
        <v>296</v>
      </c>
    </row>
    <row r="80" spans="2:6">
      <c r="B80" s="148" t="s">
        <v>294</v>
      </c>
      <c r="C80" s="167">
        <f>Thesis!F29</f>
        <v>0.35</v>
      </c>
    </row>
    <row r="81" spans="2:8">
      <c r="B81" s="100" t="s">
        <v>117</v>
      </c>
      <c r="C81" s="116">
        <f>PV(C80, C76, -C77, 0)</f>
        <v>0.58478795639944925</v>
      </c>
      <c r="D81" s="116"/>
      <c r="E81" s="100"/>
      <c r="F81" s="100"/>
    </row>
    <row r="82" spans="2:8">
      <c r="B82" s="100" t="s">
        <v>118</v>
      </c>
      <c r="C82" s="116">
        <f>C60/(1+C80)^C76</f>
        <v>5.265898719156497</v>
      </c>
      <c r="D82" s="116"/>
    </row>
    <row r="83" spans="2:8" ht="13.15">
      <c r="B83" s="110" t="s">
        <v>98</v>
      </c>
      <c r="C83" s="111">
        <f>C81+C82</f>
        <v>5.8506866755559459</v>
      </c>
      <c r="D83" t="str">
        <f>Market_currency</f>
        <v>HKD</v>
      </c>
      <c r="E83" s="146" t="s">
        <v>122</v>
      </c>
      <c r="F83" s="291">
        <f>(1-C83/C60)</f>
        <v>0.54842173217023449</v>
      </c>
    </row>
    <row r="84" spans="2:8">
      <c r="E84" s="120"/>
    </row>
    <row r="85" spans="2:8" ht="13.15">
      <c r="B85" s="109" t="s">
        <v>297</v>
      </c>
    </row>
    <row r="86" spans="2:8">
      <c r="B86" s="148" t="s">
        <v>295</v>
      </c>
      <c r="C86" s="116">
        <f>Market_Price</f>
        <v>7.59</v>
      </c>
      <c r="D86" t="str">
        <f>Market_currency</f>
        <v>HKD</v>
      </c>
    </row>
    <row r="87" spans="2:8" ht="13.15">
      <c r="B87" s="100" t="s">
        <v>293</v>
      </c>
      <c r="C87" s="237">
        <f ca="1">IRR(OFFSET($I$3, 0, 0, $C$76 + 1, 1))</f>
        <v>0.23368025713785046</v>
      </c>
    </row>
    <row r="88" spans="2:8">
      <c r="B88" s="100"/>
    </row>
    <row r="89" spans="2:8" ht="13.15">
      <c r="B89" s="109" t="s">
        <v>392</v>
      </c>
    </row>
    <row r="90" spans="2:8">
      <c r="B90" s="148" t="s">
        <v>393</v>
      </c>
      <c r="C90" s="167">
        <f>Thesis!F30</f>
        <v>0.25</v>
      </c>
    </row>
    <row r="91" spans="2:8">
      <c r="B91" s="100" t="s">
        <v>117</v>
      </c>
      <c r="C91" s="116">
        <f>PV(C90, C76, -C77, 0)</f>
        <v>0.67310558379334395</v>
      </c>
      <c r="D91" s="116"/>
      <c r="E91" s="100"/>
      <c r="F91" s="100"/>
    </row>
    <row r="92" spans="2:8">
      <c r="B92" s="100" t="s">
        <v>118</v>
      </c>
      <c r="C92" s="116">
        <f>C60/(1+C90)^C76</f>
        <v>6.63351580730607</v>
      </c>
      <c r="D92" s="116"/>
    </row>
    <row r="93" spans="2:8" ht="13.15">
      <c r="B93" s="110" t="s">
        <v>98</v>
      </c>
      <c r="C93" s="111">
        <f>C91+C92</f>
        <v>7.306621391099414</v>
      </c>
      <c r="D93" t="str">
        <f>Market_currency</f>
        <v>HKD</v>
      </c>
      <c r="E93" s="146" t="s">
        <v>122</v>
      </c>
      <c r="F93" s="291">
        <f>(1-C93/C60)</f>
        <v>0.43604714891571961</v>
      </c>
    </row>
    <row r="95" spans="2:8" ht="13.15">
      <c r="B95" s="109" t="s">
        <v>378</v>
      </c>
      <c r="G95" s="2"/>
      <c r="H95" s="281"/>
    </row>
    <row r="96" spans="2:8">
      <c r="B96" s="148" t="s">
        <v>383</v>
      </c>
      <c r="C96" s="134">
        <f>Thesis!F31</f>
        <v>7.4999999999999997E-2</v>
      </c>
      <c r="G96" s="2"/>
      <c r="H96" s="281"/>
    </row>
    <row r="97" spans="2:8">
      <c r="B97" s="100" t="s">
        <v>117</v>
      </c>
      <c r="C97" s="116">
        <f>PV(C96, C76, -C77, 0)</f>
        <v>0.89673585876338791</v>
      </c>
      <c r="D97" s="116"/>
      <c r="G97" s="2"/>
      <c r="H97" s="281"/>
    </row>
    <row r="98" spans="2:8">
      <c r="B98" s="100" t="s">
        <v>118</v>
      </c>
      <c r="C98" s="116">
        <f>C60/(1+C96)^C76</f>
        <v>10.429138011914157</v>
      </c>
      <c r="D98" s="116"/>
      <c r="G98" s="2"/>
      <c r="H98" s="281"/>
    </row>
    <row r="99" spans="2:8" ht="13.15">
      <c r="B99" s="110" t="s">
        <v>379</v>
      </c>
      <c r="C99" s="111">
        <f>C97+C98</f>
        <v>11.325873870677544</v>
      </c>
      <c r="D99" t="s">
        <v>377</v>
      </c>
      <c r="E99" s="146" t="s">
        <v>122</v>
      </c>
      <c r="F99" s="291">
        <f>(1-C99/C60)</f>
        <v>0.12582594355166454</v>
      </c>
    </row>
    <row r="100" spans="2:8">
      <c r="B100" s="100"/>
    </row>
    <row r="101" spans="2:8" ht="13.15">
      <c r="B101" s="109" t="s">
        <v>399</v>
      </c>
    </row>
    <row r="102" spans="2:8">
      <c r="B102" s="148" t="s">
        <v>398</v>
      </c>
      <c r="C102" s="134">
        <f>Thesis!F32</f>
        <v>0.1174</v>
      </c>
    </row>
    <row r="103" spans="2:8">
      <c r="B103" s="100" t="s">
        <v>117</v>
      </c>
      <c r="C103" s="116">
        <f>PV(C102, C76, -C77, 0)</f>
        <v>0.83193475181689591</v>
      </c>
      <c r="D103" s="116"/>
    </row>
    <row r="104" spans="2:8">
      <c r="B104" s="100" t="s">
        <v>118</v>
      </c>
      <c r="C104" s="116">
        <f>C60/(1+C102)^C76</f>
        <v>9.2864089787394626</v>
      </c>
      <c r="D104" s="116"/>
    </row>
    <row r="105" spans="2:8" ht="13.15">
      <c r="B105" s="110" t="s">
        <v>379</v>
      </c>
      <c r="C105" s="111">
        <f>C103+C104</f>
        <v>10.118343730556358</v>
      </c>
      <c r="D105" t="s">
        <v>377</v>
      </c>
      <c r="E105" s="146" t="s">
        <v>122</v>
      </c>
      <c r="F105" s="291">
        <f>(1-C105/C66)</f>
        <v>0.22261917648858442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45867</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昆仑能源</v>
      </c>
    </row>
    <row r="6" spans="1:10">
      <c r="B6" s="4" t="s">
        <v>481</v>
      </c>
      <c r="C6" s="34">
        <f>Common_Shares</f>
        <v>8658801708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0135.HK</v>
      </c>
      <c r="D11" s="49"/>
      <c r="E11" s="34"/>
    </row>
    <row r="12" spans="1:10">
      <c r="B12" s="4" t="s">
        <v>485</v>
      </c>
      <c r="C12" s="366">
        <f>Market_Price</f>
        <v>7.59</v>
      </c>
      <c r="D12" s="50"/>
      <c r="E12" s="48"/>
    </row>
    <row r="13" spans="1:10">
      <c r="B13" s="1" t="s">
        <v>486</v>
      </c>
      <c r="C13" s="32" t="str">
        <f>Market_currency</f>
        <v>HKD</v>
      </c>
      <c r="D13" s="48"/>
      <c r="E13" s="5"/>
    </row>
    <row r="14" spans="1:10">
      <c r="B14" s="4" t="s">
        <v>487</v>
      </c>
      <c r="C14" s="35">
        <f>投资主题!C12*Common_Shares/1000000</f>
        <v>65720.304963720002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1.09192109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12.956085561144668</v>
      </c>
      <c r="D26" s="1" t="s">
        <v>447</v>
      </c>
      <c r="E26" s="301">
        <f ca="1">Scenarios!C87</f>
        <v>0.23368025713785046</v>
      </c>
    </row>
    <row r="27" spans="2:6">
      <c r="D27" s="5"/>
      <c r="E27" s="5"/>
    </row>
    <row r="28" spans="2:6">
      <c r="B28" s="45" t="s">
        <v>449</v>
      </c>
      <c r="C28" s="309" t="str">
        <f>C145&amp;" ("&amp;Market_currency&amp;")"</f>
        <v>0135.HK (HKD)</v>
      </c>
      <c r="D28" s="309" t="str">
        <f>IF(D11="","",D145&amp;" ("&amp;D13&amp;")")</f>
        <v/>
      </c>
      <c r="E28" s="305" t="s">
        <v>454</v>
      </c>
      <c r="F28" s="361">
        <f>Thesis!F28</f>
        <v>3</v>
      </c>
    </row>
    <row r="29" spans="2:6">
      <c r="B29" s="1" t="s">
        <v>450</v>
      </c>
      <c r="C29" s="310">
        <f>C149</f>
        <v>5.8506866755559459</v>
      </c>
      <c r="D29" s="310" t="str">
        <f>D149</f>
        <v/>
      </c>
      <c r="E29" s="306" t="s">
        <v>456</v>
      </c>
      <c r="F29" s="362">
        <f>Thesis!F29</f>
        <v>0.35</v>
      </c>
    </row>
    <row r="30" spans="2:6">
      <c r="B30" s="1" t="s">
        <v>451</v>
      </c>
      <c r="C30" s="311">
        <f>C157</f>
        <v>7.306621391099414</v>
      </c>
      <c r="D30" s="311" t="str">
        <f>D157</f>
        <v/>
      </c>
      <c r="E30" s="307" t="s">
        <v>455</v>
      </c>
      <c r="F30" s="224">
        <f>Thesis!F30</f>
        <v>0.25</v>
      </c>
    </row>
    <row r="31" spans="2:6">
      <c r="B31" s="1" t="s">
        <v>452</v>
      </c>
      <c r="C31" s="311">
        <f>C165</f>
        <v>11.325873870677544</v>
      </c>
      <c r="D31" s="311" t="str">
        <f>D165</f>
        <v/>
      </c>
      <c r="E31" s="307" t="s">
        <v>492</v>
      </c>
      <c r="F31" s="224">
        <f>Thesis!F31</f>
        <v>7.4999999999999997E-2</v>
      </c>
    </row>
    <row r="32" spans="2:6">
      <c r="B32" s="1" t="s">
        <v>453</v>
      </c>
      <c r="C32" s="311">
        <f>C173</f>
        <v>10.118343730556358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17421.507258354162</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900.8</v>
      </c>
      <c r="D48" s="1" t="str">
        <f>Reporting_currency</f>
        <v>CNY</v>
      </c>
    </row>
    <row r="50" spans="2:6">
      <c r="B50" s="373" t="s">
        <v>498</v>
      </c>
      <c r="C50" s="373"/>
      <c r="D50" s="373"/>
      <c r="E50" s="373"/>
      <c r="F50" s="373"/>
    </row>
    <row r="51" spans="2:6">
      <c r="B51" s="47" t="s">
        <v>331</v>
      </c>
      <c r="C51" s="350">
        <f>Normalized_FCF!C48</f>
        <v>279.60715984486581</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-523.39284015513419</v>
      </c>
      <c r="D53" s="1" t="str">
        <f>Reporting_currency</f>
        <v>CNY</v>
      </c>
    </row>
    <row r="55" spans="2:6">
      <c r="B55" s="1" t="s">
        <v>499</v>
      </c>
    </row>
    <row r="56" spans="2:6">
      <c r="B56" s="47" t="s">
        <v>261</v>
      </c>
      <c r="C56" s="349">
        <f>Normalized_FCF!C15</f>
        <v>-6118.862069912404</v>
      </c>
      <c r="D56" s="1" t="str">
        <f>Reporting_currency</f>
        <v>CNY</v>
      </c>
    </row>
    <row r="58" spans="2:6">
      <c r="B58" s="373" t="s">
        <v>237</v>
      </c>
      <c r="C58" s="373"/>
      <c r="D58" s="373"/>
      <c r="E58" s="373"/>
      <c r="F58" s="373"/>
    </row>
    <row r="59" spans="2:6">
      <c r="B59" s="47" t="s">
        <v>235</v>
      </c>
      <c r="C59" s="349">
        <f>Normalized_FCF!C14</f>
        <v>-4449.7286045497567</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10305.038097958353</v>
      </c>
      <c r="D67" s="1" t="str">
        <f>Reporting_currency</f>
        <v>CNY</v>
      </c>
    </row>
    <row r="68" spans="1:6">
      <c r="B68" s="47" t="s">
        <v>244</v>
      </c>
      <c r="C68" s="349">
        <f>Normalized_FCF!C19</f>
        <v>7230.3237437368662</v>
      </c>
      <c r="D68" s="1" t="str">
        <f>Reporting_currency</f>
        <v>CNY</v>
      </c>
    </row>
    <row r="69" spans="1:6">
      <c r="B69" s="227" t="s">
        <v>371</v>
      </c>
      <c r="C69" s="92">
        <f>Normalized_FCF!C126</f>
        <v>0.12012943317399906</v>
      </c>
      <c r="F69" s="314"/>
    </row>
    <row r="70" spans="1:6">
      <c r="B70" s="227" t="s">
        <v>435</v>
      </c>
      <c r="C70" s="92">
        <f>Normalized_FCF!C94</f>
        <v>4.5431973678787874E-2</v>
      </c>
      <c r="E70" s="47" t="s">
        <v>504</v>
      </c>
      <c r="F70" s="315">
        <f>Normalized_FCF!C92</f>
        <v>0.4129556671456151</v>
      </c>
    </row>
    <row r="72" spans="1:6">
      <c r="B72" s="210" t="s">
        <v>514</v>
      </c>
      <c r="C72" s="323" t="s">
        <v>430</v>
      </c>
      <c r="D72" s="323" t="s">
        <v>505</v>
      </c>
    </row>
    <row r="73" spans="1:6">
      <c r="B73" s="47" t="s">
        <v>429</v>
      </c>
      <c r="C73" s="92">
        <f>Normalized_FCF!C121</f>
        <v>0.20035925500308469</v>
      </c>
      <c r="D73" s="92">
        <f>Normalized_FCF!G121</f>
        <v>0.19114130802001861</v>
      </c>
    </row>
    <row r="74" spans="1:6">
      <c r="B74" s="259" t="str">
        <f>Normalized_FCF!B118</f>
        <v>Pre-tax Profit/Sales</v>
      </c>
      <c r="C74" s="322">
        <f>Normalized_FCF!C118</f>
        <v>9.7688882646536926E-2</v>
      </c>
      <c r="D74" s="322">
        <f>Normalized_FCF!G118</f>
        <v>9.0780011857822959E-2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12.157098637208703</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24279</v>
      </c>
      <c r="D102" s="1" t="str">
        <f>Reporting_currency</f>
        <v>CNY</v>
      </c>
    </row>
    <row r="103" spans="2:6">
      <c r="B103" s="47" t="s">
        <v>276</v>
      </c>
      <c r="C103" s="223">
        <f>C102*scaling_factor*Exchange_Rate/Common_Shares</f>
        <v>3.0617114282241049</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515</v>
      </c>
    </row>
    <row r="108" spans="2:6">
      <c r="B108" s="47" t="s">
        <v>260</v>
      </c>
      <c r="C108" s="349">
        <f>BS!C66</f>
        <v>45092</v>
      </c>
      <c r="D108" s="1" t="str">
        <f>Reporting_currency</f>
        <v>CNY</v>
      </c>
    </row>
    <row r="109" spans="2:6">
      <c r="B109" s="47" t="s">
        <v>262</v>
      </c>
      <c r="C109" s="349">
        <f>DCF!C8</f>
        <v>17131.284015513422</v>
      </c>
      <c r="D109" s="1" t="str">
        <f>Reporting_currency</f>
        <v>CNY</v>
      </c>
    </row>
    <row r="110" spans="2:6">
      <c r="B110" s="47" t="s">
        <v>277</v>
      </c>
      <c r="C110" s="223">
        <f>C109*scaling_factor*Exchange_Rate/Common_Shares</f>
        <v>2.1603463095864894</v>
      </c>
      <c r="D110" s="1" t="str">
        <f>Market_currency</f>
        <v>HKD</v>
      </c>
    </row>
    <row r="112" spans="2:6">
      <c r="B112" s="1" t="s">
        <v>516</v>
      </c>
    </row>
    <row r="113" spans="1:6">
      <c r="B113" s="47" t="s">
        <v>253</v>
      </c>
      <c r="C113" s="349">
        <f>DCF!C9</f>
        <v>158.4</v>
      </c>
      <c r="D113" s="1" t="str">
        <f>Reporting_currency</f>
        <v>CNY</v>
      </c>
    </row>
    <row r="114" spans="1:6">
      <c r="B114" s="47" t="s">
        <v>278</v>
      </c>
      <c r="C114" s="223">
        <f>C113*scaling_factor*Exchange_Rate/Common_Shares</f>
        <v>1.9975085062428365E-2</v>
      </c>
      <c r="D114" s="1" t="str">
        <f>Market_currency</f>
        <v>HKD</v>
      </c>
    </row>
    <row r="116" spans="1:6">
      <c r="B116" s="372" t="s">
        <v>517</v>
      </c>
      <c r="C116" s="372"/>
      <c r="D116" s="372"/>
      <c r="E116" s="372"/>
      <c r="F116" s="372"/>
    </row>
    <row r="118" spans="1:6">
      <c r="B118" s="47" t="s">
        <v>518</v>
      </c>
      <c r="C118" s="223">
        <f>IF(valuation_method="DCF",DCF!C12,DDM!C7)</f>
        <v>11.275708603633516</v>
      </c>
      <c r="D118" s="1" t="str">
        <f>Market_currency</f>
        <v>HKD</v>
      </c>
    </row>
    <row r="119" spans="1:6">
      <c r="B119" s="296" t="s">
        <v>551</v>
      </c>
      <c r="C119" s="223">
        <f>BS!D47</f>
        <v>-3.1887877742936066</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0.04</v>
      </c>
      <c r="D126" s="230">
        <f>DCF!D74</f>
        <v>10</v>
      </c>
      <c r="E126" s="231" t="str">
        <f>ROUND(IF(valuation_method="DCF",DCF!E74,DDM!E69),2)&amp;" "&amp;Market_currency</f>
        <v>12.89 HKD</v>
      </c>
      <c r="F126" s="232">
        <f>DCF!F74</f>
        <v>0.05</v>
      </c>
    </row>
    <row r="127" spans="1:6">
      <c r="B127" s="218" t="str">
        <f>DCF!B75</f>
        <v>Optimistic</v>
      </c>
      <c r="C127" s="219">
        <f>DCF!C75</f>
        <v>0.03</v>
      </c>
      <c r="D127" s="220">
        <f>DCF!D75</f>
        <v>20</v>
      </c>
      <c r="E127" s="231" t="str">
        <f>ROUND(IF(valuation_method="DCF",DCF!E75,DDM!E70),2)&amp;" "&amp;Market_currency</f>
        <v>14.06 HKD</v>
      </c>
      <c r="F127" s="221">
        <f>DCF!F75</f>
        <v>0.18</v>
      </c>
    </row>
    <row r="128" spans="1:6">
      <c r="B128" s="218" t="str">
        <f>DCF!B76</f>
        <v>Base</v>
      </c>
      <c r="C128" s="219">
        <f>DCF!C76</f>
        <v>0.02</v>
      </c>
      <c r="D128" s="220">
        <f>DCF!D76</f>
        <v>20</v>
      </c>
      <c r="E128" s="231" t="str">
        <f>ROUND(IF(valuation_method="DCF",DCF!E76,DDM!E71),2)&amp;" "&amp;Market_currency</f>
        <v>13.03 HKD</v>
      </c>
      <c r="F128" s="221">
        <f>DCF!F76</f>
        <v>0.53999999999999992</v>
      </c>
    </row>
    <row r="129" spans="1:6">
      <c r="B129" s="218" t="str">
        <f>DCF!B77</f>
        <v>Pessimistic</v>
      </c>
      <c r="C129" s="219">
        <f>DCF!C77</f>
        <v>0.01</v>
      </c>
      <c r="D129" s="220">
        <f>DCF!D77</f>
        <v>20</v>
      </c>
      <c r="E129" s="231" t="str">
        <f>ROUND(IF(valuation_method="DCF",DCF!E77,DDM!E72),2)&amp;" "&amp;Market_currency</f>
        <v>12.11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12.956085561144668</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0.34482868022199997</v>
      </c>
      <c r="D143" s="212" t="str">
        <f>Market_currency</f>
        <v>HKD</v>
      </c>
    </row>
    <row r="145" spans="2:4">
      <c r="B145" s="210" t="s">
        <v>532</v>
      </c>
      <c r="C145" s="241" t="str">
        <f>C11</f>
        <v>0135.HK</v>
      </c>
      <c r="D145" s="241" t="str">
        <f>IF(D11="","",D11)</f>
        <v/>
      </c>
    </row>
    <row r="146" spans="2:4">
      <c r="B146" s="1" t="s">
        <v>387</v>
      </c>
      <c r="C146" s="297">
        <f>F29</f>
        <v>0.35</v>
      </c>
    </row>
    <row r="147" spans="2:4">
      <c r="B147" s="212" t="str">
        <f>"PV("&amp;C141&amp;" yrs of Dividends)"</f>
        <v>PV(3 yrs of Dividends)</v>
      </c>
      <c r="C147" s="216">
        <f>Scenarios!C81</f>
        <v>0.58478795639944925</v>
      </c>
    </row>
    <row r="148" spans="2:4">
      <c r="B148" s="212" t="str">
        <f>"+ PV(Equity Value realized at year "&amp;C141&amp;")"</f>
        <v>+ PV(Equity Value realized at year 3)</v>
      </c>
      <c r="C148" s="216">
        <f>Scenarios!C82</f>
        <v>5.265898719156497</v>
      </c>
    </row>
    <row r="149" spans="2:4">
      <c r="B149" s="80" t="s">
        <v>256</v>
      </c>
      <c r="C149" s="215">
        <f>Scenarios!C83</f>
        <v>5.8506866755559459</v>
      </c>
      <c r="D149" s="300" t="str">
        <f>IF($D$11="","",C149*$E$25)</f>
        <v/>
      </c>
    </row>
    <row r="150" spans="2:4">
      <c r="B150" s="259" t="s">
        <v>533</v>
      </c>
      <c r="C150" s="298" t="str">
        <f>Market_currency</f>
        <v>HKD</v>
      </c>
      <c r="D150" s="298" t="str">
        <f>IF($D$11="","",D$13)</f>
        <v/>
      </c>
    </row>
    <row r="151" spans="2:4">
      <c r="B151" s="214" t="s">
        <v>534</v>
      </c>
      <c r="C151" s="92">
        <f>Scenarios!F83</f>
        <v>0.54842173217023449</v>
      </c>
    </row>
    <row r="153" spans="2:4">
      <c r="B153" s="210" t="s">
        <v>391</v>
      </c>
    </row>
    <row r="154" spans="2:4">
      <c r="B154" s="1" t="s">
        <v>390</v>
      </c>
      <c r="C154" s="297">
        <f>Scenarios!C90</f>
        <v>0.25</v>
      </c>
    </row>
    <row r="155" spans="2:4">
      <c r="B155" s="212" t="str">
        <f>"PV("&amp;C141&amp;" yrs of Dividends)"</f>
        <v>PV(3 yrs of Dividends)</v>
      </c>
      <c r="C155" s="216">
        <f>Scenarios!C91</f>
        <v>0.67310558379334395</v>
      </c>
    </row>
    <row r="156" spans="2:4">
      <c r="B156" s="212" t="str">
        <f>"+ PV(Equity Value realized at year "&amp;C141&amp;")"</f>
        <v>+ PV(Equity Value realized at year 3)</v>
      </c>
      <c r="C156" s="216">
        <f>Scenarios!C92</f>
        <v>6.63351580730607</v>
      </c>
    </row>
    <row r="157" spans="2:4">
      <c r="B157" s="80" t="s">
        <v>256</v>
      </c>
      <c r="C157" s="215">
        <f>Scenarios!C93</f>
        <v>7.306621391099414</v>
      </c>
      <c r="D157" s="300" t="str">
        <f>IF($D$11="","",C157*$E$25)</f>
        <v/>
      </c>
    </row>
    <row r="158" spans="2:4">
      <c r="B158" s="259" t="s">
        <v>533</v>
      </c>
      <c r="C158" s="298" t="str">
        <f>Market_currency</f>
        <v>HKD</v>
      </c>
      <c r="D158" s="298" t="str">
        <f>IF($D$11="","",D$13)</f>
        <v/>
      </c>
    </row>
    <row r="159" spans="2:4">
      <c r="B159" s="214" t="s">
        <v>534</v>
      </c>
      <c r="C159" s="92">
        <f>Scenarios!F93</f>
        <v>0.43604714891571961</v>
      </c>
    </row>
    <row r="161" spans="2:4">
      <c r="B161" s="210" t="s">
        <v>381</v>
      </c>
    </row>
    <row r="162" spans="2:4">
      <c r="B162" s="1" t="s">
        <v>389</v>
      </c>
      <c r="C162" s="92">
        <f>Scenarios!C96</f>
        <v>7.4999999999999997E-2</v>
      </c>
    </row>
    <row r="163" spans="2:4">
      <c r="B163" s="212" t="str">
        <f>"PV("&amp;C141&amp;" yrs of Dividends)"</f>
        <v>PV(3 yrs of Dividends)</v>
      </c>
      <c r="C163" s="216">
        <f>Scenarios!C97</f>
        <v>0.89673585876338791</v>
      </c>
    </row>
    <row r="164" spans="2:4">
      <c r="B164" s="212" t="str">
        <f>"+ PV(Equity Value realized at year "&amp;C141&amp;")"</f>
        <v>+ PV(Equity Value realized at year 3)</v>
      </c>
      <c r="C164" s="216">
        <f>Scenarios!C98</f>
        <v>10.429138011914157</v>
      </c>
    </row>
    <row r="165" spans="2:4">
      <c r="B165" s="80" t="s">
        <v>382</v>
      </c>
      <c r="C165" s="215">
        <f>Scenarios!C99</f>
        <v>11.325873870677544</v>
      </c>
      <c r="D165" s="300" t="str">
        <f>IF($D$11="","",C165*$E$25)</f>
        <v/>
      </c>
    </row>
    <row r="166" spans="2:4">
      <c r="B166" s="259" t="s">
        <v>533</v>
      </c>
      <c r="C166" s="298" t="str">
        <f>Market_currency</f>
        <v>HKD</v>
      </c>
      <c r="D166" s="298" t="str">
        <f>IF($D$11="","",D$13)</f>
        <v/>
      </c>
    </row>
    <row r="167" spans="2:4">
      <c r="B167" s="214" t="s">
        <v>534</v>
      </c>
      <c r="C167" s="92">
        <f>Scenarios!F99</f>
        <v>0.12582594355166454</v>
      </c>
    </row>
    <row r="169" spans="2:4">
      <c r="B169" s="210" t="s">
        <v>409</v>
      </c>
    </row>
    <row r="170" spans="2:4">
      <c r="B170" s="1" t="s">
        <v>400</v>
      </c>
      <c r="C170" s="92">
        <f>F32</f>
        <v>0.1174</v>
      </c>
    </row>
    <row r="171" spans="2:4">
      <c r="B171" s="212" t="str">
        <f>"PV("&amp;C141&amp;" yrs of Dividends)"</f>
        <v>PV(3 yrs of Dividends)</v>
      </c>
      <c r="C171" s="216">
        <f>Scenarios!C103</f>
        <v>0.83193475181689591</v>
      </c>
    </row>
    <row r="172" spans="2:4">
      <c r="B172" s="212" t="str">
        <f>"+ PV(Equity Value realized at year "&amp;C141&amp;")"</f>
        <v>+ PV(Equity Value realized at year 3)</v>
      </c>
      <c r="C172" s="216">
        <f>Scenarios!C104</f>
        <v>9.2864089787394626</v>
      </c>
    </row>
    <row r="173" spans="2:4">
      <c r="B173" s="80" t="s">
        <v>382</v>
      </c>
      <c r="C173" s="215">
        <f>Scenarios!C105</f>
        <v>10.118343730556358</v>
      </c>
      <c r="D173" s="300" t="str">
        <f>IF($D$11="","",C173*$E$25)</f>
        <v/>
      </c>
    </row>
    <row r="174" spans="2:4">
      <c r="B174" s="259" t="s">
        <v>533</v>
      </c>
      <c r="C174" s="298" t="str">
        <f>Market_currency</f>
        <v>HKD</v>
      </c>
      <c r="D174" s="298" t="str">
        <f>IF($D$11="","",D$13)</f>
        <v/>
      </c>
    </row>
    <row r="175" spans="2:4">
      <c r="B175" s="214" t="s">
        <v>534</v>
      </c>
      <c r="C175" s="92">
        <f>Scenarios!F105</f>
        <v>0.22261917648858442</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36CB3-F248-4447-B9F2-29F264D6A054}">
  <dimension ref="B2:E4"/>
  <sheetViews>
    <sheetView showGridLines="0" tabSelected="1" workbookViewId="0">
      <selection activeCell="D6" sqref="D6"/>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row r="4" spans="2:5">
      <c r="B4" s="369" t="s">
        <v>552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