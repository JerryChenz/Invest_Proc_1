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0A8216D-0322-4665-A811-1C5251798377}"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<sst xmlns="http://schemas.openxmlformats.org/spreadsheetml/2006/main" count="837" uniqueCount="561">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</sst>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7.3</v>
      </c>
      <c r="D12" s="50"/>
      <c r="E12" s="48"/>
    </row>
    <row r="13" spans="1:10">
      <c r="B13" s="1" t="s">
        <v>465</v>
      </c>
      <c r="C13" s="48" t="s">
        <v>377</v>
      </c>
      <c r="D13" s="48"/>
      <c r="E13" s="5"/>
    </row>
    <row r="14" spans="1:10">
      <c r="B14" s="4" t="s">
        <v>466</v>
      </c>
      <c r="C14" s="35">
        <f>Thesis!C12*Common_Shares/1000000</f>
        <v>63209.252468400002</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1.0897717599999999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12.930692140739255</v>
      </c>
      <c r="D26" s="1" t="s">
        <v>380</v>
      </c>
      <c r="E26" s="301">
        <f ca="1">Scenarios!C87</f>
        <v>0.24954400255547804</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5.8392146276413683</v>
      </c>
      <c r="D29" s="310" t="str">
        <f>D149</f>
        <v/>
      </c>
      <c r="E29" s="306" t="s">
        <v>401</v>
      </c>
      <c r="F29" s="302">
        <v>0.35</v>
      </c>
    </row>
    <row r="30" spans="2:6">
      <c r="B30" s="1" t="s">
        <v>403</v>
      </c>
      <c r="C30" s="311">
        <f>C157</f>
        <v>7.2922950234277151</v>
      </c>
      <c r="D30" s="311" t="str">
        <f>D157</f>
        <v/>
      </c>
      <c r="E30" s="307" t="s">
        <v>414</v>
      </c>
      <c r="F30" s="312">
        <v>0.25</v>
      </c>
    </row>
    <row r="31" spans="2:6">
      <c r="B31" s="1" t="s">
        <v>404</v>
      </c>
      <c r="C31" s="311">
        <f>C165</f>
        <v>11.303668039799444</v>
      </c>
      <c r="D31" s="311" t="str">
        <f>D165</f>
        <v/>
      </c>
      <c r="E31" s="307" t="s">
        <v>413</v>
      </c>
      <c r="F31" s="312">
        <v>7.4999999999999997E-2</v>
      </c>
    </row>
    <row r="32" spans="2:6">
      <c r="B32" s="1" t="s">
        <v>405</v>
      </c>
      <c r="C32" s="311">
        <f>C173</f>
        <v>10.098505157895211</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900.8</v>
      </c>
      <c r="D48" s="1" t="str">
        <f>Reporting_currency</f>
        <v>CNY</v>
      </c>
    </row>
    <row r="50" spans="2:6">
      <c r="B50" s="373" t="s">
        <v>236</v>
      </c>
      <c r="C50" s="373"/>
      <c r="D50" s="373"/>
      <c r="E50" s="373"/>
      <c r="F50" s="373"/>
    </row>
    <row r="51" spans="2:6">
      <c r="B51" s="47" t="s">
        <v>331</v>
      </c>
      <c r="C51" s="350">
        <f>Normalized_FCF!C48</f>
        <v>279.59736445400836</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-523.40263554599164</v>
      </c>
      <c r="D53" s="1" t="str">
        <f>Reporting_currency</f>
        <v>CNY</v>
      </c>
    </row>
    <row r="55" spans="2:6">
      <c r="B55" s="1" t="s">
        <v>242</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-4449.7261557020429</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10305.017287206025</v>
      </c>
      <c r="D67" s="1" t="str">
        <f>Reporting_currency</f>
        <v>CNY</v>
      </c>
    </row>
    <row r="68" spans="1:6">
      <c r="B68" s="47" t="s">
        <v>244</v>
      </c>
      <c r="C68" s="349">
        <f>Normalized_FCF!C19</f>
        <v>7230.3163971937247</v>
      </c>
      <c r="D68" s="1" t="str">
        <f>Reporting_currency</f>
        <v>CNY</v>
      </c>
    </row>
    <row r="69" spans="1:6">
      <c r="B69" s="227" t="s">
        <v>371</v>
      </c>
      <c r="C69" s="92">
        <f>Normalized_FCF!C126</f>
        <v>0.12465571601983087</v>
      </c>
      <c r="F69" s="314"/>
    </row>
    <row r="70" spans="1:6">
      <c r="B70" s="227" t="s">
        <v>435</v>
      </c>
      <c r="C70" s="92">
        <f>Normalized_FCF!C94</f>
        <v>4.7143824905205467E-2</v>
      </c>
      <c r="E70" s="47" t="s">
        <v>425</v>
      </c>
      <c r="F70" s="315">
        <f>Normalized_FCF!C92</f>
        <v>0.41214322680481363</v>
      </c>
    </row>
    <row r="72" spans="1:6">
      <c r="B72" s="210" t="s">
        <v>428</v>
      </c>
      <c r="C72" s="323" t="s">
        <v>430</v>
      </c>
      <c r="D72" s="323" t="s">
        <v>431</v>
      </c>
    </row>
    <row r="73" spans="1:6">
      <c r="B73" s="47" t="s">
        <v>429</v>
      </c>
      <c r="C73" s="92">
        <f>Normalized_FCF!C121</f>
        <v>0.20035914473808938</v>
      </c>
      <c r="D73" s="92">
        <f>Normalized_FCF!G121</f>
        <v>0.19114107375703299</v>
      </c>
    </row>
    <row r="74" spans="1:6">
      <c r="B74" s="259" t="str">
        <f>Normalized_FCF!B118</f>
        <v>Pre-tax Profit/Sales</v>
      </c>
      <c r="C74" s="322">
        <f>Normalized_FCF!C118</f>
        <v>9.7688828884786888E-2</v>
      </c>
      <c r="D74" s="322">
        <f>Normalized_FCF!G118</f>
        <v>9.0779900597746141E-2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12.133156359263538</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3.0556847764043975</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17132.263554599165</v>
      </c>
      <c r="D109" s="1" t="str">
        <f>Reporting_currency</f>
        <v>CNY</v>
      </c>
    </row>
    <row r="110" spans="2:6">
      <c r="B110" s="47" t="s">
        <v>277</v>
      </c>
      <c r="C110" s="223">
        <f>C109*scaling_factor*Exchange_Rate/Common_Shares</f>
        <v>2.156217180655569</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1.9935766241709157E-2</v>
      </c>
      <c r="D114" s="1" t="str">
        <f>Market_currency</f>
        <v>HKD</v>
      </c>
    </row>
    <row r="116" spans="1:6" ht="24.6" customHeight="1">
      <c r="B116" s="372" t="s">
        <v>352</v>
      </c>
      <c r="C116" s="372"/>
      <c r="D116" s="372"/>
      <c r="E116" s="372"/>
      <c r="F116" s="372"/>
    </row>
    <row r="118" spans="1:6">
      <c r="B118" s="47" t="s">
        <v>426</v>
      </c>
      <c r="C118" s="223">
        <f>IF(valuation_method="DCF",DCF!C12,DDM!C7)</f>
        <v>11.253624529756417</v>
      </c>
      <c r="D118" s="1" t="str">
        <f>Market_currency</f>
        <v>HKD</v>
      </c>
    </row>
    <row r="119" spans="1:6">
      <c r="B119" s="296" t="s">
        <v>550</v>
      </c>
      <c r="C119" s="223">
        <f>BS!D47</f>
        <v>-3.1825109862640586</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12.86 HKD</v>
      </c>
      <c r="F126" s="232">
        <f>DCF!F74</f>
        <v>0.05</v>
      </c>
    </row>
    <row r="127" spans="1:6">
      <c r="B127" s="218" t="str">
        <f>DCF!B75</f>
        <v>Optimistic</v>
      </c>
      <c r="C127" s="219">
        <f>DCF!C75</f>
        <v>0.03</v>
      </c>
      <c r="D127" s="220">
        <f>DCF!D75</f>
        <v>20</v>
      </c>
      <c r="E127" s="231" t="str">
        <f>ROUND(IF(valuation_method="DCF",DCF!E75,DDM!E70),2)&amp;" "&amp;Market_currency</f>
        <v>14.04 HKD</v>
      </c>
      <c r="F127" s="221">
        <f>DCF!F75</f>
        <v>0.18</v>
      </c>
    </row>
    <row r="128" spans="1:6">
      <c r="B128" s="218" t="str">
        <f>DCF!B76</f>
        <v>Base</v>
      </c>
      <c r="C128" s="219">
        <f>DCF!C76</f>
        <v>0.02</v>
      </c>
      <c r="D128" s="220">
        <f>DCF!D76</f>
        <v>20</v>
      </c>
      <c r="E128" s="231" t="str">
        <f>ROUND(IF(valuation_method="DCF",DCF!E76,DDM!E71),2)&amp;" "&amp;Market_currency</f>
        <v>13.01 HKD</v>
      </c>
      <c r="F128" s="221">
        <f>DCF!F76</f>
        <v>0.53999999999999992</v>
      </c>
    </row>
    <row r="129" spans="1:6">
      <c r="B129" s="218" t="str">
        <f>DCF!B77</f>
        <v>Pessimistic</v>
      </c>
      <c r="C129" s="219">
        <f>DCF!C77</f>
        <v>0.01</v>
      </c>
      <c r="D129" s="220">
        <f>DCF!D77</f>
        <v>20</v>
      </c>
      <c r="E129" s="231" t="str">
        <f>ROUND(IF(valuation_method="DCF",DCF!E77,DDM!E72),2)&amp;" "&amp;Market_currency</f>
        <v>12.08 HKD</v>
      </c>
      <c r="F129" s="221">
        <f>DCF!F77</f>
        <v>0.18</v>
      </c>
    </row>
    <row r="130" spans="1:6">
      <c r="B130" s="218" t="str">
        <f>DCF!B78</f>
        <v>Devil's advocate</v>
      </c>
      <c r="C130" s="219">
        <f>DCF!C78</f>
        <v>0</v>
      </c>
      <c r="D130" s="220">
        <f>DCF!D78</f>
        <v>10</v>
      </c>
      <c r="E130" s="231" t="str">
        <f>ROUND(IF(valuation_method="DCF",DCF!E78,DDM!E73),2)&amp;" "&amp;Market_currency</f>
        <v>11.25 HKD</v>
      </c>
      <c r="F130" s="221">
        <f>DCF!F78</f>
        <v>0.05</v>
      </c>
    </row>
    <row r="132" spans="1:6">
      <c r="B132" s="211" t="s">
        <v>254</v>
      </c>
      <c r="C132" s="217">
        <f>Scenarios!C60</f>
        <v>12.930692140739255</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0.34414992180799991</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0.58363686378860125</v>
      </c>
    </row>
    <row r="148" spans="2:4">
      <c r="B148" s="212" t="str">
        <f>"+ PV(Equity Value realized at year "&amp;C141&amp;")"</f>
        <v>+ PV(Equity Value realized at year 3)</v>
      </c>
      <c r="C148" s="216">
        <f>Scenarios!C82</f>
        <v>5.2555777638527674</v>
      </c>
    </row>
    <row r="149" spans="2:4">
      <c r="B149" s="80" t="s">
        <v>256</v>
      </c>
      <c r="C149" s="215">
        <f>Scenarios!C83</f>
        <v>5.8392146276413683</v>
      </c>
      <c r="D149" s="300" t="str">
        <f>IF($D$11="","",C149*$E$25)</f>
        <v/>
      </c>
    </row>
    <row r="150" spans="2:4">
      <c r="B150" s="259" t="s">
        <v>396</v>
      </c>
      <c r="C150" s="298" t="str">
        <f>Market_currency</f>
        <v>HKD</v>
      </c>
      <c r="D150" s="298" t="str">
        <f>IF($D$11="","",D$13)</f>
        <v/>
      </c>
    </row>
    <row r="151" spans="2:4">
      <c r="B151" s="214" t="s">
        <v>258</v>
      </c>
      <c r="C151" s="92">
        <f>Scenarios!F83</f>
        <v>0.54842211351978432</v>
      </c>
    </row>
    <row r="153" spans="2:4">
      <c r="B153" s="210" t="s">
        <v>391</v>
      </c>
    </row>
    <row r="154" spans="2:4">
      <c r="B154" s="1" t="s">
        <v>390</v>
      </c>
      <c r="C154" s="297">
        <f>Scenarios!C90</f>
        <v>0.25</v>
      </c>
    </row>
    <row r="155" spans="2:4">
      <c r="B155" s="212" t="str">
        <f>"PV("&amp;C141&amp;" yrs of Dividends)"</f>
        <v>PV(3 yrs of Dividends)</v>
      </c>
      <c r="C155" s="216">
        <f>Scenarios!C91</f>
        <v>0.67178064736921583</v>
      </c>
    </row>
    <row r="156" spans="2:4">
      <c r="B156" s="212" t="str">
        <f>"+ PV(Equity Value realized at year "&amp;C141&amp;")"</f>
        <v>+ PV(Equity Value realized at year 3)</v>
      </c>
      <c r="C156" s="216">
        <f>Scenarios!C92</f>
        <v>6.620514376058499</v>
      </c>
    </row>
    <row r="157" spans="2:4">
      <c r="B157" s="80" t="s">
        <v>256</v>
      </c>
      <c r="C157" s="215">
        <f>Scenarios!C93</f>
        <v>7.2922950234277151</v>
      </c>
      <c r="D157" s="300" t="str">
        <f>IF($D$11="","",C157*$E$25)</f>
        <v/>
      </c>
    </row>
    <row r="158" spans="2:4">
      <c r="B158" s="259" t="s">
        <v>396</v>
      </c>
      <c r="C158" s="298" t="str">
        <f>Market_currency</f>
        <v>HKD</v>
      </c>
      <c r="D158" s="298" t="str">
        <f>IF($D$11="","",D$13)</f>
        <v/>
      </c>
    </row>
    <row r="159" spans="2:4">
      <c r="B159" s="214" t="s">
        <v>258</v>
      </c>
      <c r="C159" s="92">
        <f>Scenarios!F93</f>
        <v>0.43604758785860243</v>
      </c>
    </row>
    <row r="161" spans="2:4">
      <c r="B161" s="210" t="s">
        <v>381</v>
      </c>
    </row>
    <row r="162" spans="2:4">
      <c r="B162" s="1" t="s">
        <v>389</v>
      </c>
      <c r="C162" s="92">
        <f>Scenarios!C96</f>
        <v>7.4999999999999997E-2</v>
      </c>
    </row>
    <row r="163" spans="2:4">
      <c r="B163" s="212" t="str">
        <f>"PV("&amp;C141&amp;" yrs of Dividends)"</f>
        <v>PV(3 yrs of Dividends)</v>
      </c>
      <c r="C163" s="216">
        <f>Scenarios!C97</f>
        <v>0.89497073003662608</v>
      </c>
    </row>
    <row r="164" spans="2:4">
      <c r="B164" s="212" t="str">
        <f>"+ PV(Equity Value realized at year "&amp;C141&amp;")"</f>
        <v>+ PV(Equity Value realized at year 3)</v>
      </c>
      <c r="C164" s="216">
        <f>Scenarios!C98</f>
        <v>10.408697309762818</v>
      </c>
    </row>
    <row r="165" spans="2:4">
      <c r="B165" s="80" t="s">
        <v>382</v>
      </c>
      <c r="C165" s="215">
        <f>Scenarios!C99</f>
        <v>11.303668039799444</v>
      </c>
      <c r="D165" s="300" t="str">
        <f>IF($D$11="","",C165*$E$25)</f>
        <v/>
      </c>
    </row>
    <row r="166" spans="2:4">
      <c r="B166" s="259" t="s">
        <v>396</v>
      </c>
      <c r="C166" s="298" t="str">
        <f>Market_currency</f>
        <v>HKD</v>
      </c>
      <c r="D166" s="298" t="str">
        <f>IF($D$11="","",D$13)</f>
        <v/>
      </c>
    </row>
    <row r="167" spans="2:4">
      <c r="B167" s="214" t="s">
        <v>258</v>
      </c>
      <c r="C167" s="92">
        <f>Scenarios!F99</f>
        <v>0.12582652832741514</v>
      </c>
    </row>
    <row r="169" spans="2:4">
      <c r="B169" s="210" t="s">
        <v>409</v>
      </c>
    </row>
    <row r="170" spans="2:4">
      <c r="B170" s="1" t="s">
        <v>400</v>
      </c>
      <c r="C170" s="92">
        <f>F32</f>
        <v>0.1174</v>
      </c>
    </row>
    <row r="171" spans="2:4">
      <c r="B171" s="212" t="str">
        <f>"PV("&amp;C141&amp;" yrs of Dividends)"</f>
        <v>PV(3 yrs of Dividends)</v>
      </c>
      <c r="C171" s="216">
        <f>Scenarios!C103</f>
        <v>0.83029717714552231</v>
      </c>
    </row>
    <row r="172" spans="2:4">
      <c r="B172" s="212" t="str">
        <f>"+ PV(Equity Value realized at year "&amp;C141&amp;")"</f>
        <v>+ PV(Equity Value realized at year 3)</v>
      </c>
      <c r="C172" s="216">
        <f>Scenarios!C104</f>
        <v>9.268207980749688</v>
      </c>
    </row>
    <row r="173" spans="2:4">
      <c r="B173" s="80" t="s">
        <v>382</v>
      </c>
      <c r="C173" s="215">
        <f>Scenarios!C105</f>
        <v>10.098505157895211</v>
      </c>
      <c r="D173" s="300" t="str">
        <f>IF($D$11="","",C173*$E$25)</f>
        <v/>
      </c>
    </row>
    <row r="174" spans="2:4">
      <c r="B174" s="259" t="s">
        <v>396</v>
      </c>
      <c r="C174" s="298" t="str">
        <f>Market_currency</f>
        <v>HKD</v>
      </c>
      <c r="D174" s="298" t="str">
        <f>IF($D$11="","",D$13)</f>
        <v/>
      </c>
    </row>
    <row r="175" spans="2:4">
      <c r="B175" s="214" t="s">
        <v>258</v>
      </c>
      <c r="C175" s="92">
        <f>Scenarios!F105</f>
        <v>0.2226196826750263</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0.34414992180799991</v>
      </c>
      <c r="D25" s="39">
        <f>(0.2838)*Exchange_Rate</f>
        <v>0.30927722548799996</v>
      </c>
      <c r="E25" s="39">
        <f>0.2539*Exchange_Rate</f>
        <v>0.27669304986400001</v>
      </c>
      <c r="F25" s="39">
        <f>0.2078*Exchange_Rate</f>
        <v>0.22645457172799999</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0.34414992180799991</v>
      </c>
      <c r="D65" s="73">
        <f t="shared" ref="D65:M65" si="33">IF(D$4="","",D25)</f>
        <v>0.30927722548799996</v>
      </c>
      <c r="E65" s="73">
        <f t="shared" si="33"/>
        <v>0.27669304986400001</v>
      </c>
      <c r="F65" s="73">
        <f t="shared" si="33"/>
        <v>0.22645457172799999</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8.1994648666736722</v>
      </c>
      <c r="D47" s="147">
        <f>D46*H1/Common_Shares*Exchange_Rate</f>
        <v>-3.1825109862640586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17132.263554599165</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-14496.910494229931</v>
      </c>
      <c r="D73" s="349">
        <f>(Normalized_FCF!C25+Normalized_FCF!C35-Normalized_FCF!C91)/12</f>
        <v>-13979.868222700417</v>
      </c>
      <c r="F73" s="1" t="s">
        <v>342</v>
      </c>
    </row>
    <row r="74" spans="2:6" ht="15" customHeight="1">
      <c r="B74" s="257" t="s">
        <v>312</v>
      </c>
      <c r="C74" s="258">
        <f>-$C$66/C73</f>
        <v>3.110455846295495</v>
      </c>
      <c r="D74" s="258">
        <f>-$C$66/D73</f>
        <v>3.2254953538674926</v>
      </c>
      <c r="F74" s="253" t="s">
        <v>310</v>
      </c>
    </row>
    <row r="75" spans="2:6" ht="15" customHeight="1">
      <c r="B75" s="80" t="s">
        <v>311</v>
      </c>
      <c r="C75" s="320"/>
      <c r="D75" s="321">
        <f>MAX(-D73*D76,G5)</f>
        <v>27959.736445400835</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-26458.568561039996</v>
      </c>
      <c r="D86" s="223">
        <f>C86*scaling_factor/Common_Shares</f>
        <v>-3.0556847764043975</v>
      </c>
      <c r="E86" s="240" t="str">
        <f>Market_currency</f>
        <v>HKD</v>
      </c>
    </row>
    <row r="87" spans="2:8" ht="15" customHeight="1">
      <c r="B87" s="238" t="s">
        <v>282</v>
      </c>
      <c r="C87" s="76">
        <f>DCF!C8*Exchange_Rate</f>
        <v>18670.257006679385</v>
      </c>
      <c r="D87" s="223">
        <f>C87*scaling_factor/Common_Shares</f>
        <v>2.156217180655569</v>
      </c>
      <c r="E87" s="240" t="str">
        <f>Market_currency</f>
        <v>HKD</v>
      </c>
    </row>
    <row r="88" spans="2:8" ht="15" customHeight="1">
      <c r="B88" s="239" t="s">
        <v>185</v>
      </c>
      <c r="C88" s="76">
        <f>DCF!C9*Exchange_Rate</f>
        <v>172.61984678399998</v>
      </c>
      <c r="D88" s="223">
        <f>C88*scaling_factor/Common_Shares</f>
        <v>1.9935766241709157E-2</v>
      </c>
      <c r="E88" s="240" t="str">
        <f>Market_currency</f>
        <v>HKD</v>
      </c>
    </row>
    <row r="89" spans="2:8" ht="15" customHeight="1">
      <c r="B89" s="80" t="s">
        <v>286</v>
      </c>
      <c r="C89" s="180">
        <f>SUM(C86:C88)</f>
        <v>-7615.6917075766105</v>
      </c>
      <c r="D89" s="242">
        <f>SUM(D86:D88)</f>
        <v>-0.87953182950711939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-523.40263554599164</v>
      </c>
      <c r="E12" s="268"/>
      <c r="G12" s="328">
        <f>G50</f>
        <v>-208.98271279397682</v>
      </c>
      <c r="H12" s="328">
        <f t="shared" ref="H12:Q12" si="6">H50</f>
        <v>-420.54797508430045</v>
      </c>
      <c r="I12" s="328">
        <f t="shared" si="6"/>
        <v>-366.36863287059089</v>
      </c>
      <c r="J12" s="328">
        <f t="shared" si="6"/>
        <v>-454.98836645930453</v>
      </c>
      <c r="K12" s="328">
        <f t="shared" si="6"/>
        <v>-503.38026641128636</v>
      </c>
      <c r="L12" s="328">
        <f t="shared" si="6"/>
        <v>-818.10361514149236</v>
      </c>
      <c r="M12" s="328">
        <f t="shared" si="6"/>
        <v>-947.08235936766505</v>
      </c>
      <c r="N12" s="328">
        <f t="shared" si="6"/>
        <v>-1014.167382462974</v>
      </c>
      <c r="O12" s="328">
        <f t="shared" si="6"/>
        <v>-468.59913023496648</v>
      </c>
      <c r="P12" s="328">
        <f t="shared" si="6"/>
        <v>-437.48654528042255</v>
      </c>
      <c r="Q12" s="328" t="str">
        <f t="shared" si="6"/>
        <v/>
      </c>
    </row>
    <row r="13" spans="1:17" ht="15.75" customHeight="1">
      <c r="A13" s="10"/>
      <c r="B13" s="70" t="s">
        <v>160</v>
      </c>
      <c r="C13" s="329">
        <f>SUM(C8:C12)</f>
        <v>17798.904622808172</v>
      </c>
      <c r="E13" s="268"/>
      <c r="G13" s="329">
        <f>IF(G$4="","",SUM(G8:G12))</f>
        <v>16980.017287206025</v>
      </c>
      <c r="H13" s="329">
        <f t="shared" ref="H13:Q13" si="7">IF(H$4="","",SUM(H8:H12))</f>
        <v>17261.452024915699</v>
      </c>
      <c r="I13" s="329">
        <f t="shared" si="7"/>
        <v>16973.631367129408</v>
      </c>
      <c r="J13" s="329">
        <f t="shared" si="7"/>
        <v>14670.011633540695</v>
      </c>
      <c r="K13" s="329">
        <f t="shared" si="7"/>
        <v>11589.619733588714</v>
      </c>
      <c r="L13" s="329">
        <f t="shared" si="7"/>
        <v>20402.896384858508</v>
      </c>
      <c r="M13" s="329">
        <f t="shared" si="7"/>
        <v>19208.917640632335</v>
      </c>
      <c r="N13" s="329">
        <f t="shared" si="7"/>
        <v>16944.832617537028</v>
      </c>
      <c r="O13" s="329">
        <f t="shared" si="7"/>
        <v>17752.400869765035</v>
      </c>
      <c r="P13" s="329">
        <f t="shared" si="7"/>
        <v>11857.513454719578</v>
      </c>
      <c r="Q13" s="329" t="str">
        <f t="shared" si="7"/>
        <v/>
      </c>
    </row>
    <row r="14" spans="1:17" ht="15.75" customHeight="1">
      <c r="A14" s="10"/>
      <c r="B14" s="2" t="s">
        <v>61</v>
      </c>
      <c r="C14" s="328">
        <f>-SUM(C8+C11,C12)*C43</f>
        <v>-4449.7261557020429</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7230.3163971937247</v>
      </c>
      <c r="D16" s="61"/>
      <c r="E16" s="276"/>
      <c r="F16" s="61"/>
      <c r="G16" s="329">
        <f>IF(G$4="","",SUM(G13:G15))</f>
        <v>10305.017287206025</v>
      </c>
      <c r="H16" s="329">
        <f t="shared" ref="H16:Q16" si="8">IF(H$4="","",SUM(H13:H15))</f>
        <v>10350.452024915699</v>
      </c>
      <c r="I16" s="329">
        <f t="shared" si="8"/>
        <v>10809.631367129408</v>
      </c>
      <c r="J16" s="329">
        <f t="shared" si="8"/>
        <v>8651.0116335406947</v>
      </c>
      <c r="K16" s="329">
        <f t="shared" si="8"/>
        <v>5607.6197335887136</v>
      </c>
      <c r="L16" s="329">
        <f t="shared" si="8"/>
        <v>12308.896384858508</v>
      </c>
      <c r="M16" s="329">
        <f t="shared" si="8"/>
        <v>11857.917640632335</v>
      </c>
      <c r="N16" s="329">
        <f t="shared" si="8"/>
        <v>10224.832617537028</v>
      </c>
      <c r="O16" s="329">
        <f t="shared" si="8"/>
        <v>11296.400869765035</v>
      </c>
      <c r="P16" s="329">
        <f t="shared" si="8"/>
        <v>7067.5134547195776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7230.3163971937247</v>
      </c>
      <c r="D19" s="27"/>
      <c r="E19" s="265"/>
      <c r="F19" s="27"/>
      <c r="G19" s="334">
        <f>IF(G$4="","",G16+G17)</f>
        <v>10305.017287206025</v>
      </c>
      <c r="H19" s="334">
        <f t="shared" ref="H19:Q19" si="9">IF(H$4="","",H16+H17)</f>
        <v>10350.452024915699</v>
      </c>
      <c r="I19" s="334">
        <f t="shared" si="9"/>
        <v>10809.631367129408</v>
      </c>
      <c r="J19" s="334">
        <f t="shared" si="9"/>
        <v>8651.0116335406947</v>
      </c>
      <c r="K19" s="334">
        <f t="shared" si="9"/>
        <v>5607.6197335887136</v>
      </c>
      <c r="L19" s="334">
        <f t="shared" si="9"/>
        <v>12308.896384858508</v>
      </c>
      <c r="M19" s="334">
        <f t="shared" si="9"/>
        <v>11857.917640632335</v>
      </c>
      <c r="N19" s="334">
        <f t="shared" si="9"/>
        <v>10224.832617537028</v>
      </c>
      <c r="O19" s="334">
        <f t="shared" si="9"/>
        <v>11296.400869765035</v>
      </c>
      <c r="P19" s="334">
        <f t="shared" si="9"/>
        <v>7067.5134547195776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0.18421653801005619</v>
      </c>
      <c r="H43" s="6">
        <f t="shared" si="18"/>
        <v>0.19337886495190731</v>
      </c>
      <c r="I43" s="6">
        <f t="shared" si="18"/>
        <v>0.18787965468460188</v>
      </c>
      <c r="J43" s="6">
        <f t="shared" si="18"/>
        <v>0.18391260125734621</v>
      </c>
      <c r="K43" s="6">
        <f t="shared" si="18"/>
        <v>0.199575141649948</v>
      </c>
      <c r="L43" s="6">
        <f t="shared" si="18"/>
        <v>0.19967753220682019</v>
      </c>
      <c r="M43" s="6">
        <f t="shared" si="18"/>
        <v>0.1963671285685116</v>
      </c>
      <c r="N43" s="6">
        <f t="shared" si="18"/>
        <v>0.20838211150847233</v>
      </c>
      <c r="O43" s="6">
        <f t="shared" si="18"/>
        <v>0.208478843349203</v>
      </c>
      <c r="P43" s="6">
        <f t="shared" si="18"/>
        <v>0.21986059808874608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279.59736445400836</v>
      </c>
      <c r="E48" s="268"/>
      <c r="G48" s="337">
        <f>IFERROR(IF(G$4="","",($C$48/$C$49)*G49),0)</f>
        <v>594.01728720602318</v>
      </c>
      <c r="H48" s="337">
        <f t="shared" ref="H48:Q48" si="19">IFERROR(IF(H$4="","",($C$48/$C$49)*H49),0)</f>
        <v>539.45202491569955</v>
      </c>
      <c r="I48" s="337">
        <f t="shared" si="19"/>
        <v>532.63136712940911</v>
      </c>
      <c r="J48" s="337">
        <f t="shared" si="19"/>
        <v>328.01163354069547</v>
      </c>
      <c r="K48" s="337">
        <f t="shared" si="19"/>
        <v>204.61973358871364</v>
      </c>
      <c r="L48" s="337">
        <f t="shared" si="19"/>
        <v>169.89638485850767</v>
      </c>
      <c r="M48" s="337">
        <f t="shared" si="19"/>
        <v>182.91764063233492</v>
      </c>
      <c r="N48" s="337">
        <f t="shared" si="19"/>
        <v>130.83261753702598</v>
      </c>
      <c r="O48" s="337">
        <f t="shared" si="19"/>
        <v>216.40086976503352</v>
      </c>
      <c r="P48" s="337">
        <f t="shared" si="19"/>
        <v>139.51345471957748</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-523.40263554599164</v>
      </c>
      <c r="E50" s="268"/>
      <c r="G50" s="329">
        <f>IF(G$4="","",(G47+G48))</f>
        <v>-208.98271279397682</v>
      </c>
      <c r="H50" s="329">
        <f t="shared" ref="H50:Q50" si="20">IF(H$4="","",(H47+H48))</f>
        <v>-420.54797508430045</v>
      </c>
      <c r="I50" s="329">
        <f t="shared" si="20"/>
        <v>-366.36863287059089</v>
      </c>
      <c r="J50" s="329">
        <f t="shared" si="20"/>
        <v>-454.98836645930453</v>
      </c>
      <c r="K50" s="329">
        <f t="shared" si="20"/>
        <v>-503.38026641128636</v>
      </c>
      <c r="L50" s="329">
        <f t="shared" si="20"/>
        <v>-818.10361514149236</v>
      </c>
      <c r="M50" s="329">
        <f t="shared" si="20"/>
        <v>-947.08235936766505</v>
      </c>
      <c r="N50" s="329">
        <f t="shared" si="20"/>
        <v>-1014.167382462974</v>
      </c>
      <c r="O50" s="329">
        <f t="shared" si="20"/>
        <v>-468.59913023496648</v>
      </c>
      <c r="P50" s="329">
        <f t="shared" si="20"/>
        <v>-437.48654528042255</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2.8726818635894163E-3</v>
      </c>
      <c r="D80" s="27"/>
      <c r="E80" s="265"/>
      <c r="F80" s="27"/>
      <c r="G80" s="6">
        <f t="shared" ref="G80:Q80" si="31">IF(G$4="","",ABS(G12/G$4))</f>
        <v>1.1172797749964009E-3</v>
      </c>
      <c r="H80" s="6">
        <f t="shared" si="31"/>
        <v>2.371234790781716E-3</v>
      </c>
      <c r="I80" s="6">
        <f t="shared" si="31"/>
        <v>2.1307439216872405E-3</v>
      </c>
      <c r="J80" s="6">
        <f t="shared" si="31"/>
        <v>3.2840001332349639E-3</v>
      </c>
      <c r="K80" s="6">
        <f t="shared" si="31"/>
        <v>4.6075575181122952E-3</v>
      </c>
      <c r="L80" s="6">
        <f t="shared" si="31"/>
        <v>7.2198566372922114E-3</v>
      </c>
      <c r="M80" s="6">
        <f t="shared" si="31"/>
        <v>8.9796374264498446E-3</v>
      </c>
      <c r="N80" s="6">
        <f t="shared" si="31"/>
        <v>1.143290625733292E-2</v>
      </c>
      <c r="O80" s="6">
        <f t="shared" si="31"/>
        <v>5.7228588729509111E-3</v>
      </c>
      <c r="P80" s="6">
        <f t="shared" si="31"/>
        <v>1.0506148874436794E-2</v>
      </c>
      <c r="Q80" s="6" t="str">
        <f t="shared" si="31"/>
        <v/>
      </c>
    </row>
    <row r="81" spans="1:17" ht="15.75" customHeight="1">
      <c r="A81" s="10"/>
      <c r="B81" s="70" t="s">
        <v>160</v>
      </c>
      <c r="C81" s="78">
        <f>C13/C4</f>
        <v>9.7688828884786888E-2</v>
      </c>
      <c r="D81" s="27"/>
      <c r="E81" s="265"/>
      <c r="F81" s="27"/>
      <c r="G81" s="65">
        <f t="shared" ref="G81:Q81" si="32">IF(G$4="","",G13/G$4)</f>
        <v>9.0779900597746141E-2</v>
      </c>
      <c r="H81" s="65">
        <f t="shared" si="32"/>
        <v>9.732767247942363E-2</v>
      </c>
      <c r="I81" s="65">
        <f t="shared" si="32"/>
        <v>9.8716043404418932E-2</v>
      </c>
      <c r="J81" s="65">
        <f t="shared" si="32"/>
        <v>0.10588472961190566</v>
      </c>
      <c r="K81" s="65">
        <f t="shared" si="32"/>
        <v>0.10608250481541326</v>
      </c>
      <c r="L81" s="65">
        <f t="shared" si="32"/>
        <v>0.18005786083554851</v>
      </c>
      <c r="M81" s="65">
        <f t="shared" si="32"/>
        <v>0.18212683834865209</v>
      </c>
      <c r="N81" s="65">
        <f t="shared" si="32"/>
        <v>0.19102239552608649</v>
      </c>
      <c r="O81" s="65">
        <f t="shared" si="32"/>
        <v>0.21680468075724865</v>
      </c>
      <c r="P81" s="65">
        <f t="shared" si="32"/>
        <v>0.28475573244445562</v>
      </c>
      <c r="Q81" s="65" t="str">
        <f t="shared" si="32"/>
        <v/>
      </c>
    </row>
    <row r="82" spans="1:17" ht="15.75" customHeight="1">
      <c r="A82" s="10"/>
      <c r="B82" s="2" t="s">
        <v>61</v>
      </c>
      <c r="C82" s="77">
        <f>ABS(C14/C$4)</f>
        <v>2.4422207221196722E-2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3.9683405033994097E-2</v>
      </c>
      <c r="D84" s="27"/>
      <c r="E84" s="265"/>
      <c r="F84" s="27"/>
      <c r="G84" s="65">
        <f t="shared" ref="G84:Q84" si="35">IF(G$4="","",ABS(G16/G$4))</f>
        <v>5.5093491906835886E-2</v>
      </c>
      <c r="H84" s="65">
        <f t="shared" si="35"/>
        <v>5.836040926573801E-2</v>
      </c>
      <c r="I84" s="65">
        <f t="shared" si="35"/>
        <v>6.2867162373385563E-2</v>
      </c>
      <c r="J84" s="65">
        <f t="shared" si="35"/>
        <v>6.2440988498781602E-2</v>
      </c>
      <c r="K84" s="65">
        <f t="shared" si="35"/>
        <v>5.13278572606998E-2</v>
      </c>
      <c r="L84" s="65">
        <f t="shared" si="35"/>
        <v>0.10862739831138976</v>
      </c>
      <c r="M84" s="65">
        <f t="shared" si="35"/>
        <v>0.1124292940232515</v>
      </c>
      <c r="N84" s="65">
        <f t="shared" si="35"/>
        <v>0.11526652782829828</v>
      </c>
      <c r="O84" s="65">
        <f t="shared" si="35"/>
        <v>0.13795951332118214</v>
      </c>
      <c r="P84" s="65">
        <f t="shared" si="35"/>
        <v>0.16972487343530601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3.9683405033994097E-2</v>
      </c>
      <c r="D87" s="75"/>
      <c r="E87" s="265"/>
      <c r="F87" s="75"/>
      <c r="G87" s="65">
        <f t="shared" ref="G87:Q87" si="36">IF(G$4="","",ABS(G19/G$4))</f>
        <v>5.5093491906835886E-2</v>
      </c>
      <c r="H87" s="65">
        <f t="shared" si="36"/>
        <v>5.836040926573801E-2</v>
      </c>
      <c r="I87" s="65">
        <f t="shared" si="36"/>
        <v>6.2867162373385563E-2</v>
      </c>
      <c r="J87" s="65">
        <f t="shared" si="36"/>
        <v>6.2440988498781602E-2</v>
      </c>
      <c r="K87" s="65">
        <f t="shared" si="36"/>
        <v>5.13278572606998E-2</v>
      </c>
      <c r="L87" s="65">
        <f t="shared" si="36"/>
        <v>0.10862739831138976</v>
      </c>
      <c r="M87" s="65">
        <f t="shared" si="36"/>
        <v>0.1124292940232515</v>
      </c>
      <c r="N87" s="65">
        <f t="shared" si="36"/>
        <v>0.11526652782829828</v>
      </c>
      <c r="O87" s="65">
        <f t="shared" si="36"/>
        <v>0.13795951332118214</v>
      </c>
      <c r="P87" s="65">
        <f t="shared" si="36"/>
        <v>0.16972487343530601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0.34414992180799991</v>
      </c>
      <c r="E90" s="268"/>
      <c r="G90" s="112">
        <f>Data!C65</f>
        <v>0.34414992180799991</v>
      </c>
      <c r="H90" s="112">
        <f>Data!D65</f>
        <v>0.30927722548799996</v>
      </c>
      <c r="I90" s="112">
        <f>Data!E65</f>
        <v>0.27669304986400001</v>
      </c>
      <c r="J90" s="112">
        <f>Data!F65</f>
        <v>0.22645457172799999</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2979.9259307591765</v>
      </c>
      <c r="E91" s="268"/>
      <c r="G91" s="74">
        <f t="shared" ref="G91:Q91" si="37">IF(G$4="","",G90*Common_Shares/scaling_factor)</f>
        <v>2979.9259307591765</v>
      </c>
      <c r="H91" s="74">
        <f t="shared" si="37"/>
        <v>2677.9701683009953</v>
      </c>
      <c r="I91" s="74">
        <f t="shared" si="37"/>
        <v>2395.8302527541323</v>
      </c>
      <c r="J91" s="74">
        <f t="shared" si="37"/>
        <v>1960.8252324628147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0.41214322680481363</v>
      </c>
      <c r="E92" s="268"/>
      <c r="G92" s="170">
        <f t="shared" ref="G92:Q92" si="38">IF(G$4="","",G90/(G19*scaling_factor/Common_Shares))</f>
        <v>0.28917233690222333</v>
      </c>
      <c r="H92" s="170">
        <f t="shared" si="38"/>
        <v>0.25872977932312152</v>
      </c>
      <c r="I92" s="170">
        <f t="shared" si="38"/>
        <v>0.22163847881432114</v>
      </c>
      <c r="J92" s="170">
        <f t="shared" si="38"/>
        <v>0.22665848984187367</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4.7143824905205467E-2</v>
      </c>
      <c r="E94" s="268"/>
      <c r="G94" s="23">
        <f t="shared" ref="G94:Q94" si="39">IF(G$4="","",(G90*(1-dividend_tax_rate))/Market_Price)</f>
        <v>4.7143824905205467E-2</v>
      </c>
      <c r="H94" s="23">
        <f t="shared" si="39"/>
        <v>4.2366743217534246E-2</v>
      </c>
      <c r="I94" s="23">
        <f t="shared" si="39"/>
        <v>3.7903157515616438E-2</v>
      </c>
      <c r="J94" s="23">
        <f t="shared" si="39"/>
        <v>3.1021174209315067E-2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4.8226531325098021E-2</v>
      </c>
      <c r="D98" s="27"/>
      <c r="E98" s="265"/>
      <c r="F98" s="27"/>
      <c r="G98" s="6">
        <f t="shared" ref="G98:Q98" si="41">IF(H5="","",G13/H13-1)</f>
        <v>-1.630423311453999E-2</v>
      </c>
      <c r="H98" s="6">
        <f t="shared" si="41"/>
        <v>1.6956928753836031E-2</v>
      </c>
      <c r="I98" s="6">
        <f t="shared" si="41"/>
        <v>0.15702916883323015</v>
      </c>
      <c r="J98" s="6">
        <f t="shared" si="41"/>
        <v>0.26578886717261963</v>
      </c>
      <c r="K98" s="6">
        <f t="shared" si="41"/>
        <v>-0.43196203543974987</v>
      </c>
      <c r="L98" s="6">
        <f t="shared" si="41"/>
        <v>6.2157523217266863E-2</v>
      </c>
      <c r="M98" s="6">
        <f t="shared" si="41"/>
        <v>0.13361507157952657</v>
      </c>
      <c r="N98" s="6">
        <f t="shared" si="41"/>
        <v>-4.5490649864910138E-2</v>
      </c>
      <c r="O98" s="6">
        <f t="shared" si="41"/>
        <v>0.49714364124960353</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1.2143599230577218</v>
      </c>
      <c r="H115" s="295">
        <f>IF(H$4="","",Data!D$22/H19)</f>
        <v>1.3920164998897571</v>
      </c>
      <c r="I115" s="295">
        <f>IF(I$4="","",Data!E$22/I19)</f>
        <v>1.375625078688401</v>
      </c>
      <c r="J115" s="295">
        <f>IF(J$4="","",Data!F$22/J19)</f>
        <v>1.3871210106197289</v>
      </c>
      <c r="K115" s="295">
        <f>IF(K$4="","",Data!G$22/K19)</f>
        <v>2.9848671620406342</v>
      </c>
      <c r="L115" s="295">
        <f>IF(L$4="","",Data!H$22/L19)</f>
        <v>1.3067784062092338</v>
      </c>
      <c r="M115" s="295">
        <f>IF(M$4="","",Data!I$22/M19)</f>
        <v>1.4351592341716162</v>
      </c>
      <c r="N115" s="295">
        <f>IF(N$4="","",Data!J$22/N19)</f>
        <v>1.2994833751323152</v>
      </c>
      <c r="O115" s="295">
        <f>IF(O$4="","",Data!K$22/O19)</f>
        <v>1.3941608642937242</v>
      </c>
      <c r="P115" s="295">
        <f>IF(P$4="","",Data!L$22/P19)</f>
        <v>1.8917544459815239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9.7688828884786888E-2</v>
      </c>
      <c r="E118" s="268"/>
      <c r="G118" s="23">
        <f t="shared" ref="G118:Q118" si="45">IF(G4="","",IF(valuation_method="DDM",G13/(G4+G12),G81))</f>
        <v>9.0779900597746141E-2</v>
      </c>
      <c r="H118" s="23">
        <f t="shared" si="45"/>
        <v>9.732767247942363E-2</v>
      </c>
      <c r="I118" s="23">
        <f t="shared" si="45"/>
        <v>9.8716043404418932E-2</v>
      </c>
      <c r="J118" s="23">
        <f t="shared" si="45"/>
        <v>0.10588472961190566</v>
      </c>
      <c r="K118" s="23">
        <f t="shared" si="45"/>
        <v>0.10608250481541326</v>
      </c>
      <c r="L118" s="23">
        <f t="shared" si="45"/>
        <v>0.18005786083554851</v>
      </c>
      <c r="M118" s="23">
        <f t="shared" si="45"/>
        <v>0.18212683834865209</v>
      </c>
      <c r="N118" s="23">
        <f t="shared" si="45"/>
        <v>0.19102239552608649</v>
      </c>
      <c r="O118" s="23">
        <f t="shared" si="45"/>
        <v>0.21680468075724865</v>
      </c>
      <c r="P118" s="23">
        <f t="shared" si="45"/>
        <v>0.28475573244445562</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0.20035914473808938</v>
      </c>
      <c r="D121" s="103"/>
      <c r="E121" s="271"/>
      <c r="F121" s="103"/>
      <c r="G121" s="102">
        <f t="shared" ref="G121:Q121" si="48">IF(G$4="","",G13/G106)</f>
        <v>0.19114107375703299</v>
      </c>
      <c r="H121" s="102">
        <f t="shared" si="48"/>
        <v>0.20122229375185877</v>
      </c>
      <c r="I121" s="102">
        <f t="shared" si="48"/>
        <v>0.21032479203897558</v>
      </c>
      <c r="J121" s="102">
        <f t="shared" si="48"/>
        <v>0.19338015098061842</v>
      </c>
      <c r="K121" s="102">
        <f t="shared" si="48"/>
        <v>0.13711145235946756</v>
      </c>
      <c r="L121" s="102">
        <f t="shared" si="48"/>
        <v>0.25766112754762277</v>
      </c>
      <c r="M121" s="102">
        <f t="shared" si="48"/>
        <v>0.27404510572420371</v>
      </c>
      <c r="N121" s="102">
        <f t="shared" si="48"/>
        <v>0.25820697321961184</v>
      </c>
      <c r="O121" s="102">
        <f t="shared" si="48"/>
        <v>0.26774657058903872</v>
      </c>
      <c r="P121" s="102">
        <f t="shared" si="48"/>
        <v>0.16861261382628373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0.90998672694476523</v>
      </c>
      <c r="D125" s="27"/>
      <c r="E125" s="265"/>
      <c r="F125" s="27"/>
      <c r="G125" s="177">
        <f t="shared" ref="G125:Q125" si="49">IF(G$4="","",G16*$C$3/Common_Shares*Exchange_Rate)</f>
        <v>1.2969596954198934</v>
      </c>
      <c r="H125" s="177">
        <f t="shared" si="49"/>
        <v>1.3026779802067208</v>
      </c>
      <c r="I125" s="177">
        <f t="shared" si="49"/>
        <v>1.3604689652407755</v>
      </c>
      <c r="J125" s="177">
        <f t="shared" si="49"/>
        <v>1.0887913237409961</v>
      </c>
      <c r="K125" s="177">
        <f t="shared" si="49"/>
        <v>0.70575881427537857</v>
      </c>
      <c r="L125" s="177">
        <f t="shared" si="49"/>
        <v>1.549162127663877</v>
      </c>
      <c r="M125" s="177">
        <f t="shared" si="49"/>
        <v>1.4924032461937222</v>
      </c>
      <c r="N125" s="177">
        <f t="shared" si="49"/>
        <v>1.2868678846200841</v>
      </c>
      <c r="O125" s="177">
        <f t="shared" si="49"/>
        <v>1.421732368133054</v>
      </c>
      <c r="P125" s="177">
        <f t="shared" si="49"/>
        <v>0.88949681908727152</v>
      </c>
      <c r="Q125" s="177" t="str">
        <f t="shared" si="49"/>
        <v/>
      </c>
    </row>
    <row r="126" spans="1:17" ht="15.75" customHeight="1">
      <c r="A126" s="10"/>
      <c r="B126" s="27" t="s">
        <v>264</v>
      </c>
      <c r="C126" s="77">
        <f>C19*Exchange_Rate*$C$3/(Market_Price*Common_Shares)</f>
        <v>0.12465571601983087</v>
      </c>
      <c r="D126" s="27"/>
      <c r="E126" s="265"/>
      <c r="F126" s="27"/>
      <c r="G126" s="77">
        <f t="shared" ref="G126" si="50">IF(G$4="","",G125/Market_Price)</f>
        <v>0.17766571170135526</v>
      </c>
      <c r="H126" s="77">
        <f t="shared" ref="H126" si="51">IF(H$4="","",H125/Market_Price)</f>
        <v>0.17844903838448231</v>
      </c>
      <c r="I126" s="77">
        <f t="shared" ref="I126" si="52">IF(I$4="","",I125/Market_Price)</f>
        <v>0.18636561167681856</v>
      </c>
      <c r="J126" s="77">
        <f t="shared" ref="J126" si="53">IF(J$4="","",J125/Market_Price)</f>
        <v>0.14914949640287617</v>
      </c>
      <c r="K126" s="77">
        <f t="shared" ref="K126" si="54">IF(K$4="","",K125/Market_Price)</f>
        <v>9.6679289626764184E-2</v>
      </c>
      <c r="L126" s="77">
        <f t="shared" ref="L126" si="55">IF(L$4="","",L125/Market_Price)</f>
        <v>0.21221399009094205</v>
      </c>
      <c r="M126" s="77">
        <f t="shared" ref="M126" si="56">IF(M$4="","",M125/Market_Price)</f>
        <v>0.20443880084845512</v>
      </c>
      <c r="N126" s="77">
        <f t="shared" ref="N126" si="57">IF(N$4="","",N125/Market_Price)</f>
        <v>0.17628327186576495</v>
      </c>
      <c r="O126" s="77">
        <f t="shared" ref="O126" si="58">IF(O$4="","",O125/Market_Price)</f>
        <v>0.19475785864836356</v>
      </c>
      <c r="P126" s="77">
        <f t="shared" ref="P126" si="59">IF(P$4="","",P125/Market_Price)</f>
        <v>0.1218488793270235</v>
      </c>
      <c r="Q126" s="77" t="str">
        <f t="shared" ref="Q126" si="60">IF(Q$4="","",Q125/Market_Price)</f>
        <v/>
      </c>
    </row>
    <row r="127" spans="1:17" ht="15.75" customHeight="1">
      <c r="B127" s="2" t="s">
        <v>375</v>
      </c>
      <c r="C127" s="169"/>
      <c r="G127" s="23">
        <f>IF(G$4="","",(Data!C47*$C$3)/(Market_Price*Common_Shares))</f>
        <v>0.15040519589680013</v>
      </c>
      <c r="H127" s="23">
        <f>IF(H$4="","",(Data!D47*$C$3)/(Market_Price*Common_Shares))</f>
        <v>0.14641843778530403</v>
      </c>
      <c r="I127" s="23">
        <f>IF(I$4="","",(Data!E47*$C$3)/(Market_Price*Common_Shares))</f>
        <v>0.12977530471667734</v>
      </c>
      <c r="J127" s="23">
        <f>IF(J$4="","",(Data!F47*$C$3)/(Market_Price*Common_Shares))</f>
        <v>0.41666368405743404</v>
      </c>
      <c r="K127" s="23">
        <f>IF(K$4="","",(Data!G47*$C$3)/(Market_Price*Common_Shares))</f>
        <v>0.15396480135349311</v>
      </c>
      <c r="L127" s="23">
        <f>IF(L$4="","",(Data!H47*$C$3)/(Market_Price*Common_Shares))</f>
        <v>0.15141770589337059</v>
      </c>
      <c r="M127" s="23">
        <f>IF(M$4="","",(Data!I47*$C$3)/(Market_Price*Common_Shares))</f>
        <v>0.12993350940364148</v>
      </c>
      <c r="N127" s="23">
        <f>IF(N$4="","",(Data!J47*$C$3)/(Market_Price*Common_Shares))</f>
        <v>0.12575690566778841</v>
      </c>
      <c r="O127" s="23">
        <f>IF(O$4="","",(Data!K47*$C$3)/(Market_Price*Common_Shares))</f>
        <v>5.4011080129554613E-2</v>
      </c>
      <c r="P127" s="23">
        <f>IF(P$4="","",(Data!L47*$C$3)/(Market_Price*Common_Shares))</f>
        <v>3.6703487375678585E-2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7230.3163971937247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96404.218629249663</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17132.263554599165</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89415.882183848822</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11.253624529756417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12.990430723336237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7373.7242043329152</v>
      </c>
      <c r="D21" s="138">
        <f>IF($C$17&lt;B21,0,DCF!$C$16)</f>
        <v>1.983423674168E-2</v>
      </c>
      <c r="E21" s="124">
        <f t="shared" ref="E21:E50" si="0">IF($C$17&lt;B21,0,1/(1+Equity_Cost)^B21)</f>
        <v>0.93023255813953487</v>
      </c>
      <c r="F21" s="125">
        <f t="shared" ref="F21:F51" si="1">C21*E21</f>
        <v>6859.2783296120142</v>
      </c>
      <c r="H21" s="120"/>
    </row>
    <row r="22" spans="2:17">
      <c r="B22" s="122">
        <v>2</v>
      </c>
      <c r="C22" s="123">
        <f t="shared" ref="C22:C50" si="2">IF(ROW()-ROW($C$21)&lt;$C$17, $C$21*(1+D22)^(ROW()-ROW($C$21)), 0)</f>
        <v>7519.9763958695094</v>
      </c>
      <c r="D22" s="138">
        <f>IF($C$17&lt;B22,0,DCF!$C$16)</f>
        <v>1.983423674168E-2</v>
      </c>
      <c r="E22" s="124">
        <f t="shared" si="0"/>
        <v>0.86533261222282321</v>
      </c>
      <c r="F22" s="125">
        <f t="shared" si="1"/>
        <v>6507.280818491734</v>
      </c>
      <c r="H22" s="120"/>
    </row>
    <row r="23" spans="2:17">
      <c r="B23" s="122">
        <v>3</v>
      </c>
      <c r="C23" s="123">
        <f t="shared" si="2"/>
        <v>7669.1293879970308</v>
      </c>
      <c r="D23" s="138">
        <f>IF($C$17&lt;B23,0,DCF!$C$16)</f>
        <v>1.983423674168E-2</v>
      </c>
      <c r="E23" s="124">
        <f t="shared" si="0"/>
        <v>0.80496056950960304</v>
      </c>
      <c r="F23" s="125">
        <f t="shared" si="1"/>
        <v>6173.3467598049237</v>
      </c>
      <c r="G23" s="338"/>
      <c r="H23" s="339"/>
      <c r="I23" s="338"/>
      <c r="J23" s="338"/>
      <c r="K23" s="338"/>
      <c r="L23" s="338"/>
      <c r="M23" s="338"/>
      <c r="N23" s="338"/>
      <c r="O23" s="338"/>
      <c r="P23" s="338"/>
      <c r="Q23" s="338"/>
    </row>
    <row r="24" spans="2:17">
      <c r="B24" s="122">
        <v>4</v>
      </c>
      <c r="C24" s="123">
        <f t="shared" si="2"/>
        <v>7821.2407158811393</v>
      </c>
      <c r="D24" s="138">
        <f>IF($C$17&lt;B24,0,DCF!$C$16)</f>
        <v>1.983423674168E-2</v>
      </c>
      <c r="E24" s="124">
        <f t="shared" si="0"/>
        <v>0.7488005297763749</v>
      </c>
      <c r="F24" s="125">
        <f t="shared" si="1"/>
        <v>5856.5491915603507</v>
      </c>
      <c r="G24" s="338"/>
      <c r="H24" s="339"/>
      <c r="I24" s="338"/>
      <c r="J24" s="338"/>
      <c r="K24" s="338"/>
      <c r="L24" s="338"/>
      <c r="M24" s="338"/>
      <c r="N24" s="338"/>
      <c r="O24" s="338"/>
      <c r="P24" s="338"/>
      <c r="Q24" s="338"/>
    </row>
    <row r="25" spans="2:17">
      <c r="B25" s="122">
        <v>5</v>
      </c>
      <c r="C25" s="123">
        <f t="shared" si="2"/>
        <v>7976.3690558535927</v>
      </c>
      <c r="D25" s="138">
        <f>IF($C$17&lt;B25,0,DCF!$C$16)</f>
        <v>1.983423674168E-2</v>
      </c>
      <c r="E25" s="124">
        <f t="shared" si="0"/>
        <v>0.69655863235011617</v>
      </c>
      <c r="F25" s="125">
        <f t="shared" si="1"/>
        <v>5556.008720665166</v>
      </c>
      <c r="G25" s="338"/>
      <c r="H25" s="339"/>
      <c r="I25" s="338"/>
      <c r="J25" s="338"/>
      <c r="K25" s="338"/>
      <c r="L25" s="338"/>
      <c r="M25" s="338"/>
      <c r="N25" s="338"/>
      <c r="O25" s="338"/>
      <c r="P25" s="338"/>
      <c r="Q25" s="338"/>
    </row>
    <row r="26" spans="2:17">
      <c r="B26" s="122">
        <v>6</v>
      </c>
      <c r="C26" s="123">
        <f t="shared" si="2"/>
        <v>8134.5742480464032</v>
      </c>
      <c r="D26" s="138">
        <f>IF($C$17&lt;B26,0,DCF!$C$16)</f>
        <v>1.983423674168E-2</v>
      </c>
      <c r="E26" s="124">
        <f t="shared" si="0"/>
        <v>0.64796151846522443</v>
      </c>
      <c r="F26" s="125">
        <f t="shared" si="1"/>
        <v>5270.8910818322584</v>
      </c>
      <c r="H26" s="120"/>
    </row>
    <row r="27" spans="2:17">
      <c r="B27" s="122">
        <v>7</v>
      </c>
      <c r="C27" s="123">
        <f t="shared" si="2"/>
        <v>8295.9173194749292</v>
      </c>
      <c r="D27" s="138">
        <f>IF($C$17&lt;B27,0,DCF!$C$16)</f>
        <v>1.983423674168E-2</v>
      </c>
      <c r="E27" s="124">
        <f t="shared" si="0"/>
        <v>0.60275490089788319</v>
      </c>
      <c r="F27" s="125">
        <f t="shared" si="1"/>
        <v>5000.4048217571435</v>
      </c>
      <c r="H27" s="120"/>
    </row>
    <row r="28" spans="2:17">
      <c r="B28" s="122">
        <v>8</v>
      </c>
      <c r="C28" s="123">
        <f t="shared" si="2"/>
        <v>8460.4605075787968</v>
      </c>
      <c r="D28" s="138">
        <f>IF($C$17&lt;B28,0,DCF!$C$16)</f>
        <v>1.983423674168E-2</v>
      </c>
      <c r="E28" s="124">
        <f t="shared" si="0"/>
        <v>0.56070223339337966</v>
      </c>
      <c r="F28" s="125">
        <f t="shared" si="1"/>
        <v>4743.7991021359176</v>
      </c>
      <c r="H28" s="120"/>
    </row>
    <row r="29" spans="2:17">
      <c r="B29" s="122">
        <v>9</v>
      </c>
      <c r="C29" s="123">
        <f t="shared" si="2"/>
        <v>8628.2672842297488</v>
      </c>
      <c r="D29" s="138">
        <f>IF($C$17&lt;B29,0,DCF!$C$16)</f>
        <v>1.983423674168E-2</v>
      </c>
      <c r="E29" s="124">
        <f t="shared" si="0"/>
        <v>0.52158347292407414</v>
      </c>
      <c r="F29" s="125">
        <f t="shared" si="1"/>
        <v>4500.3616154257215</v>
      </c>
      <c r="H29" s="120"/>
    </row>
    <row r="30" spans="2:17">
      <c r="B30" s="122">
        <v>10</v>
      </c>
      <c r="C30" s="123">
        <f t="shared" si="2"/>
        <v>8799.4023802156535</v>
      </c>
      <c r="D30" s="138">
        <f>IF($C$17&lt;B30,0,DCF!$C$16)</f>
        <v>1.983423674168E-2</v>
      </c>
      <c r="E30" s="124">
        <f t="shared" si="0"/>
        <v>0.48519392830146441</v>
      </c>
      <c r="F30" s="125">
        <f t="shared" si="1"/>
        <v>4269.4166075620888</v>
      </c>
      <c r="H30" s="120"/>
    </row>
    <row r="31" spans="2:17">
      <c r="B31" s="122">
        <v>11</v>
      </c>
      <c r="C31" s="123">
        <f t="shared" si="2"/>
        <v>8973.9318102101515</v>
      </c>
      <c r="D31" s="138">
        <f>IF($C$17&lt;B31,0,DCF!$C$16)</f>
        <v>1.983423674168E-2</v>
      </c>
      <c r="E31" s="124">
        <f t="shared" si="0"/>
        <v>0.45134318911764126</v>
      </c>
      <c r="F31" s="125">
        <f t="shared" si="1"/>
        <v>4050.3230021444974</v>
      </c>
      <c r="H31" s="120"/>
    </row>
    <row r="32" spans="2:17">
      <c r="B32" s="122">
        <v>12</v>
      </c>
      <c r="C32" s="123">
        <f t="shared" si="2"/>
        <v>9151.9228982375535</v>
      </c>
      <c r="D32" s="138">
        <f>IF($C$17&lt;B32,0,DCF!$C$16)</f>
        <v>1.983423674168E-2</v>
      </c>
      <c r="E32" s="124">
        <f t="shared" si="0"/>
        <v>0.41985412941175931</v>
      </c>
      <c r="F32" s="125">
        <f t="shared" si="1"/>
        <v>3842.472620883073</v>
      </c>
      <c r="H32" s="120"/>
    </row>
    <row r="33" spans="2:17">
      <c r="B33" s="122">
        <v>13</v>
      </c>
      <c r="C33" s="341">
        <f t="shared" si="2"/>
        <v>9333.4443036427983</v>
      </c>
      <c r="D33" s="138">
        <f>IF($C$17&lt;B33,0,DCF!$C$16)</f>
        <v>1.983423674168E-2</v>
      </c>
      <c r="E33" s="124">
        <f t="shared" si="0"/>
        <v>0.39056198084814819</v>
      </c>
      <c r="F33" s="125">
        <f t="shared" si="1"/>
        <v>3645.2884953665966</v>
      </c>
      <c r="G33" s="338"/>
      <c r="H33" s="339"/>
      <c r="I33" s="338"/>
      <c r="J33" s="338"/>
      <c r="K33" s="338"/>
      <c r="L33" s="338"/>
      <c r="M33" s="338"/>
      <c r="N33" s="338"/>
      <c r="O33" s="338"/>
      <c r="P33" s="338"/>
      <c r="Q33" s="338"/>
    </row>
    <row r="34" spans="2:17">
      <c r="B34" s="122">
        <v>14</v>
      </c>
      <c r="C34" s="341">
        <f t="shared" si="2"/>
        <v>9518.5660475765362</v>
      </c>
      <c r="D34" s="138">
        <f>IF($C$17&lt;B34,0,DCF!$C$16)</f>
        <v>1.983423674168E-2</v>
      </c>
      <c r="E34" s="124">
        <f t="shared" si="0"/>
        <v>0.36331347055641694</v>
      </c>
      <c r="F34" s="125">
        <f t="shared" si="1"/>
        <v>3458.2232654655077</v>
      </c>
      <c r="G34" s="338"/>
      <c r="H34" s="339"/>
      <c r="I34" s="338"/>
      <c r="J34" s="338"/>
      <c r="K34" s="338"/>
      <c r="L34" s="338"/>
      <c r="M34" s="338"/>
      <c r="N34" s="338"/>
      <c r="O34" s="338"/>
      <c r="P34" s="338"/>
      <c r="Q34" s="338"/>
    </row>
    <row r="35" spans="2:17">
      <c r="B35" s="122">
        <v>15</v>
      </c>
      <c r="C35" s="341">
        <f t="shared" si="2"/>
        <v>9707.3595400054855</v>
      </c>
      <c r="D35" s="138">
        <f>IF($C$17&lt;B35,0,DCF!$C$16)</f>
        <v>1.983423674168E-2</v>
      </c>
      <c r="E35" s="124">
        <f t="shared" si="0"/>
        <v>0.33796601912224833</v>
      </c>
      <c r="F35" s="125">
        <f t="shared" si="1"/>
        <v>3280.7576599240338</v>
      </c>
      <c r="G35" s="338"/>
      <c r="H35" s="339"/>
      <c r="I35" s="338"/>
      <c r="J35" s="338"/>
      <c r="K35" s="338"/>
      <c r="L35" s="338"/>
      <c r="M35" s="338"/>
      <c r="N35" s="338"/>
      <c r="O35" s="338"/>
      <c r="P35" s="338"/>
      <c r="Q35" s="338"/>
    </row>
    <row r="36" spans="2:17">
      <c r="B36" s="122">
        <v>16</v>
      </c>
      <c r="C36" s="123">
        <f t="shared" si="2"/>
        <v>9899.8976072585592</v>
      </c>
      <c r="D36" s="138">
        <f>IF($C$17&lt;B36,0,DCF!$C$16)</f>
        <v>1.983423674168E-2</v>
      </c>
      <c r="E36" s="124">
        <f t="shared" si="0"/>
        <v>0.31438699453232405</v>
      </c>
      <c r="F36" s="125">
        <f t="shared" si="1"/>
        <v>3112.3990549237647</v>
      </c>
      <c r="H36" s="120"/>
    </row>
    <row r="37" spans="2:17">
      <c r="B37" s="122">
        <v>17</v>
      </c>
      <c r="C37" s="123">
        <f t="shared" si="2"/>
        <v>10096.254520119315</v>
      </c>
      <c r="D37" s="138">
        <f>IF($C$17&lt;B37,0,DCF!$C$16)</f>
        <v>1.983423674168E-2</v>
      </c>
      <c r="E37" s="124">
        <f t="shared" si="0"/>
        <v>0.29245301816960378</v>
      </c>
      <c r="F37" s="125">
        <f t="shared" si="1"/>
        <v>2952.6801066173985</v>
      </c>
      <c r="H37" s="120"/>
    </row>
    <row r="38" spans="2:17">
      <c r="B38" s="122">
        <v>18</v>
      </c>
      <c r="C38" s="123">
        <f t="shared" si="2"/>
        <v>10296.506022475618</v>
      </c>
      <c r="D38" s="138">
        <f>IF($C$17&lt;B38,0,DCF!$C$16)</f>
        <v>1.983423674168E-2</v>
      </c>
      <c r="E38" s="124">
        <f t="shared" si="0"/>
        <v>0.27204931922753844</v>
      </c>
      <c r="F38" s="125">
        <f t="shared" si="1"/>
        <v>2801.1574538367418</v>
      </c>
      <c r="H38" s="120"/>
    </row>
    <row r="39" spans="2:17">
      <c r="B39" s="122">
        <v>19</v>
      </c>
      <c r="C39" s="123">
        <f t="shared" si="2"/>
        <v>10500.729360537533</v>
      </c>
      <c r="D39" s="138">
        <f>IF($C$17&lt;B39,0,DCF!$C$16)</f>
        <v>1.983423674168E-2</v>
      </c>
      <c r="E39" s="124">
        <f t="shared" si="0"/>
        <v>0.25306913416515198</v>
      </c>
      <c r="F39" s="125">
        <f t="shared" si="1"/>
        <v>2657.4104873738233</v>
      </c>
      <c r="H39" s="120"/>
    </row>
    <row r="40" spans="2:17">
      <c r="B40" s="122">
        <v>20</v>
      </c>
      <c r="C40" s="123">
        <f t="shared" si="2"/>
        <v>10709.003312634744</v>
      </c>
      <c r="D40" s="138">
        <f>IF($C$17&lt;B40,0,DCF!$C$16)</f>
        <v>1.983423674168E-2</v>
      </c>
      <c r="E40" s="124">
        <f t="shared" si="0"/>
        <v>0.23541314806060654</v>
      </c>
      <c r="F40" s="125">
        <f t="shared" si="1"/>
        <v>2521.0401824188089</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98316.322724438869</v>
      </c>
      <c r="D51" s="139">
        <f>Terminal_Growth</f>
        <v>0</v>
      </c>
      <c r="E51" s="124">
        <f>1/(1+Equity_Cost)^C17</f>
        <v>0.23541314806060654</v>
      </c>
      <c r="F51" s="125">
        <f t="shared" si="1"/>
        <v>23144.955038302702</v>
      </c>
      <c r="H51" s="120"/>
    </row>
    <row r="52" spans="1:17">
      <c r="C52" s="114"/>
      <c r="E52" s="127" t="s">
        <v>97</v>
      </c>
      <c r="F52" s="137">
        <f>SUM(F21:F51)</f>
        <v>110204.04441610427</v>
      </c>
      <c r="H52" s="120"/>
    </row>
    <row r="53" spans="1:17">
      <c r="C53" s="114"/>
      <c r="H53" s="120"/>
    </row>
    <row r="54" spans="1:17" ht="13.15">
      <c r="B54" s="119" t="s">
        <v>125</v>
      </c>
      <c r="C54" s="136"/>
      <c r="D54" s="136"/>
      <c r="E54" s="117"/>
      <c r="F54" s="117"/>
      <c r="H54" s="120"/>
    </row>
    <row r="55" spans="1:17" ht="13.15">
      <c r="A55" s="133">
        <f>F52</f>
        <v>110204.04441610427</v>
      </c>
      <c r="B55" s="131">
        <f>C78</f>
        <v>0</v>
      </c>
      <c r="C55" s="131">
        <f>C77</f>
        <v>0.01</v>
      </c>
      <c r="D55" s="131">
        <f>C76</f>
        <v>0.02</v>
      </c>
      <c r="E55" s="131">
        <f>C75</f>
        <v>0.03</v>
      </c>
      <c r="F55" s="131">
        <f>C74</f>
        <v>0.04</v>
      </c>
      <c r="H55" s="120"/>
    </row>
    <row r="56" spans="1:17" ht="13.15">
      <c r="A56" s="143">
        <v>5</v>
      </c>
      <c r="B56" s="123">
        <f t="dataTable" ref="B56:F61" dt2D="1" dtr="1" r1="C16" r2="C17"/>
        <v>96404.218629249663</v>
      </c>
      <c r="C56" s="123">
        <v>97921.83963101609</v>
      </c>
      <c r="D56" s="123">
        <v>99461.244923706254</v>
      </c>
      <c r="E56" s="123">
        <v>101022.912635969</v>
      </c>
      <c r="F56" s="123">
        <v>102607.32836030795</v>
      </c>
      <c r="H56" s="120"/>
    </row>
    <row r="57" spans="1:17" ht="13.15">
      <c r="A57" s="143">
        <v>10</v>
      </c>
      <c r="B57" s="123">
        <v>96404.218629249692</v>
      </c>
      <c r="C57" s="123">
        <v>99376.906942559493</v>
      </c>
      <c r="D57" s="123">
        <v>102492.67876410868</v>
      </c>
      <c r="E57" s="123">
        <v>105759.92320767169</v>
      </c>
      <c r="F57" s="123">
        <v>109187.49215003022</v>
      </c>
      <c r="H57" s="120"/>
    </row>
    <row r="58" spans="1:17" ht="13.15">
      <c r="A58" s="143">
        <v>15</v>
      </c>
      <c r="B58" s="123">
        <v>96404.218629249706</v>
      </c>
      <c r="C58" s="341">
        <v>101173.39301969178</v>
      </c>
      <c r="D58" s="123">
        <v>106330.82900636042</v>
      </c>
      <c r="E58" s="123">
        <v>111913.52891972312</v>
      </c>
      <c r="F58" s="123">
        <v>117962.02514678516</v>
      </c>
      <c r="G58" s="338"/>
      <c r="H58" s="339"/>
      <c r="I58" s="338"/>
      <c r="J58" s="338"/>
      <c r="K58" s="338"/>
      <c r="L58" s="338"/>
      <c r="M58" s="338"/>
      <c r="N58" s="338"/>
      <c r="O58" s="338"/>
      <c r="P58" s="338"/>
      <c r="Q58" s="338"/>
    </row>
    <row r="59" spans="1:17" ht="13.15">
      <c r="A59" s="144">
        <v>20</v>
      </c>
      <c r="B59" s="123">
        <v>96404.218629249706</v>
      </c>
      <c r="C59" s="341">
        <v>102997.93821677584</v>
      </c>
      <c r="D59" s="123">
        <v>110332.16325156328</v>
      </c>
      <c r="E59" s="123">
        <v>118504.48793080922</v>
      </c>
      <c r="F59" s="123">
        <v>127625.80244416979</v>
      </c>
      <c r="G59" s="338"/>
      <c r="H59" s="339"/>
      <c r="I59" s="338"/>
      <c r="J59" s="338"/>
      <c r="K59" s="338"/>
      <c r="L59" s="338"/>
      <c r="M59" s="338"/>
      <c r="N59" s="338"/>
      <c r="O59" s="338"/>
      <c r="P59" s="338"/>
      <c r="Q59" s="338"/>
    </row>
    <row r="60" spans="1:17" ht="13.15">
      <c r="A60" s="144">
        <v>25</v>
      </c>
      <c r="B60" s="123">
        <v>96404.218629249706</v>
      </c>
      <c r="C60" s="341">
        <v>104688.46569382757</v>
      </c>
      <c r="D60" s="123">
        <v>114140.50995163305</v>
      </c>
      <c r="E60" s="123">
        <v>124956.45682745303</v>
      </c>
      <c r="F60" s="123">
        <v>137367.23468120224</v>
      </c>
      <c r="G60" s="338"/>
      <c r="H60" s="339"/>
      <c r="I60" s="338"/>
      <c r="J60" s="338"/>
      <c r="K60" s="338"/>
      <c r="L60" s="338"/>
      <c r="M60" s="338"/>
      <c r="N60" s="338"/>
      <c r="O60" s="338"/>
      <c r="P60" s="338"/>
      <c r="Q60" s="338"/>
    </row>
    <row r="61" spans="1:17" ht="13.15">
      <c r="A61" s="144">
        <v>30</v>
      </c>
      <c r="B61" s="123">
        <v>96404.218629249721</v>
      </c>
      <c r="C61" s="341">
        <v>106173.2203506454</v>
      </c>
      <c r="D61" s="123">
        <v>117578.59450856545</v>
      </c>
      <c r="E61" s="123">
        <v>130953.37680475667</v>
      </c>
      <c r="F61" s="123">
        <v>146703.63625872839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11.253624529756417</v>
      </c>
      <c r="C65" s="124">
        <f>C12</f>
        <v>11.253624529756417</v>
      </c>
      <c r="D65" s="124">
        <f>C12</f>
        <v>11.253624529756417</v>
      </c>
      <c r="E65" s="141">
        <f>C12</f>
        <v>11.253624529756417</v>
      </c>
      <c r="F65" s="124">
        <f>C12</f>
        <v>11.253624529756417</v>
      </c>
      <c r="H65" s="120"/>
    </row>
    <row r="66" spans="1:8" ht="13.15">
      <c r="A66" s="143">
        <f t="shared" ref="A66:A71" si="3">A56</f>
        <v>5</v>
      </c>
      <c r="B66" s="124">
        <f t="shared" ref="B66:F71" si="4">(B56-$C$7+$C$8+$C$9)/Common_Shares*$C$3*Exchange_Rate</f>
        <v>11.253624529756417</v>
      </c>
      <c r="C66" s="124">
        <f t="shared" si="4"/>
        <v>11.444627923283715</v>
      </c>
      <c r="D66" s="124">
        <f t="shared" si="4"/>
        <v>11.638373024712509</v>
      </c>
      <c r="E66" s="124">
        <f t="shared" si="4"/>
        <v>11.834920009932805</v>
      </c>
      <c r="F66" s="124">
        <f t="shared" si="4"/>
        <v>12.034329994213799</v>
      </c>
      <c r="H66" s="120"/>
    </row>
    <row r="67" spans="1:8" ht="13.15">
      <c r="A67" s="143">
        <f t="shared" si="3"/>
        <v>10</v>
      </c>
      <c r="B67" s="124">
        <f t="shared" si="4"/>
        <v>11.253624529756422</v>
      </c>
      <c r="C67" s="124">
        <f t="shared" si="4"/>
        <v>11.627758490132715</v>
      </c>
      <c r="D67" s="124">
        <f t="shared" si="4"/>
        <v>12.019900527360676</v>
      </c>
      <c r="E67" s="124">
        <f t="shared" si="4"/>
        <v>12.431106471056353</v>
      </c>
      <c r="F67" s="124">
        <f t="shared" si="4"/>
        <v>12.862490392850557</v>
      </c>
      <c r="H67" s="120"/>
    </row>
    <row r="68" spans="1:8" ht="13.15">
      <c r="A68" s="143">
        <f t="shared" si="3"/>
        <v>15</v>
      </c>
      <c r="B68" s="124">
        <f t="shared" si="4"/>
        <v>11.253624529756424</v>
      </c>
      <c r="C68" s="124">
        <f t="shared" si="4"/>
        <v>11.853859036156667</v>
      </c>
      <c r="D68" s="124">
        <f t="shared" si="4"/>
        <v>12.502959025025385</v>
      </c>
      <c r="E68" s="124">
        <f t="shared" si="4"/>
        <v>13.205581502742611</v>
      </c>
      <c r="F68" s="124">
        <f t="shared" si="4"/>
        <v>13.966827758402768</v>
      </c>
      <c r="H68" s="120"/>
    </row>
    <row r="69" spans="1:8" ht="13.15">
      <c r="A69" s="144">
        <f t="shared" si="3"/>
        <v>20</v>
      </c>
      <c r="B69" s="124">
        <f t="shared" si="4"/>
        <v>11.253624529756424</v>
      </c>
      <c r="C69" s="124">
        <f t="shared" si="4"/>
        <v>12.083491021930033</v>
      </c>
      <c r="D69" s="124">
        <f t="shared" si="4"/>
        <v>13.006555389717997</v>
      </c>
      <c r="E69" s="124">
        <f t="shared" si="4"/>
        <v>14.035100556743236</v>
      </c>
      <c r="F69" s="124">
        <f t="shared" si="4"/>
        <v>15.183082841815621</v>
      </c>
      <c r="H69" s="120"/>
    </row>
    <row r="70" spans="1:8" ht="13.15">
      <c r="A70" s="144">
        <f t="shared" si="3"/>
        <v>25</v>
      </c>
      <c r="B70" s="124">
        <f t="shared" si="4"/>
        <v>11.253624529756424</v>
      </c>
      <c r="C70" s="124">
        <f t="shared" si="4"/>
        <v>12.296255924756355</v>
      </c>
      <c r="D70" s="124">
        <f t="shared" si="4"/>
        <v>13.48586289969259</v>
      </c>
      <c r="E70" s="124">
        <f t="shared" si="4"/>
        <v>14.847126716606047</v>
      </c>
      <c r="F70" s="124">
        <f t="shared" si="4"/>
        <v>16.409111351518455</v>
      </c>
    </row>
    <row r="71" spans="1:8" ht="13.15">
      <c r="A71" s="144">
        <f t="shared" si="3"/>
        <v>30</v>
      </c>
      <c r="B71" s="124">
        <f t="shared" si="4"/>
        <v>11.253624529756424</v>
      </c>
      <c r="C71" s="124">
        <f t="shared" si="4"/>
        <v>12.483122855088485</v>
      </c>
      <c r="D71" s="124">
        <f t="shared" si="4"/>
        <v>13.91857028634811</v>
      </c>
      <c r="E71" s="124">
        <f t="shared" si="4"/>
        <v>15.601881734521205</v>
      </c>
      <c r="F71" s="124">
        <f t="shared" si="4"/>
        <v>17.584163872909148</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12.862490392850557</v>
      </c>
      <c r="F74" s="142">
        <f>Scenarios!C58</f>
        <v>0.05</v>
      </c>
    </row>
    <row r="75" spans="1:8">
      <c r="B75" s="127" t="str">
        <f>Scenarios!B36</f>
        <v>Optimistic</v>
      </c>
      <c r="C75" s="142">
        <f>Scenarios!C38</f>
        <v>0.03</v>
      </c>
      <c r="D75" s="145">
        <f>Scenarios!C37</f>
        <v>20</v>
      </c>
      <c r="E75" s="135">
        <f>INDEX(B$65:F$71, MATCH(D75, A$65:A$71, 0), MATCH(C75, B$64:F$64, 0))</f>
        <v>14.035100556743236</v>
      </c>
      <c r="F75" s="142">
        <f>Scenarios!C40*(1-F$74-F$78)</f>
        <v>0.18</v>
      </c>
      <c r="H75" s="120"/>
    </row>
    <row r="76" spans="1:8">
      <c r="B76" s="127" t="str">
        <f>Scenarios!B24</f>
        <v>Base</v>
      </c>
      <c r="C76" s="142">
        <f>Scenarios!C26</f>
        <v>0.02</v>
      </c>
      <c r="D76" s="145">
        <f>Scenarios!C25</f>
        <v>20</v>
      </c>
      <c r="E76" s="135">
        <f>INDEX(B$65:F$71, MATCH(D76, A$65:A$71, 0), MATCH(C76, B$64:F$64, 0))</f>
        <v>13.006555389717997</v>
      </c>
      <c r="F76" s="142">
        <f>Scenarios!C28*(1-F$74-F$78)</f>
        <v>0.53999999999999992</v>
      </c>
      <c r="H76" s="120"/>
    </row>
    <row r="77" spans="1:8">
      <c r="B77" s="127" t="str">
        <f>Scenarios!B30</f>
        <v>Pessimistic</v>
      </c>
      <c r="C77" s="142">
        <f>Scenarios!C32</f>
        <v>0.01</v>
      </c>
      <c r="D77" s="145">
        <f>Scenarios!C31</f>
        <v>20</v>
      </c>
      <c r="E77" s="135">
        <f>INDEX(B$65:F$71, MATCH(D77, A$65:A$71, 0), MATCH(C77, B$64:F$64, 0))</f>
        <v>12.083491021930033</v>
      </c>
      <c r="F77" s="142">
        <f>Scenarios!C34*(1-F$74-F$78)</f>
        <v>0.18</v>
      </c>
      <c r="H77" s="120"/>
    </row>
    <row r="78" spans="1:8">
      <c r="B78" s="127" t="str">
        <f>Scenarios!B48</f>
        <v>Devil's advocate</v>
      </c>
      <c r="C78" s="142">
        <f>Scenarios!C50</f>
        <v>0</v>
      </c>
      <c r="D78" s="145">
        <f>Scenarios!C49</f>
        <v>10</v>
      </c>
      <c r="E78" s="135">
        <f>INDEX(B$65:F$71, MATCH(D78, A$65:A$71, 0), MATCH(C78, B$64:F$64, 0))</f>
        <v>11.253624529756422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2979.9259307591765</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39732.345743455691</v>
      </c>
      <c r="D6" t="str">
        <f>Reporting_currency</f>
        <v>CNY</v>
      </c>
      <c r="E6" s="378"/>
      <c r="F6" s="378"/>
      <c r="H6" s="120"/>
    </row>
    <row r="7" spans="2:8" ht="13.15">
      <c r="B7" s="149" t="s">
        <v>421</v>
      </c>
      <c r="C7" s="111">
        <f>(C6*scaling_factor)/Common_Shares*Exchange_Rate</f>
        <v>5.0005982132342197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5.2455122549613451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3039.0304871425251</v>
      </c>
      <c r="D16" s="138">
        <f>IF($C$12&lt;B16,0,DDM!$C$11)</f>
        <v>1.983423674168E-2</v>
      </c>
      <c r="E16" s="124">
        <f t="shared" ref="E16:E45" si="0">IF($C$12&lt;B16,0,1/(1+Equity_Cost)^B16)</f>
        <v>0.93023255813953487</v>
      </c>
      <c r="F16" s="125">
        <f t="shared" ref="F16:F46" si="1">C16*E16</f>
        <v>2827.0051043186281</v>
      </c>
      <c r="H16" s="120"/>
    </row>
    <row r="17" spans="2:8">
      <c r="B17" s="122">
        <v>2</v>
      </c>
      <c r="C17" s="123">
        <f t="shared" ref="C17:C45" si="2">IF(ROW()-ROW($C$16)&lt;$C$12, $C$16*(1+D17)^(ROW()-ROW($C$16)), 0)</f>
        <v>3099.3073372896929</v>
      </c>
      <c r="D17" s="138">
        <f>IF($C$12&lt;B17,0,DDM!$C$11)</f>
        <v>1.983423674168E-2</v>
      </c>
      <c r="E17" s="124">
        <f t="shared" si="0"/>
        <v>0.86533261222282321</v>
      </c>
      <c r="F17" s="125">
        <f t="shared" si="1"/>
        <v>2681.9317142582527</v>
      </c>
      <c r="H17" s="120"/>
    </row>
    <row r="18" spans="2:8">
      <c r="B18" s="122">
        <v>3</v>
      </c>
      <c r="C18" s="123">
        <f t="shared" si="2"/>
        <v>3160.7797327527223</v>
      </c>
      <c r="D18" s="138">
        <f>IF($C$12&lt;B18,0,DDM!$C$11)</f>
        <v>1.983423674168E-2</v>
      </c>
      <c r="E18" s="124">
        <f t="shared" si="0"/>
        <v>0.80496056950960304</v>
      </c>
      <c r="F18" s="125">
        <f t="shared" si="1"/>
        <v>2544.3030537710424</v>
      </c>
      <c r="H18" s="120"/>
    </row>
    <row r="19" spans="2:8">
      <c r="B19" s="122">
        <v>4</v>
      </c>
      <c r="C19" s="123">
        <f t="shared" si="2"/>
        <v>3223.471386260444</v>
      </c>
      <c r="D19" s="138">
        <f>IF($C$12&lt;B19,0,DDM!$C$11)</f>
        <v>1.983423674168E-2</v>
      </c>
      <c r="E19" s="124">
        <f t="shared" si="0"/>
        <v>0.7488005297763749</v>
      </c>
      <c r="F19" s="125">
        <f t="shared" si="1"/>
        <v>2413.7370817508063</v>
      </c>
      <c r="H19" s="120"/>
    </row>
    <row r="20" spans="2:8">
      <c r="B20" s="122">
        <v>5</v>
      </c>
      <c r="C20" s="123">
        <f t="shared" si="2"/>
        <v>3287.4064808655648</v>
      </c>
      <c r="D20" s="138">
        <f>IF($C$12&lt;B20,0,DDM!$C$11)</f>
        <v>1.983423674168E-2</v>
      </c>
      <c r="E20" s="124">
        <f t="shared" si="0"/>
        <v>0.69655863235011617</v>
      </c>
      <c r="F20" s="125">
        <f t="shared" si="1"/>
        <v>2289.8713622906262</v>
      </c>
      <c r="H20" s="120"/>
    </row>
    <row r="21" spans="2:8">
      <c r="B21" s="122">
        <v>6</v>
      </c>
      <c r="C21" s="123">
        <f t="shared" si="2"/>
        <v>3352.6096792731855</v>
      </c>
      <c r="D21" s="138">
        <f>IF($C$12&lt;B21,0,DDM!$C$11)</f>
        <v>1.983423674168E-2</v>
      </c>
      <c r="E21" s="124">
        <f t="shared" si="0"/>
        <v>0.64796151846522443</v>
      </c>
      <c r="F21" s="125">
        <f t="shared" si="1"/>
        <v>2172.3620586030625</v>
      </c>
      <c r="H21" s="120"/>
    </row>
    <row r="22" spans="2:8">
      <c r="B22" s="122">
        <v>7</v>
      </c>
      <c r="C22" s="123">
        <f t="shared" si="2"/>
        <v>3419.1061333543375</v>
      </c>
      <c r="D22" s="138">
        <f>IF($C$12&lt;B22,0,DDM!$C$11)</f>
        <v>1.983423674168E-2</v>
      </c>
      <c r="E22" s="124">
        <f t="shared" si="0"/>
        <v>0.60275490089788319</v>
      </c>
      <c r="F22" s="125">
        <f t="shared" si="1"/>
        <v>2060.8829785693383</v>
      </c>
      <c r="H22" s="120"/>
    </row>
    <row r="23" spans="2:8">
      <c r="B23" s="122">
        <v>8</v>
      </c>
      <c r="C23" s="123">
        <f t="shared" si="2"/>
        <v>3486.9214938482173</v>
      </c>
      <c r="D23" s="138">
        <f>IF($C$12&lt;B23,0,DDM!$C$11)</f>
        <v>1.983423674168E-2</v>
      </c>
      <c r="E23" s="124">
        <f t="shared" si="0"/>
        <v>0.56070223339337966</v>
      </c>
      <c r="F23" s="125">
        <f t="shared" si="1"/>
        <v>1955.1246692680752</v>
      </c>
      <c r="H23" s="120"/>
    </row>
    <row r="24" spans="2:8">
      <c r="B24" s="122">
        <v>9</v>
      </c>
      <c r="C24" s="123">
        <f t="shared" si="2"/>
        <v>3556.081920256855</v>
      </c>
      <c r="D24" s="138">
        <f>IF($C$12&lt;B24,0,DDM!$C$11)</f>
        <v>1.983423674168E-2</v>
      </c>
      <c r="E24" s="124">
        <f t="shared" si="0"/>
        <v>0.52158347292407414</v>
      </c>
      <c r="F24" s="125">
        <f t="shared" si="1"/>
        <v>1854.7935579700809</v>
      </c>
      <c r="H24" s="120"/>
    </row>
    <row r="25" spans="2:8">
      <c r="B25" s="122">
        <v>10</v>
      </c>
      <c r="C25" s="123">
        <f t="shared" si="2"/>
        <v>3626.6140909360374</v>
      </c>
      <c r="D25" s="138">
        <f>IF($C$12&lt;B25,0,DDM!$C$11)</f>
        <v>1.983423674168E-2</v>
      </c>
      <c r="E25" s="124">
        <f t="shared" si="0"/>
        <v>0.48519392830146441</v>
      </c>
      <c r="F25" s="125">
        <f t="shared" si="1"/>
        <v>1759.6111372147002</v>
      </c>
      <c r="H25" s="120"/>
    </row>
    <row r="26" spans="2:8">
      <c r="B26" s="122">
        <v>11</v>
      </c>
      <c r="C26" s="123">
        <f t="shared" si="2"/>
        <v>3698.5452133863751</v>
      </c>
      <c r="D26" s="138">
        <f>IF($C$12&lt;B26,0,DDM!$C$11)</f>
        <v>1.983423674168E-2</v>
      </c>
      <c r="E26" s="124">
        <f t="shared" si="0"/>
        <v>0.45134318911764126</v>
      </c>
      <c r="F26" s="125">
        <f t="shared" si="1"/>
        <v>1669.3131917055935</v>
      </c>
      <c r="H26" s="120"/>
    </row>
    <row r="27" spans="2:8">
      <c r="B27" s="122">
        <v>12</v>
      </c>
      <c r="C27" s="123">
        <f t="shared" si="2"/>
        <v>3771.9030347484877</v>
      </c>
      <c r="D27" s="138">
        <f>IF($C$12&lt;B27,0,DDM!$C$11)</f>
        <v>1.983423674168E-2</v>
      </c>
      <c r="E27" s="124">
        <f t="shared" si="0"/>
        <v>0.41985412941175931</v>
      </c>
      <c r="F27" s="125">
        <f t="shared" si="1"/>
        <v>1583.6490648798992</v>
      </c>
      <c r="H27" s="120"/>
    </row>
    <row r="28" spans="2:8">
      <c r="B28" s="122">
        <v>13</v>
      </c>
      <c r="C28" s="123">
        <f t="shared" si="2"/>
        <v>3846.7158525063505</v>
      </c>
      <c r="D28" s="138">
        <f>IF($C$12&lt;B28,0,DDM!$C$11)</f>
        <v>1.983423674168E-2</v>
      </c>
      <c r="E28" s="124">
        <f t="shared" si="0"/>
        <v>0.39056198084814819</v>
      </c>
      <c r="F28" s="125">
        <f t="shared" si="1"/>
        <v>1502.3809631148533</v>
      </c>
      <c r="H28" s="120"/>
    </row>
    <row r="29" spans="2:8">
      <c r="B29" s="122">
        <v>14</v>
      </c>
      <c r="C29" s="123">
        <f t="shared" si="2"/>
        <v>3923.0125254029354</v>
      </c>
      <c r="D29" s="138">
        <f>IF($C$12&lt;B29,0,DDM!$C$11)</f>
        <v>1.983423674168E-2</v>
      </c>
      <c r="E29" s="124">
        <f t="shared" si="0"/>
        <v>0.36331347055641694</v>
      </c>
      <c r="F29" s="125">
        <f t="shared" si="1"/>
        <v>1425.2832956404343</v>
      </c>
      <c r="H29" s="120"/>
    </row>
    <row r="30" spans="2:8">
      <c r="B30" s="122">
        <v>15</v>
      </c>
      <c r="C30" s="123">
        <f t="shared" si="2"/>
        <v>4000.8224845723526</v>
      </c>
      <c r="D30" s="138">
        <f>IF($C$12&lt;B30,0,DDM!$C$11)</f>
        <v>1.983423674168E-2</v>
      </c>
      <c r="E30" s="124">
        <f t="shared" si="0"/>
        <v>0.33796601912224833</v>
      </c>
      <c r="F30" s="125">
        <f t="shared" si="1"/>
        <v>1352.1420483257007</v>
      </c>
      <c r="H30" s="120"/>
    </row>
    <row r="31" spans="2:8">
      <c r="B31" s="122">
        <v>16</v>
      </c>
      <c r="C31" s="123">
        <f t="shared" si="2"/>
        <v>4080.175744892797</v>
      </c>
      <c r="D31" s="138">
        <f>IF($C$12&lt;B31,0,DDM!$C$11)</f>
        <v>1.983423674168E-2</v>
      </c>
      <c r="E31" s="124">
        <f t="shared" si="0"/>
        <v>0.31438699453232405</v>
      </c>
      <c r="F31" s="125">
        <f t="shared" si="1"/>
        <v>1282.754189600533</v>
      </c>
      <c r="H31" s="120"/>
    </row>
    <row r="32" spans="2:8">
      <c r="B32" s="122">
        <v>17</v>
      </c>
      <c r="C32" s="123">
        <f t="shared" si="2"/>
        <v>4161.1029165646605</v>
      </c>
      <c r="D32" s="138">
        <f>IF($C$12&lt;B32,0,DDM!$C$11)</f>
        <v>1.983423674168E-2</v>
      </c>
      <c r="E32" s="124">
        <f t="shared" si="0"/>
        <v>0.29245301816960378</v>
      </c>
      <c r="F32" s="125">
        <f t="shared" si="1"/>
        <v>1216.927106863676</v>
      </c>
      <c r="H32" s="120"/>
    </row>
    <row r="33" spans="2:8">
      <c r="B33" s="122">
        <v>18</v>
      </c>
      <c r="C33" s="123">
        <f t="shared" si="2"/>
        <v>4243.6352169182983</v>
      </c>
      <c r="D33" s="138">
        <f>IF($C$12&lt;B33,0,DDM!$C$11)</f>
        <v>1.983423674168E-2</v>
      </c>
      <c r="E33" s="124">
        <f t="shared" si="0"/>
        <v>0.27204931922753844</v>
      </c>
      <c r="F33" s="125">
        <f t="shared" si="1"/>
        <v>1154.4780718126306</v>
      </c>
      <c r="H33" s="120"/>
    </row>
    <row r="34" spans="2:8">
      <c r="B34" s="122">
        <v>19</v>
      </c>
      <c r="C34" s="123">
        <f t="shared" si="2"/>
        <v>4327.8044824559865</v>
      </c>
      <c r="D34" s="138">
        <f>IF($C$12&lt;B34,0,DDM!$C$11)</f>
        <v>1.983423674168E-2</v>
      </c>
      <c r="E34" s="124">
        <f t="shared" si="0"/>
        <v>0.25306913416515198</v>
      </c>
      <c r="F34" s="125">
        <f t="shared" si="1"/>
        <v>1095.2337332112002</v>
      </c>
      <c r="H34" s="120"/>
    </row>
    <row r="35" spans="2:8">
      <c r="B35" s="122">
        <v>20</v>
      </c>
      <c r="C35" s="123">
        <f t="shared" si="2"/>
        <v>4413.6431811327229</v>
      </c>
      <c r="D35" s="138">
        <f>IF($C$12&lt;B35,0,DDM!$C$11)</f>
        <v>1.983423674168E-2</v>
      </c>
      <c r="E35" s="124">
        <f t="shared" si="0"/>
        <v>0.23541314806060654</v>
      </c>
      <c r="F35" s="125">
        <f t="shared" si="1"/>
        <v>1039.0296356866841</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40520.40649523367</v>
      </c>
      <c r="D46" s="139">
        <f>Terminal_Growth</f>
        <v>0</v>
      </c>
      <c r="E46" s="124">
        <f>1/(1+Equity_Cost)^C12</f>
        <v>0.23541314806060654</v>
      </c>
      <c r="F46" s="125">
        <f t="shared" si="1"/>
        <v>9539.0364537384066</v>
      </c>
      <c r="H46" s="120"/>
    </row>
    <row r="47" spans="2:8">
      <c r="C47" s="114"/>
      <c r="E47" s="127" t="s">
        <v>97</v>
      </c>
      <c r="F47" s="137">
        <f>SUM(F16:F46)</f>
        <v>45419.850472594226</v>
      </c>
      <c r="H47" s="120"/>
    </row>
    <row r="48" spans="2:8">
      <c r="C48" s="114"/>
      <c r="H48" s="120"/>
    </row>
    <row r="49" spans="1:8" ht="13.15">
      <c r="B49" s="119" t="s">
        <v>125</v>
      </c>
      <c r="C49" s="136"/>
      <c r="D49" s="136"/>
      <c r="E49" s="117"/>
      <c r="F49" s="117"/>
      <c r="H49" s="120"/>
    </row>
    <row r="50" spans="1:8" ht="13.15">
      <c r="A50" s="133">
        <f>F47</f>
        <v>45419.850472594226</v>
      </c>
      <c r="B50" s="131">
        <f>C73</f>
        <v>0</v>
      </c>
      <c r="C50" s="131">
        <f>C72</f>
        <v>0.01</v>
      </c>
      <c r="D50" s="131">
        <f>C71</f>
        <v>0.02</v>
      </c>
      <c r="E50" s="131">
        <f>C70</f>
        <v>0.03</v>
      </c>
      <c r="F50" s="131">
        <f>C69</f>
        <v>0.04</v>
      </c>
      <c r="H50" s="120"/>
    </row>
    <row r="51" spans="1:8" ht="13.15">
      <c r="A51" s="143">
        <v>5</v>
      </c>
      <c r="B51" s="123">
        <f t="dataTable" ref="B51:F56" dt2D="1" dtr="1" r1="C11" r2="C12"/>
        <v>39732.345743455691</v>
      </c>
      <c r="C51" s="123">
        <v>40357.822960190453</v>
      </c>
      <c r="D51" s="123">
        <v>40992.278424880191</v>
      </c>
      <c r="E51" s="123">
        <v>41635.909195009044</v>
      </c>
      <c r="F51" s="123">
        <v>42288.915404238396</v>
      </c>
      <c r="H51" s="120"/>
    </row>
    <row r="52" spans="1:8" ht="13.15">
      <c r="A52" s="143">
        <v>10</v>
      </c>
      <c r="B52" s="123">
        <v>39732.345743455699</v>
      </c>
      <c r="C52" s="123">
        <v>40957.51909718816</v>
      </c>
      <c r="D52" s="123">
        <v>42241.66334970895</v>
      </c>
      <c r="E52" s="123">
        <v>43588.236017439107</v>
      </c>
      <c r="F52" s="123">
        <v>45000.885341438712</v>
      </c>
      <c r="H52" s="120"/>
    </row>
    <row r="53" spans="1:8" ht="13.15">
      <c r="A53" s="143">
        <v>15</v>
      </c>
      <c r="B53" s="123">
        <v>39732.345743455699</v>
      </c>
      <c r="C53" s="123">
        <v>41697.928665927386</v>
      </c>
      <c r="D53" s="123">
        <v>43823.530975512258</v>
      </c>
      <c r="E53" s="123">
        <v>46124.402932088517</v>
      </c>
      <c r="F53" s="123">
        <v>48617.249684426606</v>
      </c>
      <c r="H53" s="120"/>
    </row>
    <row r="54" spans="1:8" ht="13.15">
      <c r="A54" s="144">
        <v>20</v>
      </c>
      <c r="B54" s="123">
        <v>39732.345743455706</v>
      </c>
      <c r="C54" s="123">
        <v>42449.902610904828</v>
      </c>
      <c r="D54" s="123">
        <v>45472.653782854781</v>
      </c>
      <c r="E54" s="123">
        <v>48840.822046655812</v>
      </c>
      <c r="F54" s="123">
        <v>52600.110042893808</v>
      </c>
      <c r="H54" s="120"/>
    </row>
    <row r="55" spans="1:8" ht="13.15">
      <c r="A55" s="144">
        <v>25</v>
      </c>
      <c r="B55" s="123">
        <v>39732.345743455706</v>
      </c>
      <c r="C55" s="123">
        <v>43146.642060299127</v>
      </c>
      <c r="D55" s="123">
        <v>47042.238080613002</v>
      </c>
      <c r="E55" s="123">
        <v>51499.957326962882</v>
      </c>
      <c r="F55" s="123">
        <v>56614.975358764801</v>
      </c>
      <c r="H55" s="120"/>
    </row>
    <row r="56" spans="1:8" ht="13.15">
      <c r="A56" s="144">
        <v>30</v>
      </c>
      <c r="B56" s="123">
        <v>39732.345743455713</v>
      </c>
      <c r="C56" s="123">
        <v>43758.573635573499</v>
      </c>
      <c r="D56" s="123">
        <v>48459.221343934929</v>
      </c>
      <c r="E56" s="123">
        <v>53971.547277299054</v>
      </c>
      <c r="F56" s="123">
        <v>60462.910031671985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5.0005982132342197</v>
      </c>
      <c r="C60" s="124">
        <f>C7</f>
        <v>5.0005982132342197</v>
      </c>
      <c r="D60" s="124">
        <f>C7</f>
        <v>5.0005982132342197</v>
      </c>
      <c r="E60" s="141">
        <f>C7</f>
        <v>5.0005982132342197</v>
      </c>
      <c r="F60" s="124">
        <f>C7</f>
        <v>5.0005982132342197</v>
      </c>
      <c r="H60" s="120"/>
    </row>
    <row r="61" spans="1:8" ht="13.15">
      <c r="A61" s="143">
        <f t="shared" ref="A61:A66" si="3">A51</f>
        <v>5</v>
      </c>
      <c r="B61" s="124">
        <f t="shared" ref="B61:F66" si="4">B51/Common_Shares*$C$3*Exchange_Rate</f>
        <v>5.0005982132342197</v>
      </c>
      <c r="C61" s="124">
        <f t="shared" si="4"/>
        <v>5.0793189681732285</v>
      </c>
      <c r="D61" s="124">
        <f t="shared" si="4"/>
        <v>5.1591696994537184</v>
      </c>
      <c r="E61" s="124">
        <f t="shared" si="4"/>
        <v>5.240175208161169</v>
      </c>
      <c r="F61" s="124">
        <f t="shared" si="4"/>
        <v>5.3223606825398369</v>
      </c>
      <c r="H61" s="120"/>
    </row>
    <row r="62" spans="1:8" ht="13.15">
      <c r="A62" s="143">
        <f t="shared" si="3"/>
        <v>10</v>
      </c>
      <c r="B62" s="124">
        <f t="shared" si="4"/>
        <v>5.0005982132342206</v>
      </c>
      <c r="C62" s="124">
        <f t="shared" si="4"/>
        <v>5.1547949909209709</v>
      </c>
      <c r="D62" s="124">
        <f t="shared" si="4"/>
        <v>5.3164136755099145</v>
      </c>
      <c r="E62" s="124">
        <f t="shared" si="4"/>
        <v>5.4858894200259707</v>
      </c>
      <c r="F62" s="124">
        <f t="shared" si="4"/>
        <v>5.6636813815459481</v>
      </c>
      <c r="H62" s="120"/>
    </row>
    <row r="63" spans="1:8" ht="13.15">
      <c r="A63" s="143">
        <f t="shared" si="3"/>
        <v>15</v>
      </c>
      <c r="B63" s="124">
        <f t="shared" si="4"/>
        <v>5.0005982132342206</v>
      </c>
      <c r="C63" s="124">
        <f t="shared" si="4"/>
        <v>5.2479807995416143</v>
      </c>
      <c r="D63" s="124">
        <f t="shared" si="4"/>
        <v>5.515502963472934</v>
      </c>
      <c r="E63" s="124">
        <f t="shared" si="4"/>
        <v>5.8050840586649057</v>
      </c>
      <c r="F63" s="124">
        <f t="shared" si="4"/>
        <v>6.1188265468657645</v>
      </c>
      <c r="H63" s="120"/>
    </row>
    <row r="64" spans="1:8" ht="13.15">
      <c r="A64" s="144">
        <f t="shared" si="3"/>
        <v>20</v>
      </c>
      <c r="B64" s="124">
        <f t="shared" si="4"/>
        <v>5.0005982132342215</v>
      </c>
      <c r="C64" s="124">
        <f t="shared" si="4"/>
        <v>5.3426220671358449</v>
      </c>
      <c r="D64" s="124">
        <f t="shared" si="4"/>
        <v>5.7230567942245232</v>
      </c>
      <c r="E64" s="124">
        <f t="shared" si="4"/>
        <v>6.1469647182768004</v>
      </c>
      <c r="F64" s="124">
        <f t="shared" si="4"/>
        <v>6.6200978415612939</v>
      </c>
      <c r="H64" s="120"/>
    </row>
    <row r="65" spans="1:8" ht="13.15">
      <c r="A65" s="144">
        <f t="shared" si="3"/>
        <v>25</v>
      </c>
      <c r="B65" s="124">
        <f t="shared" si="4"/>
        <v>5.0005982132342215</v>
      </c>
      <c r="C65" s="124">
        <f t="shared" si="4"/>
        <v>5.430311680737498</v>
      </c>
      <c r="D65" s="124">
        <f t="shared" si="4"/>
        <v>5.9206001380172326</v>
      </c>
      <c r="E65" s="124">
        <f t="shared" si="4"/>
        <v>6.4816358000525804</v>
      </c>
      <c r="F65" s="124">
        <f t="shared" si="4"/>
        <v>7.1253971877049187</v>
      </c>
    </row>
    <row r="66" spans="1:8" ht="13.15">
      <c r="A66" s="144">
        <f t="shared" si="3"/>
        <v>30</v>
      </c>
      <c r="B66" s="124">
        <f t="shared" si="4"/>
        <v>5.0005982132342224</v>
      </c>
      <c r="C66" s="124">
        <f t="shared" si="4"/>
        <v>5.5073276203876924</v>
      </c>
      <c r="D66" s="124">
        <f t="shared" si="4"/>
        <v>6.0989375566157182</v>
      </c>
      <c r="E66" s="124">
        <f t="shared" si="4"/>
        <v>6.7927029685832583</v>
      </c>
      <c r="F66" s="124">
        <f t="shared" si="4"/>
        <v>7.609687125536011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5.6636813815459481</v>
      </c>
      <c r="F69" s="142">
        <f>Scenarios!C58</f>
        <v>0.05</v>
      </c>
    </row>
    <row r="70" spans="1:8">
      <c r="B70" s="127" t="str">
        <f>Scenarios!B36</f>
        <v>Optimistic</v>
      </c>
      <c r="C70" s="142">
        <f>Scenarios!C38</f>
        <v>0.03</v>
      </c>
      <c r="D70" s="145">
        <f>Scenarios!C37</f>
        <v>20</v>
      </c>
      <c r="E70" s="135">
        <f>INDEX(B$60:F$66, MATCH(D70, A$60:A$66, 0), MATCH(C70, B$59:F$59, 0))</f>
        <v>6.1469647182768004</v>
      </c>
      <c r="F70" s="142">
        <f>Scenarios!C40*(1-F$69-F$73)</f>
        <v>0.18</v>
      </c>
      <c r="H70" s="120"/>
    </row>
    <row r="71" spans="1:8">
      <c r="B71" s="127" t="str">
        <f>Scenarios!B24</f>
        <v>Base</v>
      </c>
      <c r="C71" s="142">
        <f>Scenarios!C26</f>
        <v>0.02</v>
      </c>
      <c r="D71" s="145">
        <f>Scenarios!C25</f>
        <v>20</v>
      </c>
      <c r="E71" s="135">
        <f>INDEX(B$60:F$66, MATCH(D71, A$60:A$66, 0), MATCH(C71, B$59:F$59, 0))</f>
        <v>5.7230567942245232</v>
      </c>
      <c r="F71" s="142">
        <f>Scenarios!C28*(1-F$69-F$73)</f>
        <v>0.53999999999999992</v>
      </c>
      <c r="H71" s="120"/>
    </row>
    <row r="72" spans="1:8">
      <c r="B72" s="127" t="str">
        <f>Scenarios!B30</f>
        <v>Pessimistic</v>
      </c>
      <c r="C72" s="142">
        <f>Scenarios!C32</f>
        <v>0.01</v>
      </c>
      <c r="D72" s="145">
        <f>Scenarios!C31</f>
        <v>20</v>
      </c>
      <c r="E72" s="135">
        <f>INDEX(B$60:F$66, MATCH(D72, A$60:A$66, 0), MATCH(C72, B$59:F$59, 0))</f>
        <v>5.3426220671358449</v>
      </c>
      <c r="F72" s="142">
        <f>Scenarios!C34*(1-F$69-F$73)</f>
        <v>0.18</v>
      </c>
      <c r="H72" s="120"/>
    </row>
    <row r="73" spans="1:8">
      <c r="B73" s="127" t="str">
        <f>Scenarios!B48</f>
        <v>Devil's advocate</v>
      </c>
      <c r="C73" s="142">
        <f>Scenarios!C50</f>
        <v>0</v>
      </c>
      <c r="D73" s="145">
        <f>Scenarios!C49</f>
        <v>10</v>
      </c>
      <c r="E73" s="135">
        <f>INDEX(B$60:F$66, MATCH(D73, A$60:A$66, 0), MATCH(C73, B$59:F$59, 0))</f>
        <v>5.0005982132342206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-7.3</v>
      </c>
    </row>
    <row r="4" spans="2:9">
      <c r="B4" s="152" t="s">
        <v>142</v>
      </c>
      <c r="C4" s="120">
        <v>3</v>
      </c>
      <c r="D4" s="120"/>
      <c r="E4" s="155" t="s">
        <v>146</v>
      </c>
      <c r="F4" s="155"/>
      <c r="H4" s="247">
        <v>1</v>
      </c>
      <c r="I4" s="124">
        <f t="shared" ref="I4:I13" si="0">IF(ROW()-3 &lt; $C$76, $C$77, IF(ROW()-3 = $C$76, $C$77 + $C$60, ""))</f>
        <v>0.34414992180799991</v>
      </c>
    </row>
    <row r="5" spans="2:9">
      <c r="H5" s="247">
        <v>2</v>
      </c>
      <c r="I5" s="124">
        <f t="shared" si="0"/>
        <v>0.34414992180799991</v>
      </c>
    </row>
    <row r="6" spans="2:9" ht="13.15">
      <c r="B6" s="159" t="s">
        <v>92</v>
      </c>
      <c r="C6" s="107">
        <f>DCF!C3</f>
        <v>1000000</v>
      </c>
      <c r="E6" s="100" t="s">
        <v>274</v>
      </c>
      <c r="F6" s="100"/>
      <c r="H6" s="247">
        <v>3</v>
      </c>
      <c r="I6" s="124">
        <f t="shared" si="0"/>
        <v>13.274842062547256</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10305.017287206025</v>
      </c>
      <c r="D8" t="str">
        <f>Reporting_currency</f>
        <v>CNY</v>
      </c>
      <c r="E8" s="380"/>
      <c r="F8" s="380"/>
      <c r="H8" s="247">
        <v>5</v>
      </c>
      <c r="I8" s="124" t="str">
        <f t="shared" si="0"/>
        <v/>
      </c>
    </row>
    <row r="9" spans="2:9">
      <c r="B9" s="100" t="s">
        <v>55</v>
      </c>
      <c r="C9" s="338">
        <f>Normalized_FCF!C19</f>
        <v>7230.3163971937247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6.0052259840958966E-2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7.3</v>
      </c>
      <c r="D21" t="str">
        <f>Market_currency</f>
        <v>HKD</v>
      </c>
      <c r="E21" s="381"/>
      <c r="F21" s="381"/>
    </row>
    <row r="22" spans="2:6">
      <c r="B22" s="100" t="s">
        <v>273</v>
      </c>
      <c r="C22" s="160">
        <f>IF(valuation_method="DCF",DCF!C12,DDM!C7)</f>
        <v>11.253624529756417</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13.006555389717997</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12.083491021930033</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14.035100556743236</v>
      </c>
      <c r="D39" t="str">
        <f>Market_currency</f>
        <v>HKD</v>
      </c>
      <c r="E39" s="379"/>
      <c r="F39" s="379"/>
    </row>
    <row r="40" spans="2:6">
      <c r="B40" s="100" t="s">
        <v>143</v>
      </c>
      <c r="C40" s="167">
        <f>1-C28-C34</f>
        <v>0.2</v>
      </c>
      <c r="D40" s="165"/>
      <c r="E40" s="379"/>
      <c r="F40" s="379"/>
    </row>
    <row r="42" spans="2:6" ht="13.15">
      <c r="B42" s="100" t="s">
        <v>116</v>
      </c>
      <c r="C42" s="154">
        <f>C27*C28+C33*C34+C39*C40</f>
        <v>13.027651549565453</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11.253624529756422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12.862490392850557</v>
      </c>
      <c r="D57" t="str">
        <f>Market_currency</f>
        <v>HKD</v>
      </c>
      <c r="E57" s="379"/>
      <c r="F57" s="379"/>
    </row>
    <row r="58" spans="2:6">
      <c r="B58" s="100" t="s">
        <v>143</v>
      </c>
      <c r="C58" s="165">
        <v>0.05</v>
      </c>
      <c r="D58" s="165"/>
      <c r="E58" s="379"/>
      <c r="F58" s="379"/>
    </row>
    <row r="60" spans="2:6" ht="13.15">
      <c r="B60" s="100" t="s">
        <v>116</v>
      </c>
      <c r="C60" s="154">
        <f>C51*C52+C57*C58+C42*(1-C52-C58)</f>
        <v>12.930692140739255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12.990430723336237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-6.8018928912248935E-2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0.34414992180799991</v>
      </c>
      <c r="D77" t="str">
        <f>Market_currency</f>
        <v>HKD</v>
      </c>
    </row>
    <row r="79" spans="2:6" ht="13.15">
      <c r="B79" s="109" t="s">
        <v>296</v>
      </c>
    </row>
    <row r="80" spans="2:6">
      <c r="B80" s="148" t="s">
        <v>294</v>
      </c>
      <c r="C80" s="167">
        <f>Thesis!F29</f>
        <v>0.35</v>
      </c>
    </row>
    <row r="81" spans="2:8">
      <c r="B81" s="100" t="s">
        <v>117</v>
      </c>
      <c r="C81" s="116">
        <f>PV(C80, C76, -C77, 0)</f>
        <v>0.58363686378860125</v>
      </c>
      <c r="D81" s="116"/>
      <c r="E81" s="100"/>
      <c r="F81" s="100"/>
    </row>
    <row r="82" spans="2:8">
      <c r="B82" s="100" t="s">
        <v>118</v>
      </c>
      <c r="C82" s="116">
        <f>C60/(1+C80)^C76</f>
        <v>5.2555777638527674</v>
      </c>
      <c r="D82" s="116"/>
    </row>
    <row r="83" spans="2:8" ht="13.15">
      <c r="B83" s="110" t="s">
        <v>98</v>
      </c>
      <c r="C83" s="111">
        <f>C81+C82</f>
        <v>5.8392146276413683</v>
      </c>
      <c r="D83" t="str">
        <f>Market_currency</f>
        <v>HKD</v>
      </c>
      <c r="E83" s="146" t="s">
        <v>122</v>
      </c>
      <c r="F83" s="291">
        <f>(1-C83/C60)</f>
        <v>0.54842211351978432</v>
      </c>
    </row>
    <row r="84" spans="2:8">
      <c r="E84" s="120"/>
    </row>
    <row r="85" spans="2:8" ht="13.15">
      <c r="B85" s="109" t="s">
        <v>297</v>
      </c>
    </row>
    <row r="86" spans="2:8">
      <c r="B86" s="148" t="s">
        <v>295</v>
      </c>
      <c r="C86" s="116">
        <f>Market_Price</f>
        <v>7.3</v>
      </c>
      <c r="D86" t="str">
        <f>Market_currency</f>
        <v>HKD</v>
      </c>
    </row>
    <row r="87" spans="2:8" ht="13.15">
      <c r="B87" s="100" t="s">
        <v>293</v>
      </c>
      <c r="C87" s="237">
        <f ca="1">IRR(OFFSET($I$3, 0, 0, $C$76 + 1, 1))</f>
        <v>0.24954400255547804</v>
      </c>
    </row>
    <row r="88" spans="2:8">
      <c r="B88" s="100"/>
    </row>
    <row r="89" spans="2:8" ht="13.15">
      <c r="B89" s="109" t="s">
        <v>392</v>
      </c>
    </row>
    <row r="90" spans="2:8">
      <c r="B90" s="148" t="s">
        <v>393</v>
      </c>
      <c r="C90" s="167">
        <f>Thesis!F30</f>
        <v>0.25</v>
      </c>
    </row>
    <row r="91" spans="2:8">
      <c r="B91" s="100" t="s">
        <v>117</v>
      </c>
      <c r="C91" s="116">
        <f>PV(C90, C76, -C77, 0)</f>
        <v>0.67178064736921583</v>
      </c>
      <c r="D91" s="116"/>
      <c r="E91" s="100"/>
      <c r="F91" s="100"/>
    </row>
    <row r="92" spans="2:8">
      <c r="B92" s="100" t="s">
        <v>118</v>
      </c>
      <c r="C92" s="116">
        <f>C60/(1+C90)^C76</f>
        <v>6.620514376058499</v>
      </c>
      <c r="D92" s="116"/>
    </row>
    <row r="93" spans="2:8" ht="13.15">
      <c r="B93" s="110" t="s">
        <v>98</v>
      </c>
      <c r="C93" s="111">
        <f>C91+C92</f>
        <v>7.2922950234277151</v>
      </c>
      <c r="D93" t="str">
        <f>Market_currency</f>
        <v>HKD</v>
      </c>
      <c r="E93" s="146" t="s">
        <v>122</v>
      </c>
      <c r="F93" s="291">
        <f>(1-C93/C60)</f>
        <v>0.43604758785860243</v>
      </c>
    </row>
    <row r="95" spans="2:8" ht="13.15">
      <c r="B95" s="109" t="s">
        <v>378</v>
      </c>
      <c r="G95" s="2"/>
      <c r="H95" s="281"/>
    </row>
    <row r="96" spans="2:8">
      <c r="B96" s="148" t="s">
        <v>383</v>
      </c>
      <c r="C96" s="134">
        <f>Thesis!F31</f>
        <v>7.4999999999999997E-2</v>
      </c>
      <c r="G96" s="2"/>
      <c r="H96" s="281"/>
    </row>
    <row r="97" spans="2:8">
      <c r="B97" s="100" t="s">
        <v>117</v>
      </c>
      <c r="C97" s="116">
        <f>PV(C96, C76, -C77, 0)</f>
        <v>0.89497073003662608</v>
      </c>
      <c r="D97" s="116"/>
      <c r="G97" s="2"/>
      <c r="H97" s="281"/>
    </row>
    <row r="98" spans="2:8">
      <c r="B98" s="100" t="s">
        <v>118</v>
      </c>
      <c r="C98" s="116">
        <f>C60/(1+C96)^C76</f>
        <v>10.408697309762818</v>
      </c>
      <c r="D98" s="116"/>
      <c r="G98" s="2"/>
      <c r="H98" s="281"/>
    </row>
    <row r="99" spans="2:8" ht="13.15">
      <c r="B99" s="110" t="s">
        <v>379</v>
      </c>
      <c r="C99" s="111">
        <f>C97+C98</f>
        <v>11.303668039799444</v>
      </c>
      <c r="D99" t="s">
        <v>377</v>
      </c>
      <c r="E99" s="146" t="s">
        <v>122</v>
      </c>
      <c r="F99" s="291">
        <f>(1-C99/C60)</f>
        <v>0.12582652832741514</v>
      </c>
    </row>
    <row r="100" spans="2:8">
      <c r="B100" s="100"/>
    </row>
    <row r="101" spans="2:8" ht="13.15">
      <c r="B101" s="109" t="s">
        <v>399</v>
      </c>
    </row>
    <row r="102" spans="2:8">
      <c r="B102" s="148" t="s">
        <v>398</v>
      </c>
      <c r="C102" s="134">
        <f>Thesis!F32</f>
        <v>0.1174</v>
      </c>
    </row>
    <row r="103" spans="2:8">
      <c r="B103" s="100" t="s">
        <v>117</v>
      </c>
      <c r="C103" s="116">
        <f>PV(C102, C76, -C77, 0)</f>
        <v>0.83029717714552231</v>
      </c>
      <c r="D103" s="116"/>
    </row>
    <row r="104" spans="2:8">
      <c r="B104" s="100" t="s">
        <v>118</v>
      </c>
      <c r="C104" s="116">
        <f>C60/(1+C102)^C76</f>
        <v>9.268207980749688</v>
      </c>
      <c r="D104" s="116"/>
    </row>
    <row r="105" spans="2:8" ht="13.15">
      <c r="B105" s="110" t="s">
        <v>379</v>
      </c>
      <c r="C105" s="111">
        <f>C103+C104</f>
        <v>10.098505157895211</v>
      </c>
      <c r="D105" t="s">
        <v>377</v>
      </c>
      <c r="E105" s="146" t="s">
        <v>122</v>
      </c>
      <c r="F105" s="291">
        <f>(1-C105/C66)</f>
        <v>0.2226196826750263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7.3</v>
      </c>
      <c r="D12" s="50"/>
      <c r="E12" s="48"/>
    </row>
    <row r="13" spans="1:10">
      <c r="B13" s="1" t="s">
        <v>486</v>
      </c>
      <c r="C13" s="32" t="str">
        <f>Market_currency</f>
        <v>HKD</v>
      </c>
      <c r="D13" s="48"/>
      <c r="E13" s="5"/>
    </row>
    <row r="14" spans="1:10">
      <c r="B14" s="4" t="s">
        <v>487</v>
      </c>
      <c r="C14" s="35">
        <f>投资主题!C12*Common_Shares/1000000</f>
        <v>63209.252468400002</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12.930692140739255</v>
      </c>
      <c r="D26" s="1" t="s">
        <v>447</v>
      </c>
      <c r="E26" s="301">
        <f ca="1">Scenarios!C87</f>
        <v>0.24954400255547804</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5.8392146276413683</v>
      </c>
      <c r="D29" s="310" t="str">
        <f>D149</f>
        <v/>
      </c>
      <c r="E29" s="306" t="s">
        <v>456</v>
      </c>
      <c r="F29" s="362">
        <f>Thesis!F29</f>
        <v>0.35</v>
      </c>
    </row>
    <row r="30" spans="2:6">
      <c r="B30" s="1" t="s">
        <v>451</v>
      </c>
      <c r="C30" s="311">
        <f>C157</f>
        <v>7.2922950234277151</v>
      </c>
      <c r="D30" s="311" t="str">
        <f>D157</f>
        <v/>
      </c>
      <c r="E30" s="307" t="s">
        <v>455</v>
      </c>
      <c r="F30" s="224">
        <f>Thesis!F30</f>
        <v>0.25</v>
      </c>
    </row>
    <row r="31" spans="2:6">
      <c r="B31" s="1" t="s">
        <v>452</v>
      </c>
      <c r="C31" s="311">
        <f>C165</f>
        <v>11.303668039799444</v>
      </c>
      <c r="D31" s="311" t="str">
        <f>D165</f>
        <v/>
      </c>
      <c r="E31" s="307" t="s">
        <v>492</v>
      </c>
      <c r="F31" s="224">
        <f>Thesis!F31</f>
        <v>7.4999999999999997E-2</v>
      </c>
    </row>
    <row r="32" spans="2:6">
      <c r="B32" s="1" t="s">
        <v>453</v>
      </c>
      <c r="C32" s="311">
        <f>C173</f>
        <v>10.098505157895211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900.8</v>
      </c>
      <c r="D48" s="1" t="str">
        <f>Reporting_currency</f>
        <v>CNY</v>
      </c>
    </row>
    <row r="50" spans="2:6">
      <c r="B50" s="373" t="s">
        <v>498</v>
      </c>
      <c r="C50" s="373"/>
      <c r="D50" s="373"/>
      <c r="E50" s="373"/>
      <c r="F50" s="373"/>
    </row>
    <row r="51" spans="2:6">
      <c r="B51" s="47" t="s">
        <v>331</v>
      </c>
      <c r="C51" s="350">
        <f>Normalized_FCF!C48</f>
        <v>279.59736445400836</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-523.40263554599164</v>
      </c>
      <c r="D53" s="1" t="str">
        <f>Reporting_currency</f>
        <v>CNY</v>
      </c>
    </row>
    <row r="55" spans="2:6">
      <c r="B55" s="1" t="s">
        <v>499</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-4449.7261557020429</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10305.017287206025</v>
      </c>
      <c r="D67" s="1" t="str">
        <f>Reporting_currency</f>
        <v>CNY</v>
      </c>
    </row>
    <row r="68" spans="1:6">
      <c r="B68" s="47" t="s">
        <v>244</v>
      </c>
      <c r="C68" s="349">
        <f>Normalized_FCF!C19</f>
        <v>7230.3163971937247</v>
      </c>
      <c r="D68" s="1" t="str">
        <f>Reporting_currency</f>
        <v>CNY</v>
      </c>
    </row>
    <row r="69" spans="1:6">
      <c r="B69" s="227" t="s">
        <v>371</v>
      </c>
      <c r="C69" s="92">
        <f>Normalized_FCF!C126</f>
        <v>0.12465571601983087</v>
      </c>
      <c r="F69" s="314"/>
    </row>
    <row r="70" spans="1:6">
      <c r="B70" s="227" t="s">
        <v>435</v>
      </c>
      <c r="C70" s="92">
        <f>Normalized_FCF!C94</f>
        <v>4.7143824905205467E-2</v>
      </c>
      <c r="E70" s="47" t="s">
        <v>504</v>
      </c>
      <c r="F70" s="315">
        <f>Normalized_FCF!C92</f>
        <v>0.41214322680481363</v>
      </c>
    </row>
    <row r="72" spans="1:6">
      <c r="B72" s="210" t="s">
        <v>514</v>
      </c>
      <c r="C72" s="323" t="s">
        <v>430</v>
      </c>
      <c r="D72" s="323" t="s">
        <v>505</v>
      </c>
    </row>
    <row r="73" spans="1:6">
      <c r="B73" s="47" t="s">
        <v>429</v>
      </c>
      <c r="C73" s="92">
        <f>Normalized_FCF!C121</f>
        <v>0.20035914473808938</v>
      </c>
      <c r="D73" s="92">
        <f>Normalized_FCF!G121</f>
        <v>0.19114107375703299</v>
      </c>
    </row>
    <row r="74" spans="1:6">
      <c r="B74" s="259" t="str">
        <f>Normalized_FCF!B118</f>
        <v>Pre-tax Profit/Sales</v>
      </c>
      <c r="C74" s="322">
        <f>Normalized_FCF!C118</f>
        <v>9.7688828884786888E-2</v>
      </c>
      <c r="D74" s="322">
        <f>Normalized_FCF!G118</f>
        <v>9.0779900597746141E-2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12.133156359263538</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3.0556847764043975</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17132.263554599165</v>
      </c>
      <c r="D109" s="1" t="str">
        <f>Reporting_currency</f>
        <v>CNY</v>
      </c>
    </row>
    <row r="110" spans="2:6">
      <c r="B110" s="47" t="s">
        <v>277</v>
      </c>
      <c r="C110" s="223">
        <f>C109*scaling_factor*Exchange_Rate/Common_Shares</f>
        <v>2.156217180655569</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1.9935766241709157E-2</v>
      </c>
      <c r="D114" s="1" t="str">
        <f>Market_currency</f>
        <v>HKD</v>
      </c>
    </row>
    <row r="116" spans="1:6">
      <c r="B116" s="372" t="s">
        <v>517</v>
      </c>
      <c r="C116" s="372"/>
      <c r="D116" s="372"/>
      <c r="E116" s="372"/>
      <c r="F116" s="372"/>
    </row>
    <row r="118" spans="1:6">
      <c r="B118" s="47" t="s">
        <v>518</v>
      </c>
      <c r="C118" s="223">
        <f>IF(valuation_method="DCF",DCF!C12,DDM!C7)</f>
        <v>11.253624529756417</v>
      </c>
      <c r="D118" s="1" t="str">
        <f>Market_currency</f>
        <v>HKD</v>
      </c>
    </row>
    <row r="119" spans="1:6">
      <c r="B119" s="296" t="s">
        <v>551</v>
      </c>
      <c r="C119" s="223">
        <f>BS!D47</f>
        <v>-3.1825109862640586</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12.86 HKD</v>
      </c>
      <c r="F126" s="232">
        <f>DCF!F74</f>
        <v>0.05</v>
      </c>
    </row>
    <row r="127" spans="1:6">
      <c r="B127" s="218" t="str">
        <f>DCF!B75</f>
        <v>Optimistic</v>
      </c>
      <c r="C127" s="219">
        <f>DCF!C75</f>
        <v>0.03</v>
      </c>
      <c r="D127" s="220">
        <f>DCF!D75</f>
        <v>20</v>
      </c>
      <c r="E127" s="231" t="str">
        <f>ROUND(IF(valuation_method="DCF",DCF!E75,DDM!E70),2)&amp;" "&amp;Market_currency</f>
        <v>14.04 HKD</v>
      </c>
      <c r="F127" s="221">
        <f>DCF!F75</f>
        <v>0.18</v>
      </c>
    </row>
    <row r="128" spans="1:6">
      <c r="B128" s="218" t="str">
        <f>DCF!B76</f>
        <v>Base</v>
      </c>
      <c r="C128" s="219">
        <f>DCF!C76</f>
        <v>0.02</v>
      </c>
      <c r="D128" s="220">
        <f>DCF!D76</f>
        <v>20</v>
      </c>
      <c r="E128" s="231" t="str">
        <f>ROUND(IF(valuation_method="DCF",DCF!E76,DDM!E71),2)&amp;" "&amp;Market_currency</f>
        <v>13.01 HKD</v>
      </c>
      <c r="F128" s="221">
        <f>DCF!F76</f>
        <v>0.53999999999999992</v>
      </c>
    </row>
    <row r="129" spans="1:6">
      <c r="B129" s="218" t="str">
        <f>DCF!B77</f>
        <v>Pessimistic</v>
      </c>
      <c r="C129" s="219">
        <f>DCF!C77</f>
        <v>0.01</v>
      </c>
      <c r="D129" s="220">
        <f>DCF!D77</f>
        <v>20</v>
      </c>
      <c r="E129" s="231" t="str">
        <f>ROUND(IF(valuation_method="DCF",DCF!E77,DDM!E72),2)&amp;" "&amp;Market_currency</f>
        <v>12.08 HKD</v>
      </c>
      <c r="F129" s="221">
        <f>DCF!F77</f>
        <v>0.18</v>
      </c>
    </row>
    <row r="130" spans="1:6">
      <c r="B130" s="218" t="str">
        <f>DCF!B78</f>
        <v>Devil's advocate</v>
      </c>
      <c r="C130" s="219">
        <f>DCF!C78</f>
        <v>0</v>
      </c>
      <c r="D130" s="220">
        <f>DCF!D78</f>
        <v>10</v>
      </c>
      <c r="E130" s="231" t="str">
        <f>ROUND(IF(valuation_method="DCF",DCF!E78,DDM!E73),2)&amp;" "&amp;Market_currency</f>
        <v>11.25 HKD</v>
      </c>
      <c r="F130" s="221">
        <f>DCF!F78</f>
        <v>0.05</v>
      </c>
    </row>
    <row r="132" spans="1:6">
      <c r="B132" s="211" t="s">
        <v>254</v>
      </c>
      <c r="C132" s="217">
        <f>Scenarios!C60</f>
        <v>12.930692140739255</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0.34414992180799991</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0.58363686378860125</v>
      </c>
    </row>
    <row r="148" spans="2:4">
      <c r="B148" s="212" t="str">
        <f>"+ PV(Equity Value realized at year "&amp;C141&amp;")"</f>
        <v>+ PV(Equity Value realized at year 3)</v>
      </c>
      <c r="C148" s="216">
        <f>Scenarios!C82</f>
        <v>5.2555777638527674</v>
      </c>
    </row>
    <row r="149" spans="2:4">
      <c r="B149" s="80" t="s">
        <v>256</v>
      </c>
      <c r="C149" s="215">
        <f>Scenarios!C83</f>
        <v>5.8392146276413683</v>
      </c>
      <c r="D149" s="300" t="str">
        <f>IF($D$11="","",C149*$E$25)</f>
        <v/>
      </c>
    </row>
    <row r="150" spans="2:4">
      <c r="B150" s="259" t="s">
        <v>533</v>
      </c>
      <c r="C150" s="298" t="str">
        <f>Market_currency</f>
        <v>HKD</v>
      </c>
      <c r="D150" s="298" t="str">
        <f>IF($D$11="","",D$13)</f>
        <v/>
      </c>
    </row>
    <row r="151" spans="2:4">
      <c r="B151" s="214" t="s">
        <v>534</v>
      </c>
      <c r="C151" s="92">
        <f>Scenarios!F83</f>
        <v>0.54842211351978432</v>
      </c>
    </row>
    <row r="153" spans="2:4">
      <c r="B153" s="210" t="s">
        <v>391</v>
      </c>
    </row>
    <row r="154" spans="2:4">
      <c r="B154" s="1" t="s">
        <v>390</v>
      </c>
      <c r="C154" s="297">
        <f>Scenarios!C90</f>
        <v>0.25</v>
      </c>
    </row>
    <row r="155" spans="2:4">
      <c r="B155" s="212" t="str">
        <f>"PV("&amp;C141&amp;" yrs of Dividends)"</f>
        <v>PV(3 yrs of Dividends)</v>
      </c>
      <c r="C155" s="216">
        <f>Scenarios!C91</f>
        <v>0.67178064736921583</v>
      </c>
    </row>
    <row r="156" spans="2:4">
      <c r="B156" s="212" t="str">
        <f>"+ PV(Equity Value realized at year "&amp;C141&amp;")"</f>
        <v>+ PV(Equity Value realized at year 3)</v>
      </c>
      <c r="C156" s="216">
        <f>Scenarios!C92</f>
        <v>6.620514376058499</v>
      </c>
    </row>
    <row r="157" spans="2:4">
      <c r="B157" s="80" t="s">
        <v>256</v>
      </c>
      <c r="C157" s="215">
        <f>Scenarios!C93</f>
        <v>7.2922950234277151</v>
      </c>
      <c r="D157" s="300" t="str">
        <f>IF($D$11="","",C157*$E$25)</f>
        <v/>
      </c>
    </row>
    <row r="158" spans="2:4">
      <c r="B158" s="259" t="s">
        <v>533</v>
      </c>
      <c r="C158" s="298" t="str">
        <f>Market_currency</f>
        <v>HKD</v>
      </c>
      <c r="D158" s="298" t="str">
        <f>IF($D$11="","",D$13)</f>
        <v/>
      </c>
    </row>
    <row r="159" spans="2:4">
      <c r="B159" s="214" t="s">
        <v>534</v>
      </c>
      <c r="C159" s="92">
        <f>Scenarios!F93</f>
        <v>0.43604758785860243</v>
      </c>
    </row>
    <row r="161" spans="2:4">
      <c r="B161" s="210" t="s">
        <v>381</v>
      </c>
    </row>
    <row r="162" spans="2:4">
      <c r="B162" s="1" t="s">
        <v>389</v>
      </c>
      <c r="C162" s="92">
        <f>Scenarios!C96</f>
        <v>7.4999999999999997E-2</v>
      </c>
    </row>
    <row r="163" spans="2:4">
      <c r="B163" s="212" t="str">
        <f>"PV("&amp;C141&amp;" yrs of Dividends)"</f>
        <v>PV(3 yrs of Dividends)</v>
      </c>
      <c r="C163" s="216">
        <f>Scenarios!C97</f>
        <v>0.89497073003662608</v>
      </c>
    </row>
    <row r="164" spans="2:4">
      <c r="B164" s="212" t="str">
        <f>"+ PV(Equity Value realized at year "&amp;C141&amp;")"</f>
        <v>+ PV(Equity Value realized at year 3)</v>
      </c>
      <c r="C164" s="216">
        <f>Scenarios!C98</f>
        <v>10.408697309762818</v>
      </c>
    </row>
    <row r="165" spans="2:4">
      <c r="B165" s="80" t="s">
        <v>382</v>
      </c>
      <c r="C165" s="215">
        <f>Scenarios!C99</f>
        <v>11.303668039799444</v>
      </c>
      <c r="D165" s="300" t="str">
        <f>IF($D$11="","",C165*$E$25)</f>
        <v/>
      </c>
    </row>
    <row r="166" spans="2:4">
      <c r="B166" s="259" t="s">
        <v>533</v>
      </c>
      <c r="C166" s="298" t="str">
        <f>Market_currency</f>
        <v>HKD</v>
      </c>
      <c r="D166" s="298" t="str">
        <f>IF($D$11="","",D$13)</f>
        <v/>
      </c>
    </row>
    <row r="167" spans="2:4">
      <c r="B167" s="214" t="s">
        <v>534</v>
      </c>
      <c r="C167" s="92">
        <f>Scenarios!F99</f>
        <v>0.12582652832741514</v>
      </c>
    </row>
    <row r="169" spans="2:4">
      <c r="B169" s="210" t="s">
        <v>409</v>
      </c>
    </row>
    <row r="170" spans="2:4">
      <c r="B170" s="1" t="s">
        <v>400</v>
      </c>
      <c r="C170" s="92">
        <f>F32</f>
        <v>0.1174</v>
      </c>
    </row>
    <row r="171" spans="2:4">
      <c r="B171" s="212" t="str">
        <f>"PV("&amp;C141&amp;" yrs of Dividends)"</f>
        <v>PV(3 yrs of Dividends)</v>
      </c>
      <c r="C171" s="216">
        <f>Scenarios!C103</f>
        <v>0.83029717714552231</v>
      </c>
    </row>
    <row r="172" spans="2:4">
      <c r="B172" s="212" t="str">
        <f>"+ PV(Equity Value realized at year "&amp;C141&amp;")"</f>
        <v>+ PV(Equity Value realized at year 3)</v>
      </c>
      <c r="C172" s="216">
        <f>Scenarios!C104</f>
        <v>9.268207980749688</v>
      </c>
    </row>
    <row r="173" spans="2:4">
      <c r="B173" s="80" t="s">
        <v>382</v>
      </c>
      <c r="C173" s="215">
        <f>Scenarios!C105</f>
        <v>10.098505157895211</v>
      </c>
      <c r="D173" s="300" t="str">
        <f>IF($D$11="","",C173*$E$25)</f>
        <v/>
      </c>
    </row>
    <row r="174" spans="2:4">
      <c r="B174" s="259" t="s">
        <v>533</v>
      </c>
      <c r="C174" s="298" t="str">
        <f>Market_currency</f>
        <v>HKD</v>
      </c>
      <c r="D174" s="298" t="str">
        <f>IF($D$11="","",D$13)</f>
        <v/>
      </c>
    </row>
    <row r="175" spans="2:4">
      <c r="B175" s="214" t="s">
        <v>534</v>
      </c>
      <c r="C175" s="92">
        <f>Scenarios!F105</f>
        <v>0.2226196826750263</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