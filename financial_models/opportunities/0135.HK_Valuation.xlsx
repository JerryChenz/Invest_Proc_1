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E8948E7-69FC-4C51-A50E-E7E9FF2FF2E8}"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C52" i="2" s="1"/>
  <c r="B74" i="8" l="1"/>
  <c r="E79" i="8"/>
  <c r="D77" i="8"/>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<sst xmlns="http://schemas.openxmlformats.org/spreadsheetml/2006/main" count="768" uniqueCount="558">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</sst>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8.3800000000000008</v>
      </c>
      <c r="E8" s="32"/>
    </row>
    <row r="9" spans="1:9">
      <c r="B9" s="4" t="s">
        <v>346</v>
      </c>
      <c r="C9" s="48">
        <v>8658801708</v>
      </c>
    </row>
    <row r="10" spans="1:9">
      <c r="B10" s="4" t="s">
        <v>352</v>
      </c>
      <c r="C10" s="33">
        <f>Thesis!C8*Common_Shares/1000000</f>
        <v>72560.758313040002</v>
      </c>
      <c r="D10" s="1" t="s">
        <v>527</v>
      </c>
      <c r="E10" s="303">
        <f>Scenarios!F34</f>
        <v>0.14981882582866127</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1.1396112205505371</v>
      </c>
    </row>
    <row r="17" spans="1:6">
      <c r="B17" s="1" t="s">
        <v>531</v>
      </c>
      <c r="C17" s="456">
        <v>0.02</v>
      </c>
      <c r="D17" s="4" t="s">
        <v>274</v>
      </c>
      <c r="E17" s="224" t="s">
        <v>557</v>
      </c>
    </row>
    <row r="18" spans="1:6">
      <c r="B18" s="1" t="str">
        <f>"Expected Equity Value ("&amp;C7&amp;") :"</f>
        <v>Expected Equity Value (HKD) :</v>
      </c>
      <c r="C18" s="252">
        <f>C125</f>
        <v>11.614359679087583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5.9449289599297952</v>
      </c>
      <c r="D22" s="38" t="s">
        <v>406</v>
      </c>
      <c r="E22" s="79">
        <v>0.29465259038036606</v>
      </c>
    </row>
    <row r="23" spans="1:6">
      <c r="B23" s="1" t="s">
        <v>313</v>
      </c>
      <c r="C23" s="256">
        <f>E141</f>
        <v>7.3901429223495967</v>
      </c>
      <c r="D23" s="38" t="s">
        <v>407</v>
      </c>
      <c r="E23" s="443">
        <v>0.20075184365903009</v>
      </c>
    </row>
    <row r="24" spans="1:6">
      <c r="B24" s="1" t="s">
        <v>315</v>
      </c>
      <c r="C24" s="256">
        <f>E144</f>
        <v>9.106155887136179</v>
      </c>
      <c r="D24" s="38" t="s">
        <v>408</v>
      </c>
      <c r="E24" s="443">
        <v>0.1174</v>
      </c>
    </row>
    <row r="25" spans="1:6">
      <c r="B25" s="1" t="s">
        <v>314</v>
      </c>
      <c r="C25" s="256">
        <f>E145</f>
        <v>10.260781552646234</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16063</v>
      </c>
      <c r="D34" s="1" t="str">
        <f>Reporting_currency</f>
        <v>CNY</v>
      </c>
    </row>
    <row r="35" spans="2:6">
      <c r="B35" s="44"/>
      <c r="C35" s="73"/>
    </row>
    <row r="36" spans="2:6" ht="24.5" customHeight="1">
      <c r="B36" s="462" t="s">
        <v>198</v>
      </c>
      <c r="C36" s="462"/>
      <c r="D36" s="462"/>
      <c r="E36" s="462"/>
      <c r="F36" s="462"/>
    </row>
    <row r="37" spans="2:6">
      <c r="B37" s="44" t="s">
        <v>199</v>
      </c>
      <c r="C37" s="285">
        <f>Normalized_FCF!C15</f>
        <v>0</v>
      </c>
      <c r="D37" s="1" t="str">
        <f>Reporting_currency</f>
        <v>CNY</v>
      </c>
    </row>
    <row r="38" spans="2:6">
      <c r="B38" s="49" t="s">
        <v>200</v>
      </c>
      <c r="C38" s="285">
        <f>Normalized_FCF!C16</f>
        <v>0</v>
      </c>
      <c r="D38" s="1" t="str">
        <f>Reporting_currency</f>
        <v>CNY</v>
      </c>
    </row>
    <row r="40" spans="2:6">
      <c r="B40" s="462" t="s">
        <v>201</v>
      </c>
      <c r="C40" s="462"/>
      <c r="D40" s="462"/>
      <c r="E40" s="462"/>
      <c r="F40" s="462"/>
    </row>
    <row r="41" spans="2:6">
      <c r="B41" s="44" t="s">
        <v>202</v>
      </c>
      <c r="C41" s="285">
        <f>Normalized_FCF!C9</f>
        <v>291.16000000000003</v>
      </c>
      <c r="D41" s="1" t="str">
        <f>Reporting_currency</f>
        <v>CNY</v>
      </c>
    </row>
    <row r="43" spans="2:6">
      <c r="B43" s="462" t="s">
        <v>205</v>
      </c>
      <c r="C43" s="462"/>
      <c r="D43" s="462"/>
      <c r="E43" s="462"/>
      <c r="F43" s="462"/>
    </row>
    <row r="44" spans="2:6">
      <c r="B44" s="44" t="s">
        <v>267</v>
      </c>
      <c r="C44" s="286">
        <f>Normalized_FCF!C46</f>
        <v>87.049604711349232</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-715.95039528865072</v>
      </c>
      <c r="D46" s="1" t="str">
        <f>Reporting_currency</f>
        <v>CNY</v>
      </c>
    </row>
    <row r="48" spans="2:6">
      <c r="B48" s="1" t="s">
        <v>211</v>
      </c>
    </row>
    <row r="49" spans="2:6">
      <c r="B49" s="44" t="s">
        <v>223</v>
      </c>
      <c r="C49" s="285">
        <f>Normalized_FCF!C13</f>
        <v>-6281.6063376994261</v>
      </c>
      <c r="D49" s="1" t="str">
        <f>Reporting_currency</f>
        <v>CNY</v>
      </c>
    </row>
    <row r="51" spans="2:6">
      <c r="B51" s="462" t="s">
        <v>206</v>
      </c>
      <c r="C51" s="462"/>
      <c r="D51" s="462"/>
      <c r="E51" s="462"/>
      <c r="F51" s="462"/>
    </row>
    <row r="52" spans="2:6">
      <c r="B52" s="44" t="s">
        <v>204</v>
      </c>
      <c r="C52" s="285">
        <f>Normalized_FCF!C12</f>
        <v>-3909.5524011778371</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10035.17306633031</v>
      </c>
      <c r="D60" s="1" t="str">
        <f>Reporting_currency</f>
        <v>CNY</v>
      </c>
    </row>
    <row r="61" spans="2:6">
      <c r="B61" s="44" t="s">
        <v>213</v>
      </c>
      <c r="C61" s="285">
        <f>Normalized_FCF!C19</f>
        <v>5447.0508658340859</v>
      </c>
      <c r="D61" s="1" t="str">
        <f>Reporting_currency</f>
        <v>CNY</v>
      </c>
    </row>
    <row r="62" spans="2:6">
      <c r="B62" s="204" t="s">
        <v>302</v>
      </c>
      <c r="C62" s="89">
        <f>Normalized_FCF!C124</f>
        <v>8.5549275254727858E-2</v>
      </c>
      <c r="F62" s="257"/>
    </row>
    <row r="63" spans="2:6">
      <c r="B63" s="204" t="s">
        <v>332</v>
      </c>
      <c r="C63" s="89">
        <f>Normalized_FCF!C92</f>
        <v>3.8651587244018328E-2</v>
      </c>
      <c r="E63" s="44" t="s">
        <v>322</v>
      </c>
      <c r="F63" s="258">
        <f>Normalized_FCF!C90</f>
        <v>0.57209111856187245</v>
      </c>
    </row>
    <row r="65" spans="1:6">
      <c r="B65" s="192" t="s">
        <v>325</v>
      </c>
      <c r="C65" s="264" t="s">
        <v>327</v>
      </c>
      <c r="D65" s="264" t="s">
        <v>328</v>
      </c>
    </row>
    <row r="66" spans="1:6">
      <c r="B66" s="44" t="s">
        <v>326</v>
      </c>
      <c r="C66" s="89">
        <f>Normalized_FCF!E119</f>
        <v>0.17172013884911658</v>
      </c>
      <c r="D66" s="89">
        <f>Normalized_FCF!G119</f>
        <v>0.18349116117989095</v>
      </c>
    </row>
    <row r="67" spans="1:6">
      <c r="B67" s="229" t="str">
        <f>Normalized_FCF!B116</f>
        <v>Pre-tax Profit/Sales</v>
      </c>
      <c r="C67" s="263">
        <f>Normalized_FCF!E116</f>
        <v>8.360622309331045E-2</v>
      </c>
      <c r="D67" s="263">
        <f>Normalized_FCF!G116</f>
        <v>8.9337238253319018E-2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-20425</v>
      </c>
      <c r="D78" s="1" t="str">
        <f>Reporting_currency</f>
        <v>CNY</v>
      </c>
    </row>
    <row r="79" spans="1:6">
      <c r="A79" s="191"/>
      <c r="B79" s="44" t="s">
        <v>234</v>
      </c>
      <c r="C79" s="201">
        <f>C78*scaling_factor*Exchange_Rate/Common_Shares</f>
        <v>-2.68819635380253</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28366.732548108463</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3.7334319219151397</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2.2900669060545421E-2</v>
      </c>
      <c r="D90" s="1" t="str">
        <f>Market_currency</f>
        <v>HKD</v>
      </c>
    </row>
    <row r="91" spans="1:6">
      <c r="A91" s="191"/>
    </row>
    <row r="92" spans="1:6">
      <c r="A92" s="191"/>
      <c r="B92" s="44" t="s">
        <v>469</v>
      </c>
      <c r="C92" s="216">
        <f>DCF!F8</f>
        <v>1.0681362371731546</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-3.0074501063322137</v>
      </c>
      <c r="D111" s="1" t="str">
        <f>Market_currency</f>
        <v>HKD</v>
      </c>
    </row>
    <row r="112" spans="2:6">
      <c r="B112" s="44" t="s">
        <v>323</v>
      </c>
      <c r="C112" s="216">
        <f>DCF!C11</f>
        <v>14.996535954645763</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14.04 HKD</v>
      </c>
      <c r="E118" s="208">
        <f>DCF!F90</f>
        <v>0.1</v>
      </c>
      <c r="F118" s="208">
        <f>RATE(Holding_Period,Scenarios!C$58,-DCF!E90,C$18)</f>
        <v>-3.6710138941871397E-2</v>
      </c>
    </row>
    <row r="119" spans="2:6">
      <c r="B119" s="205" t="str">
        <f>DCF!B91&amp;" ("&amp;DCF!D91&amp;"yrs)"</f>
        <v>Optimistic (5yrs)</v>
      </c>
      <c r="C119" s="198">
        <f>DCF!C91</f>
        <v>0.04</v>
      </c>
      <c r="D119" s="207" t="str">
        <f>ROUND(DCF!E91,2)&amp;" "&amp;Market_currency</f>
        <v>12.99 HKD</v>
      </c>
      <c r="E119" s="199">
        <f>DCF!F91</f>
        <v>8.0000000000000029E-2</v>
      </c>
      <c r="F119" s="208">
        <f>RATE(Holding_Period,Scenarios!C$58,-DCF!E91,C$18)</f>
        <v>-1.0679746289514295E-2</v>
      </c>
    </row>
    <row r="120" spans="2:6">
      <c r="B120" s="205" t="str">
        <f>DCF!B92&amp;" ("&amp;DCF!D92&amp;"yrs)"</f>
        <v>Base (5yrs)</v>
      </c>
      <c r="C120" s="198">
        <f>DCF!C92</f>
        <v>0.02</v>
      </c>
      <c r="D120" s="207" t="str">
        <f>ROUND(DCF!E92,2)&amp;" "&amp;Market_currency</f>
        <v>12.01 HKD</v>
      </c>
      <c r="E120" s="199">
        <f>DCF!F92</f>
        <v>0.48</v>
      </c>
      <c r="F120" s="208">
        <f>RATE(Holding_Period,Scenarios!C$58,-DCF!E92,C$18)</f>
        <v>1.6251629679542499E-2</v>
      </c>
    </row>
    <row r="121" spans="2:6">
      <c r="B121" s="205" t="str">
        <f>DCF!B93&amp;" ("&amp;DCF!D93&amp;"yrs)"</f>
        <v>Pessimistic (5yrs)</v>
      </c>
      <c r="C121" s="198">
        <f>DCF!C93</f>
        <v>0</v>
      </c>
      <c r="D121" s="207" t="str">
        <f>ROUND(DCF!E93,2)&amp;" "&amp;Market_currency</f>
        <v>11.1 HKD</v>
      </c>
      <c r="E121" s="199">
        <f>DCF!F93</f>
        <v>0.24</v>
      </c>
      <c r="F121" s="208">
        <f>RATE(Holding_Period,Scenarios!C$58,-DCF!E93,C$18)</f>
        <v>4.4101546058656883E-2</v>
      </c>
    </row>
    <row r="122" spans="2:6">
      <c r="B122" s="205" t="str">
        <f>DCF!B94&amp;" ("&amp;DCF!D94&amp;"yrs)"</f>
        <v>Devil's advocate (5yrs)</v>
      </c>
      <c r="C122" s="198">
        <f>DCF!C94</f>
        <v>-0.1</v>
      </c>
      <c r="D122" s="207" t="str">
        <f>ROUND(DCF!E94,2)&amp;" "&amp;Market_currency</f>
        <v>7.45 HKD</v>
      </c>
      <c r="E122" s="199">
        <f>DCF!F94</f>
        <v>0.1</v>
      </c>
      <c r="F122" s="208">
        <f>RATE(Holding_Period,Scenarios!C$58,-DCF!E94,C$18)</f>
        <v>0.19746122129512844</v>
      </c>
    </row>
    <row r="124" spans="2:6">
      <c r="B124" s="462" t="s">
        <v>357</v>
      </c>
      <c r="C124" s="462"/>
      <c r="D124" s="462"/>
      <c r="E124" s="462"/>
      <c r="F124" s="462"/>
    </row>
    <row r="125" spans="2:6">
      <c r="B125" s="193" t="s">
        <v>218</v>
      </c>
      <c r="C125" s="197">
        <f>Scenarios!C36</f>
        <v>11.614359679087583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0.32390030110487361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0.59268947647929526</v>
      </c>
      <c r="D140" s="333">
        <f>Scenarios!D62</f>
        <v>5.3522394834505</v>
      </c>
      <c r="E140" s="334">
        <f>Scenarios!E62</f>
        <v>5.9449289599297952</v>
      </c>
      <c r="F140" s="335">
        <f>E22</f>
        <v>0.29465259038036606</v>
      </c>
    </row>
    <row r="141" spans="1:6">
      <c r="B141" s="336" t="s">
        <v>313</v>
      </c>
      <c r="C141" s="333">
        <f>Scenarios!C63</f>
        <v>0.68148751204629709</v>
      </c>
      <c r="D141" s="333">
        <f>Scenarios!D63</f>
        <v>6.7086554103033</v>
      </c>
      <c r="E141" s="334">
        <f>Scenarios!E63</f>
        <v>7.3901429223495967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0.78144287893808773</v>
      </c>
      <c r="D144" s="333">
        <f>Scenarios!D66</f>
        <v>8.324713008198092</v>
      </c>
      <c r="E144" s="334">
        <f>Scenarios!E66</f>
        <v>9.106155887136179</v>
      </c>
      <c r="F144" s="335">
        <f>E24</f>
        <v>0.1174</v>
      </c>
    </row>
    <row r="145" spans="1:6">
      <c r="B145" s="336" t="s">
        <v>314</v>
      </c>
      <c r="C145" s="333">
        <f>Scenarios!C67</f>
        <v>0.84614912268025244</v>
      </c>
      <c r="D145" s="333">
        <f>Scenarios!D67</f>
        <v>9.414632429965982</v>
      </c>
      <c r="E145" s="334">
        <f>Scenarios!E67</f>
        <v>10.260781552646234</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0.35988922344985957</v>
      </c>
      <c r="D25" s="37">
        <f>(0.2838)*Exchange_Rate</f>
        <v>0.3234216643922424</v>
      </c>
      <c r="E25" s="37">
        <f>0.2539*Exchange_Rate</f>
        <v>0.28934728889778139</v>
      </c>
      <c r="F25" s="37">
        <f>0.2078*Exchange_Rate</f>
        <v>0.23681121163040161</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0.35988922344985957</v>
      </c>
      <c r="D65" s="70">
        <f t="shared" ref="D65:M65" si="33">IF(D$4="","",D25)</f>
        <v>0.3234216643922424</v>
      </c>
      <c r="E65" s="70">
        <f t="shared" si="33"/>
        <v>0.28934728889778139</v>
      </c>
      <c r="F65" s="70">
        <f t="shared" si="33"/>
        <v>0.23681121163040161</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8.8164943622288305</v>
      </c>
      <c r="D47" s="134">
        <f>D46*H1/Common_Shares*Exchange_Rate</f>
        <v>-3.0074501063322137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28366.732548108463</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-14508.267451891537</v>
      </c>
      <c r="D73" s="285">
        <f>(Normalized_FCF!C26+Normalized_FCF!C35-Normalized_FCF!C89)/12</f>
        <v>-14508.267451891537</v>
      </c>
      <c r="F73" s="1" t="s">
        <v>278</v>
      </c>
    </row>
    <row r="74" spans="2:6" ht="15" customHeight="1">
      <c r="B74" s="227" t="s">
        <v>259</v>
      </c>
      <c r="C74" s="228">
        <f>-$C$66/C73</f>
        <v>2.9552115814083719</v>
      </c>
      <c r="D74" s="228">
        <f>-$C$66/D73</f>
        <v>2.9552115814083719</v>
      </c>
      <c r="F74" s="223" t="s">
        <v>257</v>
      </c>
    </row>
    <row r="75" spans="2:6" ht="15" customHeight="1">
      <c r="B75" s="77" t="s">
        <v>258</v>
      </c>
      <c r="C75" s="261"/>
      <c r="D75" s="262">
        <f>MAX(-D73*D76,G5)</f>
        <v>14508.267451891537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-23276.55917974472</v>
      </c>
      <c r="D86" s="201">
        <f>C86*scaling_factor/Common_Shares</f>
        <v>-2.68819635380253</v>
      </c>
      <c r="E86" s="214" t="str">
        <f>Market_currency</f>
        <v>HKD</v>
      </c>
    </row>
    <row r="87" spans="2:8" ht="15" customHeight="1">
      <c r="B87" s="212" t="s">
        <v>240</v>
      </c>
      <c r="C87" s="73">
        <f>DCF!F5*Exchange_Rate</f>
        <v>32327.046702180531</v>
      </c>
      <c r="D87" s="201">
        <f>C87*scaling_factor/Common_Shares</f>
        <v>3.7334319219151393</v>
      </c>
      <c r="E87" s="214" t="str">
        <f>Market_currency</f>
        <v>HKD</v>
      </c>
    </row>
    <row r="88" spans="2:8" ht="15" customHeight="1">
      <c r="B88" s="213" t="s">
        <v>159</v>
      </c>
      <c r="C88" s="73">
        <f>DCF!F6*Exchange_Rate</f>
        <v>198.29235237579346</v>
      </c>
      <c r="D88" s="201">
        <f>C88*scaling_factor/Common_Shares</f>
        <v>2.2900669060545421E-2</v>
      </c>
      <c r="E88" s="214" t="str">
        <f>Market_currency</f>
        <v>HKD</v>
      </c>
    </row>
    <row r="89" spans="2:8" ht="15" customHeight="1">
      <c r="B89" s="77" t="s">
        <v>244</v>
      </c>
      <c r="C89" s="162">
        <f>SUM(C86:C88)</f>
        <v>9248.7798748116038</v>
      </c>
      <c r="D89" s="216">
        <f>SUM(D86:D88)</f>
        <v>1.0681362371731546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-715.95039528865072</v>
      </c>
      <c r="E10" s="237"/>
      <c r="G10" s="266">
        <f>G48</f>
        <v>-478.82693366968874</v>
      </c>
      <c r="H10" s="266">
        <f t="shared" ref="H10:Q10" si="6">H48</f>
        <v>-665.60483537852735</v>
      </c>
      <c r="I10" s="266">
        <f t="shared" si="6"/>
        <v>-608.3270730921322</v>
      </c>
      <c r="J10" s="266">
        <f t="shared" si="6"/>
        <v>-603.99420450027696</v>
      </c>
      <c r="K10" s="266">
        <f t="shared" si="6"/>
        <v>-596.33286859185523</v>
      </c>
      <c r="L10" s="266">
        <f t="shared" si="6"/>
        <v>-895.28244240657068</v>
      </c>
      <c r="M10" s="266">
        <f t="shared" si="6"/>
        <v>-1030.1763522260524</v>
      </c>
      <c r="N10" s="266">
        <f t="shared" si="6"/>
        <v>-1073.6007129481256</v>
      </c>
      <c r="O10" s="266">
        <f t="shared" si="6"/>
        <v>-566.90354890471963</v>
      </c>
      <c r="P10" s="266">
        <f t="shared" si="6"/>
        <v>-500.86331949444673</v>
      </c>
      <c r="Q10" s="266" t="str">
        <f t="shared" si="6"/>
        <v/>
      </c>
    </row>
    <row r="11" spans="1:17" ht="15.75" customHeight="1">
      <c r="A11" s="10"/>
      <c r="B11" s="67" t="s">
        <v>137</v>
      </c>
      <c r="C11" s="267">
        <f>SUM(C8:C10)</f>
        <v>15638.209604711348</v>
      </c>
      <c r="E11" s="237"/>
      <c r="G11" s="267">
        <f t="shared" ref="G11:Q11" si="7">IF(G$4="","",SUM(G8:G10))</f>
        <v>16710.17306633031</v>
      </c>
      <c r="H11" s="267">
        <f t="shared" si="7"/>
        <v>17016.395164621474</v>
      </c>
      <c r="I11" s="267">
        <f t="shared" si="7"/>
        <v>16731.672926907868</v>
      </c>
      <c r="J11" s="267">
        <f t="shared" si="7"/>
        <v>14521.005795499723</v>
      </c>
      <c r="K11" s="267">
        <f t="shared" si="7"/>
        <v>11496.667131408145</v>
      </c>
      <c r="L11" s="267">
        <f t="shared" si="7"/>
        <v>20325.717557593431</v>
      </c>
      <c r="M11" s="267">
        <f t="shared" si="7"/>
        <v>19125.823647773948</v>
      </c>
      <c r="N11" s="267">
        <f t="shared" si="7"/>
        <v>16885.399287051874</v>
      </c>
      <c r="O11" s="267">
        <f t="shared" si="7"/>
        <v>17654.09645109528</v>
      </c>
      <c r="P11" s="267">
        <f t="shared" si="7"/>
        <v>11794.136680505553</v>
      </c>
      <c r="Q11" s="267" t="str">
        <f t="shared" si="7"/>
        <v/>
      </c>
    </row>
    <row r="12" spans="1:17" ht="15.75" customHeight="1">
      <c r="A12" s="10"/>
      <c r="B12" s="2" t="s">
        <v>60</v>
      </c>
      <c r="C12" s="266">
        <f>-C11*C41</f>
        <v>-3909.5524011778371</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5447.0508658340859</v>
      </c>
      <c r="D14" s="58"/>
      <c r="E14" s="243"/>
      <c r="F14" s="58"/>
      <c r="G14" s="267">
        <f t="shared" ref="G14:Q14" si="8">IF(G$4="","",SUM(G11:G13))</f>
        <v>10035.17306633031</v>
      </c>
      <c r="H14" s="267">
        <f t="shared" si="8"/>
        <v>10105.395164621474</v>
      </c>
      <c r="I14" s="267">
        <f t="shared" si="8"/>
        <v>10567.672926907868</v>
      </c>
      <c r="J14" s="267">
        <f t="shared" si="8"/>
        <v>8502.0057954997228</v>
      </c>
      <c r="K14" s="267">
        <f t="shared" si="8"/>
        <v>5514.667131408145</v>
      </c>
      <c r="L14" s="267">
        <f t="shared" si="8"/>
        <v>12231.717557593431</v>
      </c>
      <c r="M14" s="267">
        <f t="shared" si="8"/>
        <v>11774.823647773948</v>
      </c>
      <c r="N14" s="267">
        <f t="shared" si="8"/>
        <v>10165.399287051874</v>
      </c>
      <c r="O14" s="267">
        <f t="shared" si="8"/>
        <v>11198.09645109528</v>
      </c>
      <c r="P14" s="267">
        <f t="shared" si="8"/>
        <v>7004.1366805055532</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5447.0508658340859</v>
      </c>
      <c r="D19" s="26"/>
      <c r="E19" s="234"/>
      <c r="F19" s="26"/>
      <c r="G19" s="271">
        <f t="shared" ref="G19:Q19" si="9">IF(G$4="","",G14+G17)</f>
        <v>10035.17306633031</v>
      </c>
      <c r="H19" s="271">
        <f t="shared" si="9"/>
        <v>10105.395164621474</v>
      </c>
      <c r="I19" s="271">
        <f t="shared" si="9"/>
        <v>10567.672926907868</v>
      </c>
      <c r="J19" s="271">
        <f t="shared" si="9"/>
        <v>8502.0057954997228</v>
      </c>
      <c r="K19" s="271">
        <f t="shared" si="9"/>
        <v>5514.667131408145</v>
      </c>
      <c r="L19" s="271">
        <f t="shared" si="9"/>
        <v>12231.717557593431</v>
      </c>
      <c r="M19" s="271">
        <f t="shared" si="9"/>
        <v>11774.823647773948</v>
      </c>
      <c r="N19" s="271">
        <f t="shared" si="9"/>
        <v>10165.399287051874</v>
      </c>
      <c r="O19" s="271">
        <f t="shared" si="9"/>
        <v>11198.09645109528</v>
      </c>
      <c r="P19" s="271">
        <f t="shared" si="9"/>
        <v>7004.1366805055532</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0.1871913586761513</v>
      </c>
      <c r="H41" s="6">
        <f t="shared" si="16"/>
        <v>0.19616375664218144</v>
      </c>
      <c r="I41" s="6">
        <f t="shared" si="16"/>
        <v>0.19059660166267367</v>
      </c>
      <c r="J41" s="6">
        <f t="shared" si="16"/>
        <v>0.18579980188673642</v>
      </c>
      <c r="K41" s="6">
        <f t="shared" si="16"/>
        <v>0.20118874222956623</v>
      </c>
      <c r="L41" s="6">
        <f t="shared" si="16"/>
        <v>0.20043572820768657</v>
      </c>
      <c r="M41" s="6">
        <f t="shared" si="16"/>
        <v>0.19722026457349576</v>
      </c>
      <c r="N41" s="6">
        <f t="shared" si="16"/>
        <v>0.20911557612425871</v>
      </c>
      <c r="O41" s="6">
        <f t="shared" si="16"/>
        <v>0.20963972924088028</v>
      </c>
      <c r="P41" s="6">
        <f t="shared" si="16"/>
        <v>0.2210420372954548</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87.049604711349232</v>
      </c>
      <c r="E46" s="237"/>
      <c r="G46" s="274">
        <f t="shared" ref="G46:Q46" si="17">IFERROR(IF(G$4="","",($C$46/$C$47)*G47),0)</f>
        <v>324.17306633031126</v>
      </c>
      <c r="H46" s="274">
        <f t="shared" si="17"/>
        <v>294.39516462147265</v>
      </c>
      <c r="I46" s="274">
        <f t="shared" si="17"/>
        <v>290.6729269078678</v>
      </c>
      <c r="J46" s="274">
        <f t="shared" si="17"/>
        <v>179.00579549972301</v>
      </c>
      <c r="K46" s="274">
        <f t="shared" si="17"/>
        <v>111.66713140814478</v>
      </c>
      <c r="L46" s="274">
        <f t="shared" si="17"/>
        <v>92.717557593429305</v>
      </c>
      <c r="M46" s="274">
        <f t="shared" si="17"/>
        <v>99.823647773947613</v>
      </c>
      <c r="N46" s="274">
        <f t="shared" si="17"/>
        <v>71.399287051874396</v>
      </c>
      <c r="O46" s="274">
        <f t="shared" si="17"/>
        <v>118.0964510952804</v>
      </c>
      <c r="P46" s="274">
        <f t="shared" si="17"/>
        <v>76.136680505553258</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-715.95039528865072</v>
      </c>
      <c r="E48" s="237"/>
      <c r="G48" s="267">
        <f>IF(G$4="","",(G45+G46))</f>
        <v>-478.82693366968874</v>
      </c>
      <c r="H48" s="267">
        <f t="shared" ref="H48:Q48" si="18">IF(H$4="","",(H45+H46))</f>
        <v>-665.60483537852735</v>
      </c>
      <c r="I48" s="267">
        <f t="shared" si="18"/>
        <v>-608.3270730921322</v>
      </c>
      <c r="J48" s="267">
        <f t="shared" si="18"/>
        <v>-603.99420450027696</v>
      </c>
      <c r="K48" s="267">
        <f t="shared" si="18"/>
        <v>-596.33286859185523</v>
      </c>
      <c r="L48" s="267">
        <f t="shared" si="18"/>
        <v>-895.28244240657068</v>
      </c>
      <c r="M48" s="267">
        <f t="shared" si="18"/>
        <v>-1030.1763522260524</v>
      </c>
      <c r="N48" s="267">
        <f t="shared" si="18"/>
        <v>-1073.6007129481256</v>
      </c>
      <c r="O48" s="267">
        <f t="shared" si="18"/>
        <v>-566.90354890471963</v>
      </c>
      <c r="P48" s="267">
        <f t="shared" si="18"/>
        <v>-500.86331949444673</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3.8276701735864478E-3</v>
      </c>
      <c r="D76" s="26"/>
      <c r="E76" s="234"/>
      <c r="F76" s="26"/>
      <c r="G76" s="6">
        <f t="shared" ref="G76:Q76" si="28">IF(G$4="","",ABS(G10/G$4))</f>
        <v>2.559942119423504E-3</v>
      </c>
      <c r="H76" s="6">
        <f t="shared" si="28"/>
        <v>3.7529733492254326E-3</v>
      </c>
      <c r="I76" s="6">
        <f t="shared" si="28"/>
        <v>3.5379371952038584E-3</v>
      </c>
      <c r="J76" s="6">
        <f t="shared" si="28"/>
        <v>4.3594895919816159E-3</v>
      </c>
      <c r="K76" s="6">
        <f t="shared" si="28"/>
        <v>5.4583744642324123E-3</v>
      </c>
      <c r="L76" s="6">
        <f t="shared" si="28"/>
        <v>7.900968489110434E-3</v>
      </c>
      <c r="M76" s="6">
        <f t="shared" si="28"/>
        <v>9.7674822435389434E-3</v>
      </c>
      <c r="N76" s="6">
        <f t="shared" si="28"/>
        <v>1.2102909757492454E-2</v>
      </c>
      <c r="O76" s="6">
        <f t="shared" si="28"/>
        <v>6.923420884989615E-3</v>
      </c>
      <c r="P76" s="6">
        <f t="shared" si="28"/>
        <v>1.2028128995327843E-2</v>
      </c>
      <c r="Q76" s="6" t="str">
        <f t="shared" si="28"/>
        <v/>
      </c>
    </row>
    <row r="77" spans="1:17" ht="15.75" customHeight="1">
      <c r="A77" s="10"/>
      <c r="B77" s="67" t="s">
        <v>137</v>
      </c>
      <c r="C77" s="75">
        <f>C11/C4</f>
        <v>8.3606223093310464E-2</v>
      </c>
      <c r="D77" s="26"/>
      <c r="E77" s="234"/>
      <c r="F77" s="26"/>
      <c r="G77" s="62">
        <f t="shared" ref="G77:Q77" si="29">IF(G$4="","",G11/G$4)</f>
        <v>8.9337238253319018E-2</v>
      </c>
      <c r="H77" s="62">
        <f t="shared" si="29"/>
        <v>9.5945933920979928E-2</v>
      </c>
      <c r="I77" s="62">
        <f t="shared" si="29"/>
        <v>9.7308850130902319E-2</v>
      </c>
      <c r="J77" s="62">
        <f t="shared" si="29"/>
        <v>0.10480924015315903</v>
      </c>
      <c r="K77" s="62">
        <f t="shared" si="29"/>
        <v>0.10523168786929314</v>
      </c>
      <c r="L77" s="62">
        <f t="shared" si="29"/>
        <v>0.17937674898373029</v>
      </c>
      <c r="M77" s="62">
        <f t="shared" si="29"/>
        <v>0.18133899353156299</v>
      </c>
      <c r="N77" s="62">
        <f t="shared" si="29"/>
        <v>0.19035239202592694</v>
      </c>
      <c r="O77" s="62">
        <f t="shared" si="29"/>
        <v>0.21560411874520993</v>
      </c>
      <c r="P77" s="62">
        <f t="shared" si="29"/>
        <v>0.28323375232356457</v>
      </c>
      <c r="Q77" s="62" t="str">
        <f t="shared" si="29"/>
        <v/>
      </c>
    </row>
    <row r="78" spans="1:17" ht="15.75" customHeight="1">
      <c r="A78" s="10"/>
      <c r="B78" s="2" t="s">
        <v>60</v>
      </c>
      <c r="C78" s="74">
        <f>ABS(C12/C$4)</f>
        <v>2.0901555773327616E-2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2.9121450690386783E-2</v>
      </c>
      <c r="D80" s="26"/>
      <c r="E80" s="234"/>
      <c r="F80" s="26"/>
      <c r="G80" s="62">
        <f t="shared" ref="G80:Q80" si="32">IF(G$4="","",ABS(G14/G$4))</f>
        <v>5.3650829562408762E-2</v>
      </c>
      <c r="H80" s="62">
        <f t="shared" si="32"/>
        <v>5.6978670707294302E-2</v>
      </c>
      <c r="I80" s="62">
        <f t="shared" si="32"/>
        <v>6.1459969099868957E-2</v>
      </c>
      <c r="J80" s="62">
        <f t="shared" si="32"/>
        <v>6.1365499040034951E-2</v>
      </c>
      <c r="K80" s="62">
        <f t="shared" si="32"/>
        <v>5.0477040314579683E-2</v>
      </c>
      <c r="L80" s="62">
        <f t="shared" si="32"/>
        <v>0.10794628645957155</v>
      </c>
      <c r="M80" s="62">
        <f t="shared" si="32"/>
        <v>0.1116414492061624</v>
      </c>
      <c r="N80" s="62">
        <f t="shared" si="32"/>
        <v>0.11459652432813873</v>
      </c>
      <c r="O80" s="62">
        <f t="shared" si="32"/>
        <v>0.1367589513091434</v>
      </c>
      <c r="P80" s="62">
        <f t="shared" si="32"/>
        <v>0.16820289331441496</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2.9121450690386783E-2</v>
      </c>
      <c r="D85" s="72"/>
      <c r="E85" s="234"/>
      <c r="F85" s="72"/>
      <c r="G85" s="62">
        <f t="shared" ref="G85:Q85" si="35">IF(G$4="","",ABS(G19/G$4))</f>
        <v>5.3650829562408762E-2</v>
      </c>
      <c r="H85" s="62">
        <f t="shared" si="35"/>
        <v>5.6978670707294302E-2</v>
      </c>
      <c r="I85" s="62">
        <f t="shared" si="35"/>
        <v>6.1459969099868957E-2</v>
      </c>
      <c r="J85" s="62">
        <f t="shared" si="35"/>
        <v>6.1365499040034951E-2</v>
      </c>
      <c r="K85" s="62">
        <f t="shared" si="35"/>
        <v>5.0477040314579683E-2</v>
      </c>
      <c r="L85" s="62">
        <f t="shared" si="35"/>
        <v>0.10794628645957155</v>
      </c>
      <c r="M85" s="62">
        <f t="shared" si="35"/>
        <v>0.1116414492061624</v>
      </c>
      <c r="N85" s="62">
        <f t="shared" si="35"/>
        <v>0.11459652432813873</v>
      </c>
      <c r="O85" s="62">
        <f t="shared" si="35"/>
        <v>0.1367589513091434</v>
      </c>
      <c r="P85" s="62">
        <f t="shared" si="35"/>
        <v>0.16820289331441496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0.35988922344985957</v>
      </c>
      <c r="E88" s="237"/>
      <c r="G88" s="109">
        <f>Data!C65</f>
        <v>0.35988922344985957</v>
      </c>
      <c r="H88" s="109">
        <f>Data!D65</f>
        <v>0.3234216643922424</v>
      </c>
      <c r="I88" s="109">
        <f>Data!E65</f>
        <v>0.28934728889778139</v>
      </c>
      <c r="J88" s="109">
        <f>Data!F65</f>
        <v>0.23681121163040161</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3116.2094226984377</v>
      </c>
      <c r="E89" s="237"/>
      <c r="G89" s="71">
        <f t="shared" ref="G89:Q89" si="36">IF(G$4="","",G88*Common_Shares/scaling_factor)</f>
        <v>3116.2094226984377</v>
      </c>
      <c r="H89" s="71">
        <f t="shared" si="36"/>
        <v>2800.4440600437511</v>
      </c>
      <c r="I89" s="71">
        <f t="shared" si="36"/>
        <v>2505.4007993132786</v>
      </c>
      <c r="J89" s="71">
        <f t="shared" si="36"/>
        <v>2050.5013237388707</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0.57209111856187245</v>
      </c>
      <c r="E90" s="237"/>
      <c r="G90" s="152">
        <f t="shared" ref="G90:Q90" si="37">IF(G$4="","",G88/(G19*scaling_factor/Common_Shares))</f>
        <v>0.31052871755185207</v>
      </c>
      <c r="H90" s="152">
        <f t="shared" si="37"/>
        <v>0.27712365666292577</v>
      </c>
      <c r="I90" s="152">
        <f t="shared" si="37"/>
        <v>0.23708159938730869</v>
      </c>
      <c r="J90" s="152">
        <f t="shared" si="37"/>
        <v>0.24117853751925708</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3.8651587244018328E-2</v>
      </c>
      <c r="E92" s="237"/>
      <c r="G92" s="22">
        <f t="shared" ref="G92:Q92" si="38">IF(G$4="","",(G88*(1-dividend_tax_rate))/Market_Price)</f>
        <v>3.8651587244018328E-2</v>
      </c>
      <c r="H92" s="22">
        <f t="shared" si="38"/>
        <v>3.4735023622078538E-2</v>
      </c>
      <c r="I92" s="22">
        <f t="shared" si="38"/>
        <v>3.1075484487828552E-2</v>
      </c>
      <c r="J92" s="22">
        <f t="shared" si="38"/>
        <v>2.5433185019971532E-2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-6.4150350649502474E-2</v>
      </c>
      <c r="D96" s="26"/>
      <c r="E96" s="234"/>
      <c r="F96" s="26"/>
      <c r="G96" s="6">
        <f t="shared" ref="G96:Q96" si="40">IF(H5="","",G11/H11-1)</f>
        <v>-1.7995709157473394E-2</v>
      </c>
      <c r="H96" s="6">
        <f t="shared" si="40"/>
        <v>1.7016961720290213E-2</v>
      </c>
      <c r="I96" s="6">
        <f t="shared" si="40"/>
        <v>0.15223925687663198</v>
      </c>
      <c r="J96" s="6">
        <f t="shared" si="40"/>
        <v>0.26306221007558639</v>
      </c>
      <c r="K96" s="6">
        <f t="shared" si="40"/>
        <v>-0.43437828953235968</v>
      </c>
      <c r="L96" s="6">
        <f t="shared" si="40"/>
        <v>6.2736848980573745E-2</v>
      </c>
      <c r="M96" s="6">
        <f t="shared" si="40"/>
        <v>0.13268412091623349</v>
      </c>
      <c r="N96" s="6">
        <f t="shared" si="40"/>
        <v>-4.354214140456425E-2</v>
      </c>
      <c r="O96" s="6">
        <f t="shared" si="40"/>
        <v>0.49685364256254672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1.2470138698441158</v>
      </c>
      <c r="H113" s="251">
        <f>IF(H$4="","",Data!D$22/H19)</f>
        <v>1.4257730415572218</v>
      </c>
      <c r="I113" s="251">
        <f>IF(I$4="","",Data!E$22/I19)</f>
        <v>1.407121520778464</v>
      </c>
      <c r="J113" s="251">
        <f>IF(J$4="","",Data!F$22/J19)</f>
        <v>1.4114316419722783</v>
      </c>
      <c r="K113" s="251">
        <f>IF(K$4="","",Data!G$22/K19)</f>
        <v>3.0351786610420541</v>
      </c>
      <c r="L113" s="251">
        <f>IF(L$4="","",Data!H$22/L19)</f>
        <v>1.315023824271879</v>
      </c>
      <c r="M113" s="251">
        <f>IF(M$4="","",Data!I$22/M19)</f>
        <v>1.4452870386060757</v>
      </c>
      <c r="N113" s="251">
        <f>IF(N$4="","",Data!J$22/N19)</f>
        <v>1.3070809738801159</v>
      </c>
      <c r="O113" s="251">
        <f>IF(O$4="","",Data!K$22/O19)</f>
        <v>1.4063997455977975</v>
      </c>
      <c r="P113" s="251">
        <f>IF(P$4="","",Data!L$22/P19)</f>
        <v>1.9088719438060657</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8.3606223093310464E-2</v>
      </c>
      <c r="E116" s="22">
        <f>E119/E117/E118</f>
        <v>8.360622309331045E-2</v>
      </c>
      <c r="G116" s="22">
        <f t="shared" ref="G116:Q116" si="44">IF(G4="","",G77)</f>
        <v>8.9337238253319018E-2</v>
      </c>
      <c r="H116" s="22">
        <f t="shared" si="44"/>
        <v>9.5945933920979928E-2</v>
      </c>
      <c r="I116" s="22">
        <f t="shared" si="44"/>
        <v>9.7308850130902319E-2</v>
      </c>
      <c r="J116" s="22">
        <f t="shared" si="44"/>
        <v>0.10480924015315903</v>
      </c>
      <c r="K116" s="22">
        <f t="shared" si="44"/>
        <v>0.10523168786929314</v>
      </c>
      <c r="L116" s="22">
        <f t="shared" si="44"/>
        <v>0.17937674898373029</v>
      </c>
      <c r="M116" s="22">
        <f t="shared" si="44"/>
        <v>0.18133899353156299</v>
      </c>
      <c r="N116" s="22">
        <f t="shared" si="44"/>
        <v>0.19035239202592694</v>
      </c>
      <c r="O116" s="22">
        <f t="shared" si="44"/>
        <v>0.21560411874520993</v>
      </c>
      <c r="P116" s="22">
        <f t="shared" si="44"/>
        <v>0.28323375232356457</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0.17172013884911658</v>
      </c>
      <c r="D119" s="100"/>
      <c r="E119" s="453">
        <f>C11/C104</f>
        <v>0.17172013884911658</v>
      </c>
      <c r="F119" s="100"/>
      <c r="G119" s="99">
        <f t="shared" ref="G119:Q119" si="47">IF(G$4="","",G11/G104)</f>
        <v>0.18349116117989095</v>
      </c>
      <c r="H119" s="99">
        <f t="shared" si="47"/>
        <v>0.19836558717486535</v>
      </c>
      <c r="I119" s="99">
        <f t="shared" si="47"/>
        <v>0.20732662049153514</v>
      </c>
      <c r="J119" s="99">
        <f t="shared" si="47"/>
        <v>0.19141595543823206</v>
      </c>
      <c r="K119" s="99">
        <f t="shared" si="47"/>
        <v>0.13601177294128675</v>
      </c>
      <c r="L119" s="99">
        <f t="shared" si="47"/>
        <v>0.25668646280979263</v>
      </c>
      <c r="M119" s="99">
        <f t="shared" si="47"/>
        <v>0.27285964059368772</v>
      </c>
      <c r="N119" s="99">
        <f t="shared" si="47"/>
        <v>0.25730132246936188</v>
      </c>
      <c r="O119" s="99">
        <f t="shared" si="47"/>
        <v>0.26626391643055791</v>
      </c>
      <c r="P119" s="99">
        <f t="shared" si="47"/>
        <v>0.16771140265777762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0.71690292663461941</v>
      </c>
      <c r="D123" s="26"/>
      <c r="E123" s="234"/>
      <c r="F123" s="26"/>
      <c r="G123" s="159">
        <f t="shared" ref="G123:Q123" si="48">IF(G$4="","",G14*$C$3/Common_Shares*Exchange_Rate)</f>
        <v>1.3207596399846506</v>
      </c>
      <c r="H123" s="159">
        <f t="shared" si="48"/>
        <v>1.3300017838565072</v>
      </c>
      <c r="I123" s="159">
        <f t="shared" si="48"/>
        <v>1.3908435657425429</v>
      </c>
      <c r="J123" s="159">
        <f t="shared" si="48"/>
        <v>1.1189748337561976</v>
      </c>
      <c r="K123" s="159">
        <f t="shared" si="48"/>
        <v>0.72580210893934072</v>
      </c>
      <c r="L123" s="159">
        <f t="shared" si="48"/>
        <v>1.609853539244311</v>
      </c>
      <c r="M123" s="159">
        <f t="shared" si="48"/>
        <v>1.5497203425514681</v>
      </c>
      <c r="N123" s="159">
        <f t="shared" si="48"/>
        <v>1.337899108856778</v>
      </c>
      <c r="O123" s="159">
        <f t="shared" si="48"/>
        <v>1.4738155226126504</v>
      </c>
      <c r="P123" s="159">
        <f t="shared" si="48"/>
        <v>0.92183572514416567</v>
      </c>
      <c r="Q123" s="159" t="str">
        <f t="shared" si="48"/>
        <v/>
      </c>
    </row>
    <row r="124" spans="1:17" ht="15.75" customHeight="1">
      <c r="A124" s="10"/>
      <c r="B124" s="26" t="s">
        <v>226</v>
      </c>
      <c r="C124" s="74">
        <f>C19*Exchange_Rate*$C$3/(Market_Price*Common_Shares)</f>
        <v>8.5549275254727858E-2</v>
      </c>
      <c r="D124" s="26"/>
      <c r="E124" s="234"/>
      <c r="F124" s="26"/>
      <c r="G124" s="74">
        <f t="shared" ref="G124" si="49">IF(G$4="","",G123/Market_Price)</f>
        <v>0.15760854892418263</v>
      </c>
      <c r="H124" s="74">
        <f t="shared" ref="H124" si="50">IF(H$4="","",H123/Market_Price)</f>
        <v>0.1587114300544758</v>
      </c>
      <c r="I124" s="74">
        <f t="shared" ref="I124" si="51">IF(I$4="","",I123/Market_Price)</f>
        <v>0.16597178588813158</v>
      </c>
      <c r="J124" s="74">
        <f t="shared" ref="J124" si="52">IF(J$4="","",J123/Market_Price)</f>
        <v>0.13352921643868704</v>
      </c>
      <c r="K124" s="74">
        <f t="shared" ref="K124" si="53">IF(K$4="","",K123/Market_Price)</f>
        <v>8.6611230183692198E-2</v>
      </c>
      <c r="L124" s="74">
        <f t="shared" ref="L124" si="54">IF(L$4="","",L123/Market_Price)</f>
        <v>0.1921066275947865</v>
      </c>
      <c r="M124" s="74">
        <f t="shared" ref="M124" si="55">IF(M$4="","",M123/Market_Price)</f>
        <v>0.18493082846676229</v>
      </c>
      <c r="N124" s="74">
        <f t="shared" ref="N124" si="56">IF(N$4="","",N123/Market_Price)</f>
        <v>0.15965383160582075</v>
      </c>
      <c r="O124" s="74">
        <f t="shared" ref="O124" si="57">IF(O$4="","",O123/Market_Price)</f>
        <v>0.17587297405878882</v>
      </c>
      <c r="P124" s="74">
        <f t="shared" ref="P124" si="58">IF(P$4="","",P123/Market_Price)</f>
        <v>0.11000426314369517</v>
      </c>
      <c r="Q124" s="74" t="str">
        <f t="shared" ref="Q124" si="59">IF(Q$4="","",Q123/Market_Price)</f>
        <v/>
      </c>
    </row>
    <row r="125" spans="1:17" ht="15.75" customHeight="1">
      <c r="B125" s="2" t="s">
        <v>306</v>
      </c>
      <c r="C125" s="151"/>
      <c r="G125" s="22">
        <f>IF(G$4="","",(Data!C47*$C$3)/(Market_Price*Common_Shares))</f>
        <v>0.1310212327024631</v>
      </c>
      <c r="H125" s="22">
        <f>IF(H$4="","",(Data!D47*$C$3)/(Market_Price*Common_Shares))</f>
        <v>0.12754828112562283</v>
      </c>
      <c r="I125" s="22">
        <f>IF(I$4="","",(Data!E47*$C$3)/(Market_Price*Common_Shares))</f>
        <v>0.11305008644770222</v>
      </c>
      <c r="J125" s="22">
        <f>IF(J$4="","",(Data!F47*$C$3)/(Market_Price*Common_Shares))</f>
        <v>0.36296478444144009</v>
      </c>
      <c r="K125" s="22">
        <f>IF(K$4="","",(Data!G47*$C$3)/(Market_Price*Common_Shares))</f>
        <v>0.13412208232464196</v>
      </c>
      <c r="L125" s="22">
        <f>IF(L$4="","",(Data!H47*$C$3)/(Market_Price*Common_Shares))</f>
        <v>0.13190325215054954</v>
      </c>
      <c r="M125" s="22">
        <f>IF(M$4="","",(Data!I47*$C$3)/(Market_Price*Common_Shares))</f>
        <v>0.11318790198646572</v>
      </c>
      <c r="N125" s="22">
        <f>IF(N$4="","",(Data!J47*$C$3)/(Market_Price*Common_Shares))</f>
        <v>0.10954957176310921</v>
      </c>
      <c r="O125" s="22">
        <f>IF(O$4="","",(Data!K47*$C$3)/(Market_Price*Common_Shares))</f>
        <v>4.705022493386022E-2</v>
      </c>
      <c r="P125" s="22">
        <f>IF(P$4="","",(Data!L47*$C$3)/(Market_Price*Common_Shares))</f>
        <v>3.1973204993132893E-2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5447.0508658340859</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28366.732548108463</v>
      </c>
      <c r="G5" t="str">
        <f>Reporting_currency</f>
        <v>CNY</v>
      </c>
      <c r="H5" s="308" t="s">
        <v>395</v>
      </c>
      <c r="I5" s="305">
        <f>Normalized_FCF!C7</f>
        <v>-5830</v>
      </c>
      <c r="J5" s="305"/>
    </row>
    <row r="6" spans="2:15" ht="13.25" customHeight="1">
      <c r="B6" s="136" t="s">
        <v>194</v>
      </c>
      <c r="C6" s="283">
        <f>(C4*(1+Terminal_Growth))/(Equity_Cost-Terminal_Growth)</f>
        <v>105828.4168219194</v>
      </c>
      <c r="D6" t="str">
        <f>Reporting_currency</f>
        <v>CNY</v>
      </c>
      <c r="E6" s="187" t="s">
        <v>433</v>
      </c>
      <c r="F6" s="284">
        <f>BS!H42</f>
        <v>174</v>
      </c>
      <c r="G6" t="str">
        <f>Reporting_currency</f>
        <v>CNY</v>
      </c>
      <c r="H6" s="308" t="s">
        <v>416</v>
      </c>
      <c r="I6" s="305">
        <f>I7+I8</f>
        <v>-424.7903952886507</v>
      </c>
      <c r="J6" s="305"/>
      <c r="N6" s="135"/>
    </row>
    <row r="7" spans="2:15" ht="12.75" customHeight="1">
      <c r="B7" s="318" t="s">
        <v>430</v>
      </c>
      <c r="C7" s="275">
        <f>F7</f>
        <v>8115.7325481084627</v>
      </c>
      <c r="E7" s="140" t="s">
        <v>424</v>
      </c>
      <c r="F7" s="283">
        <f>SUM(F4:F6)</f>
        <v>8115.7325481084627</v>
      </c>
      <c r="G7" t="str">
        <f>Reporting_currency</f>
        <v>CNY</v>
      </c>
      <c r="H7" s="312" t="s">
        <v>417</v>
      </c>
      <c r="I7" s="313">
        <f>Normalized_FCF!C9</f>
        <v>291.16000000000003</v>
      </c>
      <c r="J7" s="313"/>
      <c r="N7" s="304"/>
      <c r="O7" s="304"/>
    </row>
    <row r="8" spans="2:15" ht="13.15">
      <c r="B8" s="136" t="s">
        <v>426</v>
      </c>
      <c r="C8" s="283">
        <f>C6+C7</f>
        <v>113944.14937002785</v>
      </c>
      <c r="D8" t="str">
        <f>Reporting_currency</f>
        <v>CNY</v>
      </c>
      <c r="E8" s="140" t="s">
        <v>464</v>
      </c>
      <c r="F8" s="108">
        <f>FV_adjustments*scaling_factor/Common_Shares*Exchange_Rate</f>
        <v>1.0681362371731546</v>
      </c>
      <c r="G8" s="294" t="str">
        <f>Market_currency</f>
        <v>HKD</v>
      </c>
      <c r="H8" s="314" t="str">
        <f>Normalized_FCF!B10</f>
        <v>Net Interest Income</v>
      </c>
      <c r="I8" s="313">
        <f>Normalized_FCF!C10</f>
        <v>-715.95039528865072</v>
      </c>
      <c r="J8" s="313"/>
      <c r="N8" s="304"/>
      <c r="O8" s="304"/>
    </row>
    <row r="9" spans="2:15" ht="13.15" thickBot="1">
      <c r="B9" s="189" t="str">
        <f>"*"&amp;Thesis!E15</f>
        <v>*CNY/HKD</v>
      </c>
      <c r="C9" s="190">
        <f>Exchange_Rate</f>
        <v>1.1396112205505371</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129852.03113817015</v>
      </c>
      <c r="D10" t="str">
        <f>Market_currency</f>
        <v>HKD</v>
      </c>
      <c r="H10" s="308" t="s">
        <v>397</v>
      </c>
      <c r="I10" s="306">
        <f>Normalized_FCF!C41</f>
        <v>0.25</v>
      </c>
      <c r="N10" s="304"/>
      <c r="O10" s="304"/>
    </row>
    <row r="11" spans="2:15" ht="13.15">
      <c r="B11" s="136" t="s">
        <v>425</v>
      </c>
      <c r="C11" s="108">
        <f>(C10*scaling_factor)/Common_Shares</f>
        <v>14.996535954645763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8.3606223093310464E-2</v>
      </c>
      <c r="E17" s="308" t="s">
        <v>549</v>
      </c>
      <c r="F17" s="311">
        <f>Scenarios!C40</f>
        <v>8.360622309331045E-2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11.204803023775149</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8.3606223093310464E-2</v>
      </c>
      <c r="F21" s="277">
        <f>C21*E21</f>
        <v>15676.861204171355</v>
      </c>
      <c r="G21" s="299">
        <f t="shared" ref="G21:G50" si="2">IF(A21="",0%,IF(A21="I",$C$18,$F$18))</f>
        <v>0</v>
      </c>
      <c r="H21" s="277">
        <f>(F21*(1-$I$10)+C21*(G21-$I$9))</f>
        <v>5460.5138666267758</v>
      </c>
      <c r="I21" s="299">
        <f>H21/C4-1</f>
        <v>2.4716128276192073E-3</v>
      </c>
      <c r="J21" s="299">
        <f>H21/C21</f>
        <v>2.9121450690386776E-2</v>
      </c>
      <c r="K21" s="119">
        <f t="shared" ref="K21:K50" si="3">IF($C$15&lt;B21,0,1/(1+Equity_Cost)^B21)</f>
        <v>0.93240093240093236</v>
      </c>
      <c r="L21" s="277">
        <f t="shared" ref="L21:L51" si="4">H21*K21</f>
        <v>5091.3882206310263</v>
      </c>
    </row>
    <row r="22" spans="1:21">
      <c r="A22" s="302" t="str">
        <f t="shared" si="0"/>
        <v>I</v>
      </c>
      <c r="B22" s="117">
        <v>2</v>
      </c>
      <c r="C22" s="277">
        <f t="shared" ref="C22:C50" si="5">IF(A22="",0,C21*(1+D22))</f>
        <v>187971.75322560215</v>
      </c>
      <c r="D22" s="299">
        <f t="shared" si="1"/>
        <v>2.47161282761951E-3</v>
      </c>
      <c r="E22" s="299">
        <f t="shared" ref="E22:E50" si="6">IF($C$15&lt;B22,0,IF(B22&gt;=$F$15,$F$17,$C$17))</f>
        <v>8.3606223093310464E-2</v>
      </c>
      <c r="F22" s="277">
        <f t="shared" ref="F22:F50" si="7">IF(A22="", 0,C22*E22)</f>
        <v>15715.608335420395</v>
      </c>
      <c r="G22" s="299">
        <f t="shared" si="2"/>
        <v>0</v>
      </c>
      <c r="H22" s="277">
        <f t="shared" ref="H22:H50" si="8">IF(A22="", 0,F22*(1-$I$10)+C22*(G22-$I$9))</f>
        <v>5474.0101427449254</v>
      </c>
      <c r="I22" s="299">
        <f t="shared" ref="I22:I50" si="9">IF(A22="", 0,H22/H21-1)</f>
        <v>2.4716128276196514E-3</v>
      </c>
      <c r="J22" s="299">
        <f>IF(A22="", 0,H22/C22)</f>
        <v>2.9121450690386779E-2</v>
      </c>
      <c r="K22" s="119">
        <f t="shared" si="3"/>
        <v>0.86937149874212816</v>
      </c>
      <c r="L22" s="277">
        <f t="shared" si="4"/>
        <v>4758.948401927767</v>
      </c>
    </row>
    <row r="23" spans="1:21">
      <c r="A23" s="302" t="str">
        <f t="shared" si="0"/>
        <v>I</v>
      </c>
      <c r="B23" s="117">
        <v>3</v>
      </c>
      <c r="C23" s="277">
        <f t="shared" si="5"/>
        <v>188436.34662210467</v>
      </c>
      <c r="D23" s="299">
        <f t="shared" si="1"/>
        <v>2.47161282761951E-3</v>
      </c>
      <c r="E23" s="299">
        <f t="shared" si="6"/>
        <v>8.3606223093310464E-2</v>
      </c>
      <c r="F23" s="277">
        <f t="shared" si="7"/>
        <v>15754.451234576063</v>
      </c>
      <c r="G23" s="299">
        <f t="shared" si="2"/>
        <v>0</v>
      </c>
      <c r="H23" s="277">
        <f t="shared" si="8"/>
        <v>5487.5397764322533</v>
      </c>
      <c r="I23" s="299">
        <f t="shared" si="9"/>
        <v>2.4716128276196514E-3</v>
      </c>
      <c r="J23" s="299">
        <f t="shared" ref="J23:J50" si="10">IF(A23="", 0,H23/C23)</f>
        <v>2.9121450690386783E-2</v>
      </c>
      <c r="K23" s="119">
        <f t="shared" si="3"/>
        <v>0.81060279602995633</v>
      </c>
      <c r="L23" s="277">
        <f t="shared" si="4"/>
        <v>4448.2150861015862</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8.3606223093310464E-2</v>
      </c>
      <c r="F24" s="277">
        <f t="shared" si="7"/>
        <v>15793.390138339546</v>
      </c>
      <c r="G24" s="299">
        <f t="shared" si="2"/>
        <v>0</v>
      </c>
      <c r="H24" s="277">
        <f t="shared" si="8"/>
        <v>5501.102850135755</v>
      </c>
      <c r="I24" s="299">
        <f t="shared" si="9"/>
        <v>2.4716128276194294E-3</v>
      </c>
      <c r="J24" s="299">
        <f t="shared" si="10"/>
        <v>2.9121450690386783E-2</v>
      </c>
      <c r="K24" s="119">
        <f t="shared" si="3"/>
        <v>0.75580680282513402</v>
      </c>
      <c r="L24" s="277">
        <f t="shared" si="4"/>
        <v>4157.7709571733376</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8.3606223093310464E-2</v>
      </c>
      <c r="F25" s="277">
        <f t="shared" si="7"/>
        <v>15832.425283997063</v>
      </c>
      <c r="G25" s="299">
        <f t="shared" si="2"/>
        <v>0</v>
      </c>
      <c r="H25" s="277">
        <f t="shared" si="8"/>
        <v>5514.6994465062025</v>
      </c>
      <c r="I25" s="299">
        <f t="shared" si="9"/>
        <v>2.4716128276192073E-3</v>
      </c>
      <c r="J25" s="299">
        <f t="shared" si="10"/>
        <v>2.9121450690386772E-2</v>
      </c>
      <c r="K25" s="119">
        <f t="shared" si="3"/>
        <v>0.70471496766912267</v>
      </c>
      <c r="L25" s="277">
        <f t="shared" si="4"/>
        <v>3886.2912421495471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8.360622309331045E-2</v>
      </c>
      <c r="F51" s="277">
        <f>C51*E51</f>
        <v>16149.073789677002</v>
      </c>
      <c r="G51" s="299">
        <f>F18</f>
        <v>0</v>
      </c>
      <c r="H51" s="277">
        <f>(F51*(1-$I$10)+C51*(G51-$I$9))/Equity_Cost</f>
        <v>77586.116350845885</v>
      </c>
      <c r="I51" s="415">
        <f>(F51*(1-$I$10)+C51*(G51-$I$9))/VLOOKUP(C15,B21:H50,COLUMN(H20)-1,FALSE)-1</f>
        <v>1.9999999999999796E-2</v>
      </c>
      <c r="J51" s="454"/>
      <c r="K51" s="119">
        <f>1/(1+Equity_Cost)^C15</f>
        <v>0.70471496766912267</v>
      </c>
      <c r="L51" s="277">
        <f t="shared" si="4"/>
        <v>54676.097475759147</v>
      </c>
    </row>
    <row r="52" spans="1:21" ht="13.15">
      <c r="G52" s="111"/>
      <c r="H52" s="111"/>
      <c r="I52" s="111"/>
      <c r="J52" s="460" t="s">
        <v>420</v>
      </c>
      <c r="K52" s="460"/>
      <c r="L52" s="317">
        <f>SUM(L21:L51)</f>
        <v>77018.711383742411</v>
      </c>
    </row>
    <row r="53" spans="1:21">
      <c r="C53" s="111"/>
    </row>
    <row r="54" spans="1:21" ht="13.15">
      <c r="B54" s="115" t="s">
        <v>108</v>
      </c>
      <c r="C54" s="128"/>
      <c r="D54" s="128"/>
      <c r="E54" s="113"/>
      <c r="F54" s="113"/>
      <c r="G54" s="113"/>
      <c r="H54" s="113"/>
      <c r="I54" s="113"/>
      <c r="J54" s="113"/>
      <c r="K54" s="113"/>
      <c r="L54" s="113"/>
    </row>
    <row r="55" spans="1:21" ht="13.15">
      <c r="A55" s="125">
        <f>L52</f>
        <v>77018.711383742411</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68879.514686361072</v>
      </c>
      <c r="C56" s="118">
        <v>76532.794095956764</v>
      </c>
      <c r="D56" s="118">
        <v>78063.449977875876</v>
      </c>
      <c r="E56" s="118">
        <v>79594.105859795032</v>
      </c>
      <c r="F56" s="118">
        <v>81124.76174171413</v>
      </c>
      <c r="G56" s="295"/>
      <c r="H56" s="295"/>
      <c r="I56" s="295"/>
      <c r="J56" s="295"/>
      <c r="K56" s="295"/>
      <c r="L56" s="295"/>
    </row>
    <row r="57" spans="1:21" ht="13.15">
      <c r="A57" s="131">
        <v>2</v>
      </c>
      <c r="B57" s="118">
        <v>62371.943120723226</v>
      </c>
      <c r="C57" s="118">
        <v>76438.083880457678</v>
      </c>
      <c r="D57" s="118">
        <v>79422.574228982892</v>
      </c>
      <c r="E57" s="118">
        <v>82464.151976367648</v>
      </c>
      <c r="F57" s="118">
        <v>85562.817122611799</v>
      </c>
      <c r="G57" s="295"/>
      <c r="H57" s="295"/>
      <c r="I57" s="295"/>
      <c r="J57" s="295"/>
      <c r="K57" s="295"/>
      <c r="L57" s="295"/>
    </row>
    <row r="58" spans="1:21" ht="13.15">
      <c r="A58" s="131">
        <v>3</v>
      </c>
      <c r="B58" s="118">
        <v>56911.043904803337</v>
      </c>
      <c r="C58" s="118">
        <v>76349.775987218425</v>
      </c>
      <c r="D58" s="118">
        <v>80715.167922343462</v>
      </c>
      <c r="E58" s="118">
        <v>85247.226998498634</v>
      </c>
      <c r="F58" s="118">
        <v>89949.146916319471</v>
      </c>
      <c r="G58" s="295"/>
      <c r="H58" s="295"/>
      <c r="I58" s="295"/>
      <c r="J58" s="295"/>
      <c r="K58" s="295"/>
      <c r="L58" s="295"/>
    </row>
    <row r="59" spans="1:21" ht="13.15">
      <c r="A59" s="131">
        <v>4</v>
      </c>
      <c r="B59" s="118">
        <v>52328.47113619923</v>
      </c>
      <c r="C59" s="118">
        <v>76267.437625223771</v>
      </c>
      <c r="D59" s="118">
        <v>81944.487798546441</v>
      </c>
      <c r="E59" s="118">
        <v>87945.966413898379</v>
      </c>
      <c r="F59" s="118">
        <v>94284.353985158741</v>
      </c>
      <c r="G59" s="295"/>
      <c r="H59" s="295"/>
      <c r="I59" s="295"/>
      <c r="J59" s="295"/>
      <c r="K59" s="295"/>
      <c r="L59" s="295"/>
    </row>
    <row r="60" spans="1:21" ht="13.15">
      <c r="A60" s="131">
        <v>5</v>
      </c>
      <c r="B60" s="118">
        <v>48482.95552618181</v>
      </c>
      <c r="C60" s="118">
        <v>76190.665259727612</v>
      </c>
      <c r="D60" s="118">
        <v>83113.631177312956</v>
      </c>
      <c r="E60" s="118">
        <v>90562.925847013306</v>
      </c>
      <c r="F60" s="118">
        <v>98569.034165083824</v>
      </c>
      <c r="G60" s="295"/>
      <c r="H60" s="295"/>
      <c r="I60" s="295"/>
      <c r="J60" s="295"/>
      <c r="K60" s="295"/>
      <c r="L60" s="295"/>
    </row>
    <row r="61" spans="1:21" ht="13.15">
      <c r="A61" s="131">
        <v>6</v>
      </c>
      <c r="B61" s="118">
        <v>45255.949419873476</v>
      </c>
      <c r="C61" s="118">
        <v>76119.082634556369</v>
      </c>
      <c r="D61" s="118">
        <v>84225.543761314679</v>
      </c>
      <c r="E61" s="118">
        <v>93100.583479124762</v>
      </c>
      <c r="F61" s="118">
        <v>102803.7763475739</v>
      </c>
      <c r="G61" s="295"/>
      <c r="H61" s="295"/>
      <c r="I61" s="295"/>
      <c r="J61" s="295"/>
      <c r="K61" s="295"/>
      <c r="L61" s="295"/>
    </row>
    <row r="62" spans="1:21" ht="13.15">
      <c r="A62" s="131">
        <v>7</v>
      </c>
      <c r="B62" s="118">
        <v>42547.972267726633</v>
      </c>
      <c r="C62" s="118">
        <v>76052.338928102996</v>
      </c>
      <c r="D62" s="118">
        <v>85283.027057987652</v>
      </c>
      <c r="E62" s="118">
        <v>95561.342395111613</v>
      </c>
      <c r="F62" s="118">
        <v>106989.16256057104</v>
      </c>
      <c r="G62" s="295"/>
      <c r="H62" s="295"/>
      <c r="I62" s="295"/>
      <c r="J62" s="295"/>
      <c r="K62" s="295"/>
      <c r="L62" s="295"/>
    </row>
    <row r="63" spans="1:21" ht="13.15">
      <c r="A63" s="131">
        <v>8</v>
      </c>
      <c r="B63" s="118">
        <v>40275.543888302709</v>
      </c>
      <c r="C63" s="118">
        <v>75990.107033973967</v>
      </c>
      <c r="D63" s="118">
        <v>86288.745438040249</v>
      </c>
      <c r="E63" s="118">
        <v>97947.532859098836</v>
      </c>
      <c r="F63" s="118">
        <v>111125.76804847503</v>
      </c>
      <c r="G63" s="295"/>
      <c r="H63" s="295"/>
      <c r="I63" s="295"/>
      <c r="J63" s="295"/>
      <c r="K63" s="295"/>
      <c r="L63" s="295"/>
    </row>
    <row r="64" spans="1:21" ht="13.15">
      <c r="A64" s="131">
        <v>9</v>
      </c>
      <c r="B64" s="118">
        <v>38368.610982492406</v>
      </c>
      <c r="C64" s="118">
        <v>75932.081957862974</v>
      </c>
      <c r="D64" s="118">
        <v>87245.232848439919</v>
      </c>
      <c r="E64" s="118">
        <v>100261.41452114709</v>
      </c>
      <c r="F64" s="118">
        <v>115214.16135120527</v>
      </c>
      <c r="G64" s="295"/>
      <c r="H64" s="295"/>
      <c r="I64" s="295"/>
      <c r="J64" s="295"/>
      <c r="K64" s="295"/>
      <c r="L64" s="295"/>
    </row>
    <row r="65" spans="1:21" ht="13.15">
      <c r="A65" s="131">
        <v>10</v>
      </c>
      <c r="B65" s="118">
        <v>36768.387565029232</v>
      </c>
      <c r="C65" s="118">
        <v>75877.979322794476</v>
      </c>
      <c r="D65" s="118">
        <v>88154.899196792074</v>
      </c>
      <c r="E65" s="118">
        <v>102505.17855707268</v>
      </c>
      <c r="F65" s="118">
        <v>119254.90438234192</v>
      </c>
      <c r="G65" s="295"/>
      <c r="H65" s="295"/>
      <c r="I65" s="295"/>
      <c r="J65" s="295"/>
      <c r="K65" s="295"/>
      <c r="L65" s="295"/>
    </row>
    <row r="66" spans="1:21" ht="13.15">
      <c r="A66" s="131">
        <v>15</v>
      </c>
      <c r="B66" s="118">
        <v>31893.637888271231</v>
      </c>
      <c r="C66" s="277">
        <v>75657.624862858036</v>
      </c>
      <c r="D66" s="118">
        <v>92077.319623260439</v>
      </c>
      <c r="E66" s="118">
        <v>112744.38853476479</v>
      </c>
      <c r="F66" s="118">
        <v>138763.07825142276</v>
      </c>
      <c r="G66" s="295"/>
      <c r="H66" s="295"/>
      <c r="I66" s="295"/>
      <c r="J66" s="295"/>
      <c r="K66" s="295"/>
      <c r="L66" s="295"/>
      <c r="M66" s="275"/>
      <c r="N66" s="275"/>
      <c r="O66" s="275"/>
      <c r="P66" s="275"/>
      <c r="Q66" s="275"/>
      <c r="R66" s="275"/>
      <c r="S66" s="275"/>
      <c r="T66" s="275"/>
      <c r="U66" s="275"/>
    </row>
    <row r="67" spans="1:21" ht="13.15">
      <c r="A67" s="132">
        <v>20</v>
      </c>
      <c r="B67" s="118">
        <v>29865.122240928984</v>
      </c>
      <c r="C67" s="277">
        <v>75502.337776748172</v>
      </c>
      <c r="D67" s="118">
        <v>95129.206954489055</v>
      </c>
      <c r="E67" s="118">
        <v>121523.42072514525</v>
      </c>
      <c r="F67" s="118">
        <v>157160.60485819716</v>
      </c>
      <c r="G67" s="295"/>
      <c r="H67" s="295"/>
      <c r="I67" s="295"/>
      <c r="J67" s="295"/>
      <c r="K67" s="295"/>
      <c r="L67" s="295"/>
      <c r="M67" s="275"/>
      <c r="N67" s="275"/>
      <c r="O67" s="275"/>
      <c r="P67" s="275"/>
      <c r="Q67" s="275"/>
      <c r="R67" s="275"/>
      <c r="S67" s="275"/>
      <c r="T67" s="275"/>
      <c r="U67" s="275"/>
    </row>
    <row r="68" spans="1:21" ht="13.15">
      <c r="A68" s="132">
        <v>25</v>
      </c>
      <c r="B68" s="118">
        <v>29021.001823601426</v>
      </c>
      <c r="C68" s="277">
        <v>75392.904642880836</v>
      </c>
      <c r="D68" s="118">
        <v>97503.765331674484</v>
      </c>
      <c r="E68" s="118">
        <v>129050.50595610062</v>
      </c>
      <c r="F68" s="118">
        <v>174510.71602280103</v>
      </c>
      <c r="G68" s="295"/>
      <c r="H68" s="295"/>
      <c r="I68" s="295"/>
      <c r="J68" s="295"/>
      <c r="K68" s="295"/>
      <c r="L68" s="295"/>
      <c r="M68" s="275"/>
      <c r="N68" s="275"/>
      <c r="O68" s="275"/>
      <c r="P68" s="275"/>
      <c r="Q68" s="275"/>
      <c r="R68" s="275"/>
      <c r="S68" s="275"/>
      <c r="T68" s="275"/>
      <c r="U68" s="275"/>
    </row>
    <row r="69" spans="1:21" ht="13.15">
      <c r="A69" s="132">
        <v>30</v>
      </c>
      <c r="B69" s="118">
        <v>28669.740407460602</v>
      </c>
      <c r="C69" s="277">
        <v>75315.78547548558</v>
      </c>
      <c r="D69" s="118">
        <v>99351.319607012585</v>
      </c>
      <c r="E69" s="118">
        <v>135504.17998820488</v>
      </c>
      <c r="F69" s="118">
        <v>190873.04362575535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14.996535954645763</v>
      </c>
      <c r="C73" s="119">
        <f>C11</f>
        <v>14.996535954645763</v>
      </c>
      <c r="D73" s="119">
        <f>C11</f>
        <v>14.996535954645763</v>
      </c>
      <c r="E73" s="119">
        <f>C11</f>
        <v>14.996535954645763</v>
      </c>
      <c r="F73" s="119">
        <f>C11</f>
        <v>14.996535954645763</v>
      </c>
      <c r="G73" s="296"/>
      <c r="H73" s="296"/>
      <c r="I73" s="296"/>
      <c r="J73" s="296"/>
      <c r="K73" s="296"/>
      <c r="L73" s="296"/>
    </row>
    <row r="74" spans="1:21" ht="13.15">
      <c r="A74" s="131">
        <v>1</v>
      </c>
      <c r="B74" s="119">
        <f t="shared" ref="B74:F87" si="11">(B56+FV_adjustments)/Common_Shares*scaling_factor*Exchange_Rate</f>
        <v>10.133578598571622</v>
      </c>
      <c r="C74" s="119">
        <f t="shared" si="11"/>
        <v>11.140849972060341</v>
      </c>
      <c r="D74" s="119">
        <f t="shared" si="11"/>
        <v>11.342304246758081</v>
      </c>
      <c r="E74" s="119">
        <f t="shared" si="11"/>
        <v>11.543758521455828</v>
      </c>
      <c r="F74" s="119">
        <f t="shared" si="11"/>
        <v>11.745212796153567</v>
      </c>
      <c r="G74" s="296"/>
      <c r="H74" s="296"/>
      <c r="I74" s="296"/>
      <c r="J74" s="296"/>
      <c r="K74" s="296"/>
      <c r="L74" s="296"/>
    </row>
    <row r="75" spans="1:21" ht="13.15">
      <c r="A75" s="131">
        <v>2</v>
      </c>
      <c r="B75" s="119">
        <f t="shared" si="11"/>
        <v>9.2770973180400809</v>
      </c>
      <c r="C75" s="119">
        <f t="shared" si="11"/>
        <v>11.128384872624723</v>
      </c>
      <c r="D75" s="119">
        <f t="shared" si="11"/>
        <v>11.521182721969364</v>
      </c>
      <c r="E75" s="119">
        <f t="shared" si="11"/>
        <v>11.921494017456592</v>
      </c>
      <c r="F75" s="119">
        <f t="shared" si="11"/>
        <v>12.329318759086386</v>
      </c>
      <c r="G75" s="296"/>
      <c r="H75" s="296"/>
      <c r="I75" s="296"/>
      <c r="J75" s="296"/>
      <c r="K75" s="296"/>
      <c r="L75" s="296"/>
    </row>
    <row r="76" spans="1:21" ht="13.15">
      <c r="A76" s="131">
        <v>3</v>
      </c>
      <c r="B76" s="119">
        <f t="shared" si="11"/>
        <v>8.558371767943683</v>
      </c>
      <c r="C76" s="119">
        <f t="shared" si="11"/>
        <v>11.116762402288483</v>
      </c>
      <c r="D76" s="119">
        <f t="shared" si="11"/>
        <v>11.691304908184298</v>
      </c>
      <c r="E76" s="119">
        <f t="shared" si="11"/>
        <v>12.287782983275513</v>
      </c>
      <c r="F76" s="119">
        <f t="shared" si="11"/>
        <v>12.906616960213453</v>
      </c>
      <c r="G76" s="296"/>
      <c r="H76" s="296"/>
      <c r="I76" s="296"/>
      <c r="J76" s="296"/>
      <c r="K76" s="296"/>
      <c r="L76" s="296"/>
    </row>
    <row r="77" spans="1:21" ht="13.15">
      <c r="A77" s="131">
        <v>4</v>
      </c>
      <c r="B77" s="119">
        <f t="shared" si="11"/>
        <v>7.9552454321984527</v>
      </c>
      <c r="C77" s="119">
        <f t="shared" si="11"/>
        <v>11.105925600110167</v>
      </c>
      <c r="D77" s="119">
        <f t="shared" si="11"/>
        <v>11.853099434934157</v>
      </c>
      <c r="E77" s="119">
        <f t="shared" si="11"/>
        <v>12.642972283463552</v>
      </c>
      <c r="F77" s="119">
        <f t="shared" si="11"/>
        <v>13.477186744077967</v>
      </c>
      <c r="G77" s="296"/>
      <c r="H77" s="296"/>
      <c r="I77" s="296"/>
      <c r="J77" s="296"/>
      <c r="K77" s="296"/>
      <c r="L77" s="296"/>
    </row>
    <row r="78" spans="1:21" ht="13.15">
      <c r="A78" s="131">
        <v>5</v>
      </c>
      <c r="B78" s="119">
        <f t="shared" si="11"/>
        <v>7.4491254301744849</v>
      </c>
      <c r="C78" s="119">
        <f t="shared" si="11"/>
        <v>11.095821355654861</v>
      </c>
      <c r="D78" s="119">
        <f t="shared" si="11"/>
        <v>12.006973949885076</v>
      </c>
      <c r="E78" s="119">
        <f t="shared" si="11"/>
        <v>12.98739827152469</v>
      </c>
      <c r="F78" s="119">
        <f t="shared" si="11"/>
        <v>14.041106530461544</v>
      </c>
      <c r="G78" s="296"/>
      <c r="H78" s="296"/>
      <c r="I78" s="296"/>
      <c r="J78" s="296"/>
      <c r="K78" s="296"/>
      <c r="L78" s="296"/>
    </row>
    <row r="79" spans="1:21" ht="13.15">
      <c r="A79" s="131">
        <v>6</v>
      </c>
      <c r="B79" s="119">
        <f t="shared" si="11"/>
        <v>7.0244093445599649</v>
      </c>
      <c r="C79" s="119">
        <f t="shared" si="11"/>
        <v>11.086400148703531</v>
      </c>
      <c r="D79" s="119">
        <f t="shared" si="11"/>
        <v>12.153316145922314</v>
      </c>
      <c r="E79" s="119">
        <f t="shared" si="11"/>
        <v>13.321387108432459</v>
      </c>
      <c r="F79" s="119">
        <f t="shared" si="11"/>
        <v>14.598453825162332</v>
      </c>
      <c r="G79" s="296"/>
      <c r="H79" s="296"/>
      <c r="I79" s="296"/>
      <c r="J79" s="296"/>
      <c r="K79" s="296"/>
      <c r="L79" s="296"/>
    </row>
    <row r="80" spans="1:21" ht="13.15">
      <c r="A80" s="131">
        <f t="shared" ref="A80" si="12">A62</f>
        <v>7</v>
      </c>
      <c r="B80" s="119">
        <f t="shared" si="11"/>
        <v>6.668004237750579</v>
      </c>
      <c r="C80" s="119">
        <f t="shared" si="11"/>
        <v>11.077615806557766</v>
      </c>
      <c r="D80" s="119">
        <f t="shared" si="11"/>
        <v>12.292494737957728</v>
      </c>
      <c r="E80" s="119">
        <f t="shared" si="11"/>
        <v>13.645255071494534</v>
      </c>
      <c r="F80" s="119">
        <f t="shared" si="11"/>
        <v>15.149305230647489</v>
      </c>
      <c r="G80" s="296"/>
      <c r="H80" s="296"/>
      <c r="I80" s="296"/>
      <c r="J80" s="296"/>
      <c r="K80" s="296"/>
      <c r="L80" s="296"/>
    </row>
    <row r="81" spans="1:12" ht="13.15">
      <c r="A81" s="131">
        <v>8</v>
      </c>
      <c r="B81" s="119">
        <f t="shared" si="11"/>
        <v>6.3689230292392072</v>
      </c>
      <c r="C81" s="119">
        <f t="shared" si="11"/>
        <v>11.069425277750527</v>
      </c>
      <c r="D81" s="119">
        <f t="shared" si="11"/>
        <v>12.424860391921477</v>
      </c>
      <c r="E81" s="119">
        <f t="shared" si="11"/>
        <v>13.959308853857758</v>
      </c>
      <c r="F81" s="119">
        <f t="shared" si="11"/>
        <v>15.693736456581542</v>
      </c>
      <c r="G81" s="296"/>
      <c r="H81" s="296"/>
      <c r="I81" s="296"/>
      <c r="J81" s="296"/>
      <c r="K81" s="296"/>
      <c r="L81" s="296"/>
    </row>
    <row r="82" spans="1:12" ht="13.15">
      <c r="A82" s="131">
        <f t="shared" ref="A82" si="13">A64</f>
        <v>9</v>
      </c>
      <c r="B82" s="119">
        <f t="shared" si="11"/>
        <v>6.1179457913275632</v>
      </c>
      <c r="C82" s="119">
        <f t="shared" si="11"/>
        <v>11.0617884210538</v>
      </c>
      <c r="D82" s="119">
        <f t="shared" si="11"/>
        <v>12.55074660827861</v>
      </c>
      <c r="E82" s="119">
        <f t="shared" si="11"/>
        <v>14.263845854937252</v>
      </c>
      <c r="F82" s="119">
        <f t="shared" si="11"/>
        <v>16.231822330231974</v>
      </c>
      <c r="G82" s="296"/>
      <c r="H82" s="296"/>
      <c r="I82" s="296"/>
      <c r="J82" s="296"/>
      <c r="K82" s="296"/>
      <c r="L82" s="296"/>
    </row>
    <row r="83" spans="1:12" ht="13.15">
      <c r="A83" s="131">
        <f t="shared" ref="A83:A87" si="14">A65</f>
        <v>10</v>
      </c>
      <c r="B83" s="119">
        <f t="shared" si="11"/>
        <v>5.907335521751361</v>
      </c>
      <c r="C83" s="119">
        <f t="shared" si="11"/>
        <v>11.05466780874916</v>
      </c>
      <c r="D83" s="119">
        <f t="shared" si="11"/>
        <v>12.670470562296586</v>
      </c>
      <c r="E83" s="119">
        <f t="shared" si="11"/>
        <v>14.55915446204464</v>
      </c>
      <c r="F83" s="119">
        <f t="shared" si="11"/>
        <v>16.763636806753617</v>
      </c>
      <c r="G83" s="296"/>
      <c r="H83" s="296"/>
      <c r="I83" s="296"/>
      <c r="J83" s="296"/>
      <c r="K83" s="296"/>
      <c r="L83" s="296"/>
    </row>
    <row r="84" spans="1:12" ht="13.15">
      <c r="A84" s="131">
        <f t="shared" si="14"/>
        <v>15</v>
      </c>
      <c r="B84" s="119">
        <f t="shared" si="11"/>
        <v>5.2657548947373618</v>
      </c>
      <c r="C84" s="119">
        <f t="shared" si="11"/>
        <v>11.025666288272035</v>
      </c>
      <c r="D84" s="119">
        <f t="shared" si="11"/>
        <v>13.186712241048744</v>
      </c>
      <c r="E84" s="119">
        <f t="shared" si="11"/>
        <v>15.90676802032373</v>
      </c>
      <c r="F84" s="119">
        <f t="shared" si="11"/>
        <v>19.331166885784651</v>
      </c>
      <c r="G84" s="296"/>
      <c r="H84" s="296"/>
      <c r="I84" s="296"/>
      <c r="J84" s="296"/>
      <c r="K84" s="296"/>
      <c r="L84" s="296"/>
    </row>
    <row r="85" spans="1:12" ht="13.15">
      <c r="A85" s="132">
        <f t="shared" si="14"/>
        <v>20</v>
      </c>
      <c r="B85" s="119">
        <f t="shared" si="11"/>
        <v>4.9987757825309096</v>
      </c>
      <c r="C85" s="119">
        <f t="shared" si="11"/>
        <v>11.005228482706642</v>
      </c>
      <c r="D85" s="119">
        <f t="shared" si="11"/>
        <v>13.588380412212752</v>
      </c>
      <c r="E85" s="119">
        <f t="shared" si="11"/>
        <v>17.062203140230498</v>
      </c>
      <c r="F85" s="119">
        <f t="shared" si="11"/>
        <v>21.752521301614074</v>
      </c>
      <c r="G85" s="296"/>
      <c r="H85" s="296"/>
      <c r="I85" s="296"/>
      <c r="J85" s="296"/>
      <c r="K85" s="296"/>
      <c r="L85" s="296"/>
    </row>
    <row r="86" spans="1:12" ht="13.15">
      <c r="A86" s="132">
        <f t="shared" si="14"/>
        <v>25</v>
      </c>
      <c r="B86" s="119">
        <f t="shared" si="11"/>
        <v>4.8876785277925876</v>
      </c>
      <c r="C86" s="119">
        <f t="shared" si="11"/>
        <v>10.9908256552184</v>
      </c>
      <c r="D86" s="119">
        <f t="shared" si="11"/>
        <v>13.900903260263727</v>
      </c>
      <c r="E86" s="119">
        <f t="shared" si="11"/>
        <v>18.052865714165147</v>
      </c>
      <c r="F86" s="119">
        <f t="shared" si="11"/>
        <v>24.036022186351246</v>
      </c>
      <c r="G86" s="296"/>
      <c r="H86" s="296"/>
      <c r="I86" s="296"/>
      <c r="J86" s="296"/>
      <c r="K86" s="296"/>
      <c r="L86" s="296"/>
    </row>
    <row r="87" spans="1:12" ht="13.15">
      <c r="A87" s="132">
        <f t="shared" si="14"/>
        <v>30</v>
      </c>
      <c r="B87" s="119">
        <f t="shared" si="11"/>
        <v>4.8414479447766139</v>
      </c>
      <c r="C87" s="119">
        <f t="shared" si="11"/>
        <v>10.980675767110677</v>
      </c>
      <c r="D87" s="119">
        <f t="shared" si="11"/>
        <v>14.144065496073575</v>
      </c>
      <c r="E87" s="119">
        <f t="shared" si="11"/>
        <v>18.902253376428682</v>
      </c>
      <c r="F87" s="119">
        <f t="shared" si="11"/>
        <v>26.189517873106904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14.041106530461544</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12.98739827152469</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12.006973949885076</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11.095821355654861</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7.4491254301744849</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10035.17306633031</v>
      </c>
      <c r="D8" s="469"/>
      <c r="E8" s="469"/>
      <c r="F8" s="469"/>
      <c r="G8" s="469"/>
    </row>
    <row r="9" spans="2:7">
      <c r="B9" s="97" t="s">
        <v>54</v>
      </c>
      <c r="C9" s="447">
        <f>Normalized_FCF!C19</f>
        <v>5447.0508658340859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-2.5520400416359057E-2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12.98739827152469</v>
      </c>
      <c r="F22" s="328">
        <f>1-F23-F24</f>
        <v>0.10000000000000003</v>
      </c>
      <c r="G22" s="328">
        <f>F22*(1-F$29-F$30)</f>
        <v>8.0000000000000029E-2</v>
      </c>
    </row>
    <row r="23" spans="2:7">
      <c r="B23" s="302" t="s">
        <v>437</v>
      </c>
      <c r="C23" s="324">
        <v>0.02</v>
      </c>
      <c r="D23" s="325">
        <f>C18</f>
        <v>5</v>
      </c>
      <c r="E23" s="326">
        <f>DCF!E92</f>
        <v>12.006973949885076</v>
      </c>
      <c r="F23" s="327">
        <v>0.6</v>
      </c>
      <c r="G23" s="328">
        <f t="shared" ref="G23:G24" si="0">F23*(1-F$29-F$30)</f>
        <v>0.48</v>
      </c>
    </row>
    <row r="24" spans="2:7">
      <c r="B24" s="302" t="s">
        <v>446</v>
      </c>
      <c r="C24" s="324">
        <v>0</v>
      </c>
      <c r="D24" s="325">
        <f>C18</f>
        <v>5</v>
      </c>
      <c r="E24" s="326">
        <f>DCF!E93</f>
        <v>11.095821355654861</v>
      </c>
      <c r="F24" s="327">
        <v>0.3</v>
      </c>
      <c r="G24" s="328">
        <f t="shared" si="0"/>
        <v>0.24</v>
      </c>
    </row>
    <row r="25" spans="2:7">
      <c r="B25" s="141" t="s">
        <v>451</v>
      </c>
      <c r="C25" s="441">
        <f>E23*F23+E24*F24+E22*F22</f>
        <v>11.831670603779973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14.041106530461544</v>
      </c>
      <c r="F29" s="327">
        <v>0.1</v>
      </c>
      <c r="G29" s="328">
        <f>F29</f>
        <v>0.1</v>
      </c>
    </row>
    <row r="30" spans="2:7">
      <c r="B30" s="315" t="s">
        <v>447</v>
      </c>
      <c r="C30" s="324">
        <v>-0.1</v>
      </c>
      <c r="D30" s="325">
        <f>C18</f>
        <v>5</v>
      </c>
      <c r="E30" s="326">
        <f>DCF!E94</f>
        <v>7.4491254301744849</v>
      </c>
      <c r="F30" s="327">
        <v>0.1</v>
      </c>
      <c r="G30" s="328">
        <f>F30</f>
        <v>0.1</v>
      </c>
    </row>
    <row r="31" spans="2:7">
      <c r="E31" s="329"/>
      <c r="F31" s="329"/>
    </row>
    <row r="32" spans="2:7" ht="13.15">
      <c r="B32" s="145" t="s">
        <v>456</v>
      </c>
    </row>
    <row r="33" spans="2:7">
      <c r="B33" s="97" t="s">
        <v>458</v>
      </c>
      <c r="C33" s="155">
        <f>Normalized_FCF!C88*(1-dividend_tax_rate)</f>
        <v>0.32390030110487361</v>
      </c>
      <c r="D33" t="str">
        <f>Market_currency</f>
        <v>HKD</v>
      </c>
      <c r="E33" s="97" t="s">
        <v>455</v>
      </c>
      <c r="F33" s="219">
        <f>Holding_Period</f>
        <v>3</v>
      </c>
    </row>
    <row r="34" spans="2:7">
      <c r="B34" s="97" t="s">
        <v>233</v>
      </c>
      <c r="C34" s="146">
        <f>Market_Price</f>
        <v>8.3800000000000008</v>
      </c>
      <c r="D34" t="str">
        <f>Market_currency</f>
        <v>HKD</v>
      </c>
      <c r="E34" s="97" t="s">
        <v>454</v>
      </c>
      <c r="F34" s="330">
        <f>RATE(Holding_Period,$C$33,-C34,$C$36)</f>
        <v>0.14981882582866127</v>
      </c>
    </row>
    <row r="35" spans="2:7">
      <c r="B35" s="97" t="s">
        <v>434</v>
      </c>
      <c r="C35" s="320">
        <f>DCF!C11</f>
        <v>14.996535954645763</v>
      </c>
      <c r="D35" s="97" t="str">
        <f>Market_currency</f>
        <v>HKD</v>
      </c>
      <c r="E35" s="97" t="s">
        <v>454</v>
      </c>
      <c r="F35" s="330">
        <f>RATE(Holding_Period,$C$33,-C35,$C$36)</f>
        <v>-5.8122264020671298E-2</v>
      </c>
    </row>
    <row r="36" spans="2:7">
      <c r="B36" s="97" t="s">
        <v>435</v>
      </c>
      <c r="C36" s="321">
        <f>E22*G22+E23*G23+E24*G24+E30*G30+E29*G29</f>
        <v>11.614359679087583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8.360622309331045E-2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11.204803023775149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9.1966864010282381E-2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0.32390030110487361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0.59268947647929526</v>
      </c>
      <c r="D62" s="119">
        <f>C36/(1+F62)^Holding_Period</f>
        <v>5.3522394834505</v>
      </c>
      <c r="E62" s="332">
        <f>C62+D62</f>
        <v>5.9449289599297952</v>
      </c>
      <c r="F62" s="301">
        <f>Thesis!E22</f>
        <v>0.29465259038036606</v>
      </c>
      <c r="G62" s="440">
        <f>(1-E62/C36)</f>
        <v>0.48813975766274653</v>
      </c>
    </row>
    <row r="63" spans="2:7" ht="13.15">
      <c r="B63" s="302" t="s">
        <v>313</v>
      </c>
      <c r="C63" s="119">
        <f>PV(F63, Holding_Period, -C58, 0)</f>
        <v>0.68148751204629709</v>
      </c>
      <c r="D63" s="119">
        <f>C36/(1+F63)^Holding_Period</f>
        <v>6.7086554103033</v>
      </c>
      <c r="E63" s="332">
        <f>C63+D63</f>
        <v>7.3901429223495967</v>
      </c>
      <c r="F63" s="301">
        <f>Thesis!E23</f>
        <v>0.20075184365903009</v>
      </c>
      <c r="G63" s="440">
        <f>(1-E63/C36)</f>
        <v>0.36370638360235785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0.78144287893808773</v>
      </c>
      <c r="D66" s="119">
        <f>C36/(1+F66)^Holding_Period</f>
        <v>8.324713008198092</v>
      </c>
      <c r="E66" s="332">
        <f>C66+D66</f>
        <v>9.106155887136179</v>
      </c>
      <c r="F66" s="301">
        <f>Thesis!E24</f>
        <v>0.1174</v>
      </c>
      <c r="G66" s="440">
        <f>(1-E66/C36)</f>
        <v>0.2159571307635314</v>
      </c>
    </row>
    <row r="67" spans="2:7" ht="13.15">
      <c r="B67" s="302" t="s">
        <v>314</v>
      </c>
      <c r="C67" s="119">
        <f>PV(F67, Holding_Period, -C58, 0)</f>
        <v>0.84614912268025244</v>
      </c>
      <c r="D67" s="119">
        <f>C36/(1+F67)^Holding_Period</f>
        <v>9.414632429965982</v>
      </c>
      <c r="E67" s="332">
        <f>C67+D67</f>
        <v>10.260781552646234</v>
      </c>
      <c r="F67" s="301">
        <f>Thesis!E25</f>
        <v>7.2499999999999995E-2</v>
      </c>
      <c r="G67" s="440">
        <f>(1-E67/C36)</f>
        <v>0.11654349992953594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8.3800000000000008</v>
      </c>
    </row>
    <row r="9" spans="1:10">
      <c r="B9" s="351" t="s">
        <v>361</v>
      </c>
      <c r="C9" s="353">
        <f>Common_Shares</f>
        <v>8658801708</v>
      </c>
    </row>
    <row r="10" spans="1:10">
      <c r="B10" s="351" t="s">
        <v>367</v>
      </c>
      <c r="C10" s="357">
        <f>投资主题!C8*Common_Shares/1000000</f>
        <v>72560.758313040002</v>
      </c>
      <c r="D10" s="343" t="s">
        <v>528</v>
      </c>
      <c r="E10" s="360">
        <f>Scenarios!F34</f>
        <v>0.14981882582866127</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1.1396112205505371</v>
      </c>
    </row>
    <row r="17" spans="1:6">
      <c r="B17" s="343" t="s">
        <v>534</v>
      </c>
      <c r="C17" s="424">
        <f>Terminal_Growth</f>
        <v>0.02</v>
      </c>
      <c r="D17" s="351" t="s">
        <v>339</v>
      </c>
      <c r="E17" s="344" t="str">
        <f>Reporting_currency</f>
        <v>CNY</v>
      </c>
    </row>
    <row r="18" spans="1:6">
      <c r="B18" s="343" t="str">
        <f>"预期股权价值 ("&amp;C7&amp;") :"</f>
        <v>预期股权价值 (HKD) :</v>
      </c>
      <c r="C18" s="359">
        <f>C125</f>
        <v>11.614359679087583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5.9449289599297952</v>
      </c>
      <c r="D22" s="365" t="s">
        <v>440</v>
      </c>
      <c r="E22" s="366">
        <f>Thesis!E22</f>
        <v>0.29465259038036606</v>
      </c>
    </row>
    <row r="23" spans="1:6">
      <c r="B23" s="343" t="s">
        <v>341</v>
      </c>
      <c r="C23" s="367">
        <f>E141</f>
        <v>7.3901429223495967</v>
      </c>
      <c r="D23" s="365" t="s">
        <v>441</v>
      </c>
      <c r="E23" s="368">
        <f>Thesis!E23</f>
        <v>0.20075184365903009</v>
      </c>
    </row>
    <row r="24" spans="1:6">
      <c r="B24" s="343" t="s">
        <v>343</v>
      </c>
      <c r="C24" s="367">
        <f>E144</f>
        <v>9.106155887136179</v>
      </c>
      <c r="D24" s="365" t="s">
        <v>443</v>
      </c>
      <c r="E24" s="368">
        <f>Thesis!E24</f>
        <v>0.1174</v>
      </c>
    </row>
    <row r="25" spans="1:6">
      <c r="B25" s="343" t="s">
        <v>342</v>
      </c>
      <c r="C25" s="367">
        <f>E145</f>
        <v>10.260781552646234</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87.049604711349232</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-715.95039528865072</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-3909.5524011778371</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10035.17306633031</v>
      </c>
      <c r="D60" s="343" t="str">
        <f>Reporting_currency</f>
        <v>CNY</v>
      </c>
    </row>
    <row r="61" spans="2:6">
      <c r="B61" s="372" t="s">
        <v>213</v>
      </c>
      <c r="C61" s="373">
        <f>Normalized_FCF!C19</f>
        <v>5447.0508658340859</v>
      </c>
      <c r="D61" s="343" t="str">
        <f>Reporting_currency</f>
        <v>CNY</v>
      </c>
    </row>
    <row r="62" spans="2:6">
      <c r="B62" s="377" t="s">
        <v>302</v>
      </c>
      <c r="C62" s="378">
        <f>Normalized_FCF!C124</f>
        <v>8.5549275254727858E-2</v>
      </c>
      <c r="F62" s="379"/>
    </row>
    <row r="63" spans="2:6">
      <c r="B63" s="377" t="s">
        <v>332</v>
      </c>
      <c r="C63" s="378">
        <f>Normalized_FCF!C92</f>
        <v>3.8651587244018328E-2</v>
      </c>
      <c r="E63" s="372" t="s">
        <v>373</v>
      </c>
      <c r="F63" s="380">
        <f>Normalized_FCF!C90</f>
        <v>0.57209111856187245</v>
      </c>
    </row>
    <row r="65" spans="1:6">
      <c r="B65" s="369" t="s">
        <v>376</v>
      </c>
      <c r="C65" s="381" t="s">
        <v>327</v>
      </c>
      <c r="D65" s="381" t="s">
        <v>374</v>
      </c>
    </row>
    <row r="66" spans="1:6">
      <c r="B66" s="372" t="s">
        <v>326</v>
      </c>
      <c r="C66" s="378">
        <f>Normalized_FCF!E119</f>
        <v>0.17172013884911658</v>
      </c>
      <c r="D66" s="378">
        <f>Normalized_FCF!G119</f>
        <v>0.18349116117989095</v>
      </c>
    </row>
    <row r="67" spans="1:6">
      <c r="B67" s="382" t="str">
        <f>Normalized_FCF!B116</f>
        <v>Pre-tax Profit/Sales</v>
      </c>
      <c r="C67" s="383">
        <f>Normalized_FCF!E116</f>
        <v>8.360622309331045E-2</v>
      </c>
      <c r="D67" s="383">
        <f>Normalized_FCF!G116</f>
        <v>8.9337238253319018E-2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-20425</v>
      </c>
      <c r="D78" s="343" t="str">
        <f>Reporting_currency</f>
        <v>CNY</v>
      </c>
    </row>
    <row r="79" spans="1:6">
      <c r="B79" s="372" t="s">
        <v>234</v>
      </c>
      <c r="C79" s="387">
        <f>C78*scaling_factor*Exchange_Rate/Common_Shares</f>
        <v>-2.68819635380253</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28366.732548108463</v>
      </c>
      <c r="D84" s="343" t="str">
        <f>Reporting_currency</f>
        <v>CNY</v>
      </c>
    </row>
    <row r="85" spans="1:6">
      <c r="B85" s="382" t="s">
        <v>481</v>
      </c>
      <c r="C85" s="390">
        <f>BS!C66</f>
        <v>42875</v>
      </c>
      <c r="D85" s="391" t="str">
        <f>Reporting_currency</f>
        <v>CNY</v>
      </c>
    </row>
    <row r="86" spans="1:6">
      <c r="B86" s="372" t="s">
        <v>235</v>
      </c>
      <c r="C86" s="387">
        <f>C84*scaling_factor*Exchange_Rate/Common_Shares</f>
        <v>3.7334319219151397</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2.2900669060545421E-2</v>
      </c>
      <c r="D90" s="343" t="str">
        <f>Market_currency</f>
        <v>HKD</v>
      </c>
    </row>
    <row r="92" spans="1:6">
      <c r="B92" s="372" t="s">
        <v>480</v>
      </c>
      <c r="C92" s="387">
        <f>DCF!F8</f>
        <v>1.0681362371731546</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-3.0074501063322137</v>
      </c>
      <c r="D111" s="343" t="str">
        <f>Market_currency</f>
        <v>HKD</v>
      </c>
    </row>
    <row r="112" spans="1:6">
      <c r="A112" s="385"/>
      <c r="B112" s="372" t="s">
        <v>377</v>
      </c>
      <c r="C112" s="394">
        <f>DCF!C11</f>
        <v>14.996535954645763</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14.04 HKD</v>
      </c>
      <c r="F118" s="399">
        <f>DCF!F90</f>
        <v>0.1</v>
      </c>
    </row>
    <row r="119" spans="1:6">
      <c r="A119" s="385"/>
      <c r="B119" s="400" t="str">
        <f>DCF!B91</f>
        <v>Optimistic</v>
      </c>
      <c r="C119" s="401">
        <f>DCF!C91</f>
        <v>0.04</v>
      </c>
      <c r="D119" s="402">
        <f>DCF!D91</f>
        <v>5</v>
      </c>
      <c r="E119" s="398" t="str">
        <f>ROUND(DCF!E91,2)&amp;" "&amp;Market_currency</f>
        <v>12.99 HKD</v>
      </c>
      <c r="F119" s="403">
        <f>DCF!F91</f>
        <v>8.0000000000000029E-2</v>
      </c>
    </row>
    <row r="120" spans="1:6">
      <c r="B120" s="400" t="str">
        <f>DCF!B92</f>
        <v>Base</v>
      </c>
      <c r="C120" s="401">
        <f>DCF!C92</f>
        <v>0.02</v>
      </c>
      <c r="D120" s="402">
        <f>DCF!D92</f>
        <v>5</v>
      </c>
      <c r="E120" s="398" t="str">
        <f>ROUND(DCF!E92,2)&amp;" "&amp;Market_currency</f>
        <v>12.01 HKD</v>
      </c>
      <c r="F120" s="403">
        <f>DCF!F92</f>
        <v>0.48</v>
      </c>
    </row>
    <row r="121" spans="1:6">
      <c r="B121" s="400" t="str">
        <f>DCF!B93</f>
        <v>Pessimistic</v>
      </c>
      <c r="C121" s="401">
        <f>DCF!C93</f>
        <v>0</v>
      </c>
      <c r="D121" s="402">
        <f>DCF!D93</f>
        <v>5</v>
      </c>
      <c r="E121" s="398" t="str">
        <f>ROUND(DCF!E93,2)&amp;" "&amp;Market_currency</f>
        <v>11.1 HKD</v>
      </c>
      <c r="F121" s="403">
        <f>DCF!F93</f>
        <v>0.24</v>
      </c>
    </row>
    <row r="122" spans="1:6">
      <c r="B122" s="400" t="str">
        <f>DCF!B94</f>
        <v>Devil's advocate</v>
      </c>
      <c r="C122" s="401">
        <f>DCF!C94</f>
        <v>-0.1</v>
      </c>
      <c r="D122" s="402">
        <f>DCF!D94</f>
        <v>5</v>
      </c>
      <c r="E122" s="398" t="str">
        <f>ROUND(DCF!E94,2)&amp;" "&amp;Market_currency</f>
        <v>7.45 HKD</v>
      </c>
      <c r="F122" s="403">
        <f>DCF!F94</f>
        <v>0.1</v>
      </c>
    </row>
    <row r="124" spans="1:6">
      <c r="B124" s="470" t="s">
        <v>518</v>
      </c>
      <c r="C124" s="470"/>
      <c r="D124" s="470"/>
      <c r="E124" s="470"/>
      <c r="F124" s="470"/>
    </row>
    <row r="125" spans="1:6">
      <c r="B125" s="372" t="s">
        <v>218</v>
      </c>
      <c r="C125" s="404">
        <f>Scenarios!C36</f>
        <v>11.614359679087583</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0.32390030110487361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0.59268947647929526</v>
      </c>
      <c r="D140" s="409">
        <f>Scenarios!D62</f>
        <v>5.3522394834505</v>
      </c>
      <c r="E140" s="410">
        <f>Scenarios!E62</f>
        <v>5.9449289599297952</v>
      </c>
      <c r="F140" s="411">
        <f>E22</f>
        <v>0.29465259038036606</v>
      </c>
    </row>
    <row r="141" spans="1:6">
      <c r="B141" s="408" t="s">
        <v>313</v>
      </c>
      <c r="C141" s="409">
        <f>Scenarios!C63</f>
        <v>0.68148751204629709</v>
      </c>
      <c r="D141" s="409">
        <f>Scenarios!D63</f>
        <v>6.7086554103033</v>
      </c>
      <c r="E141" s="410">
        <f>Scenarios!E63</f>
        <v>7.3901429223495967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0.78144287893808773</v>
      </c>
      <c r="D144" s="409">
        <f>Scenarios!D66</f>
        <v>8.324713008198092</v>
      </c>
      <c r="E144" s="410">
        <f>Scenarios!E66</f>
        <v>9.106155887136179</v>
      </c>
      <c r="F144" s="411">
        <f>E24</f>
        <v>0.1174</v>
      </c>
    </row>
    <row r="145" spans="1:6">
      <c r="B145" s="408" t="s">
        <v>314</v>
      </c>
      <c r="C145" s="409">
        <f>Scenarios!C67</f>
        <v>0.84614912268025244</v>
      </c>
      <c r="D145" s="409">
        <f>Scenarios!D67</f>
        <v>9.414632429965982</v>
      </c>
      <c r="E145" s="410">
        <f>Scenarios!E67</f>
        <v>10.260781552646234</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