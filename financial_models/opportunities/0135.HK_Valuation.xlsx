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AB0EF46-25A8-4D82-87A3-C8AC906E145C}" xr6:coauthVersionLast="47" xr6:coauthVersionMax="47" xr10:uidLastSave="{00000000-0000-0000-0000-000000000000}"/>
  <bookViews>
    <workbookView xWindow="2205" yWindow="2205" windowWidth="12690" windowHeight="7642" firstSheet="1"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<sst xmlns="http://schemas.openxmlformats.org/spreadsheetml/2006/main" count="766" uniqueCount="556">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</sst>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7.21</v>
      </c>
      <c r="E8" s="32"/>
    </row>
    <row r="9" spans="1:9">
      <c r="B9" s="4" t="s">
        <v>346</v>
      </c>
      <c r="C9" s="48">
        <v>8658801708</v>
      </c>
    </row>
    <row r="10" spans="1:9">
      <c r="B10" s="4" t="s">
        <v>352</v>
      </c>
      <c r="C10" s="33">
        <f>Thesis!C8*Common_Shares/1000000</f>
        <v>62429.96031468</v>
      </c>
      <c r="D10" s="1" t="s">
        <v>530</v>
      </c>
      <c r="E10" s="307">
        <f>Scenarios!F34</f>
        <v>0.18933362158706946</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1.0914274799999999</v>
      </c>
    </row>
    <row r="17" spans="1:6">
      <c r="B17" s="1" t="s">
        <v>534</v>
      </c>
      <c r="C17" s="420">
        <v>0</v>
      </c>
      <c r="D17" s="4" t="s">
        <v>274</v>
      </c>
      <c r="E17" s="224" t="s">
        <v>555</v>
      </c>
    </row>
    <row r="18" spans="1:6">
      <c r="B18" s="1" t="str">
        <f>"Expected Equity Value ("&amp;C7&amp;") :"</f>
        <v>Expected Equity Value (HKD) :</v>
      </c>
      <c r="C18" s="255">
        <f>C125</f>
        <v>11.011662921798854</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5.64212909900297</v>
      </c>
      <c r="D22" s="38" t="s">
        <v>408</v>
      </c>
      <c r="E22" s="79">
        <v>0.29465259038036606</v>
      </c>
    </row>
    <row r="23" spans="1:6">
      <c r="B23" s="1" t="s">
        <v>313</v>
      </c>
      <c r="C23" s="259">
        <f>E141</f>
        <v>7.0132009545564769</v>
      </c>
      <c r="D23" s="38" t="s">
        <v>409</v>
      </c>
      <c r="E23" s="448">
        <v>0.20075184365903009</v>
      </c>
    </row>
    <row r="24" spans="1:6">
      <c r="B24" s="1" t="s">
        <v>315</v>
      </c>
      <c r="C24" s="259">
        <f>E144</f>
        <v>8.6411266468673418</v>
      </c>
      <c r="D24" s="38" t="s">
        <v>410</v>
      </c>
      <c r="E24" s="448">
        <v>0.1174</v>
      </c>
    </row>
    <row r="25" spans="1:6">
      <c r="B25" s="1" t="s">
        <v>314</v>
      </c>
      <c r="C25" s="259">
        <f>E145</f>
        <v>9.7364579648602074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16063</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291.16000000000003</v>
      </c>
      <c r="D41" s="1" t="str">
        <f>Reporting_currency</f>
        <v>CNY</v>
      </c>
    </row>
    <row r="43" spans="2:6">
      <c r="B43" s="457" t="s">
        <v>205</v>
      </c>
      <c r="C43" s="457"/>
      <c r="D43" s="457"/>
      <c r="E43" s="457"/>
      <c r="F43" s="457"/>
    </row>
    <row r="44" spans="2:6">
      <c r="B44" s="44" t="s">
        <v>267</v>
      </c>
      <c r="C44" s="290">
        <f>Normalized_FCF!C46</f>
        <v>86.983726706808383</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-716.0162732931916</v>
      </c>
      <c r="D46" s="1" t="str">
        <f>Reporting_currency</f>
        <v>CNY</v>
      </c>
    </row>
    <row r="48" spans="2:6">
      <c r="B48" s="1" t="s">
        <v>211</v>
      </c>
    </row>
    <row r="49" spans="2:6">
      <c r="B49" s="44" t="s">
        <v>223</v>
      </c>
      <c r="C49" s="289">
        <f>Normalized_FCF!C13</f>
        <v>-6281.6063376994261</v>
      </c>
      <c r="D49" s="1" t="str">
        <f>Reporting_currency</f>
        <v>CNY</v>
      </c>
    </row>
    <row r="51" spans="2:6">
      <c r="B51" s="457" t="s">
        <v>206</v>
      </c>
      <c r="C51" s="457"/>
      <c r="D51" s="457"/>
      <c r="E51" s="457"/>
      <c r="F51" s="457"/>
    </row>
    <row r="52" spans="2:6">
      <c r="B52" s="44" t="s">
        <v>204</v>
      </c>
      <c r="C52" s="289">
        <f>Normalized_FCF!C12</f>
        <v>-3909.5359316767021</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10034.927736385314</v>
      </c>
      <c r="D60" s="1" t="str">
        <f>Reporting_currency</f>
        <v>CNY</v>
      </c>
    </row>
    <row r="61" spans="2:6">
      <c r="B61" s="44" t="s">
        <v>213</v>
      </c>
      <c r="C61" s="289">
        <f>Normalized_FCF!C19</f>
        <v>5447.0014573306798</v>
      </c>
      <c r="D61" s="1" t="str">
        <f>Reporting_currency</f>
        <v>CNY</v>
      </c>
    </row>
    <row r="62" spans="2:6">
      <c r="B62" s="204" t="s">
        <v>302</v>
      </c>
      <c r="C62" s="89">
        <f>Normalized_FCF!C124</f>
        <v>9.5226827698828773E-2</v>
      </c>
      <c r="F62" s="260"/>
    </row>
    <row r="63" spans="2:6">
      <c r="B63" s="204" t="s">
        <v>332</v>
      </c>
      <c r="C63" s="89">
        <f>Normalized_FCF!C92</f>
        <v>4.3024343740027733E-2</v>
      </c>
      <c r="E63" s="44" t="s">
        <v>322</v>
      </c>
      <c r="F63" s="261">
        <f>Normalized_FCF!C90</f>
        <v>0.54790758493376612</v>
      </c>
    </row>
    <row r="65" spans="1:6">
      <c r="B65" s="192" t="s">
        <v>325</v>
      </c>
      <c r="C65" s="267" t="s">
        <v>327</v>
      </c>
      <c r="D65" s="267" t="s">
        <v>328</v>
      </c>
    </row>
    <row r="66" spans="1:6">
      <c r="B66" s="44" t="s">
        <v>326</v>
      </c>
      <c r="C66" s="89">
        <f>Normalized_FCF!C119</f>
        <v>0.17171941545555858</v>
      </c>
      <c r="D66" s="89">
        <f>Normalized_FCF!G119</f>
        <v>0.18348846725946891</v>
      </c>
    </row>
    <row r="67" spans="1:6">
      <c r="B67" s="229" t="str">
        <f>Normalized_FCF!B116</f>
        <v>Pre-tax Profit/Sales</v>
      </c>
      <c r="C67" s="266">
        <f>Normalized_FCF!C116</f>
        <v>8.3605870891154094E-2</v>
      </c>
      <c r="D67" s="266">
        <f>Normalized_FCF!G116</f>
        <v>8.9335926651119585E-2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-20425</v>
      </c>
      <c r="D78" s="1" t="str">
        <f>Reporting_currency</f>
        <v>CNY</v>
      </c>
    </row>
    <row r="79" spans="1:6">
      <c r="A79" s="191"/>
      <c r="B79" s="44" t="s">
        <v>234</v>
      </c>
      <c r="C79" s="201">
        <f>C78*scaling_factor*Exchange_Rate/Common_Shares</f>
        <v>-2.5745371046439023</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28377.712215531938</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3.5769631845186534</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2.1932409116672658E-2</v>
      </c>
      <c r="D90" s="1" t="str">
        <f>Market_currency</f>
        <v>HKD</v>
      </c>
    </row>
    <row r="91" spans="1:6">
      <c r="A91" s="191"/>
    </row>
    <row r="92" spans="1:6">
      <c r="A92" s="191"/>
      <c r="B92" s="44" t="s">
        <v>472</v>
      </c>
      <c r="C92" s="216">
        <f>DCF!F8</f>
        <v>1.0243584889914237</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-2.8802925344962746</v>
      </c>
      <c r="D111" s="1" t="str">
        <f>Market_currency</f>
        <v>HKD</v>
      </c>
    </row>
    <row r="112" spans="2:6">
      <c r="B112" s="44" t="s">
        <v>323</v>
      </c>
      <c r="C112" s="216">
        <f>DCF!C11</f>
        <v>10.494502319454257</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13.43 HKD</v>
      </c>
      <c r="E118" s="208">
        <f>DCF!F90</f>
        <v>0.1</v>
      </c>
      <c r="F118" s="208">
        <f>RATE(Holding_Period,Scenarios!C$58,-DCF!E90,C$18)</f>
        <v>-3.9410459990461895E-2</v>
      </c>
    </row>
    <row r="119" spans="2:6">
      <c r="B119" s="205" t="str">
        <f>DCF!B91&amp;" ("&amp;DCF!D91&amp;"yrs)"</f>
        <v>Optimistic (5yrs)</v>
      </c>
      <c r="C119" s="198">
        <f>DCF!C91</f>
        <v>0.04</v>
      </c>
      <c r="D119" s="207" t="str">
        <f>ROUND(DCF!E91,2)&amp;" "&amp;Market_currency</f>
        <v>12.38 HKD</v>
      </c>
      <c r="E119" s="199">
        <f>DCF!F91</f>
        <v>8.0000000000000029E-2</v>
      </c>
      <c r="F119" s="208">
        <f>RATE(Holding_Period,Scenarios!C$58,-DCF!E91,C$18)</f>
        <v>-1.2279957323000152E-2</v>
      </c>
    </row>
    <row r="120" spans="2:6">
      <c r="B120" s="205" t="str">
        <f>DCF!B92&amp;" ("&amp;DCF!D92&amp;"yrs)"</f>
        <v>Base (5yrs)</v>
      </c>
      <c r="C120" s="198">
        <f>DCF!C92</f>
        <v>0.02</v>
      </c>
      <c r="D120" s="207" t="str">
        <f>ROUND(DCF!E92,2)&amp;" "&amp;Market_currency</f>
        <v>11.4 HKD</v>
      </c>
      <c r="E120" s="199">
        <f>DCF!F92</f>
        <v>0.48</v>
      </c>
      <c r="F120" s="208">
        <f>RATE(Holding_Period,Scenarios!C$58,-DCF!E92,C$18)</f>
        <v>1.5930550023015095E-2</v>
      </c>
    </row>
    <row r="121" spans="2:6">
      <c r="B121" s="205" t="str">
        <f>DCF!B93&amp;" ("&amp;DCF!D93&amp;"yrs)"</f>
        <v>Pessimistic (5yrs)</v>
      </c>
      <c r="C121" s="198">
        <f>DCF!C93</f>
        <v>0</v>
      </c>
      <c r="D121" s="207" t="str">
        <f>ROUND(DCF!E93,2)&amp;" "&amp;Market_currency</f>
        <v>10.49 HKD</v>
      </c>
      <c r="E121" s="199">
        <f>DCF!F93</f>
        <v>0.24</v>
      </c>
      <c r="F121" s="208">
        <f>RATE(Holding_Period,Scenarios!C$58,-DCF!E93,C$18)</f>
        <v>4.5263674006904848E-2</v>
      </c>
    </row>
    <row r="122" spans="2:6">
      <c r="B122" s="205" t="str">
        <f>DCF!B94&amp;" ("&amp;DCF!D94&amp;"yrs)"</f>
        <v>Devil's advocate (5yrs)</v>
      </c>
      <c r="C122" s="198">
        <f>DCF!C94</f>
        <v>-0.1</v>
      </c>
      <c r="D122" s="207" t="str">
        <f>ROUND(DCF!E94,2)&amp;" "&amp;Market_currency</f>
        <v>6.86 HKD</v>
      </c>
      <c r="E122" s="199">
        <f>DCF!F94</f>
        <v>0.1</v>
      </c>
      <c r="F122" s="208">
        <f>RATE(Holding_Period,Scenarios!C$58,-DCF!E94,C$18)</f>
        <v>0.21021749418694993</v>
      </c>
    </row>
    <row r="124" spans="2:6">
      <c r="B124" s="457" t="s">
        <v>357</v>
      </c>
      <c r="C124" s="457"/>
      <c r="D124" s="457"/>
      <c r="E124" s="457"/>
      <c r="F124" s="457"/>
    </row>
    <row r="125" spans="2:6">
      <c r="B125" s="193" t="s">
        <v>218</v>
      </c>
      <c r="C125" s="197">
        <f>Scenarios!C36</f>
        <v>11.011662921798854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0.31020551836559995</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0.56763005669934974</v>
      </c>
      <c r="D140" s="337">
        <f>Scenarios!D62</f>
        <v>5.0744990423036205</v>
      </c>
      <c r="E140" s="338">
        <f>Scenarios!E62</f>
        <v>5.64212909900297</v>
      </c>
      <c r="F140" s="339">
        <f>E22</f>
        <v>0.29465259038036606</v>
      </c>
    </row>
    <row r="141" spans="1:6">
      <c r="B141" s="340" t="s">
        <v>313</v>
      </c>
      <c r="C141" s="337">
        <f>Scenarios!C63</f>
        <v>0.65267363510587273</v>
      </c>
      <c r="D141" s="337">
        <f>Scenarios!D63</f>
        <v>6.360527319450604</v>
      </c>
      <c r="E141" s="338">
        <f>Scenarios!E63</f>
        <v>7.0132009545564769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0.74840280329226538</v>
      </c>
      <c r="D144" s="337">
        <f>Scenarios!D66</f>
        <v>7.8927238435750757</v>
      </c>
      <c r="E144" s="338">
        <f>Scenarios!E66</f>
        <v>8.6411266468673418</v>
      </c>
      <c r="F144" s="339">
        <f>E24</f>
        <v>0.1174</v>
      </c>
    </row>
    <row r="145" spans="1:6">
      <c r="B145" s="340" t="s">
        <v>314</v>
      </c>
      <c r="C145" s="337">
        <f>Scenarios!C67</f>
        <v>0.81037321151065744</v>
      </c>
      <c r="D145" s="337">
        <f>Scenarios!D67</f>
        <v>8.9260847533495493</v>
      </c>
      <c r="E145" s="338">
        <f>Scenarios!E67</f>
        <v>9.7364579648602074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0.34467279818399993</v>
      </c>
      <c r="D25" s="37">
        <f>(0.2838)*Exchange_Rate</f>
        <v>0.30974711882399997</v>
      </c>
      <c r="E25" s="37">
        <f>0.2539*Exchange_Rate</f>
        <v>0.27711343717199999</v>
      </c>
      <c r="F25" s="37">
        <f>0.2078*Exchange_Rate</f>
        <v>0.226798630344</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0.34467279818399993</v>
      </c>
      <c r="D65" s="70">
        <f t="shared" ref="D65:M65" si="33">IF(D$4="","",D25)</f>
        <v>0.30974711882399997</v>
      </c>
      <c r="E65" s="70">
        <f t="shared" si="33"/>
        <v>0.27711343717199999</v>
      </c>
      <c r="F65" s="70">
        <f t="shared" si="33"/>
        <v>0.226798630344</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8.4437254132624595</v>
      </c>
      <c r="D47" s="134">
        <f>D46*H1/Common_Shares*Exchange_Rate</f>
        <v>-2.8802925344962746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28377.712215531938</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-14497.287784468062</v>
      </c>
      <c r="D73" s="289">
        <f>(Normalized_FCF!C26+Normalized_FCF!C35-Normalized_FCF!C89)/12</f>
        <v>-14497.287784468062</v>
      </c>
      <c r="F73" s="1" t="s">
        <v>278</v>
      </c>
    </row>
    <row r="74" spans="2:6" ht="15" customHeight="1">
      <c r="B74" s="227" t="s">
        <v>259</v>
      </c>
      <c r="C74" s="228">
        <f>-$C$66/C73</f>
        <v>2.9574497407670228</v>
      </c>
      <c r="D74" s="228">
        <f>-$C$66/D73</f>
        <v>2.9574497407670228</v>
      </c>
      <c r="F74" s="223" t="s">
        <v>257</v>
      </c>
    </row>
    <row r="75" spans="2:6" ht="15" customHeight="1">
      <c r="B75" s="77" t="s">
        <v>258</v>
      </c>
      <c r="C75" s="264"/>
      <c r="D75" s="265">
        <f>MAX(-D73*D76,G5)</f>
        <v>14497.287784468062</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22292.406278999999</v>
      </c>
      <c r="D86" s="201">
        <f>C86*scaling_factor/Common_Shares</f>
        <v>2.5745371046439027</v>
      </c>
      <c r="E86" s="214" t="str">
        <f>Market_currency</f>
        <v>HKD</v>
      </c>
    </row>
    <row r="87" spans="2:8" ht="15" customHeight="1">
      <c r="B87" s="212" t="s">
        <v>240</v>
      </c>
      <c r="C87" s="73">
        <f>DCF!F5*Exchange_Rate</f>
        <v>30972.214931563238</v>
      </c>
      <c r="D87" s="201">
        <f>C87*scaling_factor/Common_Shares</f>
        <v>3.5769631845186534</v>
      </c>
      <c r="E87" s="214" t="str">
        <f>Market_currency</f>
        <v>HKD</v>
      </c>
    </row>
    <row r="88" spans="2:8" ht="15" customHeight="1">
      <c r="B88" s="213" t="s">
        <v>159</v>
      </c>
      <c r="C88" s="73">
        <f>DCF!F6*Exchange_Rate</f>
        <v>189.90838151999998</v>
      </c>
      <c r="D88" s="201">
        <f>C88*scaling_factor/Common_Shares</f>
        <v>2.1932409116672658E-2</v>
      </c>
      <c r="E88" s="214" t="str">
        <f>Market_currency</f>
        <v>HKD</v>
      </c>
    </row>
    <row r="89" spans="2:8" ht="15" customHeight="1">
      <c r="B89" s="77" t="s">
        <v>244</v>
      </c>
      <c r="C89" s="162">
        <f>SUM(C86:C88)</f>
        <v>53454.529592083236</v>
      </c>
      <c r="D89" s="216">
        <f>SUM(D86:D88)</f>
        <v>6.1734326982792282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-716.0162732931916</v>
      </c>
      <c r="E10" s="238"/>
      <c r="G10" s="270">
        <f>G48</f>
        <v>-479.07226361468446</v>
      </c>
      <c r="H10" s="270">
        <f t="shared" ref="H10:Q10" si="6">H48</f>
        <v>-665.82762979621657</v>
      </c>
      <c r="I10" s="270">
        <f t="shared" si="6"/>
        <v>-608.54705056890816</v>
      </c>
      <c r="J10" s="270">
        <f t="shared" si="6"/>
        <v>-604.12967374965353</v>
      </c>
      <c r="K10" s="270">
        <f t="shared" si="6"/>
        <v>-596.41737681925451</v>
      </c>
      <c r="L10" s="270">
        <f t="shared" si="6"/>
        <v>-895.35260984386593</v>
      </c>
      <c r="M10" s="270">
        <f t="shared" si="6"/>
        <v>-1030.2518974596367</v>
      </c>
      <c r="N10" s="270">
        <f t="shared" si="6"/>
        <v>-1073.6547469965537</v>
      </c>
      <c r="O10" s="270">
        <f t="shared" si="6"/>
        <v>-566.99292275733285</v>
      </c>
      <c r="P10" s="270">
        <f t="shared" si="6"/>
        <v>-500.92093874040086</v>
      </c>
      <c r="Q10" s="270" t="str">
        <f t="shared" si="6"/>
        <v/>
      </c>
    </row>
    <row r="11" spans="1:17" ht="15.75" customHeight="1">
      <c r="A11" s="10"/>
      <c r="B11" s="67" t="s">
        <v>137</v>
      </c>
      <c r="C11" s="271">
        <f>SUM(C8:C10)</f>
        <v>15638.143726706809</v>
      </c>
      <c r="E11" s="238"/>
      <c r="G11" s="271">
        <f t="shared" ref="G11:Q11" si="7">IF(G$4="","",SUM(G8:G10))</f>
        <v>16709.927736385314</v>
      </c>
      <c r="H11" s="271">
        <f t="shared" si="7"/>
        <v>17016.172370203785</v>
      </c>
      <c r="I11" s="271">
        <f t="shared" si="7"/>
        <v>16731.452949431092</v>
      </c>
      <c r="J11" s="271">
        <f t="shared" si="7"/>
        <v>14520.870326250346</v>
      </c>
      <c r="K11" s="271">
        <f t="shared" si="7"/>
        <v>11496.582623180746</v>
      </c>
      <c r="L11" s="271">
        <f t="shared" si="7"/>
        <v>20325.647390156133</v>
      </c>
      <c r="M11" s="271">
        <f t="shared" si="7"/>
        <v>19125.748102540365</v>
      </c>
      <c r="N11" s="271">
        <f t="shared" si="7"/>
        <v>16885.345253003445</v>
      </c>
      <c r="O11" s="271">
        <f t="shared" si="7"/>
        <v>17654.007077242666</v>
      </c>
      <c r="P11" s="271">
        <f t="shared" si="7"/>
        <v>11794.079061259599</v>
      </c>
      <c r="Q11" s="271" t="str">
        <f t="shared" si="7"/>
        <v/>
      </c>
    </row>
    <row r="12" spans="1:17" ht="15.75" customHeight="1">
      <c r="A12" s="10"/>
      <c r="B12" s="2" t="s">
        <v>60</v>
      </c>
      <c r="C12" s="270">
        <f>-C11*C41</f>
        <v>-3909.5359316767021</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5447.0014573306798</v>
      </c>
      <c r="D14" s="58"/>
      <c r="E14" s="246"/>
      <c r="F14" s="58"/>
      <c r="G14" s="271">
        <f t="shared" ref="G14:Q14" si="8">IF(G$4="","",SUM(G11:G13))</f>
        <v>10034.927736385314</v>
      </c>
      <c r="H14" s="271">
        <f t="shared" si="8"/>
        <v>10105.172370203785</v>
      </c>
      <c r="I14" s="271">
        <f t="shared" si="8"/>
        <v>10567.452949431092</v>
      </c>
      <c r="J14" s="271">
        <f t="shared" si="8"/>
        <v>8501.8703262503459</v>
      </c>
      <c r="K14" s="271">
        <f t="shared" si="8"/>
        <v>5514.5826231807459</v>
      </c>
      <c r="L14" s="271">
        <f t="shared" si="8"/>
        <v>12231.647390156133</v>
      </c>
      <c r="M14" s="271">
        <f t="shared" si="8"/>
        <v>11774.748102540365</v>
      </c>
      <c r="N14" s="271">
        <f t="shared" si="8"/>
        <v>10165.345253003445</v>
      </c>
      <c r="O14" s="271">
        <f t="shared" si="8"/>
        <v>11198.007077242666</v>
      </c>
      <c r="P14" s="271">
        <f t="shared" si="8"/>
        <v>7004.0790612595993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5447.0014573306798</v>
      </c>
      <c r="D19" s="26"/>
      <c r="E19" s="235"/>
      <c r="F19" s="26"/>
      <c r="G19" s="275">
        <f t="shared" ref="G19:Q19" si="9">IF(G$4="","",G14+G17)</f>
        <v>10034.927736385314</v>
      </c>
      <c r="H19" s="275">
        <f t="shared" si="9"/>
        <v>10105.172370203785</v>
      </c>
      <c r="I19" s="275">
        <f t="shared" si="9"/>
        <v>10567.452949431092</v>
      </c>
      <c r="J19" s="275">
        <f t="shared" si="9"/>
        <v>8501.8703262503459</v>
      </c>
      <c r="K19" s="275">
        <f t="shared" si="9"/>
        <v>5514.5826231807459</v>
      </c>
      <c r="L19" s="275">
        <f t="shared" si="9"/>
        <v>12231.647390156133</v>
      </c>
      <c r="M19" s="275">
        <f t="shared" si="9"/>
        <v>11774.748102540365</v>
      </c>
      <c r="N19" s="275">
        <f t="shared" si="9"/>
        <v>10165.345253003445</v>
      </c>
      <c r="O19" s="275">
        <f t="shared" si="9"/>
        <v>11198.007077242666</v>
      </c>
      <c r="P19" s="275">
        <f t="shared" si="9"/>
        <v>7004.0790612595993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0.1871941069612697</v>
      </c>
      <c r="H41" s="6">
        <f t="shared" si="16"/>
        <v>0.19616632503353187</v>
      </c>
      <c r="I41" s="6">
        <f t="shared" si="16"/>
        <v>0.19059910753945811</v>
      </c>
      <c r="J41" s="6">
        <f t="shared" si="16"/>
        <v>0.18580153526491078</v>
      </c>
      <c r="K41" s="6">
        <f t="shared" si="16"/>
        <v>0.20119022111286014</v>
      </c>
      <c r="L41" s="6">
        <f t="shared" si="16"/>
        <v>0.20043642014438712</v>
      </c>
      <c r="M41" s="6">
        <f t="shared" si="16"/>
        <v>0.19722104357836787</v>
      </c>
      <c r="N41" s="6">
        <f t="shared" si="16"/>
        <v>0.20911624530578851</v>
      </c>
      <c r="O41" s="6">
        <f t="shared" si="16"/>
        <v>0.20964079054725573</v>
      </c>
      <c r="P41" s="6">
        <f t="shared" si="16"/>
        <v>0.22104311718269712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86.983726706808383</v>
      </c>
      <c r="E46" s="238"/>
      <c r="G46" s="278">
        <f t="shared" ref="G46:Q46" si="17">IFERROR(IF(G$4="","",($C$46/$C$47)*G47),0)</f>
        <v>323.92773638531554</v>
      </c>
      <c r="H46" s="278">
        <f t="shared" si="17"/>
        <v>294.17237020378343</v>
      </c>
      <c r="I46" s="278">
        <f t="shared" si="17"/>
        <v>290.45294943109189</v>
      </c>
      <c r="J46" s="278">
        <f t="shared" si="17"/>
        <v>178.87032625034647</v>
      </c>
      <c r="K46" s="278">
        <f t="shared" si="17"/>
        <v>111.58262318074544</v>
      </c>
      <c r="L46" s="278">
        <f t="shared" si="17"/>
        <v>92.647390156134094</v>
      </c>
      <c r="M46" s="278">
        <f t="shared" si="17"/>
        <v>99.748102540363348</v>
      </c>
      <c r="N46" s="278">
        <f t="shared" si="17"/>
        <v>71.345253003446331</v>
      </c>
      <c r="O46" s="278">
        <f t="shared" si="17"/>
        <v>118.00707724266715</v>
      </c>
      <c r="P46" s="278">
        <f t="shared" si="17"/>
        <v>76.079061259599158</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-716.0162732931916</v>
      </c>
      <c r="E48" s="238"/>
      <c r="G48" s="271">
        <f>IF(G$4="","",(G45+G46))</f>
        <v>-479.07226361468446</v>
      </c>
      <c r="H48" s="271">
        <f t="shared" ref="H48:Q48" si="18">IF(H$4="","",(H45+H46))</f>
        <v>-665.82762979621657</v>
      </c>
      <c r="I48" s="271">
        <f t="shared" si="18"/>
        <v>-608.54705056890816</v>
      </c>
      <c r="J48" s="271">
        <f t="shared" si="18"/>
        <v>-604.12967374965353</v>
      </c>
      <c r="K48" s="271">
        <f t="shared" si="18"/>
        <v>-596.41737681925451</v>
      </c>
      <c r="L48" s="271">
        <f t="shared" si="18"/>
        <v>-895.35260984386593</v>
      </c>
      <c r="M48" s="271">
        <f t="shared" si="18"/>
        <v>-1030.2518974596367</v>
      </c>
      <c r="N48" s="271">
        <f t="shared" si="18"/>
        <v>-1073.6547469965537</v>
      </c>
      <c r="O48" s="271">
        <f t="shared" si="18"/>
        <v>-566.99292275733285</v>
      </c>
      <c r="P48" s="271">
        <f t="shared" si="18"/>
        <v>-500.92093874040086</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3.8280223757428205E-3</v>
      </c>
      <c r="D76" s="26"/>
      <c r="E76" s="235"/>
      <c r="F76" s="26"/>
      <c r="G76" s="6">
        <f t="shared" ref="G76:Q76" si="28">IF(G$4="","",ABS(G10/G$4))</f>
        <v>2.5612537216229401E-3</v>
      </c>
      <c r="H76" s="6">
        <f t="shared" si="28"/>
        <v>3.7542295623229052E-3</v>
      </c>
      <c r="I76" s="6">
        <f t="shared" si="28"/>
        <v>3.5392165505566241E-3</v>
      </c>
      <c r="J76" s="6">
        <f t="shared" si="28"/>
        <v>4.3604673774939448E-3</v>
      </c>
      <c r="K76" s="6">
        <f t="shared" si="28"/>
        <v>5.4591479878376816E-3</v>
      </c>
      <c r="L76" s="6">
        <f t="shared" si="28"/>
        <v>7.9015877246552992E-3</v>
      </c>
      <c r="M76" s="6">
        <f t="shared" si="28"/>
        <v>9.7681985157830348E-3</v>
      </c>
      <c r="N76" s="6">
        <f t="shared" si="28"/>
        <v>1.2103518893835296E-2</v>
      </c>
      <c r="O76" s="6">
        <f t="shared" si="28"/>
        <v>6.9245123807104474E-3</v>
      </c>
      <c r="P76" s="6">
        <f t="shared" si="28"/>
        <v>1.2029512709598733E-2</v>
      </c>
      <c r="Q76" s="6" t="str">
        <f t="shared" si="28"/>
        <v/>
      </c>
    </row>
    <row r="77" spans="1:17" ht="15.75" customHeight="1">
      <c r="A77" s="10"/>
      <c r="B77" s="67" t="s">
        <v>137</v>
      </c>
      <c r="C77" s="75">
        <f>C11/C4</f>
        <v>8.3605870891154094E-2</v>
      </c>
      <c r="D77" s="26"/>
      <c r="E77" s="235"/>
      <c r="F77" s="26"/>
      <c r="G77" s="62">
        <f t="shared" ref="G77:Q77" si="29">IF(G$4="","",G11/G$4)</f>
        <v>8.9335926651119585E-2</v>
      </c>
      <c r="H77" s="62">
        <f t="shared" si="29"/>
        <v>9.5944677707882453E-2</v>
      </c>
      <c r="I77" s="62">
        <f t="shared" si="29"/>
        <v>9.7307570775549551E-2</v>
      </c>
      <c r="J77" s="62">
        <f t="shared" si="29"/>
        <v>0.10480826236764669</v>
      </c>
      <c r="K77" s="62">
        <f t="shared" si="29"/>
        <v>0.10523091434568788</v>
      </c>
      <c r="L77" s="62">
        <f t="shared" si="29"/>
        <v>0.1793761297481854</v>
      </c>
      <c r="M77" s="62">
        <f t="shared" si="29"/>
        <v>0.18133827725931889</v>
      </c>
      <c r="N77" s="62">
        <f t="shared" si="29"/>
        <v>0.19035178288958407</v>
      </c>
      <c r="O77" s="62">
        <f t="shared" si="29"/>
        <v>0.2156030272494891</v>
      </c>
      <c r="P77" s="62">
        <f t="shared" si="29"/>
        <v>0.28323236860929368</v>
      </c>
      <c r="Q77" s="62" t="str">
        <f t="shared" si="29"/>
        <v/>
      </c>
    </row>
    <row r="78" spans="1:17" ht="15.75" customHeight="1">
      <c r="A78" s="10"/>
      <c r="B78" s="2" t="s">
        <v>60</v>
      </c>
      <c r="C78" s="74">
        <f>ABS(C12/C$4)</f>
        <v>2.0901467722788523E-2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2.9121186538769498E-2</v>
      </c>
      <c r="D80" s="26"/>
      <c r="E80" s="235"/>
      <c r="F80" s="26"/>
      <c r="G80" s="62">
        <f t="shared" ref="G80:Q80" si="32">IF(G$4="","",ABS(G14/G$4))</f>
        <v>5.3649517960209329E-2</v>
      </c>
      <c r="H80" s="62">
        <f t="shared" si="32"/>
        <v>5.6977414494196833E-2</v>
      </c>
      <c r="I80" s="62">
        <f t="shared" si="32"/>
        <v>6.1458689744516189E-2</v>
      </c>
      <c r="J80" s="62">
        <f t="shared" si="32"/>
        <v>6.1364521254522623E-2</v>
      </c>
      <c r="K80" s="62">
        <f t="shared" si="32"/>
        <v>5.0476266790974417E-2</v>
      </c>
      <c r="L80" s="62">
        <f t="shared" si="32"/>
        <v>0.10794566722402667</v>
      </c>
      <c r="M80" s="62">
        <f t="shared" si="32"/>
        <v>0.11164073293391832</v>
      </c>
      <c r="N80" s="62">
        <f t="shared" si="32"/>
        <v>0.11459591519179588</v>
      </c>
      <c r="O80" s="62">
        <f t="shared" si="32"/>
        <v>0.13675785981342256</v>
      </c>
      <c r="P80" s="62">
        <f t="shared" si="32"/>
        <v>0.16820150960014407</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2.9121186538769498E-2</v>
      </c>
      <c r="D85" s="72"/>
      <c r="E85" s="235"/>
      <c r="F85" s="72"/>
      <c r="G85" s="62">
        <f t="shared" ref="G85:Q85" si="35">IF(G$4="","",ABS(G19/G$4))</f>
        <v>5.3649517960209329E-2</v>
      </c>
      <c r="H85" s="62">
        <f t="shared" si="35"/>
        <v>5.6977414494196833E-2</v>
      </c>
      <c r="I85" s="62">
        <f t="shared" si="35"/>
        <v>6.1458689744516189E-2</v>
      </c>
      <c r="J85" s="62">
        <f t="shared" si="35"/>
        <v>6.1364521254522623E-2</v>
      </c>
      <c r="K85" s="62">
        <f t="shared" si="35"/>
        <v>5.0476266790974417E-2</v>
      </c>
      <c r="L85" s="62">
        <f t="shared" si="35"/>
        <v>0.10794566722402667</v>
      </c>
      <c r="M85" s="62">
        <f t="shared" si="35"/>
        <v>0.11164073293391832</v>
      </c>
      <c r="N85" s="62">
        <f t="shared" si="35"/>
        <v>0.11459591519179588</v>
      </c>
      <c r="O85" s="62">
        <f t="shared" si="35"/>
        <v>0.13675785981342256</v>
      </c>
      <c r="P85" s="62">
        <f t="shared" si="35"/>
        <v>0.16820150960014407</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0.34467279818399993</v>
      </c>
      <c r="E88" s="238"/>
      <c r="G88" s="109">
        <f>Data!C65</f>
        <v>0.34467279818399993</v>
      </c>
      <c r="H88" s="109">
        <f>Data!D65</f>
        <v>0.30974711882399997</v>
      </c>
      <c r="I88" s="109">
        <f>Data!E65</f>
        <v>0.27711343717199999</v>
      </c>
      <c r="J88" s="109">
        <f>Data!F65</f>
        <v>0.226798630344</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2984.4534136167576</v>
      </c>
      <c r="E89" s="238"/>
      <c r="G89" s="71">
        <f t="shared" ref="G89:Q89" si="36">IF(G$4="","",G88*Common_Shares/scaling_factor)</f>
        <v>2984.4534136167576</v>
      </c>
      <c r="H89" s="71">
        <f t="shared" si="36"/>
        <v>2682.03888152133</v>
      </c>
      <c r="I89" s="71">
        <f t="shared" si="36"/>
        <v>2399.4703030946639</v>
      </c>
      <c r="J89" s="71">
        <f t="shared" si="36"/>
        <v>1963.8043677946878</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0.54790758493376612</v>
      </c>
      <c r="E90" s="238"/>
      <c r="G90" s="152">
        <f t="shared" ref="G90:Q90" si="37">IF(G$4="","",G88/(G19*scaling_factor/Common_Shares))</f>
        <v>0.29740656754263672</v>
      </c>
      <c r="H90" s="152">
        <f t="shared" si="37"/>
        <v>0.26541248216899466</v>
      </c>
      <c r="I90" s="152">
        <f t="shared" si="37"/>
        <v>0.22706231242068997</v>
      </c>
      <c r="J90" s="152">
        <f t="shared" si="37"/>
        <v>0.23098498241395801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4.3024343740027733E-2</v>
      </c>
      <c r="E92" s="238"/>
      <c r="G92" s="22">
        <f t="shared" ref="G92:Q92" si="38">IF(G$4="","",(G88*(1-dividend_tax_rate))/Market_Price)</f>
        <v>4.3024343740027733E-2</v>
      </c>
      <c r="H92" s="22">
        <f t="shared" si="38"/>
        <v>3.8664688896199721E-2</v>
      </c>
      <c r="I92" s="22">
        <f t="shared" si="38"/>
        <v>3.459113640149792E-2</v>
      </c>
      <c r="J92" s="22">
        <f t="shared" si="38"/>
        <v>2.8310508642108181E-2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-6.41405532439695E-2</v>
      </c>
      <c r="D96" s="26"/>
      <c r="E96" s="235"/>
      <c r="F96" s="26"/>
      <c r="G96" s="6">
        <f t="shared" ref="G96:Q96" si="40">IF(H5="","",G11/H11-1)</f>
        <v>-1.7997269136431737E-2</v>
      </c>
      <c r="H96" s="6">
        <f t="shared" si="40"/>
        <v>1.701701708950365E-2</v>
      </c>
      <c r="I96" s="6">
        <f t="shared" si="40"/>
        <v>0.15223485738210396</v>
      </c>
      <c r="J96" s="6">
        <f t="shared" si="40"/>
        <v>0.26305971106332771</v>
      </c>
      <c r="K96" s="6">
        <f t="shared" si="40"/>
        <v>-0.43438049462824835</v>
      </c>
      <c r="L96" s="6">
        <f t="shared" si="40"/>
        <v>6.273737796726464E-2</v>
      </c>
      <c r="M96" s="6">
        <f t="shared" si="40"/>
        <v>0.1326832715569386</v>
      </c>
      <c r="N96" s="6">
        <f t="shared" si="40"/>
        <v>-4.3540360037018666E-2</v>
      </c>
      <c r="O96" s="6">
        <f t="shared" si="40"/>
        <v>0.49685337749102998</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1.2470443563460751</v>
      </c>
      <c r="H113" s="254">
        <f>IF(H$4="","",Data!D$22/H19)</f>
        <v>1.425804476377224</v>
      </c>
      <c r="I113" s="254">
        <f>IF(I$4="","",Data!E$22/I19)</f>
        <v>1.407150812135912</v>
      </c>
      <c r="J113" s="254">
        <f>IF(J$4="","",Data!F$22/J19)</f>
        <v>1.4114541317983693</v>
      </c>
      <c r="K113" s="254">
        <f>IF(K$4="","",Data!G$22/K19)</f>
        <v>3.0352251736407423</v>
      </c>
      <c r="L113" s="254">
        <f>IF(L$4="","",Data!H$22/L19)</f>
        <v>1.3150313679696974</v>
      </c>
      <c r="M113" s="254">
        <f>IF(M$4="","",Data!I$22/M19)</f>
        <v>1.4452963113774315</v>
      </c>
      <c r="N113" s="254">
        <f>IF(N$4="","",Data!J$22/N19)</f>
        <v>1.3070879216890576</v>
      </c>
      <c r="O113" s="254">
        <f>IF(O$4="","",Data!K$22/O19)</f>
        <v>1.4064109703954522</v>
      </c>
      <c r="P113" s="254">
        <f>IF(P$4="","",Data!L$22/P19)</f>
        <v>1.9088876471927727</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8.3605870891154094E-2</v>
      </c>
      <c r="E116" s="238"/>
      <c r="G116" s="22">
        <f t="shared" ref="G116:Q116" si="44">IF(G4="","",G77)</f>
        <v>8.9335926651119585E-2</v>
      </c>
      <c r="H116" s="22">
        <f t="shared" si="44"/>
        <v>9.5944677707882453E-2</v>
      </c>
      <c r="I116" s="22">
        <f t="shared" si="44"/>
        <v>9.7307570775549551E-2</v>
      </c>
      <c r="J116" s="22">
        <f t="shared" si="44"/>
        <v>0.10480826236764669</v>
      </c>
      <c r="K116" s="22">
        <f t="shared" si="44"/>
        <v>0.10523091434568788</v>
      </c>
      <c r="L116" s="22">
        <f t="shared" si="44"/>
        <v>0.1793761297481854</v>
      </c>
      <c r="M116" s="22">
        <f t="shared" si="44"/>
        <v>0.18133827725931889</v>
      </c>
      <c r="N116" s="22">
        <f t="shared" si="44"/>
        <v>0.19035178288958407</v>
      </c>
      <c r="O116" s="22">
        <f t="shared" si="44"/>
        <v>0.2156030272494891</v>
      </c>
      <c r="P116" s="22">
        <f t="shared" si="44"/>
        <v>0.28323236860929368</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0.17171941545555858</v>
      </c>
      <c r="D119" s="100"/>
      <c r="E119" s="241"/>
      <c r="F119" s="100"/>
      <c r="G119" s="99">
        <f t="shared" ref="G119:Q119" si="47">IF(G$4="","",G11/G104)</f>
        <v>0.18348846725946891</v>
      </c>
      <c r="H119" s="99">
        <f t="shared" si="47"/>
        <v>0.19836298998873653</v>
      </c>
      <c r="I119" s="99">
        <f t="shared" si="47"/>
        <v>0.20732389469196663</v>
      </c>
      <c r="J119" s="99">
        <f t="shared" si="47"/>
        <v>0.19141416968205463</v>
      </c>
      <c r="K119" s="99">
        <f t="shared" si="47"/>
        <v>0.13601077316337673</v>
      </c>
      <c r="L119" s="99">
        <f t="shared" si="47"/>
        <v>0.25668557668947567</v>
      </c>
      <c r="M119" s="99">
        <f t="shared" si="47"/>
        <v>0.27285856282335669</v>
      </c>
      <c r="N119" s="99">
        <f t="shared" si="47"/>
        <v>0.25730049909338581</v>
      </c>
      <c r="O119" s="99">
        <f t="shared" si="47"/>
        <v>0.26626256846964191</v>
      </c>
      <c r="P119" s="99">
        <f t="shared" si="47"/>
        <v>0.16771058331806496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0.68658542770855557</v>
      </c>
      <c r="D123" s="26"/>
      <c r="E123" s="235"/>
      <c r="F123" s="26"/>
      <c r="G123" s="159">
        <f t="shared" ref="G123:Q123" si="48">IF(G$4="","",G14*$C$3/Common_Shares*Exchange_Rate)</f>
        <v>1.2648858653485553</v>
      </c>
      <c r="H123" s="159">
        <f t="shared" si="48"/>
        <v>1.2737400840103801</v>
      </c>
      <c r="I123" s="159">
        <f t="shared" si="48"/>
        <v>1.3320097782075393</v>
      </c>
      <c r="J123" s="159">
        <f t="shared" si="48"/>
        <v>1.0716465416794358</v>
      </c>
      <c r="K123" s="159">
        <f t="shared" si="48"/>
        <v>0.69510392068559779</v>
      </c>
      <c r="L123" s="159">
        <f t="shared" si="48"/>
        <v>1.5417787053550902</v>
      </c>
      <c r="M123" s="159">
        <f t="shared" si="48"/>
        <v>1.4841873139694275</v>
      </c>
      <c r="N123" s="159">
        <f t="shared" si="48"/>
        <v>1.2813247752936661</v>
      </c>
      <c r="O123" s="159">
        <f t="shared" si="48"/>
        <v>1.4114900718935746</v>
      </c>
      <c r="P123" s="159">
        <f t="shared" si="48"/>
        <v>0.88285245664980527</v>
      </c>
      <c r="Q123" s="159" t="str">
        <f t="shared" si="48"/>
        <v/>
      </c>
    </row>
    <row r="124" spans="1:17" ht="15.75" customHeight="1">
      <c r="A124" s="10"/>
      <c r="B124" s="26" t="s">
        <v>226</v>
      </c>
      <c r="C124" s="74">
        <f>C19*Exchange_Rate*$C$3/(Market_Price*Common_Shares)</f>
        <v>9.5226827698828773E-2</v>
      </c>
      <c r="D124" s="26"/>
      <c r="E124" s="235"/>
      <c r="F124" s="26"/>
      <c r="G124" s="74">
        <f t="shared" ref="G124" si="49">IF(G$4="","",G123/Market_Price)</f>
        <v>0.17543493278065955</v>
      </c>
      <c r="H124" s="74">
        <f t="shared" ref="H124" si="50">IF(H$4="","",H123/Market_Price)</f>
        <v>0.17666297975178641</v>
      </c>
      <c r="I124" s="74">
        <f t="shared" ref="I124" si="51">IF(I$4="","",I123/Market_Price)</f>
        <v>0.18474476812864624</v>
      </c>
      <c r="J124" s="74">
        <f t="shared" ref="J124" si="52">IF(J$4="","",J123/Market_Price)</f>
        <v>0.14863336223015755</v>
      </c>
      <c r="K124" s="74">
        <f t="shared" ref="K124" si="53">IF(K$4="","",K123/Market_Price)</f>
        <v>9.6408310774701494E-2</v>
      </c>
      <c r="L124" s="74">
        <f t="shared" ref="L124" si="54">IF(L$4="","",L123/Market_Price)</f>
        <v>0.2138389327815659</v>
      </c>
      <c r="M124" s="74">
        <f t="shared" ref="M124" si="55">IF(M$4="","",M123/Market_Price)</f>
        <v>0.20585122246455306</v>
      </c>
      <c r="N124" s="74">
        <f t="shared" ref="N124" si="56">IF(N$4="","",N123/Market_Price)</f>
        <v>0.1777149480296347</v>
      </c>
      <c r="O124" s="74">
        <f t="shared" ref="O124" si="57">IF(O$4="","",O123/Market_Price)</f>
        <v>0.19576838722518372</v>
      </c>
      <c r="P124" s="74">
        <f t="shared" ref="P124" si="58">IF(P$4="","",P123/Market_Price)</f>
        <v>0.12244832963242791</v>
      </c>
      <c r="Q124" s="74" t="str">
        <f t="shared" ref="Q124" si="59">IF(Q$4="","",Q123/Market_Price)</f>
        <v/>
      </c>
    </row>
    <row r="125" spans="1:17" ht="15.75" customHeight="1">
      <c r="B125" s="2" t="s">
        <v>306</v>
      </c>
      <c r="C125" s="151"/>
      <c r="G125" s="22">
        <f>IF(G$4="","",(Data!C47*$C$3)/(Market_Price*Common_Shares))</f>
        <v>0.15228265326583093</v>
      </c>
      <c r="H125" s="22">
        <f>IF(H$4="","",(Data!D47*$C$3)/(Market_Price*Common_Shares))</f>
        <v>0.14824612979649368</v>
      </c>
      <c r="I125" s="22">
        <f>IF(I$4="","",(Data!E47*$C$3)/(Market_Price*Common_Shares))</f>
        <v>0.13139524610703809</v>
      </c>
      <c r="J125" s="22">
        <f>IF(J$4="","",(Data!F47*$C$3)/(Market_Price*Common_Shares))</f>
        <v>0.42186475639656984</v>
      </c>
      <c r="K125" s="22">
        <f>IF(K$4="","",(Data!G47*$C$3)/(Market_Price*Common_Shares))</f>
        <v>0.1558866920777392</v>
      </c>
      <c r="L125" s="22">
        <f>IF(L$4="","",(Data!H47*$C$3)/(Market_Price*Common_Shares))</f>
        <v>0.15330780208344039</v>
      </c>
      <c r="M125" s="22">
        <f>IF(M$4="","",(Data!I47*$C$3)/(Market_Price*Common_Shares))</f>
        <v>0.13155542560978958</v>
      </c>
      <c r="N125" s="22">
        <f>IF(N$4="","",(Data!J47*$C$3)/(Market_Price*Common_Shares))</f>
        <v>0.12732668673715053</v>
      </c>
      <c r="O125" s="22">
        <f>IF(O$4="","",(Data!K47*$C$3)/(Market_Price*Common_Shares))</f>
        <v>5.4685282239354878E-2</v>
      </c>
      <c r="P125" s="22">
        <f>IF(P$4="","",(Data!L47*$C$3)/(Market_Price*Common_Shares))</f>
        <v>3.7161644638343094E-2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5447.0014573306798</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28377.712215531938</v>
      </c>
      <c r="G5" t="str">
        <f>Reporting_currency</f>
        <v>CNY</v>
      </c>
      <c r="H5" s="312" t="s">
        <v>396</v>
      </c>
      <c r="I5" s="309">
        <f>Normalized_FCF!C7</f>
        <v>-5830</v>
      </c>
      <c r="J5" s="309"/>
    </row>
    <row r="6" spans="2:15" ht="13.25" customHeight="1">
      <c r="B6" s="136" t="s">
        <v>194</v>
      </c>
      <c r="C6" s="287">
        <f>(C4*(1+Terminal_Growth))/(Equity_Cost-Terminal_Growth)</f>
        <v>75131.054583871446</v>
      </c>
      <c r="D6" t="str">
        <f>Reporting_currency</f>
        <v>CNY</v>
      </c>
      <c r="E6" s="187" t="s">
        <v>436</v>
      </c>
      <c r="F6" s="288">
        <f>BS!H42</f>
        <v>174</v>
      </c>
      <c r="G6" t="str">
        <f>Reporting_currency</f>
        <v>CNY</v>
      </c>
      <c r="H6" s="312" t="s">
        <v>418</v>
      </c>
      <c r="I6" s="309">
        <f>I7+I8</f>
        <v>-424.85627329319158</v>
      </c>
      <c r="J6" s="309"/>
      <c r="N6" s="135"/>
    </row>
    <row r="7" spans="2:15" ht="12.75" customHeight="1">
      <c r="B7" s="322" t="s">
        <v>433</v>
      </c>
      <c r="C7" s="279">
        <f>F7</f>
        <v>8126.7122155319375</v>
      </c>
      <c r="E7" s="140" t="s">
        <v>427</v>
      </c>
      <c r="F7" s="287">
        <f>SUM(F4:F6)</f>
        <v>8126.7122155319375</v>
      </c>
      <c r="G7" t="str">
        <f>Reporting_currency</f>
        <v>CNY</v>
      </c>
      <c r="H7" s="316" t="s">
        <v>419</v>
      </c>
      <c r="I7" s="317">
        <f>Normalized_FCF!C9</f>
        <v>291.16000000000003</v>
      </c>
      <c r="J7" s="317"/>
      <c r="N7" s="308"/>
      <c r="O7" s="308"/>
    </row>
    <row r="8" spans="2:15" ht="13.15">
      <c r="B8" s="136" t="s">
        <v>429</v>
      </c>
      <c r="C8" s="287">
        <f>C6+C7</f>
        <v>83257.766799403384</v>
      </c>
      <c r="D8" t="str">
        <f>Reporting_currency</f>
        <v>CNY</v>
      </c>
      <c r="E8" s="140" t="s">
        <v>467</v>
      </c>
      <c r="F8" s="108">
        <f>FV_adjustments*scaling_factor/Common_Shares*Exchange_Rate</f>
        <v>1.0243584889914237</v>
      </c>
      <c r="G8" s="298" t="str">
        <f>Market_currency</f>
        <v>HKD</v>
      </c>
      <c r="H8" s="318" t="str">
        <f>Normalized_FCF!B10</f>
        <v>Net Interest Income</v>
      </c>
      <c r="I8" s="317">
        <f>Normalized_FCF!C10</f>
        <v>-716.0162732931916</v>
      </c>
      <c r="J8" s="317"/>
      <c r="N8" s="308"/>
      <c r="O8" s="308"/>
    </row>
    <row r="9" spans="2:15" ht="13.15" thickBot="1">
      <c r="B9" s="189" t="str">
        <f>"*"&amp;Thesis!E15</f>
        <v>*CNY/HKD</v>
      </c>
      <c r="C9" s="190">
        <f>Exchange_Rate</f>
        <v>1.0914274799999999</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90869.814608300498</v>
      </c>
      <c r="D10" t="str">
        <f>Market_currency</f>
        <v>HKD</v>
      </c>
      <c r="H10" s="312" t="s">
        <v>398</v>
      </c>
      <c r="I10" s="310">
        <f>Normalized_FCF!C41</f>
        <v>0.25</v>
      </c>
      <c r="N10" s="308"/>
      <c r="O10" s="308"/>
    </row>
    <row r="11" spans="2:15" ht="13.15">
      <c r="B11" s="136" t="s">
        <v>428</v>
      </c>
      <c r="C11" s="108">
        <f>(C10*scaling_factor)/Common_Shares</f>
        <v>10.494502319454257</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10.603226236189634</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15677.845243556854</v>
      </c>
      <c r="H21" s="303">
        <f t="shared" ref="H21:H50" si="2">IF(A21="",0%,IF(A21="I",$C$18,$F$18))</f>
        <v>0</v>
      </c>
      <c r="I21" s="281">
        <f>(G21*(1-$I$10)+C21*(H21-$I$9))</f>
        <v>5461.2518961659007</v>
      </c>
      <c r="J21" s="303">
        <f>I21/C4-1</f>
        <v>2.6161988291819593E-3</v>
      </c>
      <c r="K21" s="119">
        <f t="shared" ref="K21:K50" si="3">IF($C$15&lt;B21,0,1/(1+Equity_Cost)^B21)</f>
        <v>0.93240093240093236</v>
      </c>
      <c r="L21" s="281">
        <f t="shared" ref="L21:L50" si="4">I21*K21</f>
        <v>5092.0763600614455</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15717.644887185228</v>
      </c>
      <c r="H22" s="303">
        <f t="shared" si="2"/>
        <v>0</v>
      </c>
      <c r="I22" s="281">
        <f>IF(A22="", 0,G22*(1-$I$10)+C22*(H22-$I$9))</f>
        <v>5475.5375565685508</v>
      </c>
      <c r="J22" s="303">
        <f>IF(A22="", 0,I22/I21-1)</f>
        <v>2.6158215504910043E-3</v>
      </c>
      <c r="K22" s="119">
        <f t="shared" si="3"/>
        <v>0.86937149874212816</v>
      </c>
      <c r="L22" s="281">
        <f t="shared" si="4"/>
        <v>4760.2762919728111</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15757.54290012333</v>
      </c>
      <c r="H23" s="303">
        <f t="shared" si="2"/>
        <v>0</v>
      </c>
      <c r="I23" s="281">
        <f t="shared" ref="I23:I50" si="9">IF(A23="", 0,G23*(1-$I$10)+C23*(H23-$I$9))</f>
        <v>5489.8585255927028</v>
      </c>
      <c r="J23" s="303">
        <f t="shared" ref="J23:J50" si="10">IF(A23="", 0,I23/I22-1)</f>
        <v>2.6154453103828246E-3</v>
      </c>
      <c r="K23" s="119">
        <f t="shared" si="3"/>
        <v>0.81060279602995633</v>
      </c>
      <c r="L23" s="281">
        <f t="shared" si="4"/>
        <v>4450.0946706543382</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15797.539525502003</v>
      </c>
      <c r="H24" s="303">
        <f t="shared" si="2"/>
        <v>0</v>
      </c>
      <c r="I24" s="281">
        <f t="shared" si="9"/>
        <v>5504.2148905075965</v>
      </c>
      <c r="J24" s="303">
        <f t="shared" si="10"/>
        <v>2.6150701057170433E-3</v>
      </c>
      <c r="K24" s="119">
        <f t="shared" si="3"/>
        <v>0.75580680282513402</v>
      </c>
      <c r="L24" s="281">
        <f t="shared" si="4"/>
        <v>4160.1230584570412</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15837.635007053022</v>
      </c>
      <c r="H25" s="303">
        <f t="shared" si="2"/>
        <v>0</v>
      </c>
      <c r="I25" s="281">
        <f t="shared" si="9"/>
        <v>5518.606738798172</v>
      </c>
      <c r="J25" s="303">
        <f t="shared" si="10"/>
        <v>2.614695933364608E-3</v>
      </c>
      <c r="K25" s="119">
        <f t="shared" si="3"/>
        <v>0.70471496766912267</v>
      </c>
      <c r="L25" s="281">
        <f t="shared" si="4"/>
        <v>3889.0447695107564</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15837.635007053022</v>
      </c>
      <c r="H51" s="303">
        <f>F18</f>
        <v>0</v>
      </c>
      <c r="I51" s="281">
        <f>(G51*(1-$I$10)+C51*(H51-$I$9))/Equity_Cost</f>
        <v>76118.71363859548</v>
      </c>
      <c r="J51" s="419">
        <f>(G51*(1-$I$10)+C51*(H51-$I$9))/VLOOKUP(C15,B21:I50,8,FALSE)-1</f>
        <v>0</v>
      </c>
      <c r="K51" s="119">
        <f>1/(1+Equity_Cost)^C15</f>
        <v>0.70471496766912267</v>
      </c>
      <c r="L51" s="281">
        <f>I51*K51</f>
        <v>53641.996820838023</v>
      </c>
    </row>
    <row r="52" spans="1:21" ht="13.15">
      <c r="G52" s="111"/>
      <c r="H52" s="111"/>
      <c r="I52" s="111"/>
      <c r="J52" s="464" t="s">
        <v>423</v>
      </c>
      <c r="K52" s="464"/>
      <c r="L52" s="321">
        <f>SUM(L21:L51)</f>
        <v>75993.611971494422</v>
      </c>
    </row>
    <row r="53" spans="1:21">
      <c r="C53" s="111"/>
    </row>
    <row r="54" spans="1:21" ht="13.15">
      <c r="B54" s="115" t="s">
        <v>108</v>
      </c>
      <c r="C54" s="128"/>
      <c r="D54" s="128"/>
      <c r="E54" s="113"/>
      <c r="F54" s="113"/>
      <c r="G54" s="113"/>
      <c r="H54" s="113"/>
      <c r="I54" s="113"/>
      <c r="J54" s="113"/>
      <c r="K54" s="113"/>
      <c r="L54" s="113"/>
    </row>
    <row r="55" spans="1:21" ht="13.15">
      <c r="A55" s="125">
        <f>L52</f>
        <v>75993.611971494422</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67178.442635870626</v>
      </c>
      <c r="C56" s="118">
        <v>75131.054583871432</v>
      </c>
      <c r="D56" s="118">
        <v>76721.576973471558</v>
      </c>
      <c r="E56" s="118">
        <v>78312.099363071698</v>
      </c>
      <c r="F56" s="118">
        <v>79902.621752671883</v>
      </c>
      <c r="G56" s="299"/>
      <c r="H56" s="299"/>
      <c r="I56" s="299"/>
      <c r="J56" s="299"/>
      <c r="K56" s="299"/>
      <c r="L56" s="299"/>
    </row>
    <row r="57" spans="1:21" ht="13.15">
      <c r="A57" s="131">
        <v>2</v>
      </c>
      <c r="B57" s="118">
        <v>60504.922120065778</v>
      </c>
      <c r="C57" s="118">
        <v>75131.054583871432</v>
      </c>
      <c r="D57" s="118">
        <v>78234.241623720693</v>
      </c>
      <c r="E57" s="118">
        <v>81396.748845932641</v>
      </c>
      <c r="F57" s="118">
        <v>84618.576250507307</v>
      </c>
      <c r="G57" s="299"/>
      <c r="H57" s="299"/>
      <c r="I57" s="299"/>
      <c r="J57" s="299"/>
      <c r="K57" s="299"/>
      <c r="L57" s="299"/>
    </row>
    <row r="58" spans="1:21" ht="13.15">
      <c r="A58" s="131">
        <v>3</v>
      </c>
      <c r="B58" s="118">
        <v>54904.765043865911</v>
      </c>
      <c r="C58" s="118">
        <v>75131.054583871432</v>
      </c>
      <c r="D58" s="118">
        <v>79672.859752628909</v>
      </c>
      <c r="E58" s="118">
        <v>84387.924102040197</v>
      </c>
      <c r="F58" s="118">
        <v>89279.566243705951</v>
      </c>
      <c r="G58" s="299"/>
      <c r="H58" s="299"/>
      <c r="I58" s="299"/>
      <c r="J58" s="299"/>
      <c r="K58" s="299"/>
      <c r="L58" s="299"/>
    </row>
    <row r="59" spans="1:21" ht="13.15">
      <c r="A59" s="131">
        <v>4</v>
      </c>
      <c r="B59" s="118">
        <v>50205.332532369488</v>
      </c>
      <c r="C59" s="118">
        <v>75131.054583871417</v>
      </c>
      <c r="D59" s="118">
        <v>81041.056015087088</v>
      </c>
      <c r="E59" s="118">
        <v>87288.457683720218</v>
      </c>
      <c r="F59" s="118">
        <v>93886.232344210002</v>
      </c>
      <c r="G59" s="299"/>
      <c r="H59" s="299"/>
      <c r="I59" s="299"/>
      <c r="J59" s="299"/>
      <c r="K59" s="299"/>
      <c r="L59" s="299"/>
    </row>
    <row r="60" spans="1:21" ht="13.15">
      <c r="A60" s="131">
        <v>5</v>
      </c>
      <c r="B60" s="118">
        <v>46261.752802442439</v>
      </c>
      <c r="C60" s="118">
        <v>75131.054583871432</v>
      </c>
      <c r="D60" s="118">
        <v>82342.277635327016</v>
      </c>
      <c r="E60" s="118">
        <v>90101.096308379711</v>
      </c>
      <c r="F60" s="118">
        <v>98439.207697621867</v>
      </c>
      <c r="G60" s="299"/>
      <c r="H60" s="299"/>
      <c r="I60" s="299"/>
      <c r="J60" s="299"/>
      <c r="K60" s="299"/>
      <c r="L60" s="299"/>
    </row>
    <row r="61" spans="1:21" ht="13.15">
      <c r="A61" s="131">
        <v>6</v>
      </c>
      <c r="B61" s="118">
        <v>42952.455126979185</v>
      </c>
      <c r="C61" s="118">
        <v>75131.054583871432</v>
      </c>
      <c r="D61" s="118">
        <v>83579.80309233845</v>
      </c>
      <c r="E61" s="118">
        <v>92828.503459564585</v>
      </c>
      <c r="F61" s="118">
        <v>102939.11807022485</v>
      </c>
      <c r="G61" s="299"/>
      <c r="H61" s="299"/>
      <c r="I61" s="299"/>
      <c r="J61" s="299"/>
      <c r="K61" s="299"/>
      <c r="L61" s="299"/>
    </row>
    <row r="62" spans="1:21" ht="13.15">
      <c r="A62" s="131">
        <v>7</v>
      </c>
      <c r="B62" s="118">
        <v>40175.422112604429</v>
      </c>
      <c r="C62" s="118">
        <v>75131.054583871432</v>
      </c>
      <c r="D62" s="118">
        <v>84756.750380125552</v>
      </c>
      <c r="E62" s="118">
        <v>95473.261909198452</v>
      </c>
      <c r="F62" s="118">
        <v>107386.58193498853</v>
      </c>
      <c r="G62" s="299"/>
      <c r="H62" s="299"/>
      <c r="I62" s="299"/>
      <c r="J62" s="299"/>
      <c r="K62" s="299"/>
      <c r="L62" s="299"/>
    </row>
    <row r="63" spans="1:21" ht="13.15">
      <c r="A63" s="131">
        <v>8</v>
      </c>
      <c r="B63" s="118">
        <v>37845.044757884345</v>
      </c>
      <c r="C63" s="118">
        <v>75131.054583871432</v>
      </c>
      <c r="D63" s="118">
        <v>85876.084863615353</v>
      </c>
      <c r="E63" s="118">
        <v>98037.876163388835</v>
      </c>
      <c r="F63" s="118">
        <v>111782.21055657321</v>
      </c>
      <c r="G63" s="299"/>
      <c r="H63" s="299"/>
      <c r="I63" s="299"/>
      <c r="J63" s="299"/>
      <c r="K63" s="299"/>
      <c r="L63" s="299"/>
    </row>
    <row r="64" spans="1:21" ht="13.15">
      <c r="A64" s="131">
        <v>9</v>
      </c>
      <c r="B64" s="118">
        <v>35889.483341336025</v>
      </c>
      <c r="C64" s="118">
        <v>75131.054583871417</v>
      </c>
      <c r="D64" s="118">
        <v>86940.626750011259</v>
      </c>
      <c r="E64" s="118">
        <v>100524.77483411896</v>
      </c>
      <c r="F64" s="118">
        <v>116126.60807534217</v>
      </c>
      <c r="G64" s="299"/>
      <c r="H64" s="299"/>
      <c r="I64" s="299"/>
      <c r="J64" s="299"/>
      <c r="K64" s="299"/>
      <c r="L64" s="299"/>
    </row>
    <row r="65" spans="1:21" ht="13.15">
      <c r="A65" s="131">
        <v>10</v>
      </c>
      <c r="B65" s="118">
        <v>34248.452781994769</v>
      </c>
      <c r="C65" s="118">
        <v>75131.054583871432</v>
      </c>
      <c r="D65" s="118">
        <v>87953.058194415775</v>
      </c>
      <c r="E65" s="118">
        <v>102936.31293906935</v>
      </c>
      <c r="F65" s="118">
        <v>120420.37159039595</v>
      </c>
      <c r="G65" s="299"/>
      <c r="H65" s="299"/>
      <c r="I65" s="299"/>
      <c r="J65" s="299"/>
      <c r="K65" s="299"/>
      <c r="L65" s="299"/>
    </row>
    <row r="66" spans="1:21" ht="13.15">
      <c r="A66" s="131">
        <v>15</v>
      </c>
      <c r="B66" s="118">
        <v>29249.392587399918</v>
      </c>
      <c r="C66" s="281">
        <v>75131.054583871432</v>
      </c>
      <c r="D66" s="118">
        <v>92318.594838840232</v>
      </c>
      <c r="E66" s="118">
        <v>113941.14438766995</v>
      </c>
      <c r="F66" s="118">
        <v>141150.094950414</v>
      </c>
      <c r="G66" s="299"/>
      <c r="H66" s="299"/>
      <c r="I66" s="299"/>
      <c r="J66" s="299"/>
      <c r="K66" s="299"/>
      <c r="L66" s="299"/>
      <c r="M66" s="279"/>
      <c r="N66" s="279"/>
      <c r="O66" s="279"/>
      <c r="P66" s="279"/>
      <c r="Q66" s="279"/>
      <c r="R66" s="279"/>
      <c r="S66" s="279"/>
      <c r="T66" s="279"/>
      <c r="U66" s="279"/>
    </row>
    <row r="67" spans="1:21" ht="13.15">
      <c r="A67" s="132">
        <v>20</v>
      </c>
      <c r="B67" s="118">
        <v>27169.147959641799</v>
      </c>
      <c r="C67" s="281">
        <v>75131.054583871432</v>
      </c>
      <c r="D67" s="118">
        <v>95715.254179391661</v>
      </c>
      <c r="E67" s="118">
        <v>123376.61545892077</v>
      </c>
      <c r="F67" s="118">
        <v>160699.62529735547</v>
      </c>
      <c r="G67" s="299"/>
      <c r="H67" s="299"/>
      <c r="I67" s="299"/>
      <c r="J67" s="299"/>
      <c r="K67" s="299"/>
      <c r="L67" s="299"/>
      <c r="M67" s="279"/>
      <c r="N67" s="279"/>
      <c r="O67" s="279"/>
      <c r="P67" s="279"/>
      <c r="Q67" s="279"/>
      <c r="R67" s="279"/>
      <c r="S67" s="279"/>
      <c r="T67" s="279"/>
      <c r="U67" s="279"/>
    </row>
    <row r="68" spans="1:21" ht="13.15">
      <c r="A68" s="132">
        <v>25</v>
      </c>
      <c r="B68" s="118">
        <v>26303.501709573549</v>
      </c>
      <c r="C68" s="281">
        <v>75131.054583871432</v>
      </c>
      <c r="D68" s="118">
        <v>98358.06664793205</v>
      </c>
      <c r="E68" s="118">
        <v>131466.5271265576</v>
      </c>
      <c r="F68" s="118">
        <v>179136.15385822917</v>
      </c>
      <c r="G68" s="299"/>
      <c r="H68" s="299"/>
      <c r="I68" s="299"/>
      <c r="J68" s="299"/>
      <c r="K68" s="299"/>
      <c r="L68" s="299"/>
      <c r="M68" s="279"/>
      <c r="N68" s="279"/>
      <c r="O68" s="279"/>
      <c r="P68" s="279"/>
      <c r="Q68" s="279"/>
      <c r="R68" s="279"/>
      <c r="S68" s="279"/>
      <c r="T68" s="279"/>
      <c r="U68" s="279"/>
    </row>
    <row r="69" spans="1:21" ht="13.15">
      <c r="A69" s="132">
        <v>30</v>
      </c>
      <c r="B69" s="118">
        <v>25943.282810191125</v>
      </c>
      <c r="C69" s="281">
        <v>75131.054583871417</v>
      </c>
      <c r="D69" s="118">
        <v>100414.33930986428</v>
      </c>
      <c r="E69" s="118">
        <v>138402.76489316765</v>
      </c>
      <c r="F69" s="118">
        <v>196523.04650187219</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10.494502319454257</v>
      </c>
      <c r="C73" s="119">
        <f>C11</f>
        <v>10.494502319454257</v>
      </c>
      <c r="D73" s="119">
        <f>C11</f>
        <v>10.494502319454257</v>
      </c>
      <c r="E73" s="119">
        <f>C11</f>
        <v>10.494502319454257</v>
      </c>
      <c r="F73" s="119">
        <f>C11</f>
        <v>10.494502319454257</v>
      </c>
      <c r="G73" s="300"/>
      <c r="H73" s="300"/>
      <c r="I73" s="300"/>
      <c r="J73" s="300"/>
      <c r="K73" s="300"/>
      <c r="L73" s="300"/>
    </row>
    <row r="74" spans="1:21" ht="13.15">
      <c r="A74" s="131">
        <v>1</v>
      </c>
      <c r="B74" s="119">
        <f t="shared" ref="B74:F87" si="11">(B56+FV_adjustments)/Common_Shares*scaling_factor*Exchange_Rate</f>
        <v>9.492088878134183</v>
      </c>
      <c r="C74" s="119">
        <f t="shared" si="11"/>
        <v>10.494502319454257</v>
      </c>
      <c r="D74" s="119">
        <f t="shared" si="11"/>
        <v>10.694985007718268</v>
      </c>
      <c r="E74" s="119">
        <f t="shared" si="11"/>
        <v>10.895467695982278</v>
      </c>
      <c r="F74" s="119">
        <f t="shared" si="11"/>
        <v>11.095950384246297</v>
      </c>
      <c r="G74" s="300"/>
      <c r="H74" s="300"/>
      <c r="I74" s="300"/>
      <c r="J74" s="300"/>
      <c r="K74" s="300"/>
      <c r="L74" s="300"/>
    </row>
    <row r="75" spans="1:21" ht="13.15">
      <c r="A75" s="131">
        <v>2</v>
      </c>
      <c r="B75" s="119">
        <f t="shared" si="11"/>
        <v>8.6509027735299284</v>
      </c>
      <c r="C75" s="119">
        <f t="shared" si="11"/>
        <v>10.494502319454257</v>
      </c>
      <c r="D75" s="119">
        <f t="shared" si="11"/>
        <v>10.885653858095234</v>
      </c>
      <c r="E75" s="119">
        <f t="shared" si="11"/>
        <v>11.284282606554916</v>
      </c>
      <c r="F75" s="119">
        <f t="shared" si="11"/>
        <v>11.690388564833302</v>
      </c>
      <c r="G75" s="300"/>
      <c r="H75" s="300"/>
      <c r="I75" s="300"/>
      <c r="J75" s="300"/>
      <c r="K75" s="300"/>
      <c r="L75" s="300"/>
    </row>
    <row r="76" spans="1:21" ht="13.15">
      <c r="A76" s="131">
        <v>3</v>
      </c>
      <c r="B76" s="119">
        <f t="shared" si="11"/>
        <v>7.9450123360997864</v>
      </c>
      <c r="C76" s="119">
        <f t="shared" si="11"/>
        <v>10.494502319454257</v>
      </c>
      <c r="D76" s="119">
        <f t="shared" si="11"/>
        <v>11.066989268243953</v>
      </c>
      <c r="E76" s="119">
        <f t="shared" si="11"/>
        <v>11.661315247110196</v>
      </c>
      <c r="F76" s="119">
        <f t="shared" si="11"/>
        <v>12.277898561497384</v>
      </c>
      <c r="G76" s="300"/>
      <c r="H76" s="300"/>
      <c r="I76" s="300"/>
      <c r="J76" s="300"/>
      <c r="K76" s="300"/>
      <c r="L76" s="300"/>
    </row>
    <row r="77" spans="1:21" ht="13.15">
      <c r="A77" s="131">
        <v>4</v>
      </c>
      <c r="B77" s="119">
        <f t="shared" si="11"/>
        <v>7.3526567242702914</v>
      </c>
      <c r="C77" s="119">
        <f t="shared" si="11"/>
        <v>10.494502319454256</v>
      </c>
      <c r="D77" s="119">
        <f t="shared" si="11"/>
        <v>11.239448119853927</v>
      </c>
      <c r="E77" s="119">
        <f t="shared" si="11"/>
        <v>12.026922656133499</v>
      </c>
      <c r="F77" s="119">
        <f t="shared" si="11"/>
        <v>12.858561122302911</v>
      </c>
      <c r="G77" s="300"/>
      <c r="H77" s="300"/>
      <c r="I77" s="300"/>
      <c r="J77" s="300"/>
      <c r="K77" s="300"/>
      <c r="L77" s="300"/>
    </row>
    <row r="78" spans="1:21" ht="13.15">
      <c r="A78" s="131">
        <v>5</v>
      </c>
      <c r="B78" s="119">
        <f t="shared" si="11"/>
        <v>6.8555750919658234</v>
      </c>
      <c r="C78" s="119">
        <f t="shared" si="11"/>
        <v>10.494502319454257</v>
      </c>
      <c r="D78" s="119">
        <f t="shared" si="11"/>
        <v>11.403464929776696</v>
      </c>
      <c r="E78" s="119">
        <f t="shared" si="11"/>
        <v>12.381451052762161</v>
      </c>
      <c r="F78" s="119">
        <f t="shared" si="11"/>
        <v>13.432456054194613</v>
      </c>
      <c r="G78" s="300"/>
      <c r="H78" s="300"/>
      <c r="I78" s="300"/>
      <c r="J78" s="300"/>
      <c r="K78" s="300"/>
      <c r="L78" s="300"/>
    </row>
    <row r="79" spans="1:21" ht="13.15">
      <c r="A79" s="131">
        <v>6</v>
      </c>
      <c r="B79" s="119">
        <f t="shared" si="11"/>
        <v>6.4384436522697666</v>
      </c>
      <c r="C79" s="119">
        <f t="shared" si="11"/>
        <v>10.494502319454257</v>
      </c>
      <c r="D79" s="119">
        <f t="shared" si="11"/>
        <v>11.559452944808143</v>
      </c>
      <c r="E79" s="119">
        <f t="shared" si="11"/>
        <v>12.725236164644491</v>
      </c>
      <c r="F79" s="119">
        <f t="shared" si="11"/>
        <v>13.999662233966381</v>
      </c>
      <c r="G79" s="300"/>
      <c r="H79" s="300"/>
      <c r="I79" s="300"/>
      <c r="J79" s="300"/>
      <c r="K79" s="300"/>
      <c r="L79" s="300"/>
    </row>
    <row r="80" spans="1:21" ht="13.15">
      <c r="A80" s="131">
        <f t="shared" ref="A80" si="12">A62</f>
        <v>7</v>
      </c>
      <c r="B80" s="119">
        <f t="shared" si="11"/>
        <v>6.0884032832940536</v>
      </c>
      <c r="C80" s="119">
        <f t="shared" si="11"/>
        <v>10.494502319454257</v>
      </c>
      <c r="D80" s="119">
        <f t="shared" si="11"/>
        <v>11.707805182880012</v>
      </c>
      <c r="E80" s="119">
        <f t="shared" si="11"/>
        <v>13.058603545863726</v>
      </c>
      <c r="F80" s="119">
        <f t="shared" si="11"/>
        <v>14.560257619102099</v>
      </c>
      <c r="G80" s="300"/>
      <c r="H80" s="300"/>
      <c r="I80" s="300"/>
      <c r="J80" s="300"/>
      <c r="K80" s="300"/>
      <c r="L80" s="300"/>
    </row>
    <row r="81" spans="1:12" ht="13.15">
      <c r="A81" s="131">
        <v>8</v>
      </c>
      <c r="B81" s="119">
        <f t="shared" si="11"/>
        <v>5.7946631135242255</v>
      </c>
      <c r="C81" s="119">
        <f t="shared" si="11"/>
        <v>10.494502319454257</v>
      </c>
      <c r="D81" s="119">
        <f t="shared" si="11"/>
        <v>11.848895423284024</v>
      </c>
      <c r="E81" s="119">
        <f t="shared" si="11"/>
        <v>13.38186888522783</v>
      </c>
      <c r="F81" s="119">
        <f t="shared" si="11"/>
        <v>15.114319258490324</v>
      </c>
      <c r="G81" s="300"/>
      <c r="H81" s="300"/>
      <c r="I81" s="300"/>
      <c r="J81" s="300"/>
      <c r="K81" s="300"/>
      <c r="L81" s="300"/>
    </row>
    <row r="82" spans="1:12" ht="13.15">
      <c r="A82" s="131">
        <f t="shared" ref="A82" si="13">A64</f>
        <v>9</v>
      </c>
      <c r="B82" s="119">
        <f t="shared" si="11"/>
        <v>5.5481678661649276</v>
      </c>
      <c r="C82" s="119">
        <f t="shared" si="11"/>
        <v>10.494502319454256</v>
      </c>
      <c r="D82" s="119">
        <f t="shared" si="11"/>
        <v>11.983079148423503</v>
      </c>
      <c r="E82" s="119">
        <f t="shared" si="11"/>
        <v>13.695338305217268</v>
      </c>
      <c r="F82" s="119">
        <f t="shared" si="11"/>
        <v>15.661923303013879</v>
      </c>
      <c r="G82" s="300"/>
      <c r="H82" s="300"/>
      <c r="I82" s="300"/>
      <c r="J82" s="300"/>
      <c r="K82" s="300"/>
      <c r="L82" s="300"/>
    </row>
    <row r="83" spans="1:12" ht="13.15">
      <c r="A83" s="131">
        <f t="shared" ref="A83:A87" si="14">A65</f>
        <v>10</v>
      </c>
      <c r="B83" s="119">
        <f t="shared" si="11"/>
        <v>5.341318707541741</v>
      </c>
      <c r="C83" s="119">
        <f t="shared" si="11"/>
        <v>10.494502319454257</v>
      </c>
      <c r="D83" s="119">
        <f t="shared" si="11"/>
        <v>12.110694439465247</v>
      </c>
      <c r="E83" s="119">
        <f t="shared" si="11"/>
        <v>13.99930865187369</v>
      </c>
      <c r="F83" s="119">
        <f t="shared" si="11"/>
        <v>16.20314501601619</v>
      </c>
      <c r="G83" s="300"/>
      <c r="H83" s="300"/>
      <c r="I83" s="300"/>
      <c r="J83" s="300"/>
      <c r="K83" s="300"/>
      <c r="L83" s="300"/>
    </row>
    <row r="84" spans="1:12" ht="13.15">
      <c r="A84" s="131">
        <f t="shared" si="14"/>
        <v>15</v>
      </c>
      <c r="B84" s="119">
        <f t="shared" si="11"/>
        <v>4.7111955271582486</v>
      </c>
      <c r="C84" s="119">
        <f t="shared" si="11"/>
        <v>10.494502319454257</v>
      </c>
      <c r="D84" s="119">
        <f t="shared" si="11"/>
        <v>12.660963035438487</v>
      </c>
      <c r="E84" s="119">
        <f t="shared" si="11"/>
        <v>15.386449258716988</v>
      </c>
      <c r="F84" s="119">
        <f t="shared" si="11"/>
        <v>18.816091990771145</v>
      </c>
      <c r="G84" s="300"/>
      <c r="H84" s="300"/>
      <c r="I84" s="300"/>
      <c r="J84" s="300"/>
      <c r="K84" s="300"/>
      <c r="L84" s="300"/>
    </row>
    <row r="85" spans="1:12" ht="13.15">
      <c r="A85" s="132">
        <f t="shared" si="14"/>
        <v>20</v>
      </c>
      <c r="B85" s="119">
        <f t="shared" si="11"/>
        <v>4.4489841694642749</v>
      </c>
      <c r="C85" s="119">
        <f t="shared" si="11"/>
        <v>10.494502319454257</v>
      </c>
      <c r="D85" s="119">
        <f t="shared" si="11"/>
        <v>13.089106266972632</v>
      </c>
      <c r="E85" s="119">
        <f t="shared" si="11"/>
        <v>16.575774613562981</v>
      </c>
      <c r="F85" s="119">
        <f t="shared" si="11"/>
        <v>21.280277609207509</v>
      </c>
      <c r="G85" s="300"/>
      <c r="H85" s="300"/>
      <c r="I85" s="300"/>
      <c r="J85" s="300"/>
      <c r="K85" s="300"/>
      <c r="L85" s="300"/>
    </row>
    <row r="86" spans="1:12" ht="13.15">
      <c r="A86" s="132">
        <f t="shared" si="14"/>
        <v>25</v>
      </c>
      <c r="B86" s="119">
        <f t="shared" si="11"/>
        <v>4.3398709067814574</v>
      </c>
      <c r="C86" s="119">
        <f t="shared" si="11"/>
        <v>10.494502319454257</v>
      </c>
      <c r="D86" s="119">
        <f t="shared" si="11"/>
        <v>13.422228360528216</v>
      </c>
      <c r="E86" s="119">
        <f t="shared" si="11"/>
        <v>17.595494455013295</v>
      </c>
      <c r="F86" s="119">
        <f t="shared" si="11"/>
        <v>23.604171213163269</v>
      </c>
      <c r="G86" s="300"/>
      <c r="H86" s="300"/>
      <c r="I86" s="300"/>
      <c r="J86" s="300"/>
      <c r="K86" s="300"/>
      <c r="L86" s="300"/>
    </row>
    <row r="87" spans="1:12" ht="13.15">
      <c r="A87" s="132">
        <f t="shared" si="14"/>
        <v>30</v>
      </c>
      <c r="B87" s="119">
        <f t="shared" si="11"/>
        <v>4.2944659167078205</v>
      </c>
      <c r="C87" s="119">
        <f t="shared" si="11"/>
        <v>10.494502319454256</v>
      </c>
      <c r="D87" s="119">
        <f t="shared" si="11"/>
        <v>13.68141809200481</v>
      </c>
      <c r="E87" s="119">
        <f t="shared" si="11"/>
        <v>18.469795629885748</v>
      </c>
      <c r="F87" s="119">
        <f t="shared" si="11"/>
        <v>25.795759964473874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13.432456054194613</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12.381451052762161</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11.403464929776696</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10.494502319454257</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6.8555750919658234</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10034.927736385314</v>
      </c>
      <c r="D8" s="465"/>
      <c r="E8" s="465"/>
      <c r="F8" s="465"/>
      <c r="G8" s="465"/>
    </row>
    <row r="9" spans="2:7">
      <c r="B9" s="97" t="s">
        <v>54</v>
      </c>
      <c r="C9" s="452">
        <f>Normalized_FCF!C19</f>
        <v>5447.0014573306798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-2.5522169589104582E-2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12.381451052762161</v>
      </c>
      <c r="F22" s="332">
        <f>1-F23-F24</f>
        <v>0.10000000000000003</v>
      </c>
      <c r="G22" s="332">
        <f>F22*(1-F$29-F$30)</f>
        <v>8.0000000000000029E-2</v>
      </c>
    </row>
    <row r="23" spans="2:7">
      <c r="B23" s="306" t="s">
        <v>440</v>
      </c>
      <c r="C23" s="328">
        <v>0.02</v>
      </c>
      <c r="D23" s="329">
        <f>C18</f>
        <v>5</v>
      </c>
      <c r="E23" s="330">
        <f>DCF!E92</f>
        <v>11.403464929776696</v>
      </c>
      <c r="F23" s="331">
        <v>0.6</v>
      </c>
      <c r="G23" s="332">
        <f t="shared" ref="G23:G24" si="0">F23*(1-F$29-F$30)</f>
        <v>0.48</v>
      </c>
    </row>
    <row r="24" spans="2:7">
      <c r="B24" s="306" t="s">
        <v>449</v>
      </c>
      <c r="C24" s="328">
        <v>0</v>
      </c>
      <c r="D24" s="329">
        <f>C18</f>
        <v>5</v>
      </c>
      <c r="E24" s="330">
        <f>DCF!E93</f>
        <v>10.494502319454257</v>
      </c>
      <c r="F24" s="331">
        <v>0.3</v>
      </c>
      <c r="G24" s="332">
        <f t="shared" si="0"/>
        <v>0.24</v>
      </c>
    </row>
    <row r="25" spans="2:7">
      <c r="B25" s="141" t="s">
        <v>454</v>
      </c>
      <c r="C25" s="446">
        <f>E23*F23+E24*F24+E22*F22</f>
        <v>11.22857475897851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13.432456054194613</v>
      </c>
      <c r="F29" s="331">
        <v>0.1</v>
      </c>
      <c r="G29" s="332">
        <f>F29</f>
        <v>0.1</v>
      </c>
    </row>
    <row r="30" spans="2:7">
      <c r="B30" s="319" t="s">
        <v>450</v>
      </c>
      <c r="C30" s="328">
        <v>-0.1</v>
      </c>
      <c r="D30" s="329">
        <f>C18</f>
        <v>5</v>
      </c>
      <c r="E30" s="330">
        <f>DCF!E94</f>
        <v>6.8555750919658234</v>
      </c>
      <c r="F30" s="331">
        <v>0.1</v>
      </c>
      <c r="G30" s="332">
        <f>F30</f>
        <v>0.1</v>
      </c>
    </row>
    <row r="31" spans="2:7">
      <c r="E31" s="333"/>
      <c r="F31" s="333"/>
    </row>
    <row r="32" spans="2:7" ht="13.15">
      <c r="B32" s="145" t="s">
        <v>459</v>
      </c>
    </row>
    <row r="33" spans="2:7">
      <c r="B33" s="97" t="s">
        <v>461</v>
      </c>
      <c r="C33" s="155">
        <f>Normalized_FCF!C88*(1-dividend_tax_rate)</f>
        <v>0.31020551836559995</v>
      </c>
      <c r="D33" t="str">
        <f>Market_currency</f>
        <v>HKD</v>
      </c>
      <c r="E33" s="97" t="s">
        <v>458</v>
      </c>
      <c r="F33" s="219">
        <f>Holding_Period</f>
        <v>3</v>
      </c>
    </row>
    <row r="34" spans="2:7">
      <c r="B34" s="97" t="s">
        <v>233</v>
      </c>
      <c r="C34" s="146">
        <f>Market_Price</f>
        <v>7.21</v>
      </c>
      <c r="D34" t="str">
        <f>Market_currency</f>
        <v>HKD</v>
      </c>
      <c r="E34" s="97" t="s">
        <v>457</v>
      </c>
      <c r="F34" s="334">
        <f>RATE(Holding_Period,$C$33,-C34,$C$36)</f>
        <v>0.18933362158706946</v>
      </c>
    </row>
    <row r="35" spans="2:7">
      <c r="B35" s="97" t="s">
        <v>437</v>
      </c>
      <c r="C35" s="324">
        <f>DCF!C11</f>
        <v>10.494502319454257</v>
      </c>
      <c r="D35" s="97" t="str">
        <f>Market_currency</f>
        <v>HKD</v>
      </c>
      <c r="E35" s="97" t="s">
        <v>457</v>
      </c>
      <c r="F35" s="334">
        <f>RATE(Holding_Period,$C$33,-C35,$C$36)</f>
        <v>4.5263674006904848E-2</v>
      </c>
    </row>
    <row r="36" spans="2:7">
      <c r="B36" s="97" t="s">
        <v>438</v>
      </c>
      <c r="C36" s="325">
        <f>E22*G22+E23*G23+E24*G24+E30*G30+E29*G29</f>
        <v>11.011662921798854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10.603226236189634</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0.56062674113082489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0.31020551836559995</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0.56763005669934974</v>
      </c>
      <c r="D62" s="119">
        <f>C36/(1+F62)^Holding_Period</f>
        <v>5.0744990423036205</v>
      </c>
      <c r="E62" s="336">
        <f>C62+D62</f>
        <v>5.64212909900297</v>
      </c>
      <c r="F62" s="305">
        <f>Thesis!E22</f>
        <v>0.29465259038036606</v>
      </c>
      <c r="G62" s="445">
        <f>(1-E62/C36)</f>
        <v>0.48762242913976905</v>
      </c>
    </row>
    <row r="63" spans="2:7" ht="13.15">
      <c r="B63" s="306" t="s">
        <v>313</v>
      </c>
      <c r="C63" s="119">
        <f>PV(F63, Holding_Period, -C58, 0)</f>
        <v>0.65267363510587273</v>
      </c>
      <c r="D63" s="119">
        <f>C36/(1+F63)^Holding_Period</f>
        <v>6.360527319450604</v>
      </c>
      <c r="E63" s="336">
        <f>C63+D63</f>
        <v>7.0132009545564769</v>
      </c>
      <c r="F63" s="305">
        <f>Thesis!E23</f>
        <v>0.20075184365903009</v>
      </c>
      <c r="G63" s="445">
        <f>(1-E63/C36)</f>
        <v>0.36311154778693422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0.74840280329226538</v>
      </c>
      <c r="D66" s="119">
        <f>C36/(1+F66)^Holding_Period</f>
        <v>7.8927238435750757</v>
      </c>
      <c r="E66" s="336">
        <f>C66+D66</f>
        <v>8.6411266468673418</v>
      </c>
      <c r="F66" s="305">
        <f>Thesis!E24</f>
        <v>0.1174</v>
      </c>
      <c r="G66" s="445">
        <f>(1-E66/C36)</f>
        <v>0.2152750489881744</v>
      </c>
    </row>
    <row r="67" spans="2:7" ht="13.15">
      <c r="B67" s="306" t="s">
        <v>314</v>
      </c>
      <c r="C67" s="119">
        <f>PV(F67, Holding_Period, -C58, 0)</f>
        <v>0.81037321151065744</v>
      </c>
      <c r="D67" s="119">
        <f>C36/(1+F67)^Holding_Period</f>
        <v>8.9260847533495493</v>
      </c>
      <c r="E67" s="336">
        <f>C67+D67</f>
        <v>9.7364579648602074</v>
      </c>
      <c r="F67" s="305">
        <f>Thesis!E25</f>
        <v>7.2499999999999995E-2</v>
      </c>
      <c r="G67" s="445">
        <f>(1-E67/C36)</f>
        <v>0.11580493936244918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7.21</v>
      </c>
    </row>
    <row r="9" spans="1:10">
      <c r="B9" s="355" t="s">
        <v>361</v>
      </c>
      <c r="C9" s="357">
        <f>Common_Shares</f>
        <v>8658801708</v>
      </c>
    </row>
    <row r="10" spans="1:10">
      <c r="B10" s="355" t="s">
        <v>367</v>
      </c>
      <c r="C10" s="361">
        <f>投资主题!C8*Common_Shares/1000000</f>
        <v>62429.96031468</v>
      </c>
      <c r="D10" s="347" t="s">
        <v>531</v>
      </c>
      <c r="E10" s="364">
        <f>Scenarios!F34</f>
        <v>0.18933362158706946</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1.0914274799999999</v>
      </c>
    </row>
    <row r="17" spans="1:6">
      <c r="B17" s="347" t="s">
        <v>537</v>
      </c>
      <c r="C17" s="429">
        <f>Terminal_Growth</f>
        <v>0</v>
      </c>
      <c r="D17" s="355" t="s">
        <v>339</v>
      </c>
      <c r="E17" s="348" t="str">
        <f>Reporting_currency</f>
        <v>CNY</v>
      </c>
    </row>
    <row r="18" spans="1:6">
      <c r="B18" s="347" t="str">
        <f>"预期股权价值 ("&amp;C7&amp;") :"</f>
        <v>预期股权价值 (HKD) :</v>
      </c>
      <c r="C18" s="363">
        <f>C125</f>
        <v>11.011662921798854</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5.64212909900297</v>
      </c>
      <c r="D22" s="369" t="s">
        <v>443</v>
      </c>
      <c r="E22" s="370">
        <f>Thesis!E22</f>
        <v>0.29465259038036606</v>
      </c>
    </row>
    <row r="23" spans="1:6">
      <c r="B23" s="347" t="s">
        <v>341</v>
      </c>
      <c r="C23" s="371">
        <f>E141</f>
        <v>7.0132009545564769</v>
      </c>
      <c r="D23" s="369" t="s">
        <v>444</v>
      </c>
      <c r="E23" s="372">
        <f>Thesis!E23</f>
        <v>0.20075184365903009</v>
      </c>
    </row>
    <row r="24" spans="1:6">
      <c r="B24" s="347" t="s">
        <v>343</v>
      </c>
      <c r="C24" s="371">
        <f>E144</f>
        <v>8.6411266468673418</v>
      </c>
      <c r="D24" s="369" t="s">
        <v>446</v>
      </c>
      <c r="E24" s="372">
        <f>Thesis!E24</f>
        <v>0.1174</v>
      </c>
    </row>
    <row r="25" spans="1:6">
      <c r="B25" s="347" t="s">
        <v>342</v>
      </c>
      <c r="C25" s="371">
        <f>E145</f>
        <v>9.7364579648602074</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86.983726706808383</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-716.0162732931916</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-3909.5359316767021</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10034.927736385314</v>
      </c>
      <c r="D60" s="347" t="str">
        <f>Reporting_currency</f>
        <v>CNY</v>
      </c>
    </row>
    <row r="61" spans="2:6">
      <c r="B61" s="376" t="s">
        <v>213</v>
      </c>
      <c r="C61" s="377">
        <f>Normalized_FCF!C19</f>
        <v>5447.0014573306798</v>
      </c>
      <c r="D61" s="347" t="str">
        <f>Reporting_currency</f>
        <v>CNY</v>
      </c>
    </row>
    <row r="62" spans="2:6">
      <c r="B62" s="381" t="s">
        <v>302</v>
      </c>
      <c r="C62" s="382">
        <f>Normalized_FCF!C124</f>
        <v>9.5226827698828773E-2</v>
      </c>
      <c r="F62" s="383"/>
    </row>
    <row r="63" spans="2:6">
      <c r="B63" s="381" t="s">
        <v>332</v>
      </c>
      <c r="C63" s="382">
        <f>Normalized_FCF!C92</f>
        <v>4.3024343740027733E-2</v>
      </c>
      <c r="E63" s="376" t="s">
        <v>373</v>
      </c>
      <c r="F63" s="384">
        <f>Normalized_FCF!C90</f>
        <v>0.54790758493376612</v>
      </c>
    </row>
    <row r="65" spans="1:6">
      <c r="B65" s="373" t="s">
        <v>376</v>
      </c>
      <c r="C65" s="385" t="s">
        <v>327</v>
      </c>
      <c r="D65" s="385" t="s">
        <v>374</v>
      </c>
    </row>
    <row r="66" spans="1:6">
      <c r="B66" s="376" t="s">
        <v>326</v>
      </c>
      <c r="C66" s="382">
        <f>Normalized_FCF!C119</f>
        <v>0.17171941545555858</v>
      </c>
      <c r="D66" s="382">
        <f>Normalized_FCF!G119</f>
        <v>0.18348846725946891</v>
      </c>
    </row>
    <row r="67" spans="1:6">
      <c r="B67" s="386" t="str">
        <f>Normalized_FCF!B116</f>
        <v>Pre-tax Profit/Sales</v>
      </c>
      <c r="C67" s="387">
        <f>Normalized_FCF!C116</f>
        <v>8.3605870891154094E-2</v>
      </c>
      <c r="D67" s="387">
        <f>Normalized_FCF!G116</f>
        <v>8.9335926651119585E-2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-20425</v>
      </c>
      <c r="D78" s="347" t="str">
        <f>Reporting_currency</f>
        <v>CNY</v>
      </c>
    </row>
    <row r="79" spans="1:6">
      <c r="B79" s="376" t="s">
        <v>234</v>
      </c>
      <c r="C79" s="391">
        <f>C78*scaling_factor*Exchange_Rate/Common_Shares</f>
        <v>-2.5745371046439023</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28377.712215531938</v>
      </c>
      <c r="D84" s="347" t="str">
        <f>Reporting_currency</f>
        <v>CNY</v>
      </c>
    </row>
    <row r="85" spans="1:6">
      <c r="B85" s="386" t="s">
        <v>484</v>
      </c>
      <c r="C85" s="394">
        <f>BS!C66</f>
        <v>42875</v>
      </c>
      <c r="D85" s="395" t="str">
        <f>Reporting_currency</f>
        <v>CNY</v>
      </c>
    </row>
    <row r="86" spans="1:6">
      <c r="B86" s="376" t="s">
        <v>235</v>
      </c>
      <c r="C86" s="391">
        <f>C84*scaling_factor*Exchange_Rate/Common_Shares</f>
        <v>3.5769631845186534</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2.1932409116672658E-2</v>
      </c>
      <c r="D90" s="347" t="str">
        <f>Market_currency</f>
        <v>HKD</v>
      </c>
    </row>
    <row r="92" spans="1:6">
      <c r="B92" s="376" t="s">
        <v>483</v>
      </c>
      <c r="C92" s="391">
        <f>DCF!F8</f>
        <v>1.0243584889914237</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-2.8802925344962746</v>
      </c>
      <c r="D111" s="347" t="str">
        <f>Market_currency</f>
        <v>HKD</v>
      </c>
    </row>
    <row r="112" spans="1:6">
      <c r="A112" s="389"/>
      <c r="B112" s="376" t="s">
        <v>377</v>
      </c>
      <c r="C112" s="398">
        <f>DCF!C11</f>
        <v>10.494502319454257</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13.43 HKD</v>
      </c>
      <c r="F118" s="403">
        <f>DCF!F90</f>
        <v>0.1</v>
      </c>
    </row>
    <row r="119" spans="1:6">
      <c r="A119" s="389"/>
      <c r="B119" s="404" t="str">
        <f>DCF!B91</f>
        <v>Optimistic</v>
      </c>
      <c r="C119" s="405">
        <f>DCF!C91</f>
        <v>0.04</v>
      </c>
      <c r="D119" s="406">
        <f>DCF!D91</f>
        <v>5</v>
      </c>
      <c r="E119" s="402" t="str">
        <f>ROUND(DCF!E91,2)&amp;" "&amp;Market_currency</f>
        <v>12.38 HKD</v>
      </c>
      <c r="F119" s="407">
        <f>DCF!F91</f>
        <v>8.0000000000000029E-2</v>
      </c>
    </row>
    <row r="120" spans="1:6">
      <c r="B120" s="404" t="str">
        <f>DCF!B92</f>
        <v>Base</v>
      </c>
      <c r="C120" s="405">
        <f>DCF!C92</f>
        <v>0.02</v>
      </c>
      <c r="D120" s="406">
        <f>DCF!D92</f>
        <v>5</v>
      </c>
      <c r="E120" s="402" t="str">
        <f>ROUND(DCF!E92,2)&amp;" "&amp;Market_currency</f>
        <v>11.4 HKD</v>
      </c>
      <c r="F120" s="407">
        <f>DCF!F92</f>
        <v>0.48</v>
      </c>
    </row>
    <row r="121" spans="1:6">
      <c r="B121" s="404" t="str">
        <f>DCF!B93</f>
        <v>Pessimistic</v>
      </c>
      <c r="C121" s="405">
        <f>DCF!C93</f>
        <v>0</v>
      </c>
      <c r="D121" s="406">
        <f>DCF!D93</f>
        <v>5</v>
      </c>
      <c r="E121" s="402" t="str">
        <f>ROUND(DCF!E93,2)&amp;" "&amp;Market_currency</f>
        <v>10.49 HKD</v>
      </c>
      <c r="F121" s="407">
        <f>DCF!F93</f>
        <v>0.24</v>
      </c>
    </row>
    <row r="122" spans="1:6">
      <c r="B122" s="404" t="str">
        <f>DCF!B94</f>
        <v>Devil's advocate</v>
      </c>
      <c r="C122" s="405">
        <f>DCF!C94</f>
        <v>-0.1</v>
      </c>
      <c r="D122" s="406">
        <f>DCF!D94</f>
        <v>5</v>
      </c>
      <c r="E122" s="402" t="str">
        <f>ROUND(DCF!E94,2)&amp;" "&amp;Market_currency</f>
        <v>6.86 HKD</v>
      </c>
      <c r="F122" s="407">
        <f>DCF!F94</f>
        <v>0.1</v>
      </c>
    </row>
    <row r="124" spans="1:6">
      <c r="B124" s="466" t="s">
        <v>521</v>
      </c>
      <c r="C124" s="466"/>
      <c r="D124" s="466"/>
      <c r="E124" s="466"/>
      <c r="F124" s="466"/>
    </row>
    <row r="125" spans="1:6">
      <c r="B125" s="376" t="s">
        <v>218</v>
      </c>
      <c r="C125" s="408">
        <f>Scenarios!C36</f>
        <v>11.011662921798854</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0.31020551836559995</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0.56763005669934974</v>
      </c>
      <c r="D140" s="413">
        <f>Scenarios!D62</f>
        <v>5.0744990423036205</v>
      </c>
      <c r="E140" s="414">
        <f>Scenarios!E62</f>
        <v>5.64212909900297</v>
      </c>
      <c r="F140" s="415">
        <f>E22</f>
        <v>0.29465259038036606</v>
      </c>
    </row>
    <row r="141" spans="1:6">
      <c r="B141" s="412" t="s">
        <v>313</v>
      </c>
      <c r="C141" s="413">
        <f>Scenarios!C63</f>
        <v>0.65267363510587273</v>
      </c>
      <c r="D141" s="413">
        <f>Scenarios!D63</f>
        <v>6.360527319450604</v>
      </c>
      <c r="E141" s="414">
        <f>Scenarios!E63</f>
        <v>7.0132009545564769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0.74840280329226538</v>
      </c>
      <c r="D144" s="413">
        <f>Scenarios!D66</f>
        <v>7.8927238435750757</v>
      </c>
      <c r="E144" s="414">
        <f>Scenarios!E66</f>
        <v>8.6411266468673418</v>
      </c>
      <c r="F144" s="415">
        <f>E24</f>
        <v>0.1174</v>
      </c>
    </row>
    <row r="145" spans="1:6">
      <c r="B145" s="412" t="s">
        <v>314</v>
      </c>
      <c r="C145" s="413">
        <f>Scenarios!C67</f>
        <v>0.81037321151065744</v>
      </c>
      <c r="D145" s="413">
        <f>Scenarios!D67</f>
        <v>8.9260847533495493</v>
      </c>
      <c r="E145" s="414">
        <f>Scenarios!E67</f>
        <v>9.7364579648602074</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2025-11-04T01:07:41Z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