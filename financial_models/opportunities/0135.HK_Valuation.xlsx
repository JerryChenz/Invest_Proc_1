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B8E001-1512-4BEA-8336-9AA04250A63E}" xr6:coauthVersionLast="47" xr6:coauthVersionMax="47" xr10:uidLastSave="{00000000-0000-0000-0000-000000000000}"/>
  <bookViews>
    <workbookView xWindow="1837" yWindow="1837" windowWidth="12691"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<sst xmlns="http://schemas.openxmlformats.org/spreadsheetml/2006/main" count="768" uniqueCount="558">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</sst>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45932</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7.48</v>
      </c>
      <c r="E8" s="32"/>
    </row>
    <row r="9" spans="1:9">
      <c r="B9" s="4" t="s">
        <v>345</v>
      </c>
      <c r="C9" s="48">
        <v>8658801708</v>
      </c>
    </row>
    <row r="10" spans="1:9">
      <c r="B10" s="4" t="s">
        <v>351</v>
      </c>
      <c r="C10" s="33">
        <f>Thesis!C8*Common_Shares/1000000</f>
        <v>64767.836775840005</v>
      </c>
      <c r="D10" s="1" t="s">
        <v>526</v>
      </c>
      <c r="E10" s="303">
        <f>Scenarios!F34</f>
        <v>0.19828344583128332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1.14663</v>
      </c>
    </row>
    <row r="17" spans="1:6">
      <c r="B17" s="1" t="s">
        <v>530</v>
      </c>
      <c r="C17" s="456">
        <v>0.02</v>
      </c>
      <c r="D17" s="4" t="s">
        <v>273</v>
      </c>
      <c r="E17" s="224" t="s">
        <v>557</v>
      </c>
    </row>
    <row r="18" spans="1:6">
      <c r="B18" s="1" t="str">
        <f>"Expected Equity Value ("&amp;C7&amp;") :"</f>
        <v>Expected Equity Value (HKD) :</v>
      </c>
      <c r="C18" s="252">
        <f>C125</f>
        <v>11.685693868800916</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5.9107945523053775</v>
      </c>
      <c r="D22" s="38" t="s">
        <v>405</v>
      </c>
      <c r="E22" s="79">
        <v>0.3</v>
      </c>
    </row>
    <row r="23" spans="1:6">
      <c r="B23" s="1" t="s">
        <v>312</v>
      </c>
      <c r="C23" s="256">
        <f>E141</f>
        <v>7.4490464808477519</v>
      </c>
      <c r="D23" s="38" t="s">
        <v>406</v>
      </c>
      <c r="E23" s="443">
        <v>0.2</v>
      </c>
    </row>
    <row r="24" spans="1:6">
      <c r="B24" s="1" t="s">
        <v>314</v>
      </c>
      <c r="C24" s="256">
        <f>E144</f>
        <v>9.1620982566711078</v>
      </c>
      <c r="D24" s="38" t="s">
        <v>407</v>
      </c>
      <c r="E24" s="443">
        <v>0.1174</v>
      </c>
    </row>
    <row r="25" spans="1:6">
      <c r="B25" s="1" t="s">
        <v>313</v>
      </c>
      <c r="C25" s="256">
        <f>E145</f>
        <v>10.323816614829907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16063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291.16000000000003</v>
      </c>
      <c r="D41" s="1" t="str">
        <f>Reporting_currency</f>
        <v>CNY</v>
      </c>
    </row>
    <row r="43" spans="2:6">
      <c r="B43" s="463" t="s">
        <v>204</v>
      </c>
      <c r="C43" s="463"/>
      <c r="D43" s="463"/>
      <c r="E43" s="463"/>
      <c r="F43" s="463"/>
    </row>
    <row r="44" spans="2:6">
      <c r="B44" s="44" t="s">
        <v>266</v>
      </c>
      <c r="C44" s="286">
        <f>Normalized_FCF!C46</f>
        <v>87.059200960605921</v>
      </c>
      <c r="D44" s="1" t="str">
        <f>Reporting_currency</f>
        <v>CNY</v>
      </c>
      <c r="E44" s="244"/>
      <c r="F44" s="244"/>
    </row>
    <row r="45" spans="2:6">
      <c r="B45" s="44" t="s">
        <v>267</v>
      </c>
      <c r="C45" s="286">
        <f>Normalized_FCF!C45</f>
        <v>-803</v>
      </c>
      <c r="D45" s="1" t="str">
        <f>Reporting_currency</f>
        <v>CNY</v>
      </c>
      <c r="E45" s="244"/>
      <c r="F45" s="244"/>
    </row>
    <row r="46" spans="2:6">
      <c r="B46" s="44" t="s">
        <v>202</v>
      </c>
      <c r="C46" s="285">
        <f>Normalized_FCF!C10</f>
        <v>-715.94079903939405</v>
      </c>
      <c r="D46" s="1" t="str">
        <f>Reporting_currency</f>
        <v>CNY</v>
      </c>
    </row>
    <row r="48" spans="2:6">
      <c r="B48" s="1" t="s">
        <v>210</v>
      </c>
    </row>
    <row r="49" spans="2:6">
      <c r="B49" s="44" t="s">
        <v>222</v>
      </c>
      <c r="C49" s="285">
        <f>Normalized_FCF!C13</f>
        <v>-6281.6063376994261</v>
      </c>
      <c r="D49" s="1" t="str">
        <f>Reporting_currency</f>
        <v>CNY</v>
      </c>
    </row>
    <row r="51" spans="2:6">
      <c r="B51" s="463" t="s">
        <v>205</v>
      </c>
      <c r="C51" s="463"/>
      <c r="D51" s="463"/>
      <c r="E51" s="463"/>
      <c r="F51" s="463"/>
    </row>
    <row r="52" spans="2:6">
      <c r="B52" s="44" t="s">
        <v>203</v>
      </c>
      <c r="C52" s="285">
        <f>Normalized_FCF!C12</f>
        <v>-3909.5548002401515</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10035.208802799847</v>
      </c>
      <c r="D60" s="1" t="str">
        <f>Reporting_currency</f>
        <v>CNY</v>
      </c>
    </row>
    <row r="61" spans="2:6">
      <c r="B61" s="44" t="s">
        <v>212</v>
      </c>
      <c r="C61" s="285">
        <f>Normalized_FCF!C19</f>
        <v>5447.0580630210279</v>
      </c>
      <c r="D61" s="1" t="str">
        <f>Reporting_currency</f>
        <v>CNY</v>
      </c>
    </row>
    <row r="62" spans="2:6">
      <c r="B62" s="204" t="s">
        <v>301</v>
      </c>
      <c r="C62" s="89">
        <f>Normalized_FCF!C124</f>
        <v>9.6433052232672747E-2</v>
      </c>
      <c r="F62" s="257"/>
    </row>
    <row r="63" spans="2:6">
      <c r="B63" s="204" t="s">
        <v>331</v>
      </c>
      <c r="C63" s="89">
        <f>Normalized_FCF!C92</f>
        <v>4.3568874144385025E-2</v>
      </c>
      <c r="E63" s="44" t="s">
        <v>321</v>
      </c>
      <c r="F63" s="258">
        <f>Normalized_FCF!C90</f>
        <v>0.57561382400114947</v>
      </c>
    </row>
    <row r="65" spans="1:6">
      <c r="B65" s="192" t="s">
        <v>324</v>
      </c>
      <c r="C65" s="264" t="s">
        <v>326</v>
      </c>
      <c r="D65" s="264" t="s">
        <v>327</v>
      </c>
    </row>
    <row r="66" spans="1:6">
      <c r="B66" s="44" t="s">
        <v>325</v>
      </c>
      <c r="C66" s="89">
        <f>Normalized_FCF!E119</f>
        <v>0.17172024422366369</v>
      </c>
      <c r="D66" s="89">
        <f>Normalized_FCF!G119</f>
        <v>0.18349155359511407</v>
      </c>
    </row>
    <row r="67" spans="1:6">
      <c r="B67" s="229" t="str">
        <f>Normalized_FCF!B116</f>
        <v>Pre-tax Profit/Sales</v>
      </c>
      <c r="C67" s="263">
        <f>Normalized_FCF!E116</f>
        <v>8.3606274397531113E-2</v>
      </c>
      <c r="D67" s="263">
        <f>Normalized_FCF!G116</f>
        <v>8.9337429310436187E-2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-20425</v>
      </c>
      <c r="D78" s="1" t="str">
        <f>Reporting_currency</f>
        <v>CNY</v>
      </c>
    </row>
    <row r="79" spans="1:6">
      <c r="A79" s="191"/>
      <c r="B79" s="44" t="s">
        <v>233</v>
      </c>
      <c r="C79" s="201">
        <f>C78*scaling_factor*Exchange_Rate/Common_Shares</f>
        <v>-2.7047527521460593</v>
      </c>
      <c r="D79" s="1" t="str">
        <f>Market_currency</f>
        <v>HKD</v>
      </c>
    </row>
    <row r="80" spans="1:6">
      <c r="A80" s="191"/>
      <c r="B80" s="229" t="s">
        <v>308</v>
      </c>
      <c r="C80" s="337">
        <f>IF(BS!G31/BS!G27&gt;300%,"nm",BS!G31/BS!G27)</f>
        <v>0.22428295339746124</v>
      </c>
    </row>
    <row r="81" spans="1:6">
      <c r="A81" s="191"/>
      <c r="B81" s="229" t="s">
        <v>310</v>
      </c>
      <c r="C81" s="338">
        <f>IF(BS!C50&gt;30,"nm",BS!C50)</f>
        <v>1.2715557492373779</v>
      </c>
    </row>
    <row r="82" spans="1:6">
      <c r="A82" s="191"/>
    </row>
    <row r="83" spans="1:6">
      <c r="A83" s="191"/>
      <c r="B83" s="1" t="s">
        <v>465</v>
      </c>
    </row>
    <row r="84" spans="1:6">
      <c r="A84" s="191"/>
      <c r="B84" s="1" t="s">
        <v>223</v>
      </c>
      <c r="C84" s="285">
        <f>DCF!F5</f>
        <v>28365.133173232345</v>
      </c>
      <c r="D84" s="1" t="str">
        <f>Reporting_currency</f>
        <v>CNY</v>
      </c>
    </row>
    <row r="85" spans="1:6">
      <c r="A85" s="191"/>
      <c r="B85" s="229" t="s">
        <v>221</v>
      </c>
      <c r="C85" s="291">
        <f>BS!C66</f>
        <v>42875</v>
      </c>
      <c r="D85" s="339" t="str">
        <f>Reporting_currency</f>
        <v>CNY</v>
      </c>
    </row>
    <row r="86" spans="1:6">
      <c r="A86" s="191"/>
      <c r="B86" s="44" t="s">
        <v>234</v>
      </c>
      <c r="C86" s="201">
        <f>C84*scaling_factor*Exchange_Rate/Common_Shares</f>
        <v>3.7562140521561651</v>
      </c>
      <c r="D86" s="1" t="str">
        <f>Market_currency</f>
        <v>HKD</v>
      </c>
    </row>
    <row r="87" spans="1:6">
      <c r="A87" s="191"/>
    </row>
    <row r="88" spans="1:6">
      <c r="A88" s="191"/>
      <c r="B88" s="1" t="s">
        <v>215</v>
      </c>
    </row>
    <row r="89" spans="1:6">
      <c r="A89" s="191"/>
      <c r="B89" s="1" t="s">
        <v>216</v>
      </c>
      <c r="C89" s="285">
        <f>DCF!F6</f>
        <v>174</v>
      </c>
      <c r="D89" s="1" t="str">
        <f>Reporting_currency</f>
        <v>CNY</v>
      </c>
    </row>
    <row r="90" spans="1:6">
      <c r="A90" s="191"/>
      <c r="B90" s="44" t="s">
        <v>235</v>
      </c>
      <c r="C90" s="201">
        <f>C89*scaling_factor*Exchange_Rate/Common_Shares</f>
        <v>2.3041712551941949E-2</v>
      </c>
      <c r="D90" s="1" t="str">
        <f>Market_currency</f>
        <v>HKD</v>
      </c>
    </row>
    <row r="91" spans="1:6">
      <c r="A91" s="191"/>
    </row>
    <row r="92" spans="1:6">
      <c r="A92" s="191"/>
      <c r="B92" s="44" t="s">
        <v>468</v>
      </c>
      <c r="C92" s="216">
        <f>DCF!F8</f>
        <v>1.0745030125620478</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-3.0259727644290795</v>
      </c>
      <c r="D111" s="1" t="str">
        <f>Market_currency</f>
        <v>HKD</v>
      </c>
    </row>
    <row r="112" spans="2:6">
      <c r="B112" s="44" t="s">
        <v>322</v>
      </c>
      <c r="C112" s="216">
        <f>DCF!C11</f>
        <v>15.088705209026811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0.06</v>
      </c>
      <c r="D118" s="207" t="str">
        <f>ROUND(DCF!E90,2)&amp;" "&amp;Market_currency</f>
        <v>14.13 HKD</v>
      </c>
      <c r="E118" s="208">
        <f>DCF!F90</f>
        <v>0.1</v>
      </c>
      <c r="F118" s="208">
        <f>RATE(Holding_Period,Scenarios!C$58,-DCF!E90,C$18)</f>
        <v>-3.6710761110685552E-2</v>
      </c>
    </row>
    <row r="119" spans="2:6">
      <c r="B119" s="205" t="str">
        <f>DCF!B91&amp;" ("&amp;DCF!D91&amp;"yrs)"</f>
        <v>Optimistic (5yrs)</v>
      </c>
      <c r="C119" s="198">
        <f>DCF!C91</f>
        <v>0.04</v>
      </c>
      <c r="D119" s="207" t="str">
        <f>ROUND(DCF!E91,2)&amp;" "&amp;Market_currency</f>
        <v>13.07 HKD</v>
      </c>
      <c r="E119" s="199">
        <f>DCF!F91</f>
        <v>8.0000000000000029E-2</v>
      </c>
      <c r="F119" s="208">
        <f>RATE(Holding_Period,Scenarios!C$58,-DCF!E91,C$18)</f>
        <v>-1.0679961183989055E-2</v>
      </c>
    </row>
    <row r="120" spans="2:6">
      <c r="B120" s="205" t="str">
        <f>DCF!B92&amp;" ("&amp;DCF!D92&amp;"yrs)"</f>
        <v>Base (5yrs)</v>
      </c>
      <c r="C120" s="198">
        <f>DCF!C92</f>
        <v>0.02</v>
      </c>
      <c r="D120" s="207" t="str">
        <f>ROUND(DCF!E92,2)&amp;" "&amp;Market_currency</f>
        <v>12.08 HKD</v>
      </c>
      <c r="E120" s="199">
        <f>DCF!F92</f>
        <v>0.48</v>
      </c>
      <c r="F120" s="208">
        <f>RATE(Holding_Period,Scenarios!C$58,-DCF!E92,C$18)</f>
        <v>1.6251883571815277E-2</v>
      </c>
    </row>
    <row r="121" spans="2:6">
      <c r="B121" s="205" t="str">
        <f>DCF!B93&amp;" ("&amp;DCF!D93&amp;"yrs)"</f>
        <v>Pessimistic (5yrs)</v>
      </c>
      <c r="C121" s="198">
        <f>DCF!C93</f>
        <v>0</v>
      </c>
      <c r="D121" s="207" t="str">
        <f>ROUND(DCF!E93,2)&amp;" "&amp;Market_currency</f>
        <v>11.16 HKD</v>
      </c>
      <c r="E121" s="199">
        <f>DCF!F93</f>
        <v>0.24</v>
      </c>
      <c r="F121" s="208">
        <f>RATE(Holding_Period,Scenarios!C$58,-DCF!E93,C$18)</f>
        <v>4.4102338124895231E-2</v>
      </c>
    </row>
    <row r="122" spans="2:6">
      <c r="B122" s="205" t="str">
        <f>DCF!B94&amp;" ("&amp;DCF!D94&amp;"yrs)"</f>
        <v>Devil's advocate (5yrs)</v>
      </c>
      <c r="C122" s="198">
        <f>DCF!C94</f>
        <v>-0.1</v>
      </c>
      <c r="D122" s="207" t="str">
        <f>ROUND(DCF!E94,2)&amp;" "&amp;Market_currency</f>
        <v>7.49 HKD</v>
      </c>
      <c r="E122" s="199">
        <f>DCF!F94</f>
        <v>0.1</v>
      </c>
      <c r="F122" s="208">
        <f>RATE(Holding_Period,Scenarios!C$58,-DCF!E94,C$18)</f>
        <v>0.19746608161845974</v>
      </c>
    </row>
    <row r="124" spans="2:6">
      <c r="B124" s="463" t="s">
        <v>356</v>
      </c>
      <c r="C124" s="463"/>
      <c r="D124" s="463"/>
      <c r="E124" s="463"/>
      <c r="F124" s="463"/>
    </row>
    <row r="125" spans="2:6">
      <c r="B125" s="193" t="s">
        <v>217</v>
      </c>
      <c r="C125" s="197">
        <f>Scenarios!C36</f>
        <v>11.685693868800916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0.3258951786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0.59186243177696873</v>
      </c>
      <c r="D140" s="333">
        <f>Scenarios!D62</f>
        <v>5.3189321205284088</v>
      </c>
      <c r="E140" s="334">
        <f>Scenarios!E62</f>
        <v>5.9107945523053775</v>
      </c>
      <c r="F140" s="335">
        <f>E22</f>
        <v>0.3</v>
      </c>
    </row>
    <row r="141" spans="1:6">
      <c r="B141" s="336" t="s">
        <v>312</v>
      </c>
      <c r="C141" s="333">
        <f>Scenarios!C63</f>
        <v>0.6864921586249999</v>
      </c>
      <c r="D141" s="333">
        <f>Scenarios!D63</f>
        <v>6.7625543222227522</v>
      </c>
      <c r="E141" s="334">
        <f>Scenarios!E63</f>
        <v>7.4490464808477519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0.78625572661869436</v>
      </c>
      <c r="D144" s="333">
        <f>Scenarios!D66</f>
        <v>8.3758425300524131</v>
      </c>
      <c r="E144" s="334">
        <f>Scenarios!E66</f>
        <v>9.1620982566711078</v>
      </c>
      <c r="F144" s="335">
        <f>E24</f>
        <v>0.1174</v>
      </c>
    </row>
    <row r="145" spans="1:6">
      <c r="B145" s="336" t="s">
        <v>313</v>
      </c>
      <c r="C145" s="333">
        <f>Scenarios!C67</f>
        <v>0.85136049122976565</v>
      </c>
      <c r="D145" s="333">
        <f>Scenarios!D67</f>
        <v>9.472456123600141</v>
      </c>
      <c r="E145" s="334">
        <f>Scenarios!E67</f>
        <v>10.323816614829907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39</v>
      </c>
      <c r="C5" s="287">
        <v>161662</v>
      </c>
      <c r="D5" s="287">
        <v>151091</v>
      </c>
      <c r="E5" s="287">
        <v>146077</v>
      </c>
      <c r="F5" s="287">
        <v>115893</v>
      </c>
      <c r="G5" s="287">
        <v>90292</v>
      </c>
      <c r="H5" s="287">
        <v>85116</v>
      </c>
      <c r="I5" s="287">
        <v>78249</v>
      </c>
      <c r="J5" s="287">
        <v>64145</v>
      </c>
      <c r="K5" s="287">
        <v>56682</v>
      </c>
      <c r="L5" s="287">
        <v>22884</v>
      </c>
      <c r="M5" s="287"/>
    </row>
    <row r="6" spans="2:13">
      <c r="B6" s="38" t="s">
        <v>50</v>
      </c>
      <c r="C6" s="287">
        <v>9321</v>
      </c>
      <c r="D6" s="287">
        <v>9626</v>
      </c>
      <c r="E6" s="287">
        <v>9519</v>
      </c>
      <c r="F6" s="287">
        <v>8885</v>
      </c>
      <c r="G6" s="287">
        <v>7389</v>
      </c>
      <c r="H6" s="287">
        <v>8246</v>
      </c>
      <c r="I6" s="287">
        <v>8234</v>
      </c>
      <c r="J6" s="287">
        <v>7593</v>
      </c>
      <c r="K6" s="287">
        <v>7880</v>
      </c>
      <c r="L6" s="287">
        <v>4574</v>
      </c>
      <c r="M6" s="287"/>
    </row>
    <row r="7" spans="2:13">
      <c r="B7" s="66" t="s">
        <v>57</v>
      </c>
      <c r="C7" s="288">
        <v>3491</v>
      </c>
      <c r="D7" s="288">
        <v>3656</v>
      </c>
      <c r="E7" s="288">
        <v>3770</v>
      </c>
      <c r="F7" s="288">
        <v>3400</v>
      </c>
      <c r="G7" s="288">
        <v>2689</v>
      </c>
      <c r="H7" s="288">
        <v>3112</v>
      </c>
      <c r="I7" s="288">
        <v>3389</v>
      </c>
      <c r="J7" s="288">
        <v>3264</v>
      </c>
      <c r="K7" s="288">
        <v>3399</v>
      </c>
      <c r="L7" s="288">
        <v>2545</v>
      </c>
      <c r="M7" s="288"/>
    </row>
    <row r="8" spans="2:13">
      <c r="B8" s="38" t="s">
        <v>45</v>
      </c>
      <c r="C8" s="287"/>
      <c r="D8" s="287"/>
      <c r="E8" s="287"/>
      <c r="F8" s="287"/>
      <c r="G8" s="287"/>
      <c r="H8" s="287"/>
      <c r="I8" s="287"/>
      <c r="J8" s="287"/>
      <c r="K8" s="287"/>
      <c r="L8" s="287"/>
      <c r="M8" s="287"/>
    </row>
    <row r="9" spans="2:13">
      <c r="B9" s="38" t="s">
        <v>133</v>
      </c>
      <c r="C9" s="287">
        <v>1126</v>
      </c>
      <c r="D9" s="287">
        <v>1045</v>
      </c>
      <c r="E9" s="287">
        <v>992</v>
      </c>
      <c r="F9" s="287">
        <v>1356</v>
      </c>
      <c r="G9" s="287">
        <v>523</v>
      </c>
      <c r="H9" s="287">
        <v>1270</v>
      </c>
      <c r="I9" s="287">
        <v>1169</v>
      </c>
      <c r="J9" s="287">
        <v>991</v>
      </c>
      <c r="K9" s="287">
        <v>901</v>
      </c>
      <c r="L9" s="287">
        <v>-1888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803</v>
      </c>
      <c r="D12" s="287">
        <v>960</v>
      </c>
      <c r="E12" s="287">
        <v>899</v>
      </c>
      <c r="F12" s="287">
        <v>783</v>
      </c>
      <c r="G12" s="287">
        <v>708</v>
      </c>
      <c r="H12" s="287">
        <v>988</v>
      </c>
      <c r="I12" s="287">
        <v>1130</v>
      </c>
      <c r="J12" s="287">
        <v>1145</v>
      </c>
      <c r="K12" s="287">
        <v>685</v>
      </c>
      <c r="L12" s="287">
        <v>577</v>
      </c>
      <c r="M12" s="287"/>
    </row>
    <row r="13" spans="2:13">
      <c r="B13" s="38" t="s">
        <v>63</v>
      </c>
      <c r="C13" s="287">
        <v>958</v>
      </c>
      <c r="D13" s="287">
        <v>870</v>
      </c>
      <c r="E13" s="287">
        <v>859</v>
      </c>
      <c r="F13" s="287">
        <v>529</v>
      </c>
      <c r="G13" s="287">
        <v>330</v>
      </c>
      <c r="H13" s="287">
        <v>274</v>
      </c>
      <c r="I13" s="287">
        <v>295</v>
      </c>
      <c r="J13" s="287">
        <v>211</v>
      </c>
      <c r="K13" s="287">
        <v>349</v>
      </c>
      <c r="L13" s="287">
        <v>225</v>
      </c>
      <c r="M13" s="287"/>
    </row>
    <row r="14" spans="2:13">
      <c r="B14" s="38" t="s">
        <v>46</v>
      </c>
      <c r="C14" s="287">
        <v>3128</v>
      </c>
      <c r="D14" s="287">
        <v>3338</v>
      </c>
      <c r="E14" s="287">
        <v>3189</v>
      </c>
      <c r="F14" s="287">
        <v>2698</v>
      </c>
      <c r="G14" s="287">
        <v>2313</v>
      </c>
      <c r="H14" s="287">
        <v>4074</v>
      </c>
      <c r="I14" s="287">
        <v>3772</v>
      </c>
      <c r="J14" s="287">
        <v>3531</v>
      </c>
      <c r="K14" s="287">
        <v>3701</v>
      </c>
      <c r="L14" s="287">
        <v>2607</v>
      </c>
      <c r="M14" s="287"/>
    </row>
    <row r="15" spans="2:13">
      <c r="B15" s="41" t="s">
        <v>38</v>
      </c>
      <c r="C15" s="289">
        <v>9507</v>
      </c>
      <c r="D15" s="289">
        <v>9255</v>
      </c>
      <c r="E15" s="289">
        <v>8203</v>
      </c>
      <c r="F15" s="289">
        <v>26337</v>
      </c>
      <c r="G15" s="289">
        <v>9732</v>
      </c>
      <c r="H15" s="289">
        <v>9571</v>
      </c>
      <c r="I15" s="289">
        <v>8213</v>
      </c>
      <c r="J15" s="289">
        <v>7949</v>
      </c>
      <c r="K15" s="289">
        <v>3414</v>
      </c>
      <c r="L15" s="289">
        <v>2320</v>
      </c>
      <c r="M15" s="289"/>
    </row>
    <row r="16" spans="2:13">
      <c r="B16" s="27" t="s">
        <v>40</v>
      </c>
      <c r="C16" s="287">
        <v>3547</v>
      </c>
      <c r="D16" s="287">
        <v>3573</v>
      </c>
      <c r="E16" s="287">
        <v>2975</v>
      </c>
      <c r="F16" s="287">
        <v>3321</v>
      </c>
      <c r="G16" s="287">
        <v>3669</v>
      </c>
      <c r="H16" s="287">
        <v>4020</v>
      </c>
      <c r="I16" s="287">
        <v>3579</v>
      </c>
      <c r="J16" s="287">
        <v>3189</v>
      </c>
      <c r="K16" s="287">
        <v>2755</v>
      </c>
      <c r="L16" s="287">
        <v>2183</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12514</v>
      </c>
      <c r="D22" s="287">
        <v>14408</v>
      </c>
      <c r="E22" s="287">
        <v>14870</v>
      </c>
      <c r="F22" s="287">
        <v>12000</v>
      </c>
      <c r="G22" s="287">
        <v>16738</v>
      </c>
      <c r="H22" s="287">
        <v>16085</v>
      </c>
      <c r="I22" s="287">
        <v>17018</v>
      </c>
      <c r="J22" s="287">
        <v>13287</v>
      </c>
      <c r="K22" s="287">
        <v>15749</v>
      </c>
      <c r="L22" s="287">
        <v>13370</v>
      </c>
      <c r="M22" s="287"/>
    </row>
    <row r="23" spans="2:13">
      <c r="B23" s="26" t="s">
        <v>287</v>
      </c>
      <c r="C23" s="287">
        <v>-3491</v>
      </c>
      <c r="D23" s="287">
        <v>-1061</v>
      </c>
      <c r="E23" s="287">
        <v>-18452</v>
      </c>
      <c r="F23" s="287">
        <v>25602</v>
      </c>
      <c r="G23" s="287">
        <v>-8833</v>
      </c>
      <c r="H23" s="287">
        <v>-10277</v>
      </c>
      <c r="I23" s="287">
        <v>-7000</v>
      </c>
      <c r="J23" s="287">
        <v>-13493</v>
      </c>
      <c r="K23" s="287">
        <v>-23127</v>
      </c>
      <c r="L23" s="287">
        <v>-4719</v>
      </c>
      <c r="M23" s="287"/>
    </row>
    <row r="24" spans="2:13">
      <c r="B24" s="26" t="s">
        <v>286</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0.362105754</v>
      </c>
      <c r="D25" s="37">
        <f>(0.2838)*Exchange_Rate</f>
        <v>0.32541359400000003</v>
      </c>
      <c r="E25" s="37">
        <f>0.2539*Exchange_Rate</f>
        <v>0.29112935700000003</v>
      </c>
      <c r="F25" s="37">
        <f>0.2078*Exchange_Rate</f>
        <v>0.23826971400000002</v>
      </c>
      <c r="G25" s="37"/>
      <c r="H25" s="37"/>
      <c r="I25" s="37"/>
      <c r="J25" s="37"/>
      <c r="K25" s="37"/>
      <c r="L25" s="37"/>
      <c r="M25" s="37"/>
    </row>
    <row r="27" spans="2:13">
      <c r="B27" s="16" t="s">
        <v>25</v>
      </c>
      <c r="C27" s="94" t="s">
        <v>545</v>
      </c>
    </row>
    <row r="28" spans="2:13">
      <c r="B28" s="25" t="s">
        <v>21</v>
      </c>
      <c r="C28" s="270">
        <f>BS!C4</f>
        <v>3404</v>
      </c>
      <c r="D28" s="287">
        <v>1977</v>
      </c>
      <c r="E28" s="287">
        <v>2887</v>
      </c>
      <c r="F28" s="287">
        <v>2728</v>
      </c>
      <c r="G28" s="287">
        <v>4085</v>
      </c>
      <c r="H28" s="287">
        <v>2792</v>
      </c>
      <c r="I28" s="287">
        <v>2459</v>
      </c>
      <c r="J28" s="287">
        <v>2846</v>
      </c>
      <c r="K28" s="287">
        <v>3114</v>
      </c>
      <c r="L28" s="287">
        <v>1837</v>
      </c>
      <c r="M28" s="287"/>
    </row>
    <row r="29" spans="2:13">
      <c r="B29" s="25" t="s">
        <v>29</v>
      </c>
      <c r="C29" s="270">
        <f>BS!C6</f>
        <v>1202</v>
      </c>
      <c r="D29" s="287">
        <v>1155</v>
      </c>
      <c r="E29" s="287">
        <v>1081</v>
      </c>
      <c r="F29" s="287">
        <v>1230</v>
      </c>
      <c r="G29" s="287">
        <v>925</v>
      </c>
      <c r="H29" s="287">
        <v>1398</v>
      </c>
      <c r="I29" s="287">
        <v>1865</v>
      </c>
      <c r="J29" s="287">
        <v>1559</v>
      </c>
      <c r="K29" s="287">
        <v>1397</v>
      </c>
      <c r="L29" s="287">
        <v>916</v>
      </c>
      <c r="M29" s="287"/>
    </row>
    <row r="30" spans="2:13">
      <c r="B30" s="28" t="s">
        <v>37</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27</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142</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39</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54</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50</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57</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60</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138</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64</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46</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38</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40</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64</v>
      </c>
    </row>
    <row r="51" spans="2:13">
      <c r="B51" s="38" t="s">
        <v>36</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63</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138</v>
      </c>
    </row>
    <row r="55" spans="2:13">
      <c r="B55" s="38" t="s">
        <v>133</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33</v>
      </c>
      <c r="C65" s="70">
        <f>IF(C$4="","",C25)</f>
        <v>0.362105754</v>
      </c>
      <c r="D65" s="70">
        <f t="shared" ref="D65:M65" si="33">IF(D$4="","",D25)</f>
        <v>0.32541359400000003</v>
      </c>
      <c r="E65" s="70">
        <f t="shared" si="33"/>
        <v>0.29112935700000003</v>
      </c>
      <c r="F65" s="70">
        <f t="shared" si="33"/>
        <v>0.23826971400000002</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54</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138</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81</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82</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37</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27</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3404</v>
      </c>
      <c r="D4" s="231">
        <v>0.6</v>
      </c>
      <c r="E4" s="24"/>
      <c r="F4" s="4" t="s">
        <v>73</v>
      </c>
      <c r="G4" s="18">
        <f>13396+29479</f>
        <v>42875</v>
      </c>
      <c r="H4" s="231">
        <v>0.9</v>
      </c>
    </row>
    <row r="5" spans="2:8" ht="15" customHeight="1">
      <c r="B5" s="1" t="s">
        <v>30</v>
      </c>
      <c r="C5" s="18">
        <v>0</v>
      </c>
      <c r="D5" s="231">
        <v>0.6</v>
      </c>
      <c r="E5" s="24"/>
      <c r="F5" s="1" t="s">
        <v>26</v>
      </c>
      <c r="G5" s="18">
        <v>0</v>
      </c>
      <c r="H5" s="231">
        <v>0.7</v>
      </c>
    </row>
    <row r="6" spans="2:8" ht="15" customHeight="1">
      <c r="B6" s="4" t="s">
        <v>8</v>
      </c>
      <c r="C6" s="18">
        <v>1202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8968</v>
      </c>
      <c r="D11" s="231">
        <v>0.05</v>
      </c>
      <c r="H11" s="232"/>
    </row>
    <row r="12" spans="2:8" ht="15" customHeight="1">
      <c r="B12" s="77" t="s">
        <v>68</v>
      </c>
      <c r="C12" s="78">
        <f>SUM(C4:C11)</f>
        <v>13574</v>
      </c>
      <c r="D12" s="19">
        <f>C4*D4+C5*D5+C9*D9+C6*D6+C8*D8+C7*D7+C10*D10+C11*D11</f>
        <v>3091.7999999999997</v>
      </c>
      <c r="F12" s="77" t="s">
        <v>66</v>
      </c>
      <c r="G12" s="78">
        <f>SUM(G4:G10)</f>
        <v>42875</v>
      </c>
      <c r="H12" s="19">
        <f>G4*H4+G5*H5+G6*H6+G7*H7+G8*H8+G9*H9+G10*H10</f>
        <v>38587.5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290</v>
      </c>
      <c r="H17" s="231">
        <v>0.6</v>
      </c>
    </row>
    <row r="18" spans="2:8" ht="15" customHeight="1">
      <c r="B18" s="4" t="s">
        <v>143</v>
      </c>
      <c r="C18" s="18">
        <v>0</v>
      </c>
      <c r="D18" s="231">
        <v>0.6</v>
      </c>
      <c r="F18" s="4" t="s">
        <v>150</v>
      </c>
      <c r="G18" s="18">
        <f>8273+6285</f>
        <v>14558</v>
      </c>
      <c r="H18" s="231">
        <v>0.1</v>
      </c>
    </row>
    <row r="19" spans="2:8" ht="15" customHeight="1">
      <c r="B19" s="4" t="s">
        <v>23</v>
      </c>
      <c r="C19" s="18">
        <f>65142</f>
        <v>65142</v>
      </c>
      <c r="D19" s="231">
        <v>0.1</v>
      </c>
      <c r="F19" s="4" t="s">
        <v>151</v>
      </c>
      <c r="G19" s="18">
        <v>0</v>
      </c>
      <c r="H19" s="231">
        <v>0.1</v>
      </c>
    </row>
    <row r="20" spans="2:8" ht="15" customHeight="1">
      <c r="B20" s="4" t="s">
        <v>553</v>
      </c>
      <c r="C20" s="18">
        <v>0</v>
      </c>
      <c r="D20" s="231">
        <v>0.05</v>
      </c>
      <c r="F20" s="4" t="s">
        <v>148</v>
      </c>
      <c r="G20" s="18">
        <v>0</v>
      </c>
      <c r="H20" s="231">
        <v>0.2</v>
      </c>
    </row>
    <row r="21" spans="2:8" ht="15" customHeight="1">
      <c r="B21" s="4" t="s">
        <v>16</v>
      </c>
      <c r="C21" s="18">
        <v>1480</v>
      </c>
      <c r="D21" s="231">
        <v>0.05</v>
      </c>
      <c r="F21" s="1" t="s">
        <v>149</v>
      </c>
      <c r="G21" s="18">
        <v>0</v>
      </c>
      <c r="H21" s="231">
        <v>0.1</v>
      </c>
    </row>
    <row r="22" spans="2:8" ht="15" customHeight="1">
      <c r="B22" s="4" t="s">
        <v>17</v>
      </c>
      <c r="C22" s="18">
        <v>1210</v>
      </c>
      <c r="D22" s="231">
        <v>0.9</v>
      </c>
      <c r="H22" s="232"/>
    </row>
    <row r="23" spans="2:8" ht="15" customHeight="1">
      <c r="B23" s="4" t="s">
        <v>18</v>
      </c>
      <c r="C23" s="18">
        <v>1696</v>
      </c>
      <c r="D23" s="231">
        <v>0</v>
      </c>
      <c r="H23" s="232"/>
    </row>
    <row r="24" spans="2:8" ht="15" customHeight="1">
      <c r="B24" s="77" t="s">
        <v>69</v>
      </c>
      <c r="C24" s="78">
        <f>SUM(C15:C23)</f>
        <v>69528</v>
      </c>
      <c r="D24" s="19">
        <f>C15*D15+C16*D16+C18*D18+C17*D17+C19*D19+C20*D20+C21*D21+C22*D22+C23*D23</f>
        <v>7677.2000000000007</v>
      </c>
      <c r="F24" s="77" t="s">
        <v>67</v>
      </c>
      <c r="G24" s="78">
        <f>SUM(G15:G21)</f>
        <v>14848</v>
      </c>
      <c r="H24" s="19">
        <f>G15*H15+G16*H16+G17*H17+G18*H18+G19*H19+G20*H20+G21*H21</f>
        <v>1629.8000000000002</v>
      </c>
    </row>
    <row r="26" spans="2:8" ht="15" customHeight="1">
      <c r="B26" s="16" t="s">
        <v>168</v>
      </c>
      <c r="C26" s="164" t="s">
        <v>112</v>
      </c>
      <c r="F26" s="166" t="s">
        <v>164</v>
      </c>
      <c r="G26" s="167" t="s">
        <v>112</v>
      </c>
      <c r="H26" s="168" t="s">
        <v>32</v>
      </c>
    </row>
    <row r="27" spans="2:8" ht="15" customHeight="1">
      <c r="B27" s="4" t="s">
        <v>3</v>
      </c>
      <c r="C27" s="18">
        <v>4243</v>
      </c>
      <c r="F27" s="169" t="s">
        <v>27</v>
      </c>
      <c r="G27" s="82">
        <f>G32-G30</f>
        <v>91068</v>
      </c>
      <c r="H27" s="170">
        <f>H32-G30</f>
        <v>1229.3000000000029</v>
      </c>
    </row>
    <row r="28" spans="2:8" ht="15" customHeight="1">
      <c r="B28" s="4" t="s">
        <v>4</v>
      </c>
      <c r="C28" s="18">
        <v>275</v>
      </c>
      <c r="F28" s="171" t="s">
        <v>208</v>
      </c>
      <c r="G28" s="287">
        <v>24080</v>
      </c>
      <c r="H28" s="170"/>
    </row>
    <row r="29" spans="2:8" ht="15" customHeight="1">
      <c r="B29" s="4" t="s">
        <v>5</v>
      </c>
      <c r="C29" s="18">
        <v>0</v>
      </c>
      <c r="F29" s="172" t="s">
        <v>71</v>
      </c>
      <c r="G29" s="14">
        <f>G27-G28</f>
        <v>66988</v>
      </c>
      <c r="H29" s="170">
        <f>H27-G28</f>
        <v>-22850.699999999997</v>
      </c>
    </row>
    <row r="30" spans="2:8" ht="15" customHeight="1">
      <c r="B30" s="2" t="s">
        <v>6</v>
      </c>
      <c r="C30" s="18">
        <v>0</v>
      </c>
      <c r="F30" s="169" t="s">
        <v>20</v>
      </c>
      <c r="G30" s="82">
        <f>C33+C42</f>
        <v>49757</v>
      </c>
      <c r="H30" s="170"/>
    </row>
    <row r="31" spans="2:8" ht="15" customHeight="1">
      <c r="B31" s="77" t="s">
        <v>171</v>
      </c>
      <c r="C31" s="78">
        <f>SUM(C27:C30)</f>
        <v>4518</v>
      </c>
      <c r="F31" s="172" t="s">
        <v>72</v>
      </c>
      <c r="G31" s="173">
        <f>C31+C40</f>
        <v>20425</v>
      </c>
      <c r="H31" s="170"/>
    </row>
    <row r="32" spans="2:8" ht="15" customHeight="1">
      <c r="B32" s="4" t="s">
        <v>7</v>
      </c>
      <c r="C32" s="20">
        <f>C33-C31</f>
        <v>25282</v>
      </c>
      <c r="F32" s="174" t="s">
        <v>70</v>
      </c>
      <c r="G32" s="175">
        <f>G35+G40</f>
        <v>140825</v>
      </c>
      <c r="H32" s="170">
        <f>H35+H40</f>
        <v>50986.3</v>
      </c>
    </row>
    <row r="33" spans="2:8" ht="15" customHeight="1">
      <c r="B33" s="80" t="s">
        <v>2</v>
      </c>
      <c r="C33" s="81">
        <v>29800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83102</v>
      </c>
      <c r="H35" s="182">
        <f>D12+D24</f>
        <v>10769</v>
      </c>
    </row>
    <row r="36" spans="2:8" ht="15" customHeight="1">
      <c r="B36" s="4" t="s">
        <v>11</v>
      </c>
      <c r="C36" s="18">
        <v>15427</v>
      </c>
      <c r="F36" s="172" t="s">
        <v>165</v>
      </c>
      <c r="G36" s="173">
        <f>C4+C15</f>
        <v>3404</v>
      </c>
      <c r="H36" s="177"/>
    </row>
    <row r="37" spans="2:8" ht="15" customHeight="1">
      <c r="B37" s="4" t="s">
        <v>12</v>
      </c>
      <c r="C37" s="18">
        <v>480</v>
      </c>
      <c r="F37" s="172" t="s">
        <v>166</v>
      </c>
      <c r="G37" s="173">
        <f>C6</f>
        <v>1202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65142</v>
      </c>
      <c r="H39" s="170">
        <f>C7*D7+C17*D17+C19*D19+C20*D20</f>
        <v>6514.2000000000007</v>
      </c>
    </row>
    <row r="40" spans="2:8" ht="15" customHeight="1">
      <c r="B40" s="77" t="s">
        <v>172</v>
      </c>
      <c r="C40" s="78">
        <f>SUM(C36:C39)</f>
        <v>15907</v>
      </c>
      <c r="F40" s="181" t="s">
        <v>114</v>
      </c>
      <c r="G40" s="175">
        <f>G12+G24</f>
        <v>57723</v>
      </c>
      <c r="H40" s="182">
        <f>H12+H24</f>
        <v>40217.300000000003</v>
      </c>
    </row>
    <row r="41" spans="2:8" ht="15" customHeight="1">
      <c r="B41" s="4" t="s">
        <v>15</v>
      </c>
      <c r="C41" s="20">
        <f>C42-C40</f>
        <v>4050</v>
      </c>
      <c r="F41" s="172" t="s">
        <v>159</v>
      </c>
      <c r="G41" s="173">
        <f>C70</f>
        <v>57433</v>
      </c>
      <c r="H41" s="182">
        <f>H40-H42</f>
        <v>40043.300000000003</v>
      </c>
    </row>
    <row r="42" spans="2:8" ht="15" customHeight="1">
      <c r="B42" s="80" t="s">
        <v>19</v>
      </c>
      <c r="C42" s="81">
        <v>19957</v>
      </c>
      <c r="F42" s="183" t="s">
        <v>160</v>
      </c>
      <c r="G42" s="184">
        <f>C82</f>
        <v>290</v>
      </c>
      <c r="H42" s="185">
        <f>D82</f>
        <v>174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66988</v>
      </c>
      <c r="D46" s="73">
        <f>H29</f>
        <v>-22850.699999999997</v>
      </c>
      <c r="F46" s="223"/>
    </row>
    <row r="47" spans="2:8" ht="15" customHeight="1">
      <c r="B47" s="1" t="str">
        <f>"Equity per share ("&amp;Market_currency&amp;")"</f>
        <v>Equity per share (HKD)</v>
      </c>
      <c r="C47" s="134">
        <f>C46*H1/Common_Shares*Exchange_Rate</f>
        <v>8.8707944852269396</v>
      </c>
      <c r="D47" s="134">
        <f>D46*H1/Common_Shares*Exchange_Rate</f>
        <v>-3.0259727644290795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1.2715557492373779</v>
      </c>
      <c r="D50" s="92">
        <f>G31/Normalized_FCF!G8</f>
        <v>1.2715557492373779</v>
      </c>
      <c r="F50" s="223"/>
    </row>
    <row r="51" spans="2:8" ht="15" customHeight="1">
      <c r="B51" s="1" t="s">
        <v>145</v>
      </c>
      <c r="C51" s="163"/>
      <c r="D51" s="89">
        <f>G29/G32</f>
        <v>0.47568258476832948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0.19329258020264253</v>
      </c>
      <c r="D54" s="89">
        <f>Normalized_FCF!G8/G35</f>
        <v>0.19329258020264253</v>
      </c>
      <c r="F54" s="223"/>
    </row>
    <row r="55" spans="2:8" ht="15" customHeight="1">
      <c r="B55" s="1" t="s">
        <v>117</v>
      </c>
      <c r="C55" s="89">
        <f>Normalized_FCF!C9/G40</f>
        <v>5.0440898775184935E-3</v>
      </c>
      <c r="D55" s="89">
        <f>Normalized_FCF!G9/G40</f>
        <v>1.9506955632936612E-2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0.46257411681164567</v>
      </c>
      <c r="F59" s="223"/>
    </row>
    <row r="60" spans="2:8" ht="15" customHeight="1">
      <c r="F60" s="223"/>
    </row>
    <row r="61" spans="2:8" ht="15" customHeight="1">
      <c r="B61" s="143" t="s">
        <v>230</v>
      </c>
      <c r="C61" s="210" t="s">
        <v>113</v>
      </c>
      <c r="D61" s="179" t="s">
        <v>90</v>
      </c>
      <c r="F61" s="223"/>
    </row>
    <row r="62" spans="2:8" ht="15" customHeight="1">
      <c r="B62" s="1" t="s">
        <v>209</v>
      </c>
      <c r="C62" s="89">
        <f>IF(G28&lt;=0,0,G28/G29)</f>
        <v>0.35946736728966383</v>
      </c>
      <c r="D62" s="89">
        <f>G28/G29</f>
        <v>0.35946736728966383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42875</v>
      </c>
      <c r="D66" s="73">
        <f>C66-D75</f>
        <v>28365.133173232345</v>
      </c>
      <c r="F66" s="5" t="s">
        <v>192</v>
      </c>
    </row>
    <row r="67" spans="2:6" ht="15" customHeight="1">
      <c r="B67" s="102" t="s">
        <v>146</v>
      </c>
      <c r="C67" s="19">
        <f>G6+G16</f>
        <v>0</v>
      </c>
      <c r="F67" s="223"/>
    </row>
    <row r="68" spans="2:6" ht="15" customHeight="1">
      <c r="B68" s="102" t="s">
        <v>150</v>
      </c>
      <c r="C68" s="19">
        <f>G18</f>
        <v>14558</v>
      </c>
      <c r="F68" s="223"/>
    </row>
    <row r="69" spans="2:6" ht="15" customHeight="1">
      <c r="B69" s="102" t="s">
        <v>148</v>
      </c>
      <c r="C69" s="19">
        <f>G8+G20</f>
        <v>0</v>
      </c>
      <c r="F69" s="223"/>
    </row>
    <row r="70" spans="2:6" ht="15" customHeight="1">
      <c r="B70" s="77" t="s">
        <v>157</v>
      </c>
      <c r="C70" s="78">
        <f>SUM(C66:C69)</f>
        <v>57433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-14509.866826767653</v>
      </c>
      <c r="D73" s="285">
        <f>(Normalized_FCF!C26+Normalized_FCF!C35-Normalized_FCF!C89)/12</f>
        <v>-14509.866826767653</v>
      </c>
      <c r="F73" s="1" t="s">
        <v>277</v>
      </c>
    </row>
    <row r="74" spans="2:6" ht="15" customHeight="1">
      <c r="B74" s="227" t="s">
        <v>258</v>
      </c>
      <c r="C74" s="228">
        <f>-$C$66/C73</f>
        <v>2.9548858381597713</v>
      </c>
      <c r="D74" s="228">
        <f>-$C$66/D73</f>
        <v>2.9548858381597713</v>
      </c>
      <c r="F74" s="223" t="s">
        <v>256</v>
      </c>
    </row>
    <row r="75" spans="2:6" ht="15" customHeight="1">
      <c r="B75" s="77" t="s">
        <v>257</v>
      </c>
      <c r="C75" s="261"/>
      <c r="D75" s="262">
        <f>MAX(-D73*D76,G5)</f>
        <v>14509.866826767653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290</v>
      </c>
      <c r="D79" s="73">
        <f>G7*H7+G17*H17</f>
        <v>174</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290</v>
      </c>
      <c r="D82" s="78">
        <f>SUM(D79:D81)</f>
        <v>174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-23419.917750000001</v>
      </c>
      <c r="D86" s="201">
        <f>C86*scaling_factor/Common_Shares</f>
        <v>-2.7047527521460593</v>
      </c>
      <c r="E86" s="214" t="str">
        <f>Market_currency</f>
        <v>HKD</v>
      </c>
    </row>
    <row r="87" spans="2:8" ht="15" customHeight="1">
      <c r="B87" s="212" t="s">
        <v>239</v>
      </c>
      <c r="C87" s="73">
        <f>DCF!F5*Exchange_Rate</f>
        <v>32524.312650423406</v>
      </c>
      <c r="D87" s="201">
        <f>C87*scaling_factor/Common_Shares</f>
        <v>3.7562140521561651</v>
      </c>
      <c r="E87" s="214" t="str">
        <f>Market_currency</f>
        <v>HKD</v>
      </c>
    </row>
    <row r="88" spans="2:8" ht="15" customHeight="1">
      <c r="B88" s="213" t="s">
        <v>158</v>
      </c>
      <c r="C88" s="73">
        <f>DCF!F6*Exchange_Rate</f>
        <v>199.51362</v>
      </c>
      <c r="D88" s="201">
        <f>C88*scaling_factor/Common_Shares</f>
        <v>2.3041712551941949E-2</v>
      </c>
      <c r="E88" s="214" t="str">
        <f>Market_currency</f>
        <v>HKD</v>
      </c>
    </row>
    <row r="89" spans="2:8" ht="15" customHeight="1">
      <c r="B89" s="77" t="s">
        <v>243</v>
      </c>
      <c r="C89" s="162">
        <f>SUM(C86:C88)</f>
        <v>9303.9085204234052</v>
      </c>
      <c r="D89" s="216">
        <f>SUM(D86:D88)</f>
        <v>1.0745030125620478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42</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44</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41</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126</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414</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64</v>
      </c>
      <c r="C10" s="266">
        <f>C48</f>
        <v>-715.94079903939405</v>
      </c>
      <c r="E10" s="237"/>
      <c r="G10" s="266">
        <f>G48</f>
        <v>-478.7911972001537</v>
      </c>
      <c r="H10" s="266">
        <f t="shared" ref="H10:Q10" si="6">H48</f>
        <v>-665.57238159095368</v>
      </c>
      <c r="I10" s="266">
        <f t="shared" si="6"/>
        <v>-608.29502963980372</v>
      </c>
      <c r="J10" s="266">
        <f t="shared" si="6"/>
        <v>-603.97447110530402</v>
      </c>
      <c r="K10" s="266">
        <f t="shared" si="6"/>
        <v>-596.3205585344997</v>
      </c>
      <c r="L10" s="266">
        <f t="shared" si="6"/>
        <v>-895.27222132864517</v>
      </c>
      <c r="M10" s="266">
        <f t="shared" si="6"/>
        <v>-1030.1653477808406</v>
      </c>
      <c r="N10" s="266">
        <f t="shared" si="6"/>
        <v>-1073.592841972059</v>
      </c>
      <c r="O10" s="266">
        <f t="shared" si="6"/>
        <v>-566.89053008648602</v>
      </c>
      <c r="P10" s="266">
        <f t="shared" si="6"/>
        <v>-500.85492627352255</v>
      </c>
      <c r="Q10" s="266" t="str">
        <f t="shared" si="6"/>
        <v/>
      </c>
    </row>
    <row r="11" spans="1:17" ht="15.75" customHeight="1">
      <c r="A11" s="10"/>
      <c r="B11" s="67" t="s">
        <v>136</v>
      </c>
      <c r="C11" s="267">
        <f>SUM(C8:C10)</f>
        <v>15638.219200960606</v>
      </c>
      <c r="E11" s="237"/>
      <c r="G11" s="267">
        <f t="shared" ref="G11:Q11" si="7">IF(G$4="","",SUM(G8:G10))</f>
        <v>16710.208802799847</v>
      </c>
      <c r="H11" s="267">
        <f t="shared" si="7"/>
        <v>17016.427618409045</v>
      </c>
      <c r="I11" s="267">
        <f t="shared" si="7"/>
        <v>16731.704970360195</v>
      </c>
      <c r="J11" s="267">
        <f t="shared" si="7"/>
        <v>14521.025528894696</v>
      </c>
      <c r="K11" s="267">
        <f t="shared" si="7"/>
        <v>11496.6794414655</v>
      </c>
      <c r="L11" s="267">
        <f t="shared" si="7"/>
        <v>20325.727778671353</v>
      </c>
      <c r="M11" s="267">
        <f t="shared" si="7"/>
        <v>19125.83465221916</v>
      </c>
      <c r="N11" s="267">
        <f t="shared" si="7"/>
        <v>16885.407158027941</v>
      </c>
      <c r="O11" s="267">
        <f t="shared" si="7"/>
        <v>17654.109469913514</v>
      </c>
      <c r="P11" s="267">
        <f t="shared" si="7"/>
        <v>11794.145073726477</v>
      </c>
      <c r="Q11" s="267" t="str">
        <f t="shared" si="7"/>
        <v/>
      </c>
    </row>
    <row r="12" spans="1:17" ht="15.75" customHeight="1">
      <c r="A12" s="10"/>
      <c r="B12" s="2" t="s">
        <v>59</v>
      </c>
      <c r="C12" s="266">
        <f>-C11*C41</f>
        <v>-3909.5548002401515</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207</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128</v>
      </c>
      <c r="C14" s="269">
        <f>SUM(C11:C13)</f>
        <v>5447.0580630210279</v>
      </c>
      <c r="D14" s="58"/>
      <c r="E14" s="243"/>
      <c r="F14" s="58"/>
      <c r="G14" s="267">
        <f t="shared" ref="G14:Q14" si="8">IF(G$4="","",SUM(G11:G13))</f>
        <v>10035.208802799847</v>
      </c>
      <c r="H14" s="267">
        <f t="shared" si="8"/>
        <v>10105.427618409045</v>
      </c>
      <c r="I14" s="267">
        <f t="shared" si="8"/>
        <v>10567.704970360195</v>
      </c>
      <c r="J14" s="267">
        <f t="shared" si="8"/>
        <v>8502.0255288946955</v>
      </c>
      <c r="K14" s="267">
        <f t="shared" si="8"/>
        <v>5514.6794414654996</v>
      </c>
      <c r="L14" s="267">
        <f t="shared" si="8"/>
        <v>12231.727778671353</v>
      </c>
      <c r="M14" s="267">
        <f t="shared" si="8"/>
        <v>11774.83465221916</v>
      </c>
      <c r="N14" s="267">
        <f t="shared" si="8"/>
        <v>10165.407158027941</v>
      </c>
      <c r="O14" s="267">
        <f t="shared" si="8"/>
        <v>11198.109469913514</v>
      </c>
      <c r="P14" s="267">
        <f t="shared" si="8"/>
        <v>7004.1450737264768</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5447.0580630210279</v>
      </c>
      <c r="D19" s="26"/>
      <c r="E19" s="234"/>
      <c r="F19" s="26"/>
      <c r="G19" s="271">
        <f t="shared" ref="G19:Q19" si="9">IF(G$4="","",G14+G17)</f>
        <v>10035.208802799847</v>
      </c>
      <c r="H19" s="271">
        <f t="shared" si="9"/>
        <v>10105.427618409045</v>
      </c>
      <c r="I19" s="271">
        <f t="shared" si="9"/>
        <v>10567.704970360195</v>
      </c>
      <c r="J19" s="271">
        <f t="shared" si="9"/>
        <v>8502.0255288946955</v>
      </c>
      <c r="K19" s="271">
        <f t="shared" si="9"/>
        <v>5514.6794414654996</v>
      </c>
      <c r="L19" s="271">
        <f t="shared" si="9"/>
        <v>12231.727778671353</v>
      </c>
      <c r="M19" s="271">
        <f t="shared" si="9"/>
        <v>11774.83465221916</v>
      </c>
      <c r="N19" s="271">
        <f t="shared" si="9"/>
        <v>10165.407158027941</v>
      </c>
      <c r="O19" s="271">
        <f t="shared" si="9"/>
        <v>11198.109469913514</v>
      </c>
      <c r="P19" s="271">
        <f t="shared" si="9"/>
        <v>7004.1450737264768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58</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0.18719095834852129</v>
      </c>
      <c r="H41" s="6">
        <f t="shared" si="16"/>
        <v>0.1961633825180098</v>
      </c>
      <c r="I41" s="6">
        <f t="shared" si="16"/>
        <v>0.19059623664469552</v>
      </c>
      <c r="J41" s="6">
        <f t="shared" si="16"/>
        <v>0.18579954939349005</v>
      </c>
      <c r="K41" s="6">
        <f t="shared" si="16"/>
        <v>0.20118852680693325</v>
      </c>
      <c r="L41" s="6">
        <f t="shared" si="16"/>
        <v>0.20043562741576323</v>
      </c>
      <c r="M41" s="6">
        <f t="shared" si="16"/>
        <v>0.19722015109873059</v>
      </c>
      <c r="N41" s="6">
        <f t="shared" si="16"/>
        <v>0.2091154786469708</v>
      </c>
      <c r="O41" s="6">
        <f t="shared" si="16"/>
        <v>0.20963957464449387</v>
      </c>
      <c r="P41" s="6">
        <f t="shared" si="16"/>
        <v>0.2210418799924336</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271</v>
      </c>
      <c r="C46" s="266">
        <f>BS!D75*C51</f>
        <v>87.059200960605921</v>
      </c>
      <c r="E46" s="237"/>
      <c r="G46" s="274">
        <f t="shared" ref="G46:Q46" si="17">IFERROR(IF(G$4="","",($C$46/$C$47)*G47),0)</f>
        <v>324.2088027998463</v>
      </c>
      <c r="H46" s="274">
        <f t="shared" si="17"/>
        <v>294.42761840904626</v>
      </c>
      <c r="I46" s="274">
        <f t="shared" si="17"/>
        <v>290.70497036019623</v>
      </c>
      <c r="J46" s="274">
        <f t="shared" si="17"/>
        <v>179.02552889469592</v>
      </c>
      <c r="K46" s="274">
        <f t="shared" si="17"/>
        <v>111.6794414655003</v>
      </c>
      <c r="L46" s="274">
        <f t="shared" si="17"/>
        <v>92.727778671354798</v>
      </c>
      <c r="M46" s="274">
        <f t="shared" si="17"/>
        <v>99.834652219159352</v>
      </c>
      <c r="N46" s="274">
        <f t="shared" si="17"/>
        <v>71.407158027941094</v>
      </c>
      <c r="O46" s="274">
        <f t="shared" si="17"/>
        <v>118.10946991351395</v>
      </c>
      <c r="P46" s="274">
        <f t="shared" si="17"/>
        <v>76.145073726477477</v>
      </c>
      <c r="Q46" s="274" t="str">
        <f t="shared" si="17"/>
        <v/>
      </c>
    </row>
    <row r="47" spans="1:17" ht="15.75" customHeight="1">
      <c r="A47" s="10"/>
      <c r="B47" s="245" t="s">
        <v>268</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64</v>
      </c>
      <c r="C48" s="267">
        <f>C45+C46</f>
        <v>-715.94079903939405</v>
      </c>
      <c r="E48" s="237"/>
      <c r="G48" s="267">
        <f>IF(G$4="","",(G45+G46))</f>
        <v>-478.7911972001537</v>
      </c>
      <c r="H48" s="267">
        <f t="shared" ref="H48:Q48" si="18">IF(H$4="","",(H45+H46))</f>
        <v>-665.57238159095368</v>
      </c>
      <c r="I48" s="267">
        <f t="shared" si="18"/>
        <v>-608.29502963980372</v>
      </c>
      <c r="J48" s="267">
        <f t="shared" si="18"/>
        <v>-603.97447110530402</v>
      </c>
      <c r="K48" s="267">
        <f t="shared" si="18"/>
        <v>-596.3205585344997</v>
      </c>
      <c r="L48" s="267">
        <f t="shared" si="18"/>
        <v>-895.27222132864517</v>
      </c>
      <c r="M48" s="267">
        <f t="shared" si="18"/>
        <v>-1030.1653477808406</v>
      </c>
      <c r="N48" s="267">
        <f t="shared" si="18"/>
        <v>-1073.592841972059</v>
      </c>
      <c r="O48" s="267">
        <f t="shared" si="18"/>
        <v>-566.89053008648602</v>
      </c>
      <c r="P48" s="267">
        <f t="shared" si="18"/>
        <v>-500.85492627352255</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83</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86</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134</v>
      </c>
      <c r="C60" s="279">
        <v>0</v>
      </c>
      <c r="E60" s="235" t="s">
        <v>263</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163</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44</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41</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126</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127</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64</v>
      </c>
      <c r="C76" s="74">
        <f t="shared" si="22"/>
        <v>3.8276188693657925E-3</v>
      </c>
      <c r="D76" s="26"/>
      <c r="E76" s="234"/>
      <c r="F76" s="26"/>
      <c r="G76" s="6">
        <f t="shared" ref="G76:Q76" si="28">IF(G$4="","",ABS(G10/G$4))</f>
        <v>2.5597510623063509E-3</v>
      </c>
      <c r="H76" s="6">
        <f t="shared" si="28"/>
        <v>3.7527903604708869E-3</v>
      </c>
      <c r="I76" s="6">
        <f t="shared" si="28"/>
        <v>3.5377508353871246E-3</v>
      </c>
      <c r="J76" s="6">
        <f t="shared" si="28"/>
        <v>4.3593471609295331E-3</v>
      </c>
      <c r="K76" s="6">
        <f t="shared" si="28"/>
        <v>5.4582617873932477E-3</v>
      </c>
      <c r="L76" s="6">
        <f t="shared" si="28"/>
        <v>7.9008782869454102E-3</v>
      </c>
      <c r="M76" s="6">
        <f t="shared" si="28"/>
        <v>9.7673779063320431E-3</v>
      </c>
      <c r="N76" s="6">
        <f t="shared" si="28"/>
        <v>1.210282102644758E-2</v>
      </c>
      <c r="O76" s="6">
        <f t="shared" si="28"/>
        <v>6.9232618901160945E-3</v>
      </c>
      <c r="P76" s="6">
        <f t="shared" si="28"/>
        <v>1.2027927433863802E-2</v>
      </c>
      <c r="Q76" s="6" t="str">
        <f t="shared" si="28"/>
        <v/>
      </c>
    </row>
    <row r="77" spans="1:17" ht="15.75" customHeight="1">
      <c r="A77" s="10"/>
      <c r="B77" s="67" t="s">
        <v>136</v>
      </c>
      <c r="C77" s="75">
        <f>C11/C4</f>
        <v>8.3606274397531127E-2</v>
      </c>
      <c r="D77" s="26"/>
      <c r="E77" s="234"/>
      <c r="F77" s="26"/>
      <c r="G77" s="62">
        <f t="shared" ref="G77:Q77" si="29">IF(G$4="","",G11/G$4)</f>
        <v>8.9337429310436187E-2</v>
      </c>
      <c r="H77" s="62">
        <f t="shared" si="29"/>
        <v>9.5946116909734452E-2</v>
      </c>
      <c r="I77" s="62">
        <f t="shared" si="29"/>
        <v>9.7309036490719036E-2</v>
      </c>
      <c r="J77" s="62">
        <f t="shared" si="29"/>
        <v>0.1048093825842111</v>
      </c>
      <c r="K77" s="62">
        <f t="shared" si="29"/>
        <v>0.10523180054613229</v>
      </c>
      <c r="L77" s="62">
        <f t="shared" si="29"/>
        <v>0.17937683918589528</v>
      </c>
      <c r="M77" s="62">
        <f t="shared" si="29"/>
        <v>0.18133909786876989</v>
      </c>
      <c r="N77" s="62">
        <f t="shared" si="29"/>
        <v>0.19035248075697181</v>
      </c>
      <c r="O77" s="62">
        <f t="shared" si="29"/>
        <v>0.21560427774008345</v>
      </c>
      <c r="P77" s="62">
        <f t="shared" si="29"/>
        <v>0.28323395388502864</v>
      </c>
      <c r="Q77" s="62" t="str">
        <f t="shared" si="29"/>
        <v/>
      </c>
    </row>
    <row r="78" spans="1:17" ht="15.75" customHeight="1">
      <c r="A78" s="10"/>
      <c r="B78" s="2" t="s">
        <v>59</v>
      </c>
      <c r="C78" s="74">
        <f>ABS(C12/C$4)</f>
        <v>2.0901568599382782E-2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128</v>
      </c>
      <c r="C80" s="75">
        <f>ABS(C14/C$4)</f>
        <v>2.912148916855227E-2</v>
      </c>
      <c r="D80" s="26"/>
      <c r="E80" s="234"/>
      <c r="F80" s="26"/>
      <c r="G80" s="62">
        <f t="shared" ref="G80:Q80" si="32">IF(G$4="","",ABS(G14/G$4))</f>
        <v>5.3651020619525931E-2</v>
      </c>
      <c r="H80" s="62">
        <f t="shared" si="32"/>
        <v>5.6978853696048833E-2</v>
      </c>
      <c r="I80" s="62">
        <f t="shared" si="32"/>
        <v>6.1460155459685681E-2</v>
      </c>
      <c r="J80" s="62">
        <f t="shared" si="32"/>
        <v>6.1365641471087036E-2</v>
      </c>
      <c r="K80" s="62">
        <f t="shared" si="32"/>
        <v>5.047715299141884E-2</v>
      </c>
      <c r="L80" s="62">
        <f t="shared" si="32"/>
        <v>0.10794637666173654</v>
      </c>
      <c r="M80" s="62">
        <f t="shared" si="32"/>
        <v>0.1116415535433693</v>
      </c>
      <c r="N80" s="62">
        <f t="shared" si="32"/>
        <v>0.11459661305918362</v>
      </c>
      <c r="O80" s="62">
        <f t="shared" si="32"/>
        <v>0.13675911030401691</v>
      </c>
      <c r="P80" s="62">
        <f t="shared" si="32"/>
        <v>0.16820309487587898</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2.912148916855227E-2</v>
      </c>
      <c r="D85" s="72"/>
      <c r="E85" s="234"/>
      <c r="F85" s="72"/>
      <c r="G85" s="62">
        <f t="shared" ref="G85:Q85" si="35">IF(G$4="","",ABS(G19/G$4))</f>
        <v>5.3651020619525931E-2</v>
      </c>
      <c r="H85" s="62">
        <f t="shared" si="35"/>
        <v>5.6978853696048833E-2</v>
      </c>
      <c r="I85" s="62">
        <f t="shared" si="35"/>
        <v>6.1460155459685681E-2</v>
      </c>
      <c r="J85" s="62">
        <f t="shared" si="35"/>
        <v>6.1365641471087036E-2</v>
      </c>
      <c r="K85" s="62">
        <f t="shared" si="35"/>
        <v>5.047715299141884E-2</v>
      </c>
      <c r="L85" s="62">
        <f t="shared" si="35"/>
        <v>0.10794637666173654</v>
      </c>
      <c r="M85" s="62">
        <f t="shared" si="35"/>
        <v>0.1116415535433693</v>
      </c>
      <c r="N85" s="62">
        <f t="shared" si="35"/>
        <v>0.11459661305918362</v>
      </c>
      <c r="O85" s="62">
        <f t="shared" si="35"/>
        <v>0.13675911030401691</v>
      </c>
      <c r="P85" s="62">
        <f t="shared" si="35"/>
        <v>0.16820309487587898</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0.362105754</v>
      </c>
      <c r="E88" s="237"/>
      <c r="G88" s="109">
        <f>Data!C65</f>
        <v>0.362105754</v>
      </c>
      <c r="H88" s="109">
        <f>Data!D65</f>
        <v>0.32541359400000003</v>
      </c>
      <c r="I88" s="109">
        <f>Data!E65</f>
        <v>0.29112935700000003</v>
      </c>
      <c r="J88" s="109">
        <f>Data!F65</f>
        <v>0.23826971400000002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3135.4019212118278</v>
      </c>
      <c r="E89" s="237"/>
      <c r="G89" s="71">
        <f t="shared" ref="G89:Q89" si="36">IF(G$4="","",G88*Common_Shares/scaling_factor)</f>
        <v>3135.4019212118278</v>
      </c>
      <c r="H89" s="71">
        <f t="shared" si="36"/>
        <v>2817.6917835336189</v>
      </c>
      <c r="I89" s="71">
        <f t="shared" si="36"/>
        <v>2520.8313736405421</v>
      </c>
      <c r="J89" s="71">
        <f t="shared" si="36"/>
        <v>2063.1302065478717</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0.57561382400114947</v>
      </c>
      <c r="E90" s="237"/>
      <c r="G90" s="152">
        <f t="shared" ref="G90:Q90" si="37">IF(G$4="","",G88/(G19*scaling_factor/Common_Shares))</f>
        <v>0.31244012783640768</v>
      </c>
      <c r="H90" s="152">
        <f t="shared" si="37"/>
        <v>0.27882954486761485</v>
      </c>
      <c r="I90" s="152">
        <f t="shared" si="37"/>
        <v>0.23854104374704366</v>
      </c>
      <c r="J90" s="152">
        <f t="shared" si="37"/>
        <v>0.24266337469067664</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4.3568874144385025E-2</v>
      </c>
      <c r="E92" s="237"/>
      <c r="G92" s="22">
        <f t="shared" ref="G92:Q92" si="38">IF(G$4="","",(G88*(1-dividend_tax_rate))/Market_Price)</f>
        <v>4.3568874144385025E-2</v>
      </c>
      <c r="H92" s="22">
        <f t="shared" si="38"/>
        <v>3.9154042058823536E-2</v>
      </c>
      <c r="I92" s="22">
        <f t="shared" si="38"/>
        <v>3.5028933328877007E-2</v>
      </c>
      <c r="J92" s="22">
        <f t="shared" si="38"/>
        <v>2.8668815855614975E-2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136</v>
      </c>
      <c r="C96" s="74">
        <f>C11/G11-1</f>
        <v>-6.4151777783867381E-2</v>
      </c>
      <c r="D96" s="26"/>
      <c r="E96" s="234"/>
      <c r="F96" s="26"/>
      <c r="G96" s="6">
        <f t="shared" ref="G96:Q96" si="40">IF(H5="","",G11/H11-1)</f>
        <v>-1.7995481923474888E-2</v>
      </c>
      <c r="H96" s="6">
        <f t="shared" si="40"/>
        <v>1.7016953654946043E-2</v>
      </c>
      <c r="I96" s="6">
        <f t="shared" si="40"/>
        <v>0.15223989773081614</v>
      </c>
      <c r="J96" s="6">
        <f t="shared" si="40"/>
        <v>0.26306257409606237</v>
      </c>
      <c r="K96" s="6">
        <f t="shared" si="40"/>
        <v>-0.43437796832399511</v>
      </c>
      <c r="L96" s="6">
        <f t="shared" si="40"/>
        <v>6.2736771925034462E-2</v>
      </c>
      <c r="M96" s="6">
        <f t="shared" si="40"/>
        <v>0.13268424463937412</v>
      </c>
      <c r="N96" s="6">
        <f t="shared" si="40"/>
        <v>-4.3542400889470478E-2</v>
      </c>
      <c r="O96" s="6">
        <f t="shared" si="40"/>
        <v>0.49685368117449502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178</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27</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303</v>
      </c>
      <c r="C113" s="151"/>
      <c r="E113" s="459">
        <f>(Normalized_FCF!E117/Normalized_FCF!C117)^(1/DCF!C15)-1</f>
        <v>0</v>
      </c>
      <c r="G113" s="251">
        <f>IF(G$4="","",Data!C$22/G19)</f>
        <v>1.2470094290921545</v>
      </c>
      <c r="H113" s="251">
        <f>IF(H$4="","",Data!D$22/H19)</f>
        <v>1.425768462657925</v>
      </c>
      <c r="I113" s="251">
        <f>IF(I$4="","",Data!E$22/I19)</f>
        <v>1.4071172540969568</v>
      </c>
      <c r="J113" s="251">
        <f>IF(J$4="","",Data!F$22/J19)</f>
        <v>1.4114283660072775</v>
      </c>
      <c r="K113" s="251">
        <f>IF(K$4="","",Data!G$22/K19)</f>
        <v>3.0351718858117267</v>
      </c>
      <c r="L113" s="251">
        <f>IF(L$4="","",Data!H$22/L19)</f>
        <v>1.3150227254115037</v>
      </c>
      <c r="M113" s="251">
        <f>IF(M$4="","",Data!I$22/M19)</f>
        <v>1.4452856878795048</v>
      </c>
      <c r="N113" s="251">
        <f>IF(N$4="","",Data!J$22/N19)</f>
        <v>1.3070799618200082</v>
      </c>
      <c r="O113" s="251">
        <f>IF(O$4="","",Data!K$22/O19)</f>
        <v>1.4063981105304941</v>
      </c>
      <c r="P113" s="251">
        <f>IF(P$4="","",Data!L$22/P19)</f>
        <v>1.9088696563628773</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8.3606274397531127E-2</v>
      </c>
      <c r="E116" s="22">
        <f>E119/E117/E118</f>
        <v>8.3606274397531113E-2</v>
      </c>
      <c r="G116" s="22">
        <f t="shared" ref="G116:Q116" si="44">IF(G4="","",G77)</f>
        <v>8.9337429310436187E-2</v>
      </c>
      <c r="H116" s="22">
        <f t="shared" si="44"/>
        <v>9.5946116909734452E-2</v>
      </c>
      <c r="I116" s="22">
        <f t="shared" si="44"/>
        <v>9.7309036490719036E-2</v>
      </c>
      <c r="J116" s="22">
        <f t="shared" si="44"/>
        <v>0.1048093825842111</v>
      </c>
      <c r="K116" s="22">
        <f t="shared" si="44"/>
        <v>0.10523180054613229</v>
      </c>
      <c r="L116" s="22">
        <f t="shared" si="44"/>
        <v>0.17937683918589528</v>
      </c>
      <c r="M116" s="22">
        <f t="shared" si="44"/>
        <v>0.18133909786876989</v>
      </c>
      <c r="N116" s="22">
        <f t="shared" si="44"/>
        <v>0.19035248075697181</v>
      </c>
      <c r="O116" s="22">
        <f t="shared" si="44"/>
        <v>0.21560427774008345</v>
      </c>
      <c r="P116" s="22">
        <f t="shared" si="44"/>
        <v>0.28323395388502864</v>
      </c>
      <c r="Q116" s="22" t="str">
        <f t="shared" si="44"/>
        <v/>
      </c>
    </row>
    <row r="117" spans="1:17" ht="15.75" customHeight="1">
      <c r="B117" s="7" t="s">
        <v>79</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87</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190</v>
      </c>
      <c r="C119" s="62">
        <f>C11/C104</f>
        <v>0.17172024422366369</v>
      </c>
      <c r="D119" s="100"/>
      <c r="E119" s="453">
        <f>C11/C104</f>
        <v>0.17172024422366369</v>
      </c>
      <c r="F119" s="100"/>
      <c r="G119" s="99">
        <f t="shared" ref="G119:Q119" si="47">IF(G$4="","",G11/G104)</f>
        <v>0.18349155359511407</v>
      </c>
      <c r="H119" s="99">
        <f t="shared" si="47"/>
        <v>0.19836596549909707</v>
      </c>
      <c r="I119" s="99">
        <f t="shared" si="47"/>
        <v>0.20732701755049682</v>
      </c>
      <c r="J119" s="99">
        <f t="shared" si="47"/>
        <v>0.1914162155639221</v>
      </c>
      <c r="K119" s="99">
        <f t="shared" si="47"/>
        <v>0.13601191857590472</v>
      </c>
      <c r="L119" s="99">
        <f t="shared" si="47"/>
        <v>0.25668659188825349</v>
      </c>
      <c r="M119" s="99">
        <f t="shared" si="47"/>
        <v>0.27285979758922535</v>
      </c>
      <c r="N119" s="99">
        <f t="shared" si="47"/>
        <v>0.25730144240804481</v>
      </c>
      <c r="O119" s="99">
        <f t="shared" si="47"/>
        <v>0.26626411278393908</v>
      </c>
      <c r="P119" s="99">
        <f t="shared" si="47"/>
        <v>0.16771152200851028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0.72131923070039217</v>
      </c>
      <c r="D123" s="26"/>
      <c r="E123" s="234"/>
      <c r="F123" s="26"/>
      <c r="G123" s="159">
        <f t="shared" ref="G123:Q123" si="48">IF(G$4="","",G14*$C$3/Common_Shares*Exchange_Rate)</f>
        <v>1.32889883122317</v>
      </c>
      <c r="H123" s="159">
        <f t="shared" si="48"/>
        <v>1.3381974620565318</v>
      </c>
      <c r="I123" s="159">
        <f t="shared" si="48"/>
        <v>1.399413909544643</v>
      </c>
      <c r="J123" s="159">
        <f t="shared" si="48"/>
        <v>1.1258691284256541</v>
      </c>
      <c r="K123" s="159">
        <f t="shared" si="48"/>
        <v>0.73027389946179222</v>
      </c>
      <c r="L123" s="159">
        <f t="shared" si="48"/>
        <v>1.6197698591364869</v>
      </c>
      <c r="M123" s="159">
        <f t="shared" si="48"/>
        <v>1.5592664103625244</v>
      </c>
      <c r="N123" s="159">
        <f t="shared" si="48"/>
        <v>1.3461401707398446</v>
      </c>
      <c r="O123" s="159">
        <f t="shared" si="48"/>
        <v>1.4828943651202655</v>
      </c>
      <c r="P123" s="159">
        <f t="shared" si="48"/>
        <v>0.92751435322359632</v>
      </c>
      <c r="Q123" s="159" t="str">
        <f t="shared" si="48"/>
        <v/>
      </c>
    </row>
    <row r="124" spans="1:17" ht="15.75" customHeight="1">
      <c r="A124" s="10"/>
      <c r="B124" s="26" t="s">
        <v>225</v>
      </c>
      <c r="C124" s="74">
        <f>C19*Exchange_Rate*$C$3/(Market_Price*Common_Shares)</f>
        <v>9.6433052232672747E-2</v>
      </c>
      <c r="D124" s="26"/>
      <c r="E124" s="234"/>
      <c r="F124" s="26"/>
      <c r="G124" s="74">
        <f t="shared" ref="G124" si="49">IF(G$4="","",G123/Market_Price)</f>
        <v>0.17766027155389971</v>
      </c>
      <c r="H124" s="74">
        <f t="shared" ref="H124" si="50">IF(H$4="","",H123/Market_Price)</f>
        <v>0.17890340401825292</v>
      </c>
      <c r="I124" s="74">
        <f t="shared" ref="I124" si="51">IF(I$4="","",I123/Market_Price)</f>
        <v>0.18708742106211804</v>
      </c>
      <c r="J124" s="74">
        <f t="shared" ref="J124" si="52">IF(J$4="","",J123/Market_Price)</f>
        <v>0.15051726315850991</v>
      </c>
      <c r="K124" s="74">
        <f t="shared" ref="K124" si="53">IF(K$4="","",K123/Market_Price)</f>
        <v>9.7630200462806446E-2</v>
      </c>
      <c r="L124" s="74">
        <f t="shared" ref="L124" si="54">IF(L$4="","",L123/Market_Price)</f>
        <v>0.21654677261182978</v>
      </c>
      <c r="M124" s="74">
        <f t="shared" ref="M124" si="55">IF(M$4="","",M123/Market_Price)</f>
        <v>0.20845807625167437</v>
      </c>
      <c r="N124" s="74">
        <f t="shared" ref="N124" si="56">IF(N$4="","",N123/Market_Price)</f>
        <v>0.17996526346789365</v>
      </c>
      <c r="O124" s="74">
        <f t="shared" ref="O124" si="57">IF(O$4="","",O123/Market_Price)</f>
        <v>0.19824790977543655</v>
      </c>
      <c r="P124" s="74">
        <f t="shared" ref="P124" si="58">IF(P$4="","",P123/Market_Price)</f>
        <v>0.12399924508336849</v>
      </c>
      <c r="Q124" s="74" t="str">
        <f t="shared" ref="Q124" si="59">IF(Q$4="","",Q123/Market_Price)</f>
        <v/>
      </c>
    </row>
    <row r="125" spans="1:17" ht="15.75" customHeight="1">
      <c r="B125" s="2" t="s">
        <v>305</v>
      </c>
      <c r="C125" s="151"/>
      <c r="G125" s="22">
        <f>IF(G$4="","",(Data!C47*$C$3)/(Market_Price*Common_Shares))</f>
        <v>0.14678581952495201</v>
      </c>
      <c r="H125" s="22">
        <f>IF(H$4="","",(Data!D47*$C$3)/(Market_Price*Common_Shares))</f>
        <v>0.1428949994428769</v>
      </c>
      <c r="I125" s="22">
        <f>IF(I$4="","",(Data!E47*$C$3)/(Market_Price*Common_Shares))</f>
        <v>0.12665236957643644</v>
      </c>
      <c r="J125" s="22">
        <f>IF(J$4="","",(Data!F47*$C$3)/(Market_Price*Common_Shares))</f>
        <v>0.40663701786353856</v>
      </c>
      <c r="K125" s="22">
        <f>IF(K$4="","",(Data!G47*$C$3)/(Market_Price*Common_Shares))</f>
        <v>0.15025976602680477</v>
      </c>
      <c r="L125" s="22">
        <f>IF(L$4="","",(Data!H47*$C$3)/(Market_Price*Common_Shares))</f>
        <v>0.14777396430770123</v>
      </c>
      <c r="M125" s="22">
        <f>IF(M$4="","",(Data!I47*$C$3)/(Market_Price*Common_Shares))</f>
        <v>0.12680676719874101</v>
      </c>
      <c r="N125" s="22">
        <f>IF(N$4="","",(Data!J47*$C$3)/(Market_Price*Common_Shares))</f>
        <v>0.12273066996990044</v>
      </c>
      <c r="O125" s="22">
        <f>IF(O$4="","",(Data!K47*$C$3)/(Market_Price*Common_Shares))</f>
        <v>5.2711348254779231E-2</v>
      </c>
      <c r="P125" s="22">
        <f>IF(P$4="","",(Data!L47*$C$3)/(Market_Price*Common_Shares))</f>
        <v>3.582024837465958E-2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5447.0580630210279</v>
      </c>
      <c r="D4" t="str">
        <f>Reporting_currency</f>
        <v>CNY</v>
      </c>
      <c r="E4" s="135" t="s">
        <v>430</v>
      </c>
      <c r="F4" s="275">
        <f>-BS!G31</f>
        <v>-20425</v>
      </c>
      <c r="G4" t="str">
        <f>Reporting_currency</f>
        <v>CNY</v>
      </c>
      <c r="H4" s="308" t="s">
        <v>393</v>
      </c>
      <c r="I4" s="305">
        <f>Normalized_FCF!C4</f>
        <v>187046</v>
      </c>
      <c r="J4" s="305"/>
    </row>
    <row r="5" spans="2:15">
      <c r="B5" s="187" t="s">
        <v>104</v>
      </c>
      <c r="C5" s="188">
        <f>Equity_Cost</f>
        <v>7.2499999999999995E-2</v>
      </c>
      <c r="E5" s="135" t="s">
        <v>431</v>
      </c>
      <c r="F5" s="275">
        <f>BS!D66</f>
        <v>28365.133173232345</v>
      </c>
      <c r="G5" t="str">
        <f>Reporting_currency</f>
        <v>CNY</v>
      </c>
      <c r="H5" s="308" t="s">
        <v>394</v>
      </c>
      <c r="I5" s="305">
        <f>Normalized_FCF!C7</f>
        <v>-5830</v>
      </c>
      <c r="J5" s="305"/>
    </row>
    <row r="6" spans="2:15" ht="13.25" customHeight="1">
      <c r="B6" s="136" t="s">
        <v>193</v>
      </c>
      <c r="C6" s="283">
        <f>(C4*(1+Terminal_Growth))/(Equity_Cost-Terminal_Growth)</f>
        <v>105828.55665298</v>
      </c>
      <c r="D6" t="str">
        <f>Reporting_currency</f>
        <v>CNY</v>
      </c>
      <c r="E6" s="187" t="s">
        <v>432</v>
      </c>
      <c r="F6" s="284">
        <f>BS!H42</f>
        <v>174</v>
      </c>
      <c r="G6" t="str">
        <f>Reporting_currency</f>
        <v>CNY</v>
      </c>
      <c r="H6" s="308" t="s">
        <v>415</v>
      </c>
      <c r="I6" s="305">
        <f>I7+I8</f>
        <v>-424.78079903939403</v>
      </c>
      <c r="J6" s="305"/>
      <c r="N6" s="135"/>
    </row>
    <row r="7" spans="2:15" ht="12.75" customHeight="1">
      <c r="B7" s="318" t="s">
        <v>429</v>
      </c>
      <c r="C7" s="275">
        <f>F7</f>
        <v>8114.1331732323451</v>
      </c>
      <c r="E7" s="140" t="s">
        <v>423</v>
      </c>
      <c r="F7" s="283">
        <f>SUM(F4:F6)</f>
        <v>8114.1331732323451</v>
      </c>
      <c r="G7" t="str">
        <f>Reporting_currency</f>
        <v>CNY</v>
      </c>
      <c r="H7" s="312" t="s">
        <v>416</v>
      </c>
      <c r="I7" s="313">
        <f>Normalized_FCF!C9</f>
        <v>291.16000000000003</v>
      </c>
      <c r="J7" s="313"/>
      <c r="N7" s="304"/>
      <c r="O7" s="304"/>
    </row>
    <row r="8" spans="2:15" ht="13.15">
      <c r="B8" s="136" t="s">
        <v>425</v>
      </c>
      <c r="C8" s="283">
        <f>C6+C7</f>
        <v>113942.68982621234</v>
      </c>
      <c r="D8" t="str">
        <f>Reporting_currency</f>
        <v>CNY</v>
      </c>
      <c r="E8" s="140" t="s">
        <v>463</v>
      </c>
      <c r="F8" s="108">
        <f>FV_adjustments*scaling_factor/Common_Shares*Exchange_Rate</f>
        <v>1.0745030125620478</v>
      </c>
      <c r="G8" s="294" t="str">
        <f>Market_currency</f>
        <v>HKD</v>
      </c>
      <c r="H8" s="314" t="str">
        <f>Normalized_FCF!B10</f>
        <v>Net Interest Income</v>
      </c>
      <c r="I8" s="313">
        <f>Normalized_FCF!C10</f>
        <v>-715.94079903939405</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3.3583216629596069E-2</v>
      </c>
      <c r="J9" s="306"/>
      <c r="N9" s="304"/>
      <c r="O9" s="304"/>
    </row>
    <row r="10" spans="2:15" ht="13.5" thickTop="1">
      <c r="B10" s="107" t="s">
        <v>426</v>
      </c>
      <c r="C10" s="283">
        <f>C8*Exchange_Rate</f>
        <v>130650.10643542986</v>
      </c>
      <c r="D10" t="str">
        <f>Market_currency</f>
        <v>HKD</v>
      </c>
      <c r="H10" s="308" t="s">
        <v>396</v>
      </c>
      <c r="I10" s="306">
        <f>Normalized_FCF!C41</f>
        <v>0.25</v>
      </c>
      <c r="N10" s="304"/>
      <c r="O10" s="304"/>
    </row>
    <row r="11" spans="2:15" ht="13.15">
      <c r="B11" s="136" t="s">
        <v>424</v>
      </c>
      <c r="C11" s="108">
        <f>(C10*scaling_factor)/Common_Shares</f>
        <v>15.088705209026811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0.02</v>
      </c>
      <c r="J15" s="126"/>
    </row>
    <row r="16" spans="2:15" ht="13.25" customHeight="1">
      <c r="B16" s="114" t="s">
        <v>421</v>
      </c>
      <c r="C16" s="147">
        <f>Scenarios!C46</f>
        <v>2.47161282761951E-3</v>
      </c>
      <c r="E16" s="308" t="s">
        <v>399</v>
      </c>
      <c r="F16" s="311">
        <f>Scenarios!C41</f>
        <v>2.47161282761951E-3</v>
      </c>
    </row>
    <row r="17" spans="1:21" ht="13.25" customHeight="1">
      <c r="B17" s="308" t="s">
        <v>547</v>
      </c>
      <c r="C17" s="306">
        <f>Normalized_FCF!C77</f>
        <v>8.3606274397531127E-2</v>
      </c>
      <c r="E17" s="308" t="s">
        <v>548</v>
      </c>
      <c r="F17" s="311">
        <f>Scenarios!C40</f>
        <v>8.3606274397531113E-2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11.273614240496149</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187508.3052929549</v>
      </c>
      <c r="D21" s="299">
        <f t="shared" ref="D21:D50" si="1">IF(A21="",0,IF(A21="I",$C$16,$F$16))</f>
        <v>2.47161282761951E-3</v>
      </c>
      <c r="E21" s="299">
        <f>$C$17</f>
        <v>8.3606274397531127E-2</v>
      </c>
      <c r="F21" s="277">
        <f>C21*E21</f>
        <v>15676.870824138825</v>
      </c>
      <c r="G21" s="299">
        <f t="shared" ref="G21:G50" si="2">IF(A21="",0%,IF(A21="I",$C$18,$F$18))</f>
        <v>0</v>
      </c>
      <c r="H21" s="277">
        <f>(F21*(1-$I$10)+C21*(G21-$I$9))</f>
        <v>5460.5210816023791</v>
      </c>
      <c r="I21" s="299">
        <f>H21/C4-1</f>
        <v>2.4716128276194294E-3</v>
      </c>
      <c r="J21" s="299">
        <f>H21/C21</f>
        <v>2.9121489168552273E-2</v>
      </c>
      <c r="K21" s="119">
        <f t="shared" ref="K21:K50" si="3">IF($C$15&lt;B21,0,1/(1+Equity_Cost)^B21)</f>
        <v>0.93240093240093236</v>
      </c>
      <c r="L21" s="277">
        <f t="shared" ref="L21:L51" si="4">H21*K21</f>
        <v>5091.3949478810064</v>
      </c>
    </row>
    <row r="22" spans="1:21">
      <c r="A22" s="302" t="str">
        <f t="shared" si="0"/>
        <v>I</v>
      </c>
      <c r="B22" s="117">
        <v>2</v>
      </c>
      <c r="C22" s="277">
        <f t="shared" ref="C22:C50" si="5">IF(A22="",0,C21*(1+D22))</f>
        <v>187971.75322560215</v>
      </c>
      <c r="D22" s="299">
        <f t="shared" si="1"/>
        <v>2.47161282761951E-3</v>
      </c>
      <c r="E22" s="299">
        <f t="shared" ref="E22:E50" si="6">IF($C$15&lt;B22,0,IF(B22&gt;=$F$15,$F$17,$C$17))</f>
        <v>8.3606274397531127E-2</v>
      </c>
      <c r="F22" s="277">
        <f t="shared" ref="F22:F50" si="7">IF(A22="", 0,C22*E22)</f>
        <v>15715.617979164701</v>
      </c>
      <c r="G22" s="299">
        <f t="shared" si="2"/>
        <v>0</v>
      </c>
      <c r="H22" s="277">
        <f t="shared" ref="H22:H50" si="8">IF(A22="", 0,F22*(1-$I$10)+C22*(G22-$I$9))</f>
        <v>5474.017375553155</v>
      </c>
      <c r="I22" s="299">
        <f t="shared" ref="I22:I50" si="9">IF(A22="", 0,H22/H21-1)</f>
        <v>2.4716128276196514E-3</v>
      </c>
      <c r="J22" s="299">
        <f>IF(A22="", 0,H22/C22)</f>
        <v>2.912148916855228E-2</v>
      </c>
      <c r="K22" s="119">
        <f t="shared" si="3"/>
        <v>0.86937149874212816</v>
      </c>
      <c r="L22" s="277">
        <f t="shared" si="4"/>
        <v>4758.9546899250972</v>
      </c>
    </row>
    <row r="23" spans="1:21">
      <c r="A23" s="302" t="str">
        <f t="shared" si="0"/>
        <v>I</v>
      </c>
      <c r="B23" s="117">
        <v>3</v>
      </c>
      <c r="C23" s="277">
        <f t="shared" si="5"/>
        <v>188436.34662210467</v>
      </c>
      <c r="D23" s="299">
        <f t="shared" si="1"/>
        <v>2.47161282761951E-3</v>
      </c>
      <c r="E23" s="299">
        <f t="shared" si="6"/>
        <v>8.3606274397531127E-2</v>
      </c>
      <c r="F23" s="277">
        <f t="shared" si="7"/>
        <v>15754.46090215597</v>
      </c>
      <c r="G23" s="299">
        <f t="shared" si="2"/>
        <v>0</v>
      </c>
      <c r="H23" s="277">
        <f t="shared" si="8"/>
        <v>5487.5470271171816</v>
      </c>
      <c r="I23" s="299">
        <f t="shared" si="9"/>
        <v>2.4716128276189853E-3</v>
      </c>
      <c r="J23" s="299">
        <f t="shared" ref="J23:J50" si="10">IF(A23="", 0,H23/C23)</f>
        <v>2.9121489168552266E-2</v>
      </c>
      <c r="K23" s="119">
        <f t="shared" si="3"/>
        <v>0.81060279602995633</v>
      </c>
      <c r="L23" s="277">
        <f t="shared" si="4"/>
        <v>4448.2209635270619</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8.3606274397531127E-2</v>
      </c>
      <c r="F24" s="277">
        <f t="shared" si="7"/>
        <v>15793.399829813969</v>
      </c>
      <c r="G24" s="299">
        <f t="shared" si="2"/>
        <v>0</v>
      </c>
      <c r="H24" s="277">
        <f t="shared" si="8"/>
        <v>5501.1101187415707</v>
      </c>
      <c r="I24" s="299">
        <f t="shared" si="9"/>
        <v>2.4716128276196514E-3</v>
      </c>
      <c r="J24" s="299">
        <f t="shared" si="10"/>
        <v>2.9121489168552273E-2</v>
      </c>
      <c r="K24" s="119">
        <f t="shared" si="3"/>
        <v>0.75580680282513402</v>
      </c>
      <c r="L24" s="277">
        <f t="shared" si="4"/>
        <v>4157.7764508350601</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8.3606274397531127E-2</v>
      </c>
      <c r="F25" s="277">
        <f t="shared" si="7"/>
        <v>15832.434999425059</v>
      </c>
      <c r="G25" s="299">
        <f t="shared" si="2"/>
        <v>0</v>
      </c>
      <c r="H25" s="277">
        <f t="shared" si="8"/>
        <v>5514.7067330771997</v>
      </c>
      <c r="I25" s="299">
        <f t="shared" si="9"/>
        <v>2.4716128276194294E-3</v>
      </c>
      <c r="J25" s="299">
        <f t="shared" si="10"/>
        <v>2.9121489168552277E-2</v>
      </c>
      <c r="K25" s="119">
        <f t="shared" si="3"/>
        <v>0.70471496766912267</v>
      </c>
      <c r="L25" s="277">
        <f t="shared" si="4"/>
        <v>3886.2963771051918</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193156.36076101052</v>
      </c>
      <c r="D51" s="301">
        <f>Terminal_Growth</f>
        <v>0.02</v>
      </c>
      <c r="E51" s="301">
        <f>F17</f>
        <v>8.3606274397531113E-2</v>
      </c>
      <c r="F51" s="277">
        <f>C51*E51</f>
        <v>16149.083699413557</v>
      </c>
      <c r="G51" s="299">
        <f>F18</f>
        <v>0</v>
      </c>
      <c r="H51" s="277">
        <f>(F51*(1-$I$10)+C51*(G51-$I$9))/Equity_Cost</f>
        <v>77586.218865361938</v>
      </c>
      <c r="I51" s="415">
        <f>(F51*(1-$I$10)+C51*(G51-$I$9))/VLOOKUP(C15,B21:H50,COLUMN(H20)-1,FALSE)-1</f>
        <v>1.9999999999999352E-2</v>
      </c>
      <c r="J51" s="454"/>
      <c r="K51" s="119">
        <f>1/(1+Equity_Cost)^C15</f>
        <v>0.70471496766912267</v>
      </c>
      <c r="L51" s="277">
        <f t="shared" si="4"/>
        <v>54676.169719273013</v>
      </c>
    </row>
    <row r="52" spans="1:21" ht="13.15">
      <c r="G52" s="111"/>
      <c r="H52" s="111"/>
      <c r="I52" s="111"/>
      <c r="J52" s="468" t="s">
        <v>419</v>
      </c>
      <c r="K52" s="468"/>
      <c r="L52" s="317">
        <f>SUM(L21:L51)</f>
        <v>77018.813148546426</v>
      </c>
    </row>
    <row r="53" spans="1:21">
      <c r="C53" s="111"/>
    </row>
    <row r="54" spans="1:21" ht="13.15">
      <c r="B54" s="115" t="s">
        <v>107</v>
      </c>
      <c r="C54" s="128"/>
      <c r="D54" s="128"/>
      <c r="E54" s="113"/>
      <c r="F54" s="113"/>
      <c r="G54" s="113"/>
      <c r="H54" s="113"/>
      <c r="I54" s="113"/>
      <c r="J54" s="113"/>
      <c r="K54" s="113"/>
      <c r="L54" s="113"/>
    </row>
    <row r="55" spans="1:21" ht="13.15">
      <c r="A55" s="125">
        <f>L52</f>
        <v>77018.813148546426</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68879.605696846571</v>
      </c>
      <c r="C56" s="118">
        <v>76532.895218718419</v>
      </c>
      <c r="D56" s="118">
        <v>78063.553123092788</v>
      </c>
      <c r="E56" s="118">
        <v>79594.211027467099</v>
      </c>
      <c r="F56" s="118">
        <v>81124.868931841484</v>
      </c>
      <c r="G56" s="295"/>
      <c r="H56" s="295"/>
      <c r="I56" s="295"/>
      <c r="J56" s="295"/>
      <c r="K56" s="295"/>
      <c r="L56" s="295"/>
    </row>
    <row r="57" spans="1:21" ht="13.15">
      <c r="A57" s="131">
        <v>2</v>
      </c>
      <c r="B57" s="118">
        <v>62372.02553275603</v>
      </c>
      <c r="C57" s="118">
        <v>76438.18487807874</v>
      </c>
      <c r="D57" s="118">
        <v>79422.67917001032</v>
      </c>
      <c r="E57" s="118">
        <v>82464.260936230974</v>
      </c>
      <c r="F57" s="118">
        <v>85562.9301767406</v>
      </c>
      <c r="G57" s="295"/>
      <c r="H57" s="295"/>
      <c r="I57" s="295"/>
      <c r="J57" s="295"/>
      <c r="K57" s="295"/>
      <c r="L57" s="295"/>
    </row>
    <row r="58" spans="1:21" ht="13.15">
      <c r="A58" s="131">
        <v>3</v>
      </c>
      <c r="B58" s="118">
        <v>56911.119101351367</v>
      </c>
      <c r="C58" s="118">
        <v>76349.876868158302</v>
      </c>
      <c r="D58" s="118">
        <v>80715.274571274611</v>
      </c>
      <c r="E58" s="118">
        <v>85247.339635638302</v>
      </c>
      <c r="F58" s="118">
        <v>89949.265766104741</v>
      </c>
      <c r="G58" s="295"/>
      <c r="H58" s="295"/>
      <c r="I58" s="295"/>
      <c r="J58" s="295"/>
      <c r="K58" s="295"/>
      <c r="L58" s="295"/>
    </row>
    <row r="59" spans="1:21" ht="13.15">
      <c r="A59" s="131">
        <v>4</v>
      </c>
      <c r="B59" s="118">
        <v>52328.540277795022</v>
      </c>
      <c r="C59" s="118">
        <v>76267.538397369994</v>
      </c>
      <c r="D59" s="118">
        <v>81944.596071777632</v>
      </c>
      <c r="E59" s="118">
        <v>87946.082616881744</v>
      </c>
      <c r="F59" s="118">
        <v>94284.478563052035</v>
      </c>
      <c r="G59" s="295"/>
      <c r="H59" s="295"/>
      <c r="I59" s="295"/>
      <c r="J59" s="295"/>
      <c r="K59" s="295"/>
      <c r="L59" s="295"/>
    </row>
    <row r="60" spans="1:21" ht="13.15">
      <c r="A60" s="131">
        <v>5</v>
      </c>
      <c r="B60" s="118">
        <v>48483.019586698792</v>
      </c>
      <c r="C60" s="118">
        <v>76190.765930434529</v>
      </c>
      <c r="D60" s="118">
        <v>83113.740995333021</v>
      </c>
      <c r="E60" s="118">
        <v>90563.045507784511</v>
      </c>
      <c r="F60" s="118">
        <v>98569.164404323936</v>
      </c>
      <c r="G60" s="295"/>
      <c r="H60" s="295"/>
      <c r="I60" s="295"/>
      <c r="J60" s="295"/>
      <c r="K60" s="295"/>
      <c r="L60" s="295"/>
    </row>
    <row r="61" spans="1:21" ht="13.15">
      <c r="A61" s="131">
        <v>6</v>
      </c>
      <c r="B61" s="118">
        <v>45256.009216548104</v>
      </c>
      <c r="C61" s="118">
        <v>76119.183210681178</v>
      </c>
      <c r="D61" s="118">
        <v>84225.65504850453</v>
      </c>
      <c r="E61" s="118">
        <v>93100.706492902362</v>
      </c>
      <c r="F61" s="118">
        <v>102803.91218217782</v>
      </c>
      <c r="G61" s="295"/>
      <c r="H61" s="295"/>
      <c r="I61" s="295"/>
      <c r="J61" s="295"/>
      <c r="K61" s="295"/>
      <c r="L61" s="295"/>
    </row>
    <row r="62" spans="1:21" ht="13.15">
      <c r="A62" s="131">
        <v>7</v>
      </c>
      <c r="B62" s="118">
        <v>42548.02848635173</v>
      </c>
      <c r="C62" s="118">
        <v>76052.439416039357</v>
      </c>
      <c r="D62" s="118">
        <v>85283.139742429921</v>
      </c>
      <c r="E62" s="118">
        <v>95561.468660289363</v>
      </c>
      <c r="F62" s="118">
        <v>106989.30392532473</v>
      </c>
      <c r="G62" s="295"/>
      <c r="H62" s="295"/>
      <c r="I62" s="295"/>
      <c r="J62" s="295"/>
      <c r="K62" s="295"/>
      <c r="L62" s="295"/>
    </row>
    <row r="63" spans="1:21" ht="13.15">
      <c r="A63" s="131">
        <v>8</v>
      </c>
      <c r="B63" s="118">
        <v>40275.597104368746</v>
      </c>
      <c r="C63" s="118">
        <v>75990.207439683334</v>
      </c>
      <c r="D63" s="118">
        <v>86288.85945133795</v>
      </c>
      <c r="E63" s="118">
        <v>97947.662277149488</v>
      </c>
      <c r="F63" s="118">
        <v>111125.91487892446</v>
      </c>
      <c r="G63" s="295"/>
      <c r="H63" s="295"/>
      <c r="I63" s="295"/>
      <c r="J63" s="295"/>
      <c r="K63" s="295"/>
      <c r="L63" s="295"/>
    </row>
    <row r="64" spans="1:21" ht="13.15">
      <c r="A64" s="131">
        <v>9</v>
      </c>
      <c r="B64" s="118">
        <v>38368.661678928482</v>
      </c>
      <c r="C64" s="118">
        <v>75932.182286903844</v>
      </c>
      <c r="D64" s="118">
        <v>87245.348125544217</v>
      </c>
      <c r="E64" s="118">
        <v>100261.54699652898</v>
      </c>
      <c r="F64" s="118">
        <v>115214.31358364776</v>
      </c>
      <c r="G64" s="295"/>
      <c r="H64" s="295"/>
      <c r="I64" s="295"/>
      <c r="J64" s="295"/>
      <c r="K64" s="295"/>
      <c r="L64" s="295"/>
    </row>
    <row r="65" spans="1:21" ht="13.15">
      <c r="A65" s="131">
        <v>10</v>
      </c>
      <c r="B65" s="118">
        <v>36768.436147090499</v>
      </c>
      <c r="C65" s="118">
        <v>75878.079580349528</v>
      </c>
      <c r="D65" s="118">
        <v>88155.01567583828</v>
      </c>
      <c r="E65" s="118">
        <v>102505.31399713938</v>
      </c>
      <c r="F65" s="118">
        <v>119255.06195381717</v>
      </c>
      <c r="G65" s="295"/>
      <c r="H65" s="295"/>
      <c r="I65" s="295"/>
      <c r="J65" s="295"/>
      <c r="K65" s="295"/>
      <c r="L65" s="295"/>
    </row>
    <row r="66" spans="1:21" ht="13.15">
      <c r="A66" s="131">
        <v>15</v>
      </c>
      <c r="B66" s="118">
        <v>31893.680029326977</v>
      </c>
      <c r="C66" s="277">
        <v>75657.724829258805</v>
      </c>
      <c r="D66" s="118">
        <v>92077.441284999761</v>
      </c>
      <c r="E66" s="118">
        <v>112744.53750389707</v>
      </c>
      <c r="F66" s="118">
        <v>138763.26159904327</v>
      </c>
      <c r="G66" s="295"/>
      <c r="H66" s="295"/>
      <c r="I66" s="295"/>
      <c r="J66" s="295"/>
      <c r="K66" s="295"/>
      <c r="L66" s="295"/>
      <c r="M66" s="275"/>
      <c r="N66" s="275"/>
      <c r="O66" s="275"/>
      <c r="P66" s="275"/>
      <c r="Q66" s="275"/>
      <c r="R66" s="275"/>
      <c r="S66" s="275"/>
      <c r="T66" s="275"/>
      <c r="U66" s="275"/>
    </row>
    <row r="67" spans="1:21" ht="13.15">
      <c r="A67" s="132">
        <v>20</v>
      </c>
      <c r="B67" s="118">
        <v>29865.161701707511</v>
      </c>
      <c r="C67" s="277">
        <v>75502.437537968159</v>
      </c>
      <c r="D67" s="118">
        <v>95129.332648686337</v>
      </c>
      <c r="E67" s="118">
        <v>121523.5812940106</v>
      </c>
      <c r="F67" s="118">
        <v>157160.81251446501</v>
      </c>
      <c r="G67" s="295"/>
      <c r="H67" s="295"/>
      <c r="I67" s="295"/>
      <c r="J67" s="295"/>
      <c r="K67" s="295"/>
      <c r="L67" s="295"/>
      <c r="M67" s="275"/>
      <c r="N67" s="275"/>
      <c r="O67" s="275"/>
      <c r="P67" s="275"/>
      <c r="Q67" s="275"/>
      <c r="R67" s="275"/>
      <c r="S67" s="275"/>
      <c r="T67" s="275"/>
      <c r="U67" s="275"/>
    </row>
    <row r="68" spans="1:21" ht="13.15">
      <c r="A68" s="132">
        <v>25</v>
      </c>
      <c r="B68" s="118">
        <v>29021.040169043856</v>
      </c>
      <c r="C68" s="277">
        <v>75393.004259506852</v>
      </c>
      <c r="D68" s="118">
        <v>97503.894163375182</v>
      </c>
      <c r="E68" s="118">
        <v>129050.67647050176</v>
      </c>
      <c r="F68" s="118">
        <v>174510.94660376641</v>
      </c>
      <c r="G68" s="295"/>
      <c r="H68" s="295"/>
      <c r="I68" s="295"/>
      <c r="J68" s="295"/>
      <c r="K68" s="295"/>
      <c r="L68" s="295"/>
      <c r="M68" s="275"/>
      <c r="N68" s="275"/>
      <c r="O68" s="275"/>
      <c r="P68" s="275"/>
      <c r="Q68" s="275"/>
      <c r="R68" s="275"/>
      <c r="S68" s="275"/>
      <c r="T68" s="275"/>
      <c r="U68" s="275"/>
    </row>
    <row r="69" spans="1:21" ht="13.15">
      <c r="A69" s="132">
        <v>30</v>
      </c>
      <c r="B69" s="118">
        <v>28669.778288781414</v>
      </c>
      <c r="C69" s="277">
        <v>75315.884990214065</v>
      </c>
      <c r="D69" s="118">
        <v>99351.450879886266</v>
      </c>
      <c r="E69" s="118">
        <v>135504.35902984391</v>
      </c>
      <c r="F69" s="118">
        <v>190873.29582626009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15.088705209026811</v>
      </c>
      <c r="C73" s="119">
        <f>C11</f>
        <v>15.088705209026811</v>
      </c>
      <c r="D73" s="119">
        <f>C11</f>
        <v>15.088705209026811</v>
      </c>
      <c r="E73" s="119">
        <f>C11</f>
        <v>15.088705209026811</v>
      </c>
      <c r="F73" s="119">
        <f>C11</f>
        <v>15.088705209026811</v>
      </c>
      <c r="G73" s="296"/>
      <c r="H73" s="296"/>
      <c r="I73" s="296"/>
      <c r="J73" s="296"/>
      <c r="K73" s="296"/>
      <c r="L73" s="296"/>
    </row>
    <row r="74" spans="1:21" ht="13.15">
      <c r="A74" s="131">
        <v>1</v>
      </c>
      <c r="B74" s="119">
        <f t="shared" ref="B74:F87" si="11">(B56+FV_adjustments)/Common_Shares*scaling_factor*Exchange_Rate</f>
        <v>10.195790800825508</v>
      </c>
      <c r="C74" s="119">
        <f t="shared" si="11"/>
        <v>11.209267221743669</v>
      </c>
      <c r="D74" s="119">
        <f t="shared" si="11"/>
        <v>11.411962505927303</v>
      </c>
      <c r="E74" s="119">
        <f t="shared" si="11"/>
        <v>11.614657790110929</v>
      </c>
      <c r="F74" s="119">
        <f t="shared" si="11"/>
        <v>11.817353074294562</v>
      </c>
      <c r="G74" s="296"/>
      <c r="H74" s="296"/>
      <c r="I74" s="296"/>
      <c r="J74" s="296"/>
      <c r="K74" s="296"/>
      <c r="L74" s="296"/>
    </row>
    <row r="75" spans="1:21" ht="13.15">
      <c r="A75" s="131">
        <v>2</v>
      </c>
      <c r="B75" s="119">
        <f t="shared" si="11"/>
        <v>9.3340333781261204</v>
      </c>
      <c r="C75" s="119">
        <f t="shared" si="11"/>
        <v>11.196725334130361</v>
      </c>
      <c r="D75" s="119">
        <f t="shared" si="11"/>
        <v>11.591942917967136</v>
      </c>
      <c r="E75" s="119">
        <f t="shared" si="11"/>
        <v>11.994720232682564</v>
      </c>
      <c r="F75" s="119">
        <f t="shared" si="11"/>
        <v>12.405057278276626</v>
      </c>
      <c r="G75" s="296"/>
      <c r="H75" s="296"/>
      <c r="I75" s="296"/>
      <c r="J75" s="296"/>
      <c r="K75" s="296"/>
      <c r="L75" s="296"/>
    </row>
    <row r="76" spans="1:21" ht="13.15">
      <c r="A76" s="131">
        <v>3</v>
      </c>
      <c r="B76" s="119">
        <f t="shared" si="11"/>
        <v>8.6108802961406177</v>
      </c>
      <c r="C76" s="119">
        <f t="shared" si="11"/>
        <v>11.185031266425645</v>
      </c>
      <c r="D76" s="119">
        <f t="shared" si="11"/>
        <v>11.763113100046986</v>
      </c>
      <c r="E76" s="119">
        <f t="shared" si="11"/>
        <v>12.363265631539896</v>
      </c>
      <c r="F76" s="119">
        <f t="shared" si="11"/>
        <v>12.985911782911575</v>
      </c>
      <c r="G76" s="296"/>
      <c r="H76" s="296"/>
      <c r="I76" s="296"/>
      <c r="J76" s="296"/>
      <c r="K76" s="296"/>
      <c r="L76" s="296"/>
    </row>
    <row r="77" spans="1:21" ht="13.15">
      <c r="A77" s="131">
        <v>4</v>
      </c>
      <c r="B77" s="119">
        <f t="shared" si="11"/>
        <v>8.0040385490199188</v>
      </c>
      <c r="C77" s="119">
        <f t="shared" si="11"/>
        <v>11.174127706794202</v>
      </c>
      <c r="D77" s="119">
        <f t="shared" si="11"/>
        <v>11.925904322164875</v>
      </c>
      <c r="E77" s="119">
        <f t="shared" si="11"/>
        <v>12.72064298800761</v>
      </c>
      <c r="F77" s="119">
        <f t="shared" si="11"/>
        <v>13.55999642152514</v>
      </c>
      <c r="G77" s="296"/>
      <c r="H77" s="296"/>
      <c r="I77" s="296"/>
      <c r="J77" s="296"/>
      <c r="K77" s="296"/>
      <c r="L77" s="296"/>
    </row>
    <row r="78" spans="1:21" ht="13.15">
      <c r="A78" s="131">
        <v>5</v>
      </c>
      <c r="B78" s="119">
        <f t="shared" si="11"/>
        <v>7.4948007192682828</v>
      </c>
      <c r="C78" s="119">
        <f t="shared" si="11"/>
        <v>11.163961217627362</v>
      </c>
      <c r="D78" s="119">
        <f t="shared" si="11"/>
        <v>12.080726743200078</v>
      </c>
      <c r="E78" s="119">
        <f t="shared" si="11"/>
        <v>13.067190727612672</v>
      </c>
      <c r="F78" s="119">
        <f t="shared" si="11"/>
        <v>14.127390096984696</v>
      </c>
      <c r="G78" s="296"/>
      <c r="H78" s="296"/>
      <c r="I78" s="296"/>
      <c r="J78" s="296"/>
      <c r="K78" s="296"/>
      <c r="L78" s="296"/>
    </row>
    <row r="79" spans="1:21" ht="13.15">
      <c r="A79" s="131">
        <v>6</v>
      </c>
      <c r="B79" s="119">
        <f t="shared" si="11"/>
        <v>7.0674682747214561</v>
      </c>
      <c r="C79" s="119">
        <f t="shared" si="11"/>
        <v>11.154481973648952</v>
      </c>
      <c r="D79" s="119">
        <f t="shared" si="11"/>
        <v>12.227970444324461</v>
      </c>
      <c r="E79" s="119">
        <f t="shared" si="11"/>
        <v>13.403237020563035</v>
      </c>
      <c r="F79" s="119">
        <f t="shared" si="11"/>
        <v>14.688170792543799</v>
      </c>
      <c r="G79" s="296"/>
      <c r="H79" s="296"/>
      <c r="I79" s="296"/>
      <c r="J79" s="296"/>
      <c r="K79" s="296"/>
      <c r="L79" s="296"/>
    </row>
    <row r="80" spans="1:21" ht="13.15">
      <c r="A80" s="131">
        <f t="shared" ref="A80" si="12">A62</f>
        <v>7</v>
      </c>
      <c r="B80" s="119">
        <f t="shared" si="11"/>
        <v>6.7088676219548891</v>
      </c>
      <c r="C80" s="119">
        <f t="shared" si="11"/>
        <v>11.145643517725031</v>
      </c>
      <c r="D80" s="119">
        <f t="shared" si="11"/>
        <v>12.368006411827375</v>
      </c>
      <c r="E80" s="119">
        <f t="shared" si="11"/>
        <v>13.729100092514903</v>
      </c>
      <c r="F80" s="119">
        <f t="shared" si="11"/>
        <v>15.242415582560247</v>
      </c>
      <c r="G80" s="296"/>
      <c r="H80" s="296"/>
      <c r="I80" s="296"/>
      <c r="J80" s="296"/>
      <c r="K80" s="296"/>
      <c r="L80" s="296"/>
    </row>
    <row r="81" spans="1:12" ht="13.15">
      <c r="A81" s="131">
        <v>8</v>
      </c>
      <c r="B81" s="119">
        <f t="shared" si="11"/>
        <v>6.4079439972556695</v>
      </c>
      <c r="C81" s="119">
        <f t="shared" si="11"/>
        <v>11.137402533180577</v>
      </c>
      <c r="D81" s="119">
        <f t="shared" si="11"/>
        <v>12.501187471830143</v>
      </c>
      <c r="E81" s="119">
        <f t="shared" si="11"/>
        <v>14.045088525922774</v>
      </c>
      <c r="F81" s="119">
        <f t="shared" si="11"/>
        <v>15.790200643089328</v>
      </c>
      <c r="G81" s="296"/>
      <c r="H81" s="296"/>
      <c r="I81" s="296"/>
      <c r="J81" s="296"/>
      <c r="K81" s="296"/>
      <c r="L81" s="296"/>
    </row>
    <row r="82" spans="1:12" ht="13.15">
      <c r="A82" s="131">
        <f t="shared" ref="A82" si="13">A64</f>
        <v>9</v>
      </c>
      <c r="B82" s="119">
        <f t="shared" si="11"/>
        <v>6.1554206758297525</v>
      </c>
      <c r="C82" s="119">
        <f t="shared" si="11"/>
        <v>11.12971863150743</v>
      </c>
      <c r="D82" s="119">
        <f t="shared" si="11"/>
        <v>12.627849179245366</v>
      </c>
      <c r="E82" s="119">
        <f t="shared" si="11"/>
        <v>14.351501552257679</v>
      </c>
      <c r="F82" s="119">
        <f t="shared" si="11"/>
        <v>16.331601262353502</v>
      </c>
      <c r="G82" s="296"/>
      <c r="H82" s="296"/>
      <c r="I82" s="296"/>
      <c r="J82" s="296"/>
      <c r="K82" s="296"/>
      <c r="L82" s="296"/>
    </row>
    <row r="83" spans="1:12" ht="13.15">
      <c r="A83" s="131">
        <f t="shared" ref="A83:A87" si="14">A65</f>
        <v>10</v>
      </c>
      <c r="B83" s="119">
        <f t="shared" si="11"/>
        <v>5.9435129935142967</v>
      </c>
      <c r="C83" s="119">
        <f t="shared" si="11"/>
        <v>11.122554154422909</v>
      </c>
      <c r="D83" s="119">
        <f t="shared" si="11"/>
        <v>12.748310663220682</v>
      </c>
      <c r="E83" s="119">
        <f t="shared" si="11"/>
        <v>14.648629335370309</v>
      </c>
      <c r="F83" s="119">
        <f t="shared" si="11"/>
        <v>16.86669185109012</v>
      </c>
      <c r="G83" s="296"/>
      <c r="H83" s="296"/>
      <c r="I83" s="296"/>
      <c r="J83" s="296"/>
      <c r="K83" s="296"/>
      <c r="L83" s="296"/>
    </row>
    <row r="84" spans="1:12" ht="13.15">
      <c r="A84" s="131">
        <f t="shared" si="14"/>
        <v>15</v>
      </c>
      <c r="B84" s="119">
        <f t="shared" si="11"/>
        <v>5.2979800669262067</v>
      </c>
      <c r="C84" s="119">
        <f t="shared" si="11"/>
        <v>11.093373977215512</v>
      </c>
      <c r="D84" s="119">
        <f t="shared" si="11"/>
        <v>13.267732521799271</v>
      </c>
      <c r="E84" s="119">
        <f t="shared" si="11"/>
        <v>16.004544535357653</v>
      </c>
      <c r="F84" s="119">
        <f t="shared" si="11"/>
        <v>19.450038567361361</v>
      </c>
      <c r="G84" s="296"/>
      <c r="H84" s="296"/>
      <c r="I84" s="296"/>
      <c r="J84" s="296"/>
      <c r="K84" s="296"/>
      <c r="L84" s="296"/>
    </row>
    <row r="85" spans="1:12" ht="13.15">
      <c r="A85" s="132">
        <f t="shared" si="14"/>
        <v>20</v>
      </c>
      <c r="B85" s="119">
        <f t="shared" si="11"/>
        <v>5.029356295596588</v>
      </c>
      <c r="C85" s="119">
        <f t="shared" si="11"/>
        <v>11.07281026957822</v>
      </c>
      <c r="D85" s="119">
        <f t="shared" si="11"/>
        <v>13.671875070890193</v>
      </c>
      <c r="E85" s="119">
        <f t="shared" si="11"/>
        <v>17.167097428993898</v>
      </c>
      <c r="F85" s="119">
        <f t="shared" si="11"/>
        <v>21.886309141228391</v>
      </c>
      <c r="G85" s="296"/>
      <c r="H85" s="296"/>
      <c r="I85" s="296"/>
      <c r="J85" s="296"/>
      <c r="K85" s="296"/>
      <c r="L85" s="296"/>
    </row>
    <row r="86" spans="1:12" ht="13.15">
      <c r="A86" s="132">
        <f t="shared" si="14"/>
        <v>25</v>
      </c>
      <c r="B86" s="119">
        <f t="shared" si="11"/>
        <v>4.9175746535589981</v>
      </c>
      <c r="C86" s="119">
        <f t="shared" si="11"/>
        <v>11.058318717015451</v>
      </c>
      <c r="D86" s="119">
        <f t="shared" si="11"/>
        <v>13.98632313904171</v>
      </c>
      <c r="E86" s="119">
        <f t="shared" si="11"/>
        <v>18.163862735935382</v>
      </c>
      <c r="F86" s="119">
        <f t="shared" si="11"/>
        <v>24.183876971247543</v>
      </c>
      <c r="G86" s="296"/>
      <c r="H86" s="296"/>
      <c r="I86" s="296"/>
      <c r="J86" s="296"/>
      <c r="K86" s="296"/>
      <c r="L86" s="296"/>
    </row>
    <row r="87" spans="1:12" ht="13.15">
      <c r="A87" s="132">
        <f t="shared" si="14"/>
        <v>30</v>
      </c>
      <c r="B87" s="119">
        <f t="shared" si="11"/>
        <v>4.8710592784126652</v>
      </c>
      <c r="C87" s="119">
        <f t="shared" si="11"/>
        <v>11.048106303019701</v>
      </c>
      <c r="D87" s="119">
        <f t="shared" si="11"/>
        <v>14.230983315968482</v>
      </c>
      <c r="E87" s="119">
        <f t="shared" si="11"/>
        <v>19.018482841877006</v>
      </c>
      <c r="F87" s="119">
        <f t="shared" si="11"/>
        <v>26.350638738254382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14.127390096984696</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13.067190727612672</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12.080726743200078</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11.163961217627362</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7.4948007192682828</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16063</v>
      </c>
      <c r="D7" s="469"/>
      <c r="E7" s="469"/>
      <c r="F7" s="469"/>
      <c r="G7" s="469"/>
    </row>
    <row r="8" spans="2:7">
      <c r="B8" s="97" t="s">
        <v>62</v>
      </c>
      <c r="C8" s="447">
        <f>Normalized_FCF!G19</f>
        <v>10035.208802799847</v>
      </c>
      <c r="D8" s="469"/>
      <c r="E8" s="469"/>
      <c r="F8" s="469"/>
      <c r="G8" s="469"/>
    </row>
    <row r="9" spans="2:7">
      <c r="B9" s="97" t="s">
        <v>53</v>
      </c>
      <c r="C9" s="447">
        <f>Normalized_FCF!C19</f>
        <v>5447.0580630210279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4.2991333470914217E-2</v>
      </c>
      <c r="D12" s="469"/>
      <c r="E12" s="469"/>
      <c r="F12" s="469"/>
      <c r="G12" s="469"/>
    </row>
    <row r="13" spans="2:7">
      <c r="B13" s="135" t="s">
        <v>126</v>
      </c>
      <c r="C13" s="249">
        <f ca="1">(Normalized_FCF!G8/OFFSET(Normalized_FCF!G8, 0, $C$4))^(1/$C$4) - 1</f>
        <v>-8.754987491685684E-3</v>
      </c>
      <c r="D13" s="469"/>
      <c r="E13" s="469"/>
      <c r="F13" s="469"/>
      <c r="G13" s="469"/>
    </row>
    <row r="14" spans="2:7">
      <c r="B14" s="97" t="s">
        <v>62</v>
      </c>
      <c r="C14" s="249">
        <f ca="1">(Normalized_FCF!G19/OFFSET(Normalized_FCF!G19, 0, $C$4))^(1/$C$4) - 1</f>
        <v>-2.5520142712741056E-2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0.04</v>
      </c>
      <c r="D22" s="325">
        <f>C18</f>
        <v>5</v>
      </c>
      <c r="E22" s="326">
        <f>DCF!E91</f>
        <v>13.067190727612672</v>
      </c>
      <c r="F22" s="328">
        <f>1-F23-F24</f>
        <v>0.10000000000000003</v>
      </c>
      <c r="G22" s="328">
        <f>F22*(1-F$29-F$30)</f>
        <v>8.0000000000000029E-2</v>
      </c>
    </row>
    <row r="23" spans="2:7">
      <c r="B23" s="302" t="s">
        <v>436</v>
      </c>
      <c r="C23" s="324">
        <v>0.02</v>
      </c>
      <c r="D23" s="325">
        <f>C18</f>
        <v>5</v>
      </c>
      <c r="E23" s="326">
        <f>DCF!E92</f>
        <v>12.080726743200078</v>
      </c>
      <c r="F23" s="327">
        <v>0.6</v>
      </c>
      <c r="G23" s="328">
        <f t="shared" ref="G23:G24" si="0">F23*(1-F$29-F$30)</f>
        <v>0.48</v>
      </c>
    </row>
    <row r="24" spans="2:7">
      <c r="B24" s="302" t="s">
        <v>445</v>
      </c>
      <c r="C24" s="324">
        <v>0</v>
      </c>
      <c r="D24" s="325">
        <f>C18</f>
        <v>5</v>
      </c>
      <c r="E24" s="326">
        <f>DCF!E93</f>
        <v>11.163961217627362</v>
      </c>
      <c r="F24" s="327">
        <v>0.3</v>
      </c>
      <c r="G24" s="328">
        <f t="shared" si="0"/>
        <v>0.24</v>
      </c>
    </row>
    <row r="25" spans="2:7">
      <c r="B25" s="141" t="s">
        <v>450</v>
      </c>
      <c r="C25" s="441">
        <f>E23*F23+E24*F24+E22*F22</f>
        <v>11.904343483969523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5</v>
      </c>
      <c r="E29" s="326">
        <f>DCF!E90</f>
        <v>14.127390096984696</v>
      </c>
      <c r="F29" s="327">
        <v>0.1</v>
      </c>
      <c r="G29" s="328">
        <f>F29</f>
        <v>0.1</v>
      </c>
    </row>
    <row r="30" spans="2:7">
      <c r="B30" s="315" t="s">
        <v>446</v>
      </c>
      <c r="C30" s="324">
        <v>-0.1</v>
      </c>
      <c r="D30" s="325">
        <f>C18</f>
        <v>5</v>
      </c>
      <c r="E30" s="326">
        <f>DCF!E94</f>
        <v>7.4948007192682828</v>
      </c>
      <c r="F30" s="327">
        <v>0.1</v>
      </c>
      <c r="G30" s="328">
        <f>F30</f>
        <v>0.1</v>
      </c>
    </row>
    <row r="31" spans="2:7">
      <c r="E31" s="329"/>
      <c r="F31" s="329"/>
    </row>
    <row r="32" spans="2:7" ht="13.15">
      <c r="B32" s="145" t="s">
        <v>455</v>
      </c>
    </row>
    <row r="33" spans="2:7">
      <c r="B33" s="97" t="s">
        <v>457</v>
      </c>
      <c r="C33" s="155">
        <f>Normalized_FCF!C88*(1-dividend_tax_rate)</f>
        <v>0.3258951786</v>
      </c>
      <c r="D33" t="str">
        <f>Market_currency</f>
        <v>HKD</v>
      </c>
      <c r="E33" s="97" t="s">
        <v>454</v>
      </c>
      <c r="F33" s="219">
        <f>Holding_Period</f>
        <v>3</v>
      </c>
    </row>
    <row r="34" spans="2:7">
      <c r="B34" s="97" t="s">
        <v>232</v>
      </c>
      <c r="C34" s="146">
        <f>Market_Price</f>
        <v>7.48</v>
      </c>
      <c r="D34" t="str">
        <f>Market_currency</f>
        <v>HKD</v>
      </c>
      <c r="E34" s="97" t="s">
        <v>453</v>
      </c>
      <c r="F34" s="330">
        <f>RATE(Holding_Period,$C$33,-C34,$C$36)</f>
        <v>0.19828344583128332</v>
      </c>
    </row>
    <row r="35" spans="2:7">
      <c r="B35" s="97" t="s">
        <v>433</v>
      </c>
      <c r="C35" s="320">
        <f>DCF!C11</f>
        <v>15.088705209026811</v>
      </c>
      <c r="D35" s="97" t="str">
        <f>Market_currency</f>
        <v>HKD</v>
      </c>
      <c r="E35" s="97" t="s">
        <v>453</v>
      </c>
      <c r="F35" s="330">
        <f>RATE(Holding_Period,$C$33,-C35,$C$36)</f>
        <v>-5.8123189042830155E-2</v>
      </c>
    </row>
    <row r="36" spans="2:7">
      <c r="B36" s="97" t="s">
        <v>434</v>
      </c>
      <c r="C36" s="321">
        <f>E22*G22+E23*G23+E24*G24+E30*G30+E29*G29</f>
        <v>11.685693868800916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548</v>
      </c>
      <c r="C40" s="126">
        <f>Normalized_FCF!E116</f>
        <v>8.3606274397531113E-2</v>
      </c>
      <c r="E40" s="97" t="s">
        <v>400</v>
      </c>
    </row>
    <row r="41" spans="2:7">
      <c r="B41" s="97" t="s">
        <v>399</v>
      </c>
      <c r="C41" s="455">
        <f>DCF!C16</f>
        <v>2.47161282761951E-3</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2.47161282761951E-3</v>
      </c>
      <c r="D46" s="138"/>
      <c r="E46" s="221" t="s">
        <v>251</v>
      </c>
    </row>
    <row r="47" spans="2:7">
      <c r="B47" s="97" t="s">
        <v>95</v>
      </c>
      <c r="C47" s="146">
        <f>DCF!I18</f>
        <v>11.273614240496149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9.1950296201992146E-2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0.3258951786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0.59186243177696873</v>
      </c>
      <c r="D62" s="119">
        <f>C36/(1+F62)^Holding_Period</f>
        <v>5.3189321205284088</v>
      </c>
      <c r="E62" s="332">
        <f>C62+D62</f>
        <v>5.9107945523053775</v>
      </c>
      <c r="F62" s="301">
        <f>Thesis!E22</f>
        <v>0.3</v>
      </c>
      <c r="G62" s="440">
        <f>(1-E62/C36)</f>
        <v>0.49418540151164414</v>
      </c>
    </row>
    <row r="63" spans="2:7" ht="13.15">
      <c r="B63" s="302" t="s">
        <v>312</v>
      </c>
      <c r="C63" s="119">
        <f>PV(F63, Holding_Period, -C58, 0)</f>
        <v>0.6864921586249999</v>
      </c>
      <c r="D63" s="119">
        <f>C36/(1+F63)^Holding_Period</f>
        <v>6.7625543222227522</v>
      </c>
      <c r="E63" s="332">
        <f>C63+D63</f>
        <v>7.4490464808477519</v>
      </c>
      <c r="F63" s="301">
        <f>Thesis!E23</f>
        <v>0.2</v>
      </c>
      <c r="G63" s="440">
        <f>(1-E63/C36)</f>
        <v>0.36254992091350169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0.78625572661869436</v>
      </c>
      <c r="D66" s="119">
        <f>C36/(1+F66)^Holding_Period</f>
        <v>8.3758425300524131</v>
      </c>
      <c r="E66" s="332">
        <f>C66+D66</f>
        <v>9.1620982566711078</v>
      </c>
      <c r="F66" s="301">
        <f>Thesis!E24</f>
        <v>0.1174</v>
      </c>
      <c r="G66" s="440">
        <f>(1-E66/C36)</f>
        <v>0.21595599204146854</v>
      </c>
    </row>
    <row r="67" spans="2:7" ht="13.15">
      <c r="B67" s="302" t="s">
        <v>313</v>
      </c>
      <c r="C67" s="119">
        <f>PV(F67, Holding_Period, -C58, 0)</f>
        <v>0.85136049122976565</v>
      </c>
      <c r="D67" s="119">
        <f>C36/(1+F67)^Holding_Period</f>
        <v>9.472456123600141</v>
      </c>
      <c r="E67" s="332">
        <f>C67+D67</f>
        <v>10.323816614829907</v>
      </c>
      <c r="F67" s="301">
        <f>Thesis!E25</f>
        <v>7.2499999999999995E-2</v>
      </c>
      <c r="G67" s="440">
        <f>(1-E67/C36)</f>
        <v>0.11654226691724501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45932</v>
      </c>
    </row>
    <row r="4" spans="1:10">
      <c r="B4" s="422" t="s">
        <v>532</v>
      </c>
      <c r="C4" s="423" t="str">
        <f>Thesis!C4</f>
        <v>昆仑能源</v>
      </c>
      <c r="D4" s="349"/>
      <c r="E4" s="434" t="s">
        <v>538</v>
      </c>
      <c r="F4" s="437" t="str">
        <f>Thesis!F4</f>
        <v>INT</v>
      </c>
    </row>
    <row r="5" spans="1:10">
      <c r="B5" s="343" t="s">
        <v>363</v>
      </c>
      <c r="C5" s="355" t="str">
        <f>Thesis!C5</f>
        <v>0135.HK</v>
      </c>
      <c r="E5" s="438" t="s">
        <v>539</v>
      </c>
      <c r="F5" s="439" t="str">
        <f>Thesis!F5</f>
        <v>N</v>
      </c>
    </row>
    <row r="6" spans="1:10">
      <c r="B6" s="350" t="s">
        <v>335</v>
      </c>
      <c r="C6" s="352" t="str">
        <f>Thesis!C6</f>
        <v>ENG_02</v>
      </c>
      <c r="E6" s="354"/>
    </row>
    <row r="7" spans="1:10">
      <c r="B7" s="343" t="s">
        <v>365</v>
      </c>
      <c r="C7" s="352" t="str">
        <f>Market_currency</f>
        <v>HKD</v>
      </c>
      <c r="D7" s="354"/>
      <c r="E7" s="354"/>
    </row>
    <row r="8" spans="1:10">
      <c r="B8" s="351" t="s">
        <v>364</v>
      </c>
      <c r="C8" s="356">
        <f>Market_Price</f>
        <v>7.48</v>
      </c>
    </row>
    <row r="9" spans="1:10">
      <c r="B9" s="351" t="s">
        <v>360</v>
      </c>
      <c r="C9" s="353">
        <f>Common_Shares</f>
        <v>8658801708</v>
      </c>
    </row>
    <row r="10" spans="1:10">
      <c r="B10" s="351" t="s">
        <v>366</v>
      </c>
      <c r="C10" s="357">
        <f>投资主题!C8*Common_Shares/1000000</f>
        <v>64767.836775840005</v>
      </c>
      <c r="D10" s="343" t="s">
        <v>527</v>
      </c>
      <c r="E10" s="360">
        <f>Scenarios!F34</f>
        <v>0.19828344583128332</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533</v>
      </c>
      <c r="C17" s="424">
        <f>Terminal_Growth</f>
        <v>0.02</v>
      </c>
      <c r="D17" s="351" t="s">
        <v>338</v>
      </c>
      <c r="E17" s="344" t="str">
        <f>Reporting_currency</f>
        <v>CNY</v>
      </c>
    </row>
    <row r="18" spans="1:6">
      <c r="B18" s="343" t="str">
        <f>"预期股权价值 ("&amp;C7&amp;") :"</f>
        <v>预期股权价值 (HKD) :</v>
      </c>
      <c r="C18" s="359">
        <f>C125</f>
        <v>11.685693868800916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5.9107945523053775</v>
      </c>
      <c r="D22" s="365" t="s">
        <v>439</v>
      </c>
      <c r="E22" s="366">
        <f>Thesis!E22</f>
        <v>0.3</v>
      </c>
    </row>
    <row r="23" spans="1:6">
      <c r="B23" s="343" t="s">
        <v>340</v>
      </c>
      <c r="C23" s="367">
        <f>E141</f>
        <v>7.4490464808477519</v>
      </c>
      <c r="D23" s="365" t="s">
        <v>440</v>
      </c>
      <c r="E23" s="368">
        <f>Thesis!E23</f>
        <v>0.2</v>
      </c>
    </row>
    <row r="24" spans="1:6">
      <c r="B24" s="343" t="s">
        <v>342</v>
      </c>
      <c r="C24" s="367">
        <f>E144</f>
        <v>9.1620982566711078</v>
      </c>
      <c r="D24" s="365" t="s">
        <v>442</v>
      </c>
      <c r="E24" s="368">
        <f>Thesis!E24</f>
        <v>0.1174</v>
      </c>
    </row>
    <row r="25" spans="1:6">
      <c r="B25" s="343" t="s">
        <v>341</v>
      </c>
      <c r="C25" s="367">
        <f>E145</f>
        <v>10.323816614829907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1000000</v>
      </c>
    </row>
    <row r="33" spans="2:6">
      <c r="B33" s="470" t="s">
        <v>499</v>
      </c>
      <c r="C33" s="470"/>
      <c r="D33" s="470"/>
      <c r="E33" s="470"/>
      <c r="F33" s="470"/>
    </row>
    <row r="34" spans="2:6">
      <c r="B34" s="372" t="s">
        <v>196</v>
      </c>
      <c r="C34" s="373">
        <f>Normalized_FCF!C8</f>
        <v>16063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291.16000000000003</v>
      </c>
      <c r="D41" s="343" t="str">
        <f>Reporting_currency</f>
        <v>CNY</v>
      </c>
    </row>
    <row r="43" spans="2:6">
      <c r="B43" s="470" t="s">
        <v>502</v>
      </c>
      <c r="C43" s="470"/>
      <c r="D43" s="470"/>
      <c r="E43" s="470"/>
      <c r="F43" s="470"/>
    </row>
    <row r="44" spans="2:6">
      <c r="B44" s="372" t="s">
        <v>266</v>
      </c>
      <c r="C44" s="376">
        <f>Normalized_FCF!C46</f>
        <v>87.059200960605921</v>
      </c>
      <c r="D44" s="343" t="str">
        <f>Reporting_currency</f>
        <v>CNY</v>
      </c>
      <c r="E44" s="371"/>
      <c r="F44" s="371"/>
    </row>
    <row r="45" spans="2:6">
      <c r="B45" s="372" t="s">
        <v>267</v>
      </c>
      <c r="C45" s="376">
        <f>Normalized_FCF!C45</f>
        <v>-803</v>
      </c>
      <c r="D45" s="343" t="str">
        <f>Reporting_currency</f>
        <v>CNY</v>
      </c>
      <c r="E45" s="371"/>
      <c r="F45" s="371"/>
    </row>
    <row r="46" spans="2:6">
      <c r="B46" s="372" t="s">
        <v>202</v>
      </c>
      <c r="C46" s="373">
        <f>Normalized_FCF!C10</f>
        <v>-715.94079903939405</v>
      </c>
      <c r="D46" s="343" t="str">
        <f>Reporting_currency</f>
        <v>CNY</v>
      </c>
    </row>
    <row r="48" spans="2:6">
      <c r="B48" s="343" t="s">
        <v>503</v>
      </c>
    </row>
    <row r="49" spans="2:6">
      <c r="B49" s="372" t="s">
        <v>222</v>
      </c>
      <c r="C49" s="373">
        <f>Normalized_FCF!C13</f>
        <v>-6281.6063376994261</v>
      </c>
      <c r="D49" s="343" t="str">
        <f>Reporting_currency</f>
        <v>CNY</v>
      </c>
    </row>
    <row r="51" spans="2:6">
      <c r="B51" s="470" t="s">
        <v>504</v>
      </c>
      <c r="C51" s="470"/>
      <c r="D51" s="470"/>
      <c r="E51" s="470"/>
      <c r="F51" s="470"/>
    </row>
    <row r="52" spans="2:6">
      <c r="B52" s="372" t="s">
        <v>495</v>
      </c>
      <c r="C52" s="373">
        <f>Normalized_FCF!C12</f>
        <v>-3909.5548002401515</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10035.208802799847</v>
      </c>
      <c r="D60" s="343" t="str">
        <f>Reporting_currency</f>
        <v>CNY</v>
      </c>
    </row>
    <row r="61" spans="2:6">
      <c r="B61" s="372" t="s">
        <v>212</v>
      </c>
      <c r="C61" s="373">
        <f>Normalized_FCF!C19</f>
        <v>5447.0580630210279</v>
      </c>
      <c r="D61" s="343" t="str">
        <f>Reporting_currency</f>
        <v>CNY</v>
      </c>
    </row>
    <row r="62" spans="2:6">
      <c r="B62" s="377" t="s">
        <v>301</v>
      </c>
      <c r="C62" s="378">
        <f>Normalized_FCF!C124</f>
        <v>9.6433052232672747E-2</v>
      </c>
      <c r="F62" s="379"/>
    </row>
    <row r="63" spans="2:6">
      <c r="B63" s="377" t="s">
        <v>331</v>
      </c>
      <c r="C63" s="378">
        <f>Normalized_FCF!C92</f>
        <v>4.3568874144385025E-2</v>
      </c>
      <c r="E63" s="372" t="s">
        <v>372</v>
      </c>
      <c r="F63" s="380">
        <f>Normalized_FCF!C90</f>
        <v>0.57561382400114947</v>
      </c>
    </row>
    <row r="65" spans="1:6">
      <c r="B65" s="369" t="s">
        <v>375</v>
      </c>
      <c r="C65" s="381" t="s">
        <v>326</v>
      </c>
      <c r="D65" s="381" t="s">
        <v>373</v>
      </c>
    </row>
    <row r="66" spans="1:6">
      <c r="B66" s="372" t="s">
        <v>325</v>
      </c>
      <c r="C66" s="378">
        <f>Normalized_FCF!E119</f>
        <v>0.17172024422366369</v>
      </c>
      <c r="D66" s="378">
        <f>Normalized_FCF!G119</f>
        <v>0.18349155359511407</v>
      </c>
    </row>
    <row r="67" spans="1:6">
      <c r="B67" s="382" t="str">
        <f>Normalized_FCF!B116</f>
        <v>Pre-tax Profit/Sales</v>
      </c>
      <c r="C67" s="383">
        <f>Normalized_FCF!E116</f>
        <v>8.3606274397531113E-2</v>
      </c>
      <c r="D67" s="383">
        <f>Normalized_FCF!G116</f>
        <v>8.9337429310436187E-2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-20425</v>
      </c>
      <c r="D78" s="343" t="str">
        <f>Reporting_currency</f>
        <v>CNY</v>
      </c>
    </row>
    <row r="79" spans="1:6">
      <c r="B79" s="372" t="s">
        <v>233</v>
      </c>
      <c r="C79" s="387">
        <f>C78*scaling_factor*Exchange_Rate/Common_Shares</f>
        <v>-2.7047527521460593</v>
      </c>
      <c r="D79" s="343" t="str">
        <f>Market_currency</f>
        <v>HKD</v>
      </c>
    </row>
    <row r="80" spans="1:6">
      <c r="B80" s="382" t="s">
        <v>308</v>
      </c>
      <c r="C80" s="388">
        <f>IF(BS!G31/BS!G27&gt;300%,"nm",BS!G31/BS!G27)</f>
        <v>0.22428295339746124</v>
      </c>
    </row>
    <row r="81" spans="1:6">
      <c r="B81" s="382" t="s">
        <v>310</v>
      </c>
      <c r="C81" s="389">
        <f>IF(BS!C50&gt;30,"nm",BS!C50)</f>
        <v>1.2715557492373779</v>
      </c>
    </row>
    <row r="83" spans="1:6">
      <c r="B83" s="343" t="s">
        <v>510</v>
      </c>
    </row>
    <row r="84" spans="1:6">
      <c r="B84" s="343" t="s">
        <v>223</v>
      </c>
      <c r="C84" s="373">
        <f>DCF!F5</f>
        <v>28365.133173232345</v>
      </c>
      <c r="D84" s="343" t="str">
        <f>Reporting_currency</f>
        <v>CNY</v>
      </c>
    </row>
    <row r="85" spans="1:6">
      <c r="B85" s="382" t="s">
        <v>480</v>
      </c>
      <c r="C85" s="390">
        <f>BS!C66</f>
        <v>42875</v>
      </c>
      <c r="D85" s="391" t="str">
        <f>Reporting_currency</f>
        <v>CNY</v>
      </c>
    </row>
    <row r="86" spans="1:6">
      <c r="B86" s="372" t="s">
        <v>234</v>
      </c>
      <c r="C86" s="387">
        <f>C84*scaling_factor*Exchange_Rate/Common_Shares</f>
        <v>3.7562140521561651</v>
      </c>
      <c r="D86" s="343" t="str">
        <f>Market_currency</f>
        <v>HKD</v>
      </c>
    </row>
    <row r="88" spans="1:6">
      <c r="B88" s="343" t="s">
        <v>511</v>
      </c>
    </row>
    <row r="89" spans="1:6">
      <c r="B89" s="343" t="s">
        <v>216</v>
      </c>
      <c r="C89" s="373">
        <f>DCF!F6</f>
        <v>174</v>
      </c>
      <c r="D89" s="343" t="str">
        <f>Reporting_currency</f>
        <v>CNY</v>
      </c>
    </row>
    <row r="90" spans="1:6">
      <c r="B90" s="372" t="s">
        <v>235</v>
      </c>
      <c r="C90" s="387">
        <f>C89*scaling_factor*Exchange_Rate/Common_Shares</f>
        <v>2.3041712551941949E-2</v>
      </c>
      <c r="D90" s="343" t="str">
        <f>Market_currency</f>
        <v>HKD</v>
      </c>
    </row>
    <row r="92" spans="1:6">
      <c r="B92" s="372" t="s">
        <v>479</v>
      </c>
      <c r="C92" s="387">
        <f>DCF!F8</f>
        <v>1.0745030125620478</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-3.0259727644290795</v>
      </c>
      <c r="D111" s="343" t="str">
        <f>Market_currency</f>
        <v>HKD</v>
      </c>
    </row>
    <row r="112" spans="1:6">
      <c r="A112" s="385"/>
      <c r="B112" s="372" t="s">
        <v>376</v>
      </c>
      <c r="C112" s="394">
        <f>DCF!C11</f>
        <v>15.088705209026811</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5</v>
      </c>
      <c r="E118" s="398" t="str">
        <f>ROUND(DCF!E90,2)&amp;" "&amp;Market_currency</f>
        <v>14.13 HKD</v>
      </c>
      <c r="F118" s="399">
        <f>DCF!F90</f>
        <v>0.1</v>
      </c>
    </row>
    <row r="119" spans="1:6">
      <c r="A119" s="385"/>
      <c r="B119" s="400" t="str">
        <f>DCF!B91</f>
        <v>Optimistic</v>
      </c>
      <c r="C119" s="401">
        <f>DCF!C91</f>
        <v>0.04</v>
      </c>
      <c r="D119" s="402">
        <f>DCF!D91</f>
        <v>5</v>
      </c>
      <c r="E119" s="398" t="str">
        <f>ROUND(DCF!E91,2)&amp;" "&amp;Market_currency</f>
        <v>13.07 HKD</v>
      </c>
      <c r="F119" s="403">
        <f>DCF!F91</f>
        <v>8.0000000000000029E-2</v>
      </c>
    </row>
    <row r="120" spans="1:6">
      <c r="B120" s="400" t="str">
        <f>DCF!B92</f>
        <v>Base</v>
      </c>
      <c r="C120" s="401">
        <f>DCF!C92</f>
        <v>0.02</v>
      </c>
      <c r="D120" s="402">
        <f>DCF!D92</f>
        <v>5</v>
      </c>
      <c r="E120" s="398" t="str">
        <f>ROUND(DCF!E92,2)&amp;" "&amp;Market_currency</f>
        <v>12.08 HKD</v>
      </c>
      <c r="F120" s="403">
        <f>DCF!F92</f>
        <v>0.48</v>
      </c>
    </row>
    <row r="121" spans="1:6">
      <c r="B121" s="400" t="str">
        <f>DCF!B93</f>
        <v>Pessimistic</v>
      </c>
      <c r="C121" s="401">
        <f>DCF!C93</f>
        <v>0</v>
      </c>
      <c r="D121" s="402">
        <f>DCF!D93</f>
        <v>5</v>
      </c>
      <c r="E121" s="398" t="str">
        <f>ROUND(DCF!E93,2)&amp;" "&amp;Market_currency</f>
        <v>11.16 HKD</v>
      </c>
      <c r="F121" s="403">
        <f>DCF!F93</f>
        <v>0.24</v>
      </c>
    </row>
    <row r="122" spans="1:6">
      <c r="B122" s="400" t="str">
        <f>DCF!B94</f>
        <v>Devil's advocate</v>
      </c>
      <c r="C122" s="401">
        <f>DCF!C94</f>
        <v>-0.1</v>
      </c>
      <c r="D122" s="402">
        <f>DCF!D94</f>
        <v>5</v>
      </c>
      <c r="E122" s="398" t="str">
        <f>ROUND(DCF!E94,2)&amp;" "&amp;Market_currency</f>
        <v>7.49 HKD</v>
      </c>
      <c r="F122" s="403">
        <f>DCF!F94</f>
        <v>0.1</v>
      </c>
    </row>
    <row r="124" spans="1:6">
      <c r="B124" s="470" t="s">
        <v>517</v>
      </c>
      <c r="C124" s="470"/>
      <c r="D124" s="470"/>
      <c r="E124" s="470"/>
      <c r="F124" s="470"/>
    </row>
    <row r="125" spans="1:6">
      <c r="B125" s="372" t="s">
        <v>217</v>
      </c>
      <c r="C125" s="404">
        <f>Scenarios!C36</f>
        <v>11.685693868800916</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0.3258951786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0.59186243177696873</v>
      </c>
      <c r="D140" s="409">
        <f>Scenarios!D62</f>
        <v>5.3189321205284088</v>
      </c>
      <c r="E140" s="410">
        <f>Scenarios!E62</f>
        <v>5.9107945523053775</v>
      </c>
      <c r="F140" s="411">
        <f>E22</f>
        <v>0.3</v>
      </c>
    </row>
    <row r="141" spans="1:6">
      <c r="B141" s="408" t="s">
        <v>312</v>
      </c>
      <c r="C141" s="409">
        <f>Scenarios!C63</f>
        <v>0.6864921586249999</v>
      </c>
      <c r="D141" s="409">
        <f>Scenarios!D63</f>
        <v>6.7625543222227522</v>
      </c>
      <c r="E141" s="410">
        <f>Scenarios!E63</f>
        <v>7.4490464808477519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0.78625572661869436</v>
      </c>
      <c r="D144" s="409">
        <f>Scenarios!D66</f>
        <v>8.3758425300524131</v>
      </c>
      <c r="E144" s="410">
        <f>Scenarios!E66</f>
        <v>9.1620982566711078</v>
      </c>
      <c r="F144" s="411">
        <f>E24</f>
        <v>0.1174</v>
      </c>
    </row>
    <row r="145" spans="1:6">
      <c r="B145" s="408" t="s">
        <v>313</v>
      </c>
      <c r="C145" s="409">
        <f>Scenarios!C67</f>
        <v>0.85136049122976565</v>
      </c>
      <c r="D145" s="409">
        <f>Scenarios!D67</f>
        <v>9.472456123600141</v>
      </c>
      <c r="E145" s="410">
        <f>Scenarios!E67</f>
        <v>10.323816614829907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