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DE9272E-1F9D-4C65-A3BF-78F8B54A6D5B}" xr6:coauthVersionLast="47" xr6:coauthVersionMax="47" xr10:uidLastSave="{00000000-0000-0000-0000-000000000000}"/>
  <bookViews>
    <workbookView xWindow="-98" yWindow="-98" windowWidth="17115" windowHeight="10755" firstSheet="1"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<sst xmlns="http://schemas.openxmlformats.org/spreadsheetml/2006/main" count="766" uniqueCount="556">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</sst>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7.21</v>
      </c>
      <c r="E8" s="32"/>
    </row>
    <row r="9" spans="1:9">
      <c r="B9" s="4" t="s">
        <v>346</v>
      </c>
      <c r="C9" s="48">
        <v>8658801708</v>
      </c>
    </row>
    <row r="10" spans="1:9">
      <c r="B10" s="4" t="s">
        <v>352</v>
      </c>
      <c r="C10" s="33">
        <f>Thesis!C8*Common_Shares/1000000</f>
        <v>62429.96031468</v>
      </c>
      <c r="D10" s="1" t="s">
        <v>530</v>
      </c>
      <c r="E10" s="307">
        <f>Scenarios!F34</f>
        <v>0.1906349385589185</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1.0948992599999998</v>
      </c>
    </row>
    <row r="17" spans="1:6">
      <c r="B17" s="1" t="s">
        <v>534</v>
      </c>
      <c r="C17" s="420">
        <v>0</v>
      </c>
      <c r="D17" s="4" t="s">
        <v>274</v>
      </c>
      <c r="E17" s="224" t="s">
        <v>555</v>
      </c>
    </row>
    <row r="18" spans="1:6">
      <c r="B18" s="1" t="str">
        <f>"Expected Equity Value ("&amp;C7&amp;") :"</f>
        <v>Expected Equity Value (HKD) :</v>
      </c>
      <c r="C18" s="255">
        <f>C125</f>
        <v>11.046596681812234</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5.6600332107046363</v>
      </c>
      <c r="D22" s="38" t="s">
        <v>408</v>
      </c>
      <c r="E22" s="79">
        <v>0.29465259038036606</v>
      </c>
    </row>
    <row r="23" spans="1:6">
      <c r="B23" s="1" t="s">
        <v>313</v>
      </c>
      <c r="C23" s="259">
        <f>E141</f>
        <v>7.0354554241371305</v>
      </c>
      <c r="D23" s="38" t="s">
        <v>409</v>
      </c>
      <c r="E23" s="448">
        <v>0.20075184365903009</v>
      </c>
    </row>
    <row r="24" spans="1:6">
      <c r="B24" s="1" t="s">
        <v>315</v>
      </c>
      <c r="C24" s="259">
        <f>E144</f>
        <v>8.6685464168977013</v>
      </c>
      <c r="D24" s="38" t="s">
        <v>410</v>
      </c>
      <c r="E24" s="448">
        <v>0.1174</v>
      </c>
    </row>
    <row r="25" spans="1:6">
      <c r="B25" s="1" t="s">
        <v>314</v>
      </c>
      <c r="C25" s="259">
        <f>E145</f>
        <v>9.7673531278599448</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16063</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291.16000000000003</v>
      </c>
      <c r="D41" s="1" t="str">
        <f>Reporting_currency</f>
        <v>CNY</v>
      </c>
    </row>
    <row r="43" spans="2:6">
      <c r="B43" s="459" t="s">
        <v>205</v>
      </c>
      <c r="C43" s="459"/>
      <c r="D43" s="459"/>
      <c r="E43" s="459"/>
      <c r="F43" s="459"/>
    </row>
    <row r="44" spans="2:6">
      <c r="B44" s="44" t="s">
        <v>267</v>
      </c>
      <c r="C44" s="290">
        <f>Normalized_FCF!C46</f>
        <v>86.988473410488751</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-716.01152658951128</v>
      </c>
      <c r="D46" s="1" t="str">
        <f>Reporting_currency</f>
        <v>CNY</v>
      </c>
    </row>
    <row r="48" spans="2:6">
      <c r="B48" s="1" t="s">
        <v>211</v>
      </c>
    </row>
    <row r="49" spans="2:6">
      <c r="B49" s="44" t="s">
        <v>223</v>
      </c>
      <c r="C49" s="289">
        <f>Normalized_FCF!C13</f>
        <v>-6281.6063376994261</v>
      </c>
      <c r="D49" s="1" t="str">
        <f>Reporting_currency</f>
        <v>CNY</v>
      </c>
    </row>
    <row r="51" spans="2:6">
      <c r="B51" s="459" t="s">
        <v>206</v>
      </c>
      <c r="C51" s="459"/>
      <c r="D51" s="459"/>
      <c r="E51" s="459"/>
      <c r="F51" s="459"/>
    </row>
    <row r="52" spans="2:6">
      <c r="B52" s="44" t="s">
        <v>204</v>
      </c>
      <c r="C52" s="289">
        <f>Normalized_FCF!C12</f>
        <v>-3909.5371183526222</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10034.945413128273</v>
      </c>
      <c r="D60" s="1" t="str">
        <f>Reporting_currency</f>
        <v>CNY</v>
      </c>
    </row>
    <row r="61" spans="2:6">
      <c r="B61" s="44" t="s">
        <v>213</v>
      </c>
      <c r="C61" s="289">
        <f>Normalized_FCF!C19</f>
        <v>5447.0050173584405</v>
      </c>
      <c r="D61" s="1" t="str">
        <f>Reporting_currency</f>
        <v>CNY</v>
      </c>
    </row>
    <row r="62" spans="2:6">
      <c r="B62" s="204" t="s">
        <v>302</v>
      </c>
      <c r="C62" s="89">
        <f>Normalized_FCF!C124</f>
        <v>9.5529802240153991E-2</v>
      </c>
      <c r="F62" s="260"/>
    </row>
    <row r="63" spans="2:6">
      <c r="B63" s="204" t="s">
        <v>332</v>
      </c>
      <c r="C63" s="89">
        <f>Normalized_FCF!C92</f>
        <v>4.3161202174368925E-2</v>
      </c>
      <c r="E63" s="44" t="s">
        <v>322</v>
      </c>
      <c r="F63" s="261">
        <f>Normalized_FCF!C90</f>
        <v>0.54965009421441902</v>
      </c>
    </row>
    <row r="65" spans="1:6">
      <c r="B65" s="192" t="s">
        <v>325</v>
      </c>
      <c r="C65" s="267" t="s">
        <v>327</v>
      </c>
      <c r="D65" s="267" t="s">
        <v>328</v>
      </c>
    </row>
    <row r="66" spans="1:6">
      <c r="B66" s="44" t="s">
        <v>326</v>
      </c>
      <c r="C66" s="89">
        <f>Normalized_FCF!C119</f>
        <v>0.17171946757818871</v>
      </c>
      <c r="D66" s="89">
        <f>Normalized_FCF!G119</f>
        <v>0.18348866136434613</v>
      </c>
    </row>
    <row r="67" spans="1:6">
      <c r="B67" s="229" t="str">
        <f>Normalized_FCF!B116</f>
        <v>Pre-tax Profit/Sales</v>
      </c>
      <c r="C67" s="266">
        <f>Normalized_FCF!C116</f>
        <v>8.3605896268353713E-2</v>
      </c>
      <c r="D67" s="266">
        <f>Normalized_FCF!G116</f>
        <v>8.9336021155909634E-2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-20425</v>
      </c>
      <c r="D78" s="1" t="str">
        <f>Reporting_currency</f>
        <v>CNY</v>
      </c>
    </row>
    <row r="79" spans="1:6">
      <c r="A79" s="191"/>
      <c r="B79" s="44" t="s">
        <v>234</v>
      </c>
      <c r="C79" s="201">
        <f>C78*scaling_factor*Exchange_Rate/Common_Shares</f>
        <v>-2.5827265873103644</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28376.921098251878</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3.5882413016628423</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2.2002175088959779E-2</v>
      </c>
      <c r="D90" s="1" t="str">
        <f>Market_currency</f>
        <v>HKD</v>
      </c>
    </row>
    <row r="91" spans="1:6">
      <c r="A91" s="191"/>
    </row>
    <row r="92" spans="1:6">
      <c r="A92" s="191"/>
      <c r="B92" s="44" t="s">
        <v>472</v>
      </c>
      <c r="C92" s="216">
        <f>DCF!F8</f>
        <v>1.0275168894414375</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-2.8894546109499601</v>
      </c>
      <c r="D111" s="1" t="str">
        <f>Market_currency</f>
        <v>HKD</v>
      </c>
    </row>
    <row r="112" spans="2:6">
      <c r="B112" s="44" t="s">
        <v>323</v>
      </c>
      <c r="C112" s="216">
        <f>DCF!C11</f>
        <v>10.527791015669164</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13.48 HKD</v>
      </c>
      <c r="E118" s="208">
        <f>DCF!F90</f>
        <v>0.1</v>
      </c>
      <c r="F118" s="208">
        <f>RATE(Holding_Period,Scenarios!C$58,-DCF!E90,C$18)</f>
        <v>-3.9410752957783284E-2</v>
      </c>
    </row>
    <row r="119" spans="2:6">
      <c r="B119" s="205" t="str">
        <f>DCF!B91&amp;" ("&amp;DCF!D91&amp;"yrs)"</f>
        <v>Optimistic (5yrs)</v>
      </c>
      <c r="C119" s="198">
        <f>DCF!C91</f>
        <v>0.04</v>
      </c>
      <c r="D119" s="207" t="str">
        <f>ROUND(DCF!E91,2)&amp;" "&amp;Market_currency</f>
        <v>12.42 HKD</v>
      </c>
      <c r="E119" s="199">
        <f>DCF!F91</f>
        <v>8.0000000000000029E-2</v>
      </c>
      <c r="F119" s="208">
        <f>RATE(Holding_Period,Scenarios!C$58,-DCF!E91,C$18)</f>
        <v>-1.2280053699445811E-2</v>
      </c>
    </row>
    <row r="120" spans="2:6">
      <c r="B120" s="205" t="str">
        <f>DCF!B92&amp;" ("&amp;DCF!D92&amp;"yrs)"</f>
        <v>Base (5yrs)</v>
      </c>
      <c r="C120" s="198">
        <f>DCF!C92</f>
        <v>0.02</v>
      </c>
      <c r="D120" s="207" t="str">
        <f>ROUND(DCF!E92,2)&amp;" "&amp;Market_currency</f>
        <v>11.44 HKD</v>
      </c>
      <c r="E120" s="199">
        <f>DCF!F92</f>
        <v>0.48</v>
      </c>
      <c r="F120" s="208">
        <f>RATE(Holding_Period,Scenarios!C$58,-DCF!E92,C$18)</f>
        <v>1.5930682165774177E-2</v>
      </c>
    </row>
    <row r="121" spans="2:6">
      <c r="B121" s="205" t="str">
        <f>DCF!B93&amp;" ("&amp;DCF!D93&amp;"yrs)"</f>
        <v>Pessimistic (5yrs)</v>
      </c>
      <c r="C121" s="198">
        <f>DCF!C93</f>
        <v>0</v>
      </c>
      <c r="D121" s="207" t="str">
        <f>ROUND(DCF!E93,2)&amp;" "&amp;Market_currency</f>
        <v>10.53 HKD</v>
      </c>
      <c r="E121" s="199">
        <f>DCF!F93</f>
        <v>0.24</v>
      </c>
      <c r="F121" s="208">
        <f>RATE(Holding_Period,Scenarios!C$58,-DCF!E93,C$18)</f>
        <v>4.5264071266490825E-2</v>
      </c>
    </row>
    <row r="122" spans="2:6">
      <c r="B122" s="205" t="str">
        <f>DCF!B94&amp;" ("&amp;DCF!D94&amp;"yrs)"</f>
        <v>Devil's advocate (5yrs)</v>
      </c>
      <c r="C122" s="198">
        <f>DCF!C94</f>
        <v>-0.1</v>
      </c>
      <c r="D122" s="207" t="str">
        <f>ROUND(DCF!E94,2)&amp;" "&amp;Market_currency</f>
        <v>6.88 HKD</v>
      </c>
      <c r="E122" s="199">
        <f>DCF!F94</f>
        <v>0.1</v>
      </c>
      <c r="F122" s="208">
        <f>RATE(Holding_Period,Scenarios!C$58,-DCF!E94,C$18)</f>
        <v>0.2102199804287212</v>
      </c>
    </row>
    <row r="124" spans="2:6">
      <c r="B124" s="459" t="s">
        <v>357</v>
      </c>
      <c r="C124" s="459"/>
      <c r="D124" s="459"/>
      <c r="E124" s="459"/>
      <c r="F124" s="459"/>
    </row>
    <row r="125" spans="2:6">
      <c r="B125" s="193" t="s">
        <v>218</v>
      </c>
      <c r="C125" s="197">
        <f>Scenarios!C36</f>
        <v>11.046596681812234</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0.31119226767719993</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0.56943566148240654</v>
      </c>
      <c r="D140" s="337">
        <f>Scenarios!D62</f>
        <v>5.0905975492222293</v>
      </c>
      <c r="E140" s="338">
        <f>Scenarios!E62</f>
        <v>5.6600332107046363</v>
      </c>
      <c r="F140" s="339">
        <f>E22</f>
        <v>0.29465259038036606</v>
      </c>
    </row>
    <row r="141" spans="1:6">
      <c r="B141" s="340" t="s">
        <v>313</v>
      </c>
      <c r="C141" s="337">
        <f>Scenarios!C63</f>
        <v>0.65474975955244419</v>
      </c>
      <c r="D141" s="337">
        <f>Scenarios!D63</f>
        <v>6.3807056645846867</v>
      </c>
      <c r="E141" s="338">
        <f>Scenarios!E63</f>
        <v>7.0354554241371305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0.75078343776594947</v>
      </c>
      <c r="D144" s="337">
        <f>Scenarios!D66</f>
        <v>7.9177629791317514</v>
      </c>
      <c r="E144" s="338">
        <f>Scenarios!E66</f>
        <v>8.6685464168977013</v>
      </c>
      <c r="F144" s="339">
        <f>E24</f>
        <v>0.1174</v>
      </c>
    </row>
    <row r="145" spans="1:6">
      <c r="B145" s="340" t="s">
        <v>314</v>
      </c>
      <c r="C145" s="337">
        <f>Scenarios!C67</f>
        <v>0.81295097096771129</v>
      </c>
      <c r="D145" s="337">
        <f>Scenarios!D67</f>
        <v>8.9544021568922343</v>
      </c>
      <c r="E145" s="338">
        <f>Scenarios!E67</f>
        <v>9.7673531278599448</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0.34576918630799991</v>
      </c>
      <c r="D25" s="37">
        <f>(0.2838)*Exchange_Rate</f>
        <v>0.31073240998799995</v>
      </c>
      <c r="E25" s="37">
        <f>0.2539*Exchange_Rate</f>
        <v>0.27799492211399995</v>
      </c>
      <c r="F25" s="37">
        <f>0.2078*Exchange_Rate</f>
        <v>0.22752006622799997</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0.34576918630799991</v>
      </c>
      <c r="D65" s="70">
        <f t="shared" ref="D65:M65" si="33">IF(D$4="","",D25)</f>
        <v>0.31073240998799995</v>
      </c>
      <c r="E65" s="70">
        <f t="shared" si="33"/>
        <v>0.27799492211399995</v>
      </c>
      <c r="F65" s="70">
        <f t="shared" si="33"/>
        <v>0.22752006622799997</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8.4705845106852724</v>
      </c>
      <c r="D47" s="134">
        <f>D46*H1/Common_Shares*Exchange_Rate</f>
        <v>-2.8894546109499601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28376.921098251878</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-14498.078901748124</v>
      </c>
      <c r="D73" s="289">
        <f>(Normalized_FCF!C26+Normalized_FCF!C35-Normalized_FCF!C89)/12</f>
        <v>-14498.078901748124</v>
      </c>
      <c r="F73" s="1" t="s">
        <v>278</v>
      </c>
    </row>
    <row r="74" spans="2:6" ht="15" customHeight="1">
      <c r="B74" s="227" t="s">
        <v>259</v>
      </c>
      <c r="C74" s="228">
        <f>-$C$66/C73</f>
        <v>2.9572883614828647</v>
      </c>
      <c r="D74" s="228">
        <f>-$C$66/D73</f>
        <v>2.9572883614828647</v>
      </c>
      <c r="F74" s="223" t="s">
        <v>257</v>
      </c>
    </row>
    <row r="75" spans="2:6" ht="15" customHeight="1">
      <c r="B75" s="77" t="s">
        <v>258</v>
      </c>
      <c r="C75" s="264"/>
      <c r="D75" s="265">
        <f>MAX(-D73*D76,G5)</f>
        <v>14498.078901748124</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22363.317385499995</v>
      </c>
      <c r="D86" s="201">
        <f>C86*scaling_factor/Common_Shares</f>
        <v>2.5827265873103644</v>
      </c>
      <c r="E86" s="214" t="str">
        <f>Market_currency</f>
        <v>HKD</v>
      </c>
    </row>
    <row r="87" spans="2:8" ht="15" customHeight="1">
      <c r="B87" s="212" t="s">
        <v>240</v>
      </c>
      <c r="C87" s="73">
        <f>DCF!F5*Exchange_Rate</f>
        <v>31069.869911554364</v>
      </c>
      <c r="D87" s="201">
        <f>C87*scaling_factor/Common_Shares</f>
        <v>3.5882413016628423</v>
      </c>
      <c r="E87" s="214" t="str">
        <f>Market_currency</f>
        <v>HKD</v>
      </c>
    </row>
    <row r="88" spans="2:8" ht="15" customHeight="1">
      <c r="B88" s="213" t="s">
        <v>159</v>
      </c>
      <c r="C88" s="73">
        <f>DCF!F6*Exchange_Rate</f>
        <v>190.51247123999997</v>
      </c>
      <c r="D88" s="201">
        <f>C88*scaling_factor/Common_Shares</f>
        <v>2.2002175088959779E-2</v>
      </c>
      <c r="E88" s="214" t="str">
        <f>Market_currency</f>
        <v>HKD</v>
      </c>
    </row>
    <row r="89" spans="2:8" ht="15" customHeight="1">
      <c r="B89" s="77" t="s">
        <v>244</v>
      </c>
      <c r="C89" s="162">
        <f>SUM(C86:C88)</f>
        <v>53623.699768294362</v>
      </c>
      <c r="D89" s="216">
        <f>SUM(D86:D88)</f>
        <v>6.192970064062167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-716.01152658951128</v>
      </c>
      <c r="E10" s="238"/>
      <c r="G10" s="270">
        <f>G48</f>
        <v>-479.054586871727</v>
      </c>
      <c r="H10" s="270">
        <f t="shared" ref="H10:Q10" si="6">H48</f>
        <v>-665.811576804178</v>
      </c>
      <c r="I10" s="270">
        <f t="shared" si="6"/>
        <v>-608.53120054573435</v>
      </c>
      <c r="J10" s="270">
        <f t="shared" si="6"/>
        <v>-604.11991279242545</v>
      </c>
      <c r="K10" s="270">
        <f t="shared" si="6"/>
        <v>-596.4112877533089</v>
      </c>
      <c r="L10" s="270">
        <f t="shared" si="6"/>
        <v>-895.34755407395949</v>
      </c>
      <c r="M10" s="270">
        <f t="shared" si="6"/>
        <v>-1030.2464542037155</v>
      </c>
      <c r="N10" s="270">
        <f t="shared" si="6"/>
        <v>-1073.6508536846914</v>
      </c>
      <c r="O10" s="270">
        <f t="shared" si="6"/>
        <v>-566.98648310880242</v>
      </c>
      <c r="P10" s="270">
        <f t="shared" si="6"/>
        <v>-500.91678710452879</v>
      </c>
      <c r="Q10" s="270" t="str">
        <f t="shared" si="6"/>
        <v/>
      </c>
    </row>
    <row r="11" spans="1:17" ht="15.75" customHeight="1">
      <c r="A11" s="10"/>
      <c r="B11" s="67" t="s">
        <v>137</v>
      </c>
      <c r="C11" s="271">
        <f>SUM(C8:C10)</f>
        <v>15638.148473410489</v>
      </c>
      <c r="E11" s="238"/>
      <c r="G11" s="271">
        <f t="shared" ref="G11:Q11" si="7">IF(G$4="","",SUM(G8:G10))</f>
        <v>16709.945413128273</v>
      </c>
      <c r="H11" s="271">
        <f t="shared" si="7"/>
        <v>17016.188423195821</v>
      </c>
      <c r="I11" s="271">
        <f t="shared" si="7"/>
        <v>16731.468799454266</v>
      </c>
      <c r="J11" s="271">
        <f t="shared" si="7"/>
        <v>14520.880087207575</v>
      </c>
      <c r="K11" s="271">
        <f t="shared" si="7"/>
        <v>11496.588712246692</v>
      </c>
      <c r="L11" s="271">
        <f t="shared" si="7"/>
        <v>20325.65244592604</v>
      </c>
      <c r="M11" s="271">
        <f t="shared" si="7"/>
        <v>19125.753545796284</v>
      </c>
      <c r="N11" s="271">
        <f t="shared" si="7"/>
        <v>16885.349146315308</v>
      </c>
      <c r="O11" s="271">
        <f t="shared" si="7"/>
        <v>17654.013516891198</v>
      </c>
      <c r="P11" s="271">
        <f t="shared" si="7"/>
        <v>11794.083212895472</v>
      </c>
      <c r="Q11" s="271" t="str">
        <f t="shared" si="7"/>
        <v/>
      </c>
    </row>
    <row r="12" spans="1:17" ht="15.75" customHeight="1">
      <c r="A12" s="10"/>
      <c r="B12" s="2" t="s">
        <v>60</v>
      </c>
      <c r="C12" s="270">
        <f>-C11*C41</f>
        <v>-3909.5371183526222</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5447.0050173584405</v>
      </c>
      <c r="D14" s="58"/>
      <c r="E14" s="246"/>
      <c r="F14" s="58"/>
      <c r="G14" s="271">
        <f t="shared" ref="G14:Q14" si="8">IF(G$4="","",SUM(G11:G13))</f>
        <v>10034.945413128273</v>
      </c>
      <c r="H14" s="271">
        <f t="shared" si="8"/>
        <v>10105.188423195821</v>
      </c>
      <c r="I14" s="271">
        <f t="shared" si="8"/>
        <v>10567.468799454266</v>
      </c>
      <c r="J14" s="271">
        <f t="shared" si="8"/>
        <v>8501.8800872075753</v>
      </c>
      <c r="K14" s="271">
        <f t="shared" si="8"/>
        <v>5514.588712246692</v>
      </c>
      <c r="L14" s="271">
        <f t="shared" si="8"/>
        <v>12231.65244592604</v>
      </c>
      <c r="M14" s="271">
        <f t="shared" si="8"/>
        <v>11774.753545796284</v>
      </c>
      <c r="N14" s="271">
        <f t="shared" si="8"/>
        <v>10165.349146315308</v>
      </c>
      <c r="O14" s="271">
        <f t="shared" si="8"/>
        <v>11198.013516891198</v>
      </c>
      <c r="P14" s="271">
        <f t="shared" si="8"/>
        <v>7004.0832128954717</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5447.0050173584405</v>
      </c>
      <c r="D19" s="26"/>
      <c r="E19" s="235"/>
      <c r="F19" s="26"/>
      <c r="G19" s="275">
        <f t="shared" ref="G19:Q19" si="9">IF(G$4="","",G14+G17)</f>
        <v>10034.945413128273</v>
      </c>
      <c r="H19" s="275">
        <f t="shared" si="9"/>
        <v>10105.188423195821</v>
      </c>
      <c r="I19" s="275">
        <f t="shared" si="9"/>
        <v>10567.468799454266</v>
      </c>
      <c r="J19" s="275">
        <f t="shared" si="9"/>
        <v>8501.8800872075753</v>
      </c>
      <c r="K19" s="275">
        <f t="shared" si="9"/>
        <v>5514.588712246692</v>
      </c>
      <c r="L19" s="275">
        <f t="shared" si="9"/>
        <v>12231.65244592604</v>
      </c>
      <c r="M19" s="275">
        <f t="shared" si="9"/>
        <v>11774.753545796284</v>
      </c>
      <c r="N19" s="275">
        <f t="shared" si="9"/>
        <v>10165.349146315308</v>
      </c>
      <c r="O19" s="275">
        <f t="shared" si="9"/>
        <v>11198.013516891198</v>
      </c>
      <c r="P19" s="275">
        <f t="shared" si="9"/>
        <v>7004.0832128954717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0.18719390893655866</v>
      </c>
      <c r="H41" s="6">
        <f t="shared" si="16"/>
        <v>0.19616613997114449</v>
      </c>
      <c r="I41" s="6">
        <f t="shared" si="16"/>
        <v>0.19059892698147435</v>
      </c>
      <c r="J41" s="6">
        <f t="shared" si="16"/>
        <v>0.18580141036884193</v>
      </c>
      <c r="K41" s="6">
        <f t="shared" si="16"/>
        <v>0.20119011455424918</v>
      </c>
      <c r="L41" s="6">
        <f t="shared" si="16"/>
        <v>0.20043637028815622</v>
      </c>
      <c r="M41" s="6">
        <f t="shared" si="16"/>
        <v>0.19722098744857355</v>
      </c>
      <c r="N41" s="6">
        <f t="shared" si="16"/>
        <v>0.20911619708915102</v>
      </c>
      <c r="O41" s="6">
        <f t="shared" si="16"/>
        <v>0.20964071407665555</v>
      </c>
      <c r="P41" s="6">
        <f t="shared" si="16"/>
        <v>0.22104303937329742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86.988473410488751</v>
      </c>
      <c r="E46" s="238"/>
      <c r="G46" s="278">
        <f t="shared" ref="G46:Q46" si="17">IFERROR(IF(G$4="","",($C$46/$C$47)*G47),0)</f>
        <v>323.945413128273</v>
      </c>
      <c r="H46" s="278">
        <f t="shared" si="17"/>
        <v>294.188423195822</v>
      </c>
      <c r="I46" s="278">
        <f t="shared" si="17"/>
        <v>290.46879945426565</v>
      </c>
      <c r="J46" s="278">
        <f t="shared" si="17"/>
        <v>178.88008720757455</v>
      </c>
      <c r="K46" s="278">
        <f t="shared" si="17"/>
        <v>111.58871224669112</v>
      </c>
      <c r="L46" s="278">
        <f t="shared" si="17"/>
        <v>92.6524459260405</v>
      </c>
      <c r="M46" s="278">
        <f t="shared" si="17"/>
        <v>99.75354579628447</v>
      </c>
      <c r="N46" s="278">
        <f t="shared" si="17"/>
        <v>71.349146315308559</v>
      </c>
      <c r="O46" s="278">
        <f t="shared" si="17"/>
        <v>118.01351689119757</v>
      </c>
      <c r="P46" s="278">
        <f t="shared" si="17"/>
        <v>76.083212895471206</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-716.01152658951128</v>
      </c>
      <c r="E48" s="238"/>
      <c r="G48" s="271">
        <f>IF(G$4="","",(G45+G46))</f>
        <v>-479.054586871727</v>
      </c>
      <c r="H48" s="271">
        <f t="shared" ref="H48:Q48" si="18">IF(H$4="","",(H45+H46))</f>
        <v>-665.811576804178</v>
      </c>
      <c r="I48" s="271">
        <f t="shared" si="18"/>
        <v>-608.53120054573435</v>
      </c>
      <c r="J48" s="271">
        <f t="shared" si="18"/>
        <v>-604.11991279242545</v>
      </c>
      <c r="K48" s="271">
        <f t="shared" si="18"/>
        <v>-596.4112877533089</v>
      </c>
      <c r="L48" s="271">
        <f t="shared" si="18"/>
        <v>-895.34755407395949</v>
      </c>
      <c r="M48" s="271">
        <f t="shared" si="18"/>
        <v>-1030.2464542037155</v>
      </c>
      <c r="N48" s="271">
        <f t="shared" si="18"/>
        <v>-1073.6508536846914</v>
      </c>
      <c r="O48" s="271">
        <f t="shared" si="18"/>
        <v>-566.98648310880242</v>
      </c>
      <c r="P48" s="271">
        <f t="shared" si="18"/>
        <v>-500.91678710452879</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3.8279969985431993E-3</v>
      </c>
      <c r="D76" s="26"/>
      <c r="E76" s="235"/>
      <c r="F76" s="26"/>
      <c r="G76" s="6">
        <f t="shared" ref="G76:Q76" si="28">IF(G$4="","",ABS(G10/G$4))</f>
        <v>2.5611592168329022E-3</v>
      </c>
      <c r="H76" s="6">
        <f t="shared" si="28"/>
        <v>3.7541390484803162E-3</v>
      </c>
      <c r="I76" s="6">
        <f t="shared" si="28"/>
        <v>3.5391243692465824E-3</v>
      </c>
      <c r="J76" s="6">
        <f t="shared" si="28"/>
        <v>4.3603969251764779E-3</v>
      </c>
      <c r="K76" s="6">
        <f t="shared" si="28"/>
        <v>5.4590922531904413E-3</v>
      </c>
      <c r="L76" s="6">
        <f t="shared" si="28"/>
        <v>7.9015431069158829E-3</v>
      </c>
      <c r="M76" s="6">
        <f t="shared" si="28"/>
        <v>9.7681469062644872E-3</v>
      </c>
      <c r="N76" s="6">
        <f t="shared" si="28"/>
        <v>1.2103475003773042E-2</v>
      </c>
      <c r="O76" s="6">
        <f t="shared" si="28"/>
        <v>6.9244337352385435E-3</v>
      </c>
      <c r="P76" s="6">
        <f t="shared" si="28"/>
        <v>1.2029413008922187E-2</v>
      </c>
      <c r="Q76" s="6" t="str">
        <f t="shared" si="28"/>
        <v/>
      </c>
    </row>
    <row r="77" spans="1:17" ht="15.75" customHeight="1">
      <c r="A77" s="10"/>
      <c r="B77" s="67" t="s">
        <v>137</v>
      </c>
      <c r="C77" s="75">
        <f>C11/C4</f>
        <v>8.3605896268353713E-2</v>
      </c>
      <c r="D77" s="26"/>
      <c r="E77" s="235"/>
      <c r="F77" s="26"/>
      <c r="G77" s="62">
        <f t="shared" ref="G77:Q77" si="29">IF(G$4="","",G11/G$4)</f>
        <v>8.9336021155909634E-2</v>
      </c>
      <c r="H77" s="62">
        <f t="shared" si="29"/>
        <v>9.5944768221725027E-2</v>
      </c>
      <c r="I77" s="62">
        <f t="shared" si="29"/>
        <v>9.7307662956859595E-2</v>
      </c>
      <c r="J77" s="62">
        <f t="shared" si="29"/>
        <v>0.10480833281996417</v>
      </c>
      <c r="K77" s="62">
        <f t="shared" si="29"/>
        <v>0.10523097008033512</v>
      </c>
      <c r="L77" s="62">
        <f t="shared" si="29"/>
        <v>0.17937617436592482</v>
      </c>
      <c r="M77" s="62">
        <f t="shared" si="29"/>
        <v>0.18133832886883744</v>
      </c>
      <c r="N77" s="62">
        <f t="shared" si="29"/>
        <v>0.19035182677964632</v>
      </c>
      <c r="O77" s="62">
        <f t="shared" si="29"/>
        <v>0.21560310589496101</v>
      </c>
      <c r="P77" s="62">
        <f t="shared" si="29"/>
        <v>0.28323246830997029</v>
      </c>
      <c r="Q77" s="62" t="str">
        <f t="shared" si="29"/>
        <v/>
      </c>
    </row>
    <row r="78" spans="1:17" ht="15.75" customHeight="1">
      <c r="A78" s="10"/>
      <c r="B78" s="2" t="s">
        <v>60</v>
      </c>
      <c r="C78" s="74">
        <f>ABS(C12/C$4)</f>
        <v>2.0901474067088428E-2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2.9121205571669216E-2</v>
      </c>
      <c r="D80" s="26"/>
      <c r="E80" s="235"/>
      <c r="F80" s="26"/>
      <c r="G80" s="62">
        <f t="shared" ref="G80:Q80" si="32">IF(G$4="","",ABS(G14/G$4))</f>
        <v>5.3649612464999372E-2</v>
      </c>
      <c r="H80" s="62">
        <f t="shared" si="32"/>
        <v>5.6977505008039407E-2</v>
      </c>
      <c r="I80" s="62">
        <f t="shared" si="32"/>
        <v>6.1458781925826232E-2</v>
      </c>
      <c r="J80" s="62">
        <f t="shared" si="32"/>
        <v>6.1364591706840103E-2</v>
      </c>
      <c r="K80" s="62">
        <f t="shared" si="32"/>
        <v>5.0476322525621661E-2</v>
      </c>
      <c r="L80" s="62">
        <f t="shared" si="32"/>
        <v>0.10794571184176609</v>
      </c>
      <c r="M80" s="62">
        <f t="shared" si="32"/>
        <v>0.11164078454343684</v>
      </c>
      <c r="N80" s="62">
        <f t="shared" si="32"/>
        <v>0.11459595908185813</v>
      </c>
      <c r="O80" s="62">
        <f t="shared" si="32"/>
        <v>0.13675793845889447</v>
      </c>
      <c r="P80" s="62">
        <f t="shared" si="32"/>
        <v>0.16820160930082062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2.9121205571669216E-2</v>
      </c>
      <c r="D85" s="72"/>
      <c r="E85" s="235"/>
      <c r="F85" s="72"/>
      <c r="G85" s="62">
        <f t="shared" ref="G85:Q85" si="35">IF(G$4="","",ABS(G19/G$4))</f>
        <v>5.3649612464999372E-2</v>
      </c>
      <c r="H85" s="62">
        <f t="shared" si="35"/>
        <v>5.6977505008039407E-2</v>
      </c>
      <c r="I85" s="62">
        <f t="shared" si="35"/>
        <v>6.1458781925826232E-2</v>
      </c>
      <c r="J85" s="62">
        <f t="shared" si="35"/>
        <v>6.1364591706840103E-2</v>
      </c>
      <c r="K85" s="62">
        <f t="shared" si="35"/>
        <v>5.0476322525621661E-2</v>
      </c>
      <c r="L85" s="62">
        <f t="shared" si="35"/>
        <v>0.10794571184176609</v>
      </c>
      <c r="M85" s="62">
        <f t="shared" si="35"/>
        <v>0.11164078454343684</v>
      </c>
      <c r="N85" s="62">
        <f t="shared" si="35"/>
        <v>0.11459595908185813</v>
      </c>
      <c r="O85" s="62">
        <f t="shared" si="35"/>
        <v>0.13675793845889447</v>
      </c>
      <c r="P85" s="62">
        <f t="shared" si="35"/>
        <v>0.16820160930082062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0.34576918630799991</v>
      </c>
      <c r="E88" s="238"/>
      <c r="G88" s="109">
        <f>Data!C65</f>
        <v>0.34576918630799991</v>
      </c>
      <c r="H88" s="109">
        <f>Data!D65</f>
        <v>0.31073240998799995</v>
      </c>
      <c r="I88" s="109">
        <f>Data!E65</f>
        <v>0.27799492211399995</v>
      </c>
      <c r="J88" s="109">
        <f>Data!F65</f>
        <v>0.22752006622799997</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2993.94682097748</v>
      </c>
      <c r="E89" s="238"/>
      <c r="G89" s="71">
        <f t="shared" ref="G89:Q89" si="36">IF(G$4="","",G88*Common_Shares/scaling_factor)</f>
        <v>2993.94682097748</v>
      </c>
      <c r="H89" s="71">
        <f t="shared" si="36"/>
        <v>2690.5703223350502</v>
      </c>
      <c r="I89" s="71">
        <f t="shared" si="36"/>
        <v>2407.1029064160298</v>
      </c>
      <c r="J89" s="71">
        <f t="shared" si="36"/>
        <v>1970.0511380592793</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0.54965009421441902</v>
      </c>
      <c r="E90" s="238"/>
      <c r="G90" s="152">
        <f t="shared" ref="G90:Q90" si="37">IF(G$4="","",G88/(G19*scaling_factor/Common_Shares))</f>
        <v>0.29835207843389289</v>
      </c>
      <c r="H90" s="152">
        <f t="shared" si="37"/>
        <v>0.2662563239453325</v>
      </c>
      <c r="I90" s="152">
        <f t="shared" si="37"/>
        <v>0.22778424541365472</v>
      </c>
      <c r="J90" s="152">
        <f t="shared" si="37"/>
        <v>0.23171946885295794</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4.3161202174368925E-2</v>
      </c>
      <c r="E92" s="238"/>
      <c r="G92" s="22">
        <f t="shared" ref="G92:Q92" si="38">IF(G$4="","",(G88*(1-dividend_tax_rate))/Market_Price)</f>
        <v>4.3161202174368925E-2</v>
      </c>
      <c r="H92" s="22">
        <f t="shared" si="38"/>
        <v>3.8787679471456303E-2</v>
      </c>
      <c r="I92" s="22">
        <f t="shared" si="38"/>
        <v>3.4701169195922324E-2</v>
      </c>
      <c r="J92" s="22">
        <f t="shared" si="38"/>
        <v>2.8400563052038832E-2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-6.4141259185426236E-2</v>
      </c>
      <c r="D96" s="26"/>
      <c r="E96" s="235"/>
      <c r="F96" s="26"/>
      <c r="G96" s="6">
        <f t="shared" ref="G96:Q96" si="40">IF(H5="","",G11/H11-1)</f>
        <v>-1.7997156734001041E-2</v>
      </c>
      <c r="H96" s="6">
        <f t="shared" si="40"/>
        <v>1.7017013099940304E-2</v>
      </c>
      <c r="I96" s="6">
        <f t="shared" si="40"/>
        <v>0.15223517438134815</v>
      </c>
      <c r="J96" s="6">
        <f t="shared" si="40"/>
        <v>0.26305989112572759</v>
      </c>
      <c r="K96" s="6">
        <f t="shared" si="40"/>
        <v>-0.43438033574410528</v>
      </c>
      <c r="L96" s="6">
        <f t="shared" si="40"/>
        <v>6.273733985208052E-2</v>
      </c>
      <c r="M96" s="6">
        <f t="shared" si="40"/>
        <v>0.13268333275595157</v>
      </c>
      <c r="N96" s="6">
        <f t="shared" si="40"/>
        <v>-4.354048839038438E-2</v>
      </c>
      <c r="O96" s="6">
        <f t="shared" si="40"/>
        <v>0.4968533965902977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1.2470421596542509</v>
      </c>
      <c r="H113" s="254">
        <f>IF(H$4="","",Data!D$22/H19)</f>
        <v>1.4258022113597948</v>
      </c>
      <c r="I113" s="254">
        <f>IF(I$4="","",Data!E$22/I19)</f>
        <v>1.4071487015668245</v>
      </c>
      <c r="J113" s="254">
        <f>IF(J$4="","",Data!F$22/J19)</f>
        <v>1.4114525113163969</v>
      </c>
      <c r="K113" s="254">
        <f>IF(K$4="","",Data!G$22/K19)</f>
        <v>3.0352218222237632</v>
      </c>
      <c r="L113" s="254">
        <f>IF(L$4="","",Data!H$22/L19)</f>
        <v>1.3150308244212239</v>
      </c>
      <c r="M113" s="254">
        <f>IF(M$4="","",Data!I$22/M19)</f>
        <v>1.4452956432430479</v>
      </c>
      <c r="N113" s="254">
        <f>IF(N$4="","",Data!J$22/N19)</f>
        <v>1.3070874210765515</v>
      </c>
      <c r="O113" s="254">
        <f>IF(O$4="","",Data!K$22/O19)</f>
        <v>1.406410161609829</v>
      </c>
      <c r="P113" s="254">
        <f>IF(P$4="","",Data!L$22/P19)</f>
        <v>1.9088865157090094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8.3605896268353713E-2</v>
      </c>
      <c r="E116" s="238"/>
      <c r="G116" s="22">
        <f t="shared" ref="G116:Q116" si="44">IF(G4="","",G77)</f>
        <v>8.9336021155909634E-2</v>
      </c>
      <c r="H116" s="22">
        <f t="shared" si="44"/>
        <v>9.5944768221725027E-2</v>
      </c>
      <c r="I116" s="22">
        <f t="shared" si="44"/>
        <v>9.7307662956859595E-2</v>
      </c>
      <c r="J116" s="22">
        <f t="shared" si="44"/>
        <v>0.10480833281996417</v>
      </c>
      <c r="K116" s="22">
        <f t="shared" si="44"/>
        <v>0.10523097008033512</v>
      </c>
      <c r="L116" s="22">
        <f t="shared" si="44"/>
        <v>0.17937617436592482</v>
      </c>
      <c r="M116" s="22">
        <f t="shared" si="44"/>
        <v>0.18133832886883744</v>
      </c>
      <c r="N116" s="22">
        <f t="shared" si="44"/>
        <v>0.19035182677964632</v>
      </c>
      <c r="O116" s="22">
        <f t="shared" si="44"/>
        <v>0.21560310589496101</v>
      </c>
      <c r="P116" s="22">
        <f t="shared" si="44"/>
        <v>0.28323246830997029</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0.17171946757818871</v>
      </c>
      <c r="D119" s="100"/>
      <c r="E119" s="241"/>
      <c r="F119" s="100"/>
      <c r="G119" s="99">
        <f t="shared" ref="G119:Q119" si="47">IF(G$4="","",G11/G104)</f>
        <v>0.18348866136434613</v>
      </c>
      <c r="H119" s="99">
        <f t="shared" si="47"/>
        <v>0.19836317712362381</v>
      </c>
      <c r="I119" s="99">
        <f t="shared" si="47"/>
        <v>0.20732409109382996</v>
      </c>
      <c r="J119" s="99">
        <f t="shared" si="47"/>
        <v>0.19141429835103116</v>
      </c>
      <c r="K119" s="99">
        <f t="shared" si="47"/>
        <v>0.13601084520031104</v>
      </c>
      <c r="L119" s="99">
        <f t="shared" si="47"/>
        <v>0.25668564053704668</v>
      </c>
      <c r="M119" s="99">
        <f t="shared" si="47"/>
        <v>0.27285864047987396</v>
      </c>
      <c r="N119" s="99">
        <f t="shared" si="47"/>
        <v>0.25730055842004279</v>
      </c>
      <c r="O119" s="99">
        <f t="shared" si="47"/>
        <v>0.26626266559418427</v>
      </c>
      <c r="P119" s="99">
        <f t="shared" si="47"/>
        <v>0.16771064235389727</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0.68876987415151036</v>
      </c>
      <c r="D123" s="26"/>
      <c r="E123" s="235"/>
      <c r="F123" s="26"/>
      <c r="G123" s="159">
        <f t="shared" ref="G123:Q123" si="48">IF(G$4="","",G14*$C$3/Common_Shares*Exchange_Rate)</f>
        <v>1.2689116436080579</v>
      </c>
      <c r="H123" s="159">
        <f t="shared" si="48"/>
        <v>1.2777938218050795</v>
      </c>
      <c r="I123" s="159">
        <f t="shared" si="48"/>
        <v>1.3362488435213353</v>
      </c>
      <c r="J123" s="159">
        <f t="shared" si="48"/>
        <v>1.075056633701619</v>
      </c>
      <c r="K123" s="159">
        <f t="shared" si="48"/>
        <v>0.69731578385317772</v>
      </c>
      <c r="L123" s="159">
        <f t="shared" si="48"/>
        <v>1.5466836709342981</v>
      </c>
      <c r="M123" s="159">
        <f t="shared" si="48"/>
        <v>1.4889091330112632</v>
      </c>
      <c r="N123" s="159">
        <f t="shared" si="48"/>
        <v>1.2854011020553862</v>
      </c>
      <c r="O123" s="159">
        <f t="shared" si="48"/>
        <v>1.4159807703860827</v>
      </c>
      <c r="P123" s="159">
        <f t="shared" si="48"/>
        <v>0.88566129418258677</v>
      </c>
      <c r="Q123" s="159" t="str">
        <f t="shared" si="48"/>
        <v/>
      </c>
    </row>
    <row r="124" spans="1:17" ht="15.75" customHeight="1">
      <c r="A124" s="10"/>
      <c r="B124" s="26" t="s">
        <v>226</v>
      </c>
      <c r="C124" s="74">
        <f>C19*Exchange_Rate*$C$3/(Market_Price*Common_Shares)</f>
        <v>9.5529802240153991E-2</v>
      </c>
      <c r="D124" s="26"/>
      <c r="E124" s="235"/>
      <c r="F124" s="26"/>
      <c r="G124" s="74">
        <f t="shared" ref="G124" si="49">IF(G$4="","",G123/Market_Price)</f>
        <v>0.17599329314952258</v>
      </c>
      <c r="H124" s="74">
        <f t="shared" ref="H124" si="50">IF(H$4="","",H123/Market_Price)</f>
        <v>0.17722521800347843</v>
      </c>
      <c r="I124" s="74">
        <f t="shared" ref="I124" si="51">IF(I$4="","",I123/Market_Price)</f>
        <v>0.18533271061322265</v>
      </c>
      <c r="J124" s="74">
        <f t="shared" ref="J124" si="52">IF(J$4="","",J123/Market_Price)</f>
        <v>0.14910632922352551</v>
      </c>
      <c r="K124" s="74">
        <f t="shared" ref="K124" si="53">IF(K$4="","",K123/Market_Price)</f>
        <v>9.6715087913062103E-2</v>
      </c>
      <c r="L124" s="74">
        <f t="shared" ref="L124" si="54">IF(L$4="","",L123/Market_Price)</f>
        <v>0.21451923313929239</v>
      </c>
      <c r="M124" s="74">
        <f t="shared" ref="M124" si="55">IF(M$4="","",M123/Market_Price)</f>
        <v>0.20650612108339295</v>
      </c>
      <c r="N124" s="74">
        <f t="shared" ref="N124" si="56">IF(N$4="","",N123/Market_Price)</f>
        <v>0.17828031928646132</v>
      </c>
      <c r="O124" s="74">
        <f t="shared" ref="O124" si="57">IF(O$4="","",O123/Market_Price)</f>
        <v>0.19639123028933186</v>
      </c>
      <c r="P124" s="74">
        <f t="shared" ref="P124" si="58">IF(P$4="","",P123/Market_Price)</f>
        <v>0.12283790487969304</v>
      </c>
      <c r="Q124" s="74" t="str">
        <f t="shared" ref="Q124" si="59">IF(Q$4="","",Q123/Market_Price)</f>
        <v/>
      </c>
    </row>
    <row r="125" spans="1:17" ht="15.75" customHeight="1">
      <c r="B125" s="2" t="s">
        <v>306</v>
      </c>
      <c r="C125" s="151"/>
      <c r="G125" s="22">
        <f>IF(G$4="","",(Data!C47*$C$3)/(Market_Price*Common_Shares))</f>
        <v>0.15228265326583093</v>
      </c>
      <c r="H125" s="22">
        <f>IF(H$4="","",(Data!D47*$C$3)/(Market_Price*Common_Shares))</f>
        <v>0.14824612979649368</v>
      </c>
      <c r="I125" s="22">
        <f>IF(I$4="","",(Data!E47*$C$3)/(Market_Price*Common_Shares))</f>
        <v>0.13139524610703809</v>
      </c>
      <c r="J125" s="22">
        <f>IF(J$4="","",(Data!F47*$C$3)/(Market_Price*Common_Shares))</f>
        <v>0.42186475639656984</v>
      </c>
      <c r="K125" s="22">
        <f>IF(K$4="","",(Data!G47*$C$3)/(Market_Price*Common_Shares))</f>
        <v>0.1558866920777392</v>
      </c>
      <c r="L125" s="22">
        <f>IF(L$4="","",(Data!H47*$C$3)/(Market_Price*Common_Shares))</f>
        <v>0.15330780208344039</v>
      </c>
      <c r="M125" s="22">
        <f>IF(M$4="","",(Data!I47*$C$3)/(Market_Price*Common_Shares))</f>
        <v>0.13155542560978958</v>
      </c>
      <c r="N125" s="22">
        <f>IF(N$4="","",(Data!J47*$C$3)/(Market_Price*Common_Shares))</f>
        <v>0.12732668673715053</v>
      </c>
      <c r="O125" s="22">
        <f>IF(O$4="","",(Data!K47*$C$3)/(Market_Price*Common_Shares))</f>
        <v>5.4685282239354878E-2</v>
      </c>
      <c r="P125" s="22">
        <f>IF(P$4="","",(Data!L47*$C$3)/(Market_Price*Common_Shares))</f>
        <v>3.7161644638343094E-2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5447.0050173584405</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28376.921098251878</v>
      </c>
      <c r="G5" t="str">
        <f>Reporting_currency</f>
        <v>CNY</v>
      </c>
      <c r="H5" s="312" t="s">
        <v>396</v>
      </c>
      <c r="I5" s="309">
        <f>Normalized_FCF!C7</f>
        <v>-5830</v>
      </c>
      <c r="J5" s="309"/>
    </row>
    <row r="6" spans="2:15" ht="13.25" customHeight="1">
      <c r="B6" s="136" t="s">
        <v>194</v>
      </c>
      <c r="C6" s="287">
        <f>(C4*(1+Terminal_Growth))/(Equity_Cost-Terminal_Growth)</f>
        <v>75131.103687702634</v>
      </c>
      <c r="D6" t="str">
        <f>Reporting_currency</f>
        <v>CNY</v>
      </c>
      <c r="E6" s="187" t="s">
        <v>436</v>
      </c>
      <c r="F6" s="288">
        <f>BS!H42</f>
        <v>174</v>
      </c>
      <c r="G6" t="str">
        <f>Reporting_currency</f>
        <v>CNY</v>
      </c>
      <c r="H6" s="312" t="s">
        <v>418</v>
      </c>
      <c r="I6" s="309">
        <f>I7+I8</f>
        <v>-424.85152658951125</v>
      </c>
      <c r="J6" s="309"/>
      <c r="N6" s="135"/>
    </row>
    <row r="7" spans="2:15" ht="12.75" customHeight="1">
      <c r="B7" s="322" t="s">
        <v>433</v>
      </c>
      <c r="C7" s="279">
        <f>F7</f>
        <v>8125.921098251878</v>
      </c>
      <c r="E7" s="140" t="s">
        <v>427</v>
      </c>
      <c r="F7" s="287">
        <f>SUM(F4:F6)</f>
        <v>8125.921098251878</v>
      </c>
      <c r="G7" t="str">
        <f>Reporting_currency</f>
        <v>CNY</v>
      </c>
      <c r="H7" s="316" t="s">
        <v>419</v>
      </c>
      <c r="I7" s="317">
        <f>Normalized_FCF!C9</f>
        <v>291.16000000000003</v>
      </c>
      <c r="J7" s="317"/>
      <c r="N7" s="308"/>
      <c r="O7" s="308"/>
    </row>
    <row r="8" spans="2:15" ht="13.15">
      <c r="B8" s="136" t="s">
        <v>429</v>
      </c>
      <c r="C8" s="287">
        <f>C6+C7</f>
        <v>83257.024785954505</v>
      </c>
      <c r="D8" t="str">
        <f>Reporting_currency</f>
        <v>CNY</v>
      </c>
      <c r="E8" s="140" t="s">
        <v>467</v>
      </c>
      <c r="F8" s="108">
        <f>FV_adjustments*scaling_factor/Common_Shares*Exchange_Rate</f>
        <v>1.0275168894414375</v>
      </c>
      <c r="G8" s="298" t="str">
        <f>Market_currency</f>
        <v>HKD</v>
      </c>
      <c r="H8" s="318" t="str">
        <f>Normalized_FCF!B10</f>
        <v>Net Interest Income</v>
      </c>
      <c r="I8" s="317">
        <f>Normalized_FCF!C10</f>
        <v>-716.01152658951128</v>
      </c>
      <c r="J8" s="317"/>
      <c r="N8" s="308"/>
      <c r="O8" s="308"/>
    </row>
    <row r="9" spans="2:15" ht="13.15" thickBot="1">
      <c r="B9" s="189" t="str">
        <f>"*"&amp;Thesis!E15</f>
        <v>*CNY/HKD</v>
      </c>
      <c r="C9" s="190">
        <f>Exchange_Rate</f>
        <v>1.0948992599999998</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91158.054827943226</v>
      </c>
      <c r="D10" t="str">
        <f>Market_currency</f>
        <v>HKD</v>
      </c>
      <c r="H10" s="312" t="s">
        <v>398</v>
      </c>
      <c r="I10" s="310">
        <f>Normalized_FCF!C41</f>
        <v>0.25</v>
      </c>
      <c r="N10" s="308"/>
      <c r="O10" s="308"/>
    </row>
    <row r="11" spans="2:15" ht="13.15">
      <c r="B11" s="136" t="s">
        <v>428</v>
      </c>
      <c r="C11" s="108">
        <f>(C10*scaling_factor)/Common_Shares</f>
        <v>10.527791015669164</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10.63686077812179</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15677.849990260534</v>
      </c>
      <c r="H21" s="303">
        <f t="shared" ref="H21:H50" si="2">IF(A21="",0%,IF(A21="I",$C$18,$F$18))</f>
        <v>0</v>
      </c>
      <c r="I21" s="281">
        <f>(G21*(1-$I$10)+C21*(H21-$I$9))</f>
        <v>5461.2554561936613</v>
      </c>
      <c r="J21" s="303">
        <f>I21/C4-1</f>
        <v>2.6161971192990574E-3</v>
      </c>
      <c r="K21" s="119">
        <f t="shared" ref="K21:K50" si="3">IF($C$15&lt;B21,0,1/(1+Equity_Cost)^B21)</f>
        <v>0.93240093240093236</v>
      </c>
      <c r="L21" s="281">
        <f t="shared" ref="L21:L50" si="4">I21*K21</f>
        <v>5092.0796794346488</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15717.649633888908</v>
      </c>
      <c r="H22" s="303">
        <f t="shared" si="2"/>
        <v>0</v>
      </c>
      <c r="I22" s="281">
        <f>IF(A22="", 0,G22*(1-$I$10)+C22*(H22-$I$9))</f>
        <v>5475.5411165963096</v>
      </c>
      <c r="J22" s="303">
        <f>IF(A22="", 0,I22/I21-1)</f>
        <v>2.615819845315448E-3</v>
      </c>
      <c r="K22" s="119">
        <f t="shared" si="3"/>
        <v>0.86937149874212816</v>
      </c>
      <c r="L22" s="281">
        <f t="shared" si="4"/>
        <v>4760.2793869594798</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15757.54764682701</v>
      </c>
      <c r="H23" s="303">
        <f t="shared" si="2"/>
        <v>0</v>
      </c>
      <c r="I23" s="281">
        <f t="shared" ref="I23:I50" si="9">IF(A23="", 0,G23*(1-$I$10)+C23*(H23-$I$9))</f>
        <v>5489.8620856204634</v>
      </c>
      <c r="J23" s="303">
        <f t="shared" ref="J23:J50" si="10">IF(A23="", 0,I23/I22-1)</f>
        <v>2.6154436099012912E-3</v>
      </c>
      <c r="K23" s="119">
        <f t="shared" si="3"/>
        <v>0.81060279602995633</v>
      </c>
      <c r="L23" s="281">
        <f t="shared" si="4"/>
        <v>4450.0975564227947</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15797.544272205683</v>
      </c>
      <c r="H24" s="303">
        <f t="shared" si="2"/>
        <v>0</v>
      </c>
      <c r="I24" s="281">
        <f t="shared" si="9"/>
        <v>5504.2184505353571</v>
      </c>
      <c r="J24" s="303">
        <f t="shared" si="10"/>
        <v>2.6150684099146559E-3</v>
      </c>
      <c r="K24" s="119">
        <f t="shared" si="3"/>
        <v>0.75580680282513402</v>
      </c>
      <c r="L24" s="281">
        <f t="shared" si="4"/>
        <v>4160.1257491502411</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15837.639753756703</v>
      </c>
      <c r="H25" s="303">
        <f t="shared" si="2"/>
        <v>0</v>
      </c>
      <c r="I25" s="281">
        <f t="shared" si="9"/>
        <v>5518.6102988259327</v>
      </c>
      <c r="J25" s="303">
        <f t="shared" si="10"/>
        <v>2.6146942422271557E-3</v>
      </c>
      <c r="K25" s="119">
        <f t="shared" si="3"/>
        <v>0.70471496766912267</v>
      </c>
      <c r="L25" s="281">
        <f t="shared" si="4"/>
        <v>3889.0472783156047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15837.639753756703</v>
      </c>
      <c r="H51" s="303">
        <f>F18</f>
        <v>0</v>
      </c>
      <c r="I51" s="281">
        <f>(G51*(1-$I$10)+C51*(H51-$I$9))/Equity_Cost</f>
        <v>76118.762742426668</v>
      </c>
      <c r="J51" s="419">
        <f>(G51*(1-$I$10)+C51*(H51-$I$9))/VLOOKUP(C15,B21:I50,8,FALSE)-1</f>
        <v>0</v>
      </c>
      <c r="K51" s="119">
        <f>1/(1+Equity_Cost)^C15</f>
        <v>0.70471496766912267</v>
      </c>
      <c r="L51" s="281">
        <f>I51*K51</f>
        <v>53642.031425042827</v>
      </c>
    </row>
    <row r="52" spans="1:21" ht="13.15">
      <c r="G52" s="111"/>
      <c r="H52" s="111"/>
      <c r="I52" s="111"/>
      <c r="J52" s="464" t="s">
        <v>423</v>
      </c>
      <c r="K52" s="464"/>
      <c r="L52" s="321">
        <f>SUM(L21:L51)</f>
        <v>75993.661075325595</v>
      </c>
    </row>
    <row r="53" spans="1:21">
      <c r="C53" s="111"/>
    </row>
    <row r="54" spans="1:21" ht="13.15">
      <c r="B54" s="115" t="s">
        <v>108</v>
      </c>
      <c r="C54" s="128"/>
      <c r="D54" s="128"/>
      <c r="E54" s="113"/>
      <c r="F54" s="113"/>
      <c r="G54" s="113"/>
      <c r="H54" s="113"/>
      <c r="I54" s="113"/>
      <c r="J54" s="113"/>
      <c r="K54" s="113"/>
      <c r="L54" s="113"/>
    </row>
    <row r="55" spans="1:21" ht="13.15">
      <c r="A55" s="125">
        <f>L52</f>
        <v>75993.661075325595</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67178.4917397018</v>
      </c>
      <c r="C56" s="118">
        <v>75131.103687702576</v>
      </c>
      <c r="D56" s="118">
        <v>76721.626077302732</v>
      </c>
      <c r="E56" s="118">
        <v>78312.148466902901</v>
      </c>
      <c r="F56" s="118">
        <v>79902.670856503071</v>
      </c>
      <c r="G56" s="299"/>
      <c r="H56" s="299"/>
      <c r="I56" s="299"/>
      <c r="J56" s="299"/>
      <c r="K56" s="299"/>
      <c r="L56" s="299"/>
    </row>
    <row r="57" spans="1:21" ht="13.15">
      <c r="A57" s="131">
        <v>2</v>
      </c>
      <c r="B57" s="118">
        <v>60504.971223896959</v>
      </c>
      <c r="C57" s="118">
        <v>75131.103687702576</v>
      </c>
      <c r="D57" s="118">
        <v>78234.290727551852</v>
      </c>
      <c r="E57" s="118">
        <v>81396.797949763815</v>
      </c>
      <c r="F57" s="118">
        <v>84618.625354338496</v>
      </c>
      <c r="G57" s="299"/>
      <c r="H57" s="299"/>
      <c r="I57" s="299"/>
      <c r="J57" s="299"/>
      <c r="K57" s="299"/>
      <c r="L57" s="299"/>
    </row>
    <row r="58" spans="1:21" ht="13.15">
      <c r="A58" s="131">
        <v>3</v>
      </c>
      <c r="B58" s="118">
        <v>54904.814147697092</v>
      </c>
      <c r="C58" s="118">
        <v>75131.103687702576</v>
      </c>
      <c r="D58" s="118">
        <v>79672.908856460112</v>
      </c>
      <c r="E58" s="118">
        <v>84387.973205871371</v>
      </c>
      <c r="F58" s="118">
        <v>89279.615347537168</v>
      </c>
      <c r="G58" s="299"/>
      <c r="H58" s="299"/>
      <c r="I58" s="299"/>
      <c r="J58" s="299"/>
      <c r="K58" s="299"/>
      <c r="L58" s="299"/>
    </row>
    <row r="59" spans="1:21" ht="13.15">
      <c r="A59" s="131">
        <v>4</v>
      </c>
      <c r="B59" s="118">
        <v>50205.381636200655</v>
      </c>
      <c r="C59" s="118">
        <v>75131.103687702576</v>
      </c>
      <c r="D59" s="118">
        <v>81041.105118918291</v>
      </c>
      <c r="E59" s="118">
        <v>87288.506787551421</v>
      </c>
      <c r="F59" s="118">
        <v>93886.281448041176</v>
      </c>
      <c r="G59" s="299"/>
      <c r="H59" s="299"/>
      <c r="I59" s="299"/>
      <c r="J59" s="299"/>
      <c r="K59" s="299"/>
      <c r="L59" s="299"/>
    </row>
    <row r="60" spans="1:21" ht="13.15">
      <c r="A60" s="131">
        <v>5</v>
      </c>
      <c r="B60" s="118">
        <v>46261.80190627362</v>
      </c>
      <c r="C60" s="118">
        <v>75131.103687702576</v>
      </c>
      <c r="D60" s="118">
        <v>82342.326739158205</v>
      </c>
      <c r="E60" s="118">
        <v>90101.145412210884</v>
      </c>
      <c r="F60" s="118">
        <v>98439.25680145307</v>
      </c>
      <c r="G60" s="299"/>
      <c r="H60" s="299"/>
      <c r="I60" s="299"/>
      <c r="J60" s="299"/>
      <c r="K60" s="299"/>
      <c r="L60" s="299"/>
    </row>
    <row r="61" spans="1:21" ht="13.15">
      <c r="A61" s="131">
        <v>6</v>
      </c>
      <c r="B61" s="118">
        <v>42952.504230810358</v>
      </c>
      <c r="C61" s="118">
        <v>75131.103687702576</v>
      </c>
      <c r="D61" s="118">
        <v>83579.852196169639</v>
      </c>
      <c r="E61" s="118">
        <v>92828.552563395802</v>
      </c>
      <c r="F61" s="118">
        <v>102939.16717405606</v>
      </c>
      <c r="G61" s="299"/>
      <c r="H61" s="299"/>
      <c r="I61" s="299"/>
      <c r="J61" s="299"/>
      <c r="K61" s="299"/>
      <c r="L61" s="299"/>
    </row>
    <row r="62" spans="1:21" ht="13.15">
      <c r="A62" s="131">
        <v>7</v>
      </c>
      <c r="B62" s="118">
        <v>40175.47121643561</v>
      </c>
      <c r="C62" s="118">
        <v>75131.103687702591</v>
      </c>
      <c r="D62" s="118">
        <v>84756.79948395674</v>
      </c>
      <c r="E62" s="118">
        <v>95473.311013029655</v>
      </c>
      <c r="F62" s="118">
        <v>107386.63103881973</v>
      </c>
      <c r="G62" s="299"/>
      <c r="H62" s="299"/>
      <c r="I62" s="299"/>
      <c r="J62" s="299"/>
      <c r="K62" s="299"/>
      <c r="L62" s="299"/>
    </row>
    <row r="63" spans="1:21" ht="13.15">
      <c r="A63" s="131">
        <v>8</v>
      </c>
      <c r="B63" s="118">
        <v>37845.093861715519</v>
      </c>
      <c r="C63" s="118">
        <v>75131.103687702591</v>
      </c>
      <c r="D63" s="118">
        <v>85876.133967446542</v>
      </c>
      <c r="E63" s="118">
        <v>98037.925267220024</v>
      </c>
      <c r="F63" s="118">
        <v>111782.25966040439</v>
      </c>
      <c r="G63" s="299"/>
      <c r="H63" s="299"/>
      <c r="I63" s="299"/>
      <c r="J63" s="299"/>
      <c r="K63" s="299"/>
      <c r="L63" s="299"/>
    </row>
    <row r="64" spans="1:21" ht="13.15">
      <c r="A64" s="131">
        <v>9</v>
      </c>
      <c r="B64" s="118">
        <v>35889.532445167199</v>
      </c>
      <c r="C64" s="118">
        <v>75131.103687702576</v>
      </c>
      <c r="D64" s="118">
        <v>86940.675853842462</v>
      </c>
      <c r="E64" s="118">
        <v>100524.82393795015</v>
      </c>
      <c r="F64" s="118">
        <v>116126.65717917337</v>
      </c>
      <c r="G64" s="299"/>
      <c r="H64" s="299"/>
      <c r="I64" s="299"/>
      <c r="J64" s="299"/>
      <c r="K64" s="299"/>
      <c r="L64" s="299"/>
    </row>
    <row r="65" spans="1:21" ht="13.15">
      <c r="A65" s="131">
        <v>10</v>
      </c>
      <c r="B65" s="118">
        <v>34248.50188582595</v>
      </c>
      <c r="C65" s="118">
        <v>75131.103687702576</v>
      </c>
      <c r="D65" s="118">
        <v>87953.107298246963</v>
      </c>
      <c r="E65" s="118">
        <v>102936.36204290052</v>
      </c>
      <c r="F65" s="118">
        <v>120420.42069422713</v>
      </c>
      <c r="G65" s="299"/>
      <c r="H65" s="299"/>
      <c r="I65" s="299"/>
      <c r="J65" s="299"/>
      <c r="K65" s="299"/>
      <c r="L65" s="299"/>
    </row>
    <row r="66" spans="1:21" ht="13.15">
      <c r="A66" s="131">
        <v>15</v>
      </c>
      <c r="B66" s="118">
        <v>29249.441691231084</v>
      </c>
      <c r="C66" s="281">
        <v>75131.103687702591</v>
      </c>
      <c r="D66" s="118">
        <v>92318.643942671421</v>
      </c>
      <c r="E66" s="118">
        <v>113941.19349150115</v>
      </c>
      <c r="F66" s="118">
        <v>141150.1440542452</v>
      </c>
      <c r="G66" s="299"/>
      <c r="H66" s="299"/>
      <c r="I66" s="299"/>
      <c r="J66" s="299"/>
      <c r="K66" s="299"/>
      <c r="L66" s="299"/>
      <c r="M66" s="279"/>
      <c r="N66" s="279"/>
      <c r="O66" s="279"/>
      <c r="P66" s="279"/>
      <c r="Q66" s="279"/>
      <c r="R66" s="279"/>
      <c r="S66" s="279"/>
      <c r="T66" s="279"/>
      <c r="U66" s="279"/>
    </row>
    <row r="67" spans="1:21" ht="13.15">
      <c r="A67" s="132">
        <v>20</v>
      </c>
      <c r="B67" s="118">
        <v>27169.197063472966</v>
      </c>
      <c r="C67" s="281">
        <v>75131.103687702591</v>
      </c>
      <c r="D67" s="118">
        <v>95715.303283222849</v>
      </c>
      <c r="E67" s="118">
        <v>123376.66456275195</v>
      </c>
      <c r="F67" s="118">
        <v>160699.67440118664</v>
      </c>
      <c r="G67" s="299"/>
      <c r="H67" s="299"/>
      <c r="I67" s="299"/>
      <c r="J67" s="299"/>
      <c r="K67" s="299"/>
      <c r="L67" s="299"/>
      <c r="M67" s="279"/>
      <c r="N67" s="279"/>
      <c r="O67" s="279"/>
      <c r="P67" s="279"/>
      <c r="Q67" s="279"/>
      <c r="R67" s="279"/>
      <c r="S67" s="279"/>
      <c r="T67" s="279"/>
      <c r="U67" s="279"/>
    </row>
    <row r="68" spans="1:21" ht="13.15">
      <c r="A68" s="132">
        <v>25</v>
      </c>
      <c r="B68" s="118">
        <v>26303.550813404712</v>
      </c>
      <c r="C68" s="281">
        <v>75131.103687702591</v>
      </c>
      <c r="D68" s="118">
        <v>98358.115751763267</v>
      </c>
      <c r="E68" s="118">
        <v>131466.57623038878</v>
      </c>
      <c r="F68" s="118">
        <v>179136.20296206034</v>
      </c>
      <c r="G68" s="299"/>
      <c r="H68" s="299"/>
      <c r="I68" s="299"/>
      <c r="J68" s="299"/>
      <c r="K68" s="299"/>
      <c r="L68" s="299"/>
      <c r="M68" s="279"/>
      <c r="N68" s="279"/>
      <c r="O68" s="279"/>
      <c r="P68" s="279"/>
      <c r="Q68" s="279"/>
      <c r="R68" s="279"/>
      <c r="S68" s="279"/>
      <c r="T68" s="279"/>
      <c r="U68" s="279"/>
    </row>
    <row r="69" spans="1:21" ht="13.15">
      <c r="A69" s="132">
        <v>30</v>
      </c>
      <c r="B69" s="118">
        <v>25943.331914022285</v>
      </c>
      <c r="C69" s="281">
        <v>75131.103687702591</v>
      </c>
      <c r="D69" s="118">
        <v>100414.3884136955</v>
      </c>
      <c r="E69" s="118">
        <v>138402.81399699883</v>
      </c>
      <c r="F69" s="118">
        <v>196523.09560570336</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10.527791015669164</v>
      </c>
      <c r="C73" s="119">
        <f>C11</f>
        <v>10.527791015669164</v>
      </c>
      <c r="D73" s="119">
        <f>C11</f>
        <v>10.527791015669164</v>
      </c>
      <c r="E73" s="119">
        <f>C11</f>
        <v>10.527791015669164</v>
      </c>
      <c r="F73" s="119">
        <f>C11</f>
        <v>10.527791015669164</v>
      </c>
      <c r="G73" s="300"/>
      <c r="H73" s="300"/>
      <c r="I73" s="300"/>
      <c r="J73" s="300"/>
      <c r="K73" s="300"/>
      <c r="L73" s="300"/>
    </row>
    <row r="74" spans="1:21" ht="13.15">
      <c r="A74" s="131">
        <v>1</v>
      </c>
      <c r="B74" s="119">
        <f t="shared" ref="B74:F87" si="11">(B56+FV_adjustments)/Common_Shares*scaling_factor*Exchange_Rate</f>
        <v>9.522188943861881</v>
      </c>
      <c r="C74" s="119">
        <f t="shared" si="11"/>
        <v>10.527791015669159</v>
      </c>
      <c r="D74" s="119">
        <f t="shared" si="11"/>
        <v>10.728911430030616</v>
      </c>
      <c r="E74" s="119">
        <f t="shared" si="11"/>
        <v>10.930031844392074</v>
      </c>
      <c r="F74" s="119">
        <f t="shared" si="11"/>
        <v>11.131152258753533</v>
      </c>
      <c r="G74" s="300"/>
      <c r="H74" s="300"/>
      <c r="I74" s="300"/>
      <c r="J74" s="300"/>
      <c r="K74" s="300"/>
      <c r="L74" s="300"/>
    </row>
    <row r="75" spans="1:21" ht="13.15">
      <c r="A75" s="131">
        <v>2</v>
      </c>
      <c r="B75" s="119">
        <f t="shared" si="11"/>
        <v>8.6783270654222058</v>
      </c>
      <c r="C75" s="119">
        <f t="shared" si="11"/>
        <v>10.527791015669159</v>
      </c>
      <c r="D75" s="119">
        <f t="shared" si="11"/>
        <v>10.92018678914361</v>
      </c>
      <c r="E75" s="119">
        <f t="shared" si="11"/>
        <v>11.32008355709308</v>
      </c>
      <c r="F75" s="119">
        <f t="shared" si="11"/>
        <v>11.727481319517569</v>
      </c>
      <c r="G75" s="300"/>
      <c r="H75" s="300"/>
      <c r="I75" s="300"/>
      <c r="J75" s="300"/>
      <c r="K75" s="300"/>
      <c r="L75" s="300"/>
    </row>
    <row r="76" spans="1:21" ht="13.15">
      <c r="A76" s="131">
        <v>3</v>
      </c>
      <c r="B76" s="119">
        <f t="shared" si="11"/>
        <v>7.9701912233749272</v>
      </c>
      <c r="C76" s="119">
        <f t="shared" si="11"/>
        <v>10.527791015669159</v>
      </c>
      <c r="D76" s="119">
        <f t="shared" si="11"/>
        <v>11.102099018789538</v>
      </c>
      <c r="E76" s="119">
        <f t="shared" si="11"/>
        <v>11.698315520924357</v>
      </c>
      <c r="F76" s="119">
        <f t="shared" si="11"/>
        <v>12.316860158128181</v>
      </c>
      <c r="G76" s="300"/>
      <c r="H76" s="300"/>
      <c r="I76" s="300"/>
      <c r="J76" s="300"/>
      <c r="K76" s="300"/>
      <c r="L76" s="300"/>
    </row>
    <row r="77" spans="1:21" ht="13.15">
      <c r="A77" s="131">
        <v>4</v>
      </c>
      <c r="B77" s="119">
        <f t="shared" si="11"/>
        <v>7.3759513559226599</v>
      </c>
      <c r="C77" s="119">
        <f t="shared" si="11"/>
        <v>10.527791015669159</v>
      </c>
      <c r="D77" s="119">
        <f t="shared" si="11"/>
        <v>11.275106453977271</v>
      </c>
      <c r="E77" s="119">
        <f t="shared" si="11"/>
        <v>12.065085910094085</v>
      </c>
      <c r="F77" s="119">
        <f t="shared" si="11"/>
        <v>12.899369779505566</v>
      </c>
      <c r="G77" s="300"/>
      <c r="H77" s="300"/>
      <c r="I77" s="300"/>
      <c r="J77" s="300"/>
      <c r="K77" s="300"/>
      <c r="L77" s="300"/>
    </row>
    <row r="78" spans="1:21" ht="13.15">
      <c r="A78" s="131">
        <v>5</v>
      </c>
      <c r="B78" s="119">
        <f t="shared" si="11"/>
        <v>6.8772885300885953</v>
      </c>
      <c r="C78" s="119">
        <f t="shared" si="11"/>
        <v>10.527791015669159</v>
      </c>
      <c r="D78" s="119">
        <f t="shared" si="11"/>
        <v>11.439644993736225</v>
      </c>
      <c r="E78" s="119">
        <f t="shared" si="11"/>
        <v>12.420742045046545</v>
      </c>
      <c r="F78" s="119">
        <f t="shared" si="11"/>
        <v>13.47509024445664</v>
      </c>
      <c r="G78" s="300"/>
      <c r="H78" s="300"/>
      <c r="I78" s="300"/>
      <c r="J78" s="300"/>
      <c r="K78" s="300"/>
      <c r="L78" s="300"/>
    </row>
    <row r="79" spans="1:21" ht="13.15">
      <c r="A79" s="131">
        <v>6</v>
      </c>
      <c r="B79" s="119">
        <f t="shared" si="11"/>
        <v>6.4588302147033625</v>
      </c>
      <c r="C79" s="119">
        <f t="shared" si="11"/>
        <v>10.527791015669159</v>
      </c>
      <c r="D79" s="119">
        <f t="shared" si="11"/>
        <v>11.596129199381116</v>
      </c>
      <c r="E79" s="119">
        <f t="shared" si="11"/>
        <v>12.765620721364083</v>
      </c>
      <c r="F79" s="119">
        <f t="shared" si="11"/>
        <v>14.044100680678692</v>
      </c>
      <c r="G79" s="300"/>
      <c r="H79" s="300"/>
      <c r="I79" s="300"/>
      <c r="J79" s="300"/>
      <c r="K79" s="300"/>
      <c r="L79" s="300"/>
    </row>
    <row r="80" spans="1:21" ht="13.15">
      <c r="A80" s="131">
        <f t="shared" ref="A80" si="12">A62</f>
        <v>7</v>
      </c>
      <c r="B80" s="119">
        <f t="shared" si="11"/>
        <v>6.1076763836108636</v>
      </c>
      <c r="C80" s="119">
        <f t="shared" si="11"/>
        <v>10.527791015669163</v>
      </c>
      <c r="D80" s="119">
        <f t="shared" si="11"/>
        <v>11.744953339015414</v>
      </c>
      <c r="E80" s="119">
        <f t="shared" si="11"/>
        <v>13.100048528702303</v>
      </c>
      <c r="F80" s="119">
        <f t="shared" si="11"/>
        <v>14.606479293634738</v>
      </c>
      <c r="G80" s="300"/>
      <c r="H80" s="300"/>
      <c r="I80" s="300"/>
      <c r="J80" s="300"/>
      <c r="K80" s="300"/>
      <c r="L80" s="300"/>
    </row>
    <row r="81" spans="1:12" ht="13.15">
      <c r="A81" s="131">
        <v>8</v>
      </c>
      <c r="B81" s="119">
        <f t="shared" si="11"/>
        <v>5.8130018400367351</v>
      </c>
      <c r="C81" s="119">
        <f t="shared" si="11"/>
        <v>10.527791015669163</v>
      </c>
      <c r="D81" s="119">
        <f t="shared" si="11"/>
        <v>11.886492380905375</v>
      </c>
      <c r="E81" s="119">
        <f t="shared" si="11"/>
        <v>13.424342160060569</v>
      </c>
      <c r="F81" s="119">
        <f t="shared" si="11"/>
        <v>15.16230337730226</v>
      </c>
      <c r="G81" s="300"/>
      <c r="H81" s="300"/>
      <c r="I81" s="300"/>
      <c r="J81" s="300"/>
      <c r="K81" s="300"/>
      <c r="L81" s="300"/>
    </row>
    <row r="82" spans="1:12" ht="13.15">
      <c r="A82" s="131">
        <f t="shared" ref="A82" si="13">A64</f>
        <v>9</v>
      </c>
      <c r="B82" s="119">
        <f t="shared" si="11"/>
        <v>5.5657225027717336</v>
      </c>
      <c r="C82" s="119">
        <f t="shared" si="11"/>
        <v>10.527791015669159</v>
      </c>
      <c r="D82" s="119">
        <f t="shared" si="11"/>
        <v>12.021102938227298</v>
      </c>
      <c r="E82" s="119">
        <f t="shared" si="11"/>
        <v>13.738808711680713</v>
      </c>
      <c r="F82" s="119">
        <f t="shared" si="11"/>
        <v>15.711649324796497</v>
      </c>
      <c r="G82" s="300"/>
      <c r="H82" s="300"/>
      <c r="I82" s="300"/>
      <c r="J82" s="300"/>
      <c r="K82" s="300"/>
      <c r="L82" s="300"/>
    </row>
    <row r="83" spans="1:12" ht="13.15">
      <c r="A83" s="131">
        <f t="shared" ref="A83:A87" si="14">A65</f>
        <v>10</v>
      </c>
      <c r="B83" s="119">
        <f t="shared" si="11"/>
        <v>5.3582153666052976</v>
      </c>
      <c r="C83" s="119">
        <f t="shared" si="11"/>
        <v>10.527791015669159</v>
      </c>
      <c r="D83" s="119">
        <f t="shared" si="11"/>
        <v>12.149124167568425</v>
      </c>
      <c r="E83" s="119">
        <f t="shared" si="11"/>
        <v>14.043745973857822</v>
      </c>
      <c r="F83" s="119">
        <f t="shared" si="11"/>
        <v>16.254592638870061</v>
      </c>
      <c r="G83" s="300"/>
      <c r="H83" s="300"/>
      <c r="I83" s="300"/>
      <c r="J83" s="300"/>
      <c r="K83" s="300"/>
      <c r="L83" s="300"/>
    </row>
    <row r="84" spans="1:12" ht="13.15">
      <c r="A84" s="131">
        <f t="shared" si="14"/>
        <v>15</v>
      </c>
      <c r="B84" s="119">
        <f t="shared" si="11"/>
        <v>4.7260877937218169</v>
      </c>
      <c r="C84" s="119">
        <f t="shared" si="11"/>
        <v>10.527791015669163</v>
      </c>
      <c r="D84" s="119">
        <f t="shared" si="11"/>
        <v>12.701143142326453</v>
      </c>
      <c r="E84" s="119">
        <f t="shared" si="11"/>
        <v>15.435299010390017</v>
      </c>
      <c r="F84" s="119">
        <f t="shared" si="11"/>
        <v>18.875851276300047</v>
      </c>
      <c r="G84" s="300"/>
      <c r="H84" s="300"/>
      <c r="I84" s="300"/>
      <c r="J84" s="300"/>
      <c r="K84" s="300"/>
      <c r="L84" s="300"/>
    </row>
    <row r="85" spans="1:12" ht="13.15">
      <c r="A85" s="132">
        <f t="shared" si="14"/>
        <v>20</v>
      </c>
      <c r="B85" s="119">
        <f t="shared" si="11"/>
        <v>4.4630423539068627</v>
      </c>
      <c r="C85" s="119">
        <f t="shared" si="11"/>
        <v>10.527791015669163</v>
      </c>
      <c r="D85" s="119">
        <f t="shared" si="11"/>
        <v>13.13064827754693</v>
      </c>
      <c r="E85" s="119">
        <f t="shared" si="11"/>
        <v>16.628407553818032</v>
      </c>
      <c r="F85" s="119">
        <f t="shared" si="11"/>
        <v>21.347875354462911</v>
      </c>
      <c r="G85" s="300"/>
      <c r="H85" s="300"/>
      <c r="I85" s="300"/>
      <c r="J85" s="300"/>
      <c r="K85" s="300"/>
      <c r="L85" s="300"/>
    </row>
    <row r="86" spans="1:12" ht="13.15">
      <c r="A86" s="132">
        <f t="shared" si="14"/>
        <v>25</v>
      </c>
      <c r="B86" s="119">
        <f t="shared" si="11"/>
        <v>4.3535820070154649</v>
      </c>
      <c r="C86" s="119">
        <f t="shared" si="11"/>
        <v>10.527791015669163</v>
      </c>
      <c r="D86" s="119">
        <f t="shared" si="11"/>
        <v>13.464830016972861</v>
      </c>
      <c r="E86" s="119">
        <f t="shared" si="11"/>
        <v>17.651371076608633</v>
      </c>
      <c r="F86" s="119">
        <f t="shared" si="11"/>
        <v>23.679161155778718</v>
      </c>
      <c r="G86" s="300"/>
      <c r="H86" s="300"/>
      <c r="I86" s="300"/>
      <c r="J86" s="300"/>
      <c r="K86" s="300"/>
      <c r="L86" s="300"/>
    </row>
    <row r="87" spans="1:12" ht="13.15">
      <c r="A87" s="132">
        <f t="shared" si="14"/>
        <v>30</v>
      </c>
      <c r="B87" s="119">
        <f t="shared" si="11"/>
        <v>4.3080325857823354</v>
      </c>
      <c r="C87" s="119">
        <f t="shared" si="11"/>
        <v>10.527791015669163</v>
      </c>
      <c r="D87" s="119">
        <f t="shared" si="11"/>
        <v>13.72484421891812</v>
      </c>
      <c r="E87" s="119">
        <f t="shared" si="11"/>
        <v>18.528453362813284</v>
      </c>
      <c r="F87" s="119">
        <f t="shared" si="11"/>
        <v>25.877721248872859</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13.47509024445664</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12.420742045046545</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11.439644993736225</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10.527791015669159</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6.8772885300885953</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G30" sqref="G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10034.945413128273</v>
      </c>
      <c r="D8" s="465"/>
      <c r="E8" s="465"/>
      <c r="F8" s="465"/>
      <c r="G8" s="465"/>
    </row>
    <row r="9" spans="2:7">
      <c r="B9" s="97" t="s">
        <v>54</v>
      </c>
      <c r="C9" s="452">
        <f>Normalized_FCF!C19</f>
        <v>5447.0050173584405</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-2.5522042112443244E-2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12.420742045046545</v>
      </c>
      <c r="F22" s="332">
        <f>1-F23-F24</f>
        <v>0.10000000000000003</v>
      </c>
      <c r="G22" s="332">
        <f>F22*(1-F$29-F$30)</f>
        <v>8.0000000000000029E-2</v>
      </c>
    </row>
    <row r="23" spans="2:7">
      <c r="B23" s="306" t="s">
        <v>440</v>
      </c>
      <c r="C23" s="328">
        <v>0.02</v>
      </c>
      <c r="D23" s="329">
        <f>C18</f>
        <v>5</v>
      </c>
      <c r="E23" s="330">
        <f>DCF!E92</f>
        <v>11.439644993736225</v>
      </c>
      <c r="F23" s="331">
        <v>0.6</v>
      </c>
      <c r="G23" s="332">
        <f t="shared" ref="G23:G24" si="0">F23*(1-F$29-F$30)</f>
        <v>0.48</v>
      </c>
    </row>
    <row r="24" spans="2:7">
      <c r="B24" s="306" t="s">
        <v>449</v>
      </c>
      <c r="C24" s="328">
        <v>0</v>
      </c>
      <c r="D24" s="329">
        <f>C18</f>
        <v>5</v>
      </c>
      <c r="E24" s="330">
        <f>DCF!E93</f>
        <v>10.527791015669159</v>
      </c>
      <c r="F24" s="331">
        <v>0.3</v>
      </c>
      <c r="G24" s="332">
        <f t="shared" si="0"/>
        <v>0.24</v>
      </c>
    </row>
    <row r="25" spans="2:7">
      <c r="B25" s="141" t="s">
        <v>454</v>
      </c>
      <c r="C25" s="446">
        <f>E23*F23+E24*F24+E22*F22</f>
        <v>11.264198505447139</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13.47509024445664</v>
      </c>
      <c r="F29" s="331">
        <v>0.1</v>
      </c>
      <c r="G29" s="332">
        <f>F29</f>
        <v>0.1</v>
      </c>
    </row>
    <row r="30" spans="2:7">
      <c r="B30" s="319" t="s">
        <v>450</v>
      </c>
      <c r="C30" s="328">
        <v>-0.1</v>
      </c>
      <c r="D30" s="329">
        <f>C18</f>
        <v>5</v>
      </c>
      <c r="E30" s="330">
        <f>DCF!E94</f>
        <v>6.8772885300885953</v>
      </c>
      <c r="F30" s="331">
        <v>0.1</v>
      </c>
      <c r="G30" s="332">
        <f>F30</f>
        <v>0.1</v>
      </c>
    </row>
    <row r="31" spans="2:7">
      <c r="E31" s="333"/>
      <c r="F31" s="333"/>
    </row>
    <row r="32" spans="2:7" ht="13.15">
      <c r="B32" s="145" t="s">
        <v>459</v>
      </c>
    </row>
    <row r="33" spans="2:7">
      <c r="B33" s="97" t="s">
        <v>461</v>
      </c>
      <c r="C33" s="155">
        <f>Normalized_FCF!C88*(1-dividend_tax_rate)</f>
        <v>0.31119226767719993</v>
      </c>
      <c r="D33" t="str">
        <f>Market_currency</f>
        <v>HKD</v>
      </c>
      <c r="E33" s="97" t="s">
        <v>458</v>
      </c>
      <c r="F33" s="219">
        <f>Holding_Period</f>
        <v>3</v>
      </c>
    </row>
    <row r="34" spans="2:7">
      <c r="B34" s="97" t="s">
        <v>233</v>
      </c>
      <c r="C34" s="146">
        <f>Market_Price</f>
        <v>7.21</v>
      </c>
      <c r="D34" t="str">
        <f>Market_currency</f>
        <v>HKD</v>
      </c>
      <c r="E34" s="97" t="s">
        <v>457</v>
      </c>
      <c r="F34" s="334">
        <f>RATE(Holding_Period,$C$33,-C34,$C$36)</f>
        <v>0.1906349385589185</v>
      </c>
    </row>
    <row r="35" spans="2:7">
      <c r="B35" s="97" t="s">
        <v>437</v>
      </c>
      <c r="C35" s="324">
        <f>DCF!C11</f>
        <v>10.527791015669164</v>
      </c>
      <c r="D35" s="97" t="str">
        <f>Market_currency</f>
        <v>HKD</v>
      </c>
      <c r="E35" s="97" t="s">
        <v>457</v>
      </c>
      <c r="F35" s="334">
        <f>RATE(Holding_Period,$C$33,-C35,$C$36)</f>
        <v>4.5264071266490624E-2</v>
      </c>
    </row>
    <row r="36" spans="2:7">
      <c r="B36" s="97" t="s">
        <v>438</v>
      </c>
      <c r="C36" s="325">
        <f>E22*G22+E23*G23+E24*G24+E30*G30+E29*G29</f>
        <v>11.046596681812234</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10.63686077812179</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0.56062244711610021</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0.31119226767719993</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0.56943566148240654</v>
      </c>
      <c r="D62" s="119">
        <f>C36/(1+F62)^Holding_Period</f>
        <v>5.0905975492222293</v>
      </c>
      <c r="E62" s="336">
        <f>C62+D62</f>
        <v>5.6600332107046363</v>
      </c>
      <c r="F62" s="305">
        <f>Thesis!E22</f>
        <v>0.29465259038036606</v>
      </c>
      <c r="G62" s="445">
        <f>(1-E62/C36)</f>
        <v>0.48762199130310901</v>
      </c>
    </row>
    <row r="63" spans="2:7" ht="13.15">
      <c r="B63" s="306" t="s">
        <v>313</v>
      </c>
      <c r="C63" s="119">
        <f>PV(F63, Holding_Period, -C58, 0)</f>
        <v>0.65474975955244419</v>
      </c>
      <c r="D63" s="119">
        <f>C36/(1+F63)^Holding_Period</f>
        <v>6.3807056645846867</v>
      </c>
      <c r="E63" s="336">
        <f>C63+D63</f>
        <v>7.0354554241371305</v>
      </c>
      <c r="F63" s="305">
        <f>Thesis!E23</f>
        <v>0.20075184365903009</v>
      </c>
      <c r="G63" s="445">
        <f>(1-E63/C36)</f>
        <v>0.36311104435262698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0.75078343776594947</v>
      </c>
      <c r="D66" s="119">
        <f>C36/(1+F66)^Holding_Period</f>
        <v>7.9177629791317514</v>
      </c>
      <c r="E66" s="336">
        <f>C66+D66</f>
        <v>8.6685464168977013</v>
      </c>
      <c r="F66" s="305">
        <f>Thesis!E24</f>
        <v>0.1174</v>
      </c>
      <c r="G66" s="445">
        <f>(1-E66/C36)</f>
        <v>0.21527447171397995</v>
      </c>
    </row>
    <row r="67" spans="2:7" ht="13.15">
      <c r="B67" s="306" t="s">
        <v>314</v>
      </c>
      <c r="C67" s="119">
        <f>PV(F67, Holding_Period, -C58, 0)</f>
        <v>0.81295097096771129</v>
      </c>
      <c r="D67" s="119">
        <f>C36/(1+F67)^Holding_Period</f>
        <v>8.9544021568922343</v>
      </c>
      <c r="E67" s="336">
        <f>C67+D67</f>
        <v>9.7673531278599448</v>
      </c>
      <c r="F67" s="305">
        <f>Thesis!E25</f>
        <v>7.2499999999999995E-2</v>
      </c>
      <c r="G67" s="445">
        <f>(1-E67/C36)</f>
        <v>0.11580431428790294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7.21</v>
      </c>
    </row>
    <row r="9" spans="1:10">
      <c r="B9" s="355" t="s">
        <v>361</v>
      </c>
      <c r="C9" s="357">
        <f>Common_Shares</f>
        <v>8658801708</v>
      </c>
    </row>
    <row r="10" spans="1:10">
      <c r="B10" s="355" t="s">
        <v>367</v>
      </c>
      <c r="C10" s="361">
        <f>投资主题!C8*Common_Shares/1000000</f>
        <v>62429.96031468</v>
      </c>
      <c r="D10" s="347" t="s">
        <v>531</v>
      </c>
      <c r="E10" s="364">
        <f>Scenarios!F34</f>
        <v>0.1906349385589185</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1.0948992599999998</v>
      </c>
    </row>
    <row r="17" spans="1:6">
      <c r="B17" s="347" t="s">
        <v>537</v>
      </c>
      <c r="C17" s="429">
        <f>Terminal_Growth</f>
        <v>0</v>
      </c>
      <c r="D17" s="355" t="s">
        <v>339</v>
      </c>
      <c r="E17" s="348" t="str">
        <f>Reporting_currency</f>
        <v>CNY</v>
      </c>
    </row>
    <row r="18" spans="1:6">
      <c r="B18" s="347" t="str">
        <f>"预期股权价值 ("&amp;C7&amp;") :"</f>
        <v>预期股权价值 (HKD) :</v>
      </c>
      <c r="C18" s="363">
        <f>C125</f>
        <v>11.046596681812234</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5.6600332107046363</v>
      </c>
      <c r="D22" s="369" t="s">
        <v>443</v>
      </c>
      <c r="E22" s="370">
        <f>Thesis!E22</f>
        <v>0.29465259038036606</v>
      </c>
    </row>
    <row r="23" spans="1:6">
      <c r="B23" s="347" t="s">
        <v>341</v>
      </c>
      <c r="C23" s="371">
        <f>E141</f>
        <v>7.0354554241371305</v>
      </c>
      <c r="D23" s="369" t="s">
        <v>444</v>
      </c>
      <c r="E23" s="372">
        <f>Thesis!E23</f>
        <v>0.20075184365903009</v>
      </c>
    </row>
    <row r="24" spans="1:6">
      <c r="B24" s="347" t="s">
        <v>343</v>
      </c>
      <c r="C24" s="371">
        <f>E144</f>
        <v>8.6685464168977013</v>
      </c>
      <c r="D24" s="369" t="s">
        <v>446</v>
      </c>
      <c r="E24" s="372">
        <f>Thesis!E24</f>
        <v>0.1174</v>
      </c>
    </row>
    <row r="25" spans="1:6">
      <c r="B25" s="347" t="s">
        <v>342</v>
      </c>
      <c r="C25" s="371">
        <f>E145</f>
        <v>9.7673531278599448</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86.988473410488751</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-716.01152658951128</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-3909.5371183526222</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10034.945413128273</v>
      </c>
      <c r="D60" s="347" t="str">
        <f>Reporting_currency</f>
        <v>CNY</v>
      </c>
    </row>
    <row r="61" spans="2:6">
      <c r="B61" s="376" t="s">
        <v>213</v>
      </c>
      <c r="C61" s="377">
        <f>Normalized_FCF!C19</f>
        <v>5447.0050173584405</v>
      </c>
      <c r="D61" s="347" t="str">
        <f>Reporting_currency</f>
        <v>CNY</v>
      </c>
    </row>
    <row r="62" spans="2:6">
      <c r="B62" s="381" t="s">
        <v>302</v>
      </c>
      <c r="C62" s="382">
        <f>Normalized_FCF!C124</f>
        <v>9.5529802240153991E-2</v>
      </c>
      <c r="F62" s="383"/>
    </row>
    <row r="63" spans="2:6">
      <c r="B63" s="381" t="s">
        <v>332</v>
      </c>
      <c r="C63" s="382">
        <f>Normalized_FCF!C92</f>
        <v>4.3161202174368925E-2</v>
      </c>
      <c r="E63" s="376" t="s">
        <v>373</v>
      </c>
      <c r="F63" s="384">
        <f>Normalized_FCF!C90</f>
        <v>0.54965009421441902</v>
      </c>
    </row>
    <row r="65" spans="1:6">
      <c r="B65" s="373" t="s">
        <v>376</v>
      </c>
      <c r="C65" s="385" t="s">
        <v>327</v>
      </c>
      <c r="D65" s="385" t="s">
        <v>374</v>
      </c>
    </row>
    <row r="66" spans="1:6">
      <c r="B66" s="376" t="s">
        <v>326</v>
      </c>
      <c r="C66" s="382">
        <f>Normalized_FCF!C119</f>
        <v>0.17171946757818871</v>
      </c>
      <c r="D66" s="382">
        <f>Normalized_FCF!G119</f>
        <v>0.18348866136434613</v>
      </c>
    </row>
    <row r="67" spans="1:6">
      <c r="B67" s="386" t="str">
        <f>Normalized_FCF!B116</f>
        <v>Pre-tax Profit/Sales</v>
      </c>
      <c r="C67" s="387">
        <f>Normalized_FCF!C116</f>
        <v>8.3605896268353713E-2</v>
      </c>
      <c r="D67" s="387">
        <f>Normalized_FCF!G116</f>
        <v>8.9336021155909634E-2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-20425</v>
      </c>
      <c r="D78" s="347" t="str">
        <f>Reporting_currency</f>
        <v>CNY</v>
      </c>
    </row>
    <row r="79" spans="1:6">
      <c r="B79" s="376" t="s">
        <v>234</v>
      </c>
      <c r="C79" s="391">
        <f>C78*scaling_factor*Exchange_Rate/Common_Shares</f>
        <v>-2.5827265873103644</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28376.921098251878</v>
      </c>
      <c r="D84" s="347" t="str">
        <f>Reporting_currency</f>
        <v>CNY</v>
      </c>
    </row>
    <row r="85" spans="1:6">
      <c r="B85" s="386" t="s">
        <v>484</v>
      </c>
      <c r="C85" s="394">
        <f>BS!C66</f>
        <v>42875</v>
      </c>
      <c r="D85" s="395" t="str">
        <f>Reporting_currency</f>
        <v>CNY</v>
      </c>
    </row>
    <row r="86" spans="1:6">
      <c r="B86" s="376" t="s">
        <v>235</v>
      </c>
      <c r="C86" s="391">
        <f>C84*scaling_factor*Exchange_Rate/Common_Shares</f>
        <v>3.5882413016628423</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2.2002175088959779E-2</v>
      </c>
      <c r="D90" s="347" t="str">
        <f>Market_currency</f>
        <v>HKD</v>
      </c>
    </row>
    <row r="92" spans="1:6">
      <c r="B92" s="376" t="s">
        <v>483</v>
      </c>
      <c r="C92" s="391">
        <f>DCF!F8</f>
        <v>1.0275168894414375</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-2.8894546109499601</v>
      </c>
      <c r="D111" s="347" t="str">
        <f>Market_currency</f>
        <v>HKD</v>
      </c>
    </row>
    <row r="112" spans="1:6">
      <c r="A112" s="389"/>
      <c r="B112" s="376" t="s">
        <v>377</v>
      </c>
      <c r="C112" s="398">
        <f>DCF!C11</f>
        <v>10.527791015669164</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13.48 HKD</v>
      </c>
      <c r="F118" s="403">
        <f>DCF!F90</f>
        <v>0.1</v>
      </c>
    </row>
    <row r="119" spans="1:6">
      <c r="A119" s="389"/>
      <c r="B119" s="404" t="str">
        <f>DCF!B91</f>
        <v>Optimistic</v>
      </c>
      <c r="C119" s="405">
        <f>DCF!C91</f>
        <v>0.04</v>
      </c>
      <c r="D119" s="406">
        <f>DCF!D91</f>
        <v>5</v>
      </c>
      <c r="E119" s="402" t="str">
        <f>ROUND(DCF!E91,2)&amp;" "&amp;Market_currency</f>
        <v>12.42 HKD</v>
      </c>
      <c r="F119" s="407">
        <f>DCF!F91</f>
        <v>8.0000000000000029E-2</v>
      </c>
    </row>
    <row r="120" spans="1:6">
      <c r="B120" s="404" t="str">
        <f>DCF!B92</f>
        <v>Base</v>
      </c>
      <c r="C120" s="405">
        <f>DCF!C92</f>
        <v>0.02</v>
      </c>
      <c r="D120" s="406">
        <f>DCF!D92</f>
        <v>5</v>
      </c>
      <c r="E120" s="402" t="str">
        <f>ROUND(DCF!E92,2)&amp;" "&amp;Market_currency</f>
        <v>11.44 HKD</v>
      </c>
      <c r="F120" s="407">
        <f>DCF!F92</f>
        <v>0.48</v>
      </c>
    </row>
    <row r="121" spans="1:6">
      <c r="B121" s="404" t="str">
        <f>DCF!B93</f>
        <v>Pessimistic</v>
      </c>
      <c r="C121" s="405">
        <f>DCF!C93</f>
        <v>0</v>
      </c>
      <c r="D121" s="406">
        <f>DCF!D93</f>
        <v>5</v>
      </c>
      <c r="E121" s="402" t="str">
        <f>ROUND(DCF!E93,2)&amp;" "&amp;Market_currency</f>
        <v>10.53 HKD</v>
      </c>
      <c r="F121" s="407">
        <f>DCF!F93</f>
        <v>0.24</v>
      </c>
    </row>
    <row r="122" spans="1:6">
      <c r="B122" s="404" t="str">
        <f>DCF!B94</f>
        <v>Devil's advocate</v>
      </c>
      <c r="C122" s="405">
        <f>DCF!C94</f>
        <v>-0.1</v>
      </c>
      <c r="D122" s="406">
        <f>DCF!D94</f>
        <v>5</v>
      </c>
      <c r="E122" s="402" t="str">
        <f>ROUND(DCF!E94,2)&amp;" "&amp;Market_currency</f>
        <v>6.88 HKD</v>
      </c>
      <c r="F122" s="407">
        <f>DCF!F94</f>
        <v>0.1</v>
      </c>
    </row>
    <row r="124" spans="1:6">
      <c r="B124" s="466" t="s">
        <v>521</v>
      </c>
      <c r="C124" s="466"/>
      <c r="D124" s="466"/>
      <c r="E124" s="466"/>
      <c r="F124" s="466"/>
    </row>
    <row r="125" spans="1:6">
      <c r="B125" s="376" t="s">
        <v>218</v>
      </c>
      <c r="C125" s="408">
        <f>Scenarios!C36</f>
        <v>11.046596681812234</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0.31119226767719993</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0.56943566148240654</v>
      </c>
      <c r="D140" s="413">
        <f>Scenarios!D62</f>
        <v>5.0905975492222293</v>
      </c>
      <c r="E140" s="414">
        <f>Scenarios!E62</f>
        <v>5.6600332107046363</v>
      </c>
      <c r="F140" s="415">
        <f>E22</f>
        <v>0.29465259038036606</v>
      </c>
    </row>
    <row r="141" spans="1:6">
      <c r="B141" s="412" t="s">
        <v>313</v>
      </c>
      <c r="C141" s="413">
        <f>Scenarios!C63</f>
        <v>0.65474975955244419</v>
      </c>
      <c r="D141" s="413">
        <f>Scenarios!D63</f>
        <v>6.3807056645846867</v>
      </c>
      <c r="E141" s="414">
        <f>Scenarios!E63</f>
        <v>7.0354554241371305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0.75078343776594947</v>
      </c>
      <c r="D144" s="413">
        <f>Scenarios!D66</f>
        <v>7.9177629791317514</v>
      </c>
      <c r="E144" s="414">
        <f>Scenarios!E66</f>
        <v>8.6685464168977013</v>
      </c>
      <c r="F144" s="415">
        <f>E24</f>
        <v>0.1174</v>
      </c>
    </row>
    <row r="145" spans="1:6">
      <c r="B145" s="412" t="s">
        <v>314</v>
      </c>
      <c r="C145" s="413">
        <f>Scenarios!C67</f>
        <v>0.81295097096771129</v>
      </c>
      <c r="D145" s="413">
        <f>Scenarios!D67</f>
        <v>8.9544021568922343</v>
      </c>
      <c r="E145" s="414">
        <f>Scenarios!E67</f>
        <v>9.7673531278599448</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2025-11-24T01:50:42Z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