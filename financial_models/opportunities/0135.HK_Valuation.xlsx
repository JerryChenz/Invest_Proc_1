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AA904568-99C8-46CF-A3E8-CA96D03A224A}"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7" i="2" l="1"/>
  <c r="C117" i="2"/>
  <c r="E83" i="2"/>
  <c r="E84" i="2"/>
  <c r="C79" i="2"/>
  <c r="C64" i="2"/>
  <c r="C66" i="2"/>
  <c r="C52" i="2"/>
  <c r="C35" i="2"/>
  <c r="C29" i="2"/>
  <c r="C30" i="2"/>
  <c r="G18" i="3"/>
  <c r="C19" i="3"/>
  <c r="G4" i="3"/>
  <c r="C25" i="4"/>
  <c r="D25" i="4"/>
  <c r="E25" i="4"/>
  <c r="F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12"/>
  <c r="C68" i="6"/>
  <c r="C68" i="12"/>
  <c r="C52" i="6" l="1"/>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<sst xmlns="http://schemas.openxmlformats.org/spreadsheetml/2006/main" count="768" uniqueCount="558">
  <si>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</si>
  <si>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</si>
  <si>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</si>
  <si>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</si>
  <si>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</si>
  <si>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</si>
  <si>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</si>
  <si>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</si>
  <si>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</si>
  <si>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</si>
  <si>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</si>
  <si>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</si>
  <si>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</si>
  <si>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</si>
  <si>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</si>
  <si>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</si>
  <si>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</si>
  <si>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</si>
  <si>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</si>
  <si>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</si>
  <si>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</si>
  <si>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</si>
  <si>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</si>
  <si>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</si>
  <si>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</si>
  <si>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</si>
  <si>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</si>
  <si>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</si>
  <si>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</si>
  <si>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</si>
  <si>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</si>
  <si>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</si>
  <si>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</si>
  <si>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</si>
  <si>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</si>
  <si>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</si>
  <si>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</si>
  <si>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</si>
  <si>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</si>
  <si>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</si>
  <si>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</si>
  <si>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</si>
  <si>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</si>
  <si>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</si>
  <si>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</si>
  <si>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</si>
  <si>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</si>
  <si>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</si>
  <si>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</si>
  <si>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</si>
  <si>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</si>
  <si>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</si>
  <si>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</si>
  <si>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</si>
  <si>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</si>
  <si>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</si>
  <si>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</si>
  <si>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</si>
  <si>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</si>
  <si>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</si>
  <si>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</si>
  <si>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</si>
  <si>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</si>
  <si>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</si>
  <si>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</si>
  <si>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</si>
  <si>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</si>
  <si>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</si>
  <si>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</si>
  <si>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</si>
  <si>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</si>
  <si>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</si>
  <si>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</si>
  <si>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</si>
  <si>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</si>
  <si>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</si>
  <si>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</si>
  <si>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</si>
  <si>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</si>
  <si>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</si>
  <si>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</si>
  <si>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</si>
  <si>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</si>
  <si>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</si>
  <si>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</si>
  <si>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</si>
  <si>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</si>
  <si>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</si>
  <si>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</si>
  <si>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</si>
  <si>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</si>
  <si>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</si>
  <si>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</si>
  <si>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</si>
  <si>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</si>
  <si>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</si>
  <si>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</si>
  <si>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</si>
  <si>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</si>
  <si>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</si>
  <si>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</si>
  <si>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</si>
  <si>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</si>
  <si>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</si>
  <si>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</si>
  <si>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</si>
  <si>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</si>
  <si>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</si>
  <si>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</si>
  <si>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</si>
  <si>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</si>
  <si>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</si>
  <si>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</si>
  <si>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</si>
  <si>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</si>
  <si>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</si>
  <si>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</si>
  <si>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</si>
  <si>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</si>
  <si>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</si>
  <si>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</si>
  <si>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</si>
  <si>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</si>
  <si>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</si>
  <si>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</si>
  <si>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</si>
  <si>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</si>
  <si>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</si>
  <si>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</si>
  <si>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</si>
  <si>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</si>
  <si>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</si>
  <si>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</si>
  <si>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</si>
  <si>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</si>
  <si>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</si>
  <si>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</si>
  <si>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</si>
  <si>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</si>
  <si>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</si>
  <si>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</si>
  <si>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</si>
  <si>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</si>
  <si>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</si>
  <si>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</si>
  <si>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</si>
  <si>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</si>
  <si>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</si>
  <si>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</si>
  <si>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</si>
  <si>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</si>
  <si>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</si>
  <si>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</si>
  <si>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</si>
  <si>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</si>
  <si>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</si>
  <si>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</si>
  <si>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</si>
  <si>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</si>
  <si>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</si>
  <si>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</si>
  <si>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</si>
  <si>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</si>
  <si>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</si>
  <si>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</si>
  <si>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</si>
  <si>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</si>
  <si>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</si>
  <si>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</si>
  <si>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</si>
  <si>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</si>
  <si>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</si>
  <si>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</si>
  <si>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</si>
  <si>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</si>
  <si>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</si>
  <si>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</si>
  <si>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</si>
  <si>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</si>
  <si>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</si>
  <si>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</si>
  <si>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</si>
  <si>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</si>
  <si>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</si>
  <si>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</si>
  <si>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</si>
  <si>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</si>
  <si>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</si>
  <si>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</si>
  <si>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</si>
  <si>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</si>
  <si>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</si>
  <si>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</si>
  <si>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</si>
  <si>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</si>
  <si>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</si>
  <si>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</si>
  <si>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</si>
  <si>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</si>
  <si>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</si>
  <si>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</si>
  <si>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</si>
  <si>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</si>
  <si>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</si>
  <si>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</si>
  <si>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</si>
  <si>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</si>
  <si>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</si>
  <si>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</si>
  <si>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</si>
  <si>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</si>
  <si>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</si>
  <si>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</si>
  <si>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</si>
  <si>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</si>
  <si>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</si>
  <si>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</si>
  <si>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</si>
  <si>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</si>
  <si>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</si>
  <si>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</si>
  <si>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</si>
  <si>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</si>
  <si>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</si>
  <si>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</si>
  <si>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</si>
  <si>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</si>
  <si>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</si>
  <si>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</si>
  <si>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</si>
  <si>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</si>
  <si>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</si>
  <si>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</si>
  <si>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</si>
  <si>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</si>
  <si>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</si>
  <si>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</si>
  <si>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</si>
  <si>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</si>
  <si>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</si>
  <si>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</si>
  <si>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</si>
  <si>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</si>
  <si>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</si>
  <si>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</si>
  <si>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</si>
  <si>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</si>
  <si>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</si>
  <si>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</si>
  <si>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</si>
  <si>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</si>
  <si>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</si>
  <si>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</si>
  <si>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</si>
  <si>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</si>
  <si>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</si>
  <si>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</si>
  <si>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</si>
  <si>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</si>
  <si>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</si>
  <si>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</si>
  <si>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</si>
  <si>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</si>
  <si>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</si>
  <si>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</si>
  <si>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</si>
  <si>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</si>
  <si>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</si>
  <si>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</si>
  <si>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</si>
  <si>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</si>
  <si>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</si>
  <si>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</si>
  <si>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</si>
  <si>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</si>
  <si>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</si>
  <si>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</si>
  <si>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</si>
  <si>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</si>
  <si>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</si>
  <si>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</si>
  <si>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</si>
  <si>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</si>
  <si>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</si>
  <si>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</si>
  <si>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</si>
  <si>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</si>
  <si>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</si>
  <si>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</si>
  <si>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</si>
  <si>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</si>
  <si>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</si>
  <si>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</si>
  <si>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</si>
  <si>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</si>
  <si>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</si>
  <si>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</si>
  <si>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</si>
  <si>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</si>
  <si>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</si>
  <si>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</si>
  <si>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</si>
  <si>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</si>
  <si>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</si>
  <si>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</si>
  <si>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</si>
  <si>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</si>
  <si>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</si>
  <si>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</si>
  <si>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</si>
  <si>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</si>
  <si>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</si>
  <si>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</si>
  <si>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</si>
  <si>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</si>
  <si>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</si>
  <si>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</si>
  <si>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</si>
  <si>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</si>
  <si>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</si>
  <si>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</si>
  <si>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</si>
  <si>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</si>
  <si>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</si>
  <si>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</si>
  <si>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</si>
  <si>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</si>
  <si>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</si>
  <si>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</si>
  <si>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</si>
  <si>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</si>
  <si>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</si>
  <si>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</si>
  <si>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</si>
  <si>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</si>
  <si>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</si>
  <si>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</si>
  <si>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</si>
  <si>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</si>
  <si>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</si>
  <si>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</si>
  <si>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</si>
  <si>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</si>
  <si>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</si>
  <si>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</si>
  <si>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</si>
  <si>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</si>
  <si>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</si>
  <si>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</si>
  <si>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</si>
  <si>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</si>
  <si>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</si>
  <si>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</si>
  <si>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</si>
  <si>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</si>
  <si>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</si>
  <si>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</si>
  <si>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</si>
  <si>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</si>
  <si>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</si>
  <si>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</si>
  <si>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</si>
  <si>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</si>
  <si>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</si>
  <si>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</si>
  <si>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</si>
  <si>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</si>
  <si>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</si>
  <si>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</si>
  <si>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</si>
  <si>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</si>
  <si>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</si>
  <si>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</si>
  <si>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</si>
  <si>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</si>
  <si>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</si>
  <si>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</si>
  <si>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</si>
  <si>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</si>
  <si>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</si>
  <si>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</si>
  <si>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</si>
  <si>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</si>
  <si>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</si>
  <si>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</si>
  <si>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</si>
  <si>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</si>
  <si>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</si>
  <si>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</si>
  <si>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</si>
  <si>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</si>
  <si>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</si>
  <si>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</si>
  <si>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</si>
  <si>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</si>
  <si>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</si>
  <si>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</si>
  <si>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</si>
  <si>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</si>
  <si>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</si>
  <si>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</si>
  <si>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</si>
  <si>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</si>
  <si>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</si>
  <si>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</si>
  <si>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</si>
  <si>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</si>
  <si>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</si>
  <si>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</si>
  <si>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</si>
  <si>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</si>
  <si>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</si>
  <si>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</si>
  <si>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</si>
  <si>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</si>
  <si>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</si>
  <si>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</si>
  <si>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</si>
  <si>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</si>
  <si>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</si>
  <si>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</si>
  <si>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</si>
  <si>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</si>
  <si>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</si>
  <si>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</si>
  <si>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</si>
  <si>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</si>
  <si>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</si>
  <si>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</si>
  <si>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</si>
  <si>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</si>
  <si>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</si>
  <si>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</si>
  <si>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</si>
  <si>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</si>
  <si>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</si>
  <si>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</si>
  <si>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</si>
  <si>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</si>
  <si>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</si>
  <si>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</si>
  <si>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</si>
  <si>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</si>
  <si>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</si>
  <si>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</si>
  <si>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</si>
  <si>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</si>
  <si>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</si>
  <si>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</si>
  <si>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</si>
  <si>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</si>
  <si>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</si>
  <si>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</si>
  <si>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</si>
  <si>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</si>
  <si>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</si>
  <si>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</si>
  <si>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</si>
  <si>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</si>
  <si>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</si>
  <si>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</si>
  <si>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</si>
  <si>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</si>
  <si>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</si>
  <si>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</si>
  <si>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</si>
  <si>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</si>
  <si>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</si>
  <si>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</si>
  <si>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</si>
  <si>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</si>
  <si>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</si>
  <si>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</si>
  <si>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</si>
  <si>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</si>
  <si>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</si>
  <si>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</si>
  <si>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</si>
  <si>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</si>
  <si>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</si>
  <si>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</si>
  <si>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</si>
  <si>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</si>
  <si>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</si>
  <si>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</si>
  <si>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</si>
  <si>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</si>
  <si>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</si>
  <si>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</si>
  <si>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</si>
  <si>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</si>
  <si>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</si>
  <si>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</si>
  <si>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</si>
  <si>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</si>
  <si>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</si>
  <si>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</si>
  <si>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</si>
  <si>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</si>
  <si>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</si>
  <si>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</si>
  <si>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</si>
  <si>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</si>
  <si>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</si>
  <si>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</si>
  <si>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</si>
  <si>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</si>
  <si>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</si>
  <si>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</si>
  <si>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</si>
  <si>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</si>
  <si>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</si>
  <si>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</si>
  <si>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</si>
  <si>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</si>
  <si>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</si>
  <si>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</si>
  <si>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</si>
  <si>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</si>
  <si>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</si>
  <si>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</si>
  <si>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</si>
  <si>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</si>
  <si>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</si>
  <si>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</si>
  <si>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</si>
  <si>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</si>
  <si>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</si>
  <si>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</si>
  <si>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</si>
  <si>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</si>
  <si>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</si>
  <si>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</si>
  <si>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</si>
  <si>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</si>
  <si>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</si>
  <si>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</si>
  <si>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</si>
  <si>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</si>
  <si>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</si>
  <si>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</si>
  <si>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</si>
  <si>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</si>
  <si>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</si>
  <si>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</si>
  <si>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</si>
  <si>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</si>
  <si>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</si>
  <si>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</si>
  <si>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</si>
  <si>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</si>
  <si>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</si>
  <si>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</si>
  <si>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</si>
  <si>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昆仑能源</t>
  </si>
  <si>
    <t>0135.HK</t>
  </si>
  <si>
    <t>ENG_02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</si>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</sst>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45932</v>
      </c>
    </row>
    <row r="4" spans="1:9" ht="12.4">
      <c r="B4" s="421" t="s">
        <v>532</v>
      </c>
      <c r="C4" s="420" t="s">
        <v>554</v>
      </c>
      <c r="E4" s="430" t="s">
        <v>536</v>
      </c>
      <c r="F4" s="431" t="s">
        <v>324</v>
      </c>
    </row>
    <row r="5" spans="1:9">
      <c r="B5" s="1" t="s">
        <v>349</v>
      </c>
      <c r="C5" s="46" t="s">
        <v>555</v>
      </c>
      <c r="E5" s="433" t="s">
        <v>538</v>
      </c>
      <c r="F5" s="432" t="s">
        <v>545</v>
      </c>
    </row>
    <row r="6" spans="1:9">
      <c r="B6" s="2" t="s">
        <v>53</v>
      </c>
      <c r="C6" s="45" t="s">
        <v>556</v>
      </c>
      <c r="D6" s="45"/>
      <c r="E6" s="45"/>
    </row>
    <row r="7" spans="1:9">
      <c r="B7" s="1" t="s">
        <v>351</v>
      </c>
      <c r="C7" s="45" t="s">
        <v>308</v>
      </c>
      <c r="D7" s="45"/>
      <c r="E7" s="45"/>
    </row>
    <row r="8" spans="1:9">
      <c r="B8" s="4" t="s">
        <v>350</v>
      </c>
      <c r="C8" s="47">
        <v>7.8</v>
      </c>
      <c r="E8" s="32"/>
    </row>
    <row r="9" spans="1:9">
      <c r="B9" s="4" t="s">
        <v>346</v>
      </c>
      <c r="C9" s="48">
        <v>8658801708</v>
      </c>
    </row>
    <row r="10" spans="1:9">
      <c r="B10" s="4" t="s">
        <v>352</v>
      </c>
      <c r="C10" s="33">
        <f>Thesis!C8*Common_Shares/1000000</f>
        <v>67538.653322400001</v>
      </c>
      <c r="D10" s="1" t="s">
        <v>527</v>
      </c>
      <c r="E10" s="303">
        <f>Scenarios!F34</f>
        <v>0.17146441710883573</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545</v>
      </c>
      <c r="D15" s="4" t="s">
        <v>353</v>
      </c>
      <c r="E15" s="253" t="str">
        <f>IF(E17=C7,C7,E17&amp;"/"&amp;C7)</f>
        <v>CNY/HKD</v>
      </c>
    </row>
    <row r="16" spans="1:9">
      <c r="B16" s="1" t="s">
        <v>320</v>
      </c>
      <c r="C16" s="417" t="s">
        <v>545</v>
      </c>
      <c r="D16" s="4" t="s">
        <v>354</v>
      </c>
      <c r="E16" s="416">
        <v>1.1196808250427246</v>
      </c>
    </row>
    <row r="17" spans="1:6">
      <c r="B17" s="1" t="s">
        <v>531</v>
      </c>
      <c r="C17" s="456">
        <v>0.02</v>
      </c>
      <c r="D17" s="4" t="s">
        <v>274</v>
      </c>
      <c r="E17" s="224" t="s">
        <v>557</v>
      </c>
    </row>
    <row r="18" spans="1:6">
      <c r="B18" s="1" t="str">
        <f>"Expected Equity Value ("&amp;C7&amp;") :"</f>
        <v>Expected Equity Value (HKD) :</v>
      </c>
      <c r="C18" s="252">
        <f>C125</f>
        <v>11.411787242305987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5.8412121982081615</v>
      </c>
      <c r="D22" s="38" t="s">
        <v>406</v>
      </c>
      <c r="E22" s="79">
        <v>0.29465259038036606</v>
      </c>
    </row>
    <row r="23" spans="1:6">
      <c r="B23" s="1" t="s">
        <v>313</v>
      </c>
      <c r="C23" s="256">
        <f>E141</f>
        <v>7.2612151960326576</v>
      </c>
      <c r="D23" s="38" t="s">
        <v>407</v>
      </c>
      <c r="E23" s="443">
        <v>0.20075184365903009</v>
      </c>
    </row>
    <row r="24" spans="1:6">
      <c r="B24" s="1" t="s">
        <v>315</v>
      </c>
      <c r="C24" s="256">
        <f>E144</f>
        <v>8.9472935150260966</v>
      </c>
      <c r="D24" s="38" t="s">
        <v>408</v>
      </c>
      <c r="E24" s="443">
        <v>0.1174</v>
      </c>
    </row>
    <row r="25" spans="1:6">
      <c r="B25" s="1" t="s">
        <v>314</v>
      </c>
      <c r="C25" s="256">
        <f>E145</f>
        <v>10.08177766384091</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16063</v>
      </c>
      <c r="D34" s="1" t="str">
        <f>Reporting_currency</f>
        <v>CNY</v>
      </c>
    </row>
    <row r="35" spans="2:6">
      <c r="B35" s="44"/>
      <c r="C35" s="73"/>
    </row>
    <row r="36" spans="2:6" ht="24.5" customHeight="1">
      <c r="B36" s="463" t="s">
        <v>198</v>
      </c>
      <c r="C36" s="463"/>
      <c r="D36" s="463"/>
      <c r="E36" s="463"/>
      <c r="F36" s="463"/>
    </row>
    <row r="37" spans="2:6">
      <c r="B37" s="44" t="s">
        <v>199</v>
      </c>
      <c r="C37" s="285">
        <f>Normalized_FCF!C15</f>
        <v>0</v>
      </c>
      <c r="D37" s="1" t="str">
        <f>Reporting_currency</f>
        <v>CNY</v>
      </c>
    </row>
    <row r="38" spans="2:6">
      <c r="B38" s="49" t="s">
        <v>200</v>
      </c>
      <c r="C38" s="285">
        <f>Normalized_FCF!C16</f>
        <v>0</v>
      </c>
      <c r="D38" s="1" t="str">
        <f>Reporting_currency</f>
        <v>CNY</v>
      </c>
    </row>
    <row r="40" spans="2:6">
      <c r="B40" s="463" t="s">
        <v>201</v>
      </c>
      <c r="C40" s="463"/>
      <c r="D40" s="463"/>
      <c r="E40" s="463"/>
      <c r="F40" s="463"/>
    </row>
    <row r="41" spans="2:6">
      <c r="B41" s="44" t="s">
        <v>202</v>
      </c>
      <c r="C41" s="285">
        <f>Normalized_FCF!C9</f>
        <v>291.16000000000003</v>
      </c>
      <c r="D41" s="1" t="str">
        <f>Reporting_currency</f>
        <v>CNY</v>
      </c>
    </row>
    <row r="43" spans="2:6">
      <c r="B43" s="463" t="s">
        <v>205</v>
      </c>
      <c r="C43" s="463"/>
      <c r="D43" s="463"/>
      <c r="E43" s="463"/>
      <c r="F43" s="463"/>
    </row>
    <row r="44" spans="2:6">
      <c r="B44" s="44" t="s">
        <v>267</v>
      </c>
      <c r="C44" s="286">
        <f>Normalized_FCF!C46</f>
        <v>87.02235538054255</v>
      </c>
      <c r="D44" s="1" t="str">
        <f>Reporting_currency</f>
        <v>CNY</v>
      </c>
      <c r="E44" s="244"/>
      <c r="F44" s="244"/>
    </row>
    <row r="45" spans="2:6">
      <c r="B45" s="44" t="s">
        <v>268</v>
      </c>
      <c r="C45" s="286">
        <f>Normalized_FCF!C45</f>
        <v>-803</v>
      </c>
      <c r="D45" s="1" t="str">
        <f>Reporting_currency</f>
        <v>CNY</v>
      </c>
      <c r="E45" s="244"/>
      <c r="F45" s="244"/>
    </row>
    <row r="46" spans="2:6">
      <c r="B46" s="44" t="s">
        <v>203</v>
      </c>
      <c r="C46" s="285">
        <f>Normalized_FCF!C10</f>
        <v>-715.97764461945746</v>
      </c>
      <c r="D46" s="1" t="str">
        <f>Reporting_currency</f>
        <v>CNY</v>
      </c>
    </row>
    <row r="48" spans="2:6">
      <c r="B48" s="1" t="s">
        <v>211</v>
      </c>
    </row>
    <row r="49" spans="2:6">
      <c r="B49" s="44" t="s">
        <v>223</v>
      </c>
      <c r="C49" s="285">
        <f>Normalized_FCF!C13</f>
        <v>-6281.6063376994261</v>
      </c>
      <c r="D49" s="1" t="str">
        <f>Reporting_currency</f>
        <v>CNY</v>
      </c>
    </row>
    <row r="51" spans="2:6">
      <c r="B51" s="463" t="s">
        <v>206</v>
      </c>
      <c r="C51" s="463"/>
      <c r="D51" s="463"/>
      <c r="E51" s="463"/>
      <c r="F51" s="463"/>
    </row>
    <row r="52" spans="2:6">
      <c r="B52" s="44" t="s">
        <v>204</v>
      </c>
      <c r="C52" s="285">
        <f>Normalized_FCF!C12</f>
        <v>-3909.5455888451356</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10035.071589716463</v>
      </c>
      <c r="D60" s="1" t="str">
        <f>Reporting_currency</f>
        <v>CNY</v>
      </c>
    </row>
    <row r="61" spans="2:6">
      <c r="B61" s="44" t="s">
        <v>213</v>
      </c>
      <c r="C61" s="285">
        <f>Normalized_FCF!C19</f>
        <v>5447.0304288359803</v>
      </c>
      <c r="D61" s="1" t="str">
        <f>Reporting_currency</f>
        <v>CNY</v>
      </c>
    </row>
    <row r="62" spans="2:6">
      <c r="B62" s="204" t="s">
        <v>302</v>
      </c>
      <c r="C62" s="89">
        <f>Normalized_FCF!C124</f>
        <v>9.0302889154129928E-2</v>
      </c>
      <c r="F62" s="257"/>
    </row>
    <row r="63" spans="2:6">
      <c r="B63" s="204" t="s">
        <v>332</v>
      </c>
      <c r="C63" s="89">
        <f>Normalized_FCF!C92</f>
        <v>4.0799446678672205E-2</v>
      </c>
      <c r="E63" s="44" t="s">
        <v>322</v>
      </c>
      <c r="F63" s="258">
        <f>Normalized_FCF!C90</f>
        <v>0.56208805900490943</v>
      </c>
    </row>
    <row r="65" spans="1:6">
      <c r="B65" s="192" t="s">
        <v>325</v>
      </c>
      <c r="C65" s="264" t="s">
        <v>327</v>
      </c>
      <c r="D65" s="264" t="s">
        <v>328</v>
      </c>
    </row>
    <row r="66" spans="1:6">
      <c r="B66" s="44" t="s">
        <v>326</v>
      </c>
      <c r="C66" s="89">
        <f>Normalized_FCF!E119</f>
        <v>0.17171983962951357</v>
      </c>
      <c r="D66" s="89">
        <f>Normalized_FCF!G119</f>
        <v>0.18349004688492623</v>
      </c>
    </row>
    <row r="67" spans="1:6">
      <c r="B67" s="229" t="str">
        <f>Normalized_FCF!B116</f>
        <v>Pre-tax Profit/Sales</v>
      </c>
      <c r="C67" s="263">
        <f>Normalized_FCF!E116</f>
        <v>8.3606077410800242E-2</v>
      </c>
      <c r="D67" s="263">
        <f>Normalized_FCF!G116</f>
        <v>8.9336695731084673E-2</v>
      </c>
    </row>
    <row r="68" spans="1:6">
      <c r="B68" s="229" t="str">
        <f>Normalized_FCF!B117</f>
        <v>Sales/Total Assets</v>
      </c>
      <c r="C68" s="265">
        <f>Normalized_FCF!E117</f>
        <v>1.3282158707615834</v>
      </c>
      <c r="D68" s="265">
        <f>Normalized_FCF!G117</f>
        <v>1.3282158707615834</v>
      </c>
    </row>
    <row r="69" spans="1:6">
      <c r="B69" s="229" t="str">
        <f>Normalized_FCF!B118</f>
        <v>Total Assets/Equity</v>
      </c>
      <c r="C69" s="265">
        <f>Normalized_FCF!E118</f>
        <v>1.5463719418456539</v>
      </c>
      <c r="D69" s="265">
        <f>Normalized_FCF!G118</f>
        <v>1.5463719418456539</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-20425</v>
      </c>
      <c r="D78" s="1" t="str">
        <f>Reporting_currency</f>
        <v>CNY</v>
      </c>
    </row>
    <row r="79" spans="1:6">
      <c r="A79" s="191"/>
      <c r="B79" s="44" t="s">
        <v>234</v>
      </c>
      <c r="C79" s="201">
        <f>C78*scaling_factor*Exchange_Rate/Common_Shares</f>
        <v>-2.641183113174677</v>
      </c>
      <c r="D79" s="1" t="str">
        <f>Market_currency</f>
        <v>HKD</v>
      </c>
    </row>
    <row r="80" spans="1:6">
      <c r="A80" s="191"/>
      <c r="B80" s="229" t="s">
        <v>309</v>
      </c>
      <c r="C80" s="337">
        <f>IF(BS!G31/BS!G27&gt;300%,"nm",BS!G31/BS!G27)</f>
        <v>0.22428295339746124</v>
      </c>
    </row>
    <row r="81" spans="1:6">
      <c r="A81" s="191"/>
      <c r="B81" s="229" t="s">
        <v>311</v>
      </c>
      <c r="C81" s="338">
        <f>IF(BS!C50&gt;30,"nm",BS!C50)</f>
        <v>1.2715557492373779</v>
      </c>
    </row>
    <row r="82" spans="1:6">
      <c r="A82" s="191"/>
    </row>
    <row r="83" spans="1:6">
      <c r="A83" s="191"/>
      <c r="B83" s="1" t="s">
        <v>466</v>
      </c>
    </row>
    <row r="84" spans="1:6">
      <c r="A84" s="191"/>
      <c r="B84" s="1" t="s">
        <v>224</v>
      </c>
      <c r="C84" s="285">
        <f>DCF!F5</f>
        <v>28371.274103242911</v>
      </c>
      <c r="D84" s="1" t="str">
        <f>Reporting_currency</f>
        <v>CNY</v>
      </c>
    </row>
    <row r="85" spans="1:6">
      <c r="A85" s="191"/>
      <c r="B85" s="229" t="s">
        <v>222</v>
      </c>
      <c r="C85" s="291">
        <f>BS!C66</f>
        <v>42875</v>
      </c>
      <c r="D85" s="339" t="str">
        <f>Reporting_currency</f>
        <v>CNY</v>
      </c>
    </row>
    <row r="86" spans="1:6">
      <c r="A86" s="191"/>
      <c r="B86" s="44" t="s">
        <v>235</v>
      </c>
      <c r="C86" s="201">
        <f>C84*scaling_factor*Exchange_Rate/Common_Shares</f>
        <v>3.6687260739650043</v>
      </c>
      <c r="D86" s="1" t="str">
        <f>Market_currency</f>
        <v>HKD</v>
      </c>
    </row>
    <row r="87" spans="1:6">
      <c r="A87" s="191"/>
    </row>
    <row r="88" spans="1:6">
      <c r="A88" s="191"/>
      <c r="B88" s="1" t="s">
        <v>216</v>
      </c>
    </row>
    <row r="89" spans="1:6">
      <c r="A89" s="191"/>
      <c r="B89" s="1" t="s">
        <v>217</v>
      </c>
      <c r="C89" s="285">
        <f>DCF!F6</f>
        <v>174</v>
      </c>
      <c r="D89" s="1" t="str">
        <f>Reporting_currency</f>
        <v>CNY</v>
      </c>
    </row>
    <row r="90" spans="1:6">
      <c r="A90" s="191"/>
      <c r="B90" s="44" t="s">
        <v>236</v>
      </c>
      <c r="C90" s="201">
        <f>C89*scaling_factor*Exchange_Rate/Common_Shares</f>
        <v>2.2500164587142903E-2</v>
      </c>
      <c r="D90" s="1" t="str">
        <f>Market_currency</f>
        <v>HKD</v>
      </c>
    </row>
    <row r="91" spans="1:6">
      <c r="A91" s="191"/>
    </row>
    <row r="92" spans="1:6">
      <c r="A92" s="191"/>
      <c r="B92" s="44" t="s">
        <v>469</v>
      </c>
      <c r="C92" s="216">
        <f>DCF!F8</f>
        <v>1.0500431253774698</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-2.9548535111001506</v>
      </c>
      <c r="D111" s="1" t="str">
        <f>Market_currency</f>
        <v>HKD</v>
      </c>
    </row>
    <row r="112" spans="2:6">
      <c r="B112" s="44" t="s">
        <v>323</v>
      </c>
      <c r="C112" s="216">
        <f>DCF!C11</f>
        <v>14.73480095604905</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544</v>
      </c>
    </row>
    <row r="118" spans="2:6">
      <c r="B118" s="205" t="str">
        <f>DCF!B90&amp;" ("&amp;DCF!D90&amp;"yrs)"</f>
        <v>Snowball Scenario (5yrs)</v>
      </c>
      <c r="C118" s="206">
        <f>DCF!C90</f>
        <v>0.06</v>
      </c>
      <c r="D118" s="207" t="str">
        <f>ROUND(DCF!E90,2)&amp;" "&amp;Market_currency</f>
        <v>13.8 HKD</v>
      </c>
      <c r="E118" s="208">
        <f>DCF!F90</f>
        <v>0.1</v>
      </c>
      <c r="F118" s="208">
        <f>RATE(Holding_Period,Scenarios!C$58,-DCF!E90,C$18)</f>
        <v>-3.6708372343069014E-2</v>
      </c>
    </row>
    <row r="119" spans="2:6">
      <c r="B119" s="205" t="str">
        <f>DCF!B91&amp;" ("&amp;DCF!D91&amp;"yrs)"</f>
        <v>Optimistic (5yrs)</v>
      </c>
      <c r="C119" s="198">
        <f>DCF!C91</f>
        <v>0.04</v>
      </c>
      <c r="D119" s="207" t="str">
        <f>ROUND(DCF!E91,2)&amp;" "&amp;Market_currency</f>
        <v>12.76 HKD</v>
      </c>
      <c r="E119" s="199">
        <f>DCF!F91</f>
        <v>8.0000000000000029E-2</v>
      </c>
      <c r="F119" s="208">
        <f>RATE(Holding_Period,Scenarios!C$58,-DCF!E91,C$18)</f>
        <v>-1.0679136115723268E-2</v>
      </c>
    </row>
    <row r="120" spans="2:6">
      <c r="B120" s="205" t="str">
        <f>DCF!B92&amp;" ("&amp;DCF!D92&amp;"yrs)"</f>
        <v>Base (5yrs)</v>
      </c>
      <c r="C120" s="198">
        <f>DCF!C92</f>
        <v>0.02</v>
      </c>
      <c r="D120" s="207" t="str">
        <f>ROUND(DCF!E92,2)&amp;" "&amp;Market_currency</f>
        <v>11.8 HKD</v>
      </c>
      <c r="E120" s="199">
        <f>DCF!F92</f>
        <v>0.48</v>
      </c>
      <c r="F120" s="208">
        <f>RATE(Holding_Period,Scenarios!C$58,-DCF!E92,C$18)</f>
        <v>1.6250908777485518E-2</v>
      </c>
    </row>
    <row r="121" spans="2:6">
      <c r="B121" s="205" t="str">
        <f>DCF!B93&amp;" ("&amp;DCF!D93&amp;"yrs)"</f>
        <v>Pessimistic (5yrs)</v>
      </c>
      <c r="C121" s="198">
        <f>DCF!C93</f>
        <v>0</v>
      </c>
      <c r="D121" s="207" t="str">
        <f>ROUND(DCF!E93,2)&amp;" "&amp;Market_currency</f>
        <v>10.9 HKD</v>
      </c>
      <c r="E121" s="199">
        <f>DCF!F93</f>
        <v>0.24</v>
      </c>
      <c r="F121" s="208">
        <f>RATE(Holding_Period,Scenarios!C$58,-DCF!E93,C$18)</f>
        <v>4.4099297073292715E-2</v>
      </c>
    </row>
    <row r="122" spans="2:6">
      <c r="B122" s="205" t="str">
        <f>DCF!B94&amp;" ("&amp;DCF!D94&amp;"yrs)"</f>
        <v>Devil's advocate (5yrs)</v>
      </c>
      <c r="C122" s="198">
        <f>DCF!C94</f>
        <v>-0.1</v>
      </c>
      <c r="D122" s="207" t="str">
        <f>ROUND(DCF!E94,2)&amp;" "&amp;Market_currency</f>
        <v>7.32 HKD</v>
      </c>
      <c r="E122" s="199">
        <f>DCF!F94</f>
        <v>0.1</v>
      </c>
      <c r="F122" s="208">
        <f>RATE(Holding_Period,Scenarios!C$58,-DCF!E94,C$18)</f>
        <v>0.19744742127986828</v>
      </c>
    </row>
    <row r="124" spans="2:6">
      <c r="B124" s="463" t="s">
        <v>357</v>
      </c>
      <c r="C124" s="463"/>
      <c r="D124" s="463"/>
      <c r="E124" s="463"/>
      <c r="F124" s="463"/>
    </row>
    <row r="125" spans="2:6">
      <c r="B125" s="193" t="s">
        <v>218</v>
      </c>
      <c r="C125" s="197">
        <f>Scenarios!C36</f>
        <v>11.411787242305987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0.31823568409364317</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0.582324068113235</v>
      </c>
      <c r="D140" s="333">
        <f>Scenarios!D62</f>
        <v>5.2588881300949266</v>
      </c>
      <c r="E140" s="334">
        <f>Scenarios!E62</f>
        <v>5.8412121982081615</v>
      </c>
      <c r="F140" s="335">
        <f>E22</f>
        <v>0.29465259038036606</v>
      </c>
    </row>
    <row r="141" spans="1:6">
      <c r="B141" s="336" t="s">
        <v>313</v>
      </c>
      <c r="C141" s="333">
        <f>Scenarios!C63</f>
        <v>0.6695691354949006</v>
      </c>
      <c r="D141" s="333">
        <f>Scenarios!D63</f>
        <v>6.5916460605377569</v>
      </c>
      <c r="E141" s="334">
        <f>Scenarios!E63</f>
        <v>7.2612151960326576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0.7677764062295479</v>
      </c>
      <c r="D144" s="333">
        <f>Scenarios!D66</f>
        <v>8.1795171087965493</v>
      </c>
      <c r="E144" s="334">
        <f>Scenarios!E66</f>
        <v>8.9472935150260966</v>
      </c>
      <c r="F144" s="335">
        <f>E24</f>
        <v>0.1174</v>
      </c>
    </row>
    <row r="145" spans="1:6">
      <c r="B145" s="336" t="s">
        <v>314</v>
      </c>
      <c r="C145" s="333">
        <f>Scenarios!C67</f>
        <v>0.83135101752869123</v>
      </c>
      <c r="D145" s="333">
        <f>Scenarios!D67</f>
        <v>9.2504266463122189</v>
      </c>
      <c r="E145" s="334">
        <f>Scenarios!E67</f>
        <v>10.08177766384091</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187046</v>
      </c>
      <c r="D4" s="287">
        <v>177354</v>
      </c>
      <c r="E4" s="287">
        <v>171944</v>
      </c>
      <c r="F4" s="287">
        <v>138547</v>
      </c>
      <c r="G4" s="287">
        <v>109251</v>
      </c>
      <c r="H4" s="287">
        <v>113313</v>
      </c>
      <c r="I4" s="287">
        <v>105470</v>
      </c>
      <c r="J4" s="287">
        <v>88706</v>
      </c>
      <c r="K4" s="287">
        <v>81882</v>
      </c>
      <c r="L4" s="287">
        <v>41641</v>
      </c>
      <c r="M4" s="287"/>
    </row>
    <row r="5" spans="2:13">
      <c r="B5" s="38" t="s">
        <v>40</v>
      </c>
      <c r="C5" s="287">
        <v>161662</v>
      </c>
      <c r="D5" s="287">
        <v>151091</v>
      </c>
      <c r="E5" s="287">
        <v>146077</v>
      </c>
      <c r="F5" s="287">
        <v>115893</v>
      </c>
      <c r="G5" s="287">
        <v>90292</v>
      </c>
      <c r="H5" s="287">
        <v>85116</v>
      </c>
      <c r="I5" s="287">
        <v>78249</v>
      </c>
      <c r="J5" s="287">
        <v>64145</v>
      </c>
      <c r="K5" s="287">
        <v>56682</v>
      </c>
      <c r="L5" s="287">
        <v>22884</v>
      </c>
      <c r="M5" s="287"/>
    </row>
    <row r="6" spans="2:13">
      <c r="B6" s="38" t="s">
        <v>51</v>
      </c>
      <c r="C6" s="287">
        <v>9321</v>
      </c>
      <c r="D6" s="287">
        <v>9626</v>
      </c>
      <c r="E6" s="287">
        <v>9519</v>
      </c>
      <c r="F6" s="287">
        <v>8885</v>
      </c>
      <c r="G6" s="287">
        <v>7389</v>
      </c>
      <c r="H6" s="287">
        <v>8246</v>
      </c>
      <c r="I6" s="287">
        <v>8234</v>
      </c>
      <c r="J6" s="287">
        <v>7593</v>
      </c>
      <c r="K6" s="287">
        <v>7880</v>
      </c>
      <c r="L6" s="287">
        <v>4574</v>
      </c>
      <c r="M6" s="287"/>
    </row>
    <row r="7" spans="2:13">
      <c r="B7" s="66" t="s">
        <v>58</v>
      </c>
      <c r="C7" s="288">
        <v>3491</v>
      </c>
      <c r="D7" s="288">
        <v>3656</v>
      </c>
      <c r="E7" s="288">
        <v>3770</v>
      </c>
      <c r="F7" s="288">
        <v>3400</v>
      </c>
      <c r="G7" s="288">
        <v>2689</v>
      </c>
      <c r="H7" s="288">
        <v>3112</v>
      </c>
      <c r="I7" s="288">
        <v>3389</v>
      </c>
      <c r="J7" s="288">
        <v>3264</v>
      </c>
      <c r="K7" s="288">
        <v>3399</v>
      </c>
      <c r="L7" s="288">
        <v>2545</v>
      </c>
      <c r="M7" s="288"/>
    </row>
    <row r="8" spans="2:13">
      <c r="B8" s="38" t="s">
        <v>46</v>
      </c>
      <c r="C8" s="287"/>
      <c r="D8" s="287"/>
      <c r="E8" s="287"/>
      <c r="F8" s="287"/>
      <c r="G8" s="287"/>
      <c r="H8" s="287"/>
      <c r="I8" s="287"/>
      <c r="J8" s="287"/>
      <c r="K8" s="287"/>
      <c r="L8" s="287"/>
      <c r="M8" s="287"/>
    </row>
    <row r="9" spans="2:13">
      <c r="B9" s="38" t="s">
        <v>134</v>
      </c>
      <c r="C9" s="287">
        <v>1126</v>
      </c>
      <c r="D9" s="287">
        <v>1045</v>
      </c>
      <c r="E9" s="287">
        <v>992</v>
      </c>
      <c r="F9" s="287">
        <v>1356</v>
      </c>
      <c r="G9" s="287">
        <v>523</v>
      </c>
      <c r="H9" s="287">
        <v>1270</v>
      </c>
      <c r="I9" s="287">
        <v>1169</v>
      </c>
      <c r="J9" s="287">
        <v>991</v>
      </c>
      <c r="K9" s="287">
        <v>901</v>
      </c>
      <c r="L9" s="287">
        <v>-1888</v>
      </c>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803</v>
      </c>
      <c r="D12" s="287">
        <v>960</v>
      </c>
      <c r="E12" s="287">
        <v>899</v>
      </c>
      <c r="F12" s="287">
        <v>783</v>
      </c>
      <c r="G12" s="287">
        <v>708</v>
      </c>
      <c r="H12" s="287">
        <v>988</v>
      </c>
      <c r="I12" s="287">
        <v>1130</v>
      </c>
      <c r="J12" s="287">
        <v>1145</v>
      </c>
      <c r="K12" s="287">
        <v>685</v>
      </c>
      <c r="L12" s="287">
        <v>577</v>
      </c>
      <c r="M12" s="287"/>
    </row>
    <row r="13" spans="2:13">
      <c r="B13" s="38" t="s">
        <v>64</v>
      </c>
      <c r="C13" s="287">
        <v>958</v>
      </c>
      <c r="D13" s="287">
        <v>870</v>
      </c>
      <c r="E13" s="287">
        <v>859</v>
      </c>
      <c r="F13" s="287">
        <v>529</v>
      </c>
      <c r="G13" s="287">
        <v>330</v>
      </c>
      <c r="H13" s="287">
        <v>274</v>
      </c>
      <c r="I13" s="287">
        <v>295</v>
      </c>
      <c r="J13" s="287">
        <v>211</v>
      </c>
      <c r="K13" s="287">
        <v>349</v>
      </c>
      <c r="L13" s="287">
        <v>225</v>
      </c>
      <c r="M13" s="287"/>
    </row>
    <row r="14" spans="2:13">
      <c r="B14" s="38" t="s">
        <v>47</v>
      </c>
      <c r="C14" s="287">
        <v>3128</v>
      </c>
      <c r="D14" s="287">
        <v>3338</v>
      </c>
      <c r="E14" s="287">
        <v>3189</v>
      </c>
      <c r="F14" s="287">
        <v>2698</v>
      </c>
      <c r="G14" s="287">
        <v>2313</v>
      </c>
      <c r="H14" s="287">
        <v>4074</v>
      </c>
      <c r="I14" s="287">
        <v>3772</v>
      </c>
      <c r="J14" s="287">
        <v>3531</v>
      </c>
      <c r="K14" s="287">
        <v>3701</v>
      </c>
      <c r="L14" s="287">
        <v>2607</v>
      </c>
      <c r="M14" s="287"/>
    </row>
    <row r="15" spans="2:13">
      <c r="B15" s="41" t="s">
        <v>39</v>
      </c>
      <c r="C15" s="289">
        <v>9507</v>
      </c>
      <c r="D15" s="289">
        <v>9255</v>
      </c>
      <c r="E15" s="289">
        <v>8203</v>
      </c>
      <c r="F15" s="289">
        <v>26337</v>
      </c>
      <c r="G15" s="289">
        <v>9732</v>
      </c>
      <c r="H15" s="289">
        <v>9571</v>
      </c>
      <c r="I15" s="289">
        <v>8213</v>
      </c>
      <c r="J15" s="289">
        <v>7949</v>
      </c>
      <c r="K15" s="289">
        <v>3414</v>
      </c>
      <c r="L15" s="289">
        <v>2320</v>
      </c>
      <c r="M15" s="289"/>
    </row>
    <row r="16" spans="2:13">
      <c r="B16" s="27" t="s">
        <v>41</v>
      </c>
      <c r="C16" s="287">
        <v>3547</v>
      </c>
      <c r="D16" s="287">
        <v>3573</v>
      </c>
      <c r="E16" s="287">
        <v>2975</v>
      </c>
      <c r="F16" s="287">
        <v>3321</v>
      </c>
      <c r="G16" s="287">
        <v>3669</v>
      </c>
      <c r="H16" s="287">
        <v>4020</v>
      </c>
      <c r="I16" s="287">
        <v>3579</v>
      </c>
      <c r="J16" s="287">
        <v>3189</v>
      </c>
      <c r="K16" s="287">
        <v>2755</v>
      </c>
      <c r="L16" s="287">
        <v>2183</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12514</v>
      </c>
      <c r="D22" s="287">
        <v>14408</v>
      </c>
      <c r="E22" s="287">
        <v>14870</v>
      </c>
      <c r="F22" s="287">
        <v>12000</v>
      </c>
      <c r="G22" s="287">
        <v>16738</v>
      </c>
      <c r="H22" s="287">
        <v>16085</v>
      </c>
      <c r="I22" s="287">
        <v>17018</v>
      </c>
      <c r="J22" s="287">
        <v>13287</v>
      </c>
      <c r="K22" s="287">
        <v>15749</v>
      </c>
      <c r="L22" s="287">
        <v>13370</v>
      </c>
      <c r="M22" s="287"/>
    </row>
    <row r="23" spans="2:13">
      <c r="B23" s="26" t="s">
        <v>288</v>
      </c>
      <c r="C23" s="287">
        <v>-3491</v>
      </c>
      <c r="D23" s="287">
        <v>-1061</v>
      </c>
      <c r="E23" s="287">
        <v>-18452</v>
      </c>
      <c r="F23" s="287">
        <v>25602</v>
      </c>
      <c r="G23" s="287">
        <v>-8833</v>
      </c>
      <c r="H23" s="287">
        <v>-10277</v>
      </c>
      <c r="I23" s="287">
        <v>-7000</v>
      </c>
      <c r="J23" s="287">
        <v>-13493</v>
      </c>
      <c r="K23" s="287">
        <v>-23127</v>
      </c>
      <c r="L23" s="287">
        <v>-4719</v>
      </c>
      <c r="M23" s="287"/>
    </row>
    <row r="24" spans="2:13">
      <c r="B24" s="26" t="s">
        <v>287</v>
      </c>
      <c r="C24" s="287">
        <v>-8586</v>
      </c>
      <c r="D24" s="287">
        <v>-6039</v>
      </c>
      <c r="E24" s="287">
        <v>-4920</v>
      </c>
      <c r="F24" s="287">
        <v>-25723</v>
      </c>
      <c r="G24" s="287">
        <v>-9808</v>
      </c>
      <c r="H24" s="287">
        <v>-7805</v>
      </c>
      <c r="I24" s="287">
        <v>-11355</v>
      </c>
      <c r="J24" s="287">
        <v>3277</v>
      </c>
      <c r="K24" s="287">
        <v>12259</v>
      </c>
      <c r="L24" s="287">
        <v>-6801</v>
      </c>
      <c r="M24" s="287"/>
    </row>
    <row r="25" spans="2:13">
      <c r="B25" s="23" t="str">
        <f>"Dividend per share ("&amp;Market_currency&amp;")"</f>
        <v>Dividend per share (HKD)</v>
      </c>
      <c r="C25" s="37">
        <f>(0.1517+0.1641)*Exchange_Rate</f>
        <v>0.35359520454849241</v>
      </c>
      <c r="D25" s="37">
        <f>(0.2838)*Exchange_Rate</f>
        <v>0.31776541814712522</v>
      </c>
      <c r="E25" s="37">
        <f>0.2539*Exchange_Rate</f>
        <v>0.28428696147834781</v>
      </c>
      <c r="F25" s="37">
        <f>0.2078*Exchange_Rate</f>
        <v>0.23266967544387818</v>
      </c>
      <c r="G25" s="37"/>
      <c r="H25" s="37"/>
      <c r="I25" s="37"/>
      <c r="J25" s="37"/>
      <c r="K25" s="37"/>
      <c r="L25" s="37"/>
      <c r="M25" s="37"/>
    </row>
    <row r="27" spans="2:13">
      <c r="B27" s="16" t="s">
        <v>26</v>
      </c>
      <c r="C27" s="94" t="s">
        <v>546</v>
      </c>
    </row>
    <row r="28" spans="2:13">
      <c r="B28" s="25" t="s">
        <v>22</v>
      </c>
      <c r="C28" s="270">
        <f>BS!C4</f>
        <v>3404</v>
      </c>
      <c r="D28" s="287">
        <v>1977</v>
      </c>
      <c r="E28" s="287">
        <v>2887</v>
      </c>
      <c r="F28" s="287">
        <v>2728</v>
      </c>
      <c r="G28" s="287">
        <v>4085</v>
      </c>
      <c r="H28" s="287">
        <v>2792</v>
      </c>
      <c r="I28" s="287">
        <v>2459</v>
      </c>
      <c r="J28" s="287">
        <v>2846</v>
      </c>
      <c r="K28" s="287">
        <v>3114</v>
      </c>
      <c r="L28" s="287">
        <v>1837</v>
      </c>
      <c r="M28" s="287"/>
    </row>
    <row r="29" spans="2:13">
      <c r="B29" s="25" t="s">
        <v>30</v>
      </c>
      <c r="C29" s="270">
        <f>BS!C6</f>
        <v>1202</v>
      </c>
      <c r="D29" s="287">
        <v>1155</v>
      </c>
      <c r="E29" s="287">
        <v>1081</v>
      </c>
      <c r="F29" s="287">
        <v>1230</v>
      </c>
      <c r="G29" s="287">
        <v>925</v>
      </c>
      <c r="H29" s="287">
        <v>1398</v>
      </c>
      <c r="I29" s="287">
        <v>1865</v>
      </c>
      <c r="J29" s="287">
        <v>1559</v>
      </c>
      <c r="K29" s="287">
        <v>1397</v>
      </c>
      <c r="L29" s="287">
        <v>916</v>
      </c>
      <c r="M29" s="287"/>
    </row>
    <row r="30" spans="2:13">
      <c r="B30" s="28" t="s">
        <v>38</v>
      </c>
      <c r="C30" s="271">
        <f>BS!C33+BS!C42</f>
        <v>49757</v>
      </c>
      <c r="D30" s="289">
        <v>57736</v>
      </c>
      <c r="E30" s="289">
        <v>58190</v>
      </c>
      <c r="F30" s="289">
        <v>56721</v>
      </c>
      <c r="G30" s="289">
        <v>70461</v>
      </c>
      <c r="H30" s="289">
        <v>68712</v>
      </c>
      <c r="I30" s="289">
        <v>70493</v>
      </c>
      <c r="J30" s="289">
        <v>74933</v>
      </c>
      <c r="K30" s="289">
        <v>72466</v>
      </c>
      <c r="L30" s="289">
        <v>37757</v>
      </c>
      <c r="M30" s="289"/>
    </row>
    <row r="31" spans="2:13">
      <c r="B31" s="28" t="s">
        <v>28</v>
      </c>
      <c r="C31" s="271">
        <f>BS!G27</f>
        <v>91068</v>
      </c>
      <c r="D31" s="289">
        <v>85783</v>
      </c>
      <c r="E31" s="289">
        <v>80702</v>
      </c>
      <c r="F31" s="289">
        <v>75861</v>
      </c>
      <c r="G31" s="289">
        <v>84527</v>
      </c>
      <c r="H31" s="289">
        <v>79185</v>
      </c>
      <c r="I31" s="289">
        <v>70094</v>
      </c>
      <c r="J31" s="289">
        <v>65625</v>
      </c>
      <c r="K31" s="289">
        <v>66303</v>
      </c>
      <c r="L31" s="289">
        <v>70324</v>
      </c>
      <c r="M31" s="289"/>
    </row>
    <row r="32" spans="2:13">
      <c r="B32" s="25" t="s">
        <v>143</v>
      </c>
      <c r="C32" s="270">
        <f>BS!G28</f>
        <v>24080</v>
      </c>
      <c r="D32" s="287">
        <v>22334</v>
      </c>
      <c r="E32" s="287">
        <v>20794</v>
      </c>
      <c r="F32" s="287">
        <v>19586</v>
      </c>
      <c r="G32" s="287">
        <v>30943</v>
      </c>
      <c r="H32" s="287">
        <v>29197</v>
      </c>
      <c r="I32" s="287">
        <v>27390</v>
      </c>
      <c r="J32" s="287">
        <v>25600</v>
      </c>
      <c r="K32" s="287">
        <v>25372</v>
      </c>
      <c r="L32" s="287">
        <v>21201</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187046</v>
      </c>
      <c r="D36" s="270">
        <f t="shared" si="1"/>
        <v>177354</v>
      </c>
      <c r="E36" s="270">
        <f t="shared" si="1"/>
        <v>171944</v>
      </c>
      <c r="F36" s="270">
        <f t="shared" si="1"/>
        <v>138547</v>
      </c>
      <c r="G36" s="270">
        <f t="shared" si="1"/>
        <v>109251</v>
      </c>
      <c r="H36" s="270">
        <f t="shared" si="1"/>
        <v>113313</v>
      </c>
      <c r="I36" s="270">
        <f t="shared" si="1"/>
        <v>105470</v>
      </c>
      <c r="J36" s="270">
        <f t="shared" si="1"/>
        <v>88706</v>
      </c>
      <c r="K36" s="270">
        <f t="shared" si="1"/>
        <v>81882</v>
      </c>
      <c r="L36" s="270">
        <f t="shared" si="1"/>
        <v>41641</v>
      </c>
      <c r="M36" s="270" t="str">
        <f t="shared" si="1"/>
        <v/>
      </c>
    </row>
    <row r="37" spans="2:13">
      <c r="B37" s="38" t="s">
        <v>40</v>
      </c>
      <c r="C37" s="270">
        <f t="shared" ref="C37:M37" si="2">IF(C$4="","",-C5)</f>
        <v>-161662</v>
      </c>
      <c r="D37" s="270">
        <f t="shared" si="2"/>
        <v>-151091</v>
      </c>
      <c r="E37" s="270">
        <f t="shared" si="2"/>
        <v>-146077</v>
      </c>
      <c r="F37" s="270">
        <f t="shared" si="2"/>
        <v>-115893</v>
      </c>
      <c r="G37" s="270">
        <f t="shared" si="2"/>
        <v>-90292</v>
      </c>
      <c r="H37" s="270">
        <f t="shared" si="2"/>
        <v>-85116</v>
      </c>
      <c r="I37" s="270">
        <f t="shared" si="2"/>
        <v>-78249</v>
      </c>
      <c r="J37" s="270">
        <f t="shared" si="2"/>
        <v>-64145</v>
      </c>
      <c r="K37" s="270">
        <f t="shared" si="2"/>
        <v>-56682</v>
      </c>
      <c r="L37" s="270">
        <f t="shared" si="2"/>
        <v>-22884</v>
      </c>
      <c r="M37" s="270" t="str">
        <f t="shared" si="2"/>
        <v/>
      </c>
    </row>
    <row r="38" spans="2:13">
      <c r="B38" s="30" t="s">
        <v>55</v>
      </c>
      <c r="C38" s="267">
        <f>IF(C36="","",C36+C37)</f>
        <v>25384</v>
      </c>
      <c r="D38" s="267">
        <f t="shared" ref="D38" si="3">IF(D36="","",D36+D37)</f>
        <v>26263</v>
      </c>
      <c r="E38" s="267">
        <f t="shared" ref="E38" si="4">IF(E36="","",E36+E37)</f>
        <v>25867</v>
      </c>
      <c r="F38" s="267">
        <f t="shared" ref="F38" si="5">IF(F36="","",F36+F37)</f>
        <v>22654</v>
      </c>
      <c r="G38" s="267">
        <f t="shared" ref="G38" si="6">IF(G36="","",G36+G37)</f>
        <v>18959</v>
      </c>
      <c r="H38" s="267">
        <f t="shared" ref="H38" si="7">IF(H36="","",H36+H37)</f>
        <v>28197</v>
      </c>
      <c r="I38" s="267">
        <f t="shared" ref="I38" si="8">IF(I36="","",I36+I37)</f>
        <v>27221</v>
      </c>
      <c r="J38" s="267">
        <f t="shared" ref="J38" si="9">IF(J36="","",J36+J37)</f>
        <v>24561</v>
      </c>
      <c r="K38" s="267">
        <f t="shared" ref="K38" si="10">IF(K36="","",K36+K37)</f>
        <v>25200</v>
      </c>
      <c r="L38" s="267">
        <f t="shared" ref="L38" si="11">IF(L36="","",L36+L37)</f>
        <v>18757</v>
      </c>
      <c r="M38" s="267" t="str">
        <f t="shared" ref="M38" si="12">IF(M36="","",M36+M37)</f>
        <v/>
      </c>
    </row>
    <row r="39" spans="2:13">
      <c r="B39" s="38" t="s">
        <v>51</v>
      </c>
      <c r="C39" s="270">
        <f t="shared" ref="C39:M39" si="13">IF(C$4="","",-C6)</f>
        <v>-9321</v>
      </c>
      <c r="D39" s="270">
        <f t="shared" si="13"/>
        <v>-9626</v>
      </c>
      <c r="E39" s="270">
        <f t="shared" si="13"/>
        <v>-9519</v>
      </c>
      <c r="F39" s="270">
        <f t="shared" si="13"/>
        <v>-8885</v>
      </c>
      <c r="G39" s="270">
        <f t="shared" si="13"/>
        <v>-7389</v>
      </c>
      <c r="H39" s="270">
        <f t="shared" si="13"/>
        <v>-8246</v>
      </c>
      <c r="I39" s="270">
        <f t="shared" si="13"/>
        <v>-8234</v>
      </c>
      <c r="J39" s="270">
        <f t="shared" si="13"/>
        <v>-7593</v>
      </c>
      <c r="K39" s="270">
        <f t="shared" si="13"/>
        <v>-7880</v>
      </c>
      <c r="L39" s="270">
        <f t="shared" si="13"/>
        <v>-4574</v>
      </c>
      <c r="M39" s="270" t="str">
        <f t="shared" si="13"/>
        <v/>
      </c>
    </row>
    <row r="40" spans="2:13">
      <c r="B40" s="66" t="s">
        <v>58</v>
      </c>
      <c r="C40" s="282">
        <f t="shared" ref="C40:M40" si="14">IF(C$4="","",-C7)</f>
        <v>-3491</v>
      </c>
      <c r="D40" s="282">
        <f t="shared" si="14"/>
        <v>-3656</v>
      </c>
      <c r="E40" s="282">
        <f t="shared" si="14"/>
        <v>-3770</v>
      </c>
      <c r="F40" s="282">
        <f t="shared" si="14"/>
        <v>-3400</v>
      </c>
      <c r="G40" s="282">
        <f t="shared" si="14"/>
        <v>-2689</v>
      </c>
      <c r="H40" s="282">
        <f t="shared" si="14"/>
        <v>-3112</v>
      </c>
      <c r="I40" s="282">
        <f t="shared" si="14"/>
        <v>-3389</v>
      </c>
      <c r="J40" s="282">
        <f t="shared" si="14"/>
        <v>-3264</v>
      </c>
      <c r="K40" s="282">
        <f t="shared" si="14"/>
        <v>-3399</v>
      </c>
      <c r="L40" s="282">
        <f t="shared" si="14"/>
        <v>-2545</v>
      </c>
      <c r="M40" s="282" t="str">
        <f t="shared" si="14"/>
        <v/>
      </c>
    </row>
    <row r="41" spans="2:13">
      <c r="B41" s="66" t="s">
        <v>61</v>
      </c>
      <c r="C41" s="282">
        <f>IF(C$4="","",C39-C40)</f>
        <v>-5830</v>
      </c>
      <c r="D41" s="282">
        <f t="shared" ref="D41:M41" si="15">IF(D$4="","",D39-D40)</f>
        <v>-5970</v>
      </c>
      <c r="E41" s="282">
        <f t="shared" si="15"/>
        <v>-5749</v>
      </c>
      <c r="F41" s="282">
        <f t="shared" si="15"/>
        <v>-5485</v>
      </c>
      <c r="G41" s="282">
        <f t="shared" si="15"/>
        <v>-4700</v>
      </c>
      <c r="H41" s="282">
        <f t="shared" si="15"/>
        <v>-5134</v>
      </c>
      <c r="I41" s="282">
        <f t="shared" si="15"/>
        <v>-4845</v>
      </c>
      <c r="J41" s="282">
        <f t="shared" si="15"/>
        <v>-4329</v>
      </c>
      <c r="K41" s="282">
        <f t="shared" si="15"/>
        <v>-4481</v>
      </c>
      <c r="L41" s="282">
        <f t="shared" si="15"/>
        <v>-2029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16063</v>
      </c>
      <c r="D43" s="271">
        <f t="shared" ref="D43:M43" si="17">IF(D$4="","",D38+D39+D42)</f>
        <v>16637</v>
      </c>
      <c r="E43" s="271">
        <f t="shared" si="17"/>
        <v>16348</v>
      </c>
      <c r="F43" s="271">
        <f t="shared" si="17"/>
        <v>13769</v>
      </c>
      <c r="G43" s="271">
        <f t="shared" si="17"/>
        <v>11570</v>
      </c>
      <c r="H43" s="271">
        <f t="shared" si="17"/>
        <v>19951</v>
      </c>
      <c r="I43" s="271">
        <f t="shared" si="17"/>
        <v>18987</v>
      </c>
      <c r="J43" s="271">
        <f t="shared" si="17"/>
        <v>16968</v>
      </c>
      <c r="K43" s="271">
        <f t="shared" si="17"/>
        <v>17320</v>
      </c>
      <c r="L43" s="271">
        <f t="shared" si="17"/>
        <v>14183</v>
      </c>
      <c r="M43" s="271" t="str">
        <f t="shared" si="17"/>
        <v/>
      </c>
    </row>
    <row r="44" spans="2:13">
      <c r="B44" s="41" t="s">
        <v>139</v>
      </c>
      <c r="C44" s="290">
        <f t="shared" ref="C44:M44" si="18">IF(C$4="","",C47-C46-C45-C43)</f>
        <v>-3583</v>
      </c>
      <c r="D44" s="290">
        <f t="shared" si="18"/>
        <v>-3954</v>
      </c>
      <c r="E44" s="290">
        <f t="shared" si="18"/>
        <v>-4916</v>
      </c>
      <c r="F44" s="290">
        <f t="shared" si="18"/>
        <v>15520</v>
      </c>
      <c r="G44" s="290">
        <f t="shared" si="18"/>
        <v>853</v>
      </c>
      <c r="H44" s="290">
        <f t="shared" si="18"/>
        <v>-5592</v>
      </c>
      <c r="I44" s="290">
        <f t="shared" si="18"/>
        <v>-6167</v>
      </c>
      <c r="J44" s="290">
        <f t="shared" si="18"/>
        <v>-4554</v>
      </c>
      <c r="K44" s="290">
        <f t="shared" si="18"/>
        <v>-9869</v>
      </c>
      <c r="L44" s="290">
        <f t="shared" si="18"/>
        <v>-8904</v>
      </c>
      <c r="M44" s="290" t="str">
        <f t="shared" si="18"/>
        <v/>
      </c>
    </row>
    <row r="45" spans="2:13">
      <c r="B45" s="38" t="s">
        <v>65</v>
      </c>
      <c r="C45" s="285">
        <f t="shared" ref="C45:M45" si="19">IF(C$4="","",C51+C52)</f>
        <v>155</v>
      </c>
      <c r="D45" s="285">
        <f t="shared" si="19"/>
        <v>-90</v>
      </c>
      <c r="E45" s="285">
        <f t="shared" si="19"/>
        <v>-40</v>
      </c>
      <c r="F45" s="285">
        <f t="shared" si="19"/>
        <v>-254</v>
      </c>
      <c r="G45" s="285">
        <f t="shared" si="19"/>
        <v>-378</v>
      </c>
      <c r="H45" s="285">
        <f t="shared" si="19"/>
        <v>-714</v>
      </c>
      <c r="I45" s="285">
        <f t="shared" si="19"/>
        <v>-835</v>
      </c>
      <c r="J45" s="285">
        <f t="shared" si="19"/>
        <v>-934</v>
      </c>
      <c r="K45" s="285">
        <f t="shared" si="19"/>
        <v>-336</v>
      </c>
      <c r="L45" s="285">
        <f t="shared" si="19"/>
        <v>-352</v>
      </c>
      <c r="M45" s="285" t="str">
        <f t="shared" si="19"/>
        <v/>
      </c>
    </row>
    <row r="46" spans="2:13">
      <c r="B46" s="38" t="s">
        <v>47</v>
      </c>
      <c r="C46" s="270">
        <f>IF(C$4="","",-C14)</f>
        <v>-3128</v>
      </c>
      <c r="D46" s="270">
        <f t="shared" ref="D46:M46" si="20">IF(D$4="","",-D14)</f>
        <v>-3338</v>
      </c>
      <c r="E46" s="270">
        <f t="shared" si="20"/>
        <v>-3189</v>
      </c>
      <c r="F46" s="270">
        <f t="shared" si="20"/>
        <v>-2698</v>
      </c>
      <c r="G46" s="270">
        <f t="shared" si="20"/>
        <v>-2313</v>
      </c>
      <c r="H46" s="270">
        <f t="shared" si="20"/>
        <v>-4074</v>
      </c>
      <c r="I46" s="270">
        <f t="shared" si="20"/>
        <v>-3772</v>
      </c>
      <c r="J46" s="270">
        <f t="shared" si="20"/>
        <v>-3531</v>
      </c>
      <c r="K46" s="270">
        <f t="shared" si="20"/>
        <v>-3701</v>
      </c>
      <c r="L46" s="270">
        <f t="shared" si="20"/>
        <v>-2607</v>
      </c>
      <c r="M46" s="270" t="str">
        <f t="shared" si="20"/>
        <v/>
      </c>
    </row>
    <row r="47" spans="2:13">
      <c r="B47" s="41" t="s">
        <v>39</v>
      </c>
      <c r="C47" s="271">
        <f t="shared" ref="C47:M47" si="21">IF(C$4="","",C15)</f>
        <v>9507</v>
      </c>
      <c r="D47" s="271">
        <f t="shared" si="21"/>
        <v>9255</v>
      </c>
      <c r="E47" s="271">
        <f t="shared" si="21"/>
        <v>8203</v>
      </c>
      <c r="F47" s="271">
        <f t="shared" si="21"/>
        <v>26337</v>
      </c>
      <c r="G47" s="271">
        <f t="shared" si="21"/>
        <v>9732</v>
      </c>
      <c r="H47" s="271">
        <f t="shared" si="21"/>
        <v>9571</v>
      </c>
      <c r="I47" s="271">
        <f t="shared" si="21"/>
        <v>8213</v>
      </c>
      <c r="J47" s="271">
        <f t="shared" si="21"/>
        <v>7949</v>
      </c>
      <c r="K47" s="271">
        <f t="shared" si="21"/>
        <v>3414</v>
      </c>
      <c r="L47" s="271">
        <f t="shared" si="21"/>
        <v>2320</v>
      </c>
      <c r="M47" s="271" t="str">
        <f t="shared" si="21"/>
        <v/>
      </c>
    </row>
    <row r="48" spans="2:13">
      <c r="B48" s="27" t="s">
        <v>41</v>
      </c>
      <c r="C48" s="270">
        <f t="shared" ref="C48:M48" si="22">IF(C$4="","",MIN(-C16,0))</f>
        <v>-3547</v>
      </c>
      <c r="D48" s="270">
        <f t="shared" si="22"/>
        <v>-3573</v>
      </c>
      <c r="E48" s="270">
        <f t="shared" si="22"/>
        <v>-2975</v>
      </c>
      <c r="F48" s="270">
        <f t="shared" si="22"/>
        <v>-3321</v>
      </c>
      <c r="G48" s="270">
        <f t="shared" si="22"/>
        <v>-3669</v>
      </c>
      <c r="H48" s="270">
        <f t="shared" si="22"/>
        <v>-4020</v>
      </c>
      <c r="I48" s="270">
        <f t="shared" si="22"/>
        <v>-3579</v>
      </c>
      <c r="J48" s="270">
        <f t="shared" si="22"/>
        <v>-3189</v>
      </c>
      <c r="K48" s="270">
        <f t="shared" si="22"/>
        <v>-2755</v>
      </c>
      <c r="L48" s="270">
        <f t="shared" si="22"/>
        <v>-2183</v>
      </c>
      <c r="M48" s="270" t="str">
        <f t="shared" si="22"/>
        <v/>
      </c>
    </row>
    <row r="50" spans="2:13">
      <c r="B50" s="16" t="s">
        <v>65</v>
      </c>
    </row>
    <row r="51" spans="2:13">
      <c r="B51" s="38" t="s">
        <v>37</v>
      </c>
      <c r="C51" s="270">
        <f t="shared" ref="C51:M51" si="23">IF(C$4="","",-C12)</f>
        <v>-803</v>
      </c>
      <c r="D51" s="270">
        <f t="shared" si="23"/>
        <v>-960</v>
      </c>
      <c r="E51" s="270">
        <f t="shared" si="23"/>
        <v>-899</v>
      </c>
      <c r="F51" s="270">
        <f t="shared" si="23"/>
        <v>-783</v>
      </c>
      <c r="G51" s="270">
        <f t="shared" si="23"/>
        <v>-708</v>
      </c>
      <c r="H51" s="270">
        <f t="shared" si="23"/>
        <v>-988</v>
      </c>
      <c r="I51" s="270">
        <f t="shared" si="23"/>
        <v>-1130</v>
      </c>
      <c r="J51" s="270">
        <f t="shared" si="23"/>
        <v>-1145</v>
      </c>
      <c r="K51" s="270">
        <f t="shared" si="23"/>
        <v>-685</v>
      </c>
      <c r="L51" s="270">
        <f t="shared" si="23"/>
        <v>-577</v>
      </c>
      <c r="M51" s="270" t="str">
        <f t="shared" si="23"/>
        <v/>
      </c>
    </row>
    <row r="52" spans="2:13">
      <c r="B52" s="38" t="s">
        <v>64</v>
      </c>
      <c r="C52" s="270">
        <f>IF(C$4="","",C13)</f>
        <v>958</v>
      </c>
      <c r="D52" s="270">
        <f t="shared" ref="D52:M52" si="24">IF(D$4="","",D13)</f>
        <v>870</v>
      </c>
      <c r="E52" s="270">
        <f t="shared" si="24"/>
        <v>859</v>
      </c>
      <c r="F52" s="270">
        <f t="shared" si="24"/>
        <v>529</v>
      </c>
      <c r="G52" s="270">
        <f t="shared" si="24"/>
        <v>330</v>
      </c>
      <c r="H52" s="270">
        <f t="shared" si="24"/>
        <v>274</v>
      </c>
      <c r="I52" s="270">
        <f t="shared" si="24"/>
        <v>295</v>
      </c>
      <c r="J52" s="270">
        <f t="shared" si="24"/>
        <v>211</v>
      </c>
      <c r="K52" s="270">
        <f t="shared" si="24"/>
        <v>349</v>
      </c>
      <c r="L52" s="270">
        <f t="shared" si="24"/>
        <v>225</v>
      </c>
      <c r="M52" s="270" t="str">
        <f t="shared" si="24"/>
        <v/>
      </c>
    </row>
    <row r="54" spans="2:13">
      <c r="B54" s="156" t="s">
        <v>139</v>
      </c>
    </row>
    <row r="55" spans="2:13">
      <c r="B55" s="38" t="s">
        <v>134</v>
      </c>
      <c r="C55" s="285">
        <f t="shared" ref="C55:M55" si="25">IF(C$4="","",C9)</f>
        <v>1126</v>
      </c>
      <c r="D55" s="285">
        <f t="shared" si="25"/>
        <v>1045</v>
      </c>
      <c r="E55" s="285">
        <f t="shared" si="25"/>
        <v>992</v>
      </c>
      <c r="F55" s="285">
        <f t="shared" si="25"/>
        <v>1356</v>
      </c>
      <c r="G55" s="285">
        <f t="shared" si="25"/>
        <v>523</v>
      </c>
      <c r="H55" s="285">
        <f t="shared" si="25"/>
        <v>1270</v>
      </c>
      <c r="I55" s="285">
        <f t="shared" si="25"/>
        <v>1169</v>
      </c>
      <c r="J55" s="285">
        <f t="shared" si="25"/>
        <v>991</v>
      </c>
      <c r="K55" s="285">
        <f t="shared" si="25"/>
        <v>901</v>
      </c>
      <c r="L55" s="285">
        <f t="shared" si="25"/>
        <v>-1888</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-4709</v>
      </c>
      <c r="D58" s="285">
        <f t="shared" ref="D58:M58" si="28">IF(D$4="","",D44-D55-D56-D57)</f>
        <v>-4999</v>
      </c>
      <c r="E58" s="285">
        <f t="shared" si="28"/>
        <v>-5908</v>
      </c>
      <c r="F58" s="285">
        <f t="shared" si="28"/>
        <v>14164</v>
      </c>
      <c r="G58" s="285">
        <f t="shared" si="28"/>
        <v>330</v>
      </c>
      <c r="H58" s="285">
        <f t="shared" si="28"/>
        <v>-6862</v>
      </c>
      <c r="I58" s="285">
        <f t="shared" si="28"/>
        <v>-7336</v>
      </c>
      <c r="J58" s="285">
        <f t="shared" si="28"/>
        <v>-5545</v>
      </c>
      <c r="K58" s="285">
        <f t="shared" si="28"/>
        <v>-10770</v>
      </c>
      <c r="L58" s="285">
        <f t="shared" si="28"/>
        <v>-7016</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437</v>
      </c>
      <c r="D64" s="270">
        <f t="shared" ref="D64:M64" si="32">IF(D$4="","",D22+D23+D24)</f>
        <v>7308</v>
      </c>
      <c r="E64" s="270">
        <f t="shared" si="32"/>
        <v>-8502</v>
      </c>
      <c r="F64" s="270">
        <f t="shared" si="32"/>
        <v>11879</v>
      </c>
      <c r="G64" s="270">
        <f t="shared" si="32"/>
        <v>-1903</v>
      </c>
      <c r="H64" s="270">
        <f t="shared" si="32"/>
        <v>-1997</v>
      </c>
      <c r="I64" s="270">
        <f t="shared" si="32"/>
        <v>-1337</v>
      </c>
      <c r="J64" s="270">
        <f t="shared" si="32"/>
        <v>3071</v>
      </c>
      <c r="K64" s="270">
        <f t="shared" si="32"/>
        <v>4881</v>
      </c>
      <c r="L64" s="270">
        <f t="shared" si="32"/>
        <v>1850</v>
      </c>
      <c r="M64" s="270" t="str">
        <f t="shared" si="32"/>
        <v/>
      </c>
    </row>
    <row r="65" spans="2:13">
      <c r="B65" s="23" t="s">
        <v>34</v>
      </c>
      <c r="C65" s="70">
        <f>IF(C$4="","",C25)</f>
        <v>0.35359520454849241</v>
      </c>
      <c r="D65" s="70">
        <f t="shared" ref="D65:M65" si="33">IF(D$4="","",D25)</f>
        <v>0.31776541814712522</v>
      </c>
      <c r="E65" s="70">
        <f t="shared" si="33"/>
        <v>0.28428696147834781</v>
      </c>
      <c r="F65" s="70">
        <f t="shared" si="33"/>
        <v>0.23266967544387818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85">
        <f t="shared" ref="D76:M76" si="39">IF(D$4="","",D79+D80)</f>
        <v>143519</v>
      </c>
      <c r="E76" s="285">
        <f t="shared" si="39"/>
        <v>138892</v>
      </c>
      <c r="F76" s="285">
        <f t="shared" si="39"/>
        <v>132582</v>
      </c>
      <c r="G76" s="285">
        <f t="shared" si="39"/>
        <v>154988</v>
      </c>
      <c r="H76" s="285">
        <f t="shared" si="39"/>
        <v>147897</v>
      </c>
      <c r="I76" s="285">
        <f t="shared" si="39"/>
        <v>140587</v>
      </c>
      <c r="J76" s="285">
        <f t="shared" si="39"/>
        <v>140558</v>
      </c>
      <c r="K76" s="285">
        <f t="shared" si="39"/>
        <v>138769</v>
      </c>
      <c r="L76" s="285">
        <f t="shared" si="39"/>
        <v>108081</v>
      </c>
      <c r="M76" s="285" t="str">
        <f t="shared" si="39"/>
        <v/>
      </c>
    </row>
    <row r="77" spans="2:13">
      <c r="B77" s="90" t="s">
        <v>82</v>
      </c>
      <c r="C77" s="260">
        <f t="shared" ref="C77:H78" si="40">IF(C$4="","",C28)</f>
        <v>3404</v>
      </c>
      <c r="D77" s="282">
        <f t="shared" si="40"/>
        <v>1977</v>
      </c>
      <c r="E77" s="282">
        <f t="shared" si="40"/>
        <v>2887</v>
      </c>
      <c r="F77" s="282">
        <f t="shared" si="40"/>
        <v>2728</v>
      </c>
      <c r="G77" s="282">
        <f t="shared" si="40"/>
        <v>4085</v>
      </c>
      <c r="H77" s="282">
        <f t="shared" si="40"/>
        <v>2792</v>
      </c>
      <c r="I77" s="291"/>
      <c r="J77" s="291"/>
      <c r="K77" s="291"/>
      <c r="L77" s="291"/>
      <c r="M77" s="291"/>
    </row>
    <row r="78" spans="2:13">
      <c r="B78" s="90" t="s">
        <v>83</v>
      </c>
      <c r="C78" s="260">
        <f t="shared" si="40"/>
        <v>1202</v>
      </c>
      <c r="D78" s="282">
        <f t="shared" si="40"/>
        <v>1155</v>
      </c>
      <c r="E78" s="282">
        <f t="shared" si="40"/>
        <v>1081</v>
      </c>
      <c r="F78" s="282">
        <f t="shared" si="40"/>
        <v>1230</v>
      </c>
      <c r="G78" s="282">
        <f t="shared" si="40"/>
        <v>925</v>
      </c>
      <c r="H78" s="282">
        <f t="shared" si="40"/>
        <v>1398</v>
      </c>
      <c r="I78" s="291"/>
      <c r="J78" s="291"/>
      <c r="K78" s="291"/>
      <c r="L78" s="291"/>
      <c r="M78" s="291"/>
    </row>
    <row r="79" spans="2:13">
      <c r="B79" s="25" t="s">
        <v>38</v>
      </c>
      <c r="C79" s="259">
        <f t="shared" ref="C79:M79" si="41">IF(C$4="","",C30)</f>
        <v>49757</v>
      </c>
      <c r="D79" s="270">
        <f t="shared" si="41"/>
        <v>57736</v>
      </c>
      <c r="E79" s="270">
        <f t="shared" si="41"/>
        <v>58190</v>
      </c>
      <c r="F79" s="270">
        <f t="shared" si="41"/>
        <v>56721</v>
      </c>
      <c r="G79" s="270">
        <f t="shared" si="41"/>
        <v>70461</v>
      </c>
      <c r="H79" s="270">
        <f t="shared" si="41"/>
        <v>68712</v>
      </c>
      <c r="I79" s="270">
        <f t="shared" si="41"/>
        <v>70493</v>
      </c>
      <c r="J79" s="270">
        <f t="shared" si="41"/>
        <v>74933</v>
      </c>
      <c r="K79" s="270">
        <f t="shared" si="41"/>
        <v>72466</v>
      </c>
      <c r="L79" s="270">
        <f t="shared" si="41"/>
        <v>37757</v>
      </c>
      <c r="M79" s="270" t="str">
        <f t="shared" si="41"/>
        <v/>
      </c>
    </row>
    <row r="80" spans="2:13">
      <c r="B80" s="25" t="s">
        <v>28</v>
      </c>
      <c r="C80" s="259">
        <f t="shared" ref="C80:M80" si="42">IF(C$4="","",C31)</f>
        <v>91068</v>
      </c>
      <c r="D80" s="270">
        <f t="shared" si="42"/>
        <v>85783</v>
      </c>
      <c r="E80" s="270">
        <f t="shared" si="42"/>
        <v>80702</v>
      </c>
      <c r="F80" s="270">
        <f t="shared" si="42"/>
        <v>75861</v>
      </c>
      <c r="G80" s="270">
        <f t="shared" si="42"/>
        <v>84527</v>
      </c>
      <c r="H80" s="270">
        <f t="shared" si="42"/>
        <v>79185</v>
      </c>
      <c r="I80" s="270">
        <f t="shared" si="42"/>
        <v>70094</v>
      </c>
      <c r="J80" s="270">
        <f t="shared" si="42"/>
        <v>65625</v>
      </c>
      <c r="K80" s="270">
        <f t="shared" si="42"/>
        <v>66303</v>
      </c>
      <c r="L80" s="270">
        <f t="shared" si="42"/>
        <v>70324</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3404</v>
      </c>
      <c r="D4" s="231">
        <v>0.6</v>
      </c>
      <c r="E4" s="24"/>
      <c r="F4" s="4" t="s">
        <v>74</v>
      </c>
      <c r="G4" s="18">
        <f>13396+29479</f>
        <v>42875</v>
      </c>
      <c r="H4" s="231">
        <v>0.9</v>
      </c>
    </row>
    <row r="5" spans="2:8" ht="15" customHeight="1">
      <c r="B5" s="1" t="s">
        <v>31</v>
      </c>
      <c r="C5" s="18">
        <v>0</v>
      </c>
      <c r="D5" s="231">
        <v>0.6</v>
      </c>
      <c r="E5" s="24"/>
      <c r="F5" s="1" t="s">
        <v>27</v>
      </c>
      <c r="G5" s="18">
        <v>0</v>
      </c>
      <c r="H5" s="231">
        <v>0.7</v>
      </c>
    </row>
    <row r="6" spans="2:8" ht="15" customHeight="1">
      <c r="B6" s="4" t="s">
        <v>8</v>
      </c>
      <c r="C6" s="18">
        <v>1202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8968</v>
      </c>
      <c r="D11" s="231">
        <v>0.05</v>
      </c>
      <c r="H11" s="232"/>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290</v>
      </c>
      <c r="H17" s="231">
        <v>0.6</v>
      </c>
    </row>
    <row r="18" spans="2:8" ht="15" customHeight="1">
      <c r="B18" s="4" t="s">
        <v>144</v>
      </c>
      <c r="C18" s="18">
        <v>0</v>
      </c>
      <c r="D18" s="231">
        <v>0.6</v>
      </c>
      <c r="F18" s="4" t="s">
        <v>151</v>
      </c>
      <c r="G18" s="18">
        <f>8273+6285</f>
        <v>14558</v>
      </c>
      <c r="H18" s="231">
        <v>0.1</v>
      </c>
    </row>
    <row r="19" spans="2:8" ht="15" customHeight="1">
      <c r="B19" s="4" t="s">
        <v>24</v>
      </c>
      <c r="C19" s="18">
        <f>65142</f>
        <v>65142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1480</v>
      </c>
      <c r="D21" s="231">
        <v>0.05</v>
      </c>
      <c r="F21" s="1" t="s">
        <v>150</v>
      </c>
      <c r="G21" s="18">
        <v>0</v>
      </c>
      <c r="H21" s="231">
        <v>0.1</v>
      </c>
    </row>
    <row r="22" spans="2:8" ht="15" customHeight="1">
      <c r="B22" s="4" t="s">
        <v>18</v>
      </c>
      <c r="C22" s="18">
        <v>1210</v>
      </c>
      <c r="D22" s="231">
        <v>0.9</v>
      </c>
      <c r="H22" s="232"/>
    </row>
    <row r="23" spans="2:8" ht="15" customHeight="1">
      <c r="B23" s="4" t="s">
        <v>19</v>
      </c>
      <c r="C23" s="18">
        <v>1696</v>
      </c>
      <c r="D23" s="231">
        <v>0</v>
      </c>
      <c r="H23" s="232"/>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4" t="s">
        <v>113</v>
      </c>
      <c r="F26" s="166" t="s">
        <v>165</v>
      </c>
      <c r="G26" s="167" t="s">
        <v>113</v>
      </c>
      <c r="H26" s="168" t="s">
        <v>33</v>
      </c>
    </row>
    <row r="27" spans="2:8" ht="15" customHeight="1">
      <c r="B27" s="4" t="s">
        <v>3</v>
      </c>
      <c r="C27" s="18">
        <v>4243</v>
      </c>
      <c r="F27" s="169" t="s">
        <v>28</v>
      </c>
      <c r="G27" s="82">
        <f>G32-G30</f>
        <v>91068</v>
      </c>
      <c r="H27" s="170">
        <f>H32-G30</f>
        <v>1229.3000000000029</v>
      </c>
    </row>
    <row r="28" spans="2:8" ht="15" customHeight="1">
      <c r="B28" s="4" t="s">
        <v>4</v>
      </c>
      <c r="C28" s="18">
        <v>275</v>
      </c>
      <c r="F28" s="171" t="s">
        <v>209</v>
      </c>
      <c r="G28" s="287">
        <v>24080</v>
      </c>
      <c r="H28" s="170"/>
    </row>
    <row r="29" spans="2:8" ht="15" customHeight="1">
      <c r="B29" s="4" t="s">
        <v>5</v>
      </c>
      <c r="C29" s="18">
        <v>0</v>
      </c>
      <c r="F29" s="172" t="s">
        <v>72</v>
      </c>
      <c r="G29" s="14">
        <f>G27-G28</f>
        <v>66988</v>
      </c>
      <c r="H29" s="170">
        <f>H27-G28</f>
        <v>-22850.699999999997</v>
      </c>
    </row>
    <row r="30" spans="2:8" ht="15" customHeight="1">
      <c r="B30" s="2" t="s">
        <v>6</v>
      </c>
      <c r="C30" s="18">
        <v>0</v>
      </c>
      <c r="F30" s="169" t="s">
        <v>21</v>
      </c>
      <c r="G30" s="82">
        <f>C33+C42</f>
        <v>49757</v>
      </c>
      <c r="H30" s="170"/>
    </row>
    <row r="31" spans="2:8" ht="15" customHeight="1">
      <c r="B31" s="77" t="s">
        <v>172</v>
      </c>
      <c r="C31" s="78">
        <f>SUM(C27:C30)</f>
        <v>4518</v>
      </c>
      <c r="F31" s="172" t="s">
        <v>73</v>
      </c>
      <c r="G31" s="173">
        <f>C31+C40</f>
        <v>20425</v>
      </c>
      <c r="H31" s="170"/>
    </row>
    <row r="32" spans="2:8" ht="15" customHeight="1">
      <c r="B32" s="4" t="s">
        <v>7</v>
      </c>
      <c r="C32" s="20">
        <f>C33-C31</f>
        <v>25282</v>
      </c>
      <c r="F32" s="174" t="s">
        <v>71</v>
      </c>
      <c r="G32" s="175">
        <f>G35+G40</f>
        <v>140825</v>
      </c>
      <c r="H32" s="170">
        <f>H35+H40</f>
        <v>50986.3</v>
      </c>
    </row>
    <row r="33" spans="2:8" ht="15" customHeight="1">
      <c r="B33" s="80" t="s">
        <v>2</v>
      </c>
      <c r="C33" s="81">
        <v>29800</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83102</v>
      </c>
      <c r="H35" s="182">
        <f>D12+D24</f>
        <v>10769</v>
      </c>
    </row>
    <row r="36" spans="2:8" ht="15" customHeight="1">
      <c r="B36" s="4" t="s">
        <v>11</v>
      </c>
      <c r="C36" s="18">
        <v>15427</v>
      </c>
      <c r="F36" s="172" t="s">
        <v>166</v>
      </c>
      <c r="G36" s="173">
        <f>C4+C15</f>
        <v>3404</v>
      </c>
      <c r="H36" s="177"/>
    </row>
    <row r="37" spans="2:8" ht="15" customHeight="1">
      <c r="B37" s="4" t="s">
        <v>12</v>
      </c>
      <c r="C37" s="18">
        <v>480</v>
      </c>
      <c r="F37" s="172" t="s">
        <v>167</v>
      </c>
      <c r="G37" s="173">
        <f>C6</f>
        <v>1202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65142</v>
      </c>
      <c r="H39" s="170">
        <f>C7*D7+C17*D17+C19*D19+C20*D20</f>
        <v>6514.2000000000007</v>
      </c>
    </row>
    <row r="40" spans="2:8" ht="15" customHeight="1">
      <c r="B40" s="77" t="s">
        <v>173</v>
      </c>
      <c r="C40" s="78">
        <f>SUM(C36:C39)</f>
        <v>15907</v>
      </c>
      <c r="F40" s="181" t="s">
        <v>115</v>
      </c>
      <c r="G40" s="175">
        <f>G12+G24</f>
        <v>57723</v>
      </c>
      <c r="H40" s="182">
        <f>H12+H24</f>
        <v>40217.300000000003</v>
      </c>
    </row>
    <row r="41" spans="2:8" ht="15" customHeight="1">
      <c r="B41" s="4" t="s">
        <v>15</v>
      </c>
      <c r="C41" s="20">
        <f>C42-C40</f>
        <v>4050</v>
      </c>
      <c r="F41" s="172" t="s">
        <v>160</v>
      </c>
      <c r="G41" s="173">
        <f>C70</f>
        <v>57433</v>
      </c>
      <c r="H41" s="182">
        <f>H40-H42</f>
        <v>40043.300000000003</v>
      </c>
    </row>
    <row r="42" spans="2:8" ht="15" customHeight="1">
      <c r="B42" s="80" t="s">
        <v>20</v>
      </c>
      <c r="C42" s="81">
        <v>19957</v>
      </c>
      <c r="F42" s="183" t="s">
        <v>161</v>
      </c>
      <c r="G42" s="184">
        <f>C82</f>
        <v>290</v>
      </c>
      <c r="H42" s="185">
        <f>D82</f>
        <v>174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66988</v>
      </c>
      <c r="D46" s="73">
        <f>H29</f>
        <v>-22850.699999999997</v>
      </c>
      <c r="F46" s="223"/>
    </row>
    <row r="47" spans="2:8" ht="15" customHeight="1">
      <c r="B47" s="1" t="str">
        <f>"Equity per share ("&amp;Market_currency&amp;")"</f>
        <v>Equity per share (HKD)</v>
      </c>
      <c r="C47" s="134">
        <f>C46*H1/Common_Shares*Exchange_Rate</f>
        <v>8.6623047434685549</v>
      </c>
      <c r="D47" s="134">
        <f>D46*H1/Common_Shares*Exchange_Rate</f>
        <v>-2.9548535111001506</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1.2715557492373779</v>
      </c>
      <c r="D50" s="92">
        <f>G31/Normalized_FCF!G8</f>
        <v>1.2715557492373779</v>
      </c>
      <c r="F50" s="223"/>
    </row>
    <row r="51" spans="2:8" ht="15" customHeight="1">
      <c r="B51" s="1" t="s">
        <v>146</v>
      </c>
      <c r="C51" s="163"/>
      <c r="D51" s="89">
        <f>G29/G32</f>
        <v>0.47568258476832948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0.19329258020264253</v>
      </c>
      <c r="D54" s="89">
        <f>Normalized_FCF!G8/G35</f>
        <v>0.19329258020264253</v>
      </c>
      <c r="F54" s="223"/>
    </row>
    <row r="55" spans="2:8" ht="15" customHeight="1">
      <c r="B55" s="1" t="s">
        <v>118</v>
      </c>
      <c r="C55" s="89">
        <f>Normalized_FCF!C9/G40</f>
        <v>5.0440898775184935E-3</v>
      </c>
      <c r="D55" s="89">
        <f>Normalized_FCF!G9/G40</f>
        <v>1.9506955632936612E-2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0.46257411681164567</v>
      </c>
      <c r="F59" s="223"/>
    </row>
    <row r="60" spans="2:8" ht="15" customHeight="1">
      <c r="F60" s="223"/>
    </row>
    <row r="61" spans="2:8" ht="15" customHeight="1">
      <c r="B61" s="143" t="s">
        <v>231</v>
      </c>
      <c r="C61" s="210" t="s">
        <v>114</v>
      </c>
      <c r="D61" s="179" t="s">
        <v>91</v>
      </c>
      <c r="F61" s="223"/>
    </row>
    <row r="62" spans="2:8" ht="15" customHeight="1">
      <c r="B62" s="1" t="s">
        <v>210</v>
      </c>
      <c r="C62" s="89">
        <f>IF(G28&lt;=0,0,G28/G29)</f>
        <v>0.35946736728966383</v>
      </c>
      <c r="D62" s="89">
        <f>G28/G29</f>
        <v>0.35946736728966383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42875</v>
      </c>
      <c r="D66" s="73">
        <f>C66-D75</f>
        <v>28371.274103242911</v>
      </c>
      <c r="F66" s="5" t="s">
        <v>193</v>
      </c>
    </row>
    <row r="67" spans="2:6" ht="15" customHeight="1">
      <c r="B67" s="102" t="s">
        <v>147</v>
      </c>
      <c r="C67" s="19">
        <f>G6+G16</f>
        <v>0</v>
      </c>
      <c r="F67" s="223"/>
    </row>
    <row r="68" spans="2:6" ht="15" customHeight="1">
      <c r="B68" s="102" t="s">
        <v>151</v>
      </c>
      <c r="C68" s="19">
        <f>G18</f>
        <v>14558</v>
      </c>
      <c r="F68" s="223"/>
    </row>
    <row r="69" spans="2:6" ht="15" customHeight="1">
      <c r="B69" s="102" t="s">
        <v>149</v>
      </c>
      <c r="C69" s="19">
        <f>G8+G20</f>
        <v>0</v>
      </c>
      <c r="F69" s="223"/>
    </row>
    <row r="70" spans="2:6" ht="15" customHeight="1">
      <c r="B70" s="77" t="s">
        <v>158</v>
      </c>
      <c r="C70" s="78">
        <f>SUM(C66:C69)</f>
        <v>57433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-14503.725896757091</v>
      </c>
      <c r="D73" s="285">
        <f>(Normalized_FCF!C26+Normalized_FCF!C35-Normalized_FCF!C89)/12</f>
        <v>-14503.725896757091</v>
      </c>
      <c r="F73" s="1" t="s">
        <v>278</v>
      </c>
    </row>
    <row r="74" spans="2:6" ht="15" customHeight="1">
      <c r="B74" s="227" t="s">
        <v>259</v>
      </c>
      <c r="C74" s="228">
        <f>-$C$66/C73</f>
        <v>2.9561369475126722</v>
      </c>
      <c r="D74" s="228">
        <f>-$C$66/D73</f>
        <v>2.9561369475126722</v>
      </c>
      <c r="F74" s="223" t="s">
        <v>257</v>
      </c>
    </row>
    <row r="75" spans="2:6" ht="15" customHeight="1">
      <c r="B75" s="77" t="s">
        <v>258</v>
      </c>
      <c r="C75" s="261"/>
      <c r="D75" s="262">
        <f>MAX(-D73*D76,G5)</f>
        <v>14503.725896757091</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290</v>
      </c>
      <c r="D79" s="73">
        <f>G7*H7+G17*H17</f>
        <v>174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290</v>
      </c>
      <c r="D82" s="78">
        <f>SUM(D79:D81)</f>
        <v>174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-22869.48085149765</v>
      </c>
      <c r="D86" s="201">
        <f>C86*scaling_factor/Common_Shares</f>
        <v>-2.641183113174677</v>
      </c>
      <c r="E86" s="214" t="str">
        <f>Market_currency</f>
        <v>HKD</v>
      </c>
    </row>
    <row r="87" spans="2:8" ht="15" customHeight="1">
      <c r="B87" s="212" t="s">
        <v>240</v>
      </c>
      <c r="C87" s="73">
        <f>DCF!F5*Exchange_Rate</f>
        <v>31766.77159543231</v>
      </c>
      <c r="D87" s="201">
        <f>C87*scaling_factor/Common_Shares</f>
        <v>3.6687260739650043</v>
      </c>
      <c r="E87" s="214" t="str">
        <f>Market_currency</f>
        <v>HKD</v>
      </c>
    </row>
    <row r="88" spans="2:8" ht="15" customHeight="1">
      <c r="B88" s="213" t="s">
        <v>159</v>
      </c>
      <c r="C88" s="73">
        <f>DCF!F6*Exchange_Rate</f>
        <v>194.82446355743409</v>
      </c>
      <c r="D88" s="201">
        <f>C88*scaling_factor/Common_Shares</f>
        <v>2.2500164587142903E-2</v>
      </c>
      <c r="E88" s="214" t="str">
        <f>Market_currency</f>
        <v>HKD</v>
      </c>
    </row>
    <row r="89" spans="2:8" ht="15" customHeight="1">
      <c r="B89" s="77" t="s">
        <v>244</v>
      </c>
      <c r="C89" s="162">
        <f>SUM(C86:C88)</f>
        <v>9092.1152074920938</v>
      </c>
      <c r="D89" s="216">
        <f>SUM(D86:D88)</f>
        <v>1.0500431253774702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187046</v>
      </c>
      <c r="D4" s="54"/>
      <c r="E4" s="235"/>
      <c r="F4" s="54"/>
      <c r="G4" s="270">
        <f>Data!C36</f>
        <v>187046</v>
      </c>
      <c r="H4" s="270">
        <f>Data!D36</f>
        <v>177354</v>
      </c>
      <c r="I4" s="270">
        <f>Data!E36</f>
        <v>171944</v>
      </c>
      <c r="J4" s="270">
        <f>Data!F36</f>
        <v>138547</v>
      </c>
      <c r="K4" s="270">
        <f>Data!G36</f>
        <v>109251</v>
      </c>
      <c r="L4" s="270">
        <f>Data!H36</f>
        <v>113313</v>
      </c>
      <c r="M4" s="270">
        <f>Data!I36</f>
        <v>105470</v>
      </c>
      <c r="N4" s="270">
        <f>Data!J36</f>
        <v>88706</v>
      </c>
      <c r="O4" s="270">
        <f>Data!K36</f>
        <v>81882</v>
      </c>
      <c r="P4" s="270">
        <f>Data!L36</f>
        <v>41641</v>
      </c>
      <c r="Q4" s="270" t="str">
        <f>Data!M36</f>
        <v/>
      </c>
    </row>
    <row r="5" spans="1:17" ht="15.75" customHeight="1">
      <c r="A5" s="10"/>
      <c r="B5" s="2" t="s">
        <v>43</v>
      </c>
      <c r="C5" s="266">
        <f>C26</f>
        <v>-165153</v>
      </c>
      <c r="E5" s="237"/>
      <c r="G5" s="270">
        <f t="shared" ref="G5:Q5" si="1">G26</f>
        <v>-165153</v>
      </c>
      <c r="H5" s="270">
        <f t="shared" si="1"/>
        <v>-154747</v>
      </c>
      <c r="I5" s="270">
        <f t="shared" si="1"/>
        <v>-149847</v>
      </c>
      <c r="J5" s="270">
        <f t="shared" si="1"/>
        <v>-119293</v>
      </c>
      <c r="K5" s="270">
        <f t="shared" si="1"/>
        <v>-92981</v>
      </c>
      <c r="L5" s="270">
        <f t="shared" si="1"/>
        <v>-88228</v>
      </c>
      <c r="M5" s="270">
        <f t="shared" si="1"/>
        <v>-81638</v>
      </c>
      <c r="N5" s="270">
        <f t="shared" si="1"/>
        <v>-67409</v>
      </c>
      <c r="O5" s="270">
        <f t="shared" si="1"/>
        <v>-60081</v>
      </c>
      <c r="P5" s="270">
        <f t="shared" si="1"/>
        <v>-25429</v>
      </c>
      <c r="Q5" s="270" t="str">
        <f t="shared" si="1"/>
        <v/>
      </c>
    </row>
    <row r="6" spans="1:17" ht="15.75" customHeight="1">
      <c r="A6" s="10"/>
      <c r="B6" s="30" t="s">
        <v>45</v>
      </c>
      <c r="C6" s="267">
        <f>C4+C5</f>
        <v>21893</v>
      </c>
      <c r="E6" s="237"/>
      <c r="G6" s="267">
        <f>IF(G4="","",G4+G5)</f>
        <v>21893</v>
      </c>
      <c r="H6" s="267">
        <f t="shared" ref="H6:Q6" si="2">IF(H4="","",H4+H5)</f>
        <v>22607</v>
      </c>
      <c r="I6" s="267">
        <f t="shared" si="2"/>
        <v>22097</v>
      </c>
      <c r="J6" s="267">
        <f t="shared" si="2"/>
        <v>19254</v>
      </c>
      <c r="K6" s="267">
        <f t="shared" si="2"/>
        <v>16270</v>
      </c>
      <c r="L6" s="267">
        <f t="shared" si="2"/>
        <v>25085</v>
      </c>
      <c r="M6" s="267">
        <f t="shared" si="2"/>
        <v>23832</v>
      </c>
      <c r="N6" s="267">
        <f t="shared" si="2"/>
        <v>21297</v>
      </c>
      <c r="O6" s="267">
        <f t="shared" si="2"/>
        <v>21801</v>
      </c>
      <c r="P6" s="267">
        <f t="shared" si="2"/>
        <v>16212</v>
      </c>
      <c r="Q6" s="267" t="str">
        <f t="shared" si="2"/>
        <v/>
      </c>
    </row>
    <row r="7" spans="1:17" ht="15.75" customHeight="1">
      <c r="A7" s="10"/>
      <c r="B7" s="8" t="s">
        <v>42</v>
      </c>
      <c r="C7" s="266">
        <f>C35</f>
        <v>-5830</v>
      </c>
      <c r="E7" s="237"/>
      <c r="G7" s="266">
        <f t="shared" ref="G7:Q7" si="3">G35</f>
        <v>-5830</v>
      </c>
      <c r="H7" s="266">
        <f t="shared" si="3"/>
        <v>-5970</v>
      </c>
      <c r="I7" s="266">
        <f t="shared" si="3"/>
        <v>-5749</v>
      </c>
      <c r="J7" s="266">
        <f t="shared" si="3"/>
        <v>-5485</v>
      </c>
      <c r="K7" s="266">
        <f t="shared" si="3"/>
        <v>-4700</v>
      </c>
      <c r="L7" s="266">
        <f t="shared" si="3"/>
        <v>-5134</v>
      </c>
      <c r="M7" s="266">
        <f t="shared" si="3"/>
        <v>-4845</v>
      </c>
      <c r="N7" s="266">
        <f t="shared" si="3"/>
        <v>-4329</v>
      </c>
      <c r="O7" s="266">
        <f t="shared" si="3"/>
        <v>-4481</v>
      </c>
      <c r="P7" s="266">
        <f t="shared" si="3"/>
        <v>-2029</v>
      </c>
      <c r="Q7" s="266" t="str">
        <f t="shared" si="3"/>
        <v/>
      </c>
    </row>
    <row r="8" spans="1:17" ht="15.75" customHeight="1">
      <c r="A8" s="10"/>
      <c r="B8" s="28" t="s">
        <v>127</v>
      </c>
      <c r="C8" s="268">
        <f>C6+C7</f>
        <v>16063</v>
      </c>
      <c r="D8" s="56"/>
      <c r="E8" s="241"/>
      <c r="F8" s="56"/>
      <c r="G8" s="267">
        <f>IF(G$4="","",G6+G7)</f>
        <v>16063</v>
      </c>
      <c r="H8" s="267">
        <f t="shared" ref="H8:Q8" si="4">IF(H$4="","",H6+H7)</f>
        <v>16637</v>
      </c>
      <c r="I8" s="267">
        <f t="shared" si="4"/>
        <v>16348</v>
      </c>
      <c r="J8" s="267">
        <f t="shared" si="4"/>
        <v>13769</v>
      </c>
      <c r="K8" s="267">
        <f t="shared" si="4"/>
        <v>11570</v>
      </c>
      <c r="L8" s="267">
        <f t="shared" si="4"/>
        <v>19951</v>
      </c>
      <c r="M8" s="267">
        <f t="shared" si="4"/>
        <v>18987</v>
      </c>
      <c r="N8" s="267">
        <f t="shared" si="4"/>
        <v>16968</v>
      </c>
      <c r="O8" s="267">
        <f t="shared" si="4"/>
        <v>17320</v>
      </c>
      <c r="P8" s="267">
        <f t="shared" si="4"/>
        <v>14183</v>
      </c>
      <c r="Q8" s="267" t="str">
        <f t="shared" si="4"/>
        <v/>
      </c>
    </row>
    <row r="9" spans="1:17" ht="15.75" customHeight="1">
      <c r="A9" s="10"/>
      <c r="B9" s="26" t="s">
        <v>415</v>
      </c>
      <c r="C9" s="300">
        <f>C61</f>
        <v>291.16000000000003</v>
      </c>
      <c r="D9" s="55"/>
      <c r="E9" s="236"/>
      <c r="F9" s="55"/>
      <c r="G9" s="270">
        <f>G59</f>
        <v>1126</v>
      </c>
      <c r="H9" s="270">
        <f t="shared" ref="H9:Q9" si="5">H59</f>
        <v>1045</v>
      </c>
      <c r="I9" s="270">
        <f t="shared" si="5"/>
        <v>992</v>
      </c>
      <c r="J9" s="270">
        <f t="shared" si="5"/>
        <v>1356</v>
      </c>
      <c r="K9" s="270">
        <f t="shared" si="5"/>
        <v>523</v>
      </c>
      <c r="L9" s="270">
        <f t="shared" si="5"/>
        <v>1270</v>
      </c>
      <c r="M9" s="270">
        <f t="shared" si="5"/>
        <v>1169</v>
      </c>
      <c r="N9" s="270">
        <f t="shared" si="5"/>
        <v>991</v>
      </c>
      <c r="O9" s="270">
        <f t="shared" si="5"/>
        <v>901</v>
      </c>
      <c r="P9" s="270">
        <f t="shared" si="5"/>
        <v>-1888</v>
      </c>
      <c r="Q9" s="270" t="str">
        <f t="shared" si="5"/>
        <v/>
      </c>
    </row>
    <row r="10" spans="1:17" ht="15.75" customHeight="1">
      <c r="A10" s="10"/>
      <c r="B10" s="2" t="s">
        <v>65</v>
      </c>
      <c r="C10" s="266">
        <f>C48</f>
        <v>-715.97764461945746</v>
      </c>
      <c r="E10" s="237"/>
      <c r="G10" s="266">
        <f>G48</f>
        <v>-478.92841028353837</v>
      </c>
      <c r="H10" s="266">
        <f t="shared" ref="H10:Q10" si="6">H48</f>
        <v>-665.69699054976866</v>
      </c>
      <c r="I10" s="266">
        <f t="shared" si="6"/>
        <v>-608.4180630830474</v>
      </c>
      <c r="J10" s="266">
        <f t="shared" si="6"/>
        <v>-604.05023908141106</v>
      </c>
      <c r="K10" s="266">
        <f t="shared" si="6"/>
        <v>-596.36782400163634</v>
      </c>
      <c r="L10" s="266">
        <f t="shared" si="6"/>
        <v>-895.31146598923749</v>
      </c>
      <c r="M10" s="266">
        <f t="shared" si="6"/>
        <v>-1030.2076002438871</v>
      </c>
      <c r="N10" s="266">
        <f t="shared" si="6"/>
        <v>-1073.6230632252887</v>
      </c>
      <c r="O10" s="266">
        <f t="shared" si="6"/>
        <v>-566.94051689870025</v>
      </c>
      <c r="P10" s="266">
        <f t="shared" si="6"/>
        <v>-500.88715272838846</v>
      </c>
      <c r="Q10" s="266" t="str">
        <f t="shared" si="6"/>
        <v/>
      </c>
    </row>
    <row r="11" spans="1:17" ht="15.75" customHeight="1">
      <c r="A11" s="10"/>
      <c r="B11" s="67" t="s">
        <v>137</v>
      </c>
      <c r="C11" s="267">
        <f>SUM(C8:C10)</f>
        <v>15638.182355380543</v>
      </c>
      <c r="E11" s="237"/>
      <c r="G11" s="267">
        <f t="shared" ref="G11:Q11" si="7">IF(G$4="","",SUM(G8:G10))</f>
        <v>16710.071589716463</v>
      </c>
      <c r="H11" s="267">
        <f t="shared" si="7"/>
        <v>17016.303009450232</v>
      </c>
      <c r="I11" s="267">
        <f t="shared" si="7"/>
        <v>16731.581936916951</v>
      </c>
      <c r="J11" s="267">
        <f t="shared" si="7"/>
        <v>14520.949760918589</v>
      </c>
      <c r="K11" s="267">
        <f t="shared" si="7"/>
        <v>11496.632175998364</v>
      </c>
      <c r="L11" s="267">
        <f t="shared" si="7"/>
        <v>20325.688534010762</v>
      </c>
      <c r="M11" s="267">
        <f t="shared" si="7"/>
        <v>19125.792399756112</v>
      </c>
      <c r="N11" s="267">
        <f t="shared" si="7"/>
        <v>16885.376936774712</v>
      </c>
      <c r="O11" s="267">
        <f t="shared" si="7"/>
        <v>17654.0594831013</v>
      </c>
      <c r="P11" s="267">
        <f t="shared" si="7"/>
        <v>11794.112847271612</v>
      </c>
      <c r="Q11" s="267" t="str">
        <f t="shared" si="7"/>
        <v/>
      </c>
    </row>
    <row r="12" spans="1:17" ht="15.75" customHeight="1">
      <c r="A12" s="10"/>
      <c r="B12" s="2" t="s">
        <v>60</v>
      </c>
      <c r="C12" s="266">
        <f>-C11*C41</f>
        <v>-3909.5455888451356</v>
      </c>
      <c r="E12" s="237"/>
      <c r="G12" s="266">
        <f>Data!C46</f>
        <v>-3128</v>
      </c>
      <c r="H12" s="266">
        <f>Data!D46</f>
        <v>-3338</v>
      </c>
      <c r="I12" s="266">
        <f>Data!E46</f>
        <v>-3189</v>
      </c>
      <c r="J12" s="266">
        <f>Data!F46</f>
        <v>-2698</v>
      </c>
      <c r="K12" s="266">
        <f>Data!G46</f>
        <v>-2313</v>
      </c>
      <c r="L12" s="266">
        <f>Data!H46</f>
        <v>-4074</v>
      </c>
      <c r="M12" s="266">
        <f>Data!I46</f>
        <v>-3772</v>
      </c>
      <c r="N12" s="266">
        <f>Data!J46</f>
        <v>-3531</v>
      </c>
      <c r="O12" s="266">
        <f>Data!K46</f>
        <v>-3701</v>
      </c>
      <c r="P12" s="266">
        <f>Data!L46</f>
        <v>-2607</v>
      </c>
      <c r="Q12" s="266" t="str">
        <f>Data!M46</f>
        <v/>
      </c>
    </row>
    <row r="13" spans="1:17" ht="15.75" customHeight="1">
      <c r="A13" s="10"/>
      <c r="B13" s="38" t="s">
        <v>208</v>
      </c>
      <c r="C13" s="266">
        <f>-C4*C79</f>
        <v>-6281.6063376994261</v>
      </c>
      <c r="D13" s="57"/>
      <c r="E13" s="242"/>
      <c r="F13" s="57"/>
      <c r="G13" s="270">
        <f>Data!C48</f>
        <v>-3547</v>
      </c>
      <c r="H13" s="270">
        <f>Data!D48</f>
        <v>-3573</v>
      </c>
      <c r="I13" s="270">
        <f>Data!E48</f>
        <v>-2975</v>
      </c>
      <c r="J13" s="270">
        <f>Data!F48</f>
        <v>-3321</v>
      </c>
      <c r="K13" s="270">
        <f>Data!G48</f>
        <v>-3669</v>
      </c>
      <c r="L13" s="270">
        <f>Data!H48</f>
        <v>-4020</v>
      </c>
      <c r="M13" s="270">
        <f>Data!I48</f>
        <v>-3579</v>
      </c>
      <c r="N13" s="270">
        <f>Data!J48</f>
        <v>-3189</v>
      </c>
      <c r="O13" s="270">
        <f>Data!K48</f>
        <v>-2755</v>
      </c>
      <c r="P13" s="270">
        <f>Data!L48</f>
        <v>-2183</v>
      </c>
      <c r="Q13" s="270" t="str">
        <f>Data!M48</f>
        <v/>
      </c>
    </row>
    <row r="14" spans="1:17" ht="15.75" customHeight="1">
      <c r="A14" s="10"/>
      <c r="B14" s="39" t="s">
        <v>129</v>
      </c>
      <c r="C14" s="269">
        <f>SUM(C11:C13)</f>
        <v>5447.0304288359803</v>
      </c>
      <c r="D14" s="58"/>
      <c r="E14" s="243"/>
      <c r="F14" s="58"/>
      <c r="G14" s="267">
        <f t="shared" ref="G14:Q14" si="8">IF(G$4="","",SUM(G11:G13))</f>
        <v>10035.071589716463</v>
      </c>
      <c r="H14" s="267">
        <f t="shared" si="8"/>
        <v>10105.303009450232</v>
      </c>
      <c r="I14" s="267">
        <f t="shared" si="8"/>
        <v>10567.581936916951</v>
      </c>
      <c r="J14" s="267">
        <f t="shared" si="8"/>
        <v>8501.9497609185892</v>
      </c>
      <c r="K14" s="267">
        <f t="shared" si="8"/>
        <v>5514.6321759983639</v>
      </c>
      <c r="L14" s="267">
        <f t="shared" si="8"/>
        <v>12231.688534010762</v>
      </c>
      <c r="M14" s="267">
        <f t="shared" si="8"/>
        <v>11774.792399756112</v>
      </c>
      <c r="N14" s="267">
        <f t="shared" si="8"/>
        <v>10165.376936774712</v>
      </c>
      <c r="O14" s="267">
        <f t="shared" si="8"/>
        <v>11198.0594831013</v>
      </c>
      <c r="P14" s="267">
        <f t="shared" si="8"/>
        <v>7004.1128472716118</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5447.0304288359803</v>
      </c>
      <c r="D19" s="26"/>
      <c r="E19" s="234"/>
      <c r="F19" s="26"/>
      <c r="G19" s="271">
        <f t="shared" ref="G19:Q19" si="9">IF(G$4="","",G14+G17)</f>
        <v>10035.071589716463</v>
      </c>
      <c r="H19" s="271">
        <f t="shared" si="9"/>
        <v>10105.303009450232</v>
      </c>
      <c r="I19" s="271">
        <f t="shared" si="9"/>
        <v>10567.581936916951</v>
      </c>
      <c r="J19" s="271">
        <f t="shared" si="9"/>
        <v>8501.9497609185892</v>
      </c>
      <c r="K19" s="271">
        <f t="shared" si="9"/>
        <v>5514.6321759983639</v>
      </c>
      <c r="L19" s="271">
        <f t="shared" si="9"/>
        <v>12231.688534010762</v>
      </c>
      <c r="M19" s="271">
        <f t="shared" si="9"/>
        <v>11774.792399756112</v>
      </c>
      <c r="N19" s="271">
        <f t="shared" si="9"/>
        <v>10165.376936774712</v>
      </c>
      <c r="O19" s="271">
        <f t="shared" si="9"/>
        <v>11198.0594831013</v>
      </c>
      <c r="P19" s="271">
        <f t="shared" si="9"/>
        <v>7004.1128472716118</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-161662</v>
      </c>
      <c r="D23" s="55"/>
      <c r="E23" s="236"/>
      <c r="F23" s="55"/>
      <c r="G23" s="270">
        <f>Data!C37</f>
        <v>-161662</v>
      </c>
      <c r="H23" s="270">
        <f>Data!D37</f>
        <v>-151091</v>
      </c>
      <c r="I23" s="270">
        <f>Data!E37</f>
        <v>-146077</v>
      </c>
      <c r="J23" s="270">
        <f>Data!F37</f>
        <v>-115893</v>
      </c>
      <c r="K23" s="270">
        <f>Data!G37</f>
        <v>-90292</v>
      </c>
      <c r="L23" s="270">
        <f>Data!H37</f>
        <v>-85116</v>
      </c>
      <c r="M23" s="270">
        <f>Data!I37</f>
        <v>-78249</v>
      </c>
      <c r="N23" s="270">
        <f>Data!J37</f>
        <v>-64145</v>
      </c>
      <c r="O23" s="270">
        <f>Data!K37</f>
        <v>-56682</v>
      </c>
      <c r="P23" s="270">
        <f>Data!L37</f>
        <v>-22884</v>
      </c>
      <c r="Q23" s="270" t="str">
        <f>Data!M37</f>
        <v/>
      </c>
    </row>
    <row r="24" spans="1:17" ht="15.75" customHeight="1">
      <c r="A24" s="10"/>
      <c r="B24" s="65" t="s">
        <v>59</v>
      </c>
      <c r="C24" s="266">
        <f>-C4*C30</f>
        <v>-3491</v>
      </c>
      <c r="D24" s="26"/>
      <c r="E24" s="234"/>
      <c r="F24" s="26"/>
      <c r="G24" s="270">
        <f>Data!C40</f>
        <v>-3491</v>
      </c>
      <c r="H24" s="270">
        <f>Data!D40</f>
        <v>-3656</v>
      </c>
      <c r="I24" s="270">
        <f>Data!E40</f>
        <v>-3770</v>
      </c>
      <c r="J24" s="270">
        <f>Data!F40</f>
        <v>-3400</v>
      </c>
      <c r="K24" s="270">
        <f>Data!G40</f>
        <v>-2689</v>
      </c>
      <c r="L24" s="270">
        <f>Data!H40</f>
        <v>-3112</v>
      </c>
      <c r="M24" s="270">
        <f>Data!I40</f>
        <v>-3389</v>
      </c>
      <c r="N24" s="270">
        <f>Data!J40</f>
        <v>-3264</v>
      </c>
      <c r="O24" s="270">
        <f>Data!K40</f>
        <v>-3399</v>
      </c>
      <c r="P24" s="270">
        <f>Data!L40</f>
        <v>-2545</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-165153</v>
      </c>
      <c r="D26" s="9"/>
      <c r="E26" s="240"/>
      <c r="F26" s="9"/>
      <c r="G26" s="267">
        <f>IF(G$4="","",SUM(G23:G25))</f>
        <v>-165153</v>
      </c>
      <c r="H26" s="267">
        <f t="shared" ref="H26:Q26" si="10">IF(H$4="","",SUM(H23:H25))</f>
        <v>-154747</v>
      </c>
      <c r="I26" s="267">
        <f t="shared" si="10"/>
        <v>-149847</v>
      </c>
      <c r="J26" s="267">
        <f t="shared" si="10"/>
        <v>-119293</v>
      </c>
      <c r="K26" s="267">
        <f t="shared" si="10"/>
        <v>-92981</v>
      </c>
      <c r="L26" s="267">
        <f t="shared" si="10"/>
        <v>-88228</v>
      </c>
      <c r="M26" s="267">
        <f t="shared" si="10"/>
        <v>-81638</v>
      </c>
      <c r="N26" s="267">
        <f t="shared" si="10"/>
        <v>-67409</v>
      </c>
      <c r="O26" s="267">
        <f t="shared" si="10"/>
        <v>-60081</v>
      </c>
      <c r="P26" s="267">
        <f t="shared" si="10"/>
        <v>-25429</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0.86429006768388528</v>
      </c>
      <c r="D29" s="25"/>
      <c r="E29" s="235"/>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35"/>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37"/>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-5830</v>
      </c>
      <c r="D35" s="55"/>
      <c r="E35" s="236"/>
      <c r="F35" s="55"/>
      <c r="G35" s="267">
        <f>IF(G4="","",Data!C41)</f>
        <v>-5830</v>
      </c>
      <c r="H35" s="267">
        <f>IF(H4="","",Data!D41)</f>
        <v>-5970</v>
      </c>
      <c r="I35" s="267">
        <f>IF(I4="","",Data!E41)</f>
        <v>-5749</v>
      </c>
      <c r="J35" s="267">
        <f>IF(J4="","",Data!F41)</f>
        <v>-5485</v>
      </c>
      <c r="K35" s="267">
        <f>IF(K4="","",Data!G41)</f>
        <v>-4700</v>
      </c>
      <c r="L35" s="267">
        <f>IF(L4="","",Data!H41)</f>
        <v>-5134</v>
      </c>
      <c r="M35" s="267">
        <f>IF(M4="","",Data!I41)</f>
        <v>-4845</v>
      </c>
      <c r="N35" s="267">
        <f>IF(N4="","",Data!J41)</f>
        <v>-4329</v>
      </c>
      <c r="O35" s="267">
        <f>IF(O4="","",Data!K41)</f>
        <v>-4481</v>
      </c>
      <c r="P35" s="267">
        <f>IF(P4="","",Data!L41)</f>
        <v>-2029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3.1168803395956075E-2</v>
      </c>
      <c r="E38" s="237"/>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0.18719249544837385</v>
      </c>
      <c r="H41" s="6">
        <f t="shared" si="16"/>
        <v>0.19616481900599661</v>
      </c>
      <c r="I41" s="6">
        <f t="shared" si="16"/>
        <v>0.19059763816855335</v>
      </c>
      <c r="J41" s="6">
        <f t="shared" si="16"/>
        <v>0.18580051886560109</v>
      </c>
      <c r="K41" s="6">
        <f t="shared" si="16"/>
        <v>0.20118935394218088</v>
      </c>
      <c r="L41" s="6">
        <f t="shared" si="16"/>
        <v>0.20043601441510916</v>
      </c>
      <c r="M41" s="6">
        <f t="shared" si="16"/>
        <v>0.19722058679503912</v>
      </c>
      <c r="N41" s="6">
        <f t="shared" si="16"/>
        <v>0.20911585291944682</v>
      </c>
      <c r="O41" s="6">
        <f t="shared" si="16"/>
        <v>0.20964016823114515</v>
      </c>
      <c r="P41" s="6">
        <f t="shared" si="16"/>
        <v>0.22104248397140694</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-803</v>
      </c>
      <c r="E45" s="237"/>
      <c r="G45" s="266">
        <f>Data!C51</f>
        <v>-803</v>
      </c>
      <c r="H45" s="266">
        <f>Data!D51</f>
        <v>-960</v>
      </c>
      <c r="I45" s="266">
        <f>Data!E51</f>
        <v>-899</v>
      </c>
      <c r="J45" s="266">
        <f>Data!F51</f>
        <v>-783</v>
      </c>
      <c r="K45" s="266">
        <f>Data!G51</f>
        <v>-708</v>
      </c>
      <c r="L45" s="266">
        <f>Data!H51</f>
        <v>-988</v>
      </c>
      <c r="M45" s="266">
        <f>Data!I51</f>
        <v>-1130</v>
      </c>
      <c r="N45" s="266">
        <f>Data!J51</f>
        <v>-1145</v>
      </c>
      <c r="O45" s="266">
        <f>Data!K51</f>
        <v>-685</v>
      </c>
      <c r="P45" s="266">
        <f>Data!L51</f>
        <v>-577</v>
      </c>
      <c r="Q45" s="266" t="str">
        <f>Data!M51</f>
        <v/>
      </c>
    </row>
    <row r="46" spans="1:17" ht="15.75" customHeight="1">
      <c r="A46" s="10"/>
      <c r="B46" s="2" t="s">
        <v>272</v>
      </c>
      <c r="C46" s="266">
        <f>BS!D75*C51</f>
        <v>87.02235538054255</v>
      </c>
      <c r="E46" s="237"/>
      <c r="G46" s="274">
        <f t="shared" ref="G46:Q46" si="17">IFERROR(IF(G$4="","",($C$46/$C$47)*G47),0)</f>
        <v>324.07158971646163</v>
      </c>
      <c r="H46" s="274">
        <f t="shared" si="17"/>
        <v>294.30300945023134</v>
      </c>
      <c r="I46" s="274">
        <f t="shared" si="17"/>
        <v>290.58193691695254</v>
      </c>
      <c r="J46" s="274">
        <f t="shared" si="17"/>
        <v>178.94976091858894</v>
      </c>
      <c r="K46" s="274">
        <f t="shared" si="17"/>
        <v>111.63217599836362</v>
      </c>
      <c r="L46" s="274">
        <f t="shared" si="17"/>
        <v>92.688534010762524</v>
      </c>
      <c r="M46" s="274">
        <f t="shared" si="17"/>
        <v>99.792399756112928</v>
      </c>
      <c r="N46" s="274">
        <f t="shared" si="17"/>
        <v>71.376936774711282</v>
      </c>
      <c r="O46" s="274">
        <f t="shared" si="17"/>
        <v>118.0594831012997</v>
      </c>
      <c r="P46" s="274">
        <f t="shared" si="17"/>
        <v>76.112847271611557</v>
      </c>
      <c r="Q46" s="274" t="str">
        <f t="shared" si="17"/>
        <v/>
      </c>
    </row>
    <row r="47" spans="1:17" ht="15.75" customHeight="1">
      <c r="A47" s="10"/>
      <c r="B47" s="245" t="s">
        <v>269</v>
      </c>
      <c r="C47" s="278">
        <f>BS!$C$66*C51</f>
        <v>257.25</v>
      </c>
      <c r="D47" s="246"/>
      <c r="E47" s="247"/>
      <c r="F47" s="246"/>
      <c r="G47" s="278">
        <f>Data!C52</f>
        <v>958</v>
      </c>
      <c r="H47" s="278">
        <f>Data!D52</f>
        <v>870</v>
      </c>
      <c r="I47" s="278">
        <f>Data!E52</f>
        <v>859</v>
      </c>
      <c r="J47" s="278">
        <f>Data!F52</f>
        <v>529</v>
      </c>
      <c r="K47" s="278">
        <f>Data!G52</f>
        <v>330</v>
      </c>
      <c r="L47" s="278">
        <f>Data!H52</f>
        <v>274</v>
      </c>
      <c r="M47" s="278">
        <f>Data!I52</f>
        <v>295</v>
      </c>
      <c r="N47" s="278">
        <f>Data!J52</f>
        <v>211</v>
      </c>
      <c r="O47" s="278">
        <f>Data!K52</f>
        <v>349</v>
      </c>
      <c r="P47" s="278">
        <f>Data!L52</f>
        <v>225</v>
      </c>
      <c r="Q47" s="278" t="str">
        <f>Data!M52</f>
        <v/>
      </c>
    </row>
    <row r="48" spans="1:17" ht="15.75" customHeight="1">
      <c r="A48" s="10"/>
      <c r="B48" s="67" t="s">
        <v>65</v>
      </c>
      <c r="C48" s="267">
        <f>C45+C46</f>
        <v>-715.97764461945746</v>
      </c>
      <c r="E48" s="237"/>
      <c r="G48" s="267">
        <f>IF(G$4="","",(G45+G46))</f>
        <v>-478.92841028353837</v>
      </c>
      <c r="H48" s="267">
        <f t="shared" ref="H48:Q48" si="18">IF(H$4="","",(H45+H46))</f>
        <v>-665.69699054976866</v>
      </c>
      <c r="I48" s="267">
        <f t="shared" si="18"/>
        <v>-608.4180630830474</v>
      </c>
      <c r="J48" s="267">
        <f t="shared" si="18"/>
        <v>-604.05023908141106</v>
      </c>
      <c r="K48" s="267">
        <f t="shared" si="18"/>
        <v>-596.36782400163634</v>
      </c>
      <c r="L48" s="267">
        <f t="shared" si="18"/>
        <v>-895.31146598923749</v>
      </c>
      <c r="M48" s="267">
        <f t="shared" si="18"/>
        <v>-1030.2076002438871</v>
      </c>
      <c r="N48" s="267">
        <f t="shared" si="18"/>
        <v>-1073.6230632252887</v>
      </c>
      <c r="O48" s="267">
        <f t="shared" si="18"/>
        <v>-566.94051689870025</v>
      </c>
      <c r="P48" s="267">
        <f t="shared" si="18"/>
        <v>-500.88715272838846</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2.234402332361516E-2</v>
      </c>
      <c r="H51" s="151"/>
      <c r="I51" s="151"/>
      <c r="J51" s="151"/>
      <c r="K51" s="151"/>
      <c r="L51" s="151"/>
      <c r="M51" s="151"/>
      <c r="N51" s="151"/>
      <c r="O51" s="151"/>
      <c r="P51" s="151"/>
      <c r="Q51" s="151"/>
    </row>
    <row r="52" spans="1:17" ht="15.75" customHeight="1">
      <c r="A52" s="10"/>
      <c r="B52" s="8" t="s">
        <v>84</v>
      </c>
      <c r="C52" s="79">
        <f>G52</f>
        <v>3.931456548347613E-2</v>
      </c>
      <c r="E52" s="234"/>
      <c r="G52" s="22">
        <f>IFERROR(ABS(Normalized_FCF!G45/BS!$G$31),0)</f>
        <v>3.931456548347613E-2</v>
      </c>
      <c r="H52" s="151"/>
      <c r="I52" s="151"/>
      <c r="J52" s="151"/>
      <c r="K52" s="151"/>
      <c r="L52" s="151"/>
      <c r="M52" s="151"/>
      <c r="N52" s="151"/>
      <c r="O52" s="151"/>
      <c r="P52" s="151"/>
      <c r="Q52" s="151"/>
    </row>
    <row r="53" spans="1:17" ht="15.75" customHeight="1">
      <c r="A53" s="10"/>
      <c r="B53" s="25" t="s">
        <v>87</v>
      </c>
      <c r="C53" s="40">
        <f>-C8/C45</f>
        <v>20.003735990037359</v>
      </c>
      <c r="E53" s="237"/>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291.16000000000003</v>
      </c>
      <c r="E57" s="237"/>
      <c r="G57" s="266">
        <f>Data!C55</f>
        <v>1126</v>
      </c>
      <c r="H57" s="266">
        <f>Data!D55</f>
        <v>1045</v>
      </c>
      <c r="I57" s="266">
        <f>Data!E55</f>
        <v>992</v>
      </c>
      <c r="J57" s="266">
        <f>Data!F55</f>
        <v>1356</v>
      </c>
      <c r="K57" s="266">
        <f>Data!G55</f>
        <v>523</v>
      </c>
      <c r="L57" s="266">
        <f>Data!H55</f>
        <v>1270</v>
      </c>
      <c r="M57" s="266">
        <f>Data!I55</f>
        <v>1169</v>
      </c>
      <c r="N57" s="266">
        <f>Data!J55</f>
        <v>991</v>
      </c>
      <c r="O57" s="266">
        <f>Data!K55</f>
        <v>901</v>
      </c>
      <c r="P57" s="266">
        <f>Data!L55</f>
        <v>-1888</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291.16000000000003</v>
      </c>
      <c r="E59" s="237"/>
      <c r="G59" s="267">
        <f t="shared" ref="G59:Q59" si="20">IF(G4="","",SUM(G56:G58))</f>
        <v>1126</v>
      </c>
      <c r="H59" s="267">
        <f t="shared" si="20"/>
        <v>1045</v>
      </c>
      <c r="I59" s="267">
        <f t="shared" si="20"/>
        <v>992</v>
      </c>
      <c r="J59" s="267">
        <f t="shared" si="20"/>
        <v>1356</v>
      </c>
      <c r="K59" s="267">
        <f t="shared" si="20"/>
        <v>523</v>
      </c>
      <c r="L59" s="267">
        <f t="shared" si="20"/>
        <v>1270</v>
      </c>
      <c r="M59" s="267">
        <f t="shared" si="20"/>
        <v>1169</v>
      </c>
      <c r="N59" s="267">
        <f t="shared" si="20"/>
        <v>991</v>
      </c>
      <c r="O59" s="267">
        <f t="shared" si="20"/>
        <v>901</v>
      </c>
      <c r="P59" s="267">
        <f t="shared" si="20"/>
        <v>-1888</v>
      </c>
      <c r="Q59" s="267" t="str">
        <f t="shared" si="20"/>
        <v/>
      </c>
    </row>
    <row r="60" spans="1:17" ht="15.75" customHeight="1">
      <c r="A60" s="10"/>
      <c r="B60" s="38" t="s">
        <v>135</v>
      </c>
      <c r="C60" s="279">
        <v>0</v>
      </c>
      <c r="E60" s="235" t="s">
        <v>264</v>
      </c>
      <c r="G60" s="266">
        <f>Data!C58</f>
        <v>-4709</v>
      </c>
      <c r="H60" s="266">
        <f>Data!D58</f>
        <v>-4999</v>
      </c>
      <c r="I60" s="266">
        <f>Data!E58</f>
        <v>-5908</v>
      </c>
      <c r="J60" s="266">
        <f>Data!F58</f>
        <v>14164</v>
      </c>
      <c r="K60" s="266">
        <f>Data!G58</f>
        <v>330</v>
      </c>
      <c r="L60" s="266">
        <f>Data!H58</f>
        <v>-6862</v>
      </c>
      <c r="M60" s="266">
        <f>Data!I58</f>
        <v>-7336</v>
      </c>
      <c r="N60" s="266">
        <f>Data!J58</f>
        <v>-5545</v>
      </c>
      <c r="O60" s="266">
        <f>Data!K58</f>
        <v>-10770</v>
      </c>
      <c r="P60" s="266">
        <f>Data!L58</f>
        <v>-7016</v>
      </c>
      <c r="Q60" s="266" t="str">
        <f>Data!M58</f>
        <v/>
      </c>
    </row>
    <row r="61" spans="1:17" ht="15.75" customHeight="1">
      <c r="A61" s="10"/>
      <c r="B61" s="30" t="s">
        <v>164</v>
      </c>
      <c r="C61" s="267">
        <f>C59+C60</f>
        <v>291.16000000000003</v>
      </c>
      <c r="E61" s="237"/>
      <c r="G61" s="267">
        <f t="shared" ref="G61:Q61" si="21">IF(G4="","",G59+G60)</f>
        <v>-3583</v>
      </c>
      <c r="H61" s="267">
        <f t="shared" si="21"/>
        <v>-3954</v>
      </c>
      <c r="I61" s="267">
        <f t="shared" si="21"/>
        <v>-4916</v>
      </c>
      <c r="J61" s="267">
        <f t="shared" si="21"/>
        <v>15520</v>
      </c>
      <c r="K61" s="267">
        <f t="shared" si="21"/>
        <v>853</v>
      </c>
      <c r="L61" s="267">
        <f t="shared" si="21"/>
        <v>-5592</v>
      </c>
      <c r="M61" s="267">
        <f t="shared" si="21"/>
        <v>-6167</v>
      </c>
      <c r="N61" s="267">
        <f t="shared" si="21"/>
        <v>-4554</v>
      </c>
      <c r="O61" s="267">
        <f t="shared" si="21"/>
        <v>-9869</v>
      </c>
      <c r="P61" s="267">
        <f t="shared" si="21"/>
        <v>-8904</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0.02</v>
      </c>
      <c r="E65" s="237"/>
      <c r="G65" s="22">
        <f>IFERROR(G57/BS!$C$68,0)</f>
        <v>7.7345789256766037E-2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5.0695593125903229E-3</v>
      </c>
      <c r="D67" s="9"/>
      <c r="E67" s="240"/>
      <c r="F67" s="9"/>
      <c r="G67" s="68">
        <f>G59/BS!C70</f>
        <v>1.9605453310814341E-2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4"/>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4"/>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4"/>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4"/>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4"/>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3.8278158560966684E-3</v>
      </c>
      <c r="D76" s="26"/>
      <c r="E76" s="234"/>
      <c r="F76" s="26"/>
      <c r="G76" s="6">
        <f t="shared" ref="G76:Q76" si="28">IF(G$4="","",ABS(G10/G$4))</f>
        <v>2.5604846416578723E-3</v>
      </c>
      <c r="H76" s="6">
        <f t="shared" si="28"/>
        <v>3.7534929606874877E-3</v>
      </c>
      <c r="I76" s="6">
        <f t="shared" si="28"/>
        <v>3.5384663790713686E-3</v>
      </c>
      <c r="J76" s="6">
        <f t="shared" si="28"/>
        <v>4.3598940365465223E-3</v>
      </c>
      <c r="K76" s="6">
        <f t="shared" si="28"/>
        <v>5.458694419288028E-3</v>
      </c>
      <c r="L76" s="6">
        <f t="shared" si="28"/>
        <v>7.9012246254996123E-3</v>
      </c>
      <c r="M76" s="6">
        <f t="shared" si="28"/>
        <v>9.7677785175299802E-3</v>
      </c>
      <c r="N76" s="6">
        <f t="shared" si="28"/>
        <v>1.2103161716516229E-2</v>
      </c>
      <c r="O76" s="6">
        <f t="shared" si="28"/>
        <v>6.9238723638736259E-3</v>
      </c>
      <c r="P76" s="6">
        <f t="shared" si="28"/>
        <v>1.2028701345510158E-2</v>
      </c>
      <c r="Q76" s="6" t="str">
        <f t="shared" si="28"/>
        <v/>
      </c>
    </row>
    <row r="77" spans="1:17" ht="15.75" customHeight="1">
      <c r="A77" s="10"/>
      <c r="B77" s="67" t="s">
        <v>137</v>
      </c>
      <c r="C77" s="75">
        <f>C11/C4</f>
        <v>8.3606077410800242E-2</v>
      </c>
      <c r="D77" s="26"/>
      <c r="E77" s="234"/>
      <c r="F77" s="26"/>
      <c r="G77" s="62">
        <f t="shared" ref="G77:Q77" si="29">IF(G$4="","",G11/G$4)</f>
        <v>8.9336695731084673E-2</v>
      </c>
      <c r="H77" s="62">
        <f t="shared" si="29"/>
        <v>9.5945414309517862E-2</v>
      </c>
      <c r="I77" s="62">
        <f t="shared" si="29"/>
        <v>9.7308320947034802E-2</v>
      </c>
      <c r="J77" s="62">
        <f t="shared" si="29"/>
        <v>0.10480883570859412</v>
      </c>
      <c r="K77" s="62">
        <f t="shared" si="29"/>
        <v>0.10523136791423753</v>
      </c>
      <c r="L77" s="62">
        <f t="shared" si="29"/>
        <v>0.17937649284734111</v>
      </c>
      <c r="M77" s="62">
        <f t="shared" si="29"/>
        <v>0.18133869725757193</v>
      </c>
      <c r="N77" s="62">
        <f t="shared" si="29"/>
        <v>0.19035214006690315</v>
      </c>
      <c r="O77" s="62">
        <f t="shared" si="29"/>
        <v>0.21560366726632593</v>
      </c>
      <c r="P77" s="62">
        <f t="shared" si="29"/>
        <v>0.28323317997338227</v>
      </c>
      <c r="Q77" s="62" t="str">
        <f t="shared" si="29"/>
        <v/>
      </c>
    </row>
    <row r="78" spans="1:17" ht="15.75" customHeight="1">
      <c r="A78" s="10"/>
      <c r="B78" s="2" t="s">
        <v>60</v>
      </c>
      <c r="C78" s="74">
        <f>ABS(C12/C$4)</f>
        <v>2.090151935270006E-2</v>
      </c>
      <c r="D78" s="26"/>
      <c r="E78" s="234"/>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3">
        <f>MIN(BS!C62,MAX(G79:K79))</f>
        <v>3.3583216629596069E-2</v>
      </c>
      <c r="D79" s="26"/>
      <c r="E79" s="234"/>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2.9121341428504113E-2</v>
      </c>
      <c r="D80" s="26"/>
      <c r="E80" s="234"/>
      <c r="F80" s="26"/>
      <c r="G80" s="62">
        <f t="shared" ref="G80:Q80" si="32">IF(G$4="","",ABS(G14/G$4))</f>
        <v>5.365028704017441E-2</v>
      </c>
      <c r="H80" s="62">
        <f t="shared" si="32"/>
        <v>5.6978151095832243E-2</v>
      </c>
      <c r="I80" s="62">
        <f t="shared" si="32"/>
        <v>6.1459439916001439E-2</v>
      </c>
      <c r="J80" s="62">
        <f t="shared" si="32"/>
        <v>6.136509459547005E-2</v>
      </c>
      <c r="K80" s="62">
        <f t="shared" si="32"/>
        <v>5.0476720359524066E-2</v>
      </c>
      <c r="L80" s="62">
        <f t="shared" si="32"/>
        <v>0.10794603032318235</v>
      </c>
      <c r="M80" s="62">
        <f t="shared" si="32"/>
        <v>0.11164115293217135</v>
      </c>
      <c r="N80" s="62">
        <f t="shared" si="32"/>
        <v>0.11459627236911496</v>
      </c>
      <c r="O80" s="62">
        <f t="shared" si="32"/>
        <v>0.13675849983025939</v>
      </c>
      <c r="P80" s="62">
        <f t="shared" si="32"/>
        <v>0.16820232096423265</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547</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2.9121341428504113E-2</v>
      </c>
      <c r="D85" s="72"/>
      <c r="E85" s="234"/>
      <c r="F85" s="72"/>
      <c r="G85" s="62">
        <f t="shared" ref="G85:Q85" si="35">IF(G$4="","",ABS(G19/G$4))</f>
        <v>5.365028704017441E-2</v>
      </c>
      <c r="H85" s="62">
        <f t="shared" si="35"/>
        <v>5.6978151095832243E-2</v>
      </c>
      <c r="I85" s="62">
        <f t="shared" si="35"/>
        <v>6.1459439916001439E-2</v>
      </c>
      <c r="J85" s="62">
        <f t="shared" si="35"/>
        <v>6.136509459547005E-2</v>
      </c>
      <c r="K85" s="62">
        <f t="shared" si="35"/>
        <v>5.0476720359524066E-2</v>
      </c>
      <c r="L85" s="62">
        <f t="shared" si="35"/>
        <v>0.10794603032318235</v>
      </c>
      <c r="M85" s="62">
        <f t="shared" si="35"/>
        <v>0.11164115293217135</v>
      </c>
      <c r="N85" s="62">
        <f t="shared" si="35"/>
        <v>0.11459627236911496</v>
      </c>
      <c r="O85" s="62">
        <f t="shared" si="35"/>
        <v>0.13675849983025939</v>
      </c>
      <c r="P85" s="62">
        <f t="shared" si="35"/>
        <v>0.16820232096423265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0.35359520454849241</v>
      </c>
      <c r="E88" s="237"/>
      <c r="G88" s="109">
        <f>Data!C65</f>
        <v>0.35359520454849241</v>
      </c>
      <c r="H88" s="109">
        <f>Data!D65</f>
        <v>0.31776541814712522</v>
      </c>
      <c r="I88" s="109">
        <f>Data!E65</f>
        <v>0.28428696147834781</v>
      </c>
      <c r="J88" s="109">
        <f>Data!F65</f>
        <v>0.23266967544387818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3061.7107610850953</v>
      </c>
      <c r="E89" s="237"/>
      <c r="G89" s="71">
        <f t="shared" ref="G89:Q89" si="36">IF(G$4="","",G88*Common_Shares/scaling_factor)</f>
        <v>3061.7107610850953</v>
      </c>
      <c r="H89" s="71">
        <f t="shared" si="36"/>
        <v>2751.4677453956624</v>
      </c>
      <c r="I89" s="71">
        <f t="shared" si="36"/>
        <v>2461.5844276108483</v>
      </c>
      <c r="J89" s="71">
        <f t="shared" si="36"/>
        <v>2014.6405831332581</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0.56208805900490943</v>
      </c>
      <c r="E90" s="237"/>
      <c r="G90" s="152">
        <f t="shared" ref="G90:Q90" si="37">IF(G$4="","",G88/(G19*scaling_factor/Common_Shares))</f>
        <v>0.3051010382649002</v>
      </c>
      <c r="H90" s="152">
        <f t="shared" si="37"/>
        <v>0.27227958853114614</v>
      </c>
      <c r="I90" s="152">
        <f t="shared" si="37"/>
        <v>0.23293734009400124</v>
      </c>
      <c r="J90" s="152">
        <f t="shared" si="37"/>
        <v>0.23696218394444934</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4.0799446678672205E-2</v>
      </c>
      <c r="E92" s="237"/>
      <c r="G92" s="22">
        <f t="shared" ref="G92:Q92" si="38">IF(G$4="","",(G88*(1-dividend_tax_rate))/Market_Price)</f>
        <v>4.0799446678672205E-2</v>
      </c>
      <c r="H92" s="22">
        <f t="shared" si="38"/>
        <v>3.6665240555437531E-2</v>
      </c>
      <c r="I92" s="22">
        <f t="shared" si="38"/>
        <v>3.2802341709040131E-2</v>
      </c>
      <c r="J92" s="22">
        <f t="shared" si="38"/>
        <v>2.6846501012755177E-2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-6.4146298152042092E-2</v>
      </c>
      <c r="D96" s="26"/>
      <c r="E96" s="234"/>
      <c r="F96" s="26"/>
      <c r="G96" s="6">
        <f t="shared" ref="G96:Q96" si="40">IF(H5="","",G11/H11-1)</f>
        <v>-1.7996354411630944E-2</v>
      </c>
      <c r="H96" s="6">
        <f t="shared" si="40"/>
        <v>1.7016984622659326E-2</v>
      </c>
      <c r="I96" s="6">
        <f t="shared" si="40"/>
        <v>0.1522374371095212</v>
      </c>
      <c r="J96" s="6">
        <f t="shared" si="40"/>
        <v>0.26306117640556725</v>
      </c>
      <c r="K96" s="6">
        <f t="shared" si="40"/>
        <v>-0.43437920163141486</v>
      </c>
      <c r="L96" s="6">
        <f t="shared" si="40"/>
        <v>6.2737067786532652E-2</v>
      </c>
      <c r="M96" s="6">
        <f t="shared" si="40"/>
        <v>0.13268376959367689</v>
      </c>
      <c r="N96" s="6">
        <f t="shared" si="40"/>
        <v>-4.3541404573966824E-2</v>
      </c>
      <c r="O96" s="6">
        <f t="shared" si="40"/>
        <v>0.49685353292047707</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140825</v>
      </c>
      <c r="D100" s="25"/>
      <c r="E100" s="238"/>
      <c r="F100" s="25"/>
      <c r="G100" s="270">
        <f t="shared" ref="G100:Q100" si="41">IF(G$4="","",G104+G103)</f>
        <v>140825</v>
      </c>
      <c r="H100" s="270">
        <f t="shared" si="41"/>
        <v>143519</v>
      </c>
      <c r="I100" s="270">
        <f t="shared" si="41"/>
        <v>138892</v>
      </c>
      <c r="J100" s="270">
        <f t="shared" si="41"/>
        <v>132582</v>
      </c>
      <c r="K100" s="270">
        <f t="shared" si="41"/>
        <v>154988</v>
      </c>
      <c r="L100" s="270">
        <f t="shared" si="41"/>
        <v>147897</v>
      </c>
      <c r="M100" s="270">
        <f t="shared" si="41"/>
        <v>140587</v>
      </c>
      <c r="N100" s="270">
        <f t="shared" si="41"/>
        <v>140558</v>
      </c>
      <c r="O100" s="270">
        <f t="shared" si="41"/>
        <v>138769</v>
      </c>
      <c r="P100" s="270">
        <f t="shared" si="41"/>
        <v>108081</v>
      </c>
      <c r="Q100" s="270" t="str">
        <f t="shared" si="41"/>
        <v/>
      </c>
    </row>
    <row r="101" spans="1:17" ht="15.75" customHeight="1">
      <c r="A101" s="10"/>
      <c r="B101" s="90" t="s">
        <v>179</v>
      </c>
      <c r="C101" s="281">
        <f>BS!C4</f>
        <v>3404</v>
      </c>
      <c r="D101" s="86"/>
      <c r="E101" s="239"/>
      <c r="F101" s="86"/>
      <c r="G101" s="282">
        <f>IF(G$4="","",Data!D77)</f>
        <v>1977</v>
      </c>
      <c r="H101" s="282">
        <f>IF(H$4="","",Data!E77)</f>
        <v>2887</v>
      </c>
      <c r="I101" s="282">
        <f>IF(I$4="","",Data!F77)</f>
        <v>2728</v>
      </c>
      <c r="J101" s="282">
        <f>IF(J$4="","",Data!G77)</f>
        <v>4085</v>
      </c>
      <c r="K101" s="282">
        <f>IF(K$4="","",Data!H77)</f>
        <v>2792</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1202</v>
      </c>
      <c r="D102" s="86"/>
      <c r="E102" s="239"/>
      <c r="F102" s="86"/>
      <c r="G102" s="282">
        <f>IF(G$4="","",Data!D78)</f>
        <v>1155</v>
      </c>
      <c r="H102" s="282">
        <f>IF(H$4="","",Data!E78)</f>
        <v>1081</v>
      </c>
      <c r="I102" s="282">
        <f>IF(I$4="","",Data!F78)</f>
        <v>1230</v>
      </c>
      <c r="J102" s="282">
        <f>IF(J$4="","",Data!G78)</f>
        <v>925</v>
      </c>
      <c r="K102" s="282">
        <f>IF(K$4="","",Data!H78)</f>
        <v>1398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49757</v>
      </c>
      <c r="D103" s="25"/>
      <c r="E103" s="238"/>
      <c r="F103" s="25"/>
      <c r="G103" s="270">
        <f>Data!C79</f>
        <v>49757</v>
      </c>
      <c r="H103" s="270">
        <f>Data!D79</f>
        <v>57736</v>
      </c>
      <c r="I103" s="270">
        <f>Data!E79</f>
        <v>58190</v>
      </c>
      <c r="J103" s="270">
        <f>Data!F79</f>
        <v>56721</v>
      </c>
      <c r="K103" s="270">
        <f>Data!G79</f>
        <v>70461</v>
      </c>
      <c r="L103" s="270">
        <f>Data!H79</f>
        <v>68712</v>
      </c>
      <c r="M103" s="270">
        <f>Data!I79</f>
        <v>70493</v>
      </c>
      <c r="N103" s="270">
        <f>Data!J79</f>
        <v>74933</v>
      </c>
      <c r="O103" s="270">
        <f>Data!K79</f>
        <v>72466</v>
      </c>
      <c r="P103" s="270">
        <f>Data!L79</f>
        <v>37757</v>
      </c>
      <c r="Q103" s="270" t="str">
        <f>Data!M79</f>
        <v/>
      </c>
    </row>
    <row r="104" spans="1:17" ht="15.75" customHeight="1">
      <c r="A104" s="10"/>
      <c r="B104" s="25" t="s">
        <v>28</v>
      </c>
      <c r="C104" s="280">
        <f>BS!G27</f>
        <v>91068</v>
      </c>
      <c r="D104" s="25"/>
      <c r="E104" s="238"/>
      <c r="F104" s="25"/>
      <c r="G104" s="270">
        <f>Data!C80</f>
        <v>91068</v>
      </c>
      <c r="H104" s="270">
        <f>Data!D80</f>
        <v>85783</v>
      </c>
      <c r="I104" s="270">
        <f>Data!E80</f>
        <v>80702</v>
      </c>
      <c r="J104" s="270">
        <f>Data!F80</f>
        <v>75861</v>
      </c>
      <c r="K104" s="270">
        <f>Data!G80</f>
        <v>84527</v>
      </c>
      <c r="L104" s="270">
        <f>Data!H80</f>
        <v>79185</v>
      </c>
      <c r="M104" s="270">
        <f>Data!I80</f>
        <v>70094</v>
      </c>
      <c r="N104" s="270">
        <f>Data!J80</f>
        <v>65625</v>
      </c>
      <c r="O104" s="270">
        <f>Data!K80</f>
        <v>66303</v>
      </c>
      <c r="P104" s="270">
        <f>Data!L80</f>
        <v>70324</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38"/>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38"/>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553</v>
      </c>
      <c r="G112" s="251">
        <f>IF(G$4="","",Data!C$22/Data!C15)</f>
        <v>1.3162932575996633</v>
      </c>
      <c r="H112" s="251">
        <f>IF(H$4="","",Data!D$22/Data!D15)</f>
        <v>1.556780118854673</v>
      </c>
      <c r="I112" s="251">
        <f>IF(I$4="","",Data!E$22/Data!E15)</f>
        <v>1.8127514324027794</v>
      </c>
      <c r="J112" s="251">
        <f>IF(J$4="","",Data!F$22/Data!F15)</f>
        <v>0.45563275999544367</v>
      </c>
      <c r="K112" s="251">
        <f>IF(K$4="","",Data!G$22/Data!G15)</f>
        <v>1.7198931360460337</v>
      </c>
      <c r="L112" s="251">
        <f>IF(L$4="","",Data!H$22/Data!H15)</f>
        <v>1.6805976387002404</v>
      </c>
      <c r="M112" s="251">
        <f>IF(M$4="","",Data!I$22/Data!I15)</f>
        <v>2.0720808474369901</v>
      </c>
      <c r="N112" s="251">
        <f>IF(N$4="","",Data!J$22/Data!J15)</f>
        <v>1.671531010189961</v>
      </c>
      <c r="O112" s="251">
        <f>IF(O$4="","",Data!K$22/Data!K15)</f>
        <v>4.6130638547158762</v>
      </c>
      <c r="P112" s="251">
        <f>IF(P$4="","",Data!L$22/Data!L15)</f>
        <v>5.7629310344827589</v>
      </c>
      <c r="Q112" s="251" t="str">
        <f>IF(Q$4="","",Data!M$22/Data!M15)</f>
        <v/>
      </c>
    </row>
    <row r="113" spans="1:17" ht="15.75" customHeight="1">
      <c r="A113" s="10"/>
      <c r="B113" s="2" t="s">
        <v>304</v>
      </c>
      <c r="C113" s="151"/>
      <c r="E113" s="459">
        <f>(Normalized_FCF!E117/Normalized_FCF!C117)^(1/DCF!C15)-1</f>
        <v>0</v>
      </c>
      <c r="G113" s="251">
        <f>IF(G$4="","",Data!C$22/G19)</f>
        <v>1.2470264798931623</v>
      </c>
      <c r="H113" s="251">
        <f>IF(H$4="","",Data!D$22/H19)</f>
        <v>1.4257860438747845</v>
      </c>
      <c r="I113" s="251">
        <f>IF(I$4="","",Data!E$22/I19)</f>
        <v>1.4071336365089271</v>
      </c>
      <c r="J113" s="251">
        <f>IF(J$4="","",Data!F$22/J19)</f>
        <v>1.4114409444244311</v>
      </c>
      <c r="K113" s="251">
        <f>IF(K$4="","",Data!G$22/K19)</f>
        <v>3.0351979000249036</v>
      </c>
      <c r="L113" s="251">
        <f>IF(L$4="","",Data!H$22/L19)</f>
        <v>1.3150269445853637</v>
      </c>
      <c r="M113" s="251">
        <f>IF(M$4="","",Data!I$22/M19)</f>
        <v>1.4452908741178732</v>
      </c>
      <c r="N113" s="251">
        <f>IF(N$4="","",Data!J$22/N19)</f>
        <v>1.3070838477157072</v>
      </c>
      <c r="O113" s="251">
        <f>IF(O$4="","",Data!K$22/O19)</f>
        <v>1.4064043885252089</v>
      </c>
      <c r="P113" s="251">
        <f>IF(P$4="","",Data!L$22/P19)</f>
        <v>1.908878439217061</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8.3606077410800242E-2</v>
      </c>
      <c r="E116" s="22">
        <f>E119/E117/E118</f>
        <v>8.3606077410800242E-2</v>
      </c>
      <c r="G116" s="22">
        <f t="shared" ref="G116:Q116" si="44">IF(G4="","",G77)</f>
        <v>8.9336695731084673E-2</v>
      </c>
      <c r="H116" s="22">
        <f t="shared" si="44"/>
        <v>9.5945414309517862E-2</v>
      </c>
      <c r="I116" s="22">
        <f t="shared" si="44"/>
        <v>9.7308320947034802E-2</v>
      </c>
      <c r="J116" s="22">
        <f t="shared" si="44"/>
        <v>0.10480883570859412</v>
      </c>
      <c r="K116" s="22">
        <f t="shared" si="44"/>
        <v>0.10523136791423753</v>
      </c>
      <c r="L116" s="22">
        <f t="shared" si="44"/>
        <v>0.17937649284734111</v>
      </c>
      <c r="M116" s="22">
        <f t="shared" si="44"/>
        <v>0.18133869725757193</v>
      </c>
      <c r="N116" s="22">
        <f t="shared" si="44"/>
        <v>0.19035214006690315</v>
      </c>
      <c r="O116" s="22">
        <f t="shared" si="44"/>
        <v>0.21560366726632593</v>
      </c>
      <c r="P116" s="22">
        <f t="shared" si="44"/>
        <v>0.28323317997338227</v>
      </c>
      <c r="Q116" s="22" t="str">
        <f t="shared" si="44"/>
        <v/>
      </c>
    </row>
    <row r="117" spans="1:17" ht="15.75" customHeight="1">
      <c r="B117" s="7" t="s">
        <v>80</v>
      </c>
      <c r="C117" s="452">
        <f>G117</f>
        <v>1.3282158707615834</v>
      </c>
      <c r="E117" s="452">
        <f>C117</f>
        <v>1.3282158707615834</v>
      </c>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15">
        <f>C100/C104</f>
        <v>1.5463719418456539</v>
      </c>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62">
        <f>C11/C104</f>
        <v>0.17171983962951357</v>
      </c>
      <c r="D119" s="100"/>
      <c r="E119" s="453">
        <f>C11/C104</f>
        <v>0.17171983962951357</v>
      </c>
      <c r="F119" s="100"/>
      <c r="G119" s="99">
        <f t="shared" ref="G119:Q119" si="47">IF(G$4="","",G11/G104)</f>
        <v>0.18349004688492623</v>
      </c>
      <c r="H119" s="99">
        <f t="shared" si="47"/>
        <v>0.19836451289241727</v>
      </c>
      <c r="I119" s="99">
        <f t="shared" si="47"/>
        <v>0.20732549301029654</v>
      </c>
      <c r="J119" s="99">
        <f t="shared" si="47"/>
        <v>0.19141521679016343</v>
      </c>
      <c r="K119" s="99">
        <f t="shared" si="47"/>
        <v>0.13601135939993569</v>
      </c>
      <c r="L119" s="99">
        <f t="shared" si="47"/>
        <v>0.2566860962809972</v>
      </c>
      <c r="M119" s="99">
        <f t="shared" si="47"/>
        <v>0.27285919479208082</v>
      </c>
      <c r="N119" s="99">
        <f t="shared" si="47"/>
        <v>0.25730098189370987</v>
      </c>
      <c r="O119" s="99">
        <f t="shared" si="47"/>
        <v>0.2662633588691507</v>
      </c>
      <c r="P119" s="99">
        <f t="shared" si="47"/>
        <v>0.1677110637516582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0.7043625354022135</v>
      </c>
      <c r="D123" s="26"/>
      <c r="E123" s="234"/>
      <c r="F123" s="26"/>
      <c r="G123" s="159">
        <f t="shared" ref="G123:Q123" si="48">IF(G$4="","",G14*$C$3/Common_Shares*Exchange_Rate)</f>
        <v>1.297648059841277</v>
      </c>
      <c r="H123" s="159">
        <f t="shared" si="48"/>
        <v>1.3067297753769007</v>
      </c>
      <c r="I123" s="159">
        <f t="shared" si="48"/>
        <v>1.3665076601652286</v>
      </c>
      <c r="J123" s="159">
        <f t="shared" si="48"/>
        <v>1.099398097312003</v>
      </c>
      <c r="K123" s="159">
        <f t="shared" si="48"/>
        <v>0.71310420458343216</v>
      </c>
      <c r="L123" s="159">
        <f t="shared" si="48"/>
        <v>1.5816954321489127</v>
      </c>
      <c r="M123" s="159">
        <f t="shared" si="48"/>
        <v>1.5226136032985738</v>
      </c>
      <c r="N123" s="159">
        <f t="shared" si="48"/>
        <v>1.3144980124584917</v>
      </c>
      <c r="O123" s="159">
        <f t="shared" si="48"/>
        <v>1.4480355254390556</v>
      </c>
      <c r="P123" s="159">
        <f t="shared" si="48"/>
        <v>0.9057108727042148</v>
      </c>
      <c r="Q123" s="159" t="str">
        <f t="shared" si="48"/>
        <v/>
      </c>
    </row>
    <row r="124" spans="1:17" ht="15.75" customHeight="1">
      <c r="A124" s="10"/>
      <c r="B124" s="26" t="s">
        <v>226</v>
      </c>
      <c r="C124" s="74">
        <f>C19*Exchange_Rate*$C$3/(Market_Price*Common_Shares)</f>
        <v>9.0302889154129928E-2</v>
      </c>
      <c r="D124" s="26"/>
      <c r="E124" s="234"/>
      <c r="F124" s="26"/>
      <c r="G124" s="74">
        <f t="shared" ref="G124" si="49">IF(G$4="","",G123/Market_Price)</f>
        <v>0.16636513587708679</v>
      </c>
      <c r="H124" s="74">
        <f t="shared" ref="H124" si="50">IF(H$4="","",H123/Market_Price)</f>
        <v>0.16752945838165395</v>
      </c>
      <c r="I124" s="74">
        <f t="shared" ref="I124" si="51">IF(I$4="","",I123/Market_Price)</f>
        <v>0.17519328976477291</v>
      </c>
      <c r="J124" s="74">
        <f t="shared" ref="J124" si="52">IF(J$4="","",J123/Market_Price)</f>
        <v>0.14094847401435937</v>
      </c>
      <c r="K124" s="74">
        <f t="shared" ref="K124" si="53">IF(K$4="","",K123/Market_Price)</f>
        <v>9.142361597223489E-2</v>
      </c>
      <c r="L124" s="74">
        <f t="shared" ref="L124" si="54">IF(L$4="","",L123/Market_Price)</f>
        <v>0.20278146566011701</v>
      </c>
      <c r="M124" s="74">
        <f t="shared" ref="M124" si="55">IF(M$4="","",M123/Market_Price)</f>
        <v>0.19520687221776586</v>
      </c>
      <c r="N124" s="74">
        <f t="shared" ref="N124" si="56">IF(N$4="","",N123/Market_Price)</f>
        <v>0.16852538621262714</v>
      </c>
      <c r="O124" s="74">
        <f t="shared" ref="O124" si="57">IF(O$4="","",O123/Market_Price)</f>
        <v>0.18564558018449431</v>
      </c>
      <c r="P124" s="74">
        <f t="shared" ref="P124" si="58">IF(P$4="","",P123/Market_Price)</f>
        <v>0.11611677855182241</v>
      </c>
      <c r="Q124" s="74" t="str">
        <f t="shared" ref="Q124" si="59">IF(Q$4="","",Q123/Market_Price)</f>
        <v/>
      </c>
    </row>
    <row r="125" spans="1:17" ht="15.75" customHeight="1">
      <c r="B125" s="2" t="s">
        <v>306</v>
      </c>
      <c r="C125" s="151"/>
      <c r="G125" s="22">
        <f>IF(G$4="","",(Data!C47*$C$3)/(Market_Price*Common_Shares))</f>
        <v>0.14076383718546681</v>
      </c>
      <c r="H125" s="22">
        <f>IF(H$4="","",(Data!D47*$C$3)/(Market_Price*Common_Shares))</f>
        <v>0.13703264049137429</v>
      </c>
      <c r="I125" s="22">
        <f>IF(I$4="","",(Data!E47*$C$3)/(Market_Price*Common_Shares))</f>
        <v>0.12145637492714675</v>
      </c>
      <c r="J125" s="22">
        <f>IF(J$4="","",(Data!F47*$C$3)/(Market_Price*Common_Shares))</f>
        <v>0.38995447354093182</v>
      </c>
      <c r="K125" s="22">
        <f>IF(K$4="","",(Data!G47*$C$3)/(Market_Price*Common_Shares))</f>
        <v>0.14409526280519228</v>
      </c>
      <c r="L125" s="22">
        <f>IF(L$4="","",(Data!H47*$C$3)/(Market_Price*Common_Shares))</f>
        <v>0.1417114426950776</v>
      </c>
      <c r="M125" s="22">
        <f>IF(M$4="","",(Data!I47*$C$3)/(Market_Price*Common_Shares))</f>
        <v>0.12160443828802343</v>
      </c>
      <c r="N125" s="22">
        <f>IF(N$4="","",(Data!J47*$C$3)/(Market_Price*Common_Shares))</f>
        <v>0.11769556556087889</v>
      </c>
      <c r="O125" s="22">
        <f>IF(O$4="","",(Data!K47*$C$3)/(Market_Price*Common_Shares))</f>
        <v>5.054883140330111E-2</v>
      </c>
      <c r="P125" s="22">
        <f>IF(P$4="","",(Data!L47*$C$3)/(Market_Price*Common_Shares))</f>
        <v>3.4350699723391498E-2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5447.0304288359803</v>
      </c>
      <c r="D4" t="str">
        <f>Reporting_currency</f>
        <v>CNY</v>
      </c>
      <c r="E4" s="135" t="s">
        <v>431</v>
      </c>
      <c r="F4" s="275">
        <f>-BS!G31</f>
        <v>-20425</v>
      </c>
      <c r="G4" t="str">
        <f>Reporting_currency</f>
        <v>CNY</v>
      </c>
      <c r="H4" s="308" t="s">
        <v>394</v>
      </c>
      <c r="I4" s="305">
        <f>Normalized_FCF!C4</f>
        <v>187046</v>
      </c>
      <c r="J4" s="305"/>
    </row>
    <row r="5" spans="2:15">
      <c r="B5" s="187" t="s">
        <v>105</v>
      </c>
      <c r="C5" s="188">
        <f>Equity_Cost</f>
        <v>7.2499999999999995E-2</v>
      </c>
      <c r="E5" s="135" t="s">
        <v>432</v>
      </c>
      <c r="F5" s="275">
        <f>BS!D66</f>
        <v>28371.274103242911</v>
      </c>
      <c r="G5" t="str">
        <f>Reporting_currency</f>
        <v>CNY</v>
      </c>
      <c r="H5" s="308" t="s">
        <v>395</v>
      </c>
      <c r="I5" s="305">
        <f>Normalized_FCF!C7</f>
        <v>-5830</v>
      </c>
      <c r="J5" s="305"/>
    </row>
    <row r="6" spans="2:15" ht="13.25" customHeight="1">
      <c r="B6" s="136" t="s">
        <v>194</v>
      </c>
      <c r="C6" s="283">
        <f>(C4*(1+Terminal_Growth))/(Equity_Cost-Terminal_Growth)</f>
        <v>105828.01976024192</v>
      </c>
      <c r="D6" t="str">
        <f>Reporting_currency</f>
        <v>CNY</v>
      </c>
      <c r="E6" s="187" t="s">
        <v>433</v>
      </c>
      <c r="F6" s="284">
        <f>BS!H42</f>
        <v>174</v>
      </c>
      <c r="G6" t="str">
        <f>Reporting_currency</f>
        <v>CNY</v>
      </c>
      <c r="H6" s="308" t="s">
        <v>416</v>
      </c>
      <c r="I6" s="305">
        <f>I7+I8</f>
        <v>-424.81764461945744</v>
      </c>
      <c r="J6" s="305"/>
      <c r="N6" s="135"/>
    </row>
    <row r="7" spans="2:15" ht="12.75" customHeight="1">
      <c r="B7" s="318" t="s">
        <v>430</v>
      </c>
      <c r="C7" s="275">
        <f>F7</f>
        <v>8120.2741032429112</v>
      </c>
      <c r="E7" s="140" t="s">
        <v>424</v>
      </c>
      <c r="F7" s="283">
        <f>SUM(F4:F6)</f>
        <v>8120.2741032429112</v>
      </c>
      <c r="G7" t="str">
        <f>Reporting_currency</f>
        <v>CNY</v>
      </c>
      <c r="H7" s="312" t="s">
        <v>417</v>
      </c>
      <c r="I7" s="313">
        <f>Normalized_FCF!C9</f>
        <v>291.16000000000003</v>
      </c>
      <c r="J7" s="313"/>
      <c r="N7" s="304"/>
      <c r="O7" s="304"/>
    </row>
    <row r="8" spans="2:15" ht="13.15">
      <c r="B8" s="136" t="s">
        <v>426</v>
      </c>
      <c r="C8" s="283">
        <f>C6+C7</f>
        <v>113948.29386348484</v>
      </c>
      <c r="D8" t="str">
        <f>Reporting_currency</f>
        <v>CNY</v>
      </c>
      <c r="E8" s="140" t="s">
        <v>464</v>
      </c>
      <c r="F8" s="108">
        <f>FV_adjustments*scaling_factor/Common_Shares*Exchange_Rate</f>
        <v>1.0500431253774698</v>
      </c>
      <c r="G8" s="294" t="str">
        <f>Market_currency</f>
        <v>HKD</v>
      </c>
      <c r="H8" s="314" t="str">
        <f>Normalized_FCF!B10</f>
        <v>Net Interest Income</v>
      </c>
      <c r="I8" s="313">
        <f>Normalized_FCF!C10</f>
        <v>-715.97764461945746</v>
      </c>
      <c r="J8" s="313"/>
      <c r="N8" s="304"/>
      <c r="O8" s="304"/>
    </row>
    <row r="9" spans="2:15" ht="13.15" thickBot="1">
      <c r="B9" s="189" t="str">
        <f>"*"&amp;Thesis!E15</f>
        <v>*CNY/HKD</v>
      </c>
      <c r="C9" s="190">
        <f>Exchange_Rate</f>
        <v>1.1196808250427246</v>
      </c>
      <c r="D9" t="str">
        <f>Thesis!E15</f>
        <v>CNY/HKD</v>
      </c>
      <c r="F9" s="322"/>
      <c r="H9" s="308" t="str">
        <f>Normalized_FCF!B79</f>
        <v>NCI’s Share of Profits</v>
      </c>
      <c r="I9" s="144">
        <f>Normalized_FCF!C79</f>
        <v>3.3583216629596069E-2</v>
      </c>
      <c r="J9" s="306"/>
      <c r="N9" s="304"/>
      <c r="O9" s="304"/>
    </row>
    <row r="10" spans="2:15" ht="13.5" thickTop="1">
      <c r="B10" s="107" t="s">
        <v>427</v>
      </c>
      <c r="C10" s="283">
        <f>C8*Exchange_Rate</f>
        <v>127585.71968527754</v>
      </c>
      <c r="D10" t="str">
        <f>Market_currency</f>
        <v>HKD</v>
      </c>
      <c r="H10" s="308" t="s">
        <v>397</v>
      </c>
      <c r="I10" s="306">
        <f>Normalized_FCF!C41</f>
        <v>0.25</v>
      </c>
      <c r="N10" s="304"/>
      <c r="O10" s="304"/>
    </row>
    <row r="11" spans="2:15" ht="13.15">
      <c r="B11" s="136" t="s">
        <v>425</v>
      </c>
      <c r="C11" s="108">
        <f>(C10*scaling_factor)/Common_Shares</f>
        <v>14.73480095604905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0.02</v>
      </c>
      <c r="J15" s="126"/>
    </row>
    <row r="16" spans="2:15" ht="13.25" customHeight="1">
      <c r="B16" s="114" t="s">
        <v>422</v>
      </c>
      <c r="C16" s="147">
        <f>Scenarios!C46</f>
        <v>2.47161282761951E-3</v>
      </c>
      <c r="E16" s="308" t="s">
        <v>400</v>
      </c>
      <c r="F16" s="311">
        <f>Scenarios!C41</f>
        <v>2.47161282761951E-3</v>
      </c>
    </row>
    <row r="17" spans="1:21" ht="13.25" customHeight="1">
      <c r="B17" s="308" t="s">
        <v>548</v>
      </c>
      <c r="C17" s="306">
        <f>Normalized_FCF!C77</f>
        <v>8.3606077410800242E-2</v>
      </c>
      <c r="E17" s="308" t="s">
        <v>549</v>
      </c>
      <c r="F17" s="311">
        <f>Scenarios!C40</f>
        <v>8.3606077410800242E-2</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11.009394737813201</v>
      </c>
      <c r="J18" t="str">
        <f>Market_currency</f>
        <v>HKD</v>
      </c>
    </row>
    <row r="19" spans="1:21">
      <c r="L19" s="275"/>
    </row>
    <row r="20" spans="1:21" ht="13.15">
      <c r="A20" s="121" t="s">
        <v>399</v>
      </c>
      <c r="B20" s="121" t="s">
        <v>98</v>
      </c>
      <c r="C20" s="121" t="s">
        <v>394</v>
      </c>
      <c r="D20" s="121" t="s">
        <v>102</v>
      </c>
      <c r="E20" s="121" t="s">
        <v>548</v>
      </c>
      <c r="F20" s="121" t="s">
        <v>550</v>
      </c>
      <c r="G20" s="121" t="str">
        <f>B18</f>
        <v>D&amp;A - maint. Capx</v>
      </c>
      <c r="H20" s="121" t="s">
        <v>552</v>
      </c>
      <c r="I20" s="121" t="s">
        <v>529</v>
      </c>
      <c r="J20" s="121" t="s">
        <v>551</v>
      </c>
      <c r="K20" s="121" t="s">
        <v>530</v>
      </c>
      <c r="L20" s="122" t="s">
        <v>419</v>
      </c>
    </row>
    <row r="21" spans="1:21">
      <c r="A21" s="302" t="str">
        <f t="shared" ref="A21:A50" si="0">IF($C$15&lt;B21,"",IF(B21&gt;=$F$15,"II","I"))</f>
        <v>I</v>
      </c>
      <c r="B21" s="117">
        <v>1</v>
      </c>
      <c r="C21" s="277">
        <f>I4*(1+D21)</f>
        <v>187508.3052929549</v>
      </c>
      <c r="D21" s="299">
        <f t="shared" ref="D21:D50" si="1">IF(A21="",0,IF(A21="I",$C$16,$F$16))</f>
        <v>2.47161282761951E-3</v>
      </c>
      <c r="E21" s="299">
        <f>$C$17</f>
        <v>8.3606077410800242E-2</v>
      </c>
      <c r="F21" s="277">
        <f>C21*E21</f>
        <v>15676.833887490753</v>
      </c>
      <c r="G21" s="299">
        <f t="shared" ref="G21:G50" si="2">IF(A21="",0%,IF(A21="I",$C$18,$F$18))</f>
        <v>0</v>
      </c>
      <c r="H21" s="277">
        <f>(F21*(1-$I$10)+C21*(G21-$I$9))</f>
        <v>5460.4933791163257</v>
      </c>
      <c r="I21" s="299">
        <f>H21/C4-1</f>
        <v>2.4716128276196514E-3</v>
      </c>
      <c r="J21" s="299">
        <f>H21/C21</f>
        <v>2.912134142850412E-2</v>
      </c>
      <c r="K21" s="119">
        <f t="shared" ref="K21:K50" si="3">IF($C$15&lt;B21,0,1/(1+Equity_Cost)^B21)</f>
        <v>0.93240093240093236</v>
      </c>
      <c r="L21" s="277">
        <f t="shared" ref="L21:L51" si="4">H21*K21</f>
        <v>5091.3691180571795</v>
      </c>
    </row>
    <row r="22" spans="1:21">
      <c r="A22" s="302" t="str">
        <f t="shared" si="0"/>
        <v>I</v>
      </c>
      <c r="B22" s="117">
        <v>2</v>
      </c>
      <c r="C22" s="277">
        <f t="shared" ref="C22:C50" si="5">IF(A22="",0,C21*(1+D22))</f>
        <v>187971.75322560215</v>
      </c>
      <c r="D22" s="299">
        <f t="shared" si="1"/>
        <v>2.47161282761951E-3</v>
      </c>
      <c r="E22" s="299">
        <f t="shared" ref="E22:E50" si="6">IF($C$15&lt;B22,0,IF(B22&gt;=$F$15,$F$17,$C$17))</f>
        <v>8.3606077410800242E-2</v>
      </c>
      <c r="F22" s="277">
        <f t="shared" ref="F22:F50" si="7">IF(A22="", 0,C22*E22)</f>
        <v>15715.580951223534</v>
      </c>
      <c r="G22" s="299">
        <f t="shared" si="2"/>
        <v>0</v>
      </c>
      <c r="H22" s="277">
        <f t="shared" ref="H22:H50" si="8">IF(A22="", 0,F22*(1-$I$10)+C22*(G22-$I$9))</f>
        <v>5473.9896045972791</v>
      </c>
      <c r="I22" s="299">
        <f t="shared" ref="I22:I50" si="9">IF(A22="", 0,H22/H21-1)</f>
        <v>2.4716128276192073E-3</v>
      </c>
      <c r="J22" s="299">
        <f>IF(A22="", 0,H22/C22)</f>
        <v>2.9121341428504109E-2</v>
      </c>
      <c r="K22" s="119">
        <f t="shared" si="3"/>
        <v>0.86937149874212816</v>
      </c>
      <c r="L22" s="277">
        <f t="shared" si="4"/>
        <v>4758.9305466475662</v>
      </c>
    </row>
    <row r="23" spans="1:21">
      <c r="A23" s="302" t="str">
        <f t="shared" si="0"/>
        <v>I</v>
      </c>
      <c r="B23" s="117">
        <v>3</v>
      </c>
      <c r="C23" s="277">
        <f t="shared" si="5"/>
        <v>188436.34662210467</v>
      </c>
      <c r="D23" s="299">
        <f t="shared" si="1"/>
        <v>2.47161282761951E-3</v>
      </c>
      <c r="E23" s="299">
        <f t="shared" si="6"/>
        <v>8.3606077410800242E-2</v>
      </c>
      <c r="F23" s="277">
        <f t="shared" si="7"/>
        <v>15754.423782696069</v>
      </c>
      <c r="G23" s="299">
        <f t="shared" si="2"/>
        <v>0</v>
      </c>
      <c r="H23" s="277">
        <f t="shared" si="8"/>
        <v>5487.5191875222572</v>
      </c>
      <c r="I23" s="299">
        <f t="shared" si="9"/>
        <v>2.4716128276194294E-3</v>
      </c>
      <c r="J23" s="299">
        <f t="shared" ref="J23:J50" si="10">IF(A23="", 0,H23/C23)</f>
        <v>2.9121341428504109E-2</v>
      </c>
      <c r="K23" s="119">
        <f t="shared" si="3"/>
        <v>0.81060279602995633</v>
      </c>
      <c r="L23" s="277">
        <f t="shared" si="4"/>
        <v>4448.1983966735761</v>
      </c>
      <c r="N23" s="275"/>
      <c r="O23" s="275"/>
      <c r="P23" s="275"/>
      <c r="Q23" s="275"/>
      <c r="R23" s="275"/>
      <c r="S23" s="275"/>
      <c r="T23" s="275"/>
      <c r="U23" s="275"/>
    </row>
    <row r="24" spans="1:21">
      <c r="A24" s="302" t="str">
        <f t="shared" si="0"/>
        <v>I</v>
      </c>
      <c r="B24" s="117">
        <v>4</v>
      </c>
      <c r="C24" s="277">
        <f t="shared" si="5"/>
        <v>188902.08831360561</v>
      </c>
      <c r="D24" s="299">
        <f t="shared" si="1"/>
        <v>2.47161282761951E-3</v>
      </c>
      <c r="E24" s="299">
        <f t="shared" si="6"/>
        <v>8.3606077410800242E-2</v>
      </c>
      <c r="F24" s="277">
        <f t="shared" si="7"/>
        <v>15793.362618609133</v>
      </c>
      <c r="G24" s="299">
        <f t="shared" si="2"/>
        <v>0</v>
      </c>
      <c r="H24" s="277">
        <f t="shared" si="8"/>
        <v>5501.0822103379442</v>
      </c>
      <c r="I24" s="299">
        <f t="shared" si="9"/>
        <v>2.4716128276192073E-3</v>
      </c>
      <c r="J24" s="299">
        <f t="shared" si="10"/>
        <v>2.9121341428504106E-2</v>
      </c>
      <c r="K24" s="119">
        <f t="shared" si="3"/>
        <v>0.75580680282513402</v>
      </c>
      <c r="L24" s="277">
        <f t="shared" si="4"/>
        <v>4157.7553574737431</v>
      </c>
      <c r="N24" s="275"/>
      <c r="O24" s="275"/>
      <c r="P24" s="275"/>
      <c r="Q24" s="275"/>
      <c r="R24" s="275"/>
      <c r="S24" s="275"/>
      <c r="T24" s="275"/>
      <c r="U24" s="275"/>
    </row>
    <row r="25" spans="1:21">
      <c r="A25" s="302" t="str">
        <f t="shared" si="0"/>
        <v>I</v>
      </c>
      <c r="B25" s="117">
        <v>5</v>
      </c>
      <c r="C25" s="277">
        <f t="shared" si="5"/>
        <v>189368.98113824561</v>
      </c>
      <c r="D25" s="299">
        <f t="shared" si="1"/>
        <v>2.47161282761951E-3</v>
      </c>
      <c r="E25" s="299">
        <f t="shared" si="6"/>
        <v>8.3606077410800242E-2</v>
      </c>
      <c r="F25" s="277">
        <f t="shared" si="7"/>
        <v>15832.397696248534</v>
      </c>
      <c r="G25" s="299">
        <f t="shared" si="2"/>
        <v>0</v>
      </c>
      <c r="H25" s="277">
        <f t="shared" si="8"/>
        <v>5514.6787556948066</v>
      </c>
      <c r="I25" s="299">
        <f t="shared" si="9"/>
        <v>2.4716128276198734E-3</v>
      </c>
      <c r="J25" s="299">
        <f t="shared" si="10"/>
        <v>2.9121341428504116E-2</v>
      </c>
      <c r="K25" s="119">
        <f t="shared" si="3"/>
        <v>0.70471496766912267</v>
      </c>
      <c r="L25" s="277">
        <f t="shared" si="4"/>
        <v>3886.2766610250633</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193156.36076101052</v>
      </c>
      <c r="D51" s="301">
        <f>Terminal_Growth</f>
        <v>0.02</v>
      </c>
      <c r="E51" s="301">
        <f>F17</f>
        <v>8.3606077410800242E-2</v>
      </c>
      <c r="F51" s="277">
        <f>C51*E51</f>
        <v>16149.045650173504</v>
      </c>
      <c r="G51" s="299">
        <f>F18</f>
        <v>0</v>
      </c>
      <c r="H51" s="277">
        <f>(F51*(1-$I$10)+C51*(G51-$I$9))/Equity_Cost</f>
        <v>77585.825252533832</v>
      </c>
      <c r="I51" s="415">
        <f>(F51*(1-$I$10)+C51*(G51-$I$9))/VLOOKUP(C15,B21:H50,COLUMN(H20)-1,FALSE)-1</f>
        <v>2.0000000000000018E-2</v>
      </c>
      <c r="J51" s="454"/>
      <c r="K51" s="119">
        <f>1/(1+Equity_Cost)^C15</f>
        <v>0.70471496766912267</v>
      </c>
      <c r="L51" s="277">
        <f t="shared" si="4"/>
        <v>54675.89233442158</v>
      </c>
    </row>
    <row r="52" spans="1:21" ht="13.15">
      <c r="G52" s="111"/>
      <c r="H52" s="111"/>
      <c r="I52" s="111"/>
      <c r="J52" s="468" t="s">
        <v>420</v>
      </c>
      <c r="K52" s="468"/>
      <c r="L52" s="317">
        <f>SUM(L21:L51)</f>
        <v>77018.422414298708</v>
      </c>
    </row>
    <row r="53" spans="1:21">
      <c r="C53" s="111"/>
    </row>
    <row r="54" spans="1:21" ht="13.15">
      <c r="B54" s="115" t="s">
        <v>108</v>
      </c>
      <c r="C54" s="128"/>
      <c r="D54" s="128"/>
      <c r="E54" s="113"/>
      <c r="F54" s="113"/>
      <c r="G54" s="113"/>
      <c r="H54" s="113"/>
      <c r="I54" s="113"/>
      <c r="J54" s="113"/>
      <c r="K54" s="113"/>
      <c r="L54" s="113"/>
    </row>
    <row r="55" spans="1:21" ht="13.15">
      <c r="A55" s="125">
        <f>L52</f>
        <v>77018.422414298708</v>
      </c>
      <c r="B55" s="123">
        <f>C94</f>
        <v>-0.1</v>
      </c>
      <c r="C55" s="123">
        <f>C93</f>
        <v>0</v>
      </c>
      <c r="D55" s="123">
        <f>C92</f>
        <v>0.02</v>
      </c>
      <c r="E55" s="123">
        <f>C91</f>
        <v>0.04</v>
      </c>
      <c r="F55" s="123">
        <f>C90</f>
        <v>0.06</v>
      </c>
      <c r="G55" s="123"/>
      <c r="H55" s="123"/>
      <c r="I55" s="123"/>
      <c r="J55" s="123"/>
      <c r="K55" s="123"/>
      <c r="L55" s="123"/>
    </row>
    <row r="56" spans="1:21" ht="13.15">
      <c r="A56" s="131">
        <v>1</v>
      </c>
      <c r="B56" s="118">
        <f t="dataTable" ref="B56:F69" dt2D="1" dtr="1" r1="C16" r2="C15"/>
        <v>68879.256254680207</v>
      </c>
      <c r="C56" s="118">
        <v>76532.506949644681</v>
      </c>
      <c r="D56" s="118">
        <v>78063.15708863757</v>
      </c>
      <c r="E56" s="118">
        <v>79593.807227630445</v>
      </c>
      <c r="F56" s="118">
        <v>81124.457366623348</v>
      </c>
      <c r="G56" s="295"/>
      <c r="H56" s="295"/>
      <c r="I56" s="295"/>
      <c r="J56" s="295"/>
      <c r="K56" s="295"/>
      <c r="L56" s="295"/>
    </row>
    <row r="57" spans="1:21" ht="13.15">
      <c r="A57" s="131">
        <v>2</v>
      </c>
      <c r="B57" s="118">
        <v>62371.709105048561</v>
      </c>
      <c r="C57" s="118">
        <v>76437.797089492466</v>
      </c>
      <c r="D57" s="118">
        <v>79422.276240394436</v>
      </c>
      <c r="E57" s="118">
        <v>82463.842575967486</v>
      </c>
      <c r="F57" s="118">
        <v>85562.496096211558</v>
      </c>
      <c r="G57" s="295"/>
      <c r="H57" s="295"/>
      <c r="I57" s="295"/>
      <c r="J57" s="295"/>
      <c r="K57" s="295"/>
      <c r="L57" s="295"/>
    </row>
    <row r="58" spans="1:21" ht="13.15">
      <c r="A58" s="131">
        <v>3</v>
      </c>
      <c r="B58" s="118">
        <v>56910.830378084924</v>
      </c>
      <c r="C58" s="118">
        <v>76349.489527578975</v>
      </c>
      <c r="D58" s="118">
        <v>80714.865084023331</v>
      </c>
      <c r="E58" s="118">
        <v>85246.907156173038</v>
      </c>
      <c r="F58" s="118">
        <v>89948.809432681039</v>
      </c>
      <c r="G58" s="295"/>
      <c r="H58" s="295"/>
      <c r="I58" s="295"/>
      <c r="J58" s="295"/>
      <c r="K58" s="295"/>
      <c r="L58" s="295"/>
    </row>
    <row r="59" spans="1:21" ht="13.15">
      <c r="A59" s="131">
        <v>4</v>
      </c>
      <c r="B59" s="118">
        <v>52328.274803010558</v>
      </c>
      <c r="C59" s="118">
        <v>76267.151474512764</v>
      </c>
      <c r="D59" s="118">
        <v>81944.180347894158</v>
      </c>
      <c r="E59" s="118">
        <v>87945.636446069344</v>
      </c>
      <c r="F59" s="118">
        <v>94284.000236091393</v>
      </c>
      <c r="G59" s="295"/>
      <c r="H59" s="295"/>
      <c r="I59" s="295"/>
      <c r="J59" s="295"/>
      <c r="K59" s="295"/>
      <c r="L59" s="295"/>
    </row>
    <row r="60" spans="1:21" ht="13.15">
      <c r="A60" s="131">
        <v>5</v>
      </c>
      <c r="B60" s="118">
        <v>48482.773621129963</v>
      </c>
      <c r="C60" s="118">
        <v>76190.37939706177</v>
      </c>
      <c r="D60" s="118">
        <v>83113.319340107002</v>
      </c>
      <c r="E60" s="118">
        <v>90562.586060514266</v>
      </c>
      <c r="F60" s="118">
        <v>98568.664340161296</v>
      </c>
      <c r="G60" s="295"/>
      <c r="H60" s="295"/>
      <c r="I60" s="295"/>
      <c r="J60" s="295"/>
      <c r="K60" s="295"/>
      <c r="L60" s="295"/>
    </row>
    <row r="61" spans="1:21" ht="13.15">
      <c r="A61" s="131">
        <v>6</v>
      </c>
      <c r="B61" s="118">
        <v>45255.779622349044</v>
      </c>
      <c r="C61" s="118">
        <v>76118.797040464095</v>
      </c>
      <c r="D61" s="118">
        <v>84225.22775228144</v>
      </c>
      <c r="E61" s="118">
        <v>93100.23417149116</v>
      </c>
      <c r="F61" s="118">
        <v>102803.3906341605</v>
      </c>
      <c r="G61" s="295"/>
      <c r="H61" s="295"/>
      <c r="I61" s="295"/>
      <c r="J61" s="295"/>
      <c r="K61" s="295"/>
      <c r="L61" s="295"/>
    </row>
    <row r="62" spans="1:21" ht="13.15">
      <c r="A62" s="131">
        <v>7</v>
      </c>
      <c r="B62" s="118">
        <v>42547.812630365064</v>
      </c>
      <c r="C62" s="118">
        <v>76052.053584428984</v>
      </c>
      <c r="D62" s="118">
        <v>85282.707081342465</v>
      </c>
      <c r="E62" s="118">
        <v>95560.983854862687</v>
      </c>
      <c r="F62" s="118">
        <v>106988.76114384735</v>
      </c>
      <c r="G62" s="295"/>
      <c r="H62" s="295"/>
      <c r="I62" s="295"/>
      <c r="J62" s="295"/>
      <c r="K62" s="295"/>
      <c r="L62" s="295"/>
    </row>
    <row r="63" spans="1:21" ht="13.15">
      <c r="A63" s="131">
        <v>8</v>
      </c>
      <c r="B63" s="118">
        <v>40275.392776951921</v>
      </c>
      <c r="C63" s="118">
        <v>75989.821923790179</v>
      </c>
      <c r="D63" s="118">
        <v>86288.42168800185</v>
      </c>
      <c r="E63" s="118">
        <v>97947.165366010813</v>
      </c>
      <c r="F63" s="118">
        <v>111125.35111146327</v>
      </c>
      <c r="G63" s="295"/>
      <c r="H63" s="295"/>
      <c r="I63" s="295"/>
      <c r="J63" s="295"/>
      <c r="K63" s="295"/>
      <c r="L63" s="295"/>
    </row>
    <row r="64" spans="1:21" ht="13.15">
      <c r="A64" s="131">
        <v>9</v>
      </c>
      <c r="B64" s="118">
        <v>38368.467025835998</v>
      </c>
      <c r="C64" s="118">
        <v>75931.79706538569</v>
      </c>
      <c r="D64" s="118">
        <v>87244.905509719902</v>
      </c>
      <c r="E64" s="118">
        <v>100261.03834651812</v>
      </c>
      <c r="F64" s="118">
        <v>115213.72907479455</v>
      </c>
      <c r="G64" s="295"/>
      <c r="H64" s="295"/>
      <c r="I64" s="295"/>
      <c r="J64" s="295"/>
      <c r="K64" s="295"/>
      <c r="L64" s="295"/>
    </row>
    <row r="65" spans="1:21" ht="13.15">
      <c r="A65" s="131">
        <v>10</v>
      </c>
      <c r="B65" s="118">
        <v>36768.249612312153</v>
      </c>
      <c r="C65" s="118">
        <v>75877.694633306921</v>
      </c>
      <c r="D65" s="118">
        <v>88154.56844506014</v>
      </c>
      <c r="E65" s="118">
        <v>102504.79396397973</v>
      </c>
      <c r="F65" s="118">
        <v>119254.45694531318</v>
      </c>
      <c r="G65" s="295"/>
      <c r="H65" s="295"/>
      <c r="I65" s="295"/>
      <c r="J65" s="295"/>
      <c r="K65" s="295"/>
      <c r="L65" s="295"/>
    </row>
    <row r="66" spans="1:21" ht="13.15">
      <c r="A66" s="131">
        <v>15</v>
      </c>
      <c r="B66" s="118">
        <v>31893.518225313579</v>
      </c>
      <c r="C66" s="277">
        <v>75657.341000126806</v>
      </c>
      <c r="D66" s="118">
        <v>92076.974154849551</v>
      </c>
      <c r="E66" s="118">
        <v>112743.96552478899</v>
      </c>
      <c r="F66" s="118">
        <v>138762.55762093168</v>
      </c>
      <c r="G66" s="295"/>
      <c r="H66" s="295"/>
      <c r="I66" s="295"/>
      <c r="J66" s="295"/>
      <c r="K66" s="295"/>
      <c r="L66" s="295"/>
      <c r="M66" s="275"/>
      <c r="N66" s="275"/>
      <c r="O66" s="275"/>
      <c r="P66" s="275"/>
      <c r="Q66" s="275"/>
      <c r="R66" s="275"/>
      <c r="S66" s="275"/>
      <c r="T66" s="275"/>
      <c r="U66" s="275"/>
    </row>
    <row r="67" spans="1:21" ht="13.15">
      <c r="A67" s="132">
        <v>20</v>
      </c>
      <c r="B67" s="118">
        <v>29865.010188836633</v>
      </c>
      <c r="C67" s="277">
        <v>75502.054496644501</v>
      </c>
      <c r="D67" s="118">
        <v>95128.850035585579</v>
      </c>
      <c r="E67" s="118">
        <v>121522.96477678345</v>
      </c>
      <c r="F67" s="118">
        <v>157160.01520132361</v>
      </c>
      <c r="G67" s="295"/>
      <c r="H67" s="295"/>
      <c r="I67" s="295"/>
      <c r="J67" s="295"/>
      <c r="K67" s="295"/>
      <c r="L67" s="295"/>
      <c r="M67" s="275"/>
      <c r="N67" s="275"/>
      <c r="O67" s="275"/>
      <c r="P67" s="275"/>
      <c r="Q67" s="275"/>
      <c r="R67" s="275"/>
      <c r="S67" s="275"/>
      <c r="T67" s="275"/>
      <c r="U67" s="275"/>
    </row>
    <row r="68" spans="1:21" ht="13.15">
      <c r="A68" s="132">
        <v>25</v>
      </c>
      <c r="B68" s="118">
        <v>29020.892938596699</v>
      </c>
      <c r="C68" s="277">
        <v>75392.621773363513</v>
      </c>
      <c r="D68" s="118">
        <v>97503.399503574779</v>
      </c>
      <c r="E68" s="118">
        <v>129050.02176658032</v>
      </c>
      <c r="F68" s="118">
        <v>174510.061269383</v>
      </c>
      <c r="G68" s="295"/>
      <c r="H68" s="295"/>
      <c r="I68" s="295"/>
      <c r="J68" s="295"/>
      <c r="K68" s="295"/>
      <c r="L68" s="295"/>
      <c r="M68" s="275"/>
      <c r="N68" s="275"/>
      <c r="O68" s="275"/>
      <c r="P68" s="275"/>
      <c r="Q68" s="275"/>
      <c r="R68" s="275"/>
      <c r="S68" s="275"/>
      <c r="T68" s="275"/>
      <c r="U68" s="275"/>
    </row>
    <row r="69" spans="1:21" ht="13.15">
      <c r="A69" s="132">
        <v>30</v>
      </c>
      <c r="B69" s="118">
        <v>28669.632840366998</v>
      </c>
      <c r="C69" s="277">
        <v>75315.502895314625</v>
      </c>
      <c r="D69" s="118">
        <v>99350.946847003448</v>
      </c>
      <c r="E69" s="118">
        <v>135503.67158489861</v>
      </c>
      <c r="F69" s="118">
        <v>190872.32748189569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-0.1</v>
      </c>
      <c r="C72" s="124">
        <f>C55</f>
        <v>0</v>
      </c>
      <c r="D72" s="124">
        <f>D55</f>
        <v>0.02</v>
      </c>
      <c r="E72" s="124">
        <f>E55</f>
        <v>0.04</v>
      </c>
      <c r="F72" s="124">
        <f>F55</f>
        <v>0.06</v>
      </c>
      <c r="G72" s="124"/>
      <c r="H72" s="124"/>
      <c r="I72" s="124"/>
      <c r="J72" s="124"/>
      <c r="K72" s="124"/>
      <c r="L72" s="124"/>
    </row>
    <row r="73" spans="1:21" ht="13.15">
      <c r="A73" s="131">
        <v>0</v>
      </c>
      <c r="B73" s="119">
        <f>C11</f>
        <v>14.73480095604905</v>
      </c>
      <c r="C73" s="119">
        <f>C11</f>
        <v>14.73480095604905</v>
      </c>
      <c r="D73" s="119">
        <f>C11</f>
        <v>14.73480095604905</v>
      </c>
      <c r="E73" s="119">
        <f>C11</f>
        <v>14.73480095604905</v>
      </c>
      <c r="F73" s="119">
        <f>C11</f>
        <v>14.73480095604905</v>
      </c>
      <c r="G73" s="296"/>
      <c r="H73" s="296"/>
      <c r="I73" s="296"/>
      <c r="J73" s="296"/>
      <c r="K73" s="296"/>
      <c r="L73" s="296"/>
    </row>
    <row r="74" spans="1:21" ht="13.15">
      <c r="A74" s="131">
        <v>1</v>
      </c>
      <c r="B74" s="119">
        <f t="shared" ref="B74:F87" si="11">(B56+FV_adjustments)/Common_Shares*scaling_factor*Exchange_Rate</f>
        <v>9.9569086562412465</v>
      </c>
      <c r="C74" s="119">
        <f t="shared" si="11"/>
        <v>10.946560381892777</v>
      </c>
      <c r="D74" s="119">
        <f t="shared" si="11"/>
        <v>11.144490727023081</v>
      </c>
      <c r="E74" s="119">
        <f t="shared" si="11"/>
        <v>11.342421072153387</v>
      </c>
      <c r="F74" s="119">
        <f t="shared" si="11"/>
        <v>11.540351417283695</v>
      </c>
      <c r="G74" s="296"/>
      <c r="H74" s="296"/>
      <c r="I74" s="296"/>
      <c r="J74" s="296"/>
      <c r="K74" s="296"/>
      <c r="L74" s="296"/>
    </row>
    <row r="75" spans="1:21" ht="13.15">
      <c r="A75" s="131">
        <v>2</v>
      </c>
      <c r="B75" s="119">
        <f t="shared" si="11"/>
        <v>9.1154093348314458</v>
      </c>
      <c r="C75" s="119">
        <f t="shared" si="11"/>
        <v>10.934313327631568</v>
      </c>
      <c r="D75" s="119">
        <f t="shared" si="11"/>
        <v>11.320240178793584</v>
      </c>
      <c r="E75" s="119">
        <f t="shared" si="11"/>
        <v>11.7135490474896</v>
      </c>
      <c r="F75" s="119">
        <f t="shared" si="11"/>
        <v>12.11423993371961</v>
      </c>
      <c r="G75" s="296"/>
      <c r="H75" s="296"/>
      <c r="I75" s="296"/>
      <c r="J75" s="296"/>
      <c r="K75" s="296"/>
      <c r="L75" s="296"/>
    </row>
    <row r="76" spans="1:21" ht="13.15">
      <c r="A76" s="131">
        <v>3</v>
      </c>
      <c r="B76" s="119">
        <f t="shared" si="11"/>
        <v>8.4092560581239226</v>
      </c>
      <c r="C76" s="119">
        <f t="shared" si="11"/>
        <v>10.922894162819254</v>
      </c>
      <c r="D76" s="119">
        <f t="shared" si="11"/>
        <v>11.487386510547346</v>
      </c>
      <c r="E76" s="119">
        <f t="shared" si="11"/>
        <v>12.073430720542895</v>
      </c>
      <c r="F76" s="119">
        <f t="shared" si="11"/>
        <v>12.681439772807787</v>
      </c>
      <c r="G76" s="296"/>
      <c r="H76" s="296"/>
      <c r="I76" s="296"/>
      <c r="J76" s="296"/>
      <c r="K76" s="296"/>
      <c r="L76" s="296"/>
    </row>
    <row r="77" spans="1:21" ht="13.15">
      <c r="A77" s="131">
        <v>4</v>
      </c>
      <c r="B77" s="119">
        <f t="shared" si="11"/>
        <v>7.8166798818658627</v>
      </c>
      <c r="C77" s="119">
        <f t="shared" si="11"/>
        <v>10.912246922901007</v>
      </c>
      <c r="D77" s="119">
        <f t="shared" si="11"/>
        <v>11.646350854033445</v>
      </c>
      <c r="E77" s="119">
        <f t="shared" si="11"/>
        <v>12.422406888352144</v>
      </c>
      <c r="F77" s="119">
        <f t="shared" si="11"/>
        <v>13.242028891160668</v>
      </c>
      <c r="G77" s="296"/>
      <c r="H77" s="296"/>
      <c r="I77" s="296"/>
      <c r="J77" s="296"/>
      <c r="K77" s="296"/>
      <c r="L77" s="296"/>
    </row>
    <row r="78" spans="1:21" ht="13.15">
      <c r="A78" s="131">
        <v>5</v>
      </c>
      <c r="B78" s="119">
        <f t="shared" si="11"/>
        <v>7.3194131605304271</v>
      </c>
      <c r="C78" s="119">
        <f t="shared" si="11"/>
        <v>10.902319426473742</v>
      </c>
      <c r="D78" s="119">
        <f t="shared" si="11"/>
        <v>11.797533726160083</v>
      </c>
      <c r="E78" s="119">
        <f t="shared" si="11"/>
        <v>12.760808020773242</v>
      </c>
      <c r="F78" s="119">
        <f t="shared" si="11"/>
        <v>13.796084336805475</v>
      </c>
      <c r="G78" s="296"/>
      <c r="H78" s="296"/>
      <c r="I78" s="296"/>
      <c r="J78" s="296"/>
      <c r="K78" s="296"/>
      <c r="L78" s="296"/>
    </row>
    <row r="79" spans="1:21" ht="13.15">
      <c r="A79" s="131">
        <v>6</v>
      </c>
      <c r="B79" s="119">
        <f t="shared" si="11"/>
        <v>6.9021264013678225</v>
      </c>
      <c r="C79" s="119">
        <f t="shared" si="11"/>
        <v>10.893063019548553</v>
      </c>
      <c r="D79" s="119">
        <f t="shared" si="11"/>
        <v>11.941316038112689</v>
      </c>
      <c r="E79" s="119">
        <f t="shared" si="11"/>
        <v>13.088954573424003</v>
      </c>
      <c r="F79" s="119">
        <f t="shared" si="11"/>
        <v>14.343682259773772</v>
      </c>
      <c r="G79" s="296"/>
      <c r="H79" s="296"/>
      <c r="I79" s="296"/>
      <c r="J79" s="296"/>
      <c r="K79" s="296"/>
      <c r="L79" s="296"/>
    </row>
    <row r="80" spans="1:21" ht="13.15">
      <c r="A80" s="131">
        <f t="shared" ref="A80" si="12">A62</f>
        <v>7</v>
      </c>
      <c r="B80" s="119">
        <f t="shared" si="11"/>
        <v>6.5519556943782264</v>
      </c>
      <c r="C80" s="119">
        <f t="shared" si="11"/>
        <v>10.884432337100826</v>
      </c>
      <c r="D80" s="119">
        <f t="shared" si="11"/>
        <v>12.078060055074614</v>
      </c>
      <c r="E80" s="119">
        <f t="shared" si="11"/>
        <v>13.407157291145953</v>
      </c>
      <c r="F80" s="119">
        <f t="shared" si="11"/>
        <v>14.884897922567614</v>
      </c>
      <c r="G80" s="296"/>
      <c r="H80" s="296"/>
      <c r="I80" s="296"/>
      <c r="J80" s="296"/>
      <c r="K80" s="296"/>
      <c r="L80" s="296"/>
    </row>
    <row r="81" spans="1:12" ht="13.15">
      <c r="A81" s="131">
        <v>8</v>
      </c>
      <c r="B81" s="119">
        <f t="shared" si="11"/>
        <v>6.2581061500512902</v>
      </c>
      <c r="C81" s="119">
        <f t="shared" si="11"/>
        <v>10.876385080739304</v>
      </c>
      <c r="D81" s="119">
        <f t="shared" si="11"/>
        <v>12.208110308968463</v>
      </c>
      <c r="E81" s="119">
        <f t="shared" si="11"/>
        <v>13.715717502270264</v>
      </c>
      <c r="F81" s="119">
        <f t="shared" si="11"/>
        <v>15.419805710503718</v>
      </c>
      <c r="G81" s="296"/>
      <c r="H81" s="296"/>
      <c r="I81" s="296"/>
      <c r="J81" s="296"/>
      <c r="K81" s="296"/>
      <c r="L81" s="296"/>
    </row>
    <row r="82" spans="1:12" ht="13.15">
      <c r="A82" s="131">
        <f t="shared" ref="A82" si="13">A64</f>
        <v>9</v>
      </c>
      <c r="B82" s="119">
        <f t="shared" si="11"/>
        <v>6.0115191198468683</v>
      </c>
      <c r="C82" s="119">
        <f t="shared" si="11"/>
        <v>10.868881811404554</v>
      </c>
      <c r="D82" s="119">
        <f t="shared" si="11"/>
        <v>12.331794466517865</v>
      </c>
      <c r="E82" s="119">
        <f t="shared" si="11"/>
        <v>14.014927403966571</v>
      </c>
      <c r="F82" s="119">
        <f t="shared" si="11"/>
        <v>15.94847914193706</v>
      </c>
      <c r="G82" s="296"/>
      <c r="H82" s="296"/>
      <c r="I82" s="296"/>
      <c r="J82" s="296"/>
      <c r="K82" s="296"/>
      <c r="L82" s="296"/>
    </row>
    <row r="83" spans="1:12" ht="13.15">
      <c r="A83" s="131">
        <f t="shared" ref="A83:A87" si="14">A65</f>
        <v>10</v>
      </c>
      <c r="B83" s="119">
        <f t="shared" si="11"/>
        <v>5.8045929406543477</v>
      </c>
      <c r="C83" s="119">
        <f t="shared" si="11"/>
        <v>10.861885756080779</v>
      </c>
      <c r="D83" s="119">
        <f t="shared" si="11"/>
        <v>12.44942415481659</v>
      </c>
      <c r="E83" s="119">
        <f t="shared" si="11"/>
        <v>14.305070338944804</v>
      </c>
      <c r="F83" s="119">
        <f t="shared" si="11"/>
        <v>16.470990878365367</v>
      </c>
      <c r="G83" s="296"/>
      <c r="H83" s="296"/>
      <c r="I83" s="296"/>
      <c r="J83" s="296"/>
      <c r="K83" s="296"/>
      <c r="L83" s="296"/>
    </row>
    <row r="84" spans="1:12" ht="13.15">
      <c r="A84" s="131">
        <f t="shared" si="14"/>
        <v>15</v>
      </c>
      <c r="B84" s="119">
        <f t="shared" si="11"/>
        <v>5.174235133036075</v>
      </c>
      <c r="C84" s="119">
        <f t="shared" si="11"/>
        <v>10.833391543357056</v>
      </c>
      <c r="D84" s="119">
        <f t="shared" si="11"/>
        <v>12.956635499918955</v>
      </c>
      <c r="E84" s="119">
        <f t="shared" si="11"/>
        <v>15.629110829486192</v>
      </c>
      <c r="F84" s="119">
        <f t="shared" si="11"/>
        <v>18.993608556434154</v>
      </c>
      <c r="G84" s="296"/>
      <c r="H84" s="296"/>
      <c r="I84" s="296"/>
      <c r="J84" s="296"/>
      <c r="K84" s="296"/>
      <c r="L84" s="296"/>
    </row>
    <row r="85" spans="1:12" ht="13.15">
      <c r="A85" s="132">
        <f t="shared" si="14"/>
        <v>20</v>
      </c>
      <c r="B85" s="119">
        <f t="shared" si="11"/>
        <v>4.9119261405816301</v>
      </c>
      <c r="C85" s="119">
        <f t="shared" si="11"/>
        <v>10.813311245158697</v>
      </c>
      <c r="D85" s="119">
        <f t="shared" si="11"/>
        <v>13.35127750920684</v>
      </c>
      <c r="E85" s="119">
        <f t="shared" si="11"/>
        <v>16.764334554085497</v>
      </c>
      <c r="F85" s="119">
        <f t="shared" si="11"/>
        <v>21.372607542318054</v>
      </c>
      <c r="G85" s="296"/>
      <c r="H85" s="296"/>
      <c r="I85" s="296"/>
      <c r="J85" s="296"/>
      <c r="K85" s="296"/>
      <c r="L85" s="296"/>
    </row>
    <row r="86" spans="1:12" ht="13.15">
      <c r="A86" s="132">
        <f t="shared" si="14"/>
        <v>25</v>
      </c>
      <c r="B86" s="119">
        <f t="shared" si="11"/>
        <v>4.8027722494250504</v>
      </c>
      <c r="C86" s="119">
        <f t="shared" si="11"/>
        <v>10.799160358463061</v>
      </c>
      <c r="D86" s="119">
        <f t="shared" si="11"/>
        <v>13.658333565816436</v>
      </c>
      <c r="E86" s="119">
        <f t="shared" si="11"/>
        <v>17.737668008839719</v>
      </c>
      <c r="F86" s="119">
        <f t="shared" si="11"/>
        <v>23.616164393616032</v>
      </c>
      <c r="G86" s="296"/>
      <c r="H86" s="296"/>
      <c r="I86" s="296"/>
      <c r="J86" s="296"/>
      <c r="K86" s="296"/>
      <c r="L86" s="296"/>
    </row>
    <row r="87" spans="1:12" ht="13.15">
      <c r="A87" s="132">
        <f t="shared" si="14"/>
        <v>30</v>
      </c>
      <c r="B87" s="119">
        <f t="shared" si="11"/>
        <v>4.7573503527407732</v>
      </c>
      <c r="C87" s="119">
        <f t="shared" si="11"/>
        <v>10.789188016802854</v>
      </c>
      <c r="D87" s="119">
        <f t="shared" si="11"/>
        <v>13.897242297481283</v>
      </c>
      <c r="E87" s="119">
        <f t="shared" si="11"/>
        <v>18.572197796770446</v>
      </c>
      <c r="F87" s="119">
        <f t="shared" si="11"/>
        <v>25.731990156835472</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5</v>
      </c>
      <c r="E90" s="127">
        <f>INDEX(B$73:F$87, MATCH(D90, A$73:A$87, 0), MATCH(C90, B$72:F$72, 0))</f>
        <v>13.796084336805475</v>
      </c>
      <c r="F90" s="130">
        <f>Scenarios!F29</f>
        <v>0.1</v>
      </c>
      <c r="G90" s="297"/>
      <c r="H90" s="297"/>
      <c r="I90" s="297"/>
      <c r="J90" s="297"/>
      <c r="K90" s="297"/>
      <c r="L90" s="297"/>
    </row>
    <row r="91" spans="1:12">
      <c r="B91" s="120" t="str">
        <f>Scenarios!B22</f>
        <v>Optimistic</v>
      </c>
      <c r="C91" s="130">
        <f>Scenarios!C22</f>
        <v>0.04</v>
      </c>
      <c r="D91" s="133">
        <f>Scenarios!D22</f>
        <v>5</v>
      </c>
      <c r="E91" s="127">
        <f>INDEX(B$73:F$87, MATCH(D91, A$73:A$87, 0), MATCH(C91, B$72:F$72, 0))</f>
        <v>12.760808020773242</v>
      </c>
      <c r="F91" s="130">
        <f>Scenarios!F22*(1-F$90-F$94)</f>
        <v>8.0000000000000029E-2</v>
      </c>
      <c r="G91" s="297"/>
      <c r="H91" s="297"/>
      <c r="I91" s="297"/>
      <c r="J91" s="297"/>
      <c r="K91" s="297"/>
      <c r="L91" s="297"/>
    </row>
    <row r="92" spans="1:12">
      <c r="B92" s="120" t="str">
        <f>Scenarios!B23</f>
        <v>Base</v>
      </c>
      <c r="C92" s="130">
        <f>Scenarios!C23</f>
        <v>0.02</v>
      </c>
      <c r="D92" s="133">
        <f>Scenarios!D23</f>
        <v>5</v>
      </c>
      <c r="E92" s="127">
        <f>INDEX(B$73:F$87, MATCH(D92, A$73:A$87, 0), MATCH(C92, B$72:F$72, 0))</f>
        <v>11.797533726160083</v>
      </c>
      <c r="F92" s="130">
        <f>Scenarios!F23*(1-F$90-F$94)</f>
        <v>0.48</v>
      </c>
      <c r="G92" s="297"/>
      <c r="H92" s="297"/>
      <c r="I92" s="297"/>
      <c r="J92" s="297"/>
      <c r="K92" s="297"/>
      <c r="L92" s="297"/>
    </row>
    <row r="93" spans="1:12">
      <c r="B93" s="120" t="str">
        <f>Scenarios!B24</f>
        <v>Pessimistic</v>
      </c>
      <c r="C93" s="130">
        <f>Scenarios!C24</f>
        <v>0</v>
      </c>
      <c r="D93" s="133">
        <f>Scenarios!D24</f>
        <v>5</v>
      </c>
      <c r="E93" s="127">
        <f>INDEX(B$73:F$87, MATCH(D93, A$73:A$87, 0), MATCH(C93, B$72:F$72, 0))</f>
        <v>10.902319426473742</v>
      </c>
      <c r="F93" s="130">
        <f>Scenarios!F24*(1-F$90-F$94)</f>
        <v>0.24</v>
      </c>
      <c r="G93" s="297"/>
      <c r="H93" s="297"/>
      <c r="I93" s="297"/>
      <c r="J93" s="297"/>
      <c r="K93" s="297"/>
      <c r="L93" s="297"/>
    </row>
    <row r="94" spans="1:12">
      <c r="B94" s="120" t="str">
        <f>Scenarios!B30</f>
        <v>Devil's advocate</v>
      </c>
      <c r="C94" s="130">
        <f>Scenarios!C30</f>
        <v>-0.1</v>
      </c>
      <c r="D94" s="133">
        <f>Scenarios!D30</f>
        <v>5</v>
      </c>
      <c r="E94" s="127">
        <f>INDEX(B$73:F$87, MATCH(D94, A$73:A$87, 0), MATCH(C94, B$72:F$72, 0))</f>
        <v>7.3194131605304271</v>
      </c>
      <c r="F94" s="130">
        <f>Scenarios!F30</f>
        <v>0.1</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0135.HK – 昆仑能源: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16063</v>
      </c>
      <c r="D7" s="469"/>
      <c r="E7" s="469"/>
      <c r="F7" s="469"/>
      <c r="G7" s="469"/>
    </row>
    <row r="8" spans="2:7">
      <c r="B8" s="97" t="s">
        <v>63</v>
      </c>
      <c r="C8" s="447">
        <f>Normalized_FCF!G19</f>
        <v>10035.071589716463</v>
      </c>
      <c r="D8" s="469"/>
      <c r="E8" s="469"/>
      <c r="F8" s="469"/>
      <c r="G8" s="469"/>
    </row>
    <row r="9" spans="2:7">
      <c r="B9" s="97" t="s">
        <v>54</v>
      </c>
      <c r="C9" s="447">
        <f>Normalized_FCF!C19</f>
        <v>5447.0304288359803</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4.2991333470914217E-2</v>
      </c>
      <c r="D12" s="469"/>
      <c r="E12" s="469"/>
      <c r="F12" s="469"/>
      <c r="G12" s="469"/>
    </row>
    <row r="13" spans="2:7">
      <c r="B13" s="135" t="s">
        <v>127</v>
      </c>
      <c r="C13" s="249">
        <f ca="1">(Normalized_FCF!G8/OFFSET(Normalized_FCF!G8, 0, $C$4))^(1/$C$4) - 1</f>
        <v>-8.754987491685684E-3</v>
      </c>
      <c r="D13" s="469"/>
      <c r="E13" s="469"/>
      <c r="F13" s="469"/>
      <c r="G13" s="469"/>
    </row>
    <row r="14" spans="2:7">
      <c r="B14" s="97" t="s">
        <v>63</v>
      </c>
      <c r="C14" s="249">
        <f ca="1">(Normalized_FCF!G19/OFFSET(Normalized_FCF!G19, 0, $C$4))^(1/$C$4) - 1</f>
        <v>-2.5521132195647556E-2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0.04</v>
      </c>
      <c r="D22" s="325">
        <f>C18</f>
        <v>5</v>
      </c>
      <c r="E22" s="326">
        <f>DCF!E91</f>
        <v>12.760808020773242</v>
      </c>
      <c r="F22" s="328">
        <f>1-F23-F24</f>
        <v>0.10000000000000003</v>
      </c>
      <c r="G22" s="328">
        <f>F22*(1-F$29-F$30)</f>
        <v>8.0000000000000029E-2</v>
      </c>
    </row>
    <row r="23" spans="2:7">
      <c r="B23" s="302" t="s">
        <v>437</v>
      </c>
      <c r="C23" s="324">
        <v>0.02</v>
      </c>
      <c r="D23" s="325">
        <f>C18</f>
        <v>5</v>
      </c>
      <c r="E23" s="326">
        <f>DCF!E92</f>
        <v>11.797533726160083</v>
      </c>
      <c r="F23" s="327">
        <v>0.6</v>
      </c>
      <c r="G23" s="328">
        <f t="shared" ref="G23:G24" si="0">F23*(1-F$29-F$30)</f>
        <v>0.48</v>
      </c>
    </row>
    <row r="24" spans="2:7">
      <c r="B24" s="302" t="s">
        <v>446</v>
      </c>
      <c r="C24" s="324">
        <v>0</v>
      </c>
      <c r="D24" s="325">
        <f>C18</f>
        <v>5</v>
      </c>
      <c r="E24" s="326">
        <f>DCF!E93</f>
        <v>10.902319426473742</v>
      </c>
      <c r="F24" s="327">
        <v>0.3</v>
      </c>
      <c r="G24" s="328">
        <f t="shared" si="0"/>
        <v>0.24</v>
      </c>
    </row>
    <row r="25" spans="2:7">
      <c r="B25" s="141" t="s">
        <v>451</v>
      </c>
      <c r="C25" s="441">
        <f>E23*F23+E24*F24+E22*F22</f>
        <v>11.625296865715496</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5</v>
      </c>
      <c r="E29" s="326">
        <f>DCF!E90</f>
        <v>13.796084336805475</v>
      </c>
      <c r="F29" s="327">
        <v>0.1</v>
      </c>
      <c r="G29" s="328">
        <f>F29</f>
        <v>0.1</v>
      </c>
    </row>
    <row r="30" spans="2:7">
      <c r="B30" s="315" t="s">
        <v>447</v>
      </c>
      <c r="C30" s="324">
        <v>-0.1</v>
      </c>
      <c r="D30" s="325">
        <f>C18</f>
        <v>5</v>
      </c>
      <c r="E30" s="326">
        <f>DCF!E94</f>
        <v>7.3194131605304271</v>
      </c>
      <c r="F30" s="327">
        <v>0.1</v>
      </c>
      <c r="G30" s="328">
        <f>F30</f>
        <v>0.1</v>
      </c>
    </row>
    <row r="31" spans="2:7">
      <c r="E31" s="329"/>
      <c r="F31" s="329"/>
    </row>
    <row r="32" spans="2:7" ht="13.15">
      <c r="B32" s="145" t="s">
        <v>456</v>
      </c>
    </row>
    <row r="33" spans="2:7">
      <c r="B33" s="97" t="s">
        <v>458</v>
      </c>
      <c r="C33" s="155">
        <f>Normalized_FCF!C88*(1-dividend_tax_rate)</f>
        <v>0.31823568409364317</v>
      </c>
      <c r="D33" t="str">
        <f>Market_currency</f>
        <v>HKD</v>
      </c>
      <c r="E33" s="97" t="s">
        <v>455</v>
      </c>
      <c r="F33" s="219">
        <f>Holding_Period</f>
        <v>3</v>
      </c>
    </row>
    <row r="34" spans="2:7">
      <c r="B34" s="97" t="s">
        <v>233</v>
      </c>
      <c r="C34" s="146">
        <f>Market_Price</f>
        <v>7.8</v>
      </c>
      <c r="D34" t="str">
        <f>Market_currency</f>
        <v>HKD</v>
      </c>
      <c r="E34" s="97" t="s">
        <v>454</v>
      </c>
      <c r="F34" s="330">
        <f>RATE(Holding_Period,$C$33,-C34,$C$36)</f>
        <v>0.17146441710883573</v>
      </c>
    </row>
    <row r="35" spans="2:7">
      <c r="B35" s="97" t="s">
        <v>434</v>
      </c>
      <c r="C35" s="320">
        <f>DCF!C11</f>
        <v>14.73480095604905</v>
      </c>
      <c r="D35" s="97" t="str">
        <f>Market_currency</f>
        <v>HKD</v>
      </c>
      <c r="E35" s="97" t="s">
        <v>454</v>
      </c>
      <c r="F35" s="330">
        <f>RATE(Holding_Period,$C$33,-C35,$C$36)</f>
        <v>-5.8119637487303817E-2</v>
      </c>
    </row>
    <row r="36" spans="2:7">
      <c r="B36" s="97" t="s">
        <v>435</v>
      </c>
      <c r="C36" s="321">
        <f>E22*G22+E23*G23+E24*G24+E30*G30+E29*G29</f>
        <v>11.411787242305987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549</v>
      </c>
      <c r="C40" s="126">
        <f>Normalized_FCF!E116</f>
        <v>8.3606077410800242E-2</v>
      </c>
      <c r="E40" s="97" t="s">
        <v>401</v>
      </c>
    </row>
    <row r="41" spans="2:7">
      <c r="B41" s="97" t="s">
        <v>400</v>
      </c>
      <c r="C41" s="455">
        <f>DCF!C16</f>
        <v>2.47161282761951E-3</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2.47161282761951E-3</v>
      </c>
      <c r="D46" s="138"/>
      <c r="E46" s="221" t="s">
        <v>252</v>
      </c>
    </row>
    <row r="47" spans="2:7">
      <c r="B47" s="97" t="s">
        <v>96</v>
      </c>
      <c r="C47" s="146">
        <f>DCF!I18</f>
        <v>11.009394737813201</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9.2013906593415198E-2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0.31823568409364317</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0.582324068113235</v>
      </c>
      <c r="D62" s="119">
        <f>C36/(1+F62)^Holding_Period</f>
        <v>5.2588881300949266</v>
      </c>
      <c r="E62" s="332">
        <f>C62+D62</f>
        <v>5.8412121982081615</v>
      </c>
      <c r="F62" s="301">
        <f>Thesis!E22</f>
        <v>0.29465259038036606</v>
      </c>
      <c r="G62" s="440">
        <f>(1-E62/C36)</f>
        <v>0.48814220996396496</v>
      </c>
    </row>
    <row r="63" spans="2:7" ht="13.15">
      <c r="B63" s="302" t="s">
        <v>313</v>
      </c>
      <c r="C63" s="119">
        <f>PV(F63, Holding_Period, -C58, 0)</f>
        <v>0.6695691354949006</v>
      </c>
      <c r="D63" s="119">
        <f>C36/(1+F63)^Holding_Period</f>
        <v>6.5916460605377569</v>
      </c>
      <c r="E63" s="332">
        <f>C63+D63</f>
        <v>7.2612151960326576</v>
      </c>
      <c r="F63" s="301">
        <f>Thesis!E23</f>
        <v>0.20075184365903009</v>
      </c>
      <c r="G63" s="440">
        <f>(1-E63/C36)</f>
        <v>0.36370920331271628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0.7677764062295479</v>
      </c>
      <c r="D66" s="119">
        <f>C36/(1+F66)^Holding_Period</f>
        <v>8.1795171087965493</v>
      </c>
      <c r="E66" s="332">
        <f>C66+D66</f>
        <v>8.9472935150260966</v>
      </c>
      <c r="F66" s="301">
        <f>Thesis!E24</f>
        <v>0.1174</v>
      </c>
      <c r="G66" s="440">
        <f>(1-E66/C36)</f>
        <v>0.21596036404740127</v>
      </c>
    </row>
    <row r="67" spans="2:7" ht="13.15">
      <c r="B67" s="302" t="s">
        <v>314</v>
      </c>
      <c r="C67" s="119">
        <f>PV(F67, Holding_Period, -C58, 0)</f>
        <v>0.83135101752869123</v>
      </c>
      <c r="D67" s="119">
        <f>C36/(1+F67)^Holding_Period</f>
        <v>9.2504266463122189</v>
      </c>
      <c r="E67" s="332">
        <f>C67+D67</f>
        <v>10.08177766384091</v>
      </c>
      <c r="F67" s="301">
        <f>Thesis!E25</f>
        <v>7.2499999999999995E-2</v>
      </c>
      <c r="G67" s="440">
        <f>(1-E67/C36)</f>
        <v>0.11654700094078529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45932</v>
      </c>
    </row>
    <row r="4" spans="1:10">
      <c r="B4" s="422" t="s">
        <v>533</v>
      </c>
      <c r="C4" s="423" t="str">
        <f>Thesis!C4</f>
        <v>昆仑能源</v>
      </c>
      <c r="D4" s="349"/>
      <c r="E4" s="434" t="s">
        <v>539</v>
      </c>
      <c r="F4" s="437" t="str">
        <f>Thesis!F4</f>
        <v>INT</v>
      </c>
    </row>
    <row r="5" spans="1:10">
      <c r="B5" s="343" t="s">
        <v>364</v>
      </c>
      <c r="C5" s="355" t="str">
        <f>Thesis!C5</f>
        <v>0135.HK</v>
      </c>
      <c r="E5" s="438" t="s">
        <v>540</v>
      </c>
      <c r="F5" s="439" t="str">
        <f>Thesis!F5</f>
        <v>N</v>
      </c>
    </row>
    <row r="6" spans="1:10">
      <c r="B6" s="350" t="s">
        <v>336</v>
      </c>
      <c r="C6" s="352" t="str">
        <f>Thesis!C6</f>
        <v>ENG_02</v>
      </c>
      <c r="E6" s="354"/>
    </row>
    <row r="7" spans="1:10">
      <c r="B7" s="343" t="s">
        <v>366</v>
      </c>
      <c r="C7" s="352" t="str">
        <f>Market_currency</f>
        <v>HKD</v>
      </c>
      <c r="D7" s="354"/>
      <c r="E7" s="354"/>
    </row>
    <row r="8" spans="1:10">
      <c r="B8" s="351" t="s">
        <v>365</v>
      </c>
      <c r="C8" s="356">
        <f>Market_Price</f>
        <v>7.8</v>
      </c>
    </row>
    <row r="9" spans="1:10">
      <c r="B9" s="351" t="s">
        <v>361</v>
      </c>
      <c r="C9" s="353">
        <f>Common_Shares</f>
        <v>8658801708</v>
      </c>
    </row>
    <row r="10" spans="1:10">
      <c r="B10" s="351" t="s">
        <v>367</v>
      </c>
      <c r="C10" s="357">
        <f>投资主题!C8*Common_Shares/1000000</f>
        <v>67538.653322400001</v>
      </c>
      <c r="D10" s="343" t="s">
        <v>528</v>
      </c>
      <c r="E10" s="360">
        <f>Scenarios!F34</f>
        <v>0.17146441710883573</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1.1196808250427246</v>
      </c>
    </row>
    <row r="17" spans="1:6">
      <c r="B17" s="343" t="s">
        <v>534</v>
      </c>
      <c r="C17" s="424">
        <f>Terminal_Growth</f>
        <v>0.02</v>
      </c>
      <c r="D17" s="351" t="s">
        <v>339</v>
      </c>
      <c r="E17" s="344" t="str">
        <f>Reporting_currency</f>
        <v>CNY</v>
      </c>
    </row>
    <row r="18" spans="1:6">
      <c r="B18" s="343" t="str">
        <f>"预期股权价值 ("&amp;C7&amp;") :"</f>
        <v>预期股权价值 (HKD) :</v>
      </c>
      <c r="C18" s="359">
        <f>C125</f>
        <v>11.411787242305987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5.8412121982081615</v>
      </c>
      <c r="D22" s="365" t="s">
        <v>440</v>
      </c>
      <c r="E22" s="366">
        <f>Thesis!E22</f>
        <v>0.29465259038036606</v>
      </c>
    </row>
    <row r="23" spans="1:6">
      <c r="B23" s="343" t="s">
        <v>341</v>
      </c>
      <c r="C23" s="367">
        <f>E141</f>
        <v>7.2612151960326576</v>
      </c>
      <c r="D23" s="365" t="s">
        <v>441</v>
      </c>
      <c r="E23" s="368">
        <f>Thesis!E23</f>
        <v>0.20075184365903009</v>
      </c>
    </row>
    <row r="24" spans="1:6">
      <c r="B24" s="343" t="s">
        <v>343</v>
      </c>
      <c r="C24" s="367">
        <f>E144</f>
        <v>8.9472935150260966</v>
      </c>
      <c r="D24" s="365" t="s">
        <v>443</v>
      </c>
      <c r="E24" s="368">
        <f>Thesis!E24</f>
        <v>0.1174</v>
      </c>
    </row>
    <row r="25" spans="1:6">
      <c r="B25" s="343" t="s">
        <v>342</v>
      </c>
      <c r="C25" s="367">
        <f>E145</f>
        <v>10.08177766384091</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1000000</v>
      </c>
    </row>
    <row r="33" spans="2:6">
      <c r="B33" s="470" t="s">
        <v>500</v>
      </c>
      <c r="C33" s="470"/>
      <c r="D33" s="470"/>
      <c r="E33" s="470"/>
      <c r="F33" s="470"/>
    </row>
    <row r="34" spans="2:6">
      <c r="B34" s="372" t="s">
        <v>197</v>
      </c>
      <c r="C34" s="373">
        <f>Normalized_FCF!C8</f>
        <v>16063</v>
      </c>
      <c r="D34" s="343" t="str">
        <f>Reporting_currency</f>
        <v>CNY</v>
      </c>
    </row>
    <row r="35" spans="2:6">
      <c r="B35" s="372"/>
      <c r="C35" s="374"/>
    </row>
    <row r="36" spans="2:6" ht="24.5" customHeight="1">
      <c r="B36" s="470" t="s">
        <v>501</v>
      </c>
      <c r="C36" s="470"/>
      <c r="D36" s="470"/>
      <c r="E36" s="470"/>
      <c r="F36" s="470"/>
    </row>
    <row r="37" spans="2:6">
      <c r="B37" s="372" t="s">
        <v>199</v>
      </c>
      <c r="C37" s="373">
        <f>Normalized_FCF!C15</f>
        <v>0</v>
      </c>
      <c r="D37" s="343" t="str">
        <f>Reporting_currency</f>
        <v>CNY</v>
      </c>
    </row>
    <row r="38" spans="2:6">
      <c r="B38" s="375" t="s">
        <v>200</v>
      </c>
      <c r="C38" s="373">
        <f>Normalized_FCF!C16</f>
        <v>0</v>
      </c>
      <c r="D38" s="343" t="str">
        <f>Reporting_currency</f>
        <v>CNY</v>
      </c>
    </row>
    <row r="40" spans="2:6">
      <c r="B40" s="470" t="s">
        <v>502</v>
      </c>
      <c r="C40" s="470"/>
      <c r="D40" s="470"/>
      <c r="E40" s="470"/>
      <c r="F40" s="470"/>
    </row>
    <row r="41" spans="2:6">
      <c r="B41" s="372" t="s">
        <v>202</v>
      </c>
      <c r="C41" s="373">
        <f>Normalized_FCF!C9</f>
        <v>291.16000000000003</v>
      </c>
      <c r="D41" s="343" t="str">
        <f>Reporting_currency</f>
        <v>CNY</v>
      </c>
    </row>
    <row r="43" spans="2:6">
      <c r="B43" s="470" t="s">
        <v>503</v>
      </c>
      <c r="C43" s="470"/>
      <c r="D43" s="470"/>
      <c r="E43" s="470"/>
      <c r="F43" s="470"/>
    </row>
    <row r="44" spans="2:6">
      <c r="B44" s="372" t="s">
        <v>267</v>
      </c>
      <c r="C44" s="376">
        <f>Normalized_FCF!C46</f>
        <v>87.02235538054255</v>
      </c>
      <c r="D44" s="343" t="str">
        <f>Reporting_currency</f>
        <v>CNY</v>
      </c>
      <c r="E44" s="371"/>
      <c r="F44" s="371"/>
    </row>
    <row r="45" spans="2:6">
      <c r="B45" s="372" t="s">
        <v>268</v>
      </c>
      <c r="C45" s="376">
        <f>Normalized_FCF!C45</f>
        <v>-803</v>
      </c>
      <c r="D45" s="343" t="str">
        <f>Reporting_currency</f>
        <v>CNY</v>
      </c>
      <c r="E45" s="371"/>
      <c r="F45" s="371"/>
    </row>
    <row r="46" spans="2:6">
      <c r="B46" s="372" t="s">
        <v>203</v>
      </c>
      <c r="C46" s="373">
        <f>Normalized_FCF!C10</f>
        <v>-715.97764461945746</v>
      </c>
      <c r="D46" s="343" t="str">
        <f>Reporting_currency</f>
        <v>CNY</v>
      </c>
    </row>
    <row r="48" spans="2:6">
      <c r="B48" s="343" t="s">
        <v>504</v>
      </c>
    </row>
    <row r="49" spans="2:6">
      <c r="B49" s="372" t="s">
        <v>223</v>
      </c>
      <c r="C49" s="373">
        <f>Normalized_FCF!C13</f>
        <v>-6281.6063376994261</v>
      </c>
      <c r="D49" s="343" t="str">
        <f>Reporting_currency</f>
        <v>CNY</v>
      </c>
    </row>
    <row r="51" spans="2:6">
      <c r="B51" s="470" t="s">
        <v>505</v>
      </c>
      <c r="C51" s="470"/>
      <c r="D51" s="470"/>
      <c r="E51" s="470"/>
      <c r="F51" s="470"/>
    </row>
    <row r="52" spans="2:6">
      <c r="B52" s="372" t="s">
        <v>496</v>
      </c>
      <c r="C52" s="373">
        <f>Normalized_FCF!C12</f>
        <v>-3909.5455888451356</v>
      </c>
      <c r="D52" s="343" t="str">
        <f>Reporting_currency</f>
        <v>CNY</v>
      </c>
    </row>
    <row r="54" spans="2:6">
      <c r="B54" s="470" t="s">
        <v>506</v>
      </c>
      <c r="C54" s="476"/>
      <c r="D54" s="476"/>
      <c r="E54" s="476"/>
      <c r="F54" s="476"/>
    </row>
    <row r="55" spans="2:6">
      <c r="B55" s="372" t="s">
        <v>207</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372</v>
      </c>
      <c r="C60" s="373">
        <f>Normalized_FCF!G19</f>
        <v>10035.071589716463</v>
      </c>
      <c r="D60" s="343" t="str">
        <f>Reporting_currency</f>
        <v>CNY</v>
      </c>
    </row>
    <row r="61" spans="2:6">
      <c r="B61" s="372" t="s">
        <v>213</v>
      </c>
      <c r="C61" s="373">
        <f>Normalized_FCF!C19</f>
        <v>5447.0304288359803</v>
      </c>
      <c r="D61" s="343" t="str">
        <f>Reporting_currency</f>
        <v>CNY</v>
      </c>
    </row>
    <row r="62" spans="2:6">
      <c r="B62" s="377" t="s">
        <v>302</v>
      </c>
      <c r="C62" s="378">
        <f>Normalized_FCF!C124</f>
        <v>9.0302889154129928E-2</v>
      </c>
      <c r="F62" s="379"/>
    </row>
    <row r="63" spans="2:6">
      <c r="B63" s="377" t="s">
        <v>332</v>
      </c>
      <c r="C63" s="378">
        <f>Normalized_FCF!C92</f>
        <v>4.0799446678672205E-2</v>
      </c>
      <c r="E63" s="372" t="s">
        <v>373</v>
      </c>
      <c r="F63" s="380">
        <f>Normalized_FCF!C90</f>
        <v>0.56208805900490943</v>
      </c>
    </row>
    <row r="65" spans="1:6">
      <c r="B65" s="369" t="s">
        <v>376</v>
      </c>
      <c r="C65" s="381" t="s">
        <v>327</v>
      </c>
      <c r="D65" s="381" t="s">
        <v>374</v>
      </c>
    </row>
    <row r="66" spans="1:6">
      <c r="B66" s="372" t="s">
        <v>326</v>
      </c>
      <c r="C66" s="378">
        <f>Normalized_FCF!E119</f>
        <v>0.17171983962951357</v>
      </c>
      <c r="D66" s="378">
        <f>Normalized_FCF!G119</f>
        <v>0.18349004688492623</v>
      </c>
    </row>
    <row r="67" spans="1:6">
      <c r="B67" s="382" t="str">
        <f>Normalized_FCF!B116</f>
        <v>Pre-tax Profit/Sales</v>
      </c>
      <c r="C67" s="383">
        <f>Normalized_FCF!E116</f>
        <v>8.3606077410800242E-2</v>
      </c>
      <c r="D67" s="383">
        <f>Normalized_FCF!G116</f>
        <v>8.9336695731084673E-2</v>
      </c>
    </row>
    <row r="68" spans="1:6">
      <c r="B68" s="382" t="str">
        <f>Normalized_FCF!B117</f>
        <v>Sales/Total Assets</v>
      </c>
      <c r="C68" s="384">
        <f>Normalized_FCF!E117</f>
        <v>1.3282158707615834</v>
      </c>
      <c r="D68" s="384">
        <f>Normalized_FCF!G117</f>
        <v>1.3282158707615834</v>
      </c>
    </row>
    <row r="69" spans="1:6">
      <c r="B69" s="382" t="str">
        <f>Normalized_FCF!B118</f>
        <v>Total Assets/Equity</v>
      </c>
      <c r="C69" s="384">
        <f>Normalized_FCF!E118</f>
        <v>1.5463719418456539</v>
      </c>
      <c r="D69" s="384">
        <f>Normalized_FCF!G118</f>
        <v>1.5463719418456539</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-20425</v>
      </c>
      <c r="D78" s="343" t="str">
        <f>Reporting_currency</f>
        <v>CNY</v>
      </c>
    </row>
    <row r="79" spans="1:6">
      <c r="B79" s="372" t="s">
        <v>234</v>
      </c>
      <c r="C79" s="387">
        <f>C78*scaling_factor*Exchange_Rate/Common_Shares</f>
        <v>-2.641183113174677</v>
      </c>
      <c r="D79" s="343" t="str">
        <f>Market_currency</f>
        <v>HKD</v>
      </c>
    </row>
    <row r="80" spans="1:6">
      <c r="B80" s="382" t="s">
        <v>309</v>
      </c>
      <c r="C80" s="388">
        <f>IF(BS!G31/BS!G27&gt;300%,"nm",BS!G31/BS!G27)</f>
        <v>0.22428295339746124</v>
      </c>
    </row>
    <row r="81" spans="1:6">
      <c r="B81" s="382" t="s">
        <v>311</v>
      </c>
      <c r="C81" s="389">
        <f>IF(BS!C50&gt;30,"nm",BS!C50)</f>
        <v>1.2715557492373779</v>
      </c>
    </row>
    <row r="83" spans="1:6">
      <c r="B83" s="343" t="s">
        <v>511</v>
      </c>
    </row>
    <row r="84" spans="1:6">
      <c r="B84" s="343" t="s">
        <v>224</v>
      </c>
      <c r="C84" s="373">
        <f>DCF!F5</f>
        <v>28371.274103242911</v>
      </c>
      <c r="D84" s="343" t="str">
        <f>Reporting_currency</f>
        <v>CNY</v>
      </c>
    </row>
    <row r="85" spans="1:6">
      <c r="B85" s="382" t="s">
        <v>481</v>
      </c>
      <c r="C85" s="390">
        <f>BS!C66</f>
        <v>42875</v>
      </c>
      <c r="D85" s="391" t="str">
        <f>Reporting_currency</f>
        <v>CNY</v>
      </c>
    </row>
    <row r="86" spans="1:6">
      <c r="B86" s="372" t="s">
        <v>235</v>
      </c>
      <c r="C86" s="387">
        <f>C84*scaling_factor*Exchange_Rate/Common_Shares</f>
        <v>3.6687260739650043</v>
      </c>
      <c r="D86" s="343" t="str">
        <f>Market_currency</f>
        <v>HKD</v>
      </c>
    </row>
    <row r="88" spans="1:6">
      <c r="B88" s="343" t="s">
        <v>512</v>
      </c>
    </row>
    <row r="89" spans="1:6">
      <c r="B89" s="343" t="s">
        <v>217</v>
      </c>
      <c r="C89" s="373">
        <f>DCF!F6</f>
        <v>174</v>
      </c>
      <c r="D89" s="343" t="str">
        <f>Reporting_currency</f>
        <v>CNY</v>
      </c>
    </row>
    <row r="90" spans="1:6">
      <c r="B90" s="372" t="s">
        <v>236</v>
      </c>
      <c r="C90" s="387">
        <f>C89*scaling_factor*Exchange_Rate/Common_Shares</f>
        <v>2.2500164587142903E-2</v>
      </c>
      <c r="D90" s="343" t="str">
        <f>Market_currency</f>
        <v>HKD</v>
      </c>
    </row>
    <row r="92" spans="1:6">
      <c r="B92" s="372" t="s">
        <v>480</v>
      </c>
      <c r="C92" s="387">
        <f>DCF!F8</f>
        <v>1.0500431253774698</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-2.9548535111001506</v>
      </c>
      <c r="D111" s="343" t="str">
        <f>Market_currency</f>
        <v>HKD</v>
      </c>
    </row>
    <row r="112" spans="1:6">
      <c r="A112" s="385"/>
      <c r="B112" s="372" t="s">
        <v>377</v>
      </c>
      <c r="C112" s="394">
        <f>DCF!C11</f>
        <v>14.73480095604905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5</v>
      </c>
      <c r="E118" s="398" t="str">
        <f>ROUND(DCF!E90,2)&amp;" "&amp;Market_currency</f>
        <v>13.8 HKD</v>
      </c>
      <c r="F118" s="399">
        <f>DCF!F90</f>
        <v>0.1</v>
      </c>
    </row>
    <row r="119" spans="1:6">
      <c r="A119" s="385"/>
      <c r="B119" s="400" t="str">
        <f>DCF!B91</f>
        <v>Optimistic</v>
      </c>
      <c r="C119" s="401">
        <f>DCF!C91</f>
        <v>0.04</v>
      </c>
      <c r="D119" s="402">
        <f>DCF!D91</f>
        <v>5</v>
      </c>
      <c r="E119" s="398" t="str">
        <f>ROUND(DCF!E91,2)&amp;" "&amp;Market_currency</f>
        <v>12.76 HKD</v>
      </c>
      <c r="F119" s="403">
        <f>DCF!F91</f>
        <v>8.0000000000000029E-2</v>
      </c>
    </row>
    <row r="120" spans="1:6">
      <c r="B120" s="400" t="str">
        <f>DCF!B92</f>
        <v>Base</v>
      </c>
      <c r="C120" s="401">
        <f>DCF!C92</f>
        <v>0.02</v>
      </c>
      <c r="D120" s="402">
        <f>DCF!D92</f>
        <v>5</v>
      </c>
      <c r="E120" s="398" t="str">
        <f>ROUND(DCF!E92,2)&amp;" "&amp;Market_currency</f>
        <v>11.8 HKD</v>
      </c>
      <c r="F120" s="403">
        <f>DCF!F92</f>
        <v>0.48</v>
      </c>
    </row>
    <row r="121" spans="1:6">
      <c r="B121" s="400" t="str">
        <f>DCF!B93</f>
        <v>Pessimistic</v>
      </c>
      <c r="C121" s="401">
        <f>DCF!C93</f>
        <v>0</v>
      </c>
      <c r="D121" s="402">
        <f>DCF!D93</f>
        <v>5</v>
      </c>
      <c r="E121" s="398" t="str">
        <f>ROUND(DCF!E93,2)&amp;" "&amp;Market_currency</f>
        <v>10.9 HKD</v>
      </c>
      <c r="F121" s="403">
        <f>DCF!F93</f>
        <v>0.24</v>
      </c>
    </row>
    <row r="122" spans="1:6">
      <c r="B122" s="400" t="str">
        <f>DCF!B94</f>
        <v>Devil's advocate</v>
      </c>
      <c r="C122" s="401">
        <f>DCF!C94</f>
        <v>-0.1</v>
      </c>
      <c r="D122" s="402">
        <f>DCF!D94</f>
        <v>5</v>
      </c>
      <c r="E122" s="398" t="str">
        <f>ROUND(DCF!E94,2)&amp;" "&amp;Market_currency</f>
        <v>7.32 HKD</v>
      </c>
      <c r="F122" s="403">
        <f>DCF!F94</f>
        <v>0.1</v>
      </c>
    </row>
    <row r="124" spans="1:6">
      <c r="B124" s="470" t="s">
        <v>518</v>
      </c>
      <c r="C124" s="470"/>
      <c r="D124" s="470"/>
      <c r="E124" s="470"/>
      <c r="F124" s="470"/>
    </row>
    <row r="125" spans="1:6">
      <c r="B125" s="372" t="s">
        <v>218</v>
      </c>
      <c r="C125" s="404">
        <f>Scenarios!C36</f>
        <v>11.411787242305987</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0.31823568409364317</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0.582324068113235</v>
      </c>
      <c r="D140" s="409">
        <f>Scenarios!D62</f>
        <v>5.2588881300949266</v>
      </c>
      <c r="E140" s="410">
        <f>Scenarios!E62</f>
        <v>5.8412121982081615</v>
      </c>
      <c r="F140" s="411">
        <f>E22</f>
        <v>0.29465259038036606</v>
      </c>
    </row>
    <row r="141" spans="1:6">
      <c r="B141" s="408" t="s">
        <v>313</v>
      </c>
      <c r="C141" s="409">
        <f>Scenarios!C63</f>
        <v>0.6695691354949006</v>
      </c>
      <c r="D141" s="409">
        <f>Scenarios!D63</f>
        <v>6.5916460605377569</v>
      </c>
      <c r="E141" s="410">
        <f>Scenarios!E63</f>
        <v>7.2612151960326576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0.7677764062295479</v>
      </c>
      <c r="D144" s="409">
        <f>Scenarios!D66</f>
        <v>8.1795171087965493</v>
      </c>
      <c r="E144" s="410">
        <f>Scenarios!E66</f>
        <v>8.9472935150260966</v>
      </c>
      <c r="F144" s="411">
        <f>E24</f>
        <v>0.1174</v>
      </c>
    </row>
    <row r="145" spans="1:6">
      <c r="B145" s="408" t="s">
        <v>314</v>
      </c>
      <c r="C145" s="409">
        <f>Scenarios!C67</f>
        <v>0.83135101752869123</v>
      </c>
      <c r="D145" s="409">
        <f>Scenarios!D67</f>
        <v>9.2504266463122189</v>
      </c>
      <c r="E145" s="410">
        <f>Scenarios!E67</f>
        <v>10.08177766384091</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2026-01-23T09:01:36Z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