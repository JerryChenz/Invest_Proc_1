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00C8044-8B7F-4241-A31E-E4D23E284E8B}"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<sst xmlns="http://schemas.openxmlformats.org/spreadsheetml/2006/main" count="768" uniqueCount="558">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</sst>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7.99</v>
      </c>
      <c r="E8" s="32"/>
    </row>
    <row r="9" spans="1:9">
      <c r="B9" s="4" t="s">
        <v>346</v>
      </c>
      <c r="C9" s="48">
        <v>8658801708</v>
      </c>
    </row>
    <row r="10" spans="1:9">
      <c r="B10" s="4" t="s">
        <v>352</v>
      </c>
      <c r="C10" s="33">
        <f>Thesis!C8*Common_Shares/1000000</f>
        <v>69183.825646919999</v>
      </c>
      <c r="D10" s="1" t="s">
        <v>527</v>
      </c>
      <c r="E10" s="303">
        <f>Scenarios!F34</f>
        <v>0.16181148869248071</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1.1197497097015401</v>
      </c>
    </row>
    <row r="17" spans="1:6">
      <c r="B17" s="1" t="s">
        <v>531</v>
      </c>
      <c r="C17" s="456">
        <v>0.02</v>
      </c>
      <c r="D17" s="4" t="s">
        <v>274</v>
      </c>
      <c r="E17" s="224" t="s">
        <v>557</v>
      </c>
    </row>
    <row r="18" spans="1:6">
      <c r="B18" s="1" t="str">
        <f>"Expected Equity Value ("&amp;C7&amp;") :"</f>
        <v>Expected Equity Value (HKD) :</v>
      </c>
      <c r="C18" s="252">
        <f>C125</f>
        <v>11.41248741924338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5.8415706859532328</v>
      </c>
      <c r="D22" s="38" t="s">
        <v>406</v>
      </c>
      <c r="E22" s="79">
        <v>0.29465259038036601</v>
      </c>
    </row>
    <row r="23" spans="1:6">
      <c r="B23" s="1" t="s">
        <v>313</v>
      </c>
      <c r="C23" s="256">
        <f>E141</f>
        <v>7.2616608233908284</v>
      </c>
      <c r="D23" s="38" t="s">
        <v>407</v>
      </c>
      <c r="E23" s="443">
        <v>0.20075184365903001</v>
      </c>
    </row>
    <row r="24" spans="1:6">
      <c r="B24" s="1" t="s">
        <v>315</v>
      </c>
      <c r="C24" s="256">
        <f>E144</f>
        <v>8.947842609026484</v>
      </c>
      <c r="D24" s="38" t="s">
        <v>408</v>
      </c>
      <c r="E24" s="443">
        <v>0.1174</v>
      </c>
    </row>
    <row r="25" spans="1:6">
      <c r="B25" s="1" t="s">
        <v>314</v>
      </c>
      <c r="C25" s="256">
        <f>E145</f>
        <v>10.08239637534529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16063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291.16000000000003</v>
      </c>
      <c r="D41" s="1" t="str">
        <f>Reporting_currency</f>
        <v>CNY</v>
      </c>
    </row>
    <row r="43" spans="2:6">
      <c r="B43" s="461" t="s">
        <v>205</v>
      </c>
      <c r="C43" s="461"/>
      <c r="D43" s="461"/>
      <c r="E43" s="461"/>
      <c r="F43" s="461"/>
    </row>
    <row r="44" spans="2:6">
      <c r="B44" s="44" t="s">
        <v>267</v>
      </c>
      <c r="C44" s="286">
        <f>Normalized_FCF!C46</f>
        <v>87.022449561355714</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-715.97755043864424</v>
      </c>
      <c r="D46" s="1" t="str">
        <f>Reporting_currency</f>
        <v>CNY</v>
      </c>
    </row>
    <row r="48" spans="2:6">
      <c r="B48" s="1" t="s">
        <v>211</v>
      </c>
    </row>
    <row r="49" spans="2:6">
      <c r="B49" s="44" t="s">
        <v>223</v>
      </c>
      <c r="C49" s="285">
        <f>Normalized_FCF!C13</f>
        <v>-6281.6063376994261</v>
      </c>
      <c r="D49" s="1" t="str">
        <f>Reporting_currency</f>
        <v>CNY</v>
      </c>
    </row>
    <row r="51" spans="2:6">
      <c r="B51" s="461" t="s">
        <v>206</v>
      </c>
      <c r="C51" s="461"/>
      <c r="D51" s="461"/>
      <c r="E51" s="461"/>
      <c r="F51" s="461"/>
    </row>
    <row r="52" spans="2:6">
      <c r="B52" s="44" t="s">
        <v>204</v>
      </c>
      <c r="C52" s="285">
        <f>Normalized_FCF!C12</f>
        <v>-3909.5456123903391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10035.071940446174</v>
      </c>
      <c r="D60" s="1" t="str">
        <f>Reporting_currency</f>
        <v>CNY</v>
      </c>
    </row>
    <row r="61" spans="2:6">
      <c r="B61" s="44" t="s">
        <v>213</v>
      </c>
      <c r="C61" s="285">
        <f>Normalized_FCF!C19</f>
        <v>5447.0304994715916</v>
      </c>
      <c r="D61" s="1" t="str">
        <f>Reporting_currency</f>
        <v>CNY</v>
      </c>
    </row>
    <row r="62" spans="2:6">
      <c r="B62" s="204" t="s">
        <v>302</v>
      </c>
      <c r="C62" s="89">
        <f>Normalized_FCF!C124</f>
        <v>8.8160935933878734E-2</v>
      </c>
      <c r="F62" s="257"/>
    </row>
    <row r="63" spans="2:6">
      <c r="B63" s="204" t="s">
        <v>332</v>
      </c>
      <c r="C63" s="89">
        <f>Normalized_FCF!C92</f>
        <v>3.9831697433212979E-2</v>
      </c>
      <c r="E63" s="44" t="s">
        <v>322</v>
      </c>
      <c r="F63" s="258">
        <f>Normalized_FCF!C90</f>
        <v>0.56212263232387805</v>
      </c>
    </row>
    <row r="65" spans="1:6">
      <c r="B65" s="192" t="s">
        <v>325</v>
      </c>
      <c r="C65" s="264" t="s">
        <v>327</v>
      </c>
      <c r="D65" s="264" t="s">
        <v>328</v>
      </c>
    </row>
    <row r="66" spans="1:6">
      <c r="B66" s="44" t="s">
        <v>326</v>
      </c>
      <c r="C66" s="89">
        <f>Normalized_FCF!E119</f>
        <v>0.17171984066369478</v>
      </c>
      <c r="D66" s="89">
        <f>Normalized_FCF!G119</f>
        <v>0.18349005073622102</v>
      </c>
    </row>
    <row r="67" spans="1:6">
      <c r="B67" s="229" t="str">
        <f>Normalized_FCF!B116</f>
        <v>Pre-tax Profit/Sales</v>
      </c>
      <c r="C67" s="263">
        <f>Normalized_FCF!E116</f>
        <v>8.3606077914317095E-2</v>
      </c>
      <c r="D67" s="263">
        <f>Normalized_FCF!G116</f>
        <v>8.9336697606183374E-2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-20425</v>
      </c>
      <c r="D78" s="1" t="str">
        <f>Reporting_currency</f>
        <v>CNY</v>
      </c>
    </row>
    <row r="79" spans="1:6">
      <c r="A79" s="191"/>
      <c r="B79" s="44" t="s">
        <v>234</v>
      </c>
      <c r="C79" s="201">
        <f>C78*scaling_factor*Exchange_Rate/Common_Shares</f>
        <v>-2.6413456032285842</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28371.258406440713</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3.6689497503017963</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2.2501548835337757E-2</v>
      </c>
      <c r="D90" s="1" t="str">
        <f>Market_currency</f>
        <v>HKD</v>
      </c>
    </row>
    <row r="91" spans="1:6">
      <c r="A91" s="191"/>
    </row>
    <row r="92" spans="1:6">
      <c r="A92" s="191"/>
      <c r="B92" s="44" t="s">
        <v>469</v>
      </c>
      <c r="C92" s="216">
        <f>DCF!F8</f>
        <v>1.0501056959085497</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-2.9550352986876574</v>
      </c>
      <c r="D111" s="1" t="str">
        <f>Market_currency</f>
        <v>HKD</v>
      </c>
    </row>
    <row r="112" spans="2:6">
      <c r="B112" s="44" t="s">
        <v>323</v>
      </c>
      <c r="C112" s="216">
        <f>DCF!C11</f>
        <v>14.735705613507122</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13.8 HKD</v>
      </c>
      <c r="E118" s="208">
        <f>DCF!F90</f>
        <v>0.1</v>
      </c>
      <c r="F118" s="208">
        <f>RATE(Holding_Period,Scenarios!C$58,-DCF!E90,C$18)</f>
        <v>-3.6708378448641332E-2</v>
      </c>
    </row>
    <row r="119" spans="2:6">
      <c r="B119" s="205" t="str">
        <f>DCF!B91&amp;" ("&amp;DCF!D91&amp;"yrs)"</f>
        <v>Optimistic (5yrs)</v>
      </c>
      <c r="C119" s="198">
        <f>DCF!C91</f>
        <v>0.04</v>
      </c>
      <c r="D119" s="207" t="str">
        <f>ROUND(DCF!E91,2)&amp;" "&amp;Market_currency</f>
        <v>12.76 HKD</v>
      </c>
      <c r="E119" s="199">
        <f>DCF!F91</f>
        <v>8.0000000000000029E-2</v>
      </c>
      <c r="F119" s="208">
        <f>RATE(Holding_Period,Scenarios!C$58,-DCF!E91,C$18)</f>
        <v>-1.0679138224550151E-2</v>
      </c>
    </row>
    <row r="120" spans="2:6">
      <c r="B120" s="205" t="str">
        <f>DCF!B92&amp;" ("&amp;DCF!D92&amp;"yrs)"</f>
        <v>Base (5yrs)</v>
      </c>
      <c r="C120" s="198">
        <f>DCF!C92</f>
        <v>0.02</v>
      </c>
      <c r="D120" s="207" t="str">
        <f>ROUND(DCF!E92,2)&amp;" "&amp;Market_currency</f>
        <v>11.8 HKD</v>
      </c>
      <c r="E120" s="199">
        <f>DCF!F92</f>
        <v>0.48</v>
      </c>
      <c r="F120" s="208">
        <f>RATE(Holding_Period,Scenarios!C$58,-DCF!E92,C$18)</f>
        <v>1.6250911268994955E-2</v>
      </c>
    </row>
    <row r="121" spans="2:6">
      <c r="B121" s="205" t="str">
        <f>DCF!B93&amp;" ("&amp;DCF!D93&amp;"yrs)"</f>
        <v>Pessimistic (5yrs)</v>
      </c>
      <c r="C121" s="198">
        <f>DCF!C93</f>
        <v>0</v>
      </c>
      <c r="D121" s="207" t="str">
        <f>ROUND(DCF!E93,2)&amp;" "&amp;Market_currency</f>
        <v>10.9 HKD</v>
      </c>
      <c r="E121" s="199">
        <f>DCF!F93</f>
        <v>0.24</v>
      </c>
      <c r="F121" s="208">
        <f>RATE(Holding_Period,Scenarios!C$58,-DCF!E93,C$18)</f>
        <v>4.4099304845989139E-2</v>
      </c>
    </row>
    <row r="122" spans="2:6">
      <c r="B122" s="205" t="str">
        <f>DCF!B94&amp;" ("&amp;DCF!D94&amp;"yrs)"</f>
        <v>Devil's advocate (5yrs)</v>
      </c>
      <c r="C122" s="198">
        <f>DCF!C94</f>
        <v>-0.1</v>
      </c>
      <c r="D122" s="207" t="str">
        <f>ROUND(DCF!E94,2)&amp;" "&amp;Market_currency</f>
        <v>7.32 HKD</v>
      </c>
      <c r="E122" s="199">
        <f>DCF!F94</f>
        <v>0.1</v>
      </c>
      <c r="F122" s="208">
        <f>RATE(Holding_Period,Scenarios!C$58,-DCF!E94,C$18)</f>
        <v>0.19744746897309928</v>
      </c>
    </row>
    <row r="124" spans="2:6">
      <c r="B124" s="461" t="s">
        <v>357</v>
      </c>
      <c r="C124" s="461"/>
      <c r="D124" s="461"/>
      <c r="E124" s="461"/>
      <c r="F124" s="461"/>
    </row>
    <row r="125" spans="2:6">
      <c r="B125" s="193" t="s">
        <v>218</v>
      </c>
      <c r="C125" s="197">
        <f>Scenarios!C36</f>
        <v>11.41248741924338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0.3182552624913717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0.58235989367517638</v>
      </c>
      <c r="D140" s="333">
        <f>Scenarios!D62</f>
        <v>5.2592107922780569</v>
      </c>
      <c r="E140" s="334">
        <f>Scenarios!E62</f>
        <v>5.8415706859532328</v>
      </c>
      <c r="F140" s="335">
        <f>E22</f>
        <v>0.29465259038036601</v>
      </c>
    </row>
    <row r="141" spans="1:6">
      <c r="B141" s="336" t="s">
        <v>313</v>
      </c>
      <c r="C141" s="333">
        <f>Scenarios!C63</f>
        <v>0.66961032852100288</v>
      </c>
      <c r="D141" s="333">
        <f>Scenarios!D63</f>
        <v>6.5920504948698255</v>
      </c>
      <c r="E141" s="334">
        <f>Scenarios!E63</f>
        <v>7.2616608233908284</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0.76782364113310875</v>
      </c>
      <c r="D144" s="333">
        <f>Scenarios!D66</f>
        <v>8.1800189678933748</v>
      </c>
      <c r="E144" s="334">
        <f>Scenarios!E66</f>
        <v>8.947842609026484</v>
      </c>
      <c r="F144" s="335">
        <f>E24</f>
        <v>0.1174</v>
      </c>
    </row>
    <row r="145" spans="1:6">
      <c r="B145" s="336" t="s">
        <v>314</v>
      </c>
      <c r="C145" s="333">
        <f>Scenarios!C67</f>
        <v>0.83140216364990516</v>
      </c>
      <c r="D145" s="333">
        <f>Scenarios!D67</f>
        <v>9.2509942116953852</v>
      </c>
      <c r="E145" s="334">
        <f>Scenarios!E67</f>
        <v>10.08239637534529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0.35361695832374634</v>
      </c>
      <c r="D25" s="37">
        <f>(0.2838)*Exchange_Rate</f>
        <v>0.31778496761329705</v>
      </c>
      <c r="E25" s="37">
        <f>0.2539*Exchange_Rate</f>
        <v>0.28430445129322102</v>
      </c>
      <c r="F25" s="37">
        <f>0.2078*Exchange_Rate</f>
        <v>0.23268398967598006</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0.35361695832374634</v>
      </c>
      <c r="D65" s="70">
        <f t="shared" ref="D65:M65" si="33">IF(D$4="","",D25)</f>
        <v>0.31778496761329705</v>
      </c>
      <c r="E65" s="70">
        <f t="shared" si="33"/>
        <v>0.28430445129322102</v>
      </c>
      <c r="F65" s="70">
        <f t="shared" si="33"/>
        <v>0.23268398967598006</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8.6628376631126756</v>
      </c>
      <c r="D47" s="134">
        <f>D46*H1/Common_Shares*Exchange_Rate</f>
        <v>-2.9550352986876574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28371.258406440713</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-14503.741593559285</v>
      </c>
      <c r="D73" s="285">
        <f>(Normalized_FCF!C26+Normalized_FCF!C35-Normalized_FCF!C89)/12</f>
        <v>-14503.741593559285</v>
      </c>
      <c r="F73" s="1" t="s">
        <v>278</v>
      </c>
    </row>
    <row r="74" spans="2:6" ht="15" customHeight="1">
      <c r="B74" s="227" t="s">
        <v>259</v>
      </c>
      <c r="C74" s="228">
        <f>-$C$66/C73</f>
        <v>2.9561337482074013</v>
      </c>
      <c r="D74" s="228">
        <f>-$C$66/D73</f>
        <v>2.9561337482074013</v>
      </c>
      <c r="F74" s="223" t="s">
        <v>257</v>
      </c>
    </row>
    <row r="75" spans="2:6" ht="15" customHeight="1">
      <c r="B75" s="77" t="s">
        <v>258</v>
      </c>
      <c r="C75" s="261"/>
      <c r="D75" s="262">
        <f>MAX(-D73*D76,G5)</f>
        <v>14503.741593559285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-22870.887820653956</v>
      </c>
      <c r="D86" s="201">
        <f>C86*scaling_factor/Common_Shares</f>
        <v>-2.6413456032285842</v>
      </c>
      <c r="E86" s="214" t="str">
        <f>Market_currency</f>
        <v>HKD</v>
      </c>
    </row>
    <row r="87" spans="2:8" ht="15" customHeight="1">
      <c r="B87" s="212" t="s">
        <v>240</v>
      </c>
      <c r="C87" s="73">
        <f>DCF!F5*Exchange_Rate</f>
        <v>31768.708364479367</v>
      </c>
      <c r="D87" s="201">
        <f>C87*scaling_factor/Common_Shares</f>
        <v>3.6689497503017963</v>
      </c>
      <c r="E87" s="214" t="str">
        <f>Market_currency</f>
        <v>HKD</v>
      </c>
    </row>
    <row r="88" spans="2:8" ht="15" customHeight="1">
      <c r="B88" s="213" t="s">
        <v>159</v>
      </c>
      <c r="C88" s="73">
        <f>DCF!F6*Exchange_Rate</f>
        <v>194.83644948806798</v>
      </c>
      <c r="D88" s="201">
        <f>C88*scaling_factor/Common_Shares</f>
        <v>2.2501548835337757E-2</v>
      </c>
      <c r="E88" s="214" t="str">
        <f>Market_currency</f>
        <v>HKD</v>
      </c>
    </row>
    <row r="89" spans="2:8" ht="15" customHeight="1">
      <c r="B89" s="77" t="s">
        <v>244</v>
      </c>
      <c r="C89" s="162">
        <f>SUM(C86:C88)</f>
        <v>9092.6569933134797</v>
      </c>
      <c r="D89" s="216">
        <f>SUM(D86:D88)</f>
        <v>1.0501056959085497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-715.97755043864424</v>
      </c>
      <c r="E10" s="237"/>
      <c r="G10" s="266">
        <f>G48</f>
        <v>-478.92805955382397</v>
      </c>
      <c r="H10" s="266">
        <f t="shared" ref="H10:Q10" si="6">H48</f>
        <v>-665.69667203739755</v>
      </c>
      <c r="I10" s="266">
        <f t="shared" si="6"/>
        <v>-608.41774859784425</v>
      </c>
      <c r="J10" s="266">
        <f t="shared" si="6"/>
        <v>-604.05004541124515</v>
      </c>
      <c r="K10" s="266">
        <f t="shared" si="6"/>
        <v>-596.3677031865991</v>
      </c>
      <c r="L10" s="266">
        <f t="shared" si="6"/>
        <v>-895.3113656761459</v>
      </c>
      <c r="M10" s="266">
        <f t="shared" si="6"/>
        <v>-1030.2074922425659</v>
      </c>
      <c r="N10" s="266">
        <f t="shared" si="6"/>
        <v>-1073.622985976886</v>
      </c>
      <c r="O10" s="266">
        <f t="shared" si="6"/>
        <v>-566.94038912764563</v>
      </c>
      <c r="P10" s="266">
        <f t="shared" si="6"/>
        <v>-500.88707035449937</v>
      </c>
      <c r="Q10" s="266" t="str">
        <f t="shared" si="6"/>
        <v/>
      </c>
    </row>
    <row r="11" spans="1:17" ht="15.75" customHeight="1">
      <c r="A11" s="10"/>
      <c r="B11" s="67" t="s">
        <v>137</v>
      </c>
      <c r="C11" s="267">
        <f>SUM(C8:C10)</f>
        <v>15638.182449561356</v>
      </c>
      <c r="E11" s="237"/>
      <c r="G11" s="267">
        <f t="shared" ref="G11:Q11" si="7">IF(G$4="","",SUM(G8:G10))</f>
        <v>16710.071940446174</v>
      </c>
      <c r="H11" s="267">
        <f t="shared" si="7"/>
        <v>17016.303327962603</v>
      </c>
      <c r="I11" s="267">
        <f t="shared" si="7"/>
        <v>16731.582251402157</v>
      </c>
      <c r="J11" s="267">
        <f t="shared" si="7"/>
        <v>14520.949954588756</v>
      </c>
      <c r="K11" s="267">
        <f t="shared" si="7"/>
        <v>11496.632296813401</v>
      </c>
      <c r="L11" s="267">
        <f t="shared" si="7"/>
        <v>20325.688634323855</v>
      </c>
      <c r="M11" s="267">
        <f t="shared" si="7"/>
        <v>19125.792507757433</v>
      </c>
      <c r="N11" s="267">
        <f t="shared" si="7"/>
        <v>16885.377014023114</v>
      </c>
      <c r="O11" s="267">
        <f t="shared" si="7"/>
        <v>17654.059610872355</v>
      </c>
      <c r="P11" s="267">
        <f t="shared" si="7"/>
        <v>11794.1129296455</v>
      </c>
      <c r="Q11" s="267" t="str">
        <f t="shared" si="7"/>
        <v/>
      </c>
    </row>
    <row r="12" spans="1:17" ht="15.75" customHeight="1">
      <c r="A12" s="10"/>
      <c r="B12" s="2" t="s">
        <v>60</v>
      </c>
      <c r="C12" s="266">
        <f>-C11*C41</f>
        <v>-3909.5456123903391</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5447.0304994715916</v>
      </c>
      <c r="D14" s="58"/>
      <c r="E14" s="243"/>
      <c r="F14" s="58"/>
      <c r="G14" s="267">
        <f t="shared" ref="G14:Q14" si="8">IF(G$4="","",SUM(G11:G13))</f>
        <v>10035.071940446174</v>
      </c>
      <c r="H14" s="267">
        <f t="shared" si="8"/>
        <v>10105.303327962603</v>
      </c>
      <c r="I14" s="267">
        <f t="shared" si="8"/>
        <v>10567.582251402157</v>
      </c>
      <c r="J14" s="267">
        <f t="shared" si="8"/>
        <v>8501.9499545887556</v>
      </c>
      <c r="K14" s="267">
        <f t="shared" si="8"/>
        <v>5514.6322968134009</v>
      </c>
      <c r="L14" s="267">
        <f t="shared" si="8"/>
        <v>12231.688634323855</v>
      </c>
      <c r="M14" s="267">
        <f t="shared" si="8"/>
        <v>11774.792507757433</v>
      </c>
      <c r="N14" s="267">
        <f t="shared" si="8"/>
        <v>10165.377014023114</v>
      </c>
      <c r="O14" s="267">
        <f t="shared" si="8"/>
        <v>11198.059610872355</v>
      </c>
      <c r="P14" s="267">
        <f t="shared" si="8"/>
        <v>7004.1129296455001</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5447.0304994715916</v>
      </c>
      <c r="D19" s="26"/>
      <c r="E19" s="234"/>
      <c r="F19" s="26"/>
      <c r="G19" s="271">
        <f t="shared" ref="G19:Q19" si="9">IF(G$4="","",G14+G17)</f>
        <v>10035.071940446174</v>
      </c>
      <c r="H19" s="271">
        <f t="shared" si="9"/>
        <v>10105.303327962603</v>
      </c>
      <c r="I19" s="271">
        <f t="shared" si="9"/>
        <v>10567.582251402157</v>
      </c>
      <c r="J19" s="271">
        <f t="shared" si="9"/>
        <v>8501.9499545887556</v>
      </c>
      <c r="K19" s="271">
        <f t="shared" si="9"/>
        <v>5514.6322968134009</v>
      </c>
      <c r="L19" s="271">
        <f t="shared" si="9"/>
        <v>12231.688634323855</v>
      </c>
      <c r="M19" s="271">
        <f t="shared" si="9"/>
        <v>11774.792507757433</v>
      </c>
      <c r="N19" s="271">
        <f t="shared" si="9"/>
        <v>10165.377014023114</v>
      </c>
      <c r="O19" s="271">
        <f t="shared" si="9"/>
        <v>11198.059610872355</v>
      </c>
      <c r="P19" s="271">
        <f t="shared" si="9"/>
        <v>7004.1129296455001</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0.18719249151936801</v>
      </c>
      <c r="H41" s="6">
        <f t="shared" si="16"/>
        <v>0.19616481533416963</v>
      </c>
      <c r="I41" s="6">
        <f t="shared" si="16"/>
        <v>0.19059763458609852</v>
      </c>
      <c r="J41" s="6">
        <f t="shared" si="16"/>
        <v>0.18580051638752509</v>
      </c>
      <c r="K41" s="6">
        <f t="shared" si="16"/>
        <v>0.20118935182793571</v>
      </c>
      <c r="L41" s="6">
        <f t="shared" si="16"/>
        <v>0.20043601342590003</v>
      </c>
      <c r="M41" s="6">
        <f t="shared" si="16"/>
        <v>0.19722058568135539</v>
      </c>
      <c r="N41" s="6">
        <f t="shared" si="16"/>
        <v>0.20911585196276899</v>
      </c>
      <c r="O41" s="6">
        <f t="shared" si="16"/>
        <v>0.20964016671387684</v>
      </c>
      <c r="P41" s="6">
        <f t="shared" si="16"/>
        <v>0.22104248242757496</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87.022449561355714</v>
      </c>
      <c r="E46" s="237"/>
      <c r="G46" s="274">
        <f t="shared" ref="G46:Q46" si="17">IFERROR(IF(G$4="","",($C$46/$C$47)*G47),0)</f>
        <v>324.07194044617603</v>
      </c>
      <c r="H46" s="274">
        <f t="shared" si="17"/>
        <v>294.30332796260245</v>
      </c>
      <c r="I46" s="274">
        <f t="shared" si="17"/>
        <v>290.58225140215575</v>
      </c>
      <c r="J46" s="274">
        <f t="shared" si="17"/>
        <v>178.94995458875482</v>
      </c>
      <c r="K46" s="274">
        <f t="shared" si="17"/>
        <v>111.63229681340093</v>
      </c>
      <c r="L46" s="274">
        <f t="shared" si="17"/>
        <v>92.688634323854103</v>
      </c>
      <c r="M46" s="274">
        <f t="shared" si="17"/>
        <v>99.792507757434151</v>
      </c>
      <c r="N46" s="274">
        <f t="shared" si="17"/>
        <v>71.377014023113929</v>
      </c>
      <c r="O46" s="274">
        <f t="shared" si="17"/>
        <v>118.05961087235431</v>
      </c>
      <c r="P46" s="274">
        <f t="shared" si="17"/>
        <v>76.112929645500628</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-715.97755043864424</v>
      </c>
      <c r="E48" s="237"/>
      <c r="G48" s="267">
        <f>IF(G$4="","",(G45+G46))</f>
        <v>-478.92805955382397</v>
      </c>
      <c r="H48" s="267">
        <f t="shared" ref="H48:Q48" si="18">IF(H$4="","",(H45+H46))</f>
        <v>-665.69667203739755</v>
      </c>
      <c r="I48" s="267">
        <f t="shared" si="18"/>
        <v>-608.41774859784425</v>
      </c>
      <c r="J48" s="267">
        <f t="shared" si="18"/>
        <v>-604.05004541124515</v>
      </c>
      <c r="K48" s="267">
        <f t="shared" si="18"/>
        <v>-596.3677031865991</v>
      </c>
      <c r="L48" s="267">
        <f t="shared" si="18"/>
        <v>-895.3113656761459</v>
      </c>
      <c r="M48" s="267">
        <f t="shared" si="18"/>
        <v>-1030.2074922425659</v>
      </c>
      <c r="N48" s="267">
        <f t="shared" si="18"/>
        <v>-1073.622985976886</v>
      </c>
      <c r="O48" s="267">
        <f t="shared" si="18"/>
        <v>-566.94038912764563</v>
      </c>
      <c r="P48" s="267">
        <f t="shared" si="18"/>
        <v>-500.88707035449937</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3.8278153525798161E-3</v>
      </c>
      <c r="D76" s="26"/>
      <c r="E76" s="234"/>
      <c r="F76" s="26"/>
      <c r="G76" s="6">
        <f t="shared" ref="G76:Q76" si="28">IF(G$4="","",ABS(G10/G$4))</f>
        <v>2.5604827665591562E-3</v>
      </c>
      <c r="H76" s="6">
        <f t="shared" si="28"/>
        <v>3.7534911647743923E-3</v>
      </c>
      <c r="I76" s="6">
        <f t="shared" si="28"/>
        <v>3.5384645500735369E-3</v>
      </c>
      <c r="J76" s="6">
        <f t="shared" si="28"/>
        <v>4.359892638680341E-3</v>
      </c>
      <c r="K76" s="6">
        <f t="shared" si="28"/>
        <v>5.4586933134396854E-3</v>
      </c>
      <c r="L76" s="6">
        <f t="shared" si="28"/>
        <v>7.9012237402252689E-3</v>
      </c>
      <c r="M76" s="6">
        <f t="shared" si="28"/>
        <v>9.7677774935295905E-3</v>
      </c>
      <c r="N76" s="6">
        <f t="shared" si="28"/>
        <v>1.2103160845679953E-2</v>
      </c>
      <c r="O76" s="6">
        <f t="shared" si="28"/>
        <v>6.9238708034445378E-3</v>
      </c>
      <c r="P76" s="6">
        <f t="shared" si="28"/>
        <v>1.2028699367318253E-2</v>
      </c>
      <c r="Q76" s="6" t="str">
        <f t="shared" si="28"/>
        <v/>
      </c>
    </row>
    <row r="77" spans="1:17" ht="15.75" customHeight="1">
      <c r="A77" s="10"/>
      <c r="B77" s="67" t="s">
        <v>137</v>
      </c>
      <c r="C77" s="75">
        <f>C11/C4</f>
        <v>8.3606077914317095E-2</v>
      </c>
      <c r="D77" s="26"/>
      <c r="E77" s="234"/>
      <c r="F77" s="26"/>
      <c r="G77" s="62">
        <f t="shared" ref="G77:Q77" si="29">IF(G$4="","",G11/G$4)</f>
        <v>8.9336697606183374E-2</v>
      </c>
      <c r="H77" s="62">
        <f t="shared" si="29"/>
        <v>9.5945416105430961E-2</v>
      </c>
      <c r="I77" s="62">
        <f t="shared" si="29"/>
        <v>9.7308322776032644E-2</v>
      </c>
      <c r="J77" s="62">
        <f t="shared" si="29"/>
        <v>0.1048088371064603</v>
      </c>
      <c r="K77" s="62">
        <f t="shared" si="29"/>
        <v>0.10523136902008587</v>
      </c>
      <c r="L77" s="62">
        <f t="shared" si="29"/>
        <v>0.17937649373261547</v>
      </c>
      <c r="M77" s="62">
        <f t="shared" si="29"/>
        <v>0.18133869828157231</v>
      </c>
      <c r="N77" s="62">
        <f t="shared" si="29"/>
        <v>0.19035214093773942</v>
      </c>
      <c r="O77" s="62">
        <f t="shared" si="29"/>
        <v>0.21560366882675502</v>
      </c>
      <c r="P77" s="62">
        <f t="shared" si="29"/>
        <v>0.28323318195157415</v>
      </c>
      <c r="Q77" s="62" t="str">
        <f t="shared" si="29"/>
        <v/>
      </c>
    </row>
    <row r="78" spans="1:17" ht="15.75" customHeight="1">
      <c r="A78" s="10"/>
      <c r="B78" s="2" t="s">
        <v>60</v>
      </c>
      <c r="C78" s="74">
        <f>ABS(C12/C$4)</f>
        <v>2.0901519478579274E-2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2.9121341806141759E-2</v>
      </c>
      <c r="D80" s="26"/>
      <c r="E80" s="234"/>
      <c r="F80" s="26"/>
      <c r="G80" s="62">
        <f t="shared" ref="G80:Q80" si="32">IF(G$4="","",ABS(G14/G$4))</f>
        <v>5.3650288915273112E-2</v>
      </c>
      <c r="H80" s="62">
        <f t="shared" si="32"/>
        <v>5.6978152891745341E-2</v>
      </c>
      <c r="I80" s="62">
        <f t="shared" si="32"/>
        <v>6.1459441744999281E-2</v>
      </c>
      <c r="J80" s="62">
        <f t="shared" si="32"/>
        <v>6.1365095993336234E-2</v>
      </c>
      <c r="K80" s="62">
        <f t="shared" si="32"/>
        <v>5.0476721465372409E-2</v>
      </c>
      <c r="L80" s="62">
        <f t="shared" si="32"/>
        <v>0.10794603120845671</v>
      </c>
      <c r="M80" s="62">
        <f t="shared" si="32"/>
        <v>0.11164115395617173</v>
      </c>
      <c r="N80" s="62">
        <f t="shared" si="32"/>
        <v>0.11459627323995122</v>
      </c>
      <c r="O80" s="62">
        <f t="shared" si="32"/>
        <v>0.13675850139068849</v>
      </c>
      <c r="P80" s="62">
        <f t="shared" si="32"/>
        <v>0.16820232294242454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2.9121341806141759E-2</v>
      </c>
      <c r="D85" s="72"/>
      <c r="E85" s="234"/>
      <c r="F85" s="72"/>
      <c r="G85" s="62">
        <f t="shared" ref="G85:Q85" si="35">IF(G$4="","",ABS(G19/G$4))</f>
        <v>5.3650288915273112E-2</v>
      </c>
      <c r="H85" s="62">
        <f t="shared" si="35"/>
        <v>5.6978152891745341E-2</v>
      </c>
      <c r="I85" s="62">
        <f t="shared" si="35"/>
        <v>6.1459441744999281E-2</v>
      </c>
      <c r="J85" s="62">
        <f t="shared" si="35"/>
        <v>6.1365095993336234E-2</v>
      </c>
      <c r="K85" s="62">
        <f t="shared" si="35"/>
        <v>5.0476721465372409E-2</v>
      </c>
      <c r="L85" s="62">
        <f t="shared" si="35"/>
        <v>0.10794603120845671</v>
      </c>
      <c r="M85" s="62">
        <f t="shared" si="35"/>
        <v>0.11164115395617173</v>
      </c>
      <c r="N85" s="62">
        <f t="shared" si="35"/>
        <v>0.11459627323995122</v>
      </c>
      <c r="O85" s="62">
        <f t="shared" si="35"/>
        <v>0.13675850139068849</v>
      </c>
      <c r="P85" s="62">
        <f t="shared" si="35"/>
        <v>0.16820232294242454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0.35361695832374634</v>
      </c>
      <c r="E88" s="237"/>
      <c r="G88" s="109">
        <f>Data!C65</f>
        <v>0.35361695832374634</v>
      </c>
      <c r="H88" s="109">
        <f>Data!D65</f>
        <v>0.31778496761329705</v>
      </c>
      <c r="I88" s="109">
        <f>Data!E65</f>
        <v>0.28430445129322102</v>
      </c>
      <c r="J88" s="109">
        <f>Data!F65</f>
        <v>0.23268398967598006</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3061.8991227114197</v>
      </c>
      <c r="E89" s="237"/>
      <c r="G89" s="71">
        <f t="shared" ref="G89:Q89" si="36">IF(G$4="","",G88*Common_Shares/scaling_factor)</f>
        <v>3061.8991227114197</v>
      </c>
      <c r="H89" s="71">
        <f t="shared" si="36"/>
        <v>2751.6370203467413</v>
      </c>
      <c r="I89" s="71">
        <f t="shared" si="36"/>
        <v>2461.7358684497453</v>
      </c>
      <c r="J89" s="71">
        <f t="shared" si="36"/>
        <v>2014.7645272306304</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0.56212263232387805</v>
      </c>
      <c r="E90" s="237"/>
      <c r="G90" s="152">
        <f t="shared" ref="G90:Q90" si="37">IF(G$4="","",G88/(G19*scaling_factor/Common_Shares))</f>
        <v>0.3051197979329367</v>
      </c>
      <c r="H90" s="152">
        <f t="shared" si="37"/>
        <v>0.272296331049522</v>
      </c>
      <c r="I90" s="152">
        <f t="shared" si="37"/>
        <v>0.2329516638607767</v>
      </c>
      <c r="J90" s="152">
        <f t="shared" si="37"/>
        <v>0.23697675686072489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3.9831697433212979E-2</v>
      </c>
      <c r="E92" s="237"/>
      <c r="G92" s="22">
        <f t="shared" ref="G92:Q92" si="38">IF(G$4="","",(G88*(1-dividend_tax_rate))/Market_Price)</f>
        <v>3.9831697433212979E-2</v>
      </c>
      <c r="H92" s="22">
        <f t="shared" si="38"/>
        <v>3.5795553298118565E-2</v>
      </c>
      <c r="I92" s="22">
        <f t="shared" si="38"/>
        <v>3.2024281121889729E-2</v>
      </c>
      <c r="J92" s="22">
        <f t="shared" si="38"/>
        <v>2.6209710977269342E-2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-6.4146312158617658E-2</v>
      </c>
      <c r="D96" s="26"/>
      <c r="E96" s="234"/>
      <c r="F96" s="26"/>
      <c r="G96" s="6">
        <f t="shared" ref="G96:Q96" si="40">IF(H5="","",G11/H11-1)</f>
        <v>-1.7996352181452013E-2</v>
      </c>
      <c r="H96" s="6">
        <f t="shared" si="40"/>
        <v>1.70169845435022E-2</v>
      </c>
      <c r="I96" s="6">
        <f t="shared" si="40"/>
        <v>0.1522374433991367</v>
      </c>
      <c r="J96" s="6">
        <f t="shared" si="40"/>
        <v>0.2630611799782121</v>
      </c>
      <c r="K96" s="6">
        <f t="shared" si="40"/>
        <v>-0.43437919847895756</v>
      </c>
      <c r="L96" s="6">
        <f t="shared" si="40"/>
        <v>6.2737067030280924E-2</v>
      </c>
      <c r="M96" s="6">
        <f t="shared" si="40"/>
        <v>0.13268377080794114</v>
      </c>
      <c r="N96" s="6">
        <f t="shared" si="40"/>
        <v>-4.3541407120651354E-2</v>
      </c>
      <c r="O96" s="6">
        <f t="shared" si="40"/>
        <v>0.49685353329942972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1.2470264363090962</v>
      </c>
      <c r="H113" s="251">
        <f>IF(H$4="","",Data!D$22/H19)</f>
        <v>1.4257859989349664</v>
      </c>
      <c r="I113" s="251">
        <f>IF(I$4="","",Data!E$22/I19)</f>
        <v>1.4071335946334347</v>
      </c>
      <c r="J113" s="251">
        <f>IF(J$4="","",Data!F$22/J19)</f>
        <v>1.4114409122725124</v>
      </c>
      <c r="K113" s="251">
        <f>IF(K$4="","",Data!G$22/K19)</f>
        <v>3.0351978335295282</v>
      </c>
      <c r="L113" s="251">
        <f>IF(L$4="","",Data!H$22/L19)</f>
        <v>1.3150269338007188</v>
      </c>
      <c r="M113" s="251">
        <f>IF(M$4="","",Data!I$22/M19)</f>
        <v>1.4452908608613064</v>
      </c>
      <c r="N113" s="251">
        <f>IF(N$4="","",Data!J$22/N19)</f>
        <v>1.3070838377829583</v>
      </c>
      <c r="O113" s="251">
        <f>IF(O$4="","",Data!K$22/O19)</f>
        <v>1.4064043724779847</v>
      </c>
      <c r="P113" s="251">
        <f>IF(P$4="","",Data!L$22/P19)</f>
        <v>1.9088784167671462</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8.3606077914317095E-2</v>
      </c>
      <c r="E116" s="22">
        <f>E119/E117/E118</f>
        <v>8.3606077914317095E-2</v>
      </c>
      <c r="G116" s="22">
        <f t="shared" ref="G116:Q116" si="44">IF(G4="","",G77)</f>
        <v>8.9336697606183374E-2</v>
      </c>
      <c r="H116" s="22">
        <f t="shared" si="44"/>
        <v>9.5945416105430961E-2</v>
      </c>
      <c r="I116" s="22">
        <f t="shared" si="44"/>
        <v>9.7308322776032644E-2</v>
      </c>
      <c r="J116" s="22">
        <f t="shared" si="44"/>
        <v>0.1048088371064603</v>
      </c>
      <c r="K116" s="22">
        <f t="shared" si="44"/>
        <v>0.10523136902008587</v>
      </c>
      <c r="L116" s="22">
        <f t="shared" si="44"/>
        <v>0.17937649373261547</v>
      </c>
      <c r="M116" s="22">
        <f t="shared" si="44"/>
        <v>0.18133869828157231</v>
      </c>
      <c r="N116" s="22">
        <f t="shared" si="44"/>
        <v>0.19035214093773942</v>
      </c>
      <c r="O116" s="22">
        <f t="shared" si="44"/>
        <v>0.21560366882675502</v>
      </c>
      <c r="P116" s="22">
        <f t="shared" si="44"/>
        <v>0.28323318195157415</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0.17171984066369478</v>
      </c>
      <c r="D119" s="100"/>
      <c r="E119" s="453">
        <f>C11/C104</f>
        <v>0.17171984066369478</v>
      </c>
      <c r="F119" s="100"/>
      <c r="G119" s="99">
        <f t="shared" ref="G119:Q119" si="47">IF(G$4="","",G11/G104)</f>
        <v>0.18349005073622102</v>
      </c>
      <c r="H119" s="99">
        <f t="shared" si="47"/>
        <v>0.19836451660541837</v>
      </c>
      <c r="I119" s="99">
        <f t="shared" si="47"/>
        <v>0.20732549690716656</v>
      </c>
      <c r="J119" s="99">
        <f t="shared" si="47"/>
        <v>0.19141521934312433</v>
      </c>
      <c r="K119" s="99">
        <f t="shared" si="47"/>
        <v>0.13601136082924273</v>
      </c>
      <c r="L119" s="99">
        <f t="shared" si="47"/>
        <v>0.25668609754781657</v>
      </c>
      <c r="M119" s="99">
        <f t="shared" si="47"/>
        <v>0.27285919633288774</v>
      </c>
      <c r="N119" s="99">
        <f t="shared" si="47"/>
        <v>0.25730098307082838</v>
      </c>
      <c r="O119" s="99">
        <f t="shared" si="47"/>
        <v>0.26626336079622875</v>
      </c>
      <c r="P119" s="99">
        <f t="shared" si="47"/>
        <v>0.16771106492300636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0.70440587811169109</v>
      </c>
      <c r="D123" s="26"/>
      <c r="E123" s="234"/>
      <c r="F123" s="26"/>
      <c r="G123" s="159">
        <f t="shared" ref="G123:Q123" si="48">IF(G$4="","",G14*$C$3/Common_Shares*Exchange_Rate)</f>
        <v>1.2977279387015932</v>
      </c>
      <c r="H123" s="159">
        <f t="shared" si="48"/>
        <v>1.3068102087934004</v>
      </c>
      <c r="I123" s="159">
        <f t="shared" si="48"/>
        <v>1.3665917706975523</v>
      </c>
      <c r="J123" s="159">
        <f t="shared" si="48"/>
        <v>1.0994657591883708</v>
      </c>
      <c r="K123" s="159">
        <f t="shared" si="48"/>
        <v>0.71314809158435377</v>
      </c>
      <c r="L123" s="159">
        <f t="shared" si="48"/>
        <v>1.5817927537004828</v>
      </c>
      <c r="M123" s="159">
        <f t="shared" si="48"/>
        <v>1.5227072910303046</v>
      </c>
      <c r="N123" s="159">
        <f t="shared" si="48"/>
        <v>1.3145788925900057</v>
      </c>
      <c r="O123" s="159">
        <f t="shared" si="48"/>
        <v>1.4481246275578596</v>
      </c>
      <c r="P123" s="159">
        <f t="shared" si="48"/>
        <v>0.90576660422206223</v>
      </c>
      <c r="Q123" s="159" t="str">
        <f t="shared" si="48"/>
        <v/>
      </c>
    </row>
    <row r="124" spans="1:17" ht="15.75" customHeight="1">
      <c r="A124" s="10"/>
      <c r="B124" s="26" t="s">
        <v>226</v>
      </c>
      <c r="C124" s="74">
        <f>C19*Exchange_Rate*$C$3/(Market_Price*Common_Shares)</f>
        <v>8.8160935933878734E-2</v>
      </c>
      <c r="D124" s="26"/>
      <c r="E124" s="234"/>
      <c r="F124" s="26"/>
      <c r="G124" s="74">
        <f t="shared" ref="G124" si="49">IF(G$4="","",G123/Market_Price)</f>
        <v>0.16241901610783394</v>
      </c>
      <c r="H124" s="74">
        <f t="shared" ref="H124" si="50">IF(H$4="","",H123/Market_Price)</f>
        <v>0.16355572075011268</v>
      </c>
      <c r="I124" s="74">
        <f t="shared" ref="I124" si="51">IF(I$4="","",I123/Market_Price)</f>
        <v>0.17103776854787889</v>
      </c>
      <c r="J124" s="74">
        <f t="shared" ref="J124" si="52">IF(J$4="","",J123/Market_Price)</f>
        <v>0.13760522643158582</v>
      </c>
      <c r="K124" s="74">
        <f t="shared" ref="K124" si="53">IF(K$4="","",K123/Market_Price)</f>
        <v>8.9255080298417236E-2</v>
      </c>
      <c r="L124" s="74">
        <f t="shared" ref="L124" si="54">IF(L$4="","",L123/Market_Price)</f>
        <v>0.19797155866088645</v>
      </c>
      <c r="M124" s="74">
        <f t="shared" ref="M124" si="55">IF(M$4="","",M123/Market_Price)</f>
        <v>0.19057663216899931</v>
      </c>
      <c r="N124" s="74">
        <f t="shared" ref="N124" si="56">IF(N$4="","",N123/Market_Price)</f>
        <v>0.16452802160075164</v>
      </c>
      <c r="O124" s="74">
        <f t="shared" ref="O124" si="57">IF(O$4="","",O123/Market_Price)</f>
        <v>0.18124213110861823</v>
      </c>
      <c r="P124" s="74">
        <f t="shared" ref="P124" si="58">IF(P$4="","",P123/Market_Price)</f>
        <v>0.11336252868861856</v>
      </c>
      <c r="Q124" s="74" t="str">
        <f t="shared" ref="Q124" si="59">IF(Q$4="","",Q123/Market_Price)</f>
        <v/>
      </c>
    </row>
    <row r="125" spans="1:17" ht="15.75" customHeight="1">
      <c r="B125" s="2" t="s">
        <v>306</v>
      </c>
      <c r="C125" s="151"/>
      <c r="G125" s="22">
        <f>IF(G$4="","",(Data!C47*$C$3)/(Market_Price*Common_Shares))</f>
        <v>0.13741651189569976</v>
      </c>
      <c r="H125" s="22">
        <f>IF(H$4="","",(Data!D47*$C$3)/(Market_Price*Common_Shares))</f>
        <v>0.13377404203162946</v>
      </c>
      <c r="I125" s="22">
        <f>IF(I$4="","",(Data!E47*$C$3)/(Market_Price*Common_Shares))</f>
        <v>0.1185681757736852</v>
      </c>
      <c r="J125" s="22">
        <f>IF(J$4="","",(Data!F47*$C$3)/(Market_Price*Common_Shares))</f>
        <v>0.38068146353182336</v>
      </c>
      <c r="K125" s="22">
        <f>IF(K$4="","",(Data!G47*$C$3)/(Market_Price*Common_Shares))</f>
        <v>0.1406687171314768</v>
      </c>
      <c r="L125" s="22">
        <f>IF(L$4="","",(Data!H47*$C$3)/(Market_Price*Common_Shares))</f>
        <v>0.13834158360720969</v>
      </c>
      <c r="M125" s="22">
        <f>IF(M$4="","",(Data!I47*$C$3)/(Market_Price*Common_Shares))</f>
        <v>0.11871271822860861</v>
      </c>
      <c r="N125" s="22">
        <f>IF(N$4="","",(Data!J47*$C$3)/(Market_Price*Common_Shares))</f>
        <v>0.11489679741863021</v>
      </c>
      <c r="O125" s="22">
        <f>IF(O$4="","",(Data!K47*$C$3)/(Market_Price*Common_Shares))</f>
        <v>4.9346794110857156E-2</v>
      </c>
      <c r="P125" s="22">
        <f>IF(P$4="","",(Data!L47*$C$3)/(Market_Price*Common_Shares))</f>
        <v>3.3533849542234505E-2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5447.0304994715916</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28371.258406440713</v>
      </c>
      <c r="G5" t="str">
        <f>Reporting_currency</f>
        <v>CNY</v>
      </c>
      <c r="H5" s="308" t="s">
        <v>395</v>
      </c>
      <c r="I5" s="305">
        <f>Normalized_FCF!C7</f>
        <v>-5830</v>
      </c>
      <c r="J5" s="305"/>
    </row>
    <row r="6" spans="2:15" ht="13.25" customHeight="1">
      <c r="B6" s="136" t="s">
        <v>194</v>
      </c>
      <c r="C6" s="283">
        <f>(C4*(1+Terminal_Growth))/(Equity_Cost-Terminal_Growth)</f>
        <v>105828.02113259095</v>
      </c>
      <c r="D6" t="str">
        <f>Reporting_currency</f>
        <v>CNY</v>
      </c>
      <c r="E6" s="187" t="s">
        <v>433</v>
      </c>
      <c r="F6" s="284">
        <f>BS!H42</f>
        <v>174</v>
      </c>
      <c r="G6" t="str">
        <f>Reporting_currency</f>
        <v>CNY</v>
      </c>
      <c r="H6" s="308" t="s">
        <v>416</v>
      </c>
      <c r="I6" s="305">
        <f>I7+I8</f>
        <v>-424.81755043864422</v>
      </c>
      <c r="J6" s="305"/>
      <c r="N6" s="135"/>
    </row>
    <row r="7" spans="2:15" ht="12.75" customHeight="1">
      <c r="B7" s="318" t="s">
        <v>430</v>
      </c>
      <c r="C7" s="275">
        <f>F7</f>
        <v>8120.2584064407129</v>
      </c>
      <c r="E7" s="140" t="s">
        <v>424</v>
      </c>
      <c r="F7" s="283">
        <f>SUM(F4:F6)</f>
        <v>8120.2584064407129</v>
      </c>
      <c r="G7" t="str">
        <f>Reporting_currency</f>
        <v>CNY</v>
      </c>
      <c r="H7" s="312" t="s">
        <v>417</v>
      </c>
      <c r="I7" s="313">
        <f>Normalized_FCF!C9</f>
        <v>291.16000000000003</v>
      </c>
      <c r="J7" s="313"/>
      <c r="N7" s="304"/>
      <c r="O7" s="304"/>
    </row>
    <row r="8" spans="2:15" ht="13.15">
      <c r="B8" s="136" t="s">
        <v>426</v>
      </c>
      <c r="C8" s="283">
        <f>C6+C7</f>
        <v>113948.27953903166</v>
      </c>
      <c r="D8" t="str">
        <f>Reporting_currency</f>
        <v>CNY</v>
      </c>
      <c r="E8" s="140" t="s">
        <v>464</v>
      </c>
      <c r="F8" s="108">
        <f>FV_adjustments*scaling_factor/Common_Shares*Exchange_Rate</f>
        <v>1.0501056959085497</v>
      </c>
      <c r="G8" s="294" t="str">
        <f>Market_currency</f>
        <v>HKD</v>
      </c>
      <c r="H8" s="314" t="str">
        <f>Normalized_FCF!B10</f>
        <v>Net Interest Income</v>
      </c>
      <c r="I8" s="313">
        <f>Normalized_FCF!C10</f>
        <v>-715.97755043864424</v>
      </c>
      <c r="J8" s="313"/>
      <c r="N8" s="304"/>
      <c r="O8" s="304"/>
    </row>
    <row r="9" spans="2:15" ht="13.15" thickBot="1">
      <c r="B9" s="189" t="str">
        <f>"*"&amp;Thesis!E15</f>
        <v>*CNY/HKD</v>
      </c>
      <c r="C9" s="190">
        <f>Exchange_Rate</f>
        <v>1.1197497097015401</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127593.55293482065</v>
      </c>
      <c r="D10" t="str">
        <f>Market_currency</f>
        <v>HKD</v>
      </c>
      <c r="H10" s="308" t="s">
        <v>397</v>
      </c>
      <c r="I10" s="306">
        <f>Normalized_FCF!C41</f>
        <v>0.25</v>
      </c>
      <c r="N10" s="304"/>
      <c r="O10" s="304"/>
    </row>
    <row r="11" spans="2:15" ht="13.15">
      <c r="B11" s="136" t="s">
        <v>425</v>
      </c>
      <c r="C11" s="108">
        <f>(C10*scaling_factor)/Common_Shares</f>
        <v>14.735705613507122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8.3606077914317095E-2</v>
      </c>
      <c r="E17" s="308" t="s">
        <v>549</v>
      </c>
      <c r="F17" s="311">
        <f>Scenarios!C40</f>
        <v>8.3606077914317095E-2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11.010070153664444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8.3606077914317095E-2</v>
      </c>
      <c r="F21" s="277">
        <f>C21*E21</f>
        <v>15676.833981904345</v>
      </c>
      <c r="G21" s="299">
        <f t="shared" ref="G21:G50" si="2">IF(A21="",0%,IF(A21="I",$C$18,$F$18))</f>
        <v>0</v>
      </c>
      <c r="H21" s="277">
        <f>(F21*(1-$I$10)+C21*(G21-$I$9))</f>
        <v>5460.4934499265182</v>
      </c>
      <c r="I21" s="299">
        <f>H21/C4-1</f>
        <v>2.4716128276192073E-3</v>
      </c>
      <c r="J21" s="299">
        <f>H21/C21</f>
        <v>2.9121341806141753E-2</v>
      </c>
      <c r="K21" s="119">
        <f t="shared" ref="K21:K50" si="3">IF($C$15&lt;B21,0,1/(1+Equity_Cost)^B21)</f>
        <v>0.93240093240093236</v>
      </c>
      <c r="L21" s="277">
        <f t="shared" ref="L21:L51" si="4">H21*K21</f>
        <v>5091.3691840806696</v>
      </c>
    </row>
    <row r="22" spans="1:21">
      <c r="A22" s="302" t="str">
        <f t="shared" si="0"/>
        <v>I</v>
      </c>
      <c r="B22" s="117">
        <v>2</v>
      </c>
      <c r="C22" s="277">
        <f t="shared" ref="C22:C50" si="5">IF(A22="",0,C21*(1+D22))</f>
        <v>187971.75322560215</v>
      </c>
      <c r="D22" s="299">
        <f t="shared" si="1"/>
        <v>2.47161282761951E-3</v>
      </c>
      <c r="E22" s="299">
        <f t="shared" ref="E22:E50" si="6">IF($C$15&lt;B22,0,IF(B22&gt;=$F$15,$F$17,$C$17))</f>
        <v>8.3606077914317095E-2</v>
      </c>
      <c r="F22" s="277">
        <f t="shared" ref="F22:F50" si="7">IF(A22="", 0,C22*E22)</f>
        <v>15715.58104587048</v>
      </c>
      <c r="G22" s="299">
        <f t="shared" si="2"/>
        <v>0</v>
      </c>
      <c r="H22" s="277">
        <f t="shared" ref="H22:H50" si="8">IF(A22="", 0,F22*(1-$I$10)+C22*(G22-$I$9))</f>
        <v>5473.9896755824893</v>
      </c>
      <c r="I22" s="299">
        <f t="shared" ref="I22:I50" si="9">IF(A22="", 0,H22/H21-1)</f>
        <v>2.4716128276196514E-3</v>
      </c>
      <c r="J22" s="299">
        <f>IF(A22="", 0,H22/C22)</f>
        <v>2.9121341806141756E-2</v>
      </c>
      <c r="K22" s="119">
        <f t="shared" si="3"/>
        <v>0.86937149874212816</v>
      </c>
      <c r="L22" s="277">
        <f t="shared" si="4"/>
        <v>4758.930608360085</v>
      </c>
    </row>
    <row r="23" spans="1:21">
      <c r="A23" s="302" t="str">
        <f t="shared" si="0"/>
        <v>I</v>
      </c>
      <c r="B23" s="117">
        <v>3</v>
      </c>
      <c r="C23" s="277">
        <f t="shared" si="5"/>
        <v>188436.34662210467</v>
      </c>
      <c r="D23" s="299">
        <f t="shared" si="1"/>
        <v>2.47161282761951E-3</v>
      </c>
      <c r="E23" s="299">
        <f t="shared" si="6"/>
        <v>8.3606077914317095E-2</v>
      </c>
      <c r="F23" s="277">
        <f t="shared" si="7"/>
        <v>15754.423877576946</v>
      </c>
      <c r="G23" s="299">
        <f t="shared" si="2"/>
        <v>0</v>
      </c>
      <c r="H23" s="277">
        <f t="shared" si="8"/>
        <v>5487.5192586829144</v>
      </c>
      <c r="I23" s="299">
        <f t="shared" si="9"/>
        <v>2.4716128276192073E-3</v>
      </c>
      <c r="J23" s="299">
        <f t="shared" ref="J23:J50" si="10">IF(A23="", 0,H23/C23)</f>
        <v>2.9121341806141749E-2</v>
      </c>
      <c r="K23" s="119">
        <f t="shared" si="3"/>
        <v>0.81060279602995633</v>
      </c>
      <c r="L23" s="277">
        <f t="shared" si="4"/>
        <v>4448.1984543566032</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8.3606077914317095E-2</v>
      </c>
      <c r="F24" s="277">
        <f t="shared" si="7"/>
        <v>15793.362713724518</v>
      </c>
      <c r="G24" s="299">
        <f t="shared" si="2"/>
        <v>0</v>
      </c>
      <c r="H24" s="277">
        <f t="shared" si="8"/>
        <v>5501.0822816744831</v>
      </c>
      <c r="I24" s="299">
        <f t="shared" si="9"/>
        <v>2.4716128276192073E-3</v>
      </c>
      <c r="J24" s="299">
        <f t="shared" si="10"/>
        <v>2.9121341806141746E-2</v>
      </c>
      <c r="K24" s="119">
        <f t="shared" si="3"/>
        <v>0.75580680282513402</v>
      </c>
      <c r="L24" s="277">
        <f t="shared" si="4"/>
        <v>4157.7554113903843</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8.3606077914317095E-2</v>
      </c>
      <c r="F25" s="277">
        <f t="shared" si="7"/>
        <v>15832.397791599007</v>
      </c>
      <c r="G25" s="299">
        <f t="shared" si="2"/>
        <v>0</v>
      </c>
      <c r="H25" s="277">
        <f t="shared" si="8"/>
        <v>5514.6788272076601</v>
      </c>
      <c r="I25" s="299">
        <f t="shared" si="9"/>
        <v>2.4716128276194294E-3</v>
      </c>
      <c r="J25" s="299">
        <f t="shared" si="10"/>
        <v>2.9121341806141749E-2</v>
      </c>
      <c r="K25" s="119">
        <f t="shared" si="3"/>
        <v>0.70471496766912267</v>
      </c>
      <c r="L25" s="277">
        <f t="shared" si="4"/>
        <v>3886.2767114212415</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8.3606077914317095E-2</v>
      </c>
      <c r="F51" s="277">
        <f>C51*E51</f>
        <v>16149.045747430988</v>
      </c>
      <c r="G51" s="299">
        <f>F18</f>
        <v>0</v>
      </c>
      <c r="H51" s="277">
        <f>(F51*(1-$I$10)+C51*(G51-$I$9))/Equity_Cost</f>
        <v>77585.826258645728</v>
      </c>
      <c r="I51" s="415">
        <f>(F51*(1-$I$10)+C51*(G51-$I$9))/VLOOKUP(C15,B21:H50,COLUMN(H20)-1,FALSE)-1</f>
        <v>2.000000000000024E-2</v>
      </c>
      <c r="J51" s="454"/>
      <c r="K51" s="119">
        <f>1/(1+Equity_Cost)^C15</f>
        <v>0.70471496766912267</v>
      </c>
      <c r="L51" s="277">
        <f t="shared" si="4"/>
        <v>54675.893043443692</v>
      </c>
    </row>
    <row r="52" spans="1:21" ht="13.15">
      <c r="G52" s="111"/>
      <c r="H52" s="111"/>
      <c r="I52" s="111"/>
      <c r="J52" s="468" t="s">
        <v>420</v>
      </c>
      <c r="K52" s="468"/>
      <c r="L52" s="317">
        <f>SUM(L21:L51)</f>
        <v>77018.423413052675</v>
      </c>
    </row>
    <row r="53" spans="1:21">
      <c r="C53" s="111"/>
    </row>
    <row r="54" spans="1:21" ht="13.15">
      <c r="B54" s="115" t="s">
        <v>108</v>
      </c>
      <c r="C54" s="128"/>
      <c r="D54" s="128"/>
      <c r="E54" s="113"/>
      <c r="F54" s="113"/>
      <c r="G54" s="113"/>
      <c r="H54" s="113"/>
      <c r="I54" s="113"/>
      <c r="J54" s="113"/>
      <c r="K54" s="113"/>
      <c r="L54" s="113"/>
    </row>
    <row r="55" spans="1:21" ht="13.15">
      <c r="A55" s="125">
        <f>L52</f>
        <v>77018.423413052675</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68879.257147887663</v>
      </c>
      <c r="C56" s="118">
        <v>76532.507942097451</v>
      </c>
      <c r="D56" s="118">
        <v>78063.15810093937</v>
      </c>
      <c r="E56" s="118">
        <v>79593.808259781319</v>
      </c>
      <c r="F56" s="118">
        <v>81124.458418623253</v>
      </c>
      <c r="G56" s="295"/>
      <c r="H56" s="295"/>
      <c r="I56" s="295"/>
      <c r="J56" s="295"/>
      <c r="K56" s="295"/>
      <c r="L56" s="295"/>
    </row>
    <row r="57" spans="1:21" ht="13.15">
      <c r="A57" s="131">
        <v>2</v>
      </c>
      <c r="B57" s="118">
        <v>62371.709913867933</v>
      </c>
      <c r="C57" s="118">
        <v>76437.798080717053</v>
      </c>
      <c r="D57" s="118">
        <v>79422.277270320934</v>
      </c>
      <c r="E57" s="118">
        <v>82463.84364533615</v>
      </c>
      <c r="F57" s="118">
        <v>85562.497205762775</v>
      </c>
      <c r="G57" s="295"/>
      <c r="H57" s="295"/>
      <c r="I57" s="295"/>
      <c r="J57" s="295"/>
      <c r="K57" s="295"/>
      <c r="L57" s="295"/>
    </row>
    <row r="58" spans="1:21" ht="13.15">
      <c r="A58" s="131">
        <v>3</v>
      </c>
      <c r="B58" s="118">
        <v>56910.831116089095</v>
      </c>
      <c r="C58" s="118">
        <v>76349.490517658414</v>
      </c>
      <c r="D58" s="118">
        <v>80714.866130711787</v>
      </c>
      <c r="E58" s="118">
        <v>85246.908261631761</v>
      </c>
      <c r="F58" s="118">
        <v>89948.810599112738</v>
      </c>
      <c r="G58" s="295"/>
      <c r="H58" s="295"/>
      <c r="I58" s="295"/>
      <c r="J58" s="295"/>
      <c r="K58" s="295"/>
      <c r="L58" s="295"/>
    </row>
    <row r="59" spans="1:21" ht="13.15">
      <c r="A59" s="131">
        <v>4</v>
      </c>
      <c r="B59" s="118">
        <v>52328.2754815894</v>
      </c>
      <c r="C59" s="118">
        <v>76267.152463524457</v>
      </c>
      <c r="D59" s="118">
        <v>81944.181410524005</v>
      </c>
      <c r="E59" s="118">
        <v>87945.637586524434</v>
      </c>
      <c r="F59" s="118">
        <v>94284.001458740677</v>
      </c>
      <c r="G59" s="295"/>
      <c r="H59" s="295"/>
      <c r="I59" s="295"/>
      <c r="J59" s="295"/>
      <c r="K59" s="295"/>
      <c r="L59" s="295"/>
    </row>
    <row r="60" spans="1:21" ht="13.15">
      <c r="A60" s="131">
        <v>5</v>
      </c>
      <c r="B60" s="118">
        <v>48482.774249841386</v>
      </c>
      <c r="C60" s="118">
        <v>76190.380385077908</v>
      </c>
      <c r="D60" s="118">
        <v>83113.320417897936</v>
      </c>
      <c r="E60" s="118">
        <v>90562.587234905281</v>
      </c>
      <c r="F60" s="118">
        <v>98568.665618372979</v>
      </c>
      <c r="G60" s="295"/>
      <c r="H60" s="295"/>
      <c r="I60" s="295"/>
      <c r="J60" s="295"/>
      <c r="K60" s="295"/>
      <c r="L60" s="295"/>
    </row>
    <row r="61" spans="1:21" ht="13.15">
      <c r="A61" s="131">
        <v>6</v>
      </c>
      <c r="B61" s="118">
        <v>45255.780209213699</v>
      </c>
      <c r="C61" s="118">
        <v>76118.79802755198</v>
      </c>
      <c r="D61" s="118">
        <v>84225.228844491299</v>
      </c>
      <c r="E61" s="118">
        <v>93100.235378789686</v>
      </c>
      <c r="F61" s="118">
        <v>102803.39196728694</v>
      </c>
      <c r="G61" s="295"/>
      <c r="H61" s="295"/>
      <c r="I61" s="295"/>
      <c r="J61" s="295"/>
      <c r="K61" s="295"/>
      <c r="L61" s="295"/>
    </row>
    <row r="62" spans="1:21" ht="13.15">
      <c r="A62" s="131">
        <v>7</v>
      </c>
      <c r="B62" s="118">
        <v>42547.813182113532</v>
      </c>
      <c r="C62" s="118">
        <v>76052.054570651351</v>
      </c>
      <c r="D62" s="118">
        <v>85282.708187265423</v>
      </c>
      <c r="E62" s="118">
        <v>95560.985094071555</v>
      </c>
      <c r="F62" s="118">
        <v>106988.7625312485</v>
      </c>
      <c r="G62" s="295"/>
      <c r="H62" s="295"/>
      <c r="I62" s="295"/>
      <c r="J62" s="295"/>
      <c r="K62" s="295"/>
      <c r="L62" s="295"/>
    </row>
    <row r="63" spans="1:21" ht="13.15">
      <c r="A63" s="131">
        <v>8</v>
      </c>
      <c r="B63" s="118">
        <v>40275.393299232266</v>
      </c>
      <c r="C63" s="118">
        <v>75989.822909205541</v>
      </c>
      <c r="D63" s="118">
        <v>86288.422806966671</v>
      </c>
      <c r="E63" s="118">
        <v>97947.166636163034</v>
      </c>
      <c r="F63" s="118">
        <v>111125.35255250661</v>
      </c>
      <c r="G63" s="295"/>
      <c r="H63" s="295"/>
      <c r="I63" s="295"/>
      <c r="J63" s="295"/>
      <c r="K63" s="295"/>
      <c r="L63" s="295"/>
    </row>
    <row r="64" spans="1:21" ht="13.15">
      <c r="A64" s="131">
        <v>9</v>
      </c>
      <c r="B64" s="118">
        <v>38368.467523387852</v>
      </c>
      <c r="C64" s="118">
        <v>75931.798050048601</v>
      </c>
      <c r="D64" s="118">
        <v>87244.906641088135</v>
      </c>
      <c r="E64" s="118">
        <v>100261.03964667601</v>
      </c>
      <c r="F64" s="118">
        <v>115213.73056885489</v>
      </c>
      <c r="G64" s="295"/>
      <c r="H64" s="295"/>
      <c r="I64" s="295"/>
      <c r="J64" s="295"/>
      <c r="K64" s="295"/>
      <c r="L64" s="295"/>
    </row>
    <row r="65" spans="1:21" ht="13.15">
      <c r="A65" s="131">
        <v>10</v>
      </c>
      <c r="B65" s="118">
        <v>36768.250089112815</v>
      </c>
      <c r="C65" s="118">
        <v>75877.69561726824</v>
      </c>
      <c r="D65" s="118">
        <v>88154.569588224636</v>
      </c>
      <c r="E65" s="118">
        <v>102504.79529323403</v>
      </c>
      <c r="F65" s="118">
        <v>119254.45849177257</v>
      </c>
      <c r="G65" s="295"/>
      <c r="H65" s="295"/>
      <c r="I65" s="295"/>
      <c r="J65" s="295"/>
      <c r="K65" s="295"/>
      <c r="L65" s="295"/>
    </row>
    <row r="66" spans="1:21" ht="13.15">
      <c r="A66" s="131">
        <v>15</v>
      </c>
      <c r="B66" s="118">
        <v>31893.518638900056</v>
      </c>
      <c r="C66" s="277">
        <v>75657.341981230638</v>
      </c>
      <c r="D66" s="118">
        <v>92076.975348878739</v>
      </c>
      <c r="E66" s="118">
        <v>112743.9669868221</v>
      </c>
      <c r="F66" s="118">
        <v>138762.5594203668</v>
      </c>
      <c r="G66" s="295"/>
      <c r="H66" s="295"/>
      <c r="I66" s="295"/>
      <c r="J66" s="295"/>
      <c r="K66" s="295"/>
      <c r="L66" s="295"/>
      <c r="M66" s="275"/>
      <c r="N66" s="275"/>
      <c r="O66" s="275"/>
      <c r="P66" s="275"/>
      <c r="Q66" s="275"/>
      <c r="R66" s="275"/>
      <c r="S66" s="275"/>
      <c r="T66" s="275"/>
      <c r="U66" s="275"/>
    </row>
    <row r="67" spans="1:21" ht="13.15">
      <c r="A67" s="132">
        <v>20</v>
      </c>
      <c r="B67" s="118">
        <v>29865.010576117966</v>
      </c>
      <c r="C67" s="277">
        <v>75502.055475734611</v>
      </c>
      <c r="D67" s="118">
        <v>95128.851269190651</v>
      </c>
      <c r="E67" s="118">
        <v>121522.96635266022</v>
      </c>
      <c r="F67" s="118">
        <v>157160.017239332</v>
      </c>
      <c r="G67" s="295"/>
      <c r="H67" s="295"/>
      <c r="I67" s="295"/>
      <c r="J67" s="295"/>
      <c r="K67" s="295"/>
      <c r="L67" s="295"/>
      <c r="M67" s="275"/>
      <c r="N67" s="275"/>
      <c r="O67" s="275"/>
      <c r="P67" s="275"/>
      <c r="Q67" s="275"/>
      <c r="R67" s="275"/>
      <c r="S67" s="275"/>
      <c r="T67" s="275"/>
      <c r="U67" s="275"/>
    </row>
    <row r="68" spans="1:21" ht="13.15">
      <c r="A68" s="132">
        <v>25</v>
      </c>
      <c r="B68" s="118">
        <v>29020.893314931742</v>
      </c>
      <c r="C68" s="277">
        <v>75392.622751034534</v>
      </c>
      <c r="D68" s="118">
        <v>97503.400767972373</v>
      </c>
      <c r="E68" s="118">
        <v>129050.02344006594</v>
      </c>
      <c r="F68" s="118">
        <v>174510.06353238205</v>
      </c>
      <c r="G68" s="295"/>
      <c r="H68" s="295"/>
      <c r="I68" s="295"/>
      <c r="J68" s="295"/>
      <c r="K68" s="295"/>
      <c r="L68" s="295"/>
      <c r="M68" s="275"/>
      <c r="N68" s="275"/>
      <c r="O68" s="275"/>
      <c r="P68" s="275"/>
      <c r="Q68" s="275"/>
      <c r="R68" s="275"/>
      <c r="S68" s="275"/>
      <c r="T68" s="275"/>
      <c r="U68" s="275"/>
    </row>
    <row r="69" spans="1:21" ht="13.15">
      <c r="A69" s="132">
        <v>30</v>
      </c>
      <c r="B69" s="118">
        <v>28669.633212147</v>
      </c>
      <c r="C69" s="277">
        <v>75315.50387198558</v>
      </c>
      <c r="D69" s="118">
        <v>99350.948135359533</v>
      </c>
      <c r="E69" s="118">
        <v>135503.67334207339</v>
      </c>
      <c r="F69" s="118">
        <v>190872.32995707623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14.735705613507122</v>
      </c>
      <c r="C73" s="119">
        <f>C11</f>
        <v>14.735705613507122</v>
      </c>
      <c r="D73" s="119">
        <f>C11</f>
        <v>14.735705613507122</v>
      </c>
      <c r="E73" s="119">
        <f>C11</f>
        <v>14.735705613507122</v>
      </c>
      <c r="F73" s="119">
        <f>C11</f>
        <v>14.735705613507122</v>
      </c>
      <c r="G73" s="296"/>
      <c r="H73" s="296"/>
      <c r="I73" s="296"/>
      <c r="J73" s="296"/>
      <c r="K73" s="296"/>
      <c r="L73" s="296"/>
    </row>
    <row r="74" spans="1:21" ht="13.15">
      <c r="A74" s="131">
        <v>1</v>
      </c>
      <c r="B74" s="119">
        <f t="shared" ref="B74:F87" si="11">(B56+FV_adjustments)/Common_Shares*scaling_factor*Exchange_Rate</f>
        <v>9.9575193077187887</v>
      </c>
      <c r="C74" s="119">
        <f t="shared" si="11"/>
        <v>10.947231931253267</v>
      </c>
      <c r="D74" s="119">
        <f t="shared" si="11"/>
        <v>11.145174455960156</v>
      </c>
      <c r="E74" s="119">
        <f t="shared" si="11"/>
        <v>11.34311698066705</v>
      </c>
      <c r="F74" s="119">
        <f t="shared" si="11"/>
        <v>11.541059505373942</v>
      </c>
      <c r="G74" s="296"/>
      <c r="H74" s="296"/>
      <c r="I74" s="296"/>
      <c r="J74" s="296"/>
      <c r="K74" s="296"/>
      <c r="L74" s="296"/>
    </row>
    <row r="75" spans="1:21" ht="13.15">
      <c r="A75" s="131">
        <v>2</v>
      </c>
      <c r="B75" s="119">
        <f t="shared" si="11"/>
        <v>9.1159682049339494</v>
      </c>
      <c r="C75" s="119">
        <f t="shared" si="11"/>
        <v>10.934984123373729</v>
      </c>
      <c r="D75" s="119">
        <f t="shared" si="11"/>
        <v>11.320934722413504</v>
      </c>
      <c r="E75" s="119">
        <f t="shared" si="11"/>
        <v>11.714267793237219</v>
      </c>
      <c r="F75" s="119">
        <f t="shared" si="11"/>
        <v>12.11498333584488</v>
      </c>
      <c r="G75" s="296"/>
      <c r="H75" s="296"/>
      <c r="I75" s="296"/>
      <c r="J75" s="296"/>
      <c r="K75" s="296"/>
      <c r="L75" s="296"/>
    </row>
    <row r="76" spans="1:21" ht="13.15">
      <c r="A76" s="131">
        <v>3</v>
      </c>
      <c r="B76" s="119">
        <f t="shared" si="11"/>
        <v>8.4097714753242876</v>
      </c>
      <c r="C76" s="119">
        <f t="shared" si="11"/>
        <v>10.923564255886985</v>
      </c>
      <c r="D76" s="119">
        <f t="shared" si="11"/>
        <v>11.48809133946005</v>
      </c>
      <c r="E76" s="119">
        <f t="shared" si="11"/>
        <v>12.074171611487083</v>
      </c>
      <c r="F76" s="119">
        <f t="shared" si="11"/>
        <v>12.682218077382583</v>
      </c>
      <c r="G76" s="296"/>
      <c r="H76" s="296"/>
      <c r="I76" s="296"/>
      <c r="J76" s="296"/>
      <c r="K76" s="296"/>
      <c r="L76" s="296"/>
    </row>
    <row r="77" spans="1:21" ht="13.15">
      <c r="A77" s="131">
        <v>4</v>
      </c>
      <c r="B77" s="119">
        <f t="shared" si="11"/>
        <v>7.8171588350924068</v>
      </c>
      <c r="C77" s="119">
        <f t="shared" si="11"/>
        <v>10.912916360794446</v>
      </c>
      <c r="D77" s="119">
        <f t="shared" si="11"/>
        <v>11.647065464763045</v>
      </c>
      <c r="E77" s="119">
        <f t="shared" si="11"/>
        <v>12.423169253426341</v>
      </c>
      <c r="F77" s="119">
        <f t="shared" si="11"/>
        <v>13.242841691396537</v>
      </c>
      <c r="G77" s="296"/>
      <c r="H77" s="296"/>
      <c r="I77" s="296"/>
      <c r="J77" s="296"/>
      <c r="K77" s="296"/>
      <c r="L77" s="296"/>
    </row>
    <row r="78" spans="1:21" ht="13.15">
      <c r="A78" s="131">
        <v>5</v>
      </c>
      <c r="B78" s="119">
        <f t="shared" si="11"/>
        <v>7.3198615146181005</v>
      </c>
      <c r="C78" s="119">
        <f t="shared" si="11"/>
        <v>10.902988253482057</v>
      </c>
      <c r="D78" s="119">
        <f t="shared" si="11"/>
        <v>11.798257639876395</v>
      </c>
      <c r="E78" s="119">
        <f t="shared" si="11"/>
        <v>12.761591209246234</v>
      </c>
      <c r="F78" s="119">
        <f t="shared" si="11"/>
        <v>13.796931230655085</v>
      </c>
      <c r="G78" s="296"/>
      <c r="H78" s="296"/>
      <c r="I78" s="296"/>
      <c r="J78" s="296"/>
      <c r="K78" s="296"/>
      <c r="L78" s="296"/>
    </row>
    <row r="79" spans="1:21" ht="13.15">
      <c r="A79" s="131">
        <v>6</v>
      </c>
      <c r="B79" s="119">
        <f t="shared" si="11"/>
        <v>6.9025490778564453</v>
      </c>
      <c r="C79" s="119">
        <f t="shared" si="11"/>
        <v>10.893731276967012</v>
      </c>
      <c r="D79" s="119">
        <f t="shared" si="11"/>
        <v>11.942048799424752</v>
      </c>
      <c r="E79" s="119">
        <f t="shared" si="11"/>
        <v>13.0897579542837</v>
      </c>
      <c r="F79" s="119">
        <f t="shared" si="11"/>
        <v>14.344562849875654</v>
      </c>
      <c r="G79" s="296"/>
      <c r="H79" s="296"/>
      <c r="I79" s="296"/>
      <c r="J79" s="296"/>
      <c r="K79" s="296"/>
      <c r="L79" s="296"/>
    </row>
    <row r="80" spans="1:21" ht="13.15">
      <c r="A80" s="131">
        <f t="shared" ref="A80" si="12">A62</f>
        <v>7</v>
      </c>
      <c r="B80" s="119">
        <f t="shared" si="11"/>
        <v>6.552356823231281</v>
      </c>
      <c r="C80" s="119">
        <f t="shared" si="11"/>
        <v>10.885100063433166</v>
      </c>
      <c r="D80" s="119">
        <f t="shared" si="11"/>
        <v>12.078801230883332</v>
      </c>
      <c r="E80" s="119">
        <f t="shared" si="11"/>
        <v>13.407980252501851</v>
      </c>
      <c r="F80" s="119">
        <f t="shared" si="11"/>
        <v>14.885811816191554</v>
      </c>
      <c r="G80" s="296"/>
      <c r="H80" s="296"/>
      <c r="I80" s="296"/>
      <c r="J80" s="296"/>
      <c r="K80" s="296"/>
      <c r="L80" s="296"/>
    </row>
    <row r="81" spans="1:12" ht="13.15">
      <c r="A81" s="131">
        <v>8</v>
      </c>
      <c r="B81" s="119">
        <f t="shared" si="11"/>
        <v>6.2584891969724001</v>
      </c>
      <c r="C81" s="119">
        <f t="shared" si="11"/>
        <v>10.877052311886459</v>
      </c>
      <c r="D81" s="119">
        <f t="shared" si="11"/>
        <v>12.208859487375406</v>
      </c>
      <c r="E81" s="119">
        <f t="shared" si="11"/>
        <v>13.716559450773996</v>
      </c>
      <c r="F81" s="119">
        <f t="shared" si="11"/>
        <v>15.420752519496782</v>
      </c>
      <c r="G81" s="296"/>
      <c r="H81" s="296"/>
      <c r="I81" s="296"/>
      <c r="J81" s="296"/>
      <c r="K81" s="296"/>
      <c r="L81" s="296"/>
    </row>
    <row r="82" spans="1:12" ht="13.15">
      <c r="A82" s="131">
        <f t="shared" ref="A82" si="13">A64</f>
        <v>9</v>
      </c>
      <c r="B82" s="119">
        <f t="shared" si="11"/>
        <v>6.011886993118793</v>
      </c>
      <c r="C82" s="119">
        <f t="shared" si="11"/>
        <v>10.869548580840577</v>
      </c>
      <c r="D82" s="119">
        <f t="shared" si="11"/>
        <v>12.332551255787447</v>
      </c>
      <c r="E82" s="119">
        <f t="shared" si="11"/>
        <v>14.015787764250017</v>
      </c>
      <c r="F82" s="119">
        <f t="shared" si="11"/>
        <v>15.949458482670243</v>
      </c>
      <c r="G82" s="296"/>
      <c r="H82" s="296"/>
      <c r="I82" s="296"/>
      <c r="J82" s="296"/>
      <c r="K82" s="296"/>
      <c r="L82" s="296"/>
    </row>
    <row r="83" spans="1:12" ht="13.15">
      <c r="A83" s="131">
        <f t="shared" ref="A83:A87" si="14">A65</f>
        <v>10</v>
      </c>
      <c r="B83" s="119">
        <f t="shared" si="11"/>
        <v>5.8049480807940892</v>
      </c>
      <c r="C83" s="119">
        <f t="shared" si="11"/>
        <v>10.862552095016911</v>
      </c>
      <c r="D83" s="119">
        <f t="shared" si="11"/>
        <v>12.450188182389109</v>
      </c>
      <c r="E83" s="119">
        <f t="shared" si="11"/>
        <v>14.305948553075247</v>
      </c>
      <c r="F83" s="119">
        <f t="shared" si="11"/>
        <v>16.472002371680848</v>
      </c>
      <c r="G83" s="296"/>
      <c r="H83" s="296"/>
      <c r="I83" s="296"/>
      <c r="J83" s="296"/>
      <c r="K83" s="296"/>
      <c r="L83" s="296"/>
    </row>
    <row r="84" spans="1:12" ht="13.15">
      <c r="A84" s="131">
        <f t="shared" si="14"/>
        <v>15</v>
      </c>
      <c r="B84" s="119">
        <f t="shared" si="11"/>
        <v>5.1745514843221398</v>
      </c>
      <c r="C84" s="119">
        <f t="shared" si="11"/>
        <v>10.834056128911485</v>
      </c>
      <c r="D84" s="119">
        <f t="shared" si="11"/>
        <v>12.957430738569387</v>
      </c>
      <c r="E84" s="119">
        <f t="shared" si="11"/>
        <v>15.630070517998695</v>
      </c>
      <c r="F84" s="119">
        <f t="shared" si="11"/>
        <v>18.994775278172</v>
      </c>
      <c r="G84" s="296"/>
      <c r="H84" s="296"/>
      <c r="I84" s="296"/>
      <c r="J84" s="296"/>
      <c r="K84" s="296"/>
      <c r="L84" s="296"/>
    </row>
    <row r="85" spans="1:12" ht="13.15">
      <c r="A85" s="132">
        <f t="shared" si="14"/>
        <v>20</v>
      </c>
      <c r="B85" s="119">
        <f t="shared" si="11"/>
        <v>4.9122263507729</v>
      </c>
      <c r="C85" s="119">
        <f t="shared" si="11"/>
        <v>10.813974595078797</v>
      </c>
      <c r="D85" s="119">
        <f t="shared" si="11"/>
        <v>13.352097032019328</v>
      </c>
      <c r="E85" s="119">
        <f t="shared" si="11"/>
        <v>16.765364098204476</v>
      </c>
      <c r="F85" s="119">
        <f t="shared" si="11"/>
        <v>21.373920654950805</v>
      </c>
      <c r="G85" s="296"/>
      <c r="H85" s="296"/>
      <c r="I85" s="296"/>
      <c r="J85" s="296"/>
      <c r="K85" s="296"/>
      <c r="L85" s="296"/>
    </row>
    <row r="86" spans="1:12" ht="13.15">
      <c r="A86" s="132">
        <f t="shared" si="14"/>
        <v>25</v>
      </c>
      <c r="B86" s="119">
        <f t="shared" si="11"/>
        <v>4.8030657428686858</v>
      </c>
      <c r="C86" s="119">
        <f t="shared" si="11"/>
        <v>10.799822837613148</v>
      </c>
      <c r="D86" s="119">
        <f t="shared" si="11"/>
        <v>13.659171983219121</v>
      </c>
      <c r="E86" s="119">
        <f t="shared" si="11"/>
        <v>17.738757446702373</v>
      </c>
      <c r="F86" s="119">
        <f t="shared" si="11"/>
        <v>23.617615562757912</v>
      </c>
      <c r="G86" s="296"/>
      <c r="H86" s="296"/>
      <c r="I86" s="296"/>
      <c r="J86" s="296"/>
      <c r="K86" s="296"/>
      <c r="L86" s="296"/>
    </row>
    <row r="87" spans="1:12" ht="13.15">
      <c r="A87" s="132">
        <f t="shared" si="14"/>
        <v>30</v>
      </c>
      <c r="B87" s="119">
        <f t="shared" si="11"/>
        <v>4.757641051163418</v>
      </c>
      <c r="C87" s="119">
        <f t="shared" si="11"/>
        <v>10.789849882308282</v>
      </c>
      <c r="D87" s="119">
        <f t="shared" si="11"/>
        <v>13.89809541605166</v>
      </c>
      <c r="E87" s="119">
        <f t="shared" si="11"/>
        <v>18.57333858714027</v>
      </c>
      <c r="F87" s="119">
        <f t="shared" si="11"/>
        <v>25.733571522597359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13.796931230655085</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12.761591209246234</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11.798257639876395</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10.902988253482057</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7.3198615146181005</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10035.071940446174</v>
      </c>
      <c r="D8" s="469"/>
      <c r="E8" s="469"/>
      <c r="F8" s="469"/>
      <c r="G8" s="469"/>
    </row>
    <row r="9" spans="2:7">
      <c r="B9" s="97" t="s">
        <v>54</v>
      </c>
      <c r="C9" s="447">
        <f>Normalized_FCF!C19</f>
        <v>5447.0304994715916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-2.5521129666404518E-2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12.761591209246234</v>
      </c>
      <c r="F22" s="328">
        <f>1-F23-F24</f>
        <v>0.10000000000000003</v>
      </c>
      <c r="G22" s="328">
        <f>F22*(1-F$29-F$30)</f>
        <v>8.0000000000000029E-2</v>
      </c>
    </row>
    <row r="23" spans="2:7">
      <c r="B23" s="302" t="s">
        <v>437</v>
      </c>
      <c r="C23" s="324">
        <v>0.02</v>
      </c>
      <c r="D23" s="325">
        <f>C18</f>
        <v>5</v>
      </c>
      <c r="E23" s="326">
        <f>DCF!E92</f>
        <v>11.798257639876395</v>
      </c>
      <c r="F23" s="327">
        <v>0.6</v>
      </c>
      <c r="G23" s="328">
        <f t="shared" ref="G23:G24" si="0">F23*(1-F$29-F$30)</f>
        <v>0.48</v>
      </c>
    </row>
    <row r="24" spans="2:7">
      <c r="B24" s="302" t="s">
        <v>446</v>
      </c>
      <c r="C24" s="324">
        <v>0</v>
      </c>
      <c r="D24" s="325">
        <f>C18</f>
        <v>5</v>
      </c>
      <c r="E24" s="326">
        <f>DCF!E93</f>
        <v>10.902988253482057</v>
      </c>
      <c r="F24" s="327">
        <v>0.3</v>
      </c>
      <c r="G24" s="328">
        <f t="shared" si="0"/>
        <v>0.24</v>
      </c>
    </row>
    <row r="25" spans="2:7">
      <c r="B25" s="141" t="s">
        <v>451</v>
      </c>
      <c r="C25" s="441">
        <f>E23*F23+E24*F24+E22*F22</f>
        <v>11.626010180895079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13.796931230655085</v>
      </c>
      <c r="F29" s="327">
        <v>0.1</v>
      </c>
      <c r="G29" s="328">
        <f>F29</f>
        <v>0.1</v>
      </c>
    </row>
    <row r="30" spans="2:7">
      <c r="B30" s="315" t="s">
        <v>447</v>
      </c>
      <c r="C30" s="324">
        <v>-0.1</v>
      </c>
      <c r="D30" s="325">
        <f>C18</f>
        <v>5</v>
      </c>
      <c r="E30" s="326">
        <f>DCF!E94</f>
        <v>7.3198615146181005</v>
      </c>
      <c r="F30" s="327">
        <v>0.1</v>
      </c>
      <c r="G30" s="328">
        <f>F30</f>
        <v>0.1</v>
      </c>
    </row>
    <row r="31" spans="2:7">
      <c r="E31" s="329"/>
      <c r="F31" s="329"/>
    </row>
    <row r="32" spans="2:7" ht="13.15">
      <c r="B32" s="145" t="s">
        <v>456</v>
      </c>
    </row>
    <row r="33" spans="2:7">
      <c r="B33" s="97" t="s">
        <v>458</v>
      </c>
      <c r="C33" s="155">
        <f>Normalized_FCF!C88*(1-dividend_tax_rate)</f>
        <v>0.3182552624913717</v>
      </c>
      <c r="D33" t="str">
        <f>Market_currency</f>
        <v>HKD</v>
      </c>
      <c r="E33" s="97" t="s">
        <v>455</v>
      </c>
      <c r="F33" s="219">
        <f>Holding_Period</f>
        <v>3</v>
      </c>
    </row>
    <row r="34" spans="2:7">
      <c r="B34" s="97" t="s">
        <v>233</v>
      </c>
      <c r="C34" s="146">
        <f>Market_Price</f>
        <v>7.99</v>
      </c>
      <c r="D34" t="str">
        <f>Market_currency</f>
        <v>HKD</v>
      </c>
      <c r="E34" s="97" t="s">
        <v>454</v>
      </c>
      <c r="F34" s="330">
        <f>RATE(Holding_Period,$C$33,-C34,$C$36)</f>
        <v>0.16181148869248071</v>
      </c>
    </row>
    <row r="35" spans="2:7">
      <c r="B35" s="97" t="s">
        <v>434</v>
      </c>
      <c r="C35" s="320">
        <f>DCF!C11</f>
        <v>14.735705613507122</v>
      </c>
      <c r="D35" s="97" t="str">
        <f>Market_currency</f>
        <v>HKD</v>
      </c>
      <c r="E35" s="97" t="s">
        <v>454</v>
      </c>
      <c r="F35" s="330">
        <f>RATE(Holding_Period,$C$33,-C35,$C$36)</f>
        <v>-5.8119646564927685E-2</v>
      </c>
    </row>
    <row r="36" spans="2:7">
      <c r="B36" s="97" t="s">
        <v>435</v>
      </c>
      <c r="C36" s="321">
        <f>E22*G22+E23*G23+E24*G24+E30*G30+E29*G29</f>
        <v>11.41248741924338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8.3606077914317095E-2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11.010070153664444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9.201374400973221E-2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0.3182552624913717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0.58235989367517638</v>
      </c>
      <c r="D62" s="119">
        <f>C36/(1+F62)^Holding_Period</f>
        <v>5.2592107922780569</v>
      </c>
      <c r="E62" s="332">
        <f>C62+D62</f>
        <v>5.8415706859532328</v>
      </c>
      <c r="F62" s="301">
        <f>Thesis!E22</f>
        <v>0.29465259038036601</v>
      </c>
      <c r="G62" s="440">
        <f>(1-E62/C36)</f>
        <v>0.48814220148857657</v>
      </c>
    </row>
    <row r="63" spans="2:7" ht="13.15">
      <c r="B63" s="302" t="s">
        <v>313</v>
      </c>
      <c r="C63" s="119">
        <f>PV(F63, Holding_Period, -C58, 0)</f>
        <v>0.66961032852100288</v>
      </c>
      <c r="D63" s="119">
        <f>C36/(1+F63)^Holding_Period</f>
        <v>6.5920504948698255</v>
      </c>
      <c r="E63" s="332">
        <f>C63+D63</f>
        <v>7.2616608233908284</v>
      </c>
      <c r="F63" s="301">
        <f>Thesis!E23</f>
        <v>0.20075184365903001</v>
      </c>
      <c r="G63" s="440">
        <f>(1-E63/C36)</f>
        <v>0.36370919356752651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0.76782364113310875</v>
      </c>
      <c r="D66" s="119">
        <f>C36/(1+F66)^Holding_Period</f>
        <v>8.1800189678933748</v>
      </c>
      <c r="E66" s="332">
        <f>C66+D66</f>
        <v>8.947842609026484</v>
      </c>
      <c r="F66" s="301">
        <f>Thesis!E24</f>
        <v>0.1174</v>
      </c>
      <c r="G66" s="440">
        <f>(1-E66/C36)</f>
        <v>0.21596035287286175</v>
      </c>
    </row>
    <row r="67" spans="2:7" ht="13.15">
      <c r="B67" s="302" t="s">
        <v>314</v>
      </c>
      <c r="C67" s="119">
        <f>PV(F67, Holding_Period, -C58, 0)</f>
        <v>0.83140216364990516</v>
      </c>
      <c r="D67" s="119">
        <f>C36/(1+F67)^Holding_Period</f>
        <v>9.2509942116953852</v>
      </c>
      <c r="E67" s="332">
        <f>C67+D67</f>
        <v>10.08239637534529</v>
      </c>
      <c r="F67" s="301">
        <f>Thesis!E25</f>
        <v>7.2499999999999995E-2</v>
      </c>
      <c r="G67" s="440">
        <f>(1-E67/C36)</f>
        <v>0.11654698884095438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7.99</v>
      </c>
    </row>
    <row r="9" spans="1:10">
      <c r="B9" s="351" t="s">
        <v>361</v>
      </c>
      <c r="C9" s="353">
        <f>Common_Shares</f>
        <v>8658801708</v>
      </c>
    </row>
    <row r="10" spans="1:10">
      <c r="B10" s="351" t="s">
        <v>367</v>
      </c>
      <c r="C10" s="357">
        <f>投资主题!C8*Common_Shares/1000000</f>
        <v>69183.825646919999</v>
      </c>
      <c r="D10" s="343" t="s">
        <v>528</v>
      </c>
      <c r="E10" s="360">
        <f>Scenarios!F34</f>
        <v>0.16181148869248071</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1.1197497097015401</v>
      </c>
    </row>
    <row r="17" spans="1:6">
      <c r="B17" s="343" t="s">
        <v>534</v>
      </c>
      <c r="C17" s="424">
        <f>Terminal_Growth</f>
        <v>0.02</v>
      </c>
      <c r="D17" s="351" t="s">
        <v>339</v>
      </c>
      <c r="E17" s="344" t="str">
        <f>Reporting_currency</f>
        <v>CNY</v>
      </c>
    </row>
    <row r="18" spans="1:6">
      <c r="B18" s="343" t="str">
        <f>"预期股权价值 ("&amp;C7&amp;") :"</f>
        <v>预期股权价值 (HKD) :</v>
      </c>
      <c r="C18" s="359">
        <f>C125</f>
        <v>11.41248741924338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5.8415706859532328</v>
      </c>
      <c r="D22" s="365" t="s">
        <v>440</v>
      </c>
      <c r="E22" s="366">
        <f>Thesis!E22</f>
        <v>0.29465259038036601</v>
      </c>
    </row>
    <row r="23" spans="1:6">
      <c r="B23" s="343" t="s">
        <v>341</v>
      </c>
      <c r="C23" s="367">
        <f>E141</f>
        <v>7.2616608233908284</v>
      </c>
      <c r="D23" s="365" t="s">
        <v>441</v>
      </c>
      <c r="E23" s="368">
        <f>Thesis!E23</f>
        <v>0.20075184365903001</v>
      </c>
    </row>
    <row r="24" spans="1:6">
      <c r="B24" s="343" t="s">
        <v>343</v>
      </c>
      <c r="C24" s="367">
        <f>E144</f>
        <v>8.947842609026484</v>
      </c>
      <c r="D24" s="365" t="s">
        <v>443</v>
      </c>
      <c r="E24" s="368">
        <f>Thesis!E24</f>
        <v>0.1174</v>
      </c>
    </row>
    <row r="25" spans="1:6">
      <c r="B25" s="343" t="s">
        <v>342</v>
      </c>
      <c r="C25" s="367">
        <f>E145</f>
        <v>10.08239637534529</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87.022449561355714</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-715.97755043864424</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-3909.5456123903391</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10035.071940446174</v>
      </c>
      <c r="D60" s="343" t="str">
        <f>Reporting_currency</f>
        <v>CNY</v>
      </c>
    </row>
    <row r="61" spans="2:6">
      <c r="B61" s="372" t="s">
        <v>213</v>
      </c>
      <c r="C61" s="373">
        <f>Normalized_FCF!C19</f>
        <v>5447.0304994715916</v>
      </c>
      <c r="D61" s="343" t="str">
        <f>Reporting_currency</f>
        <v>CNY</v>
      </c>
    </row>
    <row r="62" spans="2:6">
      <c r="B62" s="377" t="s">
        <v>302</v>
      </c>
      <c r="C62" s="378">
        <f>Normalized_FCF!C124</f>
        <v>8.8160935933878734E-2</v>
      </c>
      <c r="F62" s="379"/>
    </row>
    <row r="63" spans="2:6">
      <c r="B63" s="377" t="s">
        <v>332</v>
      </c>
      <c r="C63" s="378">
        <f>Normalized_FCF!C92</f>
        <v>3.9831697433212979E-2</v>
      </c>
      <c r="E63" s="372" t="s">
        <v>373</v>
      </c>
      <c r="F63" s="380">
        <f>Normalized_FCF!C90</f>
        <v>0.56212263232387805</v>
      </c>
    </row>
    <row r="65" spans="1:6">
      <c r="B65" s="369" t="s">
        <v>376</v>
      </c>
      <c r="C65" s="381" t="s">
        <v>327</v>
      </c>
      <c r="D65" s="381" t="s">
        <v>374</v>
      </c>
    </row>
    <row r="66" spans="1:6">
      <c r="B66" s="372" t="s">
        <v>326</v>
      </c>
      <c r="C66" s="378">
        <f>Normalized_FCF!E119</f>
        <v>0.17171984066369478</v>
      </c>
      <c r="D66" s="378">
        <f>Normalized_FCF!G119</f>
        <v>0.18349005073622102</v>
      </c>
    </row>
    <row r="67" spans="1:6">
      <c r="B67" s="382" t="str">
        <f>Normalized_FCF!B116</f>
        <v>Pre-tax Profit/Sales</v>
      </c>
      <c r="C67" s="383">
        <f>Normalized_FCF!E116</f>
        <v>8.3606077914317095E-2</v>
      </c>
      <c r="D67" s="383">
        <f>Normalized_FCF!G116</f>
        <v>8.9336697606183374E-2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-20425</v>
      </c>
      <c r="D78" s="343" t="str">
        <f>Reporting_currency</f>
        <v>CNY</v>
      </c>
    </row>
    <row r="79" spans="1:6">
      <c r="B79" s="372" t="s">
        <v>234</v>
      </c>
      <c r="C79" s="387">
        <f>C78*scaling_factor*Exchange_Rate/Common_Shares</f>
        <v>-2.6413456032285842</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28371.258406440713</v>
      </c>
      <c r="D84" s="343" t="str">
        <f>Reporting_currency</f>
        <v>CNY</v>
      </c>
    </row>
    <row r="85" spans="1:6">
      <c r="B85" s="382" t="s">
        <v>481</v>
      </c>
      <c r="C85" s="390">
        <f>BS!C66</f>
        <v>42875</v>
      </c>
      <c r="D85" s="391" t="str">
        <f>Reporting_currency</f>
        <v>CNY</v>
      </c>
    </row>
    <row r="86" spans="1:6">
      <c r="B86" s="372" t="s">
        <v>235</v>
      </c>
      <c r="C86" s="387">
        <f>C84*scaling_factor*Exchange_Rate/Common_Shares</f>
        <v>3.6689497503017963</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2.2501548835337757E-2</v>
      </c>
      <c r="D90" s="343" t="str">
        <f>Market_currency</f>
        <v>HKD</v>
      </c>
    </row>
    <row r="92" spans="1:6">
      <c r="B92" s="372" t="s">
        <v>480</v>
      </c>
      <c r="C92" s="387">
        <f>DCF!F8</f>
        <v>1.0501056959085497</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-2.9550352986876574</v>
      </c>
      <c r="D111" s="343" t="str">
        <f>Market_currency</f>
        <v>HKD</v>
      </c>
    </row>
    <row r="112" spans="1:6">
      <c r="A112" s="385"/>
      <c r="B112" s="372" t="s">
        <v>377</v>
      </c>
      <c r="C112" s="394">
        <f>DCF!C11</f>
        <v>14.735705613507122</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13.8 HKD</v>
      </c>
      <c r="F118" s="399">
        <f>DCF!F90</f>
        <v>0.1</v>
      </c>
    </row>
    <row r="119" spans="1:6">
      <c r="A119" s="385"/>
      <c r="B119" s="400" t="str">
        <f>DCF!B91</f>
        <v>Optimistic</v>
      </c>
      <c r="C119" s="401">
        <f>DCF!C91</f>
        <v>0.04</v>
      </c>
      <c r="D119" s="402">
        <f>DCF!D91</f>
        <v>5</v>
      </c>
      <c r="E119" s="398" t="str">
        <f>ROUND(DCF!E91,2)&amp;" "&amp;Market_currency</f>
        <v>12.76 HKD</v>
      </c>
      <c r="F119" s="403">
        <f>DCF!F91</f>
        <v>8.0000000000000029E-2</v>
      </c>
    </row>
    <row r="120" spans="1:6">
      <c r="B120" s="400" t="str">
        <f>DCF!B92</f>
        <v>Base</v>
      </c>
      <c r="C120" s="401">
        <f>DCF!C92</f>
        <v>0.02</v>
      </c>
      <c r="D120" s="402">
        <f>DCF!D92</f>
        <v>5</v>
      </c>
      <c r="E120" s="398" t="str">
        <f>ROUND(DCF!E92,2)&amp;" "&amp;Market_currency</f>
        <v>11.8 HKD</v>
      </c>
      <c r="F120" s="403">
        <f>DCF!F92</f>
        <v>0.48</v>
      </c>
    </row>
    <row r="121" spans="1:6">
      <c r="B121" s="400" t="str">
        <f>DCF!B93</f>
        <v>Pessimistic</v>
      </c>
      <c r="C121" s="401">
        <f>DCF!C93</f>
        <v>0</v>
      </c>
      <c r="D121" s="402">
        <f>DCF!D93</f>
        <v>5</v>
      </c>
      <c r="E121" s="398" t="str">
        <f>ROUND(DCF!E93,2)&amp;" "&amp;Market_currency</f>
        <v>10.9 HKD</v>
      </c>
      <c r="F121" s="403">
        <f>DCF!F93</f>
        <v>0.24</v>
      </c>
    </row>
    <row r="122" spans="1:6">
      <c r="B122" s="400" t="str">
        <f>DCF!B94</f>
        <v>Devil's advocate</v>
      </c>
      <c r="C122" s="401">
        <f>DCF!C94</f>
        <v>-0.1</v>
      </c>
      <c r="D122" s="402">
        <f>DCF!D94</f>
        <v>5</v>
      </c>
      <c r="E122" s="398" t="str">
        <f>ROUND(DCF!E94,2)&amp;" "&amp;Market_currency</f>
        <v>7.32 HKD</v>
      </c>
      <c r="F122" s="403">
        <f>DCF!F94</f>
        <v>0.1</v>
      </c>
    </row>
    <row r="124" spans="1:6">
      <c r="B124" s="470" t="s">
        <v>518</v>
      </c>
      <c r="C124" s="470"/>
      <c r="D124" s="470"/>
      <c r="E124" s="470"/>
      <c r="F124" s="470"/>
    </row>
    <row r="125" spans="1:6">
      <c r="B125" s="372" t="s">
        <v>218</v>
      </c>
      <c r="C125" s="404">
        <f>Scenarios!C36</f>
        <v>11.41248741924338</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0.3182552624913717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0.58235989367517638</v>
      </c>
      <c r="D140" s="409">
        <f>Scenarios!D62</f>
        <v>5.2592107922780569</v>
      </c>
      <c r="E140" s="410">
        <f>Scenarios!E62</f>
        <v>5.8415706859532328</v>
      </c>
      <c r="F140" s="411">
        <f>E22</f>
        <v>0.29465259038036601</v>
      </c>
    </row>
    <row r="141" spans="1:6">
      <c r="B141" s="408" t="s">
        <v>313</v>
      </c>
      <c r="C141" s="409">
        <f>Scenarios!C63</f>
        <v>0.66961032852100288</v>
      </c>
      <c r="D141" s="409">
        <f>Scenarios!D63</f>
        <v>6.5920504948698255</v>
      </c>
      <c r="E141" s="410">
        <f>Scenarios!E63</f>
        <v>7.2616608233908284</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0.76782364113310875</v>
      </c>
      <c r="D144" s="409">
        <f>Scenarios!D66</f>
        <v>8.1800189678933748</v>
      </c>
      <c r="E144" s="410">
        <f>Scenarios!E66</f>
        <v>8.947842609026484</v>
      </c>
      <c r="F144" s="411">
        <f>E24</f>
        <v>0.1174</v>
      </c>
    </row>
    <row r="145" spans="1:6">
      <c r="B145" s="408" t="s">
        <v>314</v>
      </c>
      <c r="C145" s="409">
        <f>Scenarios!C67</f>
        <v>0.83140216364990516</v>
      </c>
      <c r="D145" s="409">
        <f>Scenarios!D67</f>
        <v>9.2509942116953852</v>
      </c>
      <c r="E145" s="410">
        <f>Scenarios!E67</f>
        <v>10.08239637534529</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2026-01-23T08:08:42Z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