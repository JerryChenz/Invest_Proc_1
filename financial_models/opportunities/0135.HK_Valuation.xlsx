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4557D7C-4310-4ACA-B068-E20CBD37E30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C52" i="2" s="1"/>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<sst xmlns="http://schemas.openxmlformats.org/spreadsheetml/2006/main" count="768" uniqueCount="558">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</sst>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7.33</v>
      </c>
      <c r="E8" s="32"/>
    </row>
    <row r="9" spans="1:9">
      <c r="B9" s="4" t="s">
        <v>346</v>
      </c>
      <c r="C9" s="48">
        <v>8658801708</v>
      </c>
    </row>
    <row r="10" spans="1:9">
      <c r="B10" s="4" t="s">
        <v>352</v>
      </c>
      <c r="C10" s="33">
        <f>Thesis!C8*Common_Shares/1000000</f>
        <v>63469.016519639998</v>
      </c>
      <c r="D10" s="1" t="s">
        <v>527</v>
      </c>
      <c r="E10" s="303">
        <f>Scenarios!F34</f>
        <v>0.2014276481926798</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1.1321619999999999</v>
      </c>
    </row>
    <row r="17" spans="1:6">
      <c r="B17" s="1" t="s">
        <v>531</v>
      </c>
      <c r="C17" s="456">
        <v>0.02</v>
      </c>
      <c r="D17" s="4" t="s">
        <v>274</v>
      </c>
      <c r="E17" s="224" t="s">
        <v>557</v>
      </c>
    </row>
    <row r="18" spans="1:6">
      <c r="B18" s="1" t="str">
        <f>"Expected Equity Value ("&amp;C7&amp;") :"</f>
        <v>Expected Equity Value (HKD) :</v>
      </c>
      <c r="C18" s="252">
        <f>C125</f>
        <v>11.538648124787489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5.8363962806149692</v>
      </c>
      <c r="D22" s="38" t="s">
        <v>406</v>
      </c>
      <c r="E22" s="79">
        <v>0.3</v>
      </c>
    </row>
    <row r="23" spans="1:6">
      <c r="B23" s="1" t="s">
        <v>313</v>
      </c>
      <c r="C23" s="256">
        <f>E141</f>
        <v>7.3552885122899818</v>
      </c>
      <c r="D23" s="38" t="s">
        <v>407</v>
      </c>
      <c r="E23" s="443">
        <v>0.2</v>
      </c>
    </row>
    <row r="24" spans="1:6">
      <c r="B24" s="1" t="s">
        <v>315</v>
      </c>
      <c r="C24" s="256">
        <f>E144</f>
        <v>9.0467808382462369</v>
      </c>
      <c r="D24" s="38" t="s">
        <v>408</v>
      </c>
      <c r="E24" s="443">
        <v>0.1174</v>
      </c>
    </row>
    <row r="25" spans="1:6">
      <c r="B25" s="1" t="s">
        <v>314</v>
      </c>
      <c r="C25" s="256">
        <f>E145</f>
        <v>10.193878588583029</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16063</v>
      </c>
      <c r="D34" s="1" t="str">
        <f>Reporting_currency</f>
        <v>CNY</v>
      </c>
    </row>
    <row r="35" spans="2:6">
      <c r="B35" s="44"/>
      <c r="C35" s="73"/>
    </row>
    <row r="36" spans="2:6" ht="24.5" customHeight="1">
      <c r="B36" s="464" t="s">
        <v>198</v>
      </c>
      <c r="C36" s="464"/>
      <c r="D36" s="464"/>
      <c r="E36" s="464"/>
      <c r="F36" s="464"/>
    </row>
    <row r="37" spans="2:6">
      <c r="B37" s="44" t="s">
        <v>199</v>
      </c>
      <c r="C37" s="285">
        <f>Normalized_FCF!C15</f>
        <v>0</v>
      </c>
      <c r="D37" s="1" t="str">
        <f>Reporting_currency</f>
        <v>CNY</v>
      </c>
    </row>
    <row r="38" spans="2:6">
      <c r="B38" s="49" t="s">
        <v>200</v>
      </c>
      <c r="C38" s="285">
        <f>Normalized_FCF!C16</f>
        <v>0</v>
      </c>
      <c r="D38" s="1" t="str">
        <f>Reporting_currency</f>
        <v>CNY</v>
      </c>
    </row>
    <row r="40" spans="2:6">
      <c r="B40" s="464" t="s">
        <v>201</v>
      </c>
      <c r="C40" s="464"/>
      <c r="D40" s="464"/>
      <c r="E40" s="464"/>
      <c r="F40" s="464"/>
    </row>
    <row r="41" spans="2:6">
      <c r="B41" s="44" t="s">
        <v>202</v>
      </c>
      <c r="C41" s="285">
        <f>Normalized_FCF!C9</f>
        <v>291.16000000000003</v>
      </c>
      <c r="D41" s="1" t="str">
        <f>Reporting_currency</f>
        <v>CNY</v>
      </c>
    </row>
    <row r="43" spans="2:6">
      <c r="B43" s="464" t="s">
        <v>205</v>
      </c>
      <c r="C43" s="464"/>
      <c r="D43" s="464"/>
      <c r="E43" s="464"/>
      <c r="F43" s="464"/>
    </row>
    <row r="44" spans="2:6">
      <c r="B44" s="44" t="s">
        <v>267</v>
      </c>
      <c r="C44" s="286">
        <f>Normalized_FCF!C46</f>
        <v>87.039419952348624</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-715.96058004765132</v>
      </c>
      <c r="D46" s="1" t="str">
        <f>Reporting_currency</f>
        <v>CNY</v>
      </c>
    </row>
    <row r="48" spans="2:6">
      <c r="B48" s="1" t="s">
        <v>211</v>
      </c>
    </row>
    <row r="49" spans="2:6">
      <c r="B49" s="44" t="s">
        <v>223</v>
      </c>
      <c r="C49" s="285">
        <f>Normalized_FCF!C13</f>
        <v>-6281.6063376994261</v>
      </c>
      <c r="D49" s="1" t="str">
        <f>Reporting_currency</f>
        <v>CNY</v>
      </c>
    </row>
    <row r="51" spans="2:6">
      <c r="B51" s="464" t="s">
        <v>206</v>
      </c>
      <c r="C51" s="464"/>
      <c r="D51" s="464"/>
      <c r="E51" s="464"/>
      <c r="F51" s="464"/>
    </row>
    <row r="52" spans="2:6">
      <c r="B52" s="44" t="s">
        <v>204</v>
      </c>
      <c r="C52" s="285">
        <f>Normalized_FCF!C12</f>
        <v>-3909.5498549880872</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10035.135138248203</v>
      </c>
      <c r="D60" s="1" t="str">
        <f>Reporting_currency</f>
        <v>CNY</v>
      </c>
    </row>
    <row r="61" spans="2:6">
      <c r="B61" s="44" t="s">
        <v>213</v>
      </c>
      <c r="C61" s="285">
        <f>Normalized_FCF!C19</f>
        <v>5447.0432272648359</v>
      </c>
      <c r="D61" s="1" t="str">
        <f>Reporting_currency</f>
        <v>CNY</v>
      </c>
    </row>
    <row r="62" spans="2:6">
      <c r="B62" s="204" t="s">
        <v>302</v>
      </c>
      <c r="C62" s="89">
        <f>Normalized_FCF!C124</f>
        <v>9.7164501554207944E-2</v>
      </c>
      <c r="F62" s="257"/>
    </row>
    <row r="63" spans="2:6">
      <c r="B63" s="204" t="s">
        <v>332</v>
      </c>
      <c r="C63" s="89">
        <f>Normalized_FCF!C92</f>
        <v>4.3899465708049104E-2</v>
      </c>
      <c r="E63" s="44" t="s">
        <v>322</v>
      </c>
      <c r="F63" s="258">
        <f>Normalized_FCF!C90</f>
        <v>0.56835236577547799</v>
      </c>
    </row>
    <row r="65" spans="1:6">
      <c r="B65" s="192" t="s">
        <v>325</v>
      </c>
      <c r="C65" s="264" t="s">
        <v>327</v>
      </c>
      <c r="D65" s="264" t="s">
        <v>328</v>
      </c>
    </row>
    <row r="66" spans="1:6">
      <c r="B66" s="44" t="s">
        <v>326</v>
      </c>
      <c r="C66" s="89">
        <f>Normalized_FCF!E119</f>
        <v>0.17172002701225841</v>
      </c>
      <c r="D66" s="89">
        <f>Normalized_FCF!G119</f>
        <v>0.18349074469899637</v>
      </c>
    </row>
    <row r="67" spans="1:6">
      <c r="B67" s="229" t="str">
        <f>Normalized_FCF!B116</f>
        <v>Pre-tax Profit/Sales</v>
      </c>
      <c r="C67" s="263">
        <f>Normalized_FCF!E116</f>
        <v>8.3606168642752859E-2</v>
      </c>
      <c r="D67" s="263">
        <f>Normalized_FCF!G116</f>
        <v>8.9337035479230789E-2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-20425</v>
      </c>
      <c r="D78" s="1" t="str">
        <f>Reporting_currency</f>
        <v>CNY</v>
      </c>
    </row>
    <row r="79" spans="1:6">
      <c r="A79" s="191"/>
      <c r="B79" s="44" t="s">
        <v>234</v>
      </c>
      <c r="C79" s="201">
        <f>C78*scaling_factor*Exchange_Rate/Common_Shares</f>
        <v>-2.67062460024174</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28368.430007941897</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3.7092497943425027</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2.2750975786637099E-2</v>
      </c>
      <c r="D90" s="1" t="str">
        <f>Market_currency</f>
        <v>HKD</v>
      </c>
    </row>
    <row r="91" spans="1:6">
      <c r="A91" s="191"/>
    </row>
    <row r="92" spans="1:6">
      <c r="A92" s="191"/>
      <c r="B92" s="44" t="s">
        <v>469</v>
      </c>
      <c r="C92" s="216">
        <f>DCF!F8</f>
        <v>1.0613761698873996</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-2.9877915080902775</v>
      </c>
      <c r="D111" s="1" t="str">
        <f>Market_currency</f>
        <v>HKD</v>
      </c>
    </row>
    <row r="112" spans="2:6">
      <c r="B112" s="44" t="s">
        <v>323</v>
      </c>
      <c r="C112" s="216">
        <f>DCF!C11</f>
        <v>14.898711642652948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13.95 HKD</v>
      </c>
      <c r="E118" s="208">
        <f>DCF!F90</f>
        <v>0.1</v>
      </c>
      <c r="F118" s="208">
        <f>RATE(Holding_Period,Scenarios!C$58,-DCF!E90,C$18)</f>
        <v>-3.6709478637376912E-2</v>
      </c>
    </row>
    <row r="119" spans="2:6">
      <c r="B119" s="205" t="str">
        <f>DCF!B91&amp;" ("&amp;DCF!D91&amp;"yrs)"</f>
        <v>Optimistic (5yrs)</v>
      </c>
      <c r="C119" s="198">
        <f>DCF!C91</f>
        <v>0.04</v>
      </c>
      <c r="D119" s="207" t="str">
        <f>ROUND(DCF!E91,2)&amp;" "&amp;Market_currency</f>
        <v>12.9 HKD</v>
      </c>
      <c r="E119" s="199">
        <f>DCF!F91</f>
        <v>8.0000000000000029E-2</v>
      </c>
      <c r="F119" s="208">
        <f>RATE(Holding_Period,Scenarios!C$58,-DCF!E91,C$18)</f>
        <v>-1.0679518223529581E-2</v>
      </c>
    </row>
    <row r="120" spans="2:6">
      <c r="B120" s="205" t="str">
        <f>DCF!B92&amp;" ("&amp;DCF!D92&amp;"yrs)"</f>
        <v>Base (5yrs)</v>
      </c>
      <c r="C120" s="198">
        <f>DCF!C92</f>
        <v>0.02</v>
      </c>
      <c r="D120" s="207" t="str">
        <f>ROUND(DCF!E92,2)&amp;" "&amp;Market_currency</f>
        <v>11.93 HKD</v>
      </c>
      <c r="E120" s="199">
        <f>DCF!F92</f>
        <v>0.48</v>
      </c>
      <c r="F120" s="208">
        <f>RATE(Holding_Period,Scenarios!C$58,-DCF!E92,C$18)</f>
        <v>1.6251360225976803E-2</v>
      </c>
    </row>
    <row r="121" spans="2:6">
      <c r="B121" s="205" t="str">
        <f>DCF!B93&amp;" ("&amp;DCF!D93&amp;"yrs)"</f>
        <v>Pessimistic (5yrs)</v>
      </c>
      <c r="C121" s="198">
        <f>DCF!C93</f>
        <v>0</v>
      </c>
      <c r="D121" s="207" t="str">
        <f>ROUND(DCF!E93,2)&amp;" "&amp;Market_currency</f>
        <v>11.02 HKD</v>
      </c>
      <c r="E121" s="199">
        <f>DCF!F93</f>
        <v>0.24</v>
      </c>
      <c r="F121" s="208">
        <f>RATE(Holding_Period,Scenarios!C$58,-DCF!E93,C$18)</f>
        <v>4.4100705447663285E-2</v>
      </c>
    </row>
    <row r="122" spans="2:6">
      <c r="B122" s="205" t="str">
        <f>DCF!B94&amp;" ("&amp;DCF!D94&amp;"yrs)"</f>
        <v>Devil's advocate (5yrs)</v>
      </c>
      <c r="C122" s="198">
        <f>DCF!C94</f>
        <v>-0.1</v>
      </c>
      <c r="D122" s="207" t="str">
        <f>ROUND(DCF!E94,2)&amp;" "&amp;Market_currency</f>
        <v>7.4 HKD</v>
      </c>
      <c r="E122" s="199">
        <f>DCF!F94</f>
        <v>0.1</v>
      </c>
      <c r="F122" s="208">
        <f>RATE(Holding_Period,Scenarios!C$58,-DCF!E94,C$18)</f>
        <v>0.19745606315699277</v>
      </c>
    </row>
    <row r="124" spans="2:6">
      <c r="B124" s="464" t="s">
        <v>357</v>
      </c>
      <c r="C124" s="464"/>
      <c r="D124" s="464"/>
      <c r="E124" s="464"/>
      <c r="F124" s="464"/>
    </row>
    <row r="125" spans="2:6">
      <c r="B125" s="193" t="s">
        <v>218</v>
      </c>
      <c r="C125" s="197">
        <f>Scenarios!C36</f>
        <v>11.538648124787489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0.32178308363999991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0.58439440315138835</v>
      </c>
      <c r="D140" s="333">
        <f>Scenarios!D62</f>
        <v>5.2520018774635808</v>
      </c>
      <c r="E140" s="334">
        <f>Scenarios!E62</f>
        <v>5.8363962806149692</v>
      </c>
      <c r="F140" s="335">
        <f>E22</f>
        <v>0.3</v>
      </c>
    </row>
    <row r="141" spans="1:6">
      <c r="B141" s="336" t="s">
        <v>313</v>
      </c>
      <c r="C141" s="333">
        <f>Scenarios!C63</f>
        <v>0.67783010674166644</v>
      </c>
      <c r="D141" s="333">
        <f>Scenarios!D63</f>
        <v>6.6774584055483155</v>
      </c>
      <c r="E141" s="334">
        <f>Scenarios!E63</f>
        <v>7.3552885122899818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0.77633487346404162</v>
      </c>
      <c r="D144" s="333">
        <f>Scenarios!D66</f>
        <v>8.270445964782196</v>
      </c>
      <c r="E144" s="334">
        <f>Scenarios!E66</f>
        <v>9.0467808382462369</v>
      </c>
      <c r="F144" s="335">
        <f>E24</f>
        <v>0.1174</v>
      </c>
    </row>
    <row r="145" spans="1:6">
      <c r="B145" s="336" t="s">
        <v>314</v>
      </c>
      <c r="C145" s="333">
        <f>Scenarios!C67</f>
        <v>0.84061815622447844</v>
      </c>
      <c r="D145" s="333">
        <f>Scenarios!D67</f>
        <v>9.3532604323585513</v>
      </c>
      <c r="E145" s="334">
        <f>Scenarios!E67</f>
        <v>10.193878588583029</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0.35753675959999992</v>
      </c>
      <c r="D25" s="37">
        <f>(0.2838)*Exchange_Rate</f>
        <v>0.32130757559999995</v>
      </c>
      <c r="E25" s="37">
        <f>0.2539*Exchange_Rate</f>
        <v>0.28745593180000001</v>
      </c>
      <c r="F25" s="37">
        <f>0.2078*Exchange_Rate</f>
        <v>0.23526326359999999</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0.35753675959999992</v>
      </c>
      <c r="D65" s="70">
        <f t="shared" ref="D65:M65" si="33">IF(D$4="","",D25)</f>
        <v>0.32130757559999995</v>
      </c>
      <c r="E65" s="70">
        <f t="shared" si="33"/>
        <v>0.28745593180000001</v>
      </c>
      <c r="F65" s="70">
        <f t="shared" si="33"/>
        <v>0.23526326359999999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8.7588641723864722</v>
      </c>
      <c r="D47" s="134">
        <f>D46*H1/Common_Shares*Exchange_Rate</f>
        <v>-2.9877915080902775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28368.430007941897</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-14506.569992058105</v>
      </c>
      <c r="D73" s="285">
        <f>(Normalized_FCF!C26+Normalized_FCF!C35-Normalized_FCF!C89)/12</f>
        <v>-14506.569992058105</v>
      </c>
      <c r="F73" s="1" t="s">
        <v>278</v>
      </c>
    </row>
    <row r="74" spans="2:6" ht="15" customHeight="1">
      <c r="B74" s="227" t="s">
        <v>259</v>
      </c>
      <c r="C74" s="228">
        <f>-$C$66/C73</f>
        <v>2.9555573801024453</v>
      </c>
      <c r="D74" s="228">
        <f>-$C$66/D73</f>
        <v>2.9555573801024453</v>
      </c>
      <c r="F74" s="223" t="s">
        <v>257</v>
      </c>
    </row>
    <row r="75" spans="2:6" ht="15" customHeight="1">
      <c r="B75" s="77" t="s">
        <v>258</v>
      </c>
      <c r="C75" s="261"/>
      <c r="D75" s="262">
        <f>MAX(-D73*D76,G5)</f>
        <v>14506.569992058105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-23124.408849999996</v>
      </c>
      <c r="D86" s="201">
        <f>C86*scaling_factor/Common_Shares</f>
        <v>-2.67062460024174</v>
      </c>
      <c r="E86" s="214" t="str">
        <f>Market_currency</f>
        <v>HKD</v>
      </c>
    </row>
    <row r="87" spans="2:8" ht="15" customHeight="1">
      <c r="B87" s="212" t="s">
        <v>240</v>
      </c>
      <c r="C87" s="73">
        <f>DCF!F5*Exchange_Rate</f>
        <v>32117.658454651511</v>
      </c>
      <c r="D87" s="201">
        <f>C87*scaling_factor/Common_Shares</f>
        <v>3.7092497943425027</v>
      </c>
      <c r="E87" s="214" t="str">
        <f>Market_currency</f>
        <v>HKD</v>
      </c>
    </row>
    <row r="88" spans="2:8" ht="15" customHeight="1">
      <c r="B88" s="213" t="s">
        <v>159</v>
      </c>
      <c r="C88" s="73">
        <f>DCF!F6*Exchange_Rate</f>
        <v>196.99618799999999</v>
      </c>
      <c r="D88" s="201">
        <f>C88*scaling_factor/Common_Shares</f>
        <v>2.2750975786637102E-2</v>
      </c>
      <c r="E88" s="214" t="str">
        <f>Market_currency</f>
        <v>HKD</v>
      </c>
    </row>
    <row r="89" spans="2:8" ht="15" customHeight="1">
      <c r="B89" s="77" t="s">
        <v>244</v>
      </c>
      <c r="C89" s="162">
        <f>SUM(C86:C88)</f>
        <v>9190.2457926515144</v>
      </c>
      <c r="D89" s="216">
        <f>SUM(D86:D88)</f>
        <v>1.0613761698873998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-715.96058004765132</v>
      </c>
      <c r="E10" s="237"/>
      <c r="G10" s="266">
        <f>G48</f>
        <v>-478.86486175179795</v>
      </c>
      <c r="H10" s="266">
        <f t="shared" ref="H10:Q10" si="6">H48</f>
        <v>-665.63927946144486</v>
      </c>
      <c r="I10" s="266">
        <f t="shared" si="6"/>
        <v>-608.36108167515079</v>
      </c>
      <c r="J10" s="266">
        <f t="shared" si="6"/>
        <v>-604.0151480863268</v>
      </c>
      <c r="K10" s="266">
        <f t="shared" si="6"/>
        <v>-596.34593358882398</v>
      </c>
      <c r="L10" s="266">
        <f t="shared" si="6"/>
        <v>-895.29329031314467</v>
      </c>
      <c r="M10" s="266">
        <f t="shared" si="6"/>
        <v>-1030.1880315415244</v>
      </c>
      <c r="N10" s="266">
        <f t="shared" si="6"/>
        <v>-1073.6090666280056</v>
      </c>
      <c r="O10" s="266">
        <f t="shared" si="6"/>
        <v>-566.91736612878651</v>
      </c>
      <c r="P10" s="266">
        <f t="shared" si="6"/>
        <v>-500.87222744692542</v>
      </c>
      <c r="Q10" s="266" t="str">
        <f t="shared" si="6"/>
        <v/>
      </c>
    </row>
    <row r="11" spans="1:17" ht="15.75" customHeight="1">
      <c r="A11" s="10"/>
      <c r="B11" s="67" t="s">
        <v>137</v>
      </c>
      <c r="C11" s="267">
        <f>SUM(C8:C10)</f>
        <v>15638.199419952349</v>
      </c>
      <c r="E11" s="237"/>
      <c r="G11" s="267">
        <f t="shared" ref="G11:Q11" si="7">IF(G$4="","",SUM(G8:G10))</f>
        <v>16710.135138248203</v>
      </c>
      <c r="H11" s="267">
        <f t="shared" si="7"/>
        <v>17016.360720538556</v>
      </c>
      <c r="I11" s="267">
        <f t="shared" si="7"/>
        <v>16731.63891832485</v>
      </c>
      <c r="J11" s="267">
        <f t="shared" si="7"/>
        <v>14520.984851913674</v>
      </c>
      <c r="K11" s="267">
        <f t="shared" si="7"/>
        <v>11496.654066411176</v>
      </c>
      <c r="L11" s="267">
        <f t="shared" si="7"/>
        <v>20325.706709686856</v>
      </c>
      <c r="M11" s="267">
        <f t="shared" si="7"/>
        <v>19125.811968458474</v>
      </c>
      <c r="N11" s="267">
        <f t="shared" si="7"/>
        <v>16885.390933371993</v>
      </c>
      <c r="O11" s="267">
        <f t="shared" si="7"/>
        <v>17654.082633871214</v>
      </c>
      <c r="P11" s="267">
        <f t="shared" si="7"/>
        <v>11794.127772553074</v>
      </c>
      <c r="Q11" s="267" t="str">
        <f t="shared" si="7"/>
        <v/>
      </c>
    </row>
    <row r="12" spans="1:17" ht="15.75" customHeight="1">
      <c r="A12" s="10"/>
      <c r="B12" s="2" t="s">
        <v>60</v>
      </c>
      <c r="C12" s="266">
        <f>-C11*C41</f>
        <v>-3909.5498549880872</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5447.0432272648359</v>
      </c>
      <c r="D14" s="58"/>
      <c r="E14" s="243"/>
      <c r="F14" s="58"/>
      <c r="G14" s="267">
        <f t="shared" ref="G14:Q14" si="8">IF(G$4="","",SUM(G11:G13))</f>
        <v>10035.135138248203</v>
      </c>
      <c r="H14" s="267">
        <f t="shared" si="8"/>
        <v>10105.360720538556</v>
      </c>
      <c r="I14" s="267">
        <f t="shared" si="8"/>
        <v>10567.63891832485</v>
      </c>
      <c r="J14" s="267">
        <f t="shared" si="8"/>
        <v>8501.984851913674</v>
      </c>
      <c r="K14" s="267">
        <f t="shared" si="8"/>
        <v>5514.6540664111762</v>
      </c>
      <c r="L14" s="267">
        <f t="shared" si="8"/>
        <v>12231.706709686856</v>
      </c>
      <c r="M14" s="267">
        <f t="shared" si="8"/>
        <v>11774.811968458474</v>
      </c>
      <c r="N14" s="267">
        <f t="shared" si="8"/>
        <v>10165.390933371993</v>
      </c>
      <c r="O14" s="267">
        <f t="shared" si="8"/>
        <v>11198.082633871214</v>
      </c>
      <c r="P14" s="267">
        <f t="shared" si="8"/>
        <v>7004.1277725530745</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5447.0432272648359</v>
      </c>
      <c r="D19" s="26"/>
      <c r="E19" s="234"/>
      <c r="F19" s="26"/>
      <c r="G19" s="271">
        <f t="shared" ref="G19:Q19" si="9">IF(G$4="","",G14+G17)</f>
        <v>10035.135138248203</v>
      </c>
      <c r="H19" s="271">
        <f t="shared" si="9"/>
        <v>10105.360720538556</v>
      </c>
      <c r="I19" s="271">
        <f t="shared" si="9"/>
        <v>10567.63891832485</v>
      </c>
      <c r="J19" s="271">
        <f t="shared" si="9"/>
        <v>8501.984851913674</v>
      </c>
      <c r="K19" s="271">
        <f t="shared" si="9"/>
        <v>5514.6540664111762</v>
      </c>
      <c r="L19" s="271">
        <f t="shared" si="9"/>
        <v>12231.706709686856</v>
      </c>
      <c r="M19" s="271">
        <f t="shared" si="9"/>
        <v>11774.811968458474</v>
      </c>
      <c r="N19" s="271">
        <f t="shared" si="9"/>
        <v>10165.390933371993</v>
      </c>
      <c r="O19" s="271">
        <f t="shared" si="9"/>
        <v>11198.082633871214</v>
      </c>
      <c r="P19" s="271">
        <f t="shared" si="9"/>
        <v>7004.1277725530745</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0.18719178355657046</v>
      </c>
      <c r="H41" s="6">
        <f t="shared" si="16"/>
        <v>0.19616415371184931</v>
      </c>
      <c r="I41" s="6">
        <f t="shared" si="16"/>
        <v>0.19059698906766023</v>
      </c>
      <c r="J41" s="6">
        <f t="shared" si="16"/>
        <v>0.18580006986540168</v>
      </c>
      <c r="K41" s="6">
        <f t="shared" si="16"/>
        <v>0.20118897086394039</v>
      </c>
      <c r="L41" s="6">
        <f t="shared" si="16"/>
        <v>0.20043583518099309</v>
      </c>
      <c r="M41" s="6">
        <f t="shared" si="16"/>
        <v>0.19722038500747743</v>
      </c>
      <c r="N41" s="6">
        <f t="shared" si="16"/>
        <v>0.20911567957964142</v>
      </c>
      <c r="O41" s="6">
        <f t="shared" si="16"/>
        <v>0.20963989331845781</v>
      </c>
      <c r="P41" s="6">
        <f t="shared" si="16"/>
        <v>0.22104220424565257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87.039419952348624</v>
      </c>
      <c r="E46" s="237"/>
      <c r="G46" s="274">
        <f t="shared" ref="G46:Q46" si="17">IFERROR(IF(G$4="","",($C$46/$C$47)*G47),0)</f>
        <v>324.13513824820205</v>
      </c>
      <c r="H46" s="274">
        <f t="shared" si="17"/>
        <v>294.36072053855509</v>
      </c>
      <c r="I46" s="274">
        <f t="shared" si="17"/>
        <v>290.63891832484921</v>
      </c>
      <c r="J46" s="274">
        <f t="shared" si="17"/>
        <v>178.98485191367317</v>
      </c>
      <c r="K46" s="274">
        <f t="shared" si="17"/>
        <v>111.65406641117607</v>
      </c>
      <c r="L46" s="274">
        <f t="shared" si="17"/>
        <v>92.706709686855291</v>
      </c>
      <c r="M46" s="274">
        <f t="shared" si="17"/>
        <v>99.81196845847559</v>
      </c>
      <c r="N46" s="274">
        <f t="shared" si="17"/>
        <v>71.390933371994407</v>
      </c>
      <c r="O46" s="274">
        <f t="shared" si="17"/>
        <v>118.08263387121349</v>
      </c>
      <c r="P46" s="274">
        <f t="shared" si="17"/>
        <v>76.127772553074593</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-715.96058004765132</v>
      </c>
      <c r="E48" s="237"/>
      <c r="G48" s="267">
        <f>IF(G$4="","",(G45+G46))</f>
        <v>-478.86486175179795</v>
      </c>
      <c r="H48" s="267">
        <f t="shared" ref="H48:Q48" si="18">IF(H$4="","",(H45+H46))</f>
        <v>-665.63927946144486</v>
      </c>
      <c r="I48" s="267">
        <f t="shared" si="18"/>
        <v>-608.36108167515079</v>
      </c>
      <c r="J48" s="267">
        <f t="shared" si="18"/>
        <v>-604.0151480863268</v>
      </c>
      <c r="K48" s="267">
        <f t="shared" si="18"/>
        <v>-596.34593358882398</v>
      </c>
      <c r="L48" s="267">
        <f t="shared" si="18"/>
        <v>-895.29329031314467</v>
      </c>
      <c r="M48" s="267">
        <f t="shared" si="18"/>
        <v>-1030.1880315415244</v>
      </c>
      <c r="N48" s="267">
        <f t="shared" si="18"/>
        <v>-1073.6090666280056</v>
      </c>
      <c r="O48" s="267">
        <f t="shared" si="18"/>
        <v>-566.91736612878651</v>
      </c>
      <c r="P48" s="267">
        <f t="shared" si="18"/>
        <v>-500.87222744692542</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3.8277246241440678E-3</v>
      </c>
      <c r="D76" s="26"/>
      <c r="E76" s="234"/>
      <c r="F76" s="26"/>
      <c r="G76" s="6">
        <f t="shared" ref="G76:Q76" si="28">IF(G$4="","",ABS(G10/G$4))</f>
        <v>2.5601448935117454E-3</v>
      </c>
      <c r="H76" s="6">
        <f t="shared" si="28"/>
        <v>3.7531675601421162E-3</v>
      </c>
      <c r="I76" s="6">
        <f t="shared" si="28"/>
        <v>3.5381349839200601E-3</v>
      </c>
      <c r="J76" s="6">
        <f t="shared" si="28"/>
        <v>4.3596407579112274E-3</v>
      </c>
      <c r="K76" s="6">
        <f t="shared" si="28"/>
        <v>5.4584940512107348E-3</v>
      </c>
      <c r="L76" s="6">
        <f t="shared" si="28"/>
        <v>7.9010642231089525E-3</v>
      </c>
      <c r="M76" s="6">
        <f t="shared" si="28"/>
        <v>9.7675929794398819E-3</v>
      </c>
      <c r="N76" s="6">
        <f t="shared" si="28"/>
        <v>1.2103003930151349E-2</v>
      </c>
      <c r="O76" s="6">
        <f t="shared" si="28"/>
        <v>6.9235896305511165E-3</v>
      </c>
      <c r="P76" s="6">
        <f t="shared" si="28"/>
        <v>1.2028342917963676E-2</v>
      </c>
      <c r="Q76" s="6" t="str">
        <f t="shared" si="28"/>
        <v/>
      </c>
    </row>
    <row r="77" spans="1:17" ht="15.75" customHeight="1">
      <c r="A77" s="10"/>
      <c r="B77" s="67" t="s">
        <v>137</v>
      </c>
      <c r="C77" s="75">
        <f>C11/C4</f>
        <v>8.3606168642752846E-2</v>
      </c>
      <c r="D77" s="26"/>
      <c r="E77" s="234"/>
      <c r="F77" s="26"/>
      <c r="G77" s="62">
        <f t="shared" ref="G77:Q77" si="29">IF(G$4="","",G11/G$4)</f>
        <v>8.9337035479230789E-2</v>
      </c>
      <c r="H77" s="62">
        <f t="shared" si="29"/>
        <v>9.5945739710063246E-2</v>
      </c>
      <c r="I77" s="62">
        <f t="shared" si="29"/>
        <v>9.7308652342186122E-2</v>
      </c>
      <c r="J77" s="62">
        <f t="shared" si="29"/>
        <v>0.10480908898722942</v>
      </c>
      <c r="K77" s="62">
        <f t="shared" si="29"/>
        <v>0.10523156828231482</v>
      </c>
      <c r="L77" s="62">
        <f t="shared" si="29"/>
        <v>0.17937665324973176</v>
      </c>
      <c r="M77" s="62">
        <f t="shared" si="29"/>
        <v>0.18133888279566204</v>
      </c>
      <c r="N77" s="62">
        <f t="shared" si="29"/>
        <v>0.19035229785326802</v>
      </c>
      <c r="O77" s="62">
        <f t="shared" si="29"/>
        <v>0.21560394999964844</v>
      </c>
      <c r="P77" s="62">
        <f t="shared" si="29"/>
        <v>0.28323353840092874</v>
      </c>
      <c r="Q77" s="62" t="str">
        <f t="shared" si="29"/>
        <v/>
      </c>
    </row>
    <row r="78" spans="1:17" ht="15.75" customHeight="1">
      <c r="A78" s="10"/>
      <c r="B78" s="2" t="s">
        <v>60</v>
      </c>
      <c r="C78" s="74">
        <f>ABS(C12/C$4)</f>
        <v>2.0901542160688211E-2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2.9121409852468569E-2</v>
      </c>
      <c r="D80" s="26"/>
      <c r="E80" s="234"/>
      <c r="F80" s="26"/>
      <c r="G80" s="62">
        <f t="shared" ref="G80:Q80" si="32">IF(G$4="","",ABS(G14/G$4))</f>
        <v>5.3650626788320534E-2</v>
      </c>
      <c r="H80" s="62">
        <f t="shared" si="32"/>
        <v>5.697847649637762E-2</v>
      </c>
      <c r="I80" s="62">
        <f t="shared" si="32"/>
        <v>6.145977131115276E-2</v>
      </c>
      <c r="J80" s="62">
        <f t="shared" si="32"/>
        <v>6.1365347874105351E-2</v>
      </c>
      <c r="K80" s="62">
        <f t="shared" si="32"/>
        <v>5.0476920727601363E-2</v>
      </c>
      <c r="L80" s="62">
        <f t="shared" si="32"/>
        <v>0.10794619072557302</v>
      </c>
      <c r="M80" s="62">
        <f t="shared" si="32"/>
        <v>0.11164133847026145</v>
      </c>
      <c r="N80" s="62">
        <f t="shared" si="32"/>
        <v>0.11459643015547982</v>
      </c>
      <c r="O80" s="62">
        <f t="shared" si="32"/>
        <v>0.1367587825635819</v>
      </c>
      <c r="P80" s="62">
        <f t="shared" si="32"/>
        <v>0.16820267939177913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2.9121409852468569E-2</v>
      </c>
      <c r="D85" s="72"/>
      <c r="E85" s="234"/>
      <c r="F85" s="72"/>
      <c r="G85" s="62">
        <f t="shared" ref="G85:Q85" si="35">IF(G$4="","",ABS(G19/G$4))</f>
        <v>5.3650626788320534E-2</v>
      </c>
      <c r="H85" s="62">
        <f t="shared" si="35"/>
        <v>5.697847649637762E-2</v>
      </c>
      <c r="I85" s="62">
        <f t="shared" si="35"/>
        <v>6.145977131115276E-2</v>
      </c>
      <c r="J85" s="62">
        <f t="shared" si="35"/>
        <v>6.1365347874105351E-2</v>
      </c>
      <c r="K85" s="62">
        <f t="shared" si="35"/>
        <v>5.0476920727601363E-2</v>
      </c>
      <c r="L85" s="62">
        <f t="shared" si="35"/>
        <v>0.10794619072557302</v>
      </c>
      <c r="M85" s="62">
        <f t="shared" si="35"/>
        <v>0.11164133847026145</v>
      </c>
      <c r="N85" s="62">
        <f t="shared" si="35"/>
        <v>0.11459643015547982</v>
      </c>
      <c r="O85" s="62">
        <f t="shared" si="35"/>
        <v>0.1367587825635819</v>
      </c>
      <c r="P85" s="62">
        <f t="shared" si="35"/>
        <v>0.16820267939177913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0.35753675959999992</v>
      </c>
      <c r="E88" s="237"/>
      <c r="G88" s="109">
        <f>Data!C65</f>
        <v>0.35753675959999992</v>
      </c>
      <c r="H88" s="109">
        <f>Data!D65</f>
        <v>0.32130757559999995</v>
      </c>
      <c r="I88" s="109">
        <f>Data!E65</f>
        <v>0.28745593180000001</v>
      </c>
      <c r="J88" s="109">
        <f>Data!F65</f>
        <v>0.23526326359999999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3095.8399046972645</v>
      </c>
      <c r="E89" s="237"/>
      <c r="G89" s="71">
        <f t="shared" ref="G89:Q89" si="36">IF(G$4="","",G88*Common_Shares/scaling_factor)</f>
        <v>3095.8399046972645</v>
      </c>
      <c r="H89" s="71">
        <f t="shared" si="36"/>
        <v>2782.1385843986186</v>
      </c>
      <c r="I89" s="71">
        <f t="shared" si="36"/>
        <v>2489.0239132445718</v>
      </c>
      <c r="J89" s="71">
        <f t="shared" si="36"/>
        <v>2037.0979486893341</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0.56835236577547799</v>
      </c>
      <c r="E90" s="237"/>
      <c r="G90" s="152">
        <f t="shared" ref="G90:Q90" si="37">IF(G$4="","",G88/(G19*scaling_factor/Common_Shares))</f>
        <v>0.30850007120459105</v>
      </c>
      <c r="H90" s="152">
        <f t="shared" si="37"/>
        <v>0.27531313936612717</v>
      </c>
      <c r="I90" s="152">
        <f t="shared" si="37"/>
        <v>0.23553264191573309</v>
      </c>
      <c r="J90" s="152">
        <f t="shared" si="37"/>
        <v>0.239602632111349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4.3899465708049104E-2</v>
      </c>
      <c r="E92" s="237"/>
      <c r="G92" s="22">
        <f t="shared" ref="G92:Q92" si="38">IF(G$4="","",(G88*(1-dividend_tax_rate))/Market_Price)</f>
        <v>4.3899465708049104E-2</v>
      </c>
      <c r="H92" s="22">
        <f t="shared" si="38"/>
        <v>3.9451134793997263E-2</v>
      </c>
      <c r="I92" s="22">
        <f t="shared" si="38"/>
        <v>3.5294725596180083E-2</v>
      </c>
      <c r="J92" s="22">
        <f t="shared" si="38"/>
        <v>2.8886348873124149E-2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-6.4148835986507113E-2</v>
      </c>
      <c r="D96" s="26"/>
      <c r="E96" s="234"/>
      <c r="F96" s="26"/>
      <c r="G96" s="6">
        <f t="shared" ref="G96:Q96" si="40">IF(H5="","",G11/H11-1)</f>
        <v>-1.7995950328012378E-2</v>
      </c>
      <c r="H96" s="6">
        <f t="shared" si="40"/>
        <v>1.7016970280291588E-2</v>
      </c>
      <c r="I96" s="6">
        <f t="shared" si="40"/>
        <v>0.15223857671884011</v>
      </c>
      <c r="J96" s="6">
        <f t="shared" si="40"/>
        <v>0.26306182372995246</v>
      </c>
      <c r="K96" s="6">
        <f t="shared" si="40"/>
        <v>-0.43437863043984182</v>
      </c>
      <c r="L96" s="6">
        <f t="shared" si="40"/>
        <v>6.2736930761799758E-2</v>
      </c>
      <c r="M96" s="6">
        <f t="shared" si="40"/>
        <v>0.13268398960539041</v>
      </c>
      <c r="N96" s="6">
        <f t="shared" si="40"/>
        <v>-4.3541866005793239E-2</v>
      </c>
      <c r="O96" s="6">
        <f t="shared" si="40"/>
        <v>0.49685360158258107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1.2470185829689309</v>
      </c>
      <c r="H113" s="251">
        <f>IF(H$4="","",Data!D$22/H19)</f>
        <v>1.4257779012991174</v>
      </c>
      <c r="I113" s="251">
        <f>IF(I$4="","",Data!E$22/I19)</f>
        <v>1.4071260491513033</v>
      </c>
      <c r="J113" s="251">
        <f>IF(J$4="","",Data!F$22/J19)</f>
        <v>1.4114351188592125</v>
      </c>
      <c r="K113" s="251">
        <f>IF(K$4="","",Data!G$22/K19)</f>
        <v>3.0351858518104198</v>
      </c>
      <c r="L113" s="251">
        <f>IF(L$4="","",Data!H$22/L19)</f>
        <v>1.3150249905241387</v>
      </c>
      <c r="M113" s="251">
        <f>IF(M$4="","",Data!I$22/M19)</f>
        <v>1.4452884721714965</v>
      </c>
      <c r="N113" s="251">
        <f>IF(N$4="","",Data!J$22/N19)</f>
        <v>1.3070820480086081</v>
      </c>
      <c r="O113" s="251">
        <f>IF(O$4="","",Data!K$22/O19)</f>
        <v>1.406401480943128</v>
      </c>
      <c r="P113" s="251">
        <f>IF(P$4="","",Data!L$22/P19)</f>
        <v>1.9088743715374143</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8.3606168642752846E-2</v>
      </c>
      <c r="E116" s="22">
        <f>E119/E117/E118</f>
        <v>8.3606168642752859E-2</v>
      </c>
      <c r="G116" s="22">
        <f t="shared" ref="G116:Q116" si="44">IF(G4="","",G77)</f>
        <v>8.9337035479230789E-2</v>
      </c>
      <c r="H116" s="22">
        <f t="shared" si="44"/>
        <v>9.5945739710063246E-2</v>
      </c>
      <c r="I116" s="22">
        <f t="shared" si="44"/>
        <v>9.7308652342186122E-2</v>
      </c>
      <c r="J116" s="22">
        <f t="shared" si="44"/>
        <v>0.10480908898722942</v>
      </c>
      <c r="K116" s="22">
        <f t="shared" si="44"/>
        <v>0.10523156828231482</v>
      </c>
      <c r="L116" s="22">
        <f t="shared" si="44"/>
        <v>0.17937665324973176</v>
      </c>
      <c r="M116" s="22">
        <f t="shared" si="44"/>
        <v>0.18133888279566204</v>
      </c>
      <c r="N116" s="22">
        <f t="shared" si="44"/>
        <v>0.19035229785326802</v>
      </c>
      <c r="O116" s="22">
        <f t="shared" si="44"/>
        <v>0.21560394999964844</v>
      </c>
      <c r="P116" s="22">
        <f t="shared" si="44"/>
        <v>0.28323353840092874</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0.17172002701225841</v>
      </c>
      <c r="D119" s="100"/>
      <c r="E119" s="453">
        <f>C11/C104</f>
        <v>0.17172002701225841</v>
      </c>
      <c r="F119" s="100"/>
      <c r="G119" s="99">
        <f t="shared" ref="G119:Q119" si="47">IF(G$4="","",G11/G104)</f>
        <v>0.18349074469899637</v>
      </c>
      <c r="H119" s="99">
        <f t="shared" si="47"/>
        <v>0.19836518564912112</v>
      </c>
      <c r="I119" s="99">
        <f t="shared" si="47"/>
        <v>0.20732619908211508</v>
      </c>
      <c r="J119" s="99">
        <f t="shared" si="47"/>
        <v>0.1914156793597985</v>
      </c>
      <c r="K119" s="99">
        <f t="shared" si="47"/>
        <v>0.13601161837532594</v>
      </c>
      <c r="L119" s="99">
        <f t="shared" si="47"/>
        <v>0.25668632581532935</v>
      </c>
      <c r="M119" s="99">
        <f t="shared" si="47"/>
        <v>0.27285947397007554</v>
      </c>
      <c r="N119" s="99">
        <f t="shared" si="47"/>
        <v>0.25730119517519229</v>
      </c>
      <c r="O119" s="99">
        <f t="shared" si="47"/>
        <v>0.26626370803540134</v>
      </c>
      <c r="P119" s="99">
        <f t="shared" si="47"/>
        <v>0.16771127598761554</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0.71221579639234434</v>
      </c>
      <c r="D123" s="26"/>
      <c r="E123" s="234"/>
      <c r="F123" s="26"/>
      <c r="G123" s="159">
        <f t="shared" ref="G123:Q123" si="48">IF(G$4="","",G14*$C$3/Common_Shares*Exchange_Rate)</f>
        <v>1.3121213594592875</v>
      </c>
      <c r="H123" s="159">
        <f t="shared" si="48"/>
        <v>1.3213035463690019</v>
      </c>
      <c r="I123" s="159">
        <f t="shared" si="48"/>
        <v>1.3817476847858192</v>
      </c>
      <c r="J123" s="159">
        <f t="shared" si="48"/>
        <v>1.1116577672657668</v>
      </c>
      <c r="K123" s="159">
        <f t="shared" si="48"/>
        <v>0.72105609848620977</v>
      </c>
      <c r="L123" s="159">
        <f t="shared" si="48"/>
        <v>1.5993290987432887</v>
      </c>
      <c r="M123" s="159">
        <f t="shared" si="48"/>
        <v>1.5395888619919742</v>
      </c>
      <c r="N123" s="159">
        <f t="shared" si="48"/>
        <v>1.3291526608439457</v>
      </c>
      <c r="O123" s="159">
        <f t="shared" si="48"/>
        <v>1.4641799244825597</v>
      </c>
      <c r="P123" s="159">
        <f t="shared" si="48"/>
        <v>0.91580885839004289</v>
      </c>
      <c r="Q123" s="159" t="str">
        <f t="shared" si="48"/>
        <v/>
      </c>
    </row>
    <row r="124" spans="1:17" ht="15.75" customHeight="1">
      <c r="A124" s="10"/>
      <c r="B124" s="26" t="s">
        <v>226</v>
      </c>
      <c r="C124" s="74">
        <f>C19*Exchange_Rate*$C$3/(Market_Price*Common_Shares)</f>
        <v>9.7164501554207944E-2</v>
      </c>
      <c r="D124" s="26"/>
      <c r="E124" s="234"/>
      <c r="F124" s="26"/>
      <c r="G124" s="74">
        <f t="shared" ref="G124" si="49">IF(G$4="","",G123/Market_Price)</f>
        <v>0.17900700674751535</v>
      </c>
      <c r="H124" s="74">
        <f t="shared" ref="H124" si="50">IF(H$4="","",H123/Market_Price)</f>
        <v>0.18025969254693069</v>
      </c>
      <c r="I124" s="74">
        <f t="shared" ref="I124" si="51">IF(I$4="","",I123/Market_Price)</f>
        <v>0.18850582329956606</v>
      </c>
      <c r="J124" s="74">
        <f t="shared" ref="J124" si="52">IF(J$4="","",J123/Market_Price)</f>
        <v>0.1516586312777308</v>
      </c>
      <c r="K124" s="74">
        <f t="shared" ref="K124" si="53">IF(K$4="","",K123/Market_Price)</f>
        <v>9.837054549607227E-2</v>
      </c>
      <c r="L124" s="74">
        <f t="shared" ref="L124" si="54">IF(L$4="","",L123/Market_Price)</f>
        <v>0.21818950869621945</v>
      </c>
      <c r="M124" s="74">
        <f t="shared" ref="M124" si="55">IF(M$4="","",M123/Market_Price)</f>
        <v>0.21003940818444394</v>
      </c>
      <c r="N124" s="74">
        <f t="shared" ref="N124" si="56">IF(N$4="","",N123/Market_Price)</f>
        <v>0.18133051307557241</v>
      </c>
      <c r="O124" s="74">
        <f t="shared" ref="O124" si="57">IF(O$4="","",O123/Market_Price)</f>
        <v>0.19975169501808454</v>
      </c>
      <c r="P124" s="74">
        <f t="shared" ref="P124" si="58">IF(P$4="","",P123/Market_Price)</f>
        <v>0.12493981696999221</v>
      </c>
      <c r="Q124" s="74" t="str">
        <f t="shared" ref="Q124" si="59">IF(Q$4="","",Q123/Market_Price)</f>
        <v/>
      </c>
    </row>
    <row r="125" spans="1:17" ht="15.75" customHeight="1">
      <c r="B125" s="2" t="s">
        <v>306</v>
      </c>
      <c r="C125" s="151"/>
      <c r="G125" s="22">
        <f>IF(G$4="","",(Data!C47*$C$3)/(Market_Price*Common_Shares))</f>
        <v>0.14978962210731803</v>
      </c>
      <c r="H125" s="22">
        <f>IF(H$4="","",(Data!D47*$C$3)/(Market_Price*Common_Shares))</f>
        <v>0.14581918087758791</v>
      </c>
      <c r="I125" s="22">
        <f>IF(I$4="","",(Data!E47*$C$3)/(Market_Price*Common_Shares))</f>
        <v>0.12924416431538127</v>
      </c>
      <c r="J125" s="22">
        <f>IF(J$4="","",(Data!F47*$C$3)/(Market_Price*Common_Shares))</f>
        <v>0.41495837566429311</v>
      </c>
      <c r="K125" s="22">
        <f>IF(K$4="","",(Data!G47*$C$3)/(Market_Price*Common_Shares))</f>
        <v>0.15333465891957704</v>
      </c>
      <c r="L125" s="22">
        <f>IF(L$4="","",(Data!H47*$C$3)/(Market_Price*Common_Shares))</f>
        <v>0.15079798813391615</v>
      </c>
      <c r="M125" s="22">
        <f>IF(M$4="","",(Data!I47*$C$3)/(Market_Price*Common_Shares))</f>
        <v>0.12940172150703722</v>
      </c>
      <c r="N125" s="22">
        <f>IF(N$4="","",(Data!J47*$C$3)/(Market_Price*Common_Shares))</f>
        <v>0.12524221164731997</v>
      </c>
      <c r="O125" s="22">
        <f>IF(O$4="","",(Data!K47*$C$3)/(Market_Price*Common_Shares))</f>
        <v>5.3790025231343609E-2</v>
      </c>
      <c r="P125" s="22">
        <f>IF(P$4="","",(Data!L47*$C$3)/(Market_Price*Common_Shares))</f>
        <v>3.655326846418195E-2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5447.0432272648359</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28368.430007941897</v>
      </c>
      <c r="G5" t="str">
        <f>Reporting_currency</f>
        <v>CNY</v>
      </c>
      <c r="H5" s="308" t="s">
        <v>395</v>
      </c>
      <c r="I5" s="305">
        <f>Normalized_FCF!C7</f>
        <v>-5830</v>
      </c>
      <c r="J5" s="305"/>
    </row>
    <row r="6" spans="2:15" ht="13.25" customHeight="1">
      <c r="B6" s="136" t="s">
        <v>194</v>
      </c>
      <c r="C6" s="283">
        <f>(C4*(1+Terminal_Growth))/(Equity_Cost-Terminal_Growth)</f>
        <v>105828.26841543111</v>
      </c>
      <c r="D6" t="str">
        <f>Reporting_currency</f>
        <v>CNY</v>
      </c>
      <c r="E6" s="187" t="s">
        <v>433</v>
      </c>
      <c r="F6" s="284">
        <f>BS!H42</f>
        <v>174</v>
      </c>
      <c r="G6" t="str">
        <f>Reporting_currency</f>
        <v>CNY</v>
      </c>
      <c r="H6" s="308" t="s">
        <v>416</v>
      </c>
      <c r="I6" s="305">
        <f>I7+I8</f>
        <v>-424.80058004765129</v>
      </c>
      <c r="J6" s="305"/>
      <c r="N6" s="135"/>
    </row>
    <row r="7" spans="2:15" ht="12.75" customHeight="1">
      <c r="B7" s="318" t="s">
        <v>430</v>
      </c>
      <c r="C7" s="275">
        <f>F7</f>
        <v>8117.4300079418972</v>
      </c>
      <c r="E7" s="140" t="s">
        <v>424</v>
      </c>
      <c r="F7" s="283">
        <f>SUM(F4:F6)</f>
        <v>8117.4300079418972</v>
      </c>
      <c r="G7" t="str">
        <f>Reporting_currency</f>
        <v>CNY</v>
      </c>
      <c r="H7" s="312" t="s">
        <v>417</v>
      </c>
      <c r="I7" s="313">
        <f>Normalized_FCF!C9</f>
        <v>291.16000000000003</v>
      </c>
      <c r="J7" s="313"/>
      <c r="N7" s="304"/>
      <c r="O7" s="304"/>
    </row>
    <row r="8" spans="2:15" ht="13.15">
      <c r="B8" s="136" t="s">
        <v>426</v>
      </c>
      <c r="C8" s="283">
        <f>C6+C7</f>
        <v>113945.69842337302</v>
      </c>
      <c r="D8" t="str">
        <f>Reporting_currency</f>
        <v>CNY</v>
      </c>
      <c r="E8" s="140" t="s">
        <v>464</v>
      </c>
      <c r="F8" s="108">
        <f>FV_adjustments*scaling_factor/Common_Shares*Exchange_Rate</f>
        <v>1.0613761698873996</v>
      </c>
      <c r="G8" s="294" t="str">
        <f>Market_currency</f>
        <v>HKD</v>
      </c>
      <c r="H8" s="314" t="str">
        <f>Normalized_FCF!B10</f>
        <v>Net Interest Income</v>
      </c>
      <c r="I8" s="313">
        <f>Normalized_FCF!C10</f>
        <v>-715.96058004765132</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129004.98981840283</v>
      </c>
      <c r="D10" t="str">
        <f>Market_currency</f>
        <v>HKD</v>
      </c>
      <c r="H10" s="308" t="s">
        <v>397</v>
      </c>
      <c r="I10" s="306">
        <f>Normalized_FCF!C41</f>
        <v>0.25</v>
      </c>
      <c r="N10" s="304"/>
      <c r="O10" s="304"/>
    </row>
    <row r="11" spans="2:15" ht="13.15">
      <c r="B11" s="136" t="s">
        <v>425</v>
      </c>
      <c r="C11" s="108">
        <f>(C10*scaling_factor)/Common_Shares</f>
        <v>14.898711642652948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8.3606168642752846E-2</v>
      </c>
      <c r="E17" s="308" t="s">
        <v>549</v>
      </c>
      <c r="F17" s="311">
        <f>Scenarios!C40</f>
        <v>8.3606168642752859E-2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11.131769161689332</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8.3606168642752846E-2</v>
      </c>
      <c r="F21" s="277">
        <f>C21*E21</f>
        <v>15676.850994239574</v>
      </c>
      <c r="G21" s="299">
        <f t="shared" ref="G21:G50" si="2">IF(A21="",0%,IF(A21="I",$C$18,$F$18))</f>
        <v>0</v>
      </c>
      <c r="H21" s="277">
        <f>(F21*(1-$I$10)+C21*(G21-$I$9))</f>
        <v>5460.50620917794</v>
      </c>
      <c r="I21" s="299">
        <f>H21/C4-1</f>
        <v>2.4716128276192073E-3</v>
      </c>
      <c r="J21" s="299">
        <f>H21/C21</f>
        <v>2.9121409852468562E-2</v>
      </c>
      <c r="K21" s="119">
        <f t="shared" ref="K21:K50" si="3">IF($C$15&lt;B21,0,1/(1+Equity_Cost)^B21)</f>
        <v>0.93240093240093236</v>
      </c>
      <c r="L21" s="277">
        <f t="shared" ref="L21:L51" si="4">H21*K21</f>
        <v>5091.3810808185917</v>
      </c>
    </row>
    <row r="22" spans="1:21">
      <c r="A22" s="302" t="str">
        <f t="shared" si="0"/>
        <v>I</v>
      </c>
      <c r="B22" s="117">
        <v>2</v>
      </c>
      <c r="C22" s="277">
        <f t="shared" ref="C22:C50" si="5">IF(A22="",0,C21*(1+D22))</f>
        <v>187971.75322560215</v>
      </c>
      <c r="D22" s="299">
        <f t="shared" si="1"/>
        <v>2.47161282761951E-3</v>
      </c>
      <c r="E22" s="299">
        <f t="shared" ref="E22:E50" si="6">IF($C$15&lt;B22,0,IF(B22&gt;=$F$15,$F$17,$C$17))</f>
        <v>8.3606168642752846E-2</v>
      </c>
      <c r="F22" s="277">
        <f t="shared" ref="F22:F50" si="7">IF(A22="", 0,C22*E22)</f>
        <v>15715.598100253615</v>
      </c>
      <c r="G22" s="299">
        <f t="shared" si="2"/>
        <v>0</v>
      </c>
      <c r="H22" s="277">
        <f t="shared" ref="H22:H50" si="8">IF(A22="", 0,F22*(1-$I$10)+C22*(G22-$I$9))</f>
        <v>5474.0024663698414</v>
      </c>
      <c r="I22" s="299">
        <f t="shared" ref="I22:I50" si="9">IF(A22="", 0,H22/H21-1)</f>
        <v>2.4716128276196514E-3</v>
      </c>
      <c r="J22" s="299">
        <f>IF(A22="", 0,H22/C22)</f>
        <v>2.9121409852468572E-2</v>
      </c>
      <c r="K22" s="119">
        <f t="shared" si="3"/>
        <v>0.86937149874212816</v>
      </c>
      <c r="L22" s="277">
        <f t="shared" si="4"/>
        <v>4758.9417283060548</v>
      </c>
    </row>
    <row r="23" spans="1:21">
      <c r="A23" s="302" t="str">
        <f t="shared" si="0"/>
        <v>I</v>
      </c>
      <c r="B23" s="117">
        <v>3</v>
      </c>
      <c r="C23" s="277">
        <f t="shared" si="5"/>
        <v>188436.34662210467</v>
      </c>
      <c r="D23" s="299">
        <f t="shared" si="1"/>
        <v>2.47161282761951E-3</v>
      </c>
      <c r="E23" s="299">
        <f t="shared" si="6"/>
        <v>8.3606168642752846E-2</v>
      </c>
      <c r="F23" s="277">
        <f t="shared" si="7"/>
        <v>15754.440974111914</v>
      </c>
      <c r="G23" s="299">
        <f t="shared" si="2"/>
        <v>0</v>
      </c>
      <c r="H23" s="277">
        <f t="shared" si="8"/>
        <v>5487.5320810841404</v>
      </c>
      <c r="I23" s="299">
        <f t="shared" si="9"/>
        <v>2.4716128276192073E-3</v>
      </c>
      <c r="J23" s="299">
        <f t="shared" ref="J23:J50" si="10">IF(A23="", 0,H23/C23)</f>
        <v>2.9121409852468565E-2</v>
      </c>
      <c r="K23" s="119">
        <f t="shared" si="3"/>
        <v>0.81060279602995633</v>
      </c>
      <c r="L23" s="277">
        <f t="shared" si="4"/>
        <v>4448.2088482308891</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8.3606168642752846E-2</v>
      </c>
      <c r="F24" s="277">
        <f t="shared" si="7"/>
        <v>15793.379852515502</v>
      </c>
      <c r="G24" s="299">
        <f t="shared" si="2"/>
        <v>0</v>
      </c>
      <c r="H24" s="277">
        <f t="shared" si="8"/>
        <v>5501.0951357677213</v>
      </c>
      <c r="I24" s="299">
        <f t="shared" si="9"/>
        <v>2.4716128276194294E-3</v>
      </c>
      <c r="J24" s="299">
        <f t="shared" si="10"/>
        <v>2.9121409852468565E-2</v>
      </c>
      <c r="K24" s="119">
        <f t="shared" si="3"/>
        <v>0.75580680282513402</v>
      </c>
      <c r="L24" s="277">
        <f t="shared" si="4"/>
        <v>4157.7651266014982</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8.3606168642752846E-2</v>
      </c>
      <c r="F25" s="277">
        <f t="shared" si="7"/>
        <v>15832.414972750445</v>
      </c>
      <c r="G25" s="299">
        <f t="shared" si="2"/>
        <v>0</v>
      </c>
      <c r="H25" s="277">
        <f t="shared" si="8"/>
        <v>5514.69171307124</v>
      </c>
      <c r="I25" s="299">
        <f t="shared" si="9"/>
        <v>2.4716128276194294E-3</v>
      </c>
      <c r="J25" s="299">
        <f t="shared" si="10"/>
        <v>2.9121409852468569E-2</v>
      </c>
      <c r="K25" s="119">
        <f t="shared" si="3"/>
        <v>0.70471496766912267</v>
      </c>
      <c r="L25" s="277">
        <f t="shared" si="4"/>
        <v>3886.2857922821777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8.3606168642752859E-2</v>
      </c>
      <c r="F51" s="277">
        <f>C51*E51</f>
        <v>16149.063272205456</v>
      </c>
      <c r="G51" s="299">
        <f>F18</f>
        <v>0</v>
      </c>
      <c r="H51" s="277">
        <f>(F51*(1-$I$10)+C51*(G51-$I$9))/Equity_Cost</f>
        <v>77586.00754941607</v>
      </c>
      <c r="I51" s="415">
        <f>(F51*(1-$I$10)+C51*(G51-$I$9))/VLOOKUP(C15,B21:H50,COLUMN(H20)-1,FALSE)-1</f>
        <v>2.0000000000000018E-2</v>
      </c>
      <c r="J51" s="454"/>
      <c r="K51" s="119">
        <f>1/(1+Equity_Cost)^C15</f>
        <v>0.70471496766912267</v>
      </c>
      <c r="L51" s="277">
        <f t="shared" si="4"/>
        <v>54676.02080176305</v>
      </c>
    </row>
    <row r="52" spans="1:21" ht="13.15">
      <c r="G52" s="111"/>
      <c r="H52" s="111"/>
      <c r="I52" s="111"/>
      <c r="J52" s="460" t="s">
        <v>420</v>
      </c>
      <c r="K52" s="460"/>
      <c r="L52" s="317">
        <f>SUM(L21:L51)</f>
        <v>77018.60337800227</v>
      </c>
    </row>
    <row r="53" spans="1:21">
      <c r="C53" s="111"/>
    </row>
    <row r="54" spans="1:21" ht="13.15">
      <c r="B54" s="115" t="s">
        <v>108</v>
      </c>
      <c r="C54" s="128"/>
      <c r="D54" s="128"/>
      <c r="E54" s="113"/>
      <c r="F54" s="113"/>
      <c r="G54" s="113"/>
      <c r="H54" s="113"/>
      <c r="I54" s="113"/>
      <c r="J54" s="113"/>
      <c r="K54" s="113"/>
      <c r="L54" s="113"/>
    </row>
    <row r="55" spans="1:21" ht="13.15">
      <c r="A55" s="125">
        <f>L52</f>
        <v>77018.60337800227</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68879.418094470253</v>
      </c>
      <c r="C56" s="118">
        <v>76532.686771633613</v>
      </c>
      <c r="D56" s="118">
        <v>78063.34050706627</v>
      </c>
      <c r="E56" s="118">
        <v>79593.994242498913</v>
      </c>
      <c r="F56" s="118">
        <v>81124.647977931614</v>
      </c>
      <c r="G56" s="295"/>
      <c r="H56" s="295"/>
      <c r="I56" s="295"/>
      <c r="J56" s="295"/>
      <c r="K56" s="295"/>
      <c r="L56" s="295"/>
    </row>
    <row r="57" spans="1:21" ht="13.15">
      <c r="A57" s="131">
        <v>2</v>
      </c>
      <c r="B57" s="118">
        <v>62371.855654602856</v>
      </c>
      <c r="C57" s="118">
        <v>76437.976688949624</v>
      </c>
      <c r="D57" s="118">
        <v>79422.462852230979</v>
      </c>
      <c r="E57" s="118">
        <v>82464.036334316392</v>
      </c>
      <c r="F57" s="118">
        <v>85562.697135205817</v>
      </c>
      <c r="G57" s="295"/>
      <c r="H57" s="295"/>
      <c r="I57" s="295"/>
      <c r="J57" s="295"/>
      <c r="K57" s="295"/>
      <c r="L57" s="295"/>
    </row>
    <row r="58" spans="1:21" ht="13.15">
      <c r="A58" s="131">
        <v>3</v>
      </c>
      <c r="B58" s="118">
        <v>56910.964096672193</v>
      </c>
      <c r="C58" s="118">
        <v>76349.668919547272</v>
      </c>
      <c r="D58" s="118">
        <v>80715.054732947086</v>
      </c>
      <c r="E58" s="118">
        <v>85247.10745365452</v>
      </c>
      <c r="F58" s="118">
        <v>89949.020777826488</v>
      </c>
      <c r="G58" s="295"/>
      <c r="H58" s="295"/>
      <c r="I58" s="295"/>
      <c r="J58" s="295"/>
      <c r="K58" s="295"/>
      <c r="L58" s="295"/>
    </row>
    <row r="59" spans="1:21" ht="13.15">
      <c r="A59" s="131">
        <v>4</v>
      </c>
      <c r="B59" s="118">
        <v>52328.397754352751</v>
      </c>
      <c r="C59" s="118">
        <v>76267.330673018267</v>
      </c>
      <c r="D59" s="118">
        <v>81944.372885236517</v>
      </c>
      <c r="E59" s="118">
        <v>87945.843084527849</v>
      </c>
      <c r="F59" s="118">
        <v>94284.221767269744</v>
      </c>
      <c r="G59" s="295"/>
      <c r="H59" s="295"/>
      <c r="I59" s="295"/>
      <c r="J59" s="295"/>
      <c r="K59" s="295"/>
      <c r="L59" s="295"/>
    </row>
    <row r="60" spans="1:21" ht="13.15">
      <c r="A60" s="131">
        <v>5</v>
      </c>
      <c r="B60" s="118">
        <v>48482.887537021743</v>
      </c>
      <c r="C60" s="118">
        <v>76190.558415182386</v>
      </c>
      <c r="D60" s="118">
        <v>83113.514624476797</v>
      </c>
      <c r="E60" s="118">
        <v>90562.798847798986</v>
      </c>
      <c r="F60" s="118">
        <v>98568.895938654197</v>
      </c>
      <c r="G60" s="295"/>
      <c r="H60" s="295"/>
      <c r="I60" s="295"/>
      <c r="J60" s="295"/>
      <c r="K60" s="295"/>
      <c r="L60" s="295"/>
    </row>
    <row r="61" spans="1:21" ht="13.15">
      <c r="A61" s="131">
        <v>6</v>
      </c>
      <c r="B61" s="118">
        <v>45255.885956044687</v>
      </c>
      <c r="C61" s="118">
        <v>76118.975890393689</v>
      </c>
      <c r="D61" s="118">
        <v>84225.425649208832</v>
      </c>
      <c r="E61" s="118">
        <v>93100.452921274002</v>
      </c>
      <c r="F61" s="118">
        <v>102803.63218263327</v>
      </c>
      <c r="G61" s="295"/>
      <c r="H61" s="295"/>
      <c r="I61" s="295"/>
      <c r="J61" s="295"/>
      <c r="K61" s="295"/>
      <c r="L61" s="295"/>
    </row>
    <row r="62" spans="1:21" ht="13.15">
      <c r="A62" s="131">
        <v>7</v>
      </c>
      <c r="B62" s="118">
        <v>42547.912601378644</v>
      </c>
      <c r="C62" s="118">
        <v>76052.232277537085</v>
      </c>
      <c r="D62" s="118">
        <v>85282.907462939984</v>
      </c>
      <c r="E62" s="118">
        <v>95561.20838646192</v>
      </c>
      <c r="F62" s="118">
        <v>106989.01252633288</v>
      </c>
      <c r="G62" s="295"/>
      <c r="H62" s="295"/>
      <c r="I62" s="295"/>
      <c r="J62" s="295"/>
      <c r="K62" s="295"/>
      <c r="L62" s="295"/>
    </row>
    <row r="63" spans="1:21" ht="13.15">
      <c r="A63" s="131">
        <v>8</v>
      </c>
      <c r="B63" s="118">
        <v>40275.487408651861</v>
      </c>
      <c r="C63" s="118">
        <v>75990.000470677769</v>
      </c>
      <c r="D63" s="118">
        <v>86288.624432642362</v>
      </c>
      <c r="E63" s="118">
        <v>97947.395504219894</v>
      </c>
      <c r="F63" s="118">
        <v>111125.612213346</v>
      </c>
      <c r="G63" s="295"/>
      <c r="H63" s="295"/>
      <c r="I63" s="295"/>
      <c r="J63" s="295"/>
      <c r="K63" s="295"/>
      <c r="L63" s="295"/>
    </row>
    <row r="64" spans="1:21" ht="13.15">
      <c r="A64" s="131">
        <v>9</v>
      </c>
      <c r="B64" s="118">
        <v>38368.557176993032</v>
      </c>
      <c r="C64" s="118">
        <v>75931.975475937157</v>
      </c>
      <c r="D64" s="118">
        <v>87245.110501729912</v>
      </c>
      <c r="E64" s="118">
        <v>100261.27392143972</v>
      </c>
      <c r="F64" s="118">
        <v>115213.99978279482</v>
      </c>
      <c r="G64" s="295"/>
      <c r="H64" s="295"/>
      <c r="I64" s="295"/>
      <c r="J64" s="295"/>
      <c r="K64" s="295"/>
      <c r="L64" s="295"/>
    </row>
    <row r="65" spans="1:21" ht="13.15">
      <c r="A65" s="131">
        <v>10</v>
      </c>
      <c r="B65" s="118">
        <v>36768.336003573037</v>
      </c>
      <c r="C65" s="118">
        <v>75877.872916738474</v>
      </c>
      <c r="D65" s="118">
        <v>88154.775574428582</v>
      </c>
      <c r="E65" s="118">
        <v>102505.03481086504</v>
      </c>
      <c r="F65" s="118">
        <v>119254.73714747158</v>
      </c>
      <c r="G65" s="295"/>
      <c r="H65" s="295"/>
      <c r="I65" s="295"/>
      <c r="J65" s="295"/>
      <c r="K65" s="295"/>
      <c r="L65" s="295"/>
    </row>
    <row r="66" spans="1:21" ht="13.15">
      <c r="A66" s="131">
        <v>15</v>
      </c>
      <c r="B66" s="118">
        <v>31893.593162828485</v>
      </c>
      <c r="C66" s="277">
        <v>75657.518765811954</v>
      </c>
      <c r="D66" s="118">
        <v>92077.190500364493</v>
      </c>
      <c r="E66" s="118">
        <v>112744.23042979377</v>
      </c>
      <c r="F66" s="118">
        <v>138762.883659632</v>
      </c>
      <c r="G66" s="295"/>
      <c r="H66" s="295"/>
      <c r="I66" s="295"/>
      <c r="J66" s="295"/>
      <c r="K66" s="295"/>
      <c r="L66" s="295"/>
      <c r="M66" s="275"/>
      <c r="N66" s="275"/>
      <c r="O66" s="275"/>
      <c r="P66" s="275"/>
      <c r="Q66" s="275"/>
      <c r="R66" s="275"/>
      <c r="S66" s="275"/>
      <c r="T66" s="275"/>
      <c r="U66" s="275"/>
    </row>
    <row r="67" spans="1:21" ht="13.15">
      <c r="A67" s="132">
        <v>20</v>
      </c>
      <c r="B67" s="118">
        <v>29865.08036013697</v>
      </c>
      <c r="C67" s="277">
        <v>75502.231897466016</v>
      </c>
      <c r="D67" s="118">
        <v>95129.073551836351</v>
      </c>
      <c r="E67" s="118">
        <v>121523.25030906369</v>
      </c>
      <c r="F67" s="118">
        <v>157160.38446698125</v>
      </c>
      <c r="G67" s="295"/>
      <c r="H67" s="295"/>
      <c r="I67" s="295"/>
      <c r="J67" s="295"/>
      <c r="K67" s="295"/>
      <c r="L67" s="295"/>
      <c r="M67" s="275"/>
      <c r="N67" s="275"/>
      <c r="O67" s="275"/>
      <c r="P67" s="275"/>
      <c r="Q67" s="275"/>
      <c r="R67" s="275"/>
      <c r="S67" s="275"/>
      <c r="T67" s="275"/>
      <c r="U67" s="275"/>
    </row>
    <row r="68" spans="1:21" ht="13.15">
      <c r="A68" s="132">
        <v>25</v>
      </c>
      <c r="B68" s="118">
        <v>29020.96112654579</v>
      </c>
      <c r="C68" s="277">
        <v>75392.798917060165</v>
      </c>
      <c r="D68" s="118">
        <v>97503.628599104544</v>
      </c>
      <c r="E68" s="118">
        <v>129050.32498455276</v>
      </c>
      <c r="F68" s="118">
        <v>174510.47130098334</v>
      </c>
      <c r="G68" s="295"/>
      <c r="H68" s="295"/>
      <c r="I68" s="295"/>
      <c r="J68" s="295"/>
      <c r="K68" s="295"/>
      <c r="L68" s="295"/>
      <c r="M68" s="275"/>
      <c r="N68" s="275"/>
      <c r="O68" s="275"/>
      <c r="P68" s="275"/>
      <c r="Q68" s="275"/>
      <c r="R68" s="275"/>
      <c r="S68" s="275"/>
      <c r="T68" s="275"/>
      <c r="U68" s="275"/>
    </row>
    <row r="69" spans="1:21" ht="13.15">
      <c r="A69" s="132">
        <v>30</v>
      </c>
      <c r="B69" s="118">
        <v>28669.700202989807</v>
      </c>
      <c r="C69" s="277">
        <v>75315.679857811527</v>
      </c>
      <c r="D69" s="118">
        <v>99351.180283559661</v>
      </c>
      <c r="E69" s="118">
        <v>135503.98996646874</v>
      </c>
      <c r="F69" s="118">
        <v>190872.77595853558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14.898711642652948</v>
      </c>
      <c r="C73" s="119">
        <f>C11</f>
        <v>14.898711642652948</v>
      </c>
      <c r="D73" s="119">
        <f>C11</f>
        <v>14.898711642652948</v>
      </c>
      <c r="E73" s="119">
        <f>C11</f>
        <v>14.898711642652948</v>
      </c>
      <c r="F73" s="119">
        <f>C11</f>
        <v>14.898711642652948</v>
      </c>
      <c r="G73" s="296"/>
      <c r="H73" s="296"/>
      <c r="I73" s="296"/>
      <c r="J73" s="296"/>
      <c r="K73" s="296"/>
      <c r="L73" s="296"/>
    </row>
    <row r="74" spans="1:21" ht="13.15">
      <c r="A74" s="131">
        <v>1</v>
      </c>
      <c r="B74" s="119">
        <f t="shared" ref="B74:F87" si="11">(B56+FV_adjustments)/Common_Shares*scaling_factor*Exchange_Rate</f>
        <v>10.06754843003077</v>
      </c>
      <c r="C74" s="119">
        <f t="shared" si="11"/>
        <v>11.068234236713364</v>
      </c>
      <c r="D74" s="119">
        <f t="shared" si="11"/>
        <v>11.268371398049879</v>
      </c>
      <c r="E74" s="119">
        <f t="shared" si="11"/>
        <v>11.4685085593864</v>
      </c>
      <c r="F74" s="119">
        <f t="shared" si="11"/>
        <v>11.668645720722919</v>
      </c>
      <c r="G74" s="296"/>
      <c r="H74" s="296"/>
      <c r="I74" s="296"/>
      <c r="J74" s="296"/>
      <c r="K74" s="296"/>
      <c r="L74" s="296"/>
    </row>
    <row r="75" spans="1:21" ht="13.15">
      <c r="A75" s="131">
        <v>2</v>
      </c>
      <c r="B75" s="119">
        <f t="shared" si="11"/>
        <v>9.2166668467005834</v>
      </c>
      <c r="C75" s="119">
        <f t="shared" si="11"/>
        <v>11.055850634426619</v>
      </c>
      <c r="D75" s="119">
        <f t="shared" si="11"/>
        <v>11.446080361072406</v>
      </c>
      <c r="E75" s="119">
        <f t="shared" si="11"/>
        <v>11.843774410751735</v>
      </c>
      <c r="F75" s="119">
        <f t="shared" si="11"/>
        <v>12.248932783464591</v>
      </c>
      <c r="G75" s="296"/>
      <c r="H75" s="296"/>
      <c r="I75" s="296"/>
      <c r="J75" s="296"/>
      <c r="K75" s="296"/>
      <c r="L75" s="296"/>
    </row>
    <row r="76" spans="1:21" ht="13.15">
      <c r="A76" s="131">
        <v>3</v>
      </c>
      <c r="B76" s="119">
        <f t="shared" si="11"/>
        <v>8.5026403432067248</v>
      </c>
      <c r="C76" s="119">
        <f t="shared" si="11"/>
        <v>11.044304152107969</v>
      </c>
      <c r="D76" s="119">
        <f t="shared" si="11"/>
        <v>11.615090283946985</v>
      </c>
      <c r="E76" s="119">
        <f t="shared" si="11"/>
        <v>12.207668569651455</v>
      </c>
      <c r="F76" s="119">
        <f t="shared" si="11"/>
        <v>12.822456593726756</v>
      </c>
      <c r="G76" s="296"/>
      <c r="H76" s="296"/>
      <c r="I76" s="296"/>
      <c r="J76" s="296"/>
      <c r="K76" s="296"/>
      <c r="L76" s="296"/>
    </row>
    <row r="77" spans="1:21" ht="13.15">
      <c r="A77" s="131">
        <v>4</v>
      </c>
      <c r="B77" s="119">
        <f t="shared" si="11"/>
        <v>7.9034572633517373</v>
      </c>
      <c r="C77" s="119">
        <f t="shared" si="11"/>
        <v>11.033538201228112</v>
      </c>
      <c r="D77" s="119">
        <f t="shared" si="11"/>
        <v>11.775826993813711</v>
      </c>
      <c r="E77" s="119">
        <f t="shared" si="11"/>
        <v>12.560535632826936</v>
      </c>
      <c r="F77" s="119">
        <f t="shared" si="11"/>
        <v>13.389295977295887</v>
      </c>
      <c r="G77" s="296"/>
      <c r="H77" s="296"/>
      <c r="I77" s="296"/>
      <c r="J77" s="296"/>
      <c r="K77" s="296"/>
      <c r="L77" s="296"/>
    </row>
    <row r="78" spans="1:21" ht="13.15">
      <c r="A78" s="131">
        <v>5</v>
      </c>
      <c r="B78" s="119">
        <f t="shared" si="11"/>
        <v>7.400646287249649</v>
      </c>
      <c r="C78" s="119">
        <f t="shared" si="11"/>
        <v>11.023500018589548</v>
      </c>
      <c r="D78" s="119">
        <f t="shared" si="11"/>
        <v>11.928695473127513</v>
      </c>
      <c r="E78" s="119">
        <f t="shared" si="11"/>
        <v>12.902709754694074</v>
      </c>
      <c r="F78" s="119">
        <f t="shared" si="11"/>
        <v>13.949528841242996</v>
      </c>
      <c r="G78" s="296"/>
      <c r="H78" s="296"/>
      <c r="I78" s="296"/>
      <c r="J78" s="296"/>
      <c r="K78" s="296"/>
      <c r="L78" s="296"/>
    </row>
    <row r="79" spans="1:21" ht="13.15">
      <c r="A79" s="131">
        <v>6</v>
      </c>
      <c r="B79" s="119">
        <f t="shared" si="11"/>
        <v>6.9787070066045409</v>
      </c>
      <c r="C79" s="119">
        <f t="shared" si="11"/>
        <v>11.014140407737745</v>
      </c>
      <c r="D79" s="119">
        <f t="shared" si="11"/>
        <v>12.074080880027363</v>
      </c>
      <c r="E79" s="119">
        <f t="shared" si="11"/>
        <v>13.234514963777356</v>
      </c>
      <c r="F79" s="119">
        <f t="shared" si="11"/>
        <v>14.503232184631289</v>
      </c>
      <c r="G79" s="296"/>
      <c r="H79" s="296"/>
      <c r="I79" s="296"/>
      <c r="J79" s="296"/>
      <c r="K79" s="296"/>
      <c r="L79" s="296"/>
    </row>
    <row r="80" spans="1:21" ht="13.15">
      <c r="A80" s="131">
        <f t="shared" ref="A80" si="12">A62</f>
        <v>7</v>
      </c>
      <c r="B80" s="119">
        <f t="shared" si="11"/>
        <v>6.6246320857834755</v>
      </c>
      <c r="C80" s="119">
        <f t="shared" si="11"/>
        <v>11.005413497852613</v>
      </c>
      <c r="D80" s="119">
        <f t="shared" si="11"/>
        <v>12.212349518757286</v>
      </c>
      <c r="E80" s="119">
        <f t="shared" si="11"/>
        <v>13.556265469555086</v>
      </c>
      <c r="F80" s="119">
        <f t="shared" si="11"/>
        <v>15.050482109098967</v>
      </c>
      <c r="G80" s="296"/>
      <c r="H80" s="296"/>
      <c r="I80" s="296"/>
      <c r="J80" s="296"/>
      <c r="K80" s="296"/>
      <c r="L80" s="296"/>
    </row>
    <row r="81" spans="1:12" ht="13.15">
      <c r="A81" s="131">
        <v>8</v>
      </c>
      <c r="B81" s="119">
        <f t="shared" si="11"/>
        <v>6.327506278101457</v>
      </c>
      <c r="C81" s="119">
        <f t="shared" si="11"/>
        <v>10.997276518938731</v>
      </c>
      <c r="D81" s="119">
        <f t="shared" si="11"/>
        <v>12.34384976258435</v>
      </c>
      <c r="E81" s="119">
        <f t="shared" si="11"/>
        <v>13.868265960006219</v>
      </c>
      <c r="F81" s="119">
        <f t="shared" si="11"/>
        <v>15.591353829318773</v>
      </c>
      <c r="G81" s="296"/>
      <c r="H81" s="296"/>
      <c r="I81" s="296"/>
      <c r="J81" s="296"/>
      <c r="K81" s="296"/>
      <c r="L81" s="296"/>
    </row>
    <row r="82" spans="1:12" ht="13.15">
      <c r="A82" s="131">
        <f t="shared" ref="A82" si="13">A64</f>
        <v>9</v>
      </c>
      <c r="B82" s="119">
        <f t="shared" si="11"/>
        <v>6.0781699359906733</v>
      </c>
      <c r="C82" s="119">
        <f t="shared" si="11"/>
        <v>10.989689592212509</v>
      </c>
      <c r="D82" s="119">
        <f t="shared" si="11"/>
        <v>12.468912931538753</v>
      </c>
      <c r="E82" s="119">
        <f t="shared" si="11"/>
        <v>14.170811890140646</v>
      </c>
      <c r="F82" s="119">
        <f t="shared" si="11"/>
        <v>16.125921683335548</v>
      </c>
      <c r="G82" s="296"/>
      <c r="H82" s="296"/>
      <c r="I82" s="296"/>
      <c r="J82" s="296"/>
      <c r="K82" s="296"/>
      <c r="L82" s="296"/>
    </row>
    <row r="83" spans="1:12" ht="13.15">
      <c r="A83" s="131">
        <f t="shared" ref="A83:A87" si="14">A65</f>
        <v>10</v>
      </c>
      <c r="B83" s="119">
        <f t="shared" si="11"/>
        <v>5.8689366419116951</v>
      </c>
      <c r="C83" s="119">
        <f t="shared" si="11"/>
        <v>10.982615534658919</v>
      </c>
      <c r="D83" s="119">
        <f t="shared" si="11"/>
        <v>12.587854127187702</v>
      </c>
      <c r="E83" s="119">
        <f t="shared" si="11"/>
        <v>14.464189761786157</v>
      </c>
      <c r="F83" s="119">
        <f t="shared" si="11"/>
        <v>16.654259142783367</v>
      </c>
      <c r="G83" s="296"/>
      <c r="H83" s="296"/>
      <c r="I83" s="296"/>
      <c r="J83" s="296"/>
      <c r="K83" s="296"/>
      <c r="L83" s="296"/>
    </row>
    <row r="84" spans="1:12" ht="13.15">
      <c r="A84" s="131">
        <f t="shared" si="14"/>
        <v>15</v>
      </c>
      <c r="B84" s="119">
        <f t="shared" si="11"/>
        <v>5.2315506859584655</v>
      </c>
      <c r="C84" s="119">
        <f t="shared" si="11"/>
        <v>10.953803626887572</v>
      </c>
      <c r="D84" s="119">
        <f t="shared" si="11"/>
        <v>13.100720604228576</v>
      </c>
      <c r="E84" s="119">
        <f t="shared" si="11"/>
        <v>15.80299258707862</v>
      </c>
      <c r="F84" s="119">
        <f t="shared" si="11"/>
        <v>19.205002642440441</v>
      </c>
      <c r="G84" s="296"/>
      <c r="H84" s="296"/>
      <c r="I84" s="296"/>
      <c r="J84" s="296"/>
      <c r="K84" s="296"/>
      <c r="L84" s="296"/>
    </row>
    <row r="85" spans="1:12" ht="13.15">
      <c r="A85" s="132">
        <f t="shared" si="14"/>
        <v>20</v>
      </c>
      <c r="B85" s="119">
        <f t="shared" si="11"/>
        <v>4.9663170902290519</v>
      </c>
      <c r="C85" s="119">
        <f t="shared" si="11"/>
        <v>10.933499444234002</v>
      </c>
      <c r="D85" s="119">
        <f t="shared" si="11"/>
        <v>13.499762658295724</v>
      </c>
      <c r="E85" s="119">
        <f t="shared" si="11"/>
        <v>16.950873441697443</v>
      </c>
      <c r="F85" s="119">
        <f t="shared" si="11"/>
        <v>21.610526179237215</v>
      </c>
      <c r="G85" s="296"/>
      <c r="H85" s="296"/>
      <c r="I85" s="296"/>
      <c r="J85" s="296"/>
      <c r="K85" s="296"/>
      <c r="L85" s="296"/>
    </row>
    <row r="86" spans="1:12" ht="13.15">
      <c r="A86" s="132">
        <f t="shared" si="14"/>
        <v>25</v>
      </c>
      <c r="B86" s="119">
        <f t="shared" si="11"/>
        <v>4.8559461922723415</v>
      </c>
      <c r="C86" s="119">
        <f t="shared" si="11"/>
        <v>10.919190782811745</v>
      </c>
      <c r="D86" s="119">
        <f t="shared" si="11"/>
        <v>13.810242223723513</v>
      </c>
      <c r="E86" s="119">
        <f t="shared" si="11"/>
        <v>17.935059037595497</v>
      </c>
      <c r="F86" s="119">
        <f t="shared" si="11"/>
        <v>23.879097474963839</v>
      </c>
      <c r="G86" s="296"/>
      <c r="H86" s="296"/>
      <c r="I86" s="296"/>
      <c r="J86" s="296"/>
      <c r="K86" s="296"/>
      <c r="L86" s="296"/>
    </row>
    <row r="87" spans="1:12" ht="13.15">
      <c r="A87" s="132">
        <f t="shared" si="14"/>
        <v>30</v>
      </c>
      <c r="B87" s="119">
        <f t="shared" si="11"/>
        <v>4.8100178660274331</v>
      </c>
      <c r="C87" s="119">
        <f t="shared" si="11"/>
        <v>10.909107254940167</v>
      </c>
      <c r="D87" s="119">
        <f t="shared" si="11"/>
        <v>14.051814658422362</v>
      </c>
      <c r="E87" s="119">
        <f t="shared" si="11"/>
        <v>18.778893380921005</v>
      </c>
      <c r="F87" s="119">
        <f t="shared" si="11"/>
        <v>26.018513550122179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13.949528841242996</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12.902709754694074</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11.928695473127513</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11.023500018589548</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7.400646287249649</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10035.135138248203</v>
      </c>
      <c r="D8" s="469"/>
      <c r="E8" s="469"/>
      <c r="F8" s="469"/>
      <c r="G8" s="469"/>
    </row>
    <row r="9" spans="2:7">
      <c r="B9" s="97" t="s">
        <v>54</v>
      </c>
      <c r="C9" s="447">
        <f>Normalized_FCF!C19</f>
        <v>5447.0432272648359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-2.5520673925965909E-2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12.902709754694074</v>
      </c>
      <c r="F22" s="328">
        <f>1-F23-F24</f>
        <v>0.10000000000000003</v>
      </c>
      <c r="G22" s="328">
        <f>F22*(1-F$29-F$30)</f>
        <v>8.0000000000000029E-2</v>
      </c>
    </row>
    <row r="23" spans="2:7">
      <c r="B23" s="302" t="s">
        <v>437</v>
      </c>
      <c r="C23" s="324">
        <v>0.02</v>
      </c>
      <c r="D23" s="325">
        <f>C18</f>
        <v>5</v>
      </c>
      <c r="E23" s="326">
        <f>DCF!E92</f>
        <v>11.928695473127513</v>
      </c>
      <c r="F23" s="327">
        <v>0.6</v>
      </c>
      <c r="G23" s="328">
        <f t="shared" ref="G23:G24" si="0">F23*(1-F$29-F$30)</f>
        <v>0.48</v>
      </c>
    </row>
    <row r="24" spans="2:7">
      <c r="B24" s="302" t="s">
        <v>446</v>
      </c>
      <c r="C24" s="324">
        <v>0</v>
      </c>
      <c r="D24" s="325">
        <f>C18</f>
        <v>5</v>
      </c>
      <c r="E24" s="326">
        <f>DCF!E93</f>
        <v>11.023500018589548</v>
      </c>
      <c r="F24" s="327">
        <v>0.3</v>
      </c>
      <c r="G24" s="328">
        <f t="shared" si="0"/>
        <v>0.24</v>
      </c>
    </row>
    <row r="25" spans="2:7">
      <c r="B25" s="141" t="s">
        <v>451</v>
      </c>
      <c r="C25" s="441">
        <f>E23*F23+E24*F24+E22*F22</f>
        <v>11.754538264922781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13.949528841242996</v>
      </c>
      <c r="F29" s="327">
        <v>0.1</v>
      </c>
      <c r="G29" s="328">
        <f>F29</f>
        <v>0.1</v>
      </c>
    </row>
    <row r="30" spans="2:7">
      <c r="B30" s="315" t="s">
        <v>447</v>
      </c>
      <c r="C30" s="324">
        <v>-0.1</v>
      </c>
      <c r="D30" s="325">
        <f>C18</f>
        <v>5</v>
      </c>
      <c r="E30" s="326">
        <f>DCF!E94</f>
        <v>7.400646287249649</v>
      </c>
      <c r="F30" s="327">
        <v>0.1</v>
      </c>
      <c r="G30" s="328">
        <f>F30</f>
        <v>0.1</v>
      </c>
    </row>
    <row r="31" spans="2:7">
      <c r="E31" s="329"/>
      <c r="F31" s="329"/>
    </row>
    <row r="32" spans="2:7" ht="13.15">
      <c r="B32" s="145" t="s">
        <v>456</v>
      </c>
    </row>
    <row r="33" spans="2:7">
      <c r="B33" s="97" t="s">
        <v>458</v>
      </c>
      <c r="C33" s="155">
        <f>Normalized_FCF!C88*(1-dividend_tax_rate)</f>
        <v>0.32178308363999991</v>
      </c>
      <c r="D33" t="str">
        <f>Market_currency</f>
        <v>HKD</v>
      </c>
      <c r="E33" s="97" t="s">
        <v>455</v>
      </c>
      <c r="F33" s="219">
        <f>Holding_Period</f>
        <v>3</v>
      </c>
    </row>
    <row r="34" spans="2:7">
      <c r="B34" s="97" t="s">
        <v>233</v>
      </c>
      <c r="C34" s="146">
        <f>Market_Price</f>
        <v>7.33</v>
      </c>
      <c r="D34" t="str">
        <f>Market_currency</f>
        <v>HKD</v>
      </c>
      <c r="E34" s="97" t="s">
        <v>454</v>
      </c>
      <c r="F34" s="330">
        <f>RATE(Holding_Period,$C$33,-C34,$C$36)</f>
        <v>0.2014276481926798</v>
      </c>
    </row>
    <row r="35" spans="2:7">
      <c r="B35" s="97" t="s">
        <v>434</v>
      </c>
      <c r="C35" s="320">
        <f>DCF!C11</f>
        <v>14.898711642652948</v>
      </c>
      <c r="D35" s="97" t="str">
        <f>Market_currency</f>
        <v>HKD</v>
      </c>
      <c r="E35" s="97" t="s">
        <v>454</v>
      </c>
      <c r="F35" s="330">
        <f>RATE(Holding_Period,$C$33,-C35,$C$36)</f>
        <v>-5.8121282298186576E-2</v>
      </c>
    </row>
    <row r="36" spans="2:7">
      <c r="B36" s="97" t="s">
        <v>435</v>
      </c>
      <c r="C36" s="321">
        <f>E22*G22+E23*G23+E24*G24+E30*G30+E29*G29</f>
        <v>11.538648124787489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8.3606168642752859E-2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11.131769161689332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9.1984447260102881E-2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0.32178308363999991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0.58439440315138835</v>
      </c>
      <c r="D62" s="119">
        <f>C36/(1+F62)^Holding_Period</f>
        <v>5.2520018774635808</v>
      </c>
      <c r="E62" s="332">
        <f>C62+D62</f>
        <v>5.8363962806149692</v>
      </c>
      <c r="F62" s="301">
        <f>Thesis!E22</f>
        <v>0.3</v>
      </c>
      <c r="G62" s="440">
        <f>(1-E62/C36)</f>
        <v>0.49418716841905086</v>
      </c>
    </row>
    <row r="63" spans="2:7" ht="13.15">
      <c r="B63" s="302" t="s">
        <v>313</v>
      </c>
      <c r="C63" s="119">
        <f>PV(F63, Holding_Period, -C58, 0)</f>
        <v>0.67783010674166644</v>
      </c>
      <c r="D63" s="119">
        <f>C36/(1+F63)^Holding_Period</f>
        <v>6.6774584055483155</v>
      </c>
      <c r="E63" s="332">
        <f>C63+D63</f>
        <v>7.3552885122899818</v>
      </c>
      <c r="F63" s="301">
        <f>Thesis!E23</f>
        <v>0.2</v>
      </c>
      <c r="G63" s="440">
        <f>(1-E63/C36)</f>
        <v>0.3625519703223079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0.77633487346404162</v>
      </c>
      <c r="D66" s="119">
        <f>C36/(1+F66)^Holding_Period</f>
        <v>8.270445964782196</v>
      </c>
      <c r="E66" s="332">
        <f>C66+D66</f>
        <v>9.0467808382462369</v>
      </c>
      <c r="F66" s="301">
        <f>Thesis!E24</f>
        <v>0.1174</v>
      </c>
      <c r="G66" s="440">
        <f>(1-E66/C36)</f>
        <v>0.21595833927790786</v>
      </c>
    </row>
    <row r="67" spans="2:7" ht="13.15">
      <c r="B67" s="302" t="s">
        <v>314</v>
      </c>
      <c r="C67" s="119">
        <f>PV(F67, Holding_Period, -C58, 0)</f>
        <v>0.84061815622447844</v>
      </c>
      <c r="D67" s="119">
        <f>C36/(1+F67)^Holding_Period</f>
        <v>9.3532604323585513</v>
      </c>
      <c r="E67" s="332">
        <f>C67+D67</f>
        <v>10.193878588583029</v>
      </c>
      <c r="F67" s="301">
        <f>Thesis!E25</f>
        <v>7.2499999999999995E-2</v>
      </c>
      <c r="G67" s="440">
        <f>(1-E67/C36)</f>
        <v>0.11654480851319204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7.33</v>
      </c>
    </row>
    <row r="9" spans="1:10">
      <c r="B9" s="351" t="s">
        <v>361</v>
      </c>
      <c r="C9" s="353">
        <f>Common_Shares</f>
        <v>8658801708</v>
      </c>
    </row>
    <row r="10" spans="1:10">
      <c r="B10" s="351" t="s">
        <v>367</v>
      </c>
      <c r="C10" s="357">
        <f>投资主题!C8*Common_Shares/1000000</f>
        <v>63469.016519639998</v>
      </c>
      <c r="D10" s="343" t="s">
        <v>528</v>
      </c>
      <c r="E10" s="360">
        <f>Scenarios!F34</f>
        <v>0.2014276481926798</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1.1321619999999999</v>
      </c>
    </row>
    <row r="17" spans="1:6">
      <c r="B17" s="343" t="s">
        <v>534</v>
      </c>
      <c r="C17" s="424">
        <f>Terminal_Growth</f>
        <v>0.02</v>
      </c>
      <c r="D17" s="351" t="s">
        <v>339</v>
      </c>
      <c r="E17" s="344" t="str">
        <f>Reporting_currency</f>
        <v>CNY</v>
      </c>
    </row>
    <row r="18" spans="1:6">
      <c r="B18" s="343" t="str">
        <f>"预期股权价值 ("&amp;C7&amp;") :"</f>
        <v>预期股权价值 (HKD) :</v>
      </c>
      <c r="C18" s="359">
        <f>C125</f>
        <v>11.538648124787489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5.8363962806149692</v>
      </c>
      <c r="D22" s="365" t="s">
        <v>440</v>
      </c>
      <c r="E22" s="366">
        <f>Thesis!E22</f>
        <v>0.3</v>
      </c>
    </row>
    <row r="23" spans="1:6">
      <c r="B23" s="343" t="s">
        <v>341</v>
      </c>
      <c r="C23" s="367">
        <f>E141</f>
        <v>7.3552885122899818</v>
      </c>
      <c r="D23" s="365" t="s">
        <v>441</v>
      </c>
      <c r="E23" s="368">
        <f>Thesis!E23</f>
        <v>0.2</v>
      </c>
    </row>
    <row r="24" spans="1:6">
      <c r="B24" s="343" t="s">
        <v>343</v>
      </c>
      <c r="C24" s="367">
        <f>E144</f>
        <v>9.0467808382462369</v>
      </c>
      <c r="D24" s="365" t="s">
        <v>443</v>
      </c>
      <c r="E24" s="368">
        <f>Thesis!E24</f>
        <v>0.1174</v>
      </c>
    </row>
    <row r="25" spans="1:6">
      <c r="B25" s="343" t="s">
        <v>342</v>
      </c>
      <c r="C25" s="367">
        <f>E145</f>
        <v>10.193878588583029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87.039419952348624</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-715.96058004765132</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-3909.5498549880872</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10035.135138248203</v>
      </c>
      <c r="D60" s="343" t="str">
        <f>Reporting_currency</f>
        <v>CNY</v>
      </c>
    </row>
    <row r="61" spans="2:6">
      <c r="B61" s="372" t="s">
        <v>213</v>
      </c>
      <c r="C61" s="373">
        <f>Normalized_FCF!C19</f>
        <v>5447.0432272648359</v>
      </c>
      <c r="D61" s="343" t="str">
        <f>Reporting_currency</f>
        <v>CNY</v>
      </c>
    </row>
    <row r="62" spans="2:6">
      <c r="B62" s="377" t="s">
        <v>302</v>
      </c>
      <c r="C62" s="378">
        <f>Normalized_FCF!C124</f>
        <v>9.7164501554207944E-2</v>
      </c>
      <c r="F62" s="379"/>
    </row>
    <row r="63" spans="2:6">
      <c r="B63" s="377" t="s">
        <v>332</v>
      </c>
      <c r="C63" s="378">
        <f>Normalized_FCF!C92</f>
        <v>4.3899465708049104E-2</v>
      </c>
      <c r="E63" s="372" t="s">
        <v>373</v>
      </c>
      <c r="F63" s="380">
        <f>Normalized_FCF!C90</f>
        <v>0.56835236577547799</v>
      </c>
    </row>
    <row r="65" spans="1:6">
      <c r="B65" s="369" t="s">
        <v>376</v>
      </c>
      <c r="C65" s="381" t="s">
        <v>327</v>
      </c>
      <c r="D65" s="381" t="s">
        <v>374</v>
      </c>
    </row>
    <row r="66" spans="1:6">
      <c r="B66" s="372" t="s">
        <v>326</v>
      </c>
      <c r="C66" s="378">
        <f>Normalized_FCF!E119</f>
        <v>0.17172002701225841</v>
      </c>
      <c r="D66" s="378">
        <f>Normalized_FCF!G119</f>
        <v>0.18349074469899637</v>
      </c>
    </row>
    <row r="67" spans="1:6">
      <c r="B67" s="382" t="str">
        <f>Normalized_FCF!B116</f>
        <v>Pre-tax Profit/Sales</v>
      </c>
      <c r="C67" s="383">
        <f>Normalized_FCF!E116</f>
        <v>8.3606168642752859E-2</v>
      </c>
      <c r="D67" s="383">
        <f>Normalized_FCF!G116</f>
        <v>8.9337035479230789E-2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-2.67062460024174</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28368.430007941897</v>
      </c>
      <c r="D84" s="343" t="str">
        <f>Reporting_currency</f>
        <v>CNY</v>
      </c>
    </row>
    <row r="85" spans="1:6">
      <c r="B85" s="382" t="s">
        <v>481</v>
      </c>
      <c r="C85" s="390">
        <f>BS!C66</f>
        <v>42875</v>
      </c>
      <c r="D85" s="391" t="str">
        <f>Reporting_currency</f>
        <v>CNY</v>
      </c>
    </row>
    <row r="86" spans="1:6">
      <c r="B86" s="372" t="s">
        <v>235</v>
      </c>
      <c r="C86" s="387">
        <f>C84*scaling_factor*Exchange_Rate/Common_Shares</f>
        <v>3.7092497943425027</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2.2750975786637099E-2</v>
      </c>
      <c r="D90" s="343" t="str">
        <f>Market_currency</f>
        <v>HKD</v>
      </c>
    </row>
    <row r="92" spans="1:6">
      <c r="B92" s="372" t="s">
        <v>480</v>
      </c>
      <c r="C92" s="387">
        <f>DCF!F8</f>
        <v>1.0613761698873996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-2.9877915080902775</v>
      </c>
      <c r="D111" s="343" t="str">
        <f>Market_currency</f>
        <v>HKD</v>
      </c>
    </row>
    <row r="112" spans="1:6">
      <c r="A112" s="385"/>
      <c r="B112" s="372" t="s">
        <v>377</v>
      </c>
      <c r="C112" s="394">
        <f>DCF!C11</f>
        <v>14.898711642652948</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13.95 HKD</v>
      </c>
      <c r="F118" s="399">
        <f>DCF!F90</f>
        <v>0.1</v>
      </c>
    </row>
    <row r="119" spans="1:6">
      <c r="A119" s="385"/>
      <c r="B119" s="400" t="str">
        <f>DCF!B91</f>
        <v>Optimistic</v>
      </c>
      <c r="C119" s="401">
        <f>DCF!C91</f>
        <v>0.04</v>
      </c>
      <c r="D119" s="402">
        <f>DCF!D91</f>
        <v>5</v>
      </c>
      <c r="E119" s="398" t="str">
        <f>ROUND(DCF!E91,2)&amp;" "&amp;Market_currency</f>
        <v>12.9 HKD</v>
      </c>
      <c r="F119" s="403">
        <f>DCF!F91</f>
        <v>8.0000000000000029E-2</v>
      </c>
    </row>
    <row r="120" spans="1:6">
      <c r="B120" s="400" t="str">
        <f>DCF!B92</f>
        <v>Base</v>
      </c>
      <c r="C120" s="401">
        <f>DCF!C92</f>
        <v>0.02</v>
      </c>
      <c r="D120" s="402">
        <f>DCF!D92</f>
        <v>5</v>
      </c>
      <c r="E120" s="398" t="str">
        <f>ROUND(DCF!E92,2)&amp;" "&amp;Market_currency</f>
        <v>11.93 HKD</v>
      </c>
      <c r="F120" s="403">
        <f>DCF!F92</f>
        <v>0.48</v>
      </c>
    </row>
    <row r="121" spans="1:6">
      <c r="B121" s="400" t="str">
        <f>DCF!B93</f>
        <v>Pessimistic</v>
      </c>
      <c r="C121" s="401">
        <f>DCF!C93</f>
        <v>0</v>
      </c>
      <c r="D121" s="402">
        <f>DCF!D93</f>
        <v>5</v>
      </c>
      <c r="E121" s="398" t="str">
        <f>ROUND(DCF!E93,2)&amp;" "&amp;Market_currency</f>
        <v>11.02 HKD</v>
      </c>
      <c r="F121" s="403">
        <f>DCF!F93</f>
        <v>0.24</v>
      </c>
    </row>
    <row r="122" spans="1:6">
      <c r="B122" s="400" t="str">
        <f>DCF!B94</f>
        <v>Devil's advocate</v>
      </c>
      <c r="C122" s="401">
        <f>DCF!C94</f>
        <v>-0.1</v>
      </c>
      <c r="D122" s="402">
        <f>DCF!D94</f>
        <v>5</v>
      </c>
      <c r="E122" s="398" t="str">
        <f>ROUND(DCF!E94,2)&amp;" "&amp;Market_currency</f>
        <v>7.4 HKD</v>
      </c>
      <c r="F122" s="403">
        <f>DCF!F94</f>
        <v>0.1</v>
      </c>
    </row>
    <row r="124" spans="1:6">
      <c r="B124" s="470" t="s">
        <v>518</v>
      </c>
      <c r="C124" s="470"/>
      <c r="D124" s="470"/>
      <c r="E124" s="470"/>
      <c r="F124" s="470"/>
    </row>
    <row r="125" spans="1:6">
      <c r="B125" s="372" t="s">
        <v>218</v>
      </c>
      <c r="C125" s="404">
        <f>Scenarios!C36</f>
        <v>11.538648124787489</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0.32178308363999991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0.58439440315138835</v>
      </c>
      <c r="D140" s="409">
        <f>Scenarios!D62</f>
        <v>5.2520018774635808</v>
      </c>
      <c r="E140" s="410">
        <f>Scenarios!E62</f>
        <v>5.8363962806149692</v>
      </c>
      <c r="F140" s="411">
        <f>E22</f>
        <v>0.3</v>
      </c>
    </row>
    <row r="141" spans="1:6">
      <c r="B141" s="408" t="s">
        <v>313</v>
      </c>
      <c r="C141" s="409">
        <f>Scenarios!C63</f>
        <v>0.67783010674166644</v>
      </c>
      <c r="D141" s="409">
        <f>Scenarios!D63</f>
        <v>6.6774584055483155</v>
      </c>
      <c r="E141" s="410">
        <f>Scenarios!E63</f>
        <v>7.3552885122899818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0.77633487346404162</v>
      </c>
      <c r="D144" s="409">
        <f>Scenarios!D66</f>
        <v>8.270445964782196</v>
      </c>
      <c r="E144" s="410">
        <f>Scenarios!E66</f>
        <v>9.0467808382462369</v>
      </c>
      <c r="F144" s="411">
        <f>E24</f>
        <v>0.1174</v>
      </c>
    </row>
    <row r="145" spans="1:6">
      <c r="B145" s="408" t="s">
        <v>314</v>
      </c>
      <c r="C145" s="409">
        <f>Scenarios!C67</f>
        <v>0.84061815622447844</v>
      </c>
      <c r="D145" s="409">
        <f>Scenarios!D67</f>
        <v>9.3532604323585513</v>
      </c>
      <c r="E145" s="410">
        <f>Scenarios!E67</f>
        <v>10.193878588583029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