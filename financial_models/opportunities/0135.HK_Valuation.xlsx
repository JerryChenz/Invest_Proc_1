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087499-507F-4EFD-AAFB-B844FCCFD11E}"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D13" i="13"/>
  <c r="C13" i="13"/>
  <c r="D12" i="13"/>
  <c r="D11" i="13"/>
  <c r="C11" i="13"/>
  <c r="D10" i="13"/>
  <c r="E8" i="13"/>
  <c r="D8" i="13"/>
  <c r="D14" i="13" s="1"/>
  <c r="C8" i="13"/>
  <c r="C14" i="13" s="1"/>
  <c r="C6" i="13"/>
  <c r="C12" i="13" s="1"/>
  <c r="C5" i="13"/>
  <c r="C4" i="13"/>
  <c r="C10" i="13" s="1"/>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3" i="9" l="1"/>
  <c r="C67" i="9"/>
  <c r="C62"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2" i="8" l="1"/>
  <c r="F73" i="8"/>
  <c r="F72" i="8"/>
  <c r="D72" i="8"/>
  <c r="B74" i="8"/>
  <c r="B71" i="8"/>
  <c r="E72" i="8"/>
  <c r="C74" i="8"/>
  <c r="E71" i="8"/>
  <c r="C73" i="8"/>
  <c r="F74" i="8"/>
  <c r="F71" i="8"/>
  <c r="D73" i="8"/>
  <c r="B72" i="8"/>
  <c r="E73" i="8"/>
  <c r="C71" i="8"/>
  <c r="D74" i="8"/>
  <c r="D71" i="8"/>
  <c r="B73"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<sst xmlns="http://schemas.openxmlformats.org/spreadsheetml/2006/main" count="776" uniqueCount="561">
  <si>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</si>
  <si>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</si>
  <si>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</si>
  <si>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</si>
  <si>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</si>
  <si>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</si>
  <si>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</si>
  <si>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</si>
  <si>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</si>
  <si>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</si>
  <si>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</si>
  <si>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</si>
  <si>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</si>
  <si>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</si>
  <si>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</si>
  <si>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</si>
  <si>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</si>
  <si>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</si>
  <si>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</si>
  <si>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</si>
  <si>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</si>
  <si>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</si>
  <si>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</si>
  <si>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</si>
  <si>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</si>
  <si>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</si>
  <si>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</si>
  <si>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</si>
  <si>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</si>
  <si>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</si>
  <si>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</si>
  <si>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</si>
  <si>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</si>
  <si>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</si>
  <si>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</si>
  <si>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</si>
  <si>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</si>
  <si>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</si>
  <si>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</si>
  <si>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</si>
  <si>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</si>
  <si>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</si>
  <si>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</si>
  <si>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</si>
  <si>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</si>
  <si>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</si>
  <si>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</si>
  <si>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</si>
  <si>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</si>
  <si>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</si>
  <si>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</si>
  <si>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</si>
  <si>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</si>
  <si>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</si>
  <si>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</si>
  <si>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</si>
  <si>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</si>
  <si>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</si>
  <si>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</si>
  <si>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</si>
  <si>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</si>
  <si>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</si>
  <si>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</si>
  <si>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</si>
  <si>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</si>
  <si>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</si>
  <si>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</si>
  <si>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</si>
  <si>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</si>
  <si>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</si>
  <si>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</si>
  <si>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</si>
  <si>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</si>
  <si>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</si>
  <si>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</si>
  <si>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</si>
  <si>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</si>
  <si>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</si>
  <si>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</si>
  <si>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</si>
  <si>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</si>
  <si>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</si>
  <si>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</si>
  <si>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</si>
  <si>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</si>
  <si>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</si>
  <si>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</si>
  <si>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</si>
  <si>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</si>
  <si>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</si>
  <si>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</si>
  <si>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</si>
  <si>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</si>
  <si>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</si>
  <si>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</si>
  <si>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</si>
  <si>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</si>
  <si>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</si>
  <si>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</si>
  <si>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</si>
  <si>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</si>
  <si>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</si>
  <si>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</si>
  <si>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</si>
  <si>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</si>
  <si>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</si>
  <si>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</si>
  <si>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</si>
  <si>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</si>
  <si>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</si>
  <si>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</si>
  <si>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</si>
  <si>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</si>
  <si>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</si>
  <si>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</si>
  <si>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</si>
  <si>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</si>
  <si>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</si>
  <si>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</si>
  <si>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</si>
  <si>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</si>
  <si>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</si>
  <si>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</si>
  <si>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</si>
  <si>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</si>
  <si>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</si>
  <si>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</si>
  <si>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</si>
  <si>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</si>
  <si>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</si>
  <si>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</si>
  <si>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</si>
  <si>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</si>
  <si>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</si>
  <si>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</si>
  <si>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</si>
  <si>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</si>
  <si>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</si>
  <si>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</si>
  <si>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</si>
  <si>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</si>
  <si>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</si>
  <si>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</si>
  <si>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</si>
  <si>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</si>
  <si>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</si>
  <si>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</si>
  <si>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</si>
  <si>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</si>
  <si>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</si>
  <si>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</si>
  <si>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</si>
  <si>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</si>
  <si>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</si>
  <si>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</si>
  <si>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</si>
  <si>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</si>
  <si>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</si>
  <si>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</si>
  <si>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</si>
  <si>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</si>
  <si>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</si>
  <si>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</si>
  <si>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</si>
  <si>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</si>
  <si>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</si>
  <si>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</si>
  <si>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</si>
  <si>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</si>
  <si>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</si>
  <si>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</si>
  <si>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</si>
  <si>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</si>
  <si>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</si>
  <si>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</si>
  <si>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</si>
  <si>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</si>
  <si>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</si>
  <si>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</si>
  <si>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</si>
  <si>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</si>
  <si>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</si>
  <si>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</si>
  <si>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</si>
  <si>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</si>
  <si>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</si>
  <si>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</si>
  <si>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</si>
  <si>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</si>
  <si>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</si>
  <si>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</si>
  <si>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</si>
  <si>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</si>
  <si>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</si>
  <si>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</si>
  <si>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</si>
  <si>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</si>
  <si>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</si>
  <si>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</si>
  <si>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</si>
  <si>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</si>
  <si>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</si>
  <si>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</si>
  <si>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</si>
  <si>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</si>
  <si>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</si>
  <si>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</si>
  <si>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</si>
  <si>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</si>
  <si>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</si>
  <si>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</si>
  <si>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</si>
  <si>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</si>
  <si>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</si>
  <si>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</si>
  <si>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</si>
  <si>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</si>
  <si>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</si>
  <si>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</si>
  <si>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</si>
  <si>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</si>
  <si>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</si>
  <si>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</si>
  <si>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</si>
  <si>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</si>
  <si>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</si>
  <si>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</si>
  <si>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</si>
  <si>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</si>
  <si>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</si>
  <si>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</si>
  <si>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</si>
  <si>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</si>
  <si>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</si>
  <si>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</si>
  <si>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</si>
  <si>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</si>
  <si>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</si>
  <si>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</si>
  <si>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</si>
  <si>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</si>
  <si>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</si>
  <si>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</si>
  <si>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</si>
  <si>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</si>
  <si>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</si>
  <si>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</si>
  <si>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</si>
  <si>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</si>
  <si>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</si>
  <si>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</si>
  <si>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</si>
  <si>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</si>
  <si>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</si>
  <si>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</si>
  <si>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</si>
  <si>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</si>
  <si>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</si>
  <si>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</si>
  <si>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</si>
  <si>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</si>
  <si>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</si>
  <si>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</si>
  <si>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</si>
  <si>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</si>
  <si>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</si>
  <si>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</si>
  <si>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</si>
  <si>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</si>
  <si>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</si>
  <si>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</si>
  <si>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</si>
  <si>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</si>
  <si>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</si>
  <si>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</si>
  <si>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</si>
  <si>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</si>
  <si>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</si>
  <si>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</si>
  <si>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</si>
  <si>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</si>
  <si>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</si>
  <si>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</si>
  <si>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</si>
  <si>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</si>
  <si>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</si>
  <si>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</si>
  <si>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</si>
  <si>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</si>
  <si>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</si>
  <si>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</si>
  <si>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</si>
  <si>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</si>
  <si>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</si>
  <si>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</si>
  <si>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</si>
  <si>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</si>
  <si>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</si>
  <si>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</si>
  <si>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</si>
  <si>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</si>
  <si>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</si>
  <si>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</si>
  <si>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</si>
  <si>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</si>
  <si>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</si>
  <si>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</si>
  <si>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</si>
  <si>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</si>
  <si>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</si>
  <si>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</si>
  <si>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</si>
  <si>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</si>
  <si>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</si>
  <si>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</si>
  <si>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</si>
  <si>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</si>
  <si>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</si>
  <si>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</si>
  <si>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</si>
  <si>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</si>
  <si>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</si>
  <si>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</si>
  <si>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</si>
  <si>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</si>
  <si>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</si>
  <si>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</si>
  <si>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</si>
  <si>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</si>
  <si>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</si>
  <si>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</si>
  <si>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</si>
  <si>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</si>
  <si>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</si>
  <si>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</si>
  <si>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</si>
  <si>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</si>
  <si>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</si>
  <si>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</si>
  <si>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</si>
  <si>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</si>
  <si>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</si>
  <si>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</si>
  <si>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</si>
  <si>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</si>
  <si>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</si>
  <si>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</si>
  <si>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</si>
  <si>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</si>
  <si>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</si>
  <si>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</si>
  <si>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</si>
  <si>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</si>
  <si>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</si>
  <si>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</si>
  <si>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</si>
  <si>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</si>
  <si>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</si>
  <si>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</si>
  <si>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</si>
  <si>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</si>
  <si>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</si>
  <si>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</si>
  <si>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</si>
  <si>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</si>
  <si>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</si>
  <si>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</si>
  <si>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</si>
  <si>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</si>
  <si>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</si>
  <si>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</si>
  <si>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</si>
  <si>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</si>
  <si>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</si>
  <si>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</si>
  <si>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</si>
  <si>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</si>
  <si>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</si>
  <si>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</si>
  <si>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</si>
  <si>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</si>
  <si>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</si>
  <si>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</si>
  <si>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</si>
  <si>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</si>
  <si>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</si>
  <si>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</si>
  <si>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</si>
  <si>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</si>
  <si>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</si>
  <si>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</si>
  <si>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</si>
  <si>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</si>
  <si>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</si>
  <si>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</si>
  <si>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</si>
  <si>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</si>
  <si>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</si>
  <si>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</si>
  <si>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</si>
  <si>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</si>
  <si>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</si>
  <si>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</si>
  <si>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</si>
  <si>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</si>
  <si>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</si>
  <si>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</si>
  <si>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</si>
  <si>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</si>
  <si>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</si>
  <si>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</si>
  <si>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</si>
  <si>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</si>
  <si>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</si>
  <si>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</si>
  <si>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</si>
  <si>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</si>
  <si>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</si>
  <si>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</si>
  <si>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</si>
  <si>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</si>
  <si>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</si>
  <si>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</si>
  <si>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</si>
  <si>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</si>
  <si>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</si>
  <si>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</si>
  <si>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</si>
  <si>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</si>
  <si>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</si>
  <si>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</si>
  <si>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</si>
  <si>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</si>
  <si>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</si>
  <si>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</si>
  <si>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</si>
  <si>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</si>
  <si>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</si>
  <si>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</si>
  <si>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</si>
  <si>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</si>
  <si>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</si>
  <si>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</si>
  <si>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</si>
  <si>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</si>
  <si>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</si>
  <si>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</si>
  <si>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</si>
  <si>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</si>
  <si>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</si>
  <si>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</si>
  <si>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</si>
  <si>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</si>
  <si>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</si>
  <si>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</si>
  <si>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</si>
  <si>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</si>
  <si>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</si>
  <si>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</si>
  <si>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</si>
  <si>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</si>
  <si>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</si>
  <si>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</si>
  <si>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</si>
  <si>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</si>
  <si>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</si>
  <si>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</si>
  <si>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</si>
  <si>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</si>
  <si>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</si>
  <si>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</si>
  <si>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</si>
  <si>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</si>
  <si>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</si>
  <si>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</si>
  <si>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</si>
  <si>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</si>
  <si>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</si>
  <si>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</si>
  <si>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</si>
  <si>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</si>
  <si>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</si>
  <si>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</si>
  <si>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</si>
  <si>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</si>
  <si>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</si>
  <si>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</si>
  <si>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</si>
  <si>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</si>
  <si>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</si>
  <si>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</si>
  <si>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</si>
  <si>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</si>
  <si>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</si>
  <si>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</si>
  <si>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</si>
  <si>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</si>
  <si>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</si>
  <si>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</si>
  <si>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</si>
  <si>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</si>
  <si>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</si>
  <si>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</si>
  <si>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</si>
  <si>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</si>
  <si>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</si>
  <si>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</si>
  <si>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</si>
  <si>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</si>
  <si>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</si>
  <si>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</si>
  <si>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</si>
  <si>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</si>
  <si>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</si>
  <si>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</si>
  <si>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</si>
  <si>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</si>
  <si>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</si>
  <si>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</si>
  <si>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</si>
  <si>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</si>
  <si>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</si>
  <si>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</si>
  <si>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</si>
  <si>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</si>
  <si>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</si>
  <si>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</si>
  <si>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</si>
  <si>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</si>
  <si>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</si>
  <si>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</si>
  <si>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</si>
  <si>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</si>
  <si>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</si>
  <si>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</si>
  <si>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</si>
  <si>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</si>
  <si>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</si>
  <si>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</si>
  <si>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</si>
  <si>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</si>
  <si>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</si>
  <si>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</si>
  <si>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</si>
  <si>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</si>
  <si>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</si>
  <si>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</si>
  <si>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</si>
  <si>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</si>
  <si>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</si>
  <si>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Next</t>
  </si>
  <si>
    <t xml:space="preserve">天然氣銷售 </t>
  </si>
  <si>
    <t>LPG銷售</t>
  </si>
  <si>
    <t>LNG加工與儲運</t>
  </si>
  <si>
    <t>原油銷售</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</si>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</sst>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8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71" fillId="0" borderId="1" xfId="2"/>
    <xf numFmtId="0" fontId="1" fillId="0" borderId="1" xfId="2" applyFont="1" applyAlignment="1">
      <alignment horizontal="right"/>
    </xf>
    <xf numFmtId="168" fontId="71" fillId="0" borderId="1" xfId="2" applyNumberFormat="1"/>
    <xf numFmtId="3" fontId="71" fillId="0" borderId="1" xfId="2" applyNumberFormat="1" applyAlignment="1">
      <alignment horizontal="right"/>
    </xf>
    <xf numFmtId="3" fontId="71" fillId="0" borderId="1" xfId="2" applyNumberFormat="1"/>
    <xf numFmtId="10" fontId="71" fillId="0" borderId="1" xfId="2" applyNumberForma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EB5E5873-54F9-467F-AEF7-73B2F7CD5E34}"/>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15" sqref="F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556</v>
      </c>
      <c r="E4" s="438" t="s">
        <v>540</v>
      </c>
      <c r="F4" s="439" t="s">
        <v>324</v>
      </c>
    </row>
    <row r="5" spans="1:9">
      <c r="B5" s="1" t="s">
        <v>350</v>
      </c>
      <c r="C5" s="46" t="s">
        <v>557</v>
      </c>
      <c r="E5" s="441" t="s">
        <v>542</v>
      </c>
      <c r="F5" s="440" t="s">
        <v>555</v>
      </c>
    </row>
    <row r="6" spans="1:9">
      <c r="B6" s="2" t="s">
        <v>53</v>
      </c>
      <c r="C6" s="45" t="s">
        <v>558</v>
      </c>
      <c r="D6" s="45"/>
      <c r="E6" s="45"/>
    </row>
    <row r="7" spans="1:9">
      <c r="B7" s="1" t="s">
        <v>352</v>
      </c>
      <c r="C7" s="45" t="s">
        <v>308</v>
      </c>
      <c r="D7" s="45"/>
      <c r="E7" s="45"/>
    </row>
    <row r="8" spans="1:9">
      <c r="B8" s="4" t="s">
        <v>351</v>
      </c>
      <c r="C8" s="47">
        <v>6.93</v>
      </c>
      <c r="E8" s="32"/>
    </row>
    <row r="9" spans="1:9">
      <c r="B9" s="4" t="s">
        <v>347</v>
      </c>
      <c r="C9" s="48">
        <v>8658801708</v>
      </c>
    </row>
    <row r="10" spans="1:9">
      <c r="B10" s="4" t="s">
        <v>353</v>
      </c>
      <c r="C10" s="33">
        <f>Thesis!C8*Common_Shares/1000000</f>
        <v>60005.495836439994</v>
      </c>
      <c r="D10" s="1" t="s">
        <v>531</v>
      </c>
      <c r="E10" s="310">
        <f>Scenarios!F34</f>
        <v>0.27884249743605316</v>
      </c>
    </row>
    <row r="11" spans="1:9">
      <c r="D11" s="5"/>
      <c r="E11" s="5"/>
    </row>
    <row r="12" spans="1:9" ht="24.5" customHeight="1">
      <c r="B12" s="469" t="s">
        <v>356</v>
      </c>
      <c r="C12" s="469"/>
      <c r="D12" s="469"/>
      <c r="E12" s="469"/>
      <c r="F12" s="469"/>
    </row>
    <row r="14" spans="1:9">
      <c r="B14" s="42" t="str">
        <f>Scenarios!B39&amp;" Valuation Conclusion"</f>
        <v>1-stage DCF Valuation Conclusion</v>
      </c>
      <c r="C14" s="43"/>
    </row>
    <row r="15" spans="1:9">
      <c r="B15" s="1" t="s">
        <v>319</v>
      </c>
      <c r="C15" s="425" t="s">
        <v>555</v>
      </c>
      <c r="D15" s="4" t="s">
        <v>354</v>
      </c>
      <c r="E15" s="259" t="str">
        <f>IF(E17=C7,C7,E17&amp;"/"&amp;C7)</f>
        <v>CNY/HKD</v>
      </c>
    </row>
    <row r="16" spans="1:9">
      <c r="B16" s="1" t="s">
        <v>320</v>
      </c>
      <c r="C16" s="425" t="s">
        <v>555</v>
      </c>
      <c r="D16" s="4" t="s">
        <v>355</v>
      </c>
      <c r="E16" s="424">
        <v>1.0934131499999999</v>
      </c>
    </row>
    <row r="17" spans="1:6">
      <c r="B17" s="1" t="s">
        <v>535</v>
      </c>
      <c r="C17" s="423">
        <v>0</v>
      </c>
      <c r="D17" s="4" t="s">
        <v>274</v>
      </c>
      <c r="E17" s="227" t="s">
        <v>546</v>
      </c>
    </row>
    <row r="18" spans="1:6">
      <c r="B18" s="1" t="str">
        <f>"Expected Equity Value ("&amp;C7&amp;") :"</f>
        <v>Expected Equity Value (HKD) :</v>
      </c>
      <c r="C18" s="258">
        <f>C125</f>
        <v>10.625390641427337</v>
      </c>
      <c r="D18" s="2" t="s">
        <v>348</v>
      </c>
      <c r="E18" s="426">
        <v>6</v>
      </c>
    </row>
    <row r="19" spans="1:6">
      <c r="B19" s="2" t="s">
        <v>275</v>
      </c>
      <c r="C19" s="31" t="str">
        <f>IF(Scenarios!C50="Y",Scenarios!B50,"")&amp;IF(Scenarios!C51="Y",Scenarios!B51,"")&amp;IF(Scenarios!C52="Y",Scenarios!B52,"")&amp;" "&amp;IF(Scenarios!C53="Y",Scenarios!B53,"")</f>
        <v>Low Growth Asset Play</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6.2308366926397181</v>
      </c>
      <c r="D22" s="38" t="s">
        <v>409</v>
      </c>
      <c r="E22" s="79">
        <v>0.35</v>
      </c>
    </row>
    <row r="23" spans="1:6">
      <c r="B23" s="1" t="s">
        <v>313</v>
      </c>
      <c r="C23" s="262">
        <f>E141</f>
        <v>7.2477586456234162</v>
      </c>
      <c r="D23" s="38" t="s">
        <v>410</v>
      </c>
      <c r="E23" s="451">
        <v>0.25</v>
      </c>
    </row>
    <row r="24" spans="1:6">
      <c r="B24" s="1" t="s">
        <v>315</v>
      </c>
      <c r="C24" s="262">
        <f>E144</f>
        <v>9.0369778908129543</v>
      </c>
      <c r="D24" s="38" t="s">
        <v>411</v>
      </c>
      <c r="E24" s="451">
        <v>0.1174</v>
      </c>
    </row>
    <row r="25" spans="1:6">
      <c r="B25" s="1" t="s">
        <v>314</v>
      </c>
      <c r="C25" s="262">
        <f>E145</f>
        <v>9.7973483987690404</v>
      </c>
      <c r="D25" s="38" t="s">
        <v>412</v>
      </c>
      <c r="E25" s="452">
        <v>7.2499999999999995E-2</v>
      </c>
    </row>
    <row r="26" spans="1:6">
      <c r="D26" s="5"/>
      <c r="E26" s="5"/>
    </row>
    <row r="27" spans="1:6" ht="13.9">
      <c r="A27" s="202" t="s">
        <v>280</v>
      </c>
      <c r="B27" s="34"/>
      <c r="C27" s="34"/>
      <c r="D27" s="34"/>
      <c r="E27" s="34"/>
      <c r="F27" s="34"/>
    </row>
    <row r="29" spans="1:6">
      <c r="B29" s="469" t="s">
        <v>357</v>
      </c>
      <c r="C29" s="469"/>
      <c r="D29" s="469"/>
      <c r="E29" s="469"/>
      <c r="F29" s="469"/>
    </row>
    <row r="30" spans="1:6" ht="24.5" customHeight="1">
      <c r="B30" s="473" t="s">
        <v>266</v>
      </c>
      <c r="C30" s="473"/>
      <c r="D30" s="473"/>
      <c r="E30" s="473"/>
      <c r="F30" s="473"/>
    </row>
    <row r="32" spans="1:6">
      <c r="B32" s="192" t="s">
        <v>195</v>
      </c>
      <c r="C32" s="105">
        <f>scaling_factor</f>
        <v>1000000</v>
      </c>
    </row>
    <row r="33" spans="2:6" ht="24.5" customHeight="1">
      <c r="B33" s="470" t="s">
        <v>196</v>
      </c>
      <c r="C33" s="470"/>
      <c r="D33" s="470"/>
      <c r="E33" s="470"/>
      <c r="F33" s="470"/>
    </row>
    <row r="34" spans="2:6">
      <c r="B34" s="44" t="s">
        <v>197</v>
      </c>
      <c r="C34" s="292">
        <f>Normalized_FCF!C8</f>
        <v>16063</v>
      </c>
      <c r="D34" s="1" t="str">
        <f>Reporting_currency</f>
        <v>CNY</v>
      </c>
    </row>
    <row r="35" spans="2:6">
      <c r="B35" s="44"/>
      <c r="C35" s="73"/>
    </row>
    <row r="36" spans="2:6" ht="24.5" customHeight="1">
      <c r="B36" s="470" t="s">
        <v>198</v>
      </c>
      <c r="C36" s="470"/>
      <c r="D36" s="470"/>
      <c r="E36" s="470"/>
      <c r="F36" s="470"/>
    </row>
    <row r="37" spans="2:6">
      <c r="B37" s="44" t="s">
        <v>199</v>
      </c>
      <c r="C37" s="292">
        <f>Normalized_FCF!C15</f>
        <v>0</v>
      </c>
      <c r="D37" s="1" t="str">
        <f>Reporting_currency</f>
        <v>CNY</v>
      </c>
    </row>
    <row r="38" spans="2:6">
      <c r="B38" s="49" t="s">
        <v>200</v>
      </c>
      <c r="C38" s="292">
        <f>Normalized_FCF!C16</f>
        <v>0</v>
      </c>
      <c r="D38" s="1" t="str">
        <f>Reporting_currency</f>
        <v>CNY</v>
      </c>
    </row>
    <row r="40" spans="2:6">
      <c r="B40" s="470" t="s">
        <v>201</v>
      </c>
      <c r="C40" s="470"/>
      <c r="D40" s="470"/>
      <c r="E40" s="470"/>
      <c r="F40" s="470"/>
    </row>
    <row r="41" spans="2:6">
      <c r="B41" s="44" t="s">
        <v>202</v>
      </c>
      <c r="C41" s="292">
        <f>Normalized_FCF!C9</f>
        <v>291.16000000000003</v>
      </c>
      <c r="D41" s="1" t="str">
        <f>Reporting_currency</f>
        <v>CNY</v>
      </c>
    </row>
    <row r="43" spans="2:6">
      <c r="B43" s="470" t="s">
        <v>205</v>
      </c>
      <c r="C43" s="470"/>
      <c r="D43" s="470"/>
      <c r="E43" s="470"/>
      <c r="F43" s="470"/>
    </row>
    <row r="44" spans="2:6">
      <c r="B44" s="44" t="s">
        <v>267</v>
      </c>
      <c r="C44" s="293">
        <f>Normalized_FCF!C46</f>
        <v>86.986441564056534</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-716.01355843594342</v>
      </c>
      <c r="D46" s="1" t="str">
        <f>Reporting_currency</f>
        <v>CNY</v>
      </c>
    </row>
    <row r="48" spans="2:6">
      <c r="B48" s="1" t="s">
        <v>211</v>
      </c>
    </row>
    <row r="49" spans="2:6">
      <c r="B49" s="44" t="s">
        <v>223</v>
      </c>
      <c r="C49" s="292">
        <f>Normalized_FCF!C13</f>
        <v>-6281.6063376994261</v>
      </c>
      <c r="D49" s="1" t="str">
        <f>Reporting_currency</f>
        <v>CNY</v>
      </c>
    </row>
    <row r="51" spans="2:6">
      <c r="B51" s="470" t="s">
        <v>206</v>
      </c>
      <c r="C51" s="470"/>
      <c r="D51" s="470"/>
      <c r="E51" s="470"/>
      <c r="F51" s="470"/>
    </row>
    <row r="52" spans="2:6">
      <c r="B52" s="44" t="s">
        <v>204</v>
      </c>
      <c r="C52" s="292">
        <f>Normalized_FCF!C12</f>
        <v>-3909.5366103910142</v>
      </c>
      <c r="D52" s="1" t="str">
        <f>Reporting_currency</f>
        <v>CNY</v>
      </c>
    </row>
    <row r="54" spans="2:6">
      <c r="B54" s="470" t="s">
        <v>265</v>
      </c>
      <c r="C54" s="471"/>
      <c r="D54" s="471"/>
      <c r="E54" s="471"/>
      <c r="F54" s="471"/>
    </row>
    <row r="55" spans="2:6">
      <c r="B55" s="44" t="s">
        <v>207</v>
      </c>
      <c r="C55" s="292">
        <f>Normalized_FCF!C17</f>
        <v>0</v>
      </c>
      <c r="D55" s="1" t="str">
        <f>Reporting_currency</f>
        <v>CNY</v>
      </c>
    </row>
    <row r="57" spans="2:6" ht="24.5" customHeight="1">
      <c r="B57" s="469" t="s">
        <v>270</v>
      </c>
      <c r="C57" s="469"/>
      <c r="D57" s="469"/>
      <c r="E57" s="469"/>
      <c r="F57" s="469"/>
    </row>
    <row r="58" spans="2:6" ht="24.5" customHeight="1">
      <c r="B58" s="469" t="s">
        <v>282</v>
      </c>
      <c r="C58" s="469"/>
      <c r="D58" s="469"/>
      <c r="E58" s="469"/>
      <c r="F58" s="469"/>
    </row>
    <row r="60" spans="2:6">
      <c r="B60" s="44" t="s">
        <v>227</v>
      </c>
      <c r="C60" s="292">
        <f>Normalized_FCF!G19</f>
        <v>10034.937846524263</v>
      </c>
      <c r="D60" s="1" t="str">
        <f>Reporting_currency</f>
        <v>CNY</v>
      </c>
    </row>
    <row r="61" spans="2:6">
      <c r="B61" s="44" t="s">
        <v>213</v>
      </c>
      <c r="C61" s="292">
        <f>Normalized_FCF!C19</f>
        <v>5447.0034934736159</v>
      </c>
      <c r="D61" s="1" t="str">
        <f>Reporting_currency</f>
        <v>CNY</v>
      </c>
    </row>
    <row r="62" spans="2:6">
      <c r="B62" s="206" t="s">
        <v>302</v>
      </c>
      <c r="C62" s="89">
        <f>Normalized_FCF!C124</f>
        <v>9.9254662674467087E-2</v>
      </c>
      <c r="F62" s="263"/>
    </row>
    <row r="63" spans="2:6">
      <c r="B63" s="206" t="s">
        <v>332</v>
      </c>
      <c r="C63" s="89">
        <f>Normalized_FCF!C92</f>
        <v>4.4844139320779221E-2</v>
      </c>
      <c r="E63" s="44" t="s">
        <v>322</v>
      </c>
      <c r="F63" s="264">
        <f>Normalized_FCF!C90</f>
        <v>0.548904206082375</v>
      </c>
    </row>
    <row r="65" spans="1:6">
      <c r="B65" s="192" t="s">
        <v>325</v>
      </c>
      <c r="C65" s="270" t="s">
        <v>327</v>
      </c>
      <c r="D65" s="270" t="s">
        <v>328</v>
      </c>
    </row>
    <row r="66" spans="1:6">
      <c r="B66" s="44" t="s">
        <v>326</v>
      </c>
      <c r="C66" s="89">
        <f>Normalized_FCF!C119</f>
        <v>0.17171944526687813</v>
      </c>
      <c r="D66" s="89">
        <f>Normalized_FCF!G119</f>
        <v>0.18348857827693879</v>
      </c>
    </row>
    <row r="67" spans="1:6">
      <c r="B67" s="232" t="str">
        <f>Normalized_FCF!B116</f>
        <v>Pre-tax Profit/Sales</v>
      </c>
      <c r="C67" s="269">
        <f>Normalized_FCF!C116</f>
        <v>8.3605885405536914E-2</v>
      </c>
      <c r="D67" s="269">
        <f>Normalized_FCF!G116</f>
        <v>8.9335980702737627E-2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481</v>
      </c>
      <c r="B71" s="34"/>
      <c r="C71" s="34"/>
      <c r="D71" s="34"/>
      <c r="E71" s="34"/>
      <c r="F71" s="34"/>
    </row>
    <row r="72" spans="1:6">
      <c r="A72" s="191"/>
    </row>
    <row r="73" spans="1:6">
      <c r="A73" s="191"/>
      <c r="B73" s="469" t="s">
        <v>482</v>
      </c>
      <c r="C73" s="469"/>
      <c r="D73" s="469"/>
      <c r="E73" s="469"/>
      <c r="F73" s="469"/>
    </row>
    <row r="74" spans="1:6">
      <c r="A74" s="191"/>
      <c r="B74" s="1" t="s">
        <v>469</v>
      </c>
    </row>
    <row r="75" spans="1:6">
      <c r="A75" s="191"/>
    </row>
    <row r="76" spans="1:6">
      <c r="A76" s="191"/>
      <c r="B76" s="192" t="s">
        <v>195</v>
      </c>
    </row>
    <row r="77" spans="1:6">
      <c r="A77" s="191"/>
      <c r="B77" s="469" t="s">
        <v>271</v>
      </c>
      <c r="C77" s="469"/>
      <c r="D77" s="469"/>
      <c r="E77" s="469"/>
      <c r="F77" s="469"/>
    </row>
    <row r="78" spans="1:6">
      <c r="A78" s="191"/>
      <c r="B78" s="1" t="s">
        <v>215</v>
      </c>
      <c r="C78" s="292">
        <f>DCF!F4</f>
        <v>-20425</v>
      </c>
      <c r="D78" s="1" t="str">
        <f>Reporting_currency</f>
        <v>CNY</v>
      </c>
    </row>
    <row r="79" spans="1:6">
      <c r="A79" s="191"/>
      <c r="B79" s="44" t="s">
        <v>234</v>
      </c>
      <c r="C79" s="203">
        <f>C78*scaling_factor*Exchange_Rate/Common_Shares</f>
        <v>-2.5792210448838704</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470</v>
      </c>
    </row>
    <row r="84" spans="1:6">
      <c r="A84" s="191"/>
      <c r="B84" s="1" t="s">
        <v>224</v>
      </c>
      <c r="C84" s="292">
        <f>DCF!F5</f>
        <v>28377.259739323912</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3.5834137339436967</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2.1972311471715713E-2</v>
      </c>
      <c r="D90" s="1" t="str">
        <f>Market_currency</f>
        <v>HKD</v>
      </c>
    </row>
    <row r="91" spans="1:6">
      <c r="A91" s="191"/>
    </row>
    <row r="92" spans="1:6">
      <c r="A92" s="191"/>
      <c r="B92" s="44" t="s">
        <v>473</v>
      </c>
      <c r="C92" s="219">
        <f>DCF!F8</f>
        <v>1.0261650005315419</v>
      </c>
      <c r="D92" s="44" t="str">
        <f>Market_currency</f>
        <v>HKD</v>
      </c>
    </row>
    <row r="94" spans="1:6" ht="13.9">
      <c r="A94" s="202" t="s">
        <v>474</v>
      </c>
      <c r="B94" s="34"/>
      <c r="C94" s="34"/>
      <c r="D94" s="34"/>
      <c r="E94" s="34"/>
      <c r="F94" s="34"/>
    </row>
    <row r="95" spans="1:6">
      <c r="A95" s="191"/>
    </row>
    <row r="96" spans="1:6" ht="11.75" customHeight="1">
      <c r="B96" s="469" t="s">
        <v>489</v>
      </c>
      <c r="C96" s="469"/>
      <c r="D96" s="469"/>
      <c r="E96" s="469"/>
      <c r="F96" s="469"/>
    </row>
    <row r="97" spans="2:6">
      <c r="B97" s="473" t="s">
        <v>488</v>
      </c>
      <c r="C97" s="473"/>
      <c r="D97" s="473"/>
      <c r="E97" s="473"/>
      <c r="F97" s="473"/>
    </row>
    <row r="98" spans="2:6">
      <c r="B98" s="473" t="s">
        <v>487</v>
      </c>
      <c r="C98" s="473"/>
      <c r="D98" s="473"/>
      <c r="E98" s="473"/>
      <c r="F98" s="473"/>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9" t="s">
        <v>283</v>
      </c>
      <c r="C107" s="469"/>
      <c r="D107" s="469"/>
      <c r="E107" s="469"/>
      <c r="F107" s="469"/>
    </row>
    <row r="108" spans="2:6">
      <c r="B108" s="469" t="s">
        <v>284</v>
      </c>
      <c r="C108" s="469"/>
      <c r="D108" s="469"/>
      <c r="E108" s="469"/>
      <c r="F108" s="469"/>
    </row>
    <row r="110" spans="2:6">
      <c r="B110" s="192" t="s">
        <v>491</v>
      </c>
    </row>
    <row r="111" spans="2:6">
      <c r="B111" s="49" t="s">
        <v>472</v>
      </c>
      <c r="C111" s="219">
        <f>BS!D47</f>
        <v>-2.8855327456708855</v>
      </c>
      <c r="D111" s="1" t="str">
        <f>Market_currency</f>
        <v>HKD</v>
      </c>
    </row>
    <row r="112" spans="2:6">
      <c r="B112" s="44" t="s">
        <v>323</v>
      </c>
      <c r="C112" s="219">
        <f>DCF!C11</f>
        <v>10.513541722380603</v>
      </c>
      <c r="D112" s="1" t="str">
        <f>Market_currency</f>
        <v>HKD</v>
      </c>
    </row>
    <row r="114" spans="2:6" ht="24.5" customHeight="1">
      <c r="B114" s="469" t="s">
        <v>495</v>
      </c>
      <c r="C114" s="469"/>
      <c r="D114" s="469"/>
      <c r="E114" s="469"/>
      <c r="F114" s="46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12.4 HKD</v>
      </c>
      <c r="F118" s="211">
        <f>DCF!F82</f>
        <v>0.1</v>
      </c>
    </row>
    <row r="119" spans="2:6">
      <c r="B119" s="198" t="str">
        <f>DCF!B83</f>
        <v>Optimistic</v>
      </c>
      <c r="C119" s="199">
        <f>DCF!C83</f>
        <v>0.02</v>
      </c>
      <c r="D119" s="200">
        <f>DCF!D83</f>
        <v>5</v>
      </c>
      <c r="E119" s="210" t="str">
        <f>ROUND(DCF!E83,2)&amp;" "&amp;Market_currency</f>
        <v>11.42 HKD</v>
      </c>
      <c r="F119" s="201">
        <f>DCF!F83</f>
        <v>8.0000000000000029E-2</v>
      </c>
    </row>
    <row r="120" spans="2:6">
      <c r="B120" s="198" t="str">
        <f>DCF!B84</f>
        <v>Base</v>
      </c>
      <c r="C120" s="199">
        <f>DCF!C84</f>
        <v>0.01</v>
      </c>
      <c r="D120" s="200">
        <f>DCF!D84</f>
        <v>5</v>
      </c>
      <c r="E120" s="210" t="str">
        <f>ROUND(DCF!E84,2)&amp;" "&amp;Market_currency</f>
        <v>10.96 HKD</v>
      </c>
      <c r="F120" s="201">
        <f>DCF!F84</f>
        <v>0.48</v>
      </c>
    </row>
    <row r="121" spans="2:6">
      <c r="B121" s="198" t="str">
        <f>DCF!B85</f>
        <v>Pessimistic</v>
      </c>
      <c r="C121" s="199">
        <f>DCF!C85</f>
        <v>0</v>
      </c>
      <c r="D121" s="200">
        <f>DCF!D85</f>
        <v>5</v>
      </c>
      <c r="E121" s="210" t="str">
        <f>ROUND(DCF!E85,2)&amp;" "&amp;Market_currency</f>
        <v>10.51 HKD</v>
      </c>
      <c r="F121" s="201">
        <f>DCF!F85</f>
        <v>0.24</v>
      </c>
    </row>
    <row r="122" spans="2:6">
      <c r="B122" s="198" t="str">
        <f>DCF!B86</f>
        <v>Devil's advocate</v>
      </c>
      <c r="C122" s="199">
        <f>DCF!C86</f>
        <v>-0.1</v>
      </c>
      <c r="D122" s="200">
        <f>DCF!D86</f>
        <v>5</v>
      </c>
      <c r="E122" s="210" t="str">
        <f>ROUND(DCF!E86,2)&amp;" "&amp;Market_currency</f>
        <v>6.87 HKD</v>
      </c>
      <c r="F122" s="201">
        <f>DCF!F86</f>
        <v>0.1</v>
      </c>
    </row>
    <row r="124" spans="2:6">
      <c r="B124" s="470" t="s">
        <v>358</v>
      </c>
      <c r="C124" s="470"/>
      <c r="D124" s="470"/>
      <c r="E124" s="470"/>
      <c r="F124" s="470"/>
    </row>
    <row r="125" spans="2:6">
      <c r="B125" s="193" t="s">
        <v>218</v>
      </c>
      <c r="C125" s="197">
        <f>Scenarios!C36</f>
        <v>10.625390641427337</v>
      </c>
      <c r="D125" s="194" t="str">
        <f>Market_currency</f>
        <v>HKD</v>
      </c>
    </row>
    <row r="127" spans="2:6" ht="24.5" customHeight="1">
      <c r="B127" s="472" t="s">
        <v>359</v>
      </c>
      <c r="C127" s="472"/>
      <c r="D127" s="472"/>
      <c r="E127" s="472"/>
      <c r="F127" s="472"/>
    </row>
    <row r="129" spans="1:6" ht="13.9">
      <c r="A129" s="202" t="s">
        <v>478</v>
      </c>
      <c r="B129" s="34"/>
      <c r="C129" s="34"/>
      <c r="D129" s="34"/>
      <c r="E129" s="34"/>
      <c r="F129" s="34"/>
    </row>
    <row r="131" spans="1:6">
      <c r="B131" s="474" t="s">
        <v>285</v>
      </c>
      <c r="C131" s="474"/>
      <c r="D131" s="474"/>
      <c r="E131" s="474"/>
      <c r="F131" s="474"/>
    </row>
    <row r="132" spans="1:6">
      <c r="B132" s="469" t="s">
        <v>360</v>
      </c>
      <c r="C132" s="469"/>
      <c r="D132" s="469"/>
      <c r="E132" s="469"/>
      <c r="F132" s="469"/>
    </row>
    <row r="134" spans="1:6">
      <c r="B134" s="192" t="s">
        <v>195</v>
      </c>
    </row>
    <row r="135" spans="1:6">
      <c r="B135" s="1" t="s">
        <v>221</v>
      </c>
      <c r="C135" s="204">
        <f>E21</f>
        <v>2</v>
      </c>
    </row>
    <row r="136" spans="1:6">
      <c r="B136" s="194" t="s">
        <v>220</v>
      </c>
      <c r="C136" s="195">
        <f>Scenarios!C58</f>
        <v>0.310769885493</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0.40071837086888901</v>
      </c>
      <c r="D140" s="340">
        <f>Scenarios!D62</f>
        <v>5.8301183217708292</v>
      </c>
      <c r="E140" s="341">
        <f>Scenarios!E62</f>
        <v>6.2308366926397181</v>
      </c>
      <c r="F140" s="342">
        <f>E22</f>
        <v>0.35</v>
      </c>
    </row>
    <row r="141" spans="1:6">
      <c r="B141" s="343" t="s">
        <v>313</v>
      </c>
      <c r="C141" s="340">
        <f>Scenarios!C63</f>
        <v>0.44750863510992001</v>
      </c>
      <c r="D141" s="340">
        <f>Scenarios!D63</f>
        <v>6.800250010513496</v>
      </c>
      <c r="E141" s="341">
        <f>Scenarios!E63</f>
        <v>7.2477586456234162</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0.5270168519248799</v>
      </c>
      <c r="D144" s="340">
        <f>Scenarios!D66</f>
        <v>8.5099610388880738</v>
      </c>
      <c r="E144" s="341">
        <f>Scenarios!E66</f>
        <v>9.0369778908129543</v>
      </c>
      <c r="F144" s="342">
        <f>E24</f>
        <v>0.1174</v>
      </c>
    </row>
    <row r="145" spans="1:6">
      <c r="B145" s="343" t="s">
        <v>314</v>
      </c>
      <c r="C145" s="340">
        <f>Scenarios!C67</f>
        <v>0.55993661211077306</v>
      </c>
      <c r="D145" s="340">
        <f>Scenarios!D67</f>
        <v>9.2374117866582672</v>
      </c>
      <c r="E145" s="341">
        <f>Scenarios!E67</f>
        <v>9.7973483987690404</v>
      </c>
      <c r="F145" s="342">
        <f>Scenarios!F67</f>
        <v>7.2499999999999995E-2</v>
      </c>
    </row>
    <row r="147" spans="1:6" ht="13.9">
      <c r="A147" s="202" t="s">
        <v>479</v>
      </c>
      <c r="B147" s="34"/>
      <c r="C147" s="34"/>
      <c r="D147" s="34"/>
      <c r="E147" s="34"/>
      <c r="F147" s="34"/>
    </row>
    <row r="149" spans="1:6">
      <c r="B149" s="468" t="s">
        <v>361</v>
      </c>
      <c r="C149" s="469"/>
      <c r="D149" s="469"/>
      <c r="E149" s="469"/>
      <c r="F149" s="469"/>
    </row>
    <row r="151" spans="1:6">
      <c r="B151" s="192" t="s">
        <v>289</v>
      </c>
    </row>
    <row r="152" spans="1:6">
      <c r="B152" s="471" t="s">
        <v>293</v>
      </c>
      <c r="C152" s="471"/>
      <c r="D152" s="471"/>
      <c r="E152" s="471"/>
      <c r="F152" s="471"/>
    </row>
    <row r="153" spans="1:6">
      <c r="B153" s="196" t="s">
        <v>290</v>
      </c>
    </row>
    <row r="154" spans="1:6">
      <c r="B154" s="196" t="s">
        <v>291</v>
      </c>
    </row>
    <row r="155" spans="1:6">
      <c r="B155" s="196" t="s">
        <v>292</v>
      </c>
    </row>
    <row r="157" spans="1:6">
      <c r="B157" s="1" t="s">
        <v>296</v>
      </c>
    </row>
    <row r="158" spans="1:6" ht="34.25" customHeight="1">
      <c r="B158" s="470" t="s">
        <v>442</v>
      </c>
      <c r="C158" s="470"/>
      <c r="D158" s="470"/>
      <c r="E158" s="470"/>
      <c r="F158" s="470"/>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0.34529987276999996</v>
      </c>
      <c r="D25" s="37">
        <f>(0.2838)*Exchange_Rate</f>
        <v>0.31031065196999996</v>
      </c>
      <c r="E25" s="37">
        <f>0.2539*Exchange_Rate</f>
        <v>0.27761759878499997</v>
      </c>
      <c r="F25" s="37">
        <f>0.2078*Exchange_Rate</f>
        <v>0.22721125256999999</v>
      </c>
      <c r="G25" s="37"/>
      <c r="H25" s="37"/>
      <c r="I25" s="37"/>
      <c r="J25" s="37"/>
      <c r="K25" s="37"/>
      <c r="L25" s="37"/>
      <c r="M25" s="37"/>
    </row>
    <row r="27" spans="2:13">
      <c r="B27" s="16" t="s">
        <v>26</v>
      </c>
      <c r="C27" s="94" t="s">
        <v>559</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0.34529987276999996</v>
      </c>
      <c r="D65" s="70">
        <f t="shared" ref="D65:M65" si="33">IF(D$4="","",D25)</f>
        <v>0.31031065196999996</v>
      </c>
      <c r="E65" s="70">
        <f t="shared" si="33"/>
        <v>0.27761759878499997</v>
      </c>
      <c r="F65" s="70">
        <f t="shared" si="33"/>
        <v>0.22721125256999999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8.4590873613062758</v>
      </c>
      <c r="D47" s="134">
        <f>D46*H1/Common_Shares*Exchange_Rate</f>
        <v>-2.8855327456708855</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28377.259739323912</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-14497.740260676088</v>
      </c>
      <c r="D73" s="292">
        <f>(Normalized_FCF!C26+Normalized_FCF!C35-Normalized_FCF!C89)/12</f>
        <v>-14497.740260676088</v>
      </c>
      <c r="F73" s="1" t="s">
        <v>278</v>
      </c>
    </row>
    <row r="74" spans="2:6" ht="15" customHeight="1">
      <c r="B74" s="230" t="s">
        <v>259</v>
      </c>
      <c r="C74" s="231">
        <f>-$C$66/C73</f>
        <v>2.9573574384067882</v>
      </c>
      <c r="D74" s="231">
        <f>-$C$66/D73</f>
        <v>2.9573574384067882</v>
      </c>
      <c r="F74" s="226" t="s">
        <v>257</v>
      </c>
    </row>
    <row r="75" spans="2:6" ht="15" customHeight="1">
      <c r="B75" s="77" t="s">
        <v>258</v>
      </c>
      <c r="C75" s="267"/>
      <c r="D75" s="268">
        <f>MAX(-D73*D76,G5)</f>
        <v>14497.740260676088</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22332.963588749997</v>
      </c>
      <c r="D86" s="203">
        <f>C86*scaling_factor/Common_Shares</f>
        <v>2.5792210448838699</v>
      </c>
      <c r="E86" s="217" t="str">
        <f>Market_currency</f>
        <v>HKD</v>
      </c>
    </row>
    <row r="87" spans="2:8" ht="15" customHeight="1">
      <c r="B87" s="215" t="s">
        <v>240</v>
      </c>
      <c r="C87" s="73">
        <f>DCF!F5*Exchange_Rate</f>
        <v>31028.068959942335</v>
      </c>
      <c r="D87" s="203">
        <f>C87*scaling_factor/Common_Shares</f>
        <v>3.5834137339436962</v>
      </c>
      <c r="E87" s="217" t="str">
        <f>Market_currency</f>
        <v>HKD</v>
      </c>
    </row>
    <row r="88" spans="2:8" ht="15" customHeight="1">
      <c r="B88" s="216" t="s">
        <v>159</v>
      </c>
      <c r="C88" s="73">
        <f>DCF!F6*Exchange_Rate</f>
        <v>190.25388809999998</v>
      </c>
      <c r="D88" s="203">
        <f>C88*scaling_factor/Common_Shares</f>
        <v>2.1972311471715713E-2</v>
      </c>
      <c r="E88" s="217" t="str">
        <f>Market_currency</f>
        <v>HKD</v>
      </c>
    </row>
    <row r="89" spans="2:8" ht="15" customHeight="1">
      <c r="B89" s="77" t="s">
        <v>244</v>
      </c>
      <c r="C89" s="162">
        <f>SUM(C86:C88)</f>
        <v>53551.286436792332</v>
      </c>
      <c r="D89" s="219">
        <f>SUM(D86:D88)</f>
        <v>6.1846070902992825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1000000</v>
      </c>
      <c r="D3" s="9"/>
      <c r="E3" s="241"/>
      <c r="F3" s="9"/>
      <c r="G3" s="16" t="s">
        <v>413</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418</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-716.01355843594342</v>
      </c>
      <c r="E10" s="241"/>
      <c r="G10" s="273">
        <f>G48</f>
        <v>-479.06215347573891</v>
      </c>
      <c r="H10" s="273">
        <f t="shared" ref="H10:Q10" si="6">H48</f>
        <v>-665.81844835479421</v>
      </c>
      <c r="I10" s="273">
        <f t="shared" si="6"/>
        <v>-608.53798521467616</v>
      </c>
      <c r="J10" s="273">
        <f t="shared" si="6"/>
        <v>-604.12409101113349</v>
      </c>
      <c r="K10" s="273">
        <f t="shared" si="6"/>
        <v>-596.41389420354267</v>
      </c>
      <c r="L10" s="273">
        <f t="shared" si="6"/>
        <v>-895.34971821748695</v>
      </c>
      <c r="M10" s="273">
        <f t="shared" si="6"/>
        <v>-1030.2487842122578</v>
      </c>
      <c r="N10" s="273">
        <f t="shared" si="6"/>
        <v>-1073.6525202331743</v>
      </c>
      <c r="O10" s="273">
        <f t="shared" si="6"/>
        <v>-566.98923962738297</v>
      </c>
      <c r="P10" s="273">
        <f t="shared" si="6"/>
        <v>-500.91856422968817</v>
      </c>
      <c r="Q10" s="273" t="str">
        <f t="shared" si="6"/>
        <v/>
      </c>
    </row>
    <row r="11" spans="1:17" ht="15.75" customHeight="1">
      <c r="A11" s="10"/>
      <c r="B11" s="67" t="s">
        <v>137</v>
      </c>
      <c r="C11" s="274">
        <f>SUM(C8:C10)</f>
        <v>15638.146441564057</v>
      </c>
      <c r="E11" s="241"/>
      <c r="G11" s="274">
        <f t="shared" ref="G11:Q11" si="7">IF(G$4="","",SUM(G8:G10))</f>
        <v>16709.937846524263</v>
      </c>
      <c r="H11" s="274">
        <f t="shared" si="7"/>
        <v>17016.181551645204</v>
      </c>
      <c r="I11" s="274">
        <f t="shared" si="7"/>
        <v>16731.462014785324</v>
      </c>
      <c r="J11" s="274">
        <f t="shared" si="7"/>
        <v>14520.875908988866</v>
      </c>
      <c r="K11" s="274">
        <f t="shared" si="7"/>
        <v>11496.586105796458</v>
      </c>
      <c r="L11" s="274">
        <f t="shared" si="7"/>
        <v>20325.650281782513</v>
      </c>
      <c r="M11" s="274">
        <f t="shared" si="7"/>
        <v>19125.751215787743</v>
      </c>
      <c r="N11" s="274">
        <f t="shared" si="7"/>
        <v>16885.347479766824</v>
      </c>
      <c r="O11" s="274">
        <f t="shared" si="7"/>
        <v>17654.010760372617</v>
      </c>
      <c r="P11" s="274">
        <f t="shared" si="7"/>
        <v>11794.081435770311</v>
      </c>
      <c r="Q11" s="274" t="str">
        <f t="shared" si="7"/>
        <v/>
      </c>
    </row>
    <row r="12" spans="1:17" ht="15.75" customHeight="1">
      <c r="A12" s="10"/>
      <c r="B12" s="2" t="s">
        <v>60</v>
      </c>
      <c r="C12" s="273">
        <f>-C11*C41</f>
        <v>-3909.5366103910142</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5447.0034934736159</v>
      </c>
      <c r="D14" s="58"/>
      <c r="E14" s="249"/>
      <c r="F14" s="58"/>
      <c r="G14" s="274">
        <f t="shared" ref="G14:Q14" si="8">IF(G$4="","",SUM(G11:G13))</f>
        <v>10034.937846524263</v>
      </c>
      <c r="H14" s="274">
        <f t="shared" si="8"/>
        <v>10105.181551645204</v>
      </c>
      <c r="I14" s="274">
        <f t="shared" si="8"/>
        <v>10567.462014785324</v>
      </c>
      <c r="J14" s="274">
        <f t="shared" si="8"/>
        <v>8501.8759089888663</v>
      </c>
      <c r="K14" s="274">
        <f t="shared" si="8"/>
        <v>5514.5861057964576</v>
      </c>
      <c r="L14" s="274">
        <f t="shared" si="8"/>
        <v>12231.650281782513</v>
      </c>
      <c r="M14" s="274">
        <f t="shared" si="8"/>
        <v>11774.751215787743</v>
      </c>
      <c r="N14" s="274">
        <f t="shared" si="8"/>
        <v>10165.347479766824</v>
      </c>
      <c r="O14" s="274">
        <f t="shared" si="8"/>
        <v>11198.010760372617</v>
      </c>
      <c r="P14" s="274">
        <f t="shared" si="8"/>
        <v>7004.0814357703111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5447.0034934736159</v>
      </c>
      <c r="D19" s="26"/>
      <c r="E19" s="238"/>
      <c r="F19" s="26"/>
      <c r="G19" s="278">
        <f t="shared" ref="G19:Q19" si="9">IF(G$4="","",G14+G17)</f>
        <v>10034.937846524263</v>
      </c>
      <c r="H19" s="278">
        <f t="shared" si="9"/>
        <v>10105.181551645204</v>
      </c>
      <c r="I19" s="278">
        <f t="shared" si="9"/>
        <v>10567.462014785324</v>
      </c>
      <c r="J19" s="278">
        <f t="shared" si="9"/>
        <v>8501.8759089888663</v>
      </c>
      <c r="K19" s="278">
        <f t="shared" si="9"/>
        <v>5514.5861057964576</v>
      </c>
      <c r="L19" s="278">
        <f t="shared" si="9"/>
        <v>12231.650281782513</v>
      </c>
      <c r="M19" s="278">
        <f t="shared" si="9"/>
        <v>11774.751215787743</v>
      </c>
      <c r="N19" s="278">
        <f t="shared" si="9"/>
        <v>10165.347479766824</v>
      </c>
      <c r="O19" s="278">
        <f t="shared" si="9"/>
        <v>11198.010760372617</v>
      </c>
      <c r="P19" s="278">
        <f t="shared" si="9"/>
        <v>7004.0814357703111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0.18719399370181602</v>
      </c>
      <c r="H41" s="6">
        <f t="shared" si="16"/>
        <v>0.19616621918783339</v>
      </c>
      <c r="I41" s="6">
        <f t="shared" si="16"/>
        <v>0.1905990042700352</v>
      </c>
      <c r="J41" s="6">
        <f t="shared" si="16"/>
        <v>0.18580146383110785</v>
      </c>
      <c r="K41" s="6">
        <f t="shared" si="16"/>
        <v>0.20119016016709601</v>
      </c>
      <c r="L41" s="6">
        <f t="shared" si="16"/>
        <v>0.20043639162932206</v>
      </c>
      <c r="M41" s="6">
        <f t="shared" si="16"/>
        <v>0.19722101147516369</v>
      </c>
      <c r="N41" s="6">
        <f t="shared" si="16"/>
        <v>0.20911621772848235</v>
      </c>
      <c r="O41" s="6">
        <f t="shared" si="16"/>
        <v>0.20964074681021005</v>
      </c>
      <c r="P41" s="6">
        <f t="shared" si="16"/>
        <v>0.22104307267993084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86.986441564056534</v>
      </c>
      <c r="E46" s="241"/>
      <c r="G46" s="281">
        <f t="shared" ref="G46:Q46" si="17">IFERROR(IF(G$4="","",($C$46/$C$47)*G47),0)</f>
        <v>323.93784652426109</v>
      </c>
      <c r="H46" s="281">
        <f t="shared" si="17"/>
        <v>294.18155164520579</v>
      </c>
      <c r="I46" s="281">
        <f t="shared" si="17"/>
        <v>290.4620147853239</v>
      </c>
      <c r="J46" s="281">
        <f t="shared" si="17"/>
        <v>178.87590898886651</v>
      </c>
      <c r="K46" s="281">
        <f t="shared" si="17"/>
        <v>111.58610579645737</v>
      </c>
      <c r="L46" s="281">
        <f t="shared" si="17"/>
        <v>92.65028178251309</v>
      </c>
      <c r="M46" s="281">
        <f t="shared" si="17"/>
        <v>99.751215787742197</v>
      </c>
      <c r="N46" s="281">
        <f t="shared" si="17"/>
        <v>71.347479766825771</v>
      </c>
      <c r="O46" s="281">
        <f t="shared" si="17"/>
        <v>118.01076037261704</v>
      </c>
      <c r="P46" s="281">
        <f t="shared" si="17"/>
        <v>76.081435770311842</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-716.01355843594342</v>
      </c>
      <c r="E48" s="241"/>
      <c r="G48" s="274">
        <f>IF(G$4="","",(G45+G46))</f>
        <v>-479.06215347573891</v>
      </c>
      <c r="H48" s="274">
        <f t="shared" ref="H48:Q48" si="18">IF(H$4="","",(H45+H46))</f>
        <v>-665.81844835479421</v>
      </c>
      <c r="I48" s="274">
        <f t="shared" si="18"/>
        <v>-608.53798521467616</v>
      </c>
      <c r="J48" s="274">
        <f t="shared" si="18"/>
        <v>-604.12409101113349</v>
      </c>
      <c r="K48" s="274">
        <f t="shared" si="18"/>
        <v>-596.41389420354267</v>
      </c>
      <c r="L48" s="274">
        <f t="shared" si="18"/>
        <v>-895.34971821748695</v>
      </c>
      <c r="M48" s="274">
        <f t="shared" si="18"/>
        <v>-1030.2487842122578</v>
      </c>
      <c r="N48" s="274">
        <f t="shared" si="18"/>
        <v>-1073.6525202331743</v>
      </c>
      <c r="O48" s="274">
        <f t="shared" si="18"/>
        <v>-566.98923962738297</v>
      </c>
      <c r="P48" s="274">
        <f t="shared" si="18"/>
        <v>-500.91856422968817</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3.8280078613600046E-3</v>
      </c>
      <c r="D76" s="26"/>
      <c r="E76" s="238"/>
      <c r="F76" s="26"/>
      <c r="G76" s="6">
        <f t="shared" ref="G76:Q76" si="28">IF(G$4="","",ABS(G10/G$4))</f>
        <v>2.5611996700049128E-3</v>
      </c>
      <c r="H76" s="6">
        <f t="shared" si="28"/>
        <v>3.7541777933105215E-3</v>
      </c>
      <c r="I76" s="6">
        <f t="shared" si="28"/>
        <v>3.539163827843229E-3</v>
      </c>
      <c r="J76" s="6">
        <f t="shared" si="28"/>
        <v>4.3604270825866563E-3</v>
      </c>
      <c r="K76" s="6">
        <f t="shared" si="28"/>
        <v>5.4591161106401099E-3</v>
      </c>
      <c r="L76" s="6">
        <f t="shared" si="28"/>
        <v>7.9015622057265009E-3</v>
      </c>
      <c r="M76" s="6">
        <f t="shared" si="28"/>
        <v>9.7681689979355057E-3</v>
      </c>
      <c r="N76" s="6">
        <f t="shared" si="28"/>
        <v>1.2103493791098395E-2</v>
      </c>
      <c r="O76" s="6">
        <f t="shared" si="28"/>
        <v>6.9244673997628662E-3</v>
      </c>
      <c r="P76" s="6">
        <f t="shared" si="28"/>
        <v>1.2029455686215225E-2</v>
      </c>
      <c r="Q76" s="6" t="str">
        <f t="shared" si="28"/>
        <v/>
      </c>
    </row>
    <row r="77" spans="1:17" ht="15.75" customHeight="1">
      <c r="A77" s="10"/>
      <c r="B77" s="67" t="s">
        <v>137</v>
      </c>
      <c r="C77" s="75">
        <f>C11/C4</f>
        <v>8.3605885405536914E-2</v>
      </c>
      <c r="D77" s="26"/>
      <c r="E77" s="238"/>
      <c r="F77" s="26"/>
      <c r="G77" s="62">
        <f t="shared" ref="G77:Q77" si="29">IF(G$4="","",G11/G$4)</f>
        <v>8.9335980702737627E-2</v>
      </c>
      <c r="H77" s="62">
        <f t="shared" si="29"/>
        <v>9.5944729476894822E-2</v>
      </c>
      <c r="I77" s="62">
        <f t="shared" si="29"/>
        <v>9.7307623498262941E-2</v>
      </c>
      <c r="J77" s="62">
        <f t="shared" si="29"/>
        <v>0.10480830266255398</v>
      </c>
      <c r="K77" s="62">
        <f t="shared" si="29"/>
        <v>0.10523094622288544</v>
      </c>
      <c r="L77" s="62">
        <f t="shared" si="29"/>
        <v>0.1793761552671142</v>
      </c>
      <c r="M77" s="62">
        <f t="shared" si="29"/>
        <v>0.18133830677716642</v>
      </c>
      <c r="N77" s="62">
        <f t="shared" si="29"/>
        <v>0.19035180799232096</v>
      </c>
      <c r="O77" s="62">
        <f t="shared" si="29"/>
        <v>0.2156030722304367</v>
      </c>
      <c r="P77" s="62">
        <f t="shared" si="29"/>
        <v>0.2832324256326772</v>
      </c>
      <c r="Q77" s="62" t="str">
        <f t="shared" si="29"/>
        <v/>
      </c>
    </row>
    <row r="78" spans="1:17" ht="15.75" customHeight="1">
      <c r="A78" s="10"/>
      <c r="B78" s="2" t="s">
        <v>60</v>
      </c>
      <c r="C78" s="74">
        <f>ABS(C12/C$4)</f>
        <v>2.0901471351384229E-2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2.912119742455661E-2</v>
      </c>
      <c r="D80" s="26"/>
      <c r="E80" s="238"/>
      <c r="F80" s="26"/>
      <c r="G80" s="62">
        <f t="shared" ref="G80:Q80" si="32">IF(G$4="","",ABS(G14/G$4))</f>
        <v>5.3649572011827372E-2</v>
      </c>
      <c r="H80" s="62">
        <f t="shared" si="32"/>
        <v>5.6977466263209202E-2</v>
      </c>
      <c r="I80" s="62">
        <f t="shared" si="32"/>
        <v>6.1458742467229585E-2</v>
      </c>
      <c r="J80" s="62">
        <f t="shared" si="32"/>
        <v>6.1364561549429916E-2</v>
      </c>
      <c r="K80" s="62">
        <f t="shared" si="32"/>
        <v>5.0476298668171986E-2</v>
      </c>
      <c r="L80" s="62">
        <f t="shared" si="32"/>
        <v>0.10794569274295547</v>
      </c>
      <c r="M80" s="62">
        <f t="shared" si="32"/>
        <v>0.11164076245176584</v>
      </c>
      <c r="N80" s="62">
        <f t="shared" si="32"/>
        <v>0.11459594029453277</v>
      </c>
      <c r="O80" s="62">
        <f t="shared" si="32"/>
        <v>0.13675790479437017</v>
      </c>
      <c r="P80" s="62">
        <f t="shared" si="32"/>
        <v>0.16820156662352756</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560</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2.912119742455661E-2</v>
      </c>
      <c r="D85" s="72"/>
      <c r="E85" s="238"/>
      <c r="F85" s="72"/>
      <c r="G85" s="62">
        <f t="shared" ref="G85:Q85" si="35">IF(G$4="","",ABS(G19/G$4))</f>
        <v>5.3649572011827372E-2</v>
      </c>
      <c r="H85" s="62">
        <f t="shared" si="35"/>
        <v>5.6977466263209202E-2</v>
      </c>
      <c r="I85" s="62">
        <f t="shared" si="35"/>
        <v>6.1458742467229585E-2</v>
      </c>
      <c r="J85" s="62">
        <f t="shared" si="35"/>
        <v>6.1364561549429916E-2</v>
      </c>
      <c r="K85" s="62">
        <f t="shared" si="35"/>
        <v>5.0476298668171986E-2</v>
      </c>
      <c r="L85" s="62">
        <f t="shared" si="35"/>
        <v>0.10794569274295547</v>
      </c>
      <c r="M85" s="62">
        <f t="shared" si="35"/>
        <v>0.11164076245176584</v>
      </c>
      <c r="N85" s="62">
        <f t="shared" si="35"/>
        <v>0.11459594029453277</v>
      </c>
      <c r="O85" s="62">
        <f t="shared" si="35"/>
        <v>0.13675790479437017</v>
      </c>
      <c r="P85" s="62">
        <f t="shared" si="35"/>
        <v>0.16820156662352756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0.34529987276999996</v>
      </c>
      <c r="E88" s="241"/>
      <c r="G88" s="109">
        <f>Data!C65</f>
        <v>0.34529987276999996</v>
      </c>
      <c r="H88" s="109">
        <f>Data!D65</f>
        <v>0.31031065196999996</v>
      </c>
      <c r="I88" s="109">
        <f>Data!E65</f>
        <v>0.27761759878499997</v>
      </c>
      <c r="J88" s="109">
        <f>Data!F65</f>
        <v>0.22721125256999999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2989.8831281130588</v>
      </c>
      <c r="E89" s="241"/>
      <c r="G89" s="71">
        <f t="shared" ref="G89:Q89" si="36">IF(G$4="","",G88*Common_Shares/scaling_factor)</f>
        <v>2989.8831281130588</v>
      </c>
      <c r="H89" s="71">
        <f t="shared" si="36"/>
        <v>2686.9184032884291</v>
      </c>
      <c r="I89" s="71">
        <f t="shared" si="36"/>
        <v>2403.8357385304166</v>
      </c>
      <c r="J89" s="71">
        <f t="shared" si="36"/>
        <v>1967.3771818299354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0.548904206082375</v>
      </c>
      <c r="E90" s="241"/>
      <c r="G90" s="152">
        <f t="shared" ref="G90:Q90" si="37">IF(G$4="","",G88/(G19*scaling_factor/Common_Shares))</f>
        <v>0.29794734893636082</v>
      </c>
      <c r="H90" s="152">
        <f t="shared" si="37"/>
        <v>0.26589511425957285</v>
      </c>
      <c r="I90" s="152">
        <f t="shared" si="37"/>
        <v>0.227475219231176</v>
      </c>
      <c r="J90" s="152">
        <f t="shared" si="37"/>
        <v>0.23140506905656741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4.4844139320779221E-2</v>
      </c>
      <c r="E92" s="241"/>
      <c r="G92" s="22">
        <f t="shared" ref="G92:Q92" si="38">IF(G$4="","",(G88*(1-dividend_tax_rate))/Market_Price)</f>
        <v>4.4844139320779221E-2</v>
      </c>
      <c r="H92" s="22">
        <f t="shared" si="38"/>
        <v>4.0300084671428565E-2</v>
      </c>
      <c r="I92" s="22">
        <f t="shared" si="38"/>
        <v>3.6054233608441559E-2</v>
      </c>
      <c r="J92" s="22">
        <f t="shared" si="38"/>
        <v>2.9507954879220782E-2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-6.4140957004405807E-2</v>
      </c>
      <c r="D96" s="26"/>
      <c r="E96" s="238"/>
      <c r="F96" s="26"/>
      <c r="G96" s="6">
        <f t="shared" ref="G96:Q96" si="40">IF(H5="","",G11/H11-1)</f>
        <v>-1.7997204848307025E-2</v>
      </c>
      <c r="H96" s="6">
        <f t="shared" si="40"/>
        <v>1.7017014807688469E-2</v>
      </c>
      <c r="I96" s="6">
        <f t="shared" si="40"/>
        <v>0.15223503868854338</v>
      </c>
      <c r="J96" s="6">
        <f t="shared" si="40"/>
        <v>0.26305981404928502</v>
      </c>
      <c r="K96" s="6">
        <f t="shared" si="40"/>
        <v>-0.43438040375511999</v>
      </c>
      <c r="L96" s="6">
        <f t="shared" si="40"/>
        <v>6.2737356167442471E-2</v>
      </c>
      <c r="M96" s="6">
        <f t="shared" si="40"/>
        <v>0.13268330655946059</v>
      </c>
      <c r="N96" s="6">
        <f t="shared" si="40"/>
        <v>-4.3540433448199023E-2</v>
      </c>
      <c r="O96" s="6">
        <f t="shared" si="40"/>
        <v>0.49685338841477766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1.2470430999564581</v>
      </c>
      <c r="H113" s="257">
        <f>IF(H$4="","",Data!D$22/H19)</f>
        <v>1.4258031809091309</v>
      </c>
      <c r="I113" s="257">
        <f>IF(I$4="","",Data!E$22/I19)</f>
        <v>1.4071496050040055</v>
      </c>
      <c r="J113" s="257">
        <f>IF(J$4="","",Data!F$22/J19)</f>
        <v>1.4114532049700508</v>
      </c>
      <c r="K113" s="257">
        <f>IF(K$4="","",Data!G$22/K19)</f>
        <v>3.0352232568109612</v>
      </c>
      <c r="L113" s="257">
        <f>IF(L$4="","",Data!H$22/L19)</f>
        <v>1.3150310570893742</v>
      </c>
      <c r="M113" s="257">
        <f>IF(M$4="","",Data!I$22/M19)</f>
        <v>1.4452959292406993</v>
      </c>
      <c r="N113" s="257">
        <f>IF(N$4="","",Data!J$22/N19)</f>
        <v>1.307087635365789</v>
      </c>
      <c r="O113" s="257">
        <f>IF(O$4="","",Data!K$22/O19)</f>
        <v>1.4064105078137956</v>
      </c>
      <c r="P113" s="257">
        <f>IF(P$4="","",Data!L$22/P19)</f>
        <v>1.9088870000452192</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8.3605885405536914E-2</v>
      </c>
      <c r="E116" s="241"/>
      <c r="G116" s="22">
        <f t="shared" ref="G116:Q116" si="44">IF(G4="","",G77)</f>
        <v>8.9335980702737627E-2</v>
      </c>
      <c r="H116" s="22">
        <f t="shared" si="44"/>
        <v>9.5944729476894822E-2</v>
      </c>
      <c r="I116" s="22">
        <f t="shared" si="44"/>
        <v>9.7307623498262941E-2</v>
      </c>
      <c r="J116" s="22">
        <f t="shared" si="44"/>
        <v>0.10480830266255398</v>
      </c>
      <c r="K116" s="22">
        <f t="shared" si="44"/>
        <v>0.10523094622288544</v>
      </c>
      <c r="L116" s="22">
        <f t="shared" si="44"/>
        <v>0.1793761552671142</v>
      </c>
      <c r="M116" s="22">
        <f t="shared" si="44"/>
        <v>0.18133830677716642</v>
      </c>
      <c r="N116" s="22">
        <f t="shared" si="44"/>
        <v>0.19035180799232096</v>
      </c>
      <c r="O116" s="22">
        <f t="shared" si="44"/>
        <v>0.2156030722304367</v>
      </c>
      <c r="P116" s="22">
        <f t="shared" si="44"/>
        <v>0.2832324256326772</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0.17171944526687813</v>
      </c>
      <c r="D119" s="100"/>
      <c r="E119" s="244"/>
      <c r="F119" s="100"/>
      <c r="G119" s="99">
        <f t="shared" ref="G119:Q119" si="47">IF(G$4="","",G11/G104)</f>
        <v>0.18348857827693879</v>
      </c>
      <c r="H119" s="99">
        <f t="shared" si="47"/>
        <v>0.19836309701974988</v>
      </c>
      <c r="I119" s="99">
        <f t="shared" si="47"/>
        <v>0.20732400702318807</v>
      </c>
      <c r="J119" s="99">
        <f t="shared" si="47"/>
        <v>0.19141424327373574</v>
      </c>
      <c r="K119" s="99">
        <f t="shared" si="47"/>
        <v>0.13601081436459897</v>
      </c>
      <c r="L119" s="99">
        <f t="shared" si="47"/>
        <v>0.25668561320682598</v>
      </c>
      <c r="M119" s="99">
        <f t="shared" si="47"/>
        <v>0.27285860723867583</v>
      </c>
      <c r="N119" s="99">
        <f t="shared" si="47"/>
        <v>0.25730053302501826</v>
      </c>
      <c r="O119" s="99">
        <f t="shared" si="47"/>
        <v>0.26626262401961626</v>
      </c>
      <c r="P119" s="99">
        <f t="shared" si="47"/>
        <v>0.16771061708336146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0.68783481233405674</v>
      </c>
      <c r="D123" s="26"/>
      <c r="E123" s="238"/>
      <c r="F123" s="26"/>
      <c r="G123" s="159">
        <f t="shared" ref="G123:Q123" si="48">IF(G$4="","",G14*$C$3/Common_Shares*Exchange_Rate)</f>
        <v>1.2671883905927543</v>
      </c>
      <c r="H123" s="159">
        <f t="shared" si="48"/>
        <v>1.276058600752781</v>
      </c>
      <c r="I123" s="159">
        <f t="shared" si="48"/>
        <v>1.3344342922665953</v>
      </c>
      <c r="J123" s="159">
        <f t="shared" si="48"/>
        <v>1.0735969285412614</v>
      </c>
      <c r="K123" s="159">
        <f t="shared" si="48"/>
        <v>0.69636898594342278</v>
      </c>
      <c r="L123" s="159">
        <f t="shared" si="48"/>
        <v>1.5445840793357735</v>
      </c>
      <c r="M123" s="159">
        <f t="shared" si="48"/>
        <v>1.486887938018687</v>
      </c>
      <c r="N123" s="159">
        <f t="shared" si="48"/>
        <v>1.2836562128945805</v>
      </c>
      <c r="O123" s="159">
        <f t="shared" si="48"/>
        <v>1.4140585074168461</v>
      </c>
      <c r="P123" s="159">
        <f t="shared" si="48"/>
        <v>0.88445895908050032</v>
      </c>
      <c r="Q123" s="159" t="str">
        <f t="shared" si="48"/>
        <v/>
      </c>
    </row>
    <row r="124" spans="1:17" ht="15.75" customHeight="1">
      <c r="A124" s="10"/>
      <c r="B124" s="26" t="s">
        <v>226</v>
      </c>
      <c r="C124" s="74">
        <f>C19*Exchange_Rate*$C$3/(Market_Price*Common_Shares)</f>
        <v>9.9254662674467087E-2</v>
      </c>
      <c r="D124" s="26"/>
      <c r="E124" s="238"/>
      <c r="F124" s="26"/>
      <c r="G124" s="74">
        <f t="shared" ref="G124" si="49">IF(G$4="","",G123/Market_Price)</f>
        <v>0.18285546761800209</v>
      </c>
      <c r="H124" s="74">
        <f t="shared" ref="H124" si="50">IF(H$4="","",H123/Market_Price)</f>
        <v>0.18413544022406653</v>
      </c>
      <c r="I124" s="74">
        <f t="shared" ref="I124" si="51">IF(I$4="","",I123/Market_Price)</f>
        <v>0.19255906093313063</v>
      </c>
      <c r="J124" s="74">
        <f t="shared" ref="J124" si="52">IF(J$4="","",J123/Market_Price)</f>
        <v>0.15492019170869573</v>
      </c>
      <c r="K124" s="74">
        <f t="shared" ref="K124" si="53">IF(K$4="","",K123/Market_Price)</f>
        <v>0.10048614515778106</v>
      </c>
      <c r="L124" s="74">
        <f t="shared" ref="L124" si="54">IF(L$4="","",L123/Market_Price)</f>
        <v>0.22288370553185766</v>
      </c>
      <c r="M124" s="74">
        <f t="shared" ref="M124" si="55">IF(M$4="","",M123/Market_Price)</f>
        <v>0.21455814401424056</v>
      </c>
      <c r="N124" s="74">
        <f t="shared" ref="N124" si="56">IF(N$4="","",N123/Market_Price)</f>
        <v>0.18523177675246474</v>
      </c>
      <c r="O124" s="74">
        <f t="shared" ref="O124" si="57">IF(O$4="","",O123/Market_Price)</f>
        <v>0.20404884666909756</v>
      </c>
      <c r="P124" s="74">
        <f t="shared" ref="P124" si="58">IF(P$4="","",P123/Market_Price)</f>
        <v>0.12762755542287163</v>
      </c>
      <c r="Q124" s="74" t="str">
        <f t="shared" ref="Q124" si="59">IF(Q$4="","",Q123/Market_Price)</f>
        <v/>
      </c>
    </row>
    <row r="125" spans="1:17" ht="15.75" customHeight="1">
      <c r="B125" s="2" t="s">
        <v>306</v>
      </c>
      <c r="C125" s="151"/>
      <c r="G125" s="22">
        <f>IF(G$4="","",(Data!C47*$C$3)/(Market_Price*Common_Shares))</f>
        <v>0.15843548774121805</v>
      </c>
      <c r="H125" s="22">
        <f>IF(H$4="","",(Data!D47*$C$3)/(Market_Price*Common_Shares))</f>
        <v>0.15423587241453382</v>
      </c>
      <c r="I125" s="22">
        <f>IF(I$4="","",(Data!E47*$C$3)/(Market_Price*Common_Shares))</f>
        <v>0.13670414493964569</v>
      </c>
      <c r="J125" s="22">
        <f>IF(J$4="","",(Data!F47*$C$3)/(Market_Price*Common_Shares))</f>
        <v>0.43890979705905753</v>
      </c>
      <c r="K125" s="22">
        <f>IF(K$4="","",(Data!G47*$C$3)/(Market_Price*Common_Shares))</f>
        <v>0.1621851442829004</v>
      </c>
      <c r="L125" s="22">
        <f>IF(L$4="","",(Data!H47*$C$3)/(Market_Price*Common_Shares))</f>
        <v>0.15950205671307438</v>
      </c>
      <c r="M125" s="22">
        <f>IF(M$4="","",(Data!I47*$C$3)/(Market_Price*Common_Shares))</f>
        <v>0.13687079634149826</v>
      </c>
      <c r="N125" s="22">
        <f>IF(N$4="","",(Data!J47*$C$3)/(Market_Price*Common_Shares))</f>
        <v>0.13247119933259097</v>
      </c>
      <c r="O125" s="22">
        <f>IF(O$4="","",(Data!K47*$C$3)/(Market_Price*Common_Shares))</f>
        <v>5.6894788592460131E-2</v>
      </c>
      <c r="P125" s="22">
        <f>IF(P$4="","",(Data!L47*$C$3)/(Market_Price*Common_Shares))</f>
        <v>3.8663125229791304E-2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428</v>
      </c>
      <c r="H3" s="106" t="s">
        <v>417</v>
      </c>
    </row>
    <row r="4" spans="2:15">
      <c r="B4" s="97" t="s">
        <v>394</v>
      </c>
      <c r="C4" s="282">
        <f>Normalized_FCF!C19</f>
        <v>5447.0034934736159</v>
      </c>
      <c r="D4" t="str">
        <f>Reporting_currency</f>
        <v>CNY</v>
      </c>
      <c r="E4" s="135" t="s">
        <v>435</v>
      </c>
      <c r="F4" s="282">
        <f>-BS!G31</f>
        <v>-20425</v>
      </c>
      <c r="G4" t="str">
        <f>Reporting_currency</f>
        <v>CNY</v>
      </c>
      <c r="H4" s="315" t="s">
        <v>395</v>
      </c>
      <c r="I4" s="312">
        <f>Normalized_FCF!C4</f>
        <v>187046</v>
      </c>
      <c r="J4" s="312"/>
    </row>
    <row r="5" spans="2:15">
      <c r="B5" s="187" t="s">
        <v>105</v>
      </c>
      <c r="C5" s="188">
        <f>Equity_Cost</f>
        <v>7.2499999999999995E-2</v>
      </c>
      <c r="E5" s="135" t="s">
        <v>436</v>
      </c>
      <c r="F5" s="282">
        <f>BS!D66</f>
        <v>28377.259739323912</v>
      </c>
      <c r="G5" t="str">
        <f>Reporting_currency</f>
        <v>CNY</v>
      </c>
      <c r="H5" s="315" t="s">
        <v>397</v>
      </c>
      <c r="I5" s="312">
        <f>Normalized_FCF!C7</f>
        <v>-5830</v>
      </c>
      <c r="J5" s="312"/>
    </row>
    <row r="6" spans="2:15" ht="13.25" customHeight="1">
      <c r="B6" s="136" t="s">
        <v>194</v>
      </c>
      <c r="C6" s="290">
        <f>(C4*(1+Terminal_Growth))/(Equity_Cost-Terminal_Growth)</f>
        <v>75131.082668601608</v>
      </c>
      <c r="D6" t="str">
        <f>Reporting_currency</f>
        <v>CNY</v>
      </c>
      <c r="E6" s="187" t="s">
        <v>437</v>
      </c>
      <c r="F6" s="291">
        <f>BS!H42</f>
        <v>174</v>
      </c>
      <c r="G6" t="str">
        <f>Reporting_currency</f>
        <v>CNY</v>
      </c>
      <c r="H6" s="315" t="s">
        <v>419</v>
      </c>
      <c r="I6" s="312">
        <f>I7+I8</f>
        <v>-424.8535584359434</v>
      </c>
      <c r="J6" s="312"/>
      <c r="N6" s="135"/>
    </row>
    <row r="7" spans="2:15" ht="12.75" customHeight="1">
      <c r="B7" s="325" t="s">
        <v>434</v>
      </c>
      <c r="C7" s="282">
        <f>F7</f>
        <v>8126.2597393239121</v>
      </c>
      <c r="E7" s="140" t="s">
        <v>428</v>
      </c>
      <c r="F7" s="290">
        <f>SUM(F4:F6)</f>
        <v>8126.2597393239121</v>
      </c>
      <c r="G7" t="str">
        <f>Reporting_currency</f>
        <v>CNY</v>
      </c>
      <c r="H7" s="319" t="s">
        <v>420</v>
      </c>
      <c r="I7" s="320">
        <f>Normalized_FCF!C9</f>
        <v>291.16000000000003</v>
      </c>
      <c r="J7" s="320"/>
      <c r="N7" s="311"/>
      <c r="O7" s="311"/>
    </row>
    <row r="8" spans="2:15" ht="13.15">
      <c r="B8" s="136" t="s">
        <v>430</v>
      </c>
      <c r="C8" s="290">
        <f>C6+C7</f>
        <v>83257.34240792552</v>
      </c>
      <c r="D8" t="str">
        <f>Reporting_currency</f>
        <v>CNY</v>
      </c>
      <c r="E8" s="140" t="s">
        <v>468</v>
      </c>
      <c r="F8" s="108">
        <f>FV_adjustments*scaling_factor/Common_Shares*Exchange_Rate</f>
        <v>1.0261650005315419</v>
      </c>
      <c r="G8" s="301" t="str">
        <f>Market_currency</f>
        <v>HKD</v>
      </c>
      <c r="H8" s="321" t="str">
        <f>Normalized_FCF!B10</f>
        <v>Net Interest Income</v>
      </c>
      <c r="I8" s="320">
        <f>Normalized_FCF!C10</f>
        <v>-716.01355843594342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3.3583216629596069E-2</v>
      </c>
      <c r="J9" s="313"/>
      <c r="N9" s="311"/>
      <c r="O9" s="311"/>
    </row>
    <row r="10" spans="2:15" ht="13.5" thickTop="1">
      <c r="B10" s="107" t="s">
        <v>431</v>
      </c>
      <c r="C10" s="290">
        <f>C8*Exchange_Rate</f>
        <v>91034.673022878429</v>
      </c>
      <c r="D10" t="str">
        <f>Market_currency</f>
        <v>HKD</v>
      </c>
      <c r="H10" s="315" t="s">
        <v>399</v>
      </c>
      <c r="I10" s="313">
        <f>Normalized_FCF!C41</f>
        <v>0.25</v>
      </c>
      <c r="N10" s="311"/>
      <c r="O10" s="311"/>
    </row>
    <row r="11" spans="2:15" ht="13.15">
      <c r="B11" s="136" t="s">
        <v>429</v>
      </c>
      <c r="C11" s="108">
        <f>(C10*scaling_factor)/Common_Shares</f>
        <v>10.513541722380603</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2.47161282761951E-3</v>
      </c>
      <c r="E16" s="315" t="s">
        <v>402</v>
      </c>
      <c r="F16" s="318">
        <f>Scenarios!C41</f>
        <v>2.47161282761951E-3</v>
      </c>
    </row>
    <row r="17" spans="1:21" ht="13.25" customHeight="1">
      <c r="B17" s="315" t="s">
        <v>396</v>
      </c>
      <c r="C17" s="313">
        <f>Normalized_FCF!C32</f>
        <v>0.88295392577226994</v>
      </c>
      <c r="E17" s="315" t="s">
        <v>403</v>
      </c>
      <c r="F17" s="318">
        <f>Scenarios!C40</f>
        <v>0.88295392577226994</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10.622463444122449</v>
      </c>
      <c r="J18" t="str">
        <f>Market_currency</f>
        <v>HKD</v>
      </c>
    </row>
    <row r="19" spans="1:21">
      <c r="L19" s="282"/>
    </row>
    <row r="20" spans="1:21" ht="13.15">
      <c r="A20" s="121" t="s">
        <v>401</v>
      </c>
      <c r="B20" s="121" t="s">
        <v>98</v>
      </c>
      <c r="C20" s="121" t="s">
        <v>395</v>
      </c>
      <c r="D20" s="121" t="s">
        <v>102</v>
      </c>
      <c r="E20" s="121" t="s">
        <v>396</v>
      </c>
      <c r="F20" s="121" t="s">
        <v>397</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15677.847958414102</v>
      </c>
      <c r="H21" s="306">
        <f t="shared" ref="H21:H50" si="2">IF(A21="",0%,IF(A21="I",$C$18,$F$18))</f>
        <v>0</v>
      </c>
      <c r="I21" s="284">
        <f>(G21*(1-$I$10)+C21*(H21-$I$9))</f>
        <v>5461.2539323088367</v>
      </c>
      <c r="J21" s="306">
        <f>I21/C4-1</f>
        <v>2.616197851221358E-3</v>
      </c>
      <c r="K21" s="119">
        <f t="shared" ref="K21:K50" si="3">IF($C$15&lt;B21,0,1/(1+Equity_Cost)^B21)</f>
        <v>0.93240093240093236</v>
      </c>
      <c r="L21" s="284">
        <f t="shared" ref="L21:L50" si="4">I21*K21</f>
        <v>5092.0782585630177</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15717.647602042476</v>
      </c>
      <c r="H22" s="306">
        <f t="shared" si="2"/>
        <v>0</v>
      </c>
      <c r="I22" s="284">
        <f>IF(A22="", 0,G22*(1-$I$10)+C22*(H22-$I$9))</f>
        <v>5475.5395927114869</v>
      </c>
      <c r="J22" s="306">
        <f>IF(A22="", 0,I22/I21-1)</f>
        <v>2.6158205752229158E-3</v>
      </c>
      <c r="K22" s="119">
        <f t="shared" si="3"/>
        <v>0.86937149874212816</v>
      </c>
      <c r="L22" s="284">
        <f t="shared" si="4"/>
        <v>4760.2780621374477</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15757.545614980578</v>
      </c>
      <c r="H23" s="306">
        <f t="shared" si="2"/>
        <v>0</v>
      </c>
      <c r="I23" s="284">
        <f t="shared" ref="I23:I50" si="9">IF(A23="", 0,G23*(1-$I$10)+C23*(H23-$I$9))</f>
        <v>5489.8605617356388</v>
      </c>
      <c r="J23" s="306">
        <f t="shared" ref="J23:J50" si="10">IF(A23="", 0,I23/I22-1)</f>
        <v>2.6154443377990333E-3</v>
      </c>
      <c r="K23" s="119">
        <f t="shared" si="3"/>
        <v>0.81060279602995633</v>
      </c>
      <c r="L23" s="284">
        <f t="shared" si="4"/>
        <v>4450.0963211574954</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15797.542240359251</v>
      </c>
      <c r="H24" s="306">
        <f t="shared" si="2"/>
        <v>0</v>
      </c>
      <c r="I24" s="284">
        <f t="shared" si="9"/>
        <v>5504.2169266505325</v>
      </c>
      <c r="J24" s="306">
        <f t="shared" si="10"/>
        <v>2.6150691358097777E-3</v>
      </c>
      <c r="K24" s="119">
        <f t="shared" si="3"/>
        <v>0.75580680282513402</v>
      </c>
      <c r="L24" s="284">
        <f t="shared" si="4"/>
        <v>4160.124597387724</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15837.637721910271</v>
      </c>
      <c r="H25" s="306">
        <f t="shared" si="2"/>
        <v>0</v>
      </c>
      <c r="I25" s="284">
        <f t="shared" si="9"/>
        <v>5518.6087749411081</v>
      </c>
      <c r="J25" s="306">
        <f t="shared" si="10"/>
        <v>2.6146949661254304E-3</v>
      </c>
      <c r="K25" s="119">
        <f t="shared" si="3"/>
        <v>0.70471496766912267</v>
      </c>
      <c r="L25" s="284">
        <f t="shared" si="4"/>
        <v>3889.0462044111596</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15837.637721910271</v>
      </c>
      <c r="H51" s="306">
        <f>F18</f>
        <v>0</v>
      </c>
      <c r="I51" s="284">
        <f>(G51*(1-$I$10)+C51*(H51-$I$9))/Equity_Cost</f>
        <v>76118.741723325627</v>
      </c>
      <c r="J51" s="422">
        <f>(G51*(1-$I$10)+C51*(H51-$I$9))/VLOOKUP(C15,B21:I50,8,FALSE)-1</f>
        <v>0</v>
      </c>
      <c r="K51" s="119">
        <f>1/(1+Equity_Cost)^C15</f>
        <v>0.70471496766912267</v>
      </c>
      <c r="L51" s="284">
        <f>I51*K51</f>
        <v>53642.016612567721</v>
      </c>
    </row>
    <row r="52" spans="1:21" ht="13.15">
      <c r="G52" s="111"/>
      <c r="H52" s="111"/>
      <c r="I52" s="111"/>
      <c r="J52" s="475" t="s">
        <v>424</v>
      </c>
      <c r="K52" s="475"/>
      <c r="L52" s="324">
        <f>SUM(L21:L51)</f>
        <v>75993.640056224569</v>
      </c>
    </row>
    <row r="53" spans="1:21">
      <c r="C53" s="111"/>
    </row>
    <row r="54" spans="1:21" ht="13.15">
      <c r="B54" s="115" t="s">
        <v>108</v>
      </c>
      <c r="C54" s="128"/>
      <c r="D54" s="128"/>
      <c r="E54" s="113"/>
      <c r="F54" s="113"/>
      <c r="G54" s="113"/>
      <c r="H54" s="113"/>
      <c r="I54" s="113"/>
      <c r="J54" s="113"/>
      <c r="K54" s="113"/>
      <c r="L54" s="113"/>
    </row>
    <row r="55" spans="1:21" ht="13.15">
      <c r="A55" s="125">
        <f>L52</f>
        <v>75993.640056224569</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46261.780887172594</v>
      </c>
      <c r="C56" s="118">
        <v>75131.082668601579</v>
      </c>
      <c r="D56" s="118">
        <v>78670.178904523811</v>
      </c>
      <c r="E56" s="118">
        <v>82342.305720057164</v>
      </c>
      <c r="F56" s="118">
        <v>90101.124393109843</v>
      </c>
      <c r="G56" s="302"/>
      <c r="H56" s="302"/>
      <c r="I56" s="302"/>
      <c r="J56" s="302"/>
      <c r="K56" s="302"/>
      <c r="L56" s="302"/>
    </row>
    <row r="57" spans="1:21" ht="13.15">
      <c r="A57" s="131">
        <v>6</v>
      </c>
      <c r="B57" s="118">
        <v>42952.483211709339</v>
      </c>
      <c r="C57" s="118">
        <v>75131.082668601579</v>
      </c>
      <c r="D57" s="118">
        <v>79259.199059934501</v>
      </c>
      <c r="E57" s="118">
        <v>83579.831177068583</v>
      </c>
      <c r="F57" s="118">
        <v>92828.531544294747</v>
      </c>
      <c r="G57" s="302"/>
      <c r="H57" s="302"/>
      <c r="I57" s="302"/>
      <c r="J57" s="302"/>
      <c r="K57" s="302"/>
      <c r="L57" s="302"/>
    </row>
    <row r="58" spans="1:21" ht="13.15">
      <c r="A58" s="131">
        <v>7</v>
      </c>
      <c r="B58" s="118">
        <v>40175.450197334576</v>
      </c>
      <c r="C58" s="118">
        <v>75131.082668601593</v>
      </c>
      <c r="D58" s="118">
        <v>79813.894031463409</v>
      </c>
      <c r="E58" s="118">
        <v>84756.778464855714</v>
      </c>
      <c r="F58" s="118">
        <v>95473.289993928614</v>
      </c>
      <c r="G58" s="302"/>
      <c r="H58" s="302"/>
      <c r="I58" s="302"/>
      <c r="J58" s="302"/>
      <c r="K58" s="302"/>
      <c r="L58" s="302"/>
    </row>
    <row r="59" spans="1:21" ht="13.15">
      <c r="A59" s="131">
        <v>8</v>
      </c>
      <c r="B59" s="118">
        <v>37845.072842614492</v>
      </c>
      <c r="C59" s="118">
        <v>75131.082668601579</v>
      </c>
      <c r="D59" s="118">
        <v>80336.264121201617</v>
      </c>
      <c r="E59" s="118">
        <v>85876.112948345486</v>
      </c>
      <c r="F59" s="118">
        <v>98037.904248118983</v>
      </c>
      <c r="G59" s="302"/>
      <c r="H59" s="302"/>
      <c r="I59" s="302"/>
      <c r="J59" s="302"/>
      <c r="K59" s="302"/>
      <c r="L59" s="302"/>
    </row>
    <row r="60" spans="1:21" ht="13.15">
      <c r="A60" s="131">
        <v>9</v>
      </c>
      <c r="B60" s="118">
        <v>35889.511426066179</v>
      </c>
      <c r="C60" s="118">
        <v>75131.082668601564</v>
      </c>
      <c r="D60" s="118">
        <v>80828.193063519167</v>
      </c>
      <c r="E60" s="118">
        <v>86940.654834741435</v>
      </c>
      <c r="F60" s="118">
        <v>100524.80291884911</v>
      </c>
      <c r="G60" s="302"/>
      <c r="H60" s="302"/>
      <c r="I60" s="302"/>
      <c r="J60" s="302"/>
      <c r="K60" s="302"/>
      <c r="L60" s="302"/>
    </row>
    <row r="61" spans="1:21" ht="13.15">
      <c r="A61" s="131">
        <v>10</v>
      </c>
      <c r="B61" s="118">
        <v>34248.480866724924</v>
      </c>
      <c r="C61" s="118">
        <v>75131.082668601579</v>
      </c>
      <c r="D61" s="118">
        <v>81291.454818055965</v>
      </c>
      <c r="E61" s="118">
        <v>87953.086279145908</v>
      </c>
      <c r="F61" s="118">
        <v>102936.3410237995</v>
      </c>
      <c r="G61" s="302"/>
      <c r="H61" s="302"/>
      <c r="I61" s="302"/>
      <c r="J61" s="302"/>
      <c r="K61" s="302"/>
      <c r="L61" s="302"/>
    </row>
    <row r="62" spans="1:21" ht="13.15">
      <c r="A62" s="131">
        <v>15</v>
      </c>
      <c r="B62" s="118">
        <v>29249.420672130065</v>
      </c>
      <c r="C62" s="284">
        <v>75131.082668601564</v>
      </c>
      <c r="D62" s="118">
        <v>83232.935624687147</v>
      </c>
      <c r="E62" s="118">
        <v>92318.622923570379</v>
      </c>
      <c r="F62" s="118">
        <v>113941.17247240013</v>
      </c>
      <c r="G62" s="302"/>
      <c r="H62" s="302"/>
      <c r="I62" s="302"/>
      <c r="J62" s="302"/>
      <c r="K62" s="302"/>
      <c r="L62" s="302"/>
      <c r="M62" s="282"/>
      <c r="N62" s="282"/>
      <c r="O62" s="282"/>
      <c r="P62" s="282"/>
      <c r="Q62" s="282"/>
      <c r="R62" s="282"/>
      <c r="S62" s="282"/>
      <c r="T62" s="282"/>
      <c r="U62" s="282"/>
    </row>
    <row r="63" spans="1:21" ht="13.15">
      <c r="A63" s="132">
        <v>20</v>
      </c>
      <c r="B63" s="118">
        <v>27169.176044371939</v>
      </c>
      <c r="C63" s="284">
        <v>75131.082668601564</v>
      </c>
      <c r="D63" s="118">
        <v>84670.917678792321</v>
      </c>
      <c r="E63" s="118">
        <v>95715.282264121808</v>
      </c>
      <c r="F63" s="118">
        <v>123376.64354365092</v>
      </c>
      <c r="G63" s="302"/>
      <c r="H63" s="302"/>
      <c r="I63" s="302"/>
      <c r="J63" s="302"/>
      <c r="K63" s="302"/>
      <c r="L63" s="302"/>
      <c r="M63" s="282"/>
      <c r="N63" s="282"/>
      <c r="O63" s="282"/>
      <c r="P63" s="282"/>
      <c r="Q63" s="282"/>
      <c r="R63" s="282"/>
      <c r="S63" s="282"/>
      <c r="T63" s="282"/>
      <c r="U63" s="282"/>
    </row>
    <row r="64" spans="1:21" ht="13.15">
      <c r="A64" s="132">
        <v>25</v>
      </c>
      <c r="B64" s="118">
        <v>26303.529794303682</v>
      </c>
      <c r="C64" s="284">
        <v>75131.08266860155</v>
      </c>
      <c r="D64" s="118">
        <v>85735.977081319434</v>
      </c>
      <c r="E64" s="118">
        <v>98358.094732662226</v>
      </c>
      <c r="F64" s="118">
        <v>131466.55521128775</v>
      </c>
      <c r="G64" s="302"/>
      <c r="H64" s="302"/>
      <c r="I64" s="302"/>
      <c r="J64" s="302"/>
      <c r="K64" s="302"/>
      <c r="L64" s="302"/>
      <c r="M64" s="282"/>
      <c r="N64" s="282"/>
      <c r="O64" s="282"/>
      <c r="P64" s="282"/>
      <c r="Q64" s="282"/>
      <c r="R64" s="282"/>
      <c r="S64" s="282"/>
      <c r="T64" s="282"/>
      <c r="U64" s="282"/>
    </row>
    <row r="65" spans="1:21" ht="13.15">
      <c r="A65" s="132">
        <v>30</v>
      </c>
      <c r="B65" s="118">
        <v>25943.310894921255</v>
      </c>
      <c r="C65" s="284">
        <v>75131.08266860155</v>
      </c>
      <c r="D65" s="118">
        <v>86524.82665539658</v>
      </c>
      <c r="E65" s="118">
        <v>100414.36739459445</v>
      </c>
      <c r="F65" s="118">
        <v>138402.79297789777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10.513541722380603</v>
      </c>
      <c r="C69" s="119">
        <f>C11</f>
        <v>10.513541722380603</v>
      </c>
      <c r="D69" s="119">
        <f>C11</f>
        <v>10.513541722380603</v>
      </c>
      <c r="E69" s="119">
        <f>C11</f>
        <v>10.513541722380603</v>
      </c>
      <c r="F69" s="119">
        <f>C11</f>
        <v>10.513541722380603</v>
      </c>
      <c r="G69" s="303"/>
      <c r="H69" s="303"/>
      <c r="I69" s="303"/>
      <c r="J69" s="303"/>
      <c r="K69" s="303"/>
      <c r="L69" s="303"/>
    </row>
    <row r="70" spans="1:21" ht="13.15">
      <c r="A70" s="131">
        <f>A56</f>
        <v>5</v>
      </c>
      <c r="B70" s="119">
        <f t="shared" ref="B70:F74" si="11">(B56+FV_adjustments)/Common_Shares*scaling_factor*Exchange_Rate</f>
        <v>6.8679940746075259</v>
      </c>
      <c r="C70" s="119">
        <f t="shared" si="11"/>
        <v>10.5135417223806</v>
      </c>
      <c r="D70" s="119">
        <f t="shared" si="11"/>
        <v>10.960450485737264</v>
      </c>
      <c r="E70" s="119">
        <f t="shared" si="11"/>
        <v>11.424158038349553</v>
      </c>
      <c r="F70" s="119">
        <f t="shared" si="11"/>
        <v>12.403923443733907</v>
      </c>
      <c r="G70" s="303"/>
      <c r="H70" s="303"/>
      <c r="I70" s="303"/>
      <c r="J70" s="303"/>
      <c r="K70" s="303"/>
      <c r="L70" s="303"/>
    </row>
    <row r="71" spans="1:21" ht="13.15">
      <c r="A71" s="131">
        <v>6</v>
      </c>
      <c r="B71" s="119">
        <f t="shared" si="11"/>
        <v>6.450103733929919</v>
      </c>
      <c r="C71" s="119">
        <f t="shared" si="11"/>
        <v>10.5135417223806</v>
      </c>
      <c r="D71" s="119">
        <f t="shared" si="11"/>
        <v>11.034830568023484</v>
      </c>
      <c r="E71" s="119">
        <f t="shared" si="11"/>
        <v>11.580429847519856</v>
      </c>
      <c r="F71" s="119">
        <f t="shared" si="11"/>
        <v>12.748334015205286</v>
      </c>
      <c r="G71" s="303"/>
      <c r="H71" s="303"/>
      <c r="I71" s="303"/>
      <c r="J71" s="303"/>
      <c r="K71" s="303"/>
      <c r="L71" s="303"/>
    </row>
    <row r="72" spans="1:21" ht="13.15">
      <c r="A72" s="131">
        <f t="shared" ref="A72" si="12">A58</f>
        <v>7</v>
      </c>
      <c r="B72" s="119">
        <f t="shared" si="11"/>
        <v>6.0994265249696902</v>
      </c>
      <c r="C72" s="119">
        <f t="shared" si="11"/>
        <v>10.513541722380602</v>
      </c>
      <c r="D72" s="119">
        <f t="shared" si="11"/>
        <v>11.104876146679965</v>
      </c>
      <c r="E72" s="119">
        <f t="shared" si="11"/>
        <v>11.729051987709797</v>
      </c>
      <c r="F72" s="119">
        <f t="shared" si="11"/>
        <v>13.082307902692682</v>
      </c>
      <c r="G72" s="303"/>
      <c r="H72" s="303"/>
      <c r="I72" s="303"/>
      <c r="J72" s="303"/>
      <c r="K72" s="303"/>
      <c r="L72" s="303"/>
    </row>
    <row r="73" spans="1:21" ht="13.15">
      <c r="A73" s="131">
        <v>8</v>
      </c>
      <c r="B73" s="119">
        <f t="shared" si="11"/>
        <v>5.8051519440240424</v>
      </c>
      <c r="C73" s="119">
        <f t="shared" si="11"/>
        <v>10.5135417223806</v>
      </c>
      <c r="D73" s="119">
        <f t="shared" si="11"/>
        <v>11.170839815158333</v>
      </c>
      <c r="E73" s="119">
        <f t="shared" si="11"/>
        <v>11.870398918240079</v>
      </c>
      <c r="F73" s="119">
        <f t="shared" si="11"/>
        <v>13.406161369347124</v>
      </c>
      <c r="G73" s="303"/>
      <c r="H73" s="303"/>
      <c r="I73" s="303"/>
      <c r="J73" s="303"/>
      <c r="K73" s="303"/>
      <c r="L73" s="303"/>
    </row>
    <row r="74" spans="1:21" ht="13.15">
      <c r="A74" s="131">
        <f t="shared" ref="A74" si="13">A60</f>
        <v>9</v>
      </c>
      <c r="B74" s="119">
        <f t="shared" si="11"/>
        <v>5.5582082397339905</v>
      </c>
      <c r="C74" s="119">
        <f t="shared" si="11"/>
        <v>10.513541722380598</v>
      </c>
      <c r="D74" s="119">
        <f t="shared" si="11"/>
        <v>11.232959447012083</v>
      </c>
      <c r="E74" s="119">
        <f t="shared" si="11"/>
        <v>12.004826768254905</v>
      </c>
      <c r="F74" s="119">
        <f t="shared" si="11"/>
        <v>13.7202010945878</v>
      </c>
      <c r="G74" s="303"/>
      <c r="H74" s="303"/>
      <c r="I74" s="303"/>
      <c r="J74" s="303"/>
      <c r="K74" s="303"/>
      <c r="L74" s="303"/>
    </row>
    <row r="75" spans="1:21" ht="13.15">
      <c r="A75" s="131">
        <f t="shared" ref="A75:A79" si="14">A61</f>
        <v>10</v>
      </c>
      <c r="B75" s="119">
        <f t="shared" ref="B75:F79" si="15">(B61+FV_adjustments)/Common_Shares*scaling_factor*Exchange_Rate</f>
        <v>5.3509827536164618</v>
      </c>
      <c r="C75" s="119">
        <f t="shared" si="15"/>
        <v>10.5135417223806</v>
      </c>
      <c r="D75" s="119">
        <f t="shared" si="15"/>
        <v>11.291459053699533</v>
      </c>
      <c r="E75" s="119">
        <f t="shared" si="15"/>
        <v>12.132674234003261</v>
      </c>
      <c r="F75" s="119">
        <f t="shared" si="15"/>
        <v>14.024724464518153</v>
      </c>
      <c r="G75" s="303"/>
      <c r="H75" s="303"/>
      <c r="I75" s="303"/>
      <c r="J75" s="303"/>
      <c r="K75" s="303"/>
      <c r="L75" s="303"/>
    </row>
    <row r="76" spans="1:21" ht="13.15">
      <c r="A76" s="131">
        <f t="shared" si="14"/>
        <v>15</v>
      </c>
      <c r="B76" s="119">
        <f t="shared" si="15"/>
        <v>4.7197131693550016</v>
      </c>
      <c r="C76" s="119">
        <f t="shared" si="15"/>
        <v>10.513541722380598</v>
      </c>
      <c r="D76" s="119">
        <f t="shared" si="15"/>
        <v>11.536624691628601</v>
      </c>
      <c r="E76" s="119">
        <f t="shared" si="15"/>
        <v>12.683943951776154</v>
      </c>
      <c r="F76" s="119">
        <f t="shared" si="15"/>
        <v>15.414388742003126</v>
      </c>
      <c r="G76" s="303"/>
      <c r="H76" s="303"/>
      <c r="I76" s="303"/>
      <c r="J76" s="303"/>
      <c r="K76" s="303"/>
      <c r="L76" s="303"/>
    </row>
    <row r="77" spans="1:21" ht="13.15">
      <c r="A77" s="132">
        <f t="shared" si="14"/>
        <v>20</v>
      </c>
      <c r="B77" s="119">
        <f t="shared" si="15"/>
        <v>4.4570247618925602</v>
      </c>
      <c r="C77" s="119">
        <f t="shared" si="15"/>
        <v>10.513541722380598</v>
      </c>
      <c r="D77" s="119">
        <f t="shared" si="15"/>
        <v>11.718209689235135</v>
      </c>
      <c r="E77" s="119">
        <f t="shared" si="15"/>
        <v>13.112866118407812</v>
      </c>
      <c r="F77" s="119">
        <f t="shared" si="15"/>
        <v>16.60587787568063</v>
      </c>
      <c r="G77" s="303"/>
      <c r="H77" s="303"/>
      <c r="I77" s="303"/>
      <c r="J77" s="303"/>
      <c r="K77" s="303"/>
      <c r="L77" s="303"/>
    </row>
    <row r="78" spans="1:21" ht="13.15">
      <c r="A78" s="132">
        <f t="shared" si="14"/>
        <v>25</v>
      </c>
      <c r="B78" s="119">
        <f t="shared" si="15"/>
        <v>4.3477129858533514</v>
      </c>
      <c r="C78" s="119">
        <f t="shared" si="15"/>
        <v>10.513541722380596</v>
      </c>
      <c r="D78" s="119">
        <f t="shared" si="15"/>
        <v>11.852702889971946</v>
      </c>
      <c r="E78" s="119">
        <f t="shared" si="15"/>
        <v>13.446594271971627</v>
      </c>
      <c r="F78" s="119">
        <f t="shared" si="15"/>
        <v>17.627452927059849</v>
      </c>
      <c r="G78" s="303"/>
      <c r="H78" s="303"/>
      <c r="I78" s="303"/>
      <c r="J78" s="303"/>
      <c r="K78" s="303"/>
      <c r="L78" s="303"/>
    </row>
    <row r="79" spans="1:21" ht="13.15">
      <c r="A79" s="132">
        <f t="shared" si="14"/>
        <v>30</v>
      </c>
      <c r="B79" s="119">
        <f t="shared" si="15"/>
        <v>4.3022253889842172</v>
      </c>
      <c r="C79" s="119">
        <f t="shared" si="15"/>
        <v>10.513541722380596</v>
      </c>
      <c r="D79" s="119">
        <f t="shared" si="15"/>
        <v>11.952316962075125</v>
      </c>
      <c r="E79" s="119">
        <f t="shared" si="15"/>
        <v>13.706255555872483</v>
      </c>
      <c r="F79" s="119">
        <f t="shared" si="15"/>
        <v>18.503344746886469</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12.403923443733907</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11.424158038349553</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10.960450485737264</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10.5135417223806</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6.8679940746075259</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4" sqref="D4:G1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76"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6"/>
      <c r="F4" s="476"/>
      <c r="G4" s="476"/>
    </row>
    <row r="5" spans="2:7">
      <c r="C5" s="453"/>
      <c r="D5" s="476"/>
      <c r="E5" s="476"/>
      <c r="F5" s="476"/>
      <c r="G5" s="476"/>
    </row>
    <row r="6" spans="2:7" ht="13.15">
      <c r="B6" s="145" t="s">
        <v>91</v>
      </c>
      <c r="C6" s="454" t="str">
        <f>DCF!C3&amp;" "&amp;Reporting_currency</f>
        <v>1000000 CNY</v>
      </c>
      <c r="D6" s="476"/>
      <c r="E6" s="476"/>
      <c r="F6" s="476"/>
      <c r="G6" s="476"/>
    </row>
    <row r="7" spans="2:7" ht="12.75" customHeight="1">
      <c r="B7" s="97" t="s">
        <v>232</v>
      </c>
      <c r="C7" s="455">
        <f>Normalized_FCF!G8</f>
        <v>16063</v>
      </c>
      <c r="D7" s="476"/>
      <c r="E7" s="476"/>
      <c r="F7" s="476"/>
      <c r="G7" s="476"/>
    </row>
    <row r="8" spans="2:7">
      <c r="B8" s="97" t="s">
        <v>63</v>
      </c>
      <c r="C8" s="455">
        <f>Normalized_FCF!G19</f>
        <v>10034.937846524263</v>
      </c>
      <c r="D8" s="476"/>
      <c r="E8" s="476"/>
      <c r="F8" s="476"/>
      <c r="G8" s="476"/>
    </row>
    <row r="9" spans="2:7">
      <c r="B9" s="97" t="s">
        <v>54</v>
      </c>
      <c r="C9" s="455">
        <f>Normalized_FCF!C19</f>
        <v>5447.0034934736159</v>
      </c>
      <c r="D9" s="476"/>
      <c r="E9" s="476"/>
      <c r="F9" s="476"/>
      <c r="G9" s="476"/>
    </row>
    <row r="10" spans="2:7">
      <c r="C10" s="456"/>
      <c r="D10" s="476"/>
      <c r="E10" s="476"/>
      <c r="F10" s="476"/>
      <c r="G10" s="476"/>
    </row>
    <row r="11" spans="2:7" ht="13.15">
      <c r="B11" s="145" t="s">
        <v>321</v>
      </c>
      <c r="C11" s="456"/>
      <c r="D11" s="476"/>
      <c r="E11" s="476"/>
      <c r="F11" s="476"/>
      <c r="G11" s="476"/>
    </row>
    <row r="12" spans="2:7">
      <c r="B12" s="114" t="s">
        <v>121</v>
      </c>
      <c r="C12" s="255">
        <f ca="1">(Normalized_FCF!G4/OFFSET(Normalized_FCF!G4, 0, $C$4))^(1/$C$4) - 1</f>
        <v>4.2991333470914217E-2</v>
      </c>
      <c r="D12" s="476"/>
      <c r="E12" s="476"/>
      <c r="F12" s="476"/>
      <c r="G12" s="476"/>
    </row>
    <row r="13" spans="2:7">
      <c r="B13" s="135" t="s">
        <v>127</v>
      </c>
      <c r="C13" s="255">
        <f ca="1">(Normalized_FCF!G8/OFFSET(Normalized_FCF!G8, 0, $C$4))^(1/$C$4) - 1</f>
        <v>-8.754987491685684E-3</v>
      </c>
      <c r="D13" s="476"/>
      <c r="E13" s="476"/>
      <c r="F13" s="476"/>
      <c r="G13" s="476"/>
    </row>
    <row r="14" spans="2:7">
      <c r="B14" s="97" t="s">
        <v>63</v>
      </c>
      <c r="C14" s="255">
        <f ca="1">(Normalized_FCF!G19/OFFSET(Normalized_FCF!G19, 0, $C$4))^(1/$C$4) - 1</f>
        <v>-2.5522096679314155E-2</v>
      </c>
      <c r="D14" s="476"/>
      <c r="E14" s="476"/>
      <c r="F14" s="476"/>
      <c r="G14" s="476"/>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0.02</v>
      </c>
      <c r="D22" s="332">
        <f>C18</f>
        <v>5</v>
      </c>
      <c r="E22" s="333">
        <f>DCF!E83</f>
        <v>11.424158038349553</v>
      </c>
      <c r="F22" s="335">
        <f>1-F23-F24</f>
        <v>0.10000000000000003</v>
      </c>
      <c r="G22" s="335">
        <f>F22*(1-F$29-F$30)</f>
        <v>8.0000000000000029E-2</v>
      </c>
    </row>
    <row r="23" spans="2:7">
      <c r="B23" s="309" t="s">
        <v>441</v>
      </c>
      <c r="C23" s="331">
        <v>0.01</v>
      </c>
      <c r="D23" s="332">
        <f>C18</f>
        <v>5</v>
      </c>
      <c r="E23" s="333">
        <f>DCF!E84</f>
        <v>10.960450485737264</v>
      </c>
      <c r="F23" s="334">
        <v>0.6</v>
      </c>
      <c r="G23" s="335">
        <f t="shared" ref="G23:G24" si="0">F23*(1-F$29-F$30)</f>
        <v>0.48</v>
      </c>
    </row>
    <row r="24" spans="2:7">
      <c r="B24" s="309" t="s">
        <v>450</v>
      </c>
      <c r="C24" s="331">
        <v>0</v>
      </c>
      <c r="D24" s="332">
        <f>C18</f>
        <v>5</v>
      </c>
      <c r="E24" s="333">
        <f>DCF!E85</f>
        <v>10.5135417223806</v>
      </c>
      <c r="F24" s="334">
        <v>0.3</v>
      </c>
      <c r="G24" s="335">
        <f t="shared" si="0"/>
        <v>0.24</v>
      </c>
    </row>
    <row r="25" spans="2:7">
      <c r="B25" s="141" t="s">
        <v>455</v>
      </c>
      <c r="C25" s="449">
        <f>E23*F23+E24*F24+E22*F22</f>
        <v>10.872748611991494</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0.04</v>
      </c>
      <c r="D29" s="332">
        <f>C18</f>
        <v>5</v>
      </c>
      <c r="E29" s="333">
        <f>DCF!E82</f>
        <v>12.403923443733907</v>
      </c>
      <c r="F29" s="334">
        <v>0.1</v>
      </c>
      <c r="G29" s="335">
        <f>F29</f>
        <v>0.1</v>
      </c>
    </row>
    <row r="30" spans="2:7">
      <c r="B30" s="322" t="s">
        <v>451</v>
      </c>
      <c r="C30" s="331">
        <v>-0.1</v>
      </c>
      <c r="D30" s="332">
        <f>C18</f>
        <v>5</v>
      </c>
      <c r="E30" s="333">
        <f>DCF!E86</f>
        <v>6.8679940746075259</v>
      </c>
      <c r="F30" s="334">
        <v>0.1</v>
      </c>
      <c r="G30" s="335">
        <f>F30</f>
        <v>0.1</v>
      </c>
    </row>
    <row r="31" spans="2:7">
      <c r="E31" s="336"/>
      <c r="F31" s="336"/>
    </row>
    <row r="32" spans="2:7" ht="13.15">
      <c r="B32" s="145" t="s">
        <v>460</v>
      </c>
    </row>
    <row r="33" spans="2:7">
      <c r="B33" s="97" t="s">
        <v>462</v>
      </c>
      <c r="C33" s="155">
        <f>Normalized_FCF!C88*(1-dividend_tax_rate)</f>
        <v>0.310769885493</v>
      </c>
      <c r="D33" t="str">
        <f>Market_currency</f>
        <v>HKD</v>
      </c>
      <c r="E33" s="97" t="s">
        <v>459</v>
      </c>
      <c r="F33" s="222">
        <f>Holding_Period</f>
        <v>2</v>
      </c>
    </row>
    <row r="34" spans="2:7">
      <c r="B34" s="97" t="s">
        <v>233</v>
      </c>
      <c r="C34" s="146">
        <f>Market_Price</f>
        <v>6.93</v>
      </c>
      <c r="D34" t="str">
        <f>Market_currency</f>
        <v>HKD</v>
      </c>
      <c r="E34" s="97" t="s">
        <v>458</v>
      </c>
      <c r="F34" s="337">
        <f>RATE(Holding_Period,$C$33,-C34,$C$36)</f>
        <v>0.27884249743605316</v>
      </c>
    </row>
    <row r="35" spans="2:7">
      <c r="B35" s="97" t="s">
        <v>438</v>
      </c>
      <c r="C35" s="327">
        <f>DCF!C11</f>
        <v>10.513541722380603</v>
      </c>
      <c r="D35" s="97" t="str">
        <f>Market_currency</f>
        <v>HKD</v>
      </c>
      <c r="E35" s="97" t="s">
        <v>458</v>
      </c>
      <c r="F35" s="337">
        <f>RATE(Holding_Period,$C$33,-C35,$C$36)</f>
        <v>3.4787348828292042E-2</v>
      </c>
    </row>
    <row r="36" spans="2:7">
      <c r="B36" s="97" t="s">
        <v>439</v>
      </c>
      <c r="C36" s="328">
        <f>E22*G22+E23*G23+E24*G24+E30*G30+E29*G29</f>
        <v>10.625390641427337</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0.88295392577226994</v>
      </c>
      <c r="E40" s="97" t="s">
        <v>404</v>
      </c>
    </row>
    <row r="41" spans="2:7">
      <c r="B41" s="97" t="s">
        <v>402</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10.622463444122449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0.58205926718459811</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0.310769885493</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0.40071837086888901</v>
      </c>
      <c r="D62" s="119">
        <f>C36/(1+F62)^Holding_Period</f>
        <v>5.8301183217708292</v>
      </c>
      <c r="E62" s="339">
        <f>C62+D62</f>
        <v>6.2308366926397181</v>
      </c>
      <c r="F62" s="308">
        <f>Thesis!E22</f>
        <v>0.35</v>
      </c>
      <c r="G62" s="448">
        <f>(1-E62/C36)</f>
        <v>0.41358987138352277</v>
      </c>
    </row>
    <row r="63" spans="2:7" ht="13.15">
      <c r="B63" s="309" t="s">
        <v>313</v>
      </c>
      <c r="C63" s="119">
        <f>PV(F63, Holding_Period, -C58, 0)</f>
        <v>0.44750863510992001</v>
      </c>
      <c r="D63" s="119">
        <f>C36/(1+F63)^Holding_Period</f>
        <v>6.800250010513496</v>
      </c>
      <c r="E63" s="339">
        <f>C63+D63</f>
        <v>7.2477586456234162</v>
      </c>
      <c r="F63" s="308">
        <f>Thesis!E23</f>
        <v>0.25</v>
      </c>
      <c r="G63" s="448">
        <f>(1-E63/C36)</f>
        <v>0.31788308870592208</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0.5270168519248799</v>
      </c>
      <c r="D66" s="119">
        <f>C36/(1+F66)^Holding_Period</f>
        <v>8.5099610388880738</v>
      </c>
      <c r="E66" s="339">
        <f>C66+D66</f>
        <v>9.0369778908129543</v>
      </c>
      <c r="F66" s="308">
        <f>Thesis!E24</f>
        <v>0.1174</v>
      </c>
      <c r="G66" s="448">
        <f>(1-E66/C47)</f>
        <v>0.14925780273565115</v>
      </c>
    </row>
    <row r="67" spans="2:7" ht="13.15">
      <c r="B67" s="309" t="s">
        <v>314</v>
      </c>
      <c r="C67" s="119">
        <f>PV(F67, Holding_Period, -C58, 0)</f>
        <v>0.55993661211077306</v>
      </c>
      <c r="D67" s="119">
        <f>C36/(1+F67)^Holding_Period</f>
        <v>9.2374117866582672</v>
      </c>
      <c r="E67" s="339">
        <f>C67+D67</f>
        <v>9.7973483987690404</v>
      </c>
      <c r="F67" s="308">
        <f>Thesis!E25</f>
        <v>7.2499999999999995E-2</v>
      </c>
      <c r="G67" s="448">
        <f>(1-E67/C36)</f>
        <v>7.7930522331088992E-2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12" sqref="B12:F12"/>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545</v>
      </c>
      <c r="F3" s="444">
        <f>Thesis!F3</f>
        <v>45932</v>
      </c>
    </row>
    <row r="4" spans="1:10">
      <c r="B4" s="430" t="s">
        <v>537</v>
      </c>
      <c r="C4" s="431" t="str">
        <f>Thesis!C4</f>
        <v>昆仑能源</v>
      </c>
      <c r="D4" s="356"/>
      <c r="E4" s="442" t="s">
        <v>543</v>
      </c>
      <c r="F4" s="445" t="str">
        <f>Thesis!F4</f>
        <v>INT</v>
      </c>
    </row>
    <row r="5" spans="1:10">
      <c r="B5" s="350" t="s">
        <v>365</v>
      </c>
      <c r="C5" s="362" t="str">
        <f>Thesis!C5</f>
        <v>0135.HK</v>
      </c>
      <c r="E5" s="446" t="s">
        <v>544</v>
      </c>
      <c r="F5" s="447" t="str">
        <f>Thesis!F5</f>
        <v>N</v>
      </c>
    </row>
    <row r="6" spans="1:10">
      <c r="B6" s="357" t="s">
        <v>337</v>
      </c>
      <c r="C6" s="359" t="str">
        <f>Thesis!C6</f>
        <v>ENG_02</v>
      </c>
      <c r="E6" s="361"/>
    </row>
    <row r="7" spans="1:10">
      <c r="B7" s="350" t="s">
        <v>367</v>
      </c>
      <c r="C7" s="359" t="str">
        <f>Market_currency</f>
        <v>HKD</v>
      </c>
      <c r="D7" s="361"/>
      <c r="E7" s="361"/>
    </row>
    <row r="8" spans="1:10">
      <c r="B8" s="358" t="s">
        <v>366</v>
      </c>
      <c r="C8" s="363">
        <f>Market_Price</f>
        <v>6.93</v>
      </c>
    </row>
    <row r="9" spans="1:10">
      <c r="B9" s="358" t="s">
        <v>362</v>
      </c>
      <c r="C9" s="360">
        <f>Common_Shares</f>
        <v>8658801708</v>
      </c>
    </row>
    <row r="10" spans="1:10">
      <c r="B10" s="358" t="s">
        <v>368</v>
      </c>
      <c r="C10" s="364">
        <f>投资主题!C8*Common_Shares/1000000</f>
        <v>60005.495836439994</v>
      </c>
      <c r="D10" s="350" t="s">
        <v>532</v>
      </c>
      <c r="E10" s="367">
        <f>Scenarios!F34</f>
        <v>0.27884249743605316</v>
      </c>
    </row>
    <row r="11" spans="1:10">
      <c r="D11" s="356"/>
      <c r="E11" s="356"/>
    </row>
    <row r="12" spans="1:10" ht="24.5" customHeight="1">
      <c r="B12" s="481" t="s">
        <v>501</v>
      </c>
      <c r="C12" s="481"/>
      <c r="D12" s="481"/>
      <c r="E12" s="481"/>
      <c r="F12" s="481"/>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538</v>
      </c>
      <c r="C17" s="432">
        <f>Terminal_Growth</f>
        <v>0</v>
      </c>
      <c r="D17" s="358" t="s">
        <v>340</v>
      </c>
      <c r="E17" s="351" t="str">
        <f>Reporting_currency</f>
        <v>CNY</v>
      </c>
    </row>
    <row r="18" spans="1:6">
      <c r="B18" s="350" t="str">
        <f>"预期股权价值 ("&amp;C7&amp;") :"</f>
        <v>预期股权价值 (HKD) :</v>
      </c>
      <c r="C18" s="366">
        <f>C125</f>
        <v>10.625390641427337</v>
      </c>
      <c r="D18" s="357" t="s">
        <v>363</v>
      </c>
      <c r="E18" s="434">
        <f>Thesis!E18</f>
        <v>6</v>
      </c>
    </row>
    <row r="19" spans="1:6">
      <c r="B19" s="357" t="s">
        <v>336</v>
      </c>
      <c r="C19" s="359" t="str">
        <f>IF(Scenarios!C50="Y",Scenarios!B50,"")&amp;IF(Scenarios!C51="Y",Scenarios!B51,"")&amp;IF(Scenarios!C52="Y",Scenarios!B52,"")&amp;" "&amp;IF(Scenarios!C53="Y",Scenarios!B53,"")</f>
        <v>Low Growth Asset Play</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6.2308366926397181</v>
      </c>
      <c r="D22" s="372" t="s">
        <v>444</v>
      </c>
      <c r="E22" s="373">
        <f>Thesis!E22</f>
        <v>0.35</v>
      </c>
    </row>
    <row r="23" spans="1:6">
      <c r="B23" s="350" t="s">
        <v>342</v>
      </c>
      <c r="C23" s="374">
        <f>E141</f>
        <v>7.2477586456234162</v>
      </c>
      <c r="D23" s="372" t="s">
        <v>445</v>
      </c>
      <c r="E23" s="375">
        <f>Thesis!E23</f>
        <v>0.25</v>
      </c>
    </row>
    <row r="24" spans="1:6">
      <c r="B24" s="350" t="s">
        <v>344</v>
      </c>
      <c r="C24" s="374">
        <f>E144</f>
        <v>9.0369778908129543</v>
      </c>
      <c r="D24" s="372" t="s">
        <v>447</v>
      </c>
      <c r="E24" s="375">
        <f>Thesis!E24</f>
        <v>0.1174</v>
      </c>
    </row>
    <row r="25" spans="1:6">
      <c r="B25" s="350" t="s">
        <v>343</v>
      </c>
      <c r="C25" s="374">
        <f>E145</f>
        <v>9.7973483987690404</v>
      </c>
      <c r="D25" s="372" t="s">
        <v>446</v>
      </c>
      <c r="E25" s="375">
        <f>Thesis!E25</f>
        <v>7.2499999999999995E-2</v>
      </c>
    </row>
    <row r="27" spans="1:6" ht="13.9">
      <c r="A27" s="352" t="s">
        <v>346</v>
      </c>
      <c r="B27" s="352"/>
      <c r="C27" s="352"/>
      <c r="D27" s="352"/>
      <c r="E27" s="352"/>
      <c r="F27" s="352"/>
    </row>
    <row r="29" spans="1:6">
      <c r="B29" s="481" t="s">
        <v>502</v>
      </c>
      <c r="C29" s="481"/>
      <c r="D29" s="481"/>
      <c r="E29" s="481"/>
      <c r="F29" s="481"/>
    </row>
    <row r="30" spans="1:6" ht="24.5" customHeight="1">
      <c r="B30" s="484" t="s">
        <v>503</v>
      </c>
      <c r="C30" s="484"/>
      <c r="D30" s="484"/>
      <c r="E30" s="484"/>
      <c r="F30" s="484"/>
    </row>
    <row r="32" spans="1:6">
      <c r="B32" s="376" t="s">
        <v>372</v>
      </c>
      <c r="C32" s="377">
        <f>scaling_factor</f>
        <v>1000000</v>
      </c>
    </row>
    <row r="33" spans="2:6">
      <c r="B33" s="477" t="s">
        <v>504</v>
      </c>
      <c r="C33" s="477"/>
      <c r="D33" s="477"/>
      <c r="E33" s="477"/>
      <c r="F33" s="477"/>
    </row>
    <row r="34" spans="2:6">
      <c r="B34" s="379" t="s">
        <v>197</v>
      </c>
      <c r="C34" s="380">
        <f>Normalized_FCF!C8</f>
        <v>16063</v>
      </c>
      <c r="D34" s="350" t="str">
        <f>Reporting_currency</f>
        <v>CNY</v>
      </c>
    </row>
    <row r="35" spans="2:6">
      <c r="B35" s="379"/>
      <c r="C35" s="381"/>
    </row>
    <row r="36" spans="2:6" ht="24.5" customHeight="1">
      <c r="B36" s="477" t="s">
        <v>505</v>
      </c>
      <c r="C36" s="477"/>
      <c r="D36" s="477"/>
      <c r="E36" s="477"/>
      <c r="F36" s="477"/>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77" t="s">
        <v>506</v>
      </c>
      <c r="C40" s="477"/>
      <c r="D40" s="477"/>
      <c r="E40" s="477"/>
      <c r="F40" s="477"/>
    </row>
    <row r="41" spans="2:6">
      <c r="B41" s="379" t="s">
        <v>202</v>
      </c>
      <c r="C41" s="380">
        <f>Normalized_FCF!C9</f>
        <v>291.16000000000003</v>
      </c>
      <c r="D41" s="350" t="str">
        <f>Reporting_currency</f>
        <v>CNY</v>
      </c>
    </row>
    <row r="43" spans="2:6">
      <c r="B43" s="477" t="s">
        <v>507</v>
      </c>
      <c r="C43" s="477"/>
      <c r="D43" s="477"/>
      <c r="E43" s="477"/>
      <c r="F43" s="477"/>
    </row>
    <row r="44" spans="2:6">
      <c r="B44" s="379" t="s">
        <v>267</v>
      </c>
      <c r="C44" s="383">
        <f>Normalized_FCF!C46</f>
        <v>86.986441564056534</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-716.01355843594342</v>
      </c>
      <c r="D46" s="350" t="str">
        <f>Reporting_currency</f>
        <v>CNY</v>
      </c>
    </row>
    <row r="48" spans="2:6">
      <c r="B48" s="350" t="s">
        <v>508</v>
      </c>
    </row>
    <row r="49" spans="2:6">
      <c r="B49" s="379" t="s">
        <v>223</v>
      </c>
      <c r="C49" s="380">
        <f>Normalized_FCF!C13</f>
        <v>-6281.6063376994261</v>
      </c>
      <c r="D49" s="350" t="str">
        <f>Reporting_currency</f>
        <v>CNY</v>
      </c>
    </row>
    <row r="51" spans="2:6">
      <c r="B51" s="477" t="s">
        <v>509</v>
      </c>
      <c r="C51" s="477"/>
      <c r="D51" s="477"/>
      <c r="E51" s="477"/>
      <c r="F51" s="477"/>
    </row>
    <row r="52" spans="2:6">
      <c r="B52" s="379" t="s">
        <v>500</v>
      </c>
      <c r="C52" s="380">
        <f>Normalized_FCF!C12</f>
        <v>-3909.5366103910142</v>
      </c>
      <c r="D52" s="350" t="str">
        <f>Reporting_currency</f>
        <v>CNY</v>
      </c>
    </row>
    <row r="54" spans="2:6">
      <c r="B54" s="477" t="s">
        <v>510</v>
      </c>
      <c r="C54" s="483"/>
      <c r="D54" s="483"/>
      <c r="E54" s="483"/>
      <c r="F54" s="483"/>
    </row>
    <row r="55" spans="2:6">
      <c r="B55" s="379" t="s">
        <v>207</v>
      </c>
      <c r="C55" s="380">
        <f>Normalized_FCF!C17</f>
        <v>0</v>
      </c>
      <c r="D55" s="350" t="str">
        <f>Reporting_currency</f>
        <v>CNY</v>
      </c>
    </row>
    <row r="57" spans="2:6">
      <c r="B57" s="481" t="s">
        <v>511</v>
      </c>
      <c r="C57" s="481"/>
      <c r="D57" s="481"/>
      <c r="E57" s="481"/>
      <c r="F57" s="481"/>
    </row>
    <row r="58" spans="2:6">
      <c r="B58" s="481" t="s">
        <v>512</v>
      </c>
      <c r="C58" s="481"/>
      <c r="D58" s="481"/>
      <c r="E58" s="481"/>
      <c r="F58" s="481"/>
    </row>
    <row r="60" spans="2:6">
      <c r="B60" s="379" t="s">
        <v>373</v>
      </c>
      <c r="C60" s="380">
        <f>Normalized_FCF!G19</f>
        <v>10034.937846524263</v>
      </c>
      <c r="D60" s="350" t="str">
        <f>Reporting_currency</f>
        <v>CNY</v>
      </c>
    </row>
    <row r="61" spans="2:6">
      <c r="B61" s="379" t="s">
        <v>213</v>
      </c>
      <c r="C61" s="380">
        <f>Normalized_FCF!C19</f>
        <v>5447.0034934736159</v>
      </c>
      <c r="D61" s="350" t="str">
        <f>Reporting_currency</f>
        <v>CNY</v>
      </c>
    </row>
    <row r="62" spans="2:6">
      <c r="B62" s="384" t="s">
        <v>302</v>
      </c>
      <c r="C62" s="385">
        <f>Normalized_FCF!C124</f>
        <v>9.9254662674467087E-2</v>
      </c>
      <c r="F62" s="386"/>
    </row>
    <row r="63" spans="2:6">
      <c r="B63" s="384" t="s">
        <v>332</v>
      </c>
      <c r="C63" s="385">
        <f>Normalized_FCF!C92</f>
        <v>4.4844139320779221E-2</v>
      </c>
      <c r="E63" s="379" t="s">
        <v>374</v>
      </c>
      <c r="F63" s="387">
        <f>Normalized_FCF!C90</f>
        <v>0.548904206082375</v>
      </c>
    </row>
    <row r="65" spans="1:6">
      <c r="B65" s="376" t="s">
        <v>377</v>
      </c>
      <c r="C65" s="388" t="s">
        <v>327</v>
      </c>
      <c r="D65" s="388" t="s">
        <v>375</v>
      </c>
    </row>
    <row r="66" spans="1:6">
      <c r="B66" s="379" t="s">
        <v>326</v>
      </c>
      <c r="C66" s="385">
        <f>Normalized_FCF!C119</f>
        <v>0.17171944526687813</v>
      </c>
      <c r="D66" s="385">
        <f>Normalized_FCF!G119</f>
        <v>0.18348857827693879</v>
      </c>
    </row>
    <row r="67" spans="1:6">
      <c r="B67" s="389" t="str">
        <f>Normalized_FCF!B116</f>
        <v>Pre-tax Profit/Sales</v>
      </c>
      <c r="C67" s="390">
        <f>Normalized_FCF!C116</f>
        <v>8.3605885405536914E-2</v>
      </c>
      <c r="D67" s="390">
        <f>Normalized_FCF!G116</f>
        <v>8.9335980702737627E-2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480</v>
      </c>
      <c r="B71" s="352"/>
      <c r="C71" s="352"/>
      <c r="D71" s="352"/>
      <c r="E71" s="352"/>
      <c r="F71" s="352"/>
    </row>
    <row r="72" spans="1:6">
      <c r="A72" s="392"/>
    </row>
    <row r="73" spans="1:6">
      <c r="A73" s="393"/>
      <c r="B73" s="481" t="s">
        <v>513</v>
      </c>
      <c r="C73" s="481"/>
      <c r="D73" s="481"/>
      <c r="E73" s="481"/>
      <c r="F73" s="481"/>
    </row>
    <row r="74" spans="1:6">
      <c r="B74" s="484" t="s">
        <v>483</v>
      </c>
      <c r="C74" s="484"/>
      <c r="D74" s="484"/>
      <c r="E74" s="484"/>
      <c r="F74" s="484"/>
    </row>
    <row r="76" spans="1:6">
      <c r="B76" s="376" t="s">
        <v>372</v>
      </c>
    </row>
    <row r="77" spans="1:6">
      <c r="B77" s="481" t="s">
        <v>514</v>
      </c>
      <c r="C77" s="481"/>
      <c r="D77" s="481"/>
      <c r="E77" s="481"/>
      <c r="F77" s="481"/>
    </row>
    <row r="78" spans="1:6">
      <c r="B78" s="350" t="s">
        <v>215</v>
      </c>
      <c r="C78" s="380">
        <f>DCF!F4</f>
        <v>-20425</v>
      </c>
      <c r="D78" s="350" t="str">
        <f>Reporting_currency</f>
        <v>CNY</v>
      </c>
    </row>
    <row r="79" spans="1:6">
      <c r="B79" s="379" t="s">
        <v>234</v>
      </c>
      <c r="C79" s="394">
        <f>C78*scaling_factor*Exchange_Rate/Common_Shares</f>
        <v>-2.5792210448838704</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515</v>
      </c>
    </row>
    <row r="84" spans="1:6">
      <c r="B84" s="350" t="s">
        <v>224</v>
      </c>
      <c r="C84" s="380">
        <f>DCF!F5</f>
        <v>28377.259739323912</v>
      </c>
      <c r="D84" s="350" t="str">
        <f>Reporting_currency</f>
        <v>CNY</v>
      </c>
    </row>
    <row r="85" spans="1:6">
      <c r="B85" s="389" t="s">
        <v>485</v>
      </c>
      <c r="C85" s="397">
        <f>BS!C66</f>
        <v>42875</v>
      </c>
      <c r="D85" s="398" t="str">
        <f>Reporting_currency</f>
        <v>CNY</v>
      </c>
    </row>
    <row r="86" spans="1:6">
      <c r="B86" s="379" t="s">
        <v>235</v>
      </c>
      <c r="C86" s="394">
        <f>C84*scaling_factor*Exchange_Rate/Common_Shares</f>
        <v>3.5834137339436967</v>
      </c>
      <c r="D86" s="350" t="str">
        <f>Market_currency</f>
        <v>HKD</v>
      </c>
    </row>
    <row r="88" spans="1:6">
      <c r="B88" s="350" t="s">
        <v>516</v>
      </c>
    </row>
    <row r="89" spans="1:6">
      <c r="B89" s="350" t="s">
        <v>217</v>
      </c>
      <c r="C89" s="380">
        <f>DCF!F6</f>
        <v>174</v>
      </c>
      <c r="D89" s="350" t="str">
        <f>Reporting_currency</f>
        <v>CNY</v>
      </c>
    </row>
    <row r="90" spans="1:6">
      <c r="B90" s="379" t="s">
        <v>236</v>
      </c>
      <c r="C90" s="394">
        <f>C89*scaling_factor*Exchange_Rate/Common_Shares</f>
        <v>2.1972311471715713E-2</v>
      </c>
      <c r="D90" s="350" t="str">
        <f>Market_currency</f>
        <v>HKD</v>
      </c>
    </row>
    <row r="92" spans="1:6">
      <c r="B92" s="379" t="s">
        <v>484</v>
      </c>
      <c r="C92" s="394">
        <f>DCF!F8</f>
        <v>1.0261650005315419</v>
      </c>
      <c r="D92" s="350" t="str">
        <f>Market_currency</f>
        <v>HKD</v>
      </c>
    </row>
    <row r="94" spans="1:6" ht="13.9">
      <c r="A94" s="352" t="s">
        <v>486</v>
      </c>
      <c r="B94" s="352"/>
      <c r="C94" s="352"/>
      <c r="D94" s="352"/>
      <c r="E94" s="352"/>
      <c r="F94" s="352"/>
    </row>
    <row r="95" spans="1:6">
      <c r="A95" s="392"/>
    </row>
    <row r="96" spans="1:6">
      <c r="A96" s="392"/>
      <c r="B96" s="481" t="s">
        <v>517</v>
      </c>
      <c r="C96" s="481"/>
      <c r="D96" s="481"/>
      <c r="E96" s="481"/>
      <c r="F96" s="481"/>
    </row>
    <row r="97" spans="1:6">
      <c r="A97" s="392"/>
      <c r="B97" s="484" t="s">
        <v>518</v>
      </c>
      <c r="C97" s="484"/>
      <c r="D97" s="484"/>
      <c r="E97" s="484"/>
      <c r="F97" s="484"/>
    </row>
    <row r="98" spans="1:6">
      <c r="A98" s="392"/>
      <c r="B98" s="484" t="s">
        <v>519</v>
      </c>
      <c r="C98" s="484"/>
      <c r="D98" s="484"/>
      <c r="E98" s="484"/>
      <c r="F98" s="484"/>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376</v>
      </c>
      <c r="C106" s="399"/>
    </row>
    <row r="107" spans="1:6">
      <c r="A107" s="392"/>
      <c r="B107" s="481" t="s">
        <v>520</v>
      </c>
      <c r="C107" s="481"/>
      <c r="D107" s="481"/>
      <c r="E107" s="481"/>
      <c r="F107" s="481"/>
    </row>
    <row r="108" spans="1:6">
      <c r="A108" s="392"/>
      <c r="B108" s="481" t="s">
        <v>539</v>
      </c>
      <c r="C108" s="481"/>
      <c r="D108" s="481"/>
      <c r="E108" s="481"/>
      <c r="F108" s="481"/>
    </row>
    <row r="109" spans="1:6">
      <c r="A109" s="392"/>
    </row>
    <row r="110" spans="1:6">
      <c r="A110" s="392"/>
      <c r="B110" s="376" t="s">
        <v>493</v>
      </c>
    </row>
    <row r="111" spans="1:6">
      <c r="A111" s="392"/>
      <c r="B111" s="382" t="s">
        <v>490</v>
      </c>
      <c r="C111" s="401">
        <f>BS!D47</f>
        <v>-2.8855327456708855</v>
      </c>
      <c r="D111" s="350" t="str">
        <f>Market_currency</f>
        <v>HKD</v>
      </c>
    </row>
    <row r="112" spans="1:6">
      <c r="A112" s="392"/>
      <c r="B112" s="379" t="s">
        <v>378</v>
      </c>
      <c r="C112" s="401">
        <f>DCF!C11</f>
        <v>10.513541722380603</v>
      </c>
      <c r="D112" s="350" t="str">
        <f>Market_currency</f>
        <v>HKD</v>
      </c>
    </row>
    <row r="113" spans="1:6">
      <c r="A113" s="392"/>
    </row>
    <row r="114" spans="1:6">
      <c r="A114" s="392"/>
      <c r="B114" s="481" t="s">
        <v>521</v>
      </c>
      <c r="C114" s="481"/>
      <c r="D114" s="481"/>
      <c r="E114" s="481"/>
      <c r="F114" s="481"/>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0.04</v>
      </c>
      <c r="D118" s="404">
        <f>DCF!D82</f>
        <v>5</v>
      </c>
      <c r="E118" s="405" t="str">
        <f>ROUND(DCF!E82,2)&amp;" "&amp;Market_currency</f>
        <v>12.4 HKD</v>
      </c>
      <c r="F118" s="406">
        <f>DCF!F82</f>
        <v>0.1</v>
      </c>
    </row>
    <row r="119" spans="1:6">
      <c r="A119" s="392"/>
      <c r="B119" s="407" t="str">
        <f>DCF!B83</f>
        <v>Optimistic</v>
      </c>
      <c r="C119" s="408">
        <f>DCF!C83</f>
        <v>0.02</v>
      </c>
      <c r="D119" s="409">
        <f>DCF!D83</f>
        <v>5</v>
      </c>
      <c r="E119" s="405" t="str">
        <f>ROUND(DCF!E83,2)&amp;" "&amp;Market_currency</f>
        <v>11.42 HKD</v>
      </c>
      <c r="F119" s="410">
        <f>DCF!F83</f>
        <v>8.0000000000000029E-2</v>
      </c>
    </row>
    <row r="120" spans="1:6">
      <c r="B120" s="407" t="str">
        <f>DCF!B84</f>
        <v>Base</v>
      </c>
      <c r="C120" s="408">
        <f>DCF!C84</f>
        <v>0.01</v>
      </c>
      <c r="D120" s="409">
        <f>DCF!D84</f>
        <v>5</v>
      </c>
      <c r="E120" s="405" t="str">
        <f>ROUND(DCF!E84,2)&amp;" "&amp;Market_currency</f>
        <v>10.96 HKD</v>
      </c>
      <c r="F120" s="410">
        <f>DCF!F84</f>
        <v>0.48</v>
      </c>
    </row>
    <row r="121" spans="1:6">
      <c r="B121" s="407" t="str">
        <f>DCF!B85</f>
        <v>Pessimistic</v>
      </c>
      <c r="C121" s="408">
        <f>DCF!C85</f>
        <v>0</v>
      </c>
      <c r="D121" s="409">
        <f>DCF!D85</f>
        <v>5</v>
      </c>
      <c r="E121" s="405" t="str">
        <f>ROUND(DCF!E85,2)&amp;" "&amp;Market_currency</f>
        <v>10.51 HKD</v>
      </c>
      <c r="F121" s="410">
        <f>DCF!F85</f>
        <v>0.24</v>
      </c>
    </row>
    <row r="122" spans="1:6">
      <c r="B122" s="407" t="str">
        <f>DCF!B86</f>
        <v>Devil's advocate</v>
      </c>
      <c r="C122" s="408">
        <f>DCF!C86</f>
        <v>-0.1</v>
      </c>
      <c r="D122" s="409">
        <f>DCF!D86</f>
        <v>5</v>
      </c>
      <c r="E122" s="405" t="str">
        <f>ROUND(DCF!E86,2)&amp;" "&amp;Market_currency</f>
        <v>6.87 HKD</v>
      </c>
      <c r="F122" s="410">
        <f>DCF!F86</f>
        <v>0.1</v>
      </c>
    </row>
    <row r="124" spans="1:6">
      <c r="B124" s="477" t="s">
        <v>522</v>
      </c>
      <c r="C124" s="477"/>
      <c r="D124" s="477"/>
      <c r="E124" s="477"/>
      <c r="F124" s="477"/>
    </row>
    <row r="125" spans="1:6">
      <c r="B125" s="379" t="s">
        <v>218</v>
      </c>
      <c r="C125" s="411">
        <f>Scenarios!C36</f>
        <v>10.625390641427337</v>
      </c>
      <c r="D125" s="350" t="str">
        <f>Market_currency</f>
        <v>HKD</v>
      </c>
    </row>
    <row r="127" spans="1:6">
      <c r="B127" s="479" t="s">
        <v>523</v>
      </c>
      <c r="C127" s="479"/>
      <c r="D127" s="479"/>
      <c r="E127" s="479"/>
      <c r="F127" s="479"/>
    </row>
    <row r="129" spans="1:6" ht="13.9">
      <c r="A129" s="352" t="s">
        <v>496</v>
      </c>
      <c r="B129" s="352"/>
      <c r="C129" s="352"/>
      <c r="D129" s="352"/>
      <c r="E129" s="352"/>
      <c r="F129" s="352"/>
    </row>
    <row r="131" spans="1:6">
      <c r="B131" s="480" t="s">
        <v>524</v>
      </c>
      <c r="C131" s="480"/>
      <c r="D131" s="480"/>
      <c r="E131" s="480"/>
      <c r="F131" s="480"/>
    </row>
    <row r="132" spans="1:6" ht="24.5" customHeight="1">
      <c r="B132" s="481" t="s">
        <v>525</v>
      </c>
      <c r="C132" s="481"/>
      <c r="D132" s="481"/>
      <c r="E132" s="481"/>
      <c r="F132" s="481"/>
    </row>
    <row r="134" spans="1:6">
      <c r="B134" s="376" t="s">
        <v>372</v>
      </c>
    </row>
    <row r="135" spans="1:6">
      <c r="B135" s="350" t="s">
        <v>383</v>
      </c>
      <c r="C135" s="412">
        <f>E21</f>
        <v>2</v>
      </c>
    </row>
    <row r="136" spans="1:6">
      <c r="B136" s="350" t="s">
        <v>384</v>
      </c>
      <c r="C136" s="413">
        <f>Scenarios!C58</f>
        <v>0.310769885493</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0.40071837086888901</v>
      </c>
      <c r="D140" s="416">
        <f>Scenarios!D62</f>
        <v>5.8301183217708292</v>
      </c>
      <c r="E140" s="417">
        <f>Scenarios!E62</f>
        <v>6.2308366926397181</v>
      </c>
      <c r="F140" s="418">
        <f>E22</f>
        <v>0.35</v>
      </c>
    </row>
    <row r="141" spans="1:6">
      <c r="B141" s="415" t="s">
        <v>313</v>
      </c>
      <c r="C141" s="416">
        <f>Scenarios!C63</f>
        <v>0.44750863510992001</v>
      </c>
      <c r="D141" s="416">
        <f>Scenarios!D63</f>
        <v>6.800250010513496</v>
      </c>
      <c r="E141" s="417">
        <f>Scenarios!E63</f>
        <v>7.2477586456234162</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0.5270168519248799</v>
      </c>
      <c r="D144" s="416">
        <f>Scenarios!D66</f>
        <v>8.5099610388880738</v>
      </c>
      <c r="E144" s="417">
        <f>Scenarios!E66</f>
        <v>9.0369778908129543</v>
      </c>
      <c r="F144" s="418">
        <f>E24</f>
        <v>0.1174</v>
      </c>
    </row>
    <row r="145" spans="1:6">
      <c r="B145" s="415" t="s">
        <v>314</v>
      </c>
      <c r="C145" s="416">
        <f>Scenarios!C67</f>
        <v>0.55993661211077306</v>
      </c>
      <c r="D145" s="416">
        <f>Scenarios!D67</f>
        <v>9.2374117866582672</v>
      </c>
      <c r="E145" s="417">
        <f>Scenarios!E67</f>
        <v>9.7973483987690404</v>
      </c>
      <c r="F145" s="418">
        <f>Scenarios!F67</f>
        <v>7.2499999999999995E-2</v>
      </c>
    </row>
    <row r="147" spans="1:6" ht="13.9">
      <c r="A147" s="352" t="s">
        <v>479</v>
      </c>
      <c r="B147" s="352"/>
      <c r="C147" s="352"/>
      <c r="D147" s="352"/>
      <c r="E147" s="352"/>
      <c r="F147" s="352"/>
    </row>
    <row r="149" spans="1:6">
      <c r="B149" s="482" t="s">
        <v>526</v>
      </c>
      <c r="C149" s="481"/>
      <c r="D149" s="481"/>
      <c r="E149" s="481"/>
      <c r="F149" s="481"/>
    </row>
    <row r="151" spans="1:6">
      <c r="B151" s="376" t="s">
        <v>385</v>
      </c>
    </row>
    <row r="152" spans="1:6">
      <c r="B152" s="483" t="s">
        <v>527</v>
      </c>
      <c r="C152" s="483"/>
      <c r="D152" s="483"/>
      <c r="E152" s="483"/>
      <c r="F152" s="483"/>
    </row>
    <row r="153" spans="1:6">
      <c r="B153" s="419" t="s">
        <v>386</v>
      </c>
    </row>
    <row r="154" spans="1:6">
      <c r="B154" s="419" t="s">
        <v>387</v>
      </c>
    </row>
    <row r="155" spans="1:6">
      <c r="B155" s="419" t="s">
        <v>388</v>
      </c>
    </row>
    <row r="157" spans="1:6">
      <c r="B157" s="350" t="s">
        <v>528</v>
      </c>
    </row>
    <row r="158" spans="1:6" ht="24.5" customHeight="1">
      <c r="B158" s="477" t="s">
        <v>443</v>
      </c>
      <c r="C158" s="477"/>
      <c r="D158" s="477"/>
      <c r="E158" s="477"/>
      <c r="F158" s="477"/>
    </row>
    <row r="160" spans="1:6">
      <c r="B160" s="350" t="s">
        <v>529</v>
      </c>
    </row>
    <row r="161" spans="2:6">
      <c r="B161" s="478" t="s">
        <v>389</v>
      </c>
      <c r="C161" s="478"/>
      <c r="D161" s="478"/>
      <c r="E161" s="478"/>
      <c r="F161" s="478"/>
    </row>
    <row r="162" spans="2:6">
      <c r="B162" s="478" t="s">
        <v>390</v>
      </c>
      <c r="C162" s="478"/>
      <c r="D162" s="478"/>
      <c r="E162" s="478"/>
      <c r="F162" s="478"/>
    </row>
    <row r="164" spans="2:6">
      <c r="B164" s="350" t="s">
        <v>530</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ECFE7-5CA3-4DC8-B92C-4A245842A7E8}">
  <dimension ref="B2:E14"/>
  <sheetViews>
    <sheetView showGridLines="0" workbookViewId="0">
      <selection activeCell="E9" sqref="E9"/>
    </sheetView>
  </sheetViews>
  <sheetFormatPr defaultColWidth="8.796875" defaultRowHeight="12.75"/>
  <cols>
    <col min="1" max="1" width="2.6640625" style="461" customWidth="1"/>
    <col min="2" max="2" width="26.06640625" style="461" bestFit="1" customWidth="1"/>
    <col min="3" max="5" width="20.6640625" style="461" customWidth="1"/>
    <col min="6" max="16384" width="8.796875" style="461"/>
  </cols>
  <sheetData>
    <row r="2" spans="2:5" ht="13.9">
      <c r="B2" s="459" t="s">
        <v>334</v>
      </c>
      <c r="C2" s="460"/>
      <c r="D2" s="460"/>
      <c r="E2" s="460"/>
    </row>
    <row r="3" spans="2:5">
      <c r="C3" s="462" t="s">
        <v>550</v>
      </c>
      <c r="D3" s="463">
        <v>45657</v>
      </c>
      <c r="E3" s="463">
        <v>45291</v>
      </c>
    </row>
    <row r="4" spans="2:5">
      <c r="B4" s="461" t="s">
        <v>551</v>
      </c>
      <c r="C4" s="464">
        <f>D4*(1+8%)</f>
        <v>164257.20000000001</v>
      </c>
      <c r="D4" s="465">
        <v>152090</v>
      </c>
      <c r="E4" s="465">
        <v>140600</v>
      </c>
    </row>
    <row r="5" spans="2:5">
      <c r="B5" s="461" t="s">
        <v>552</v>
      </c>
      <c r="C5" s="464">
        <f>D5</f>
        <v>25601</v>
      </c>
      <c r="D5" s="465">
        <v>25601</v>
      </c>
      <c r="E5" s="465">
        <v>26801</v>
      </c>
    </row>
    <row r="6" spans="2:5">
      <c r="B6" s="461" t="s">
        <v>553</v>
      </c>
      <c r="C6" s="464">
        <f>D6</f>
        <v>9184</v>
      </c>
      <c r="D6" s="465">
        <v>9184</v>
      </c>
      <c r="E6" s="465">
        <v>9042</v>
      </c>
    </row>
    <row r="7" spans="2:5">
      <c r="B7" s="461" t="s">
        <v>554</v>
      </c>
      <c r="C7" s="464">
        <v>0</v>
      </c>
      <c r="D7" s="465">
        <v>171</v>
      </c>
      <c r="E7" s="465">
        <v>911</v>
      </c>
    </row>
    <row r="8" spans="2:5">
      <c r="C8" s="465">
        <f>SUM(C4:C7)</f>
        <v>199042.2</v>
      </c>
      <c r="D8" s="465">
        <f>SUM(D4:D7)</f>
        <v>187046</v>
      </c>
      <c r="E8" s="465">
        <f>SUM(E4:E7)</f>
        <v>177354</v>
      </c>
    </row>
    <row r="10" spans="2:5">
      <c r="B10" s="461" t="s">
        <v>551</v>
      </c>
      <c r="C10" s="466">
        <f>C4/D4-1</f>
        <v>8.0000000000000071E-2</v>
      </c>
      <c r="D10" s="466">
        <f>D4/E4-1</f>
        <v>8.1721194879089687E-2</v>
      </c>
    </row>
    <row r="11" spans="2:5">
      <c r="B11" s="461" t="s">
        <v>552</v>
      </c>
      <c r="C11" s="466">
        <f t="shared" ref="C11:D14" si="0">C5/D5-1</f>
        <v>0</v>
      </c>
      <c r="D11" s="466">
        <f t="shared" si="0"/>
        <v>-4.4774448714600235E-2</v>
      </c>
    </row>
    <row r="12" spans="2:5">
      <c r="B12" s="461" t="s">
        <v>553</v>
      </c>
      <c r="C12" s="466">
        <f t="shared" si="0"/>
        <v>0</v>
      </c>
      <c r="D12" s="466">
        <f t="shared" si="0"/>
        <v>1.5704490157044892E-2</v>
      </c>
    </row>
    <row r="13" spans="2:5">
      <c r="B13" s="461" t="s">
        <v>554</v>
      </c>
      <c r="C13" s="466">
        <f t="shared" si="0"/>
        <v>-1</v>
      </c>
      <c r="D13" s="466">
        <f t="shared" si="0"/>
        <v>-0.81229418221734362</v>
      </c>
    </row>
    <row r="14" spans="2:5">
      <c r="C14" s="466">
        <f t="shared" si="0"/>
        <v>6.4135025608673901E-2</v>
      </c>
      <c r="D14" s="466">
        <f t="shared" si="0"/>
        <v>5.4647766613665327E-2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