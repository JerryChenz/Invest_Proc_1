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17E486-0469-40E1-BEA8-1F9398499D8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<sst xmlns="http://schemas.openxmlformats.org/spreadsheetml/2006/main" count="768" uniqueCount="558">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</sst>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v>
      </c>
      <c r="E8" s="32"/>
    </row>
    <row r="9" spans="1:9">
      <c r="B9" s="4" t="s">
        <v>346</v>
      </c>
      <c r="C9" s="48">
        <v>8658801708</v>
      </c>
    </row>
    <row r="10" spans="1:9">
      <c r="B10" s="4" t="s">
        <v>352</v>
      </c>
      <c r="C10" s="33">
        <f>Thesis!C8*Common_Shares/1000000</f>
        <v>69270.413664000007</v>
      </c>
      <c r="D10" s="1" t="s">
        <v>527</v>
      </c>
      <c r="E10" s="303">
        <f>Scenarios!F34</f>
        <v>0.1625616874572374</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1.1232618942260741</v>
      </c>
    </row>
    <row r="17" spans="1:6">
      <c r="B17" s="1" t="s">
        <v>531</v>
      </c>
      <c r="C17" s="456">
        <v>0.02</v>
      </c>
      <c r="D17" s="4" t="s">
        <v>274</v>
      </c>
      <c r="E17" s="224" t="s">
        <v>557</v>
      </c>
    </row>
    <row r="18" spans="1:6">
      <c r="B18" s="1" t="str">
        <f>"Expected Equity Value ("&amp;C7&amp;") :"</f>
        <v>Expected Equity Value (HKD) :</v>
      </c>
      <c r="C18" s="252">
        <f>C125</f>
        <v>11.448186649741713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5.8598485626323384</v>
      </c>
      <c r="D22" s="38" t="s">
        <v>406</v>
      </c>
      <c r="E22" s="79">
        <v>0.29465259038036606</v>
      </c>
    </row>
    <row r="23" spans="1:6">
      <c r="B23" s="1" t="s">
        <v>313</v>
      </c>
      <c r="C23" s="256">
        <f>E141</f>
        <v>7.2843816038938085</v>
      </c>
      <c r="D23" s="38" t="s">
        <v>407</v>
      </c>
      <c r="E23" s="443">
        <v>0.20075184365903009</v>
      </c>
    </row>
    <row r="24" spans="1:6">
      <c r="B24" s="1" t="s">
        <v>315</v>
      </c>
      <c r="C24" s="256">
        <f>E144</f>
        <v>8.9758387437714386</v>
      </c>
      <c r="D24" s="38" t="s">
        <v>408</v>
      </c>
      <c r="E24" s="443">
        <v>0.1174</v>
      </c>
    </row>
    <row r="25" spans="1:6">
      <c r="B25" s="1" t="s">
        <v>314</v>
      </c>
      <c r="C25" s="256">
        <f>E145</f>
        <v>10.113942030787026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16063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291.16000000000003</v>
      </c>
      <c r="D41" s="1" t="str">
        <f>Reporting_currency</f>
        <v>CNY</v>
      </c>
    </row>
    <row r="43" spans="2:6">
      <c r="B43" s="463" t="s">
        <v>205</v>
      </c>
      <c r="C43" s="463"/>
      <c r="D43" s="463"/>
      <c r="E43" s="463"/>
      <c r="F43" s="463"/>
    </row>
    <row r="44" spans="2:6">
      <c r="B44" s="44" t="s">
        <v>267</v>
      </c>
      <c r="C44" s="286">
        <f>Normalized_FCF!C46</f>
        <v>87.027251507103628</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-715.97274849289636</v>
      </c>
      <c r="D46" s="1" t="str">
        <f>Reporting_currency</f>
        <v>CNY</v>
      </c>
    </row>
    <row r="48" spans="2:6">
      <c r="B48" s="1" t="s">
        <v>211</v>
      </c>
    </row>
    <row r="49" spans="2:6">
      <c r="B49" s="44" t="s">
        <v>223</v>
      </c>
      <c r="C49" s="285">
        <f>Normalized_FCF!C13</f>
        <v>-6281.6063376994261</v>
      </c>
      <c r="D49" s="1" t="str">
        <f>Reporting_currency</f>
        <v>CNY</v>
      </c>
    </row>
    <row r="51" spans="2:6">
      <c r="B51" s="463" t="s">
        <v>206</v>
      </c>
      <c r="C51" s="463"/>
      <c r="D51" s="463"/>
      <c r="E51" s="463"/>
      <c r="F51" s="463"/>
    </row>
    <row r="52" spans="2:6">
      <c r="B52" s="44" t="s">
        <v>204</v>
      </c>
      <c r="C52" s="285">
        <f>Normalized_FCF!C12</f>
        <v>-3909.5468128767757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10035.089822910806</v>
      </c>
      <c r="D60" s="1" t="str">
        <f>Reporting_currency</f>
        <v>CNY</v>
      </c>
    </row>
    <row r="61" spans="2:6">
      <c r="B61" s="44" t="s">
        <v>213</v>
      </c>
      <c r="C61" s="285">
        <f>Normalized_FCF!C19</f>
        <v>5447.0341009309013</v>
      </c>
      <c r="D61" s="1" t="str">
        <f>Reporting_currency</f>
        <v>CNY</v>
      </c>
    </row>
    <row r="62" spans="2:6">
      <c r="B62" s="204" t="s">
        <v>302</v>
      </c>
      <c r="C62" s="89">
        <f>Normalized_FCF!C124</f>
        <v>8.8326971335894247E-2</v>
      </c>
      <c r="F62" s="257"/>
    </row>
    <row r="63" spans="2:6">
      <c r="B63" s="204" t="s">
        <v>332</v>
      </c>
      <c r="C63" s="89">
        <f>Normalized_FCF!C92</f>
        <v>3.9906686947116847E-2</v>
      </c>
      <c r="E63" s="44" t="s">
        <v>322</v>
      </c>
      <c r="F63" s="258">
        <f>Normalized_FCF!C90</f>
        <v>0.5638854020910824</v>
      </c>
    </row>
    <row r="65" spans="1:6">
      <c r="B65" s="192" t="s">
        <v>325</v>
      </c>
      <c r="C65" s="264" t="s">
        <v>327</v>
      </c>
      <c r="D65" s="264" t="s">
        <v>328</v>
      </c>
    </row>
    <row r="66" spans="1:6">
      <c r="B66" s="44" t="s">
        <v>326</v>
      </c>
      <c r="C66" s="89">
        <f>Normalized_FCF!E119</f>
        <v>0.17171989339292729</v>
      </c>
      <c r="D66" s="89">
        <f>Normalized_FCF!G119</f>
        <v>0.18349024710008791</v>
      </c>
    </row>
    <row r="67" spans="1:6">
      <c r="B67" s="229" t="str">
        <f>Normalized_FCF!B116</f>
        <v>Pre-tax Profit/Sales</v>
      </c>
      <c r="C67" s="263">
        <f>Normalized_FCF!E116</f>
        <v>8.360610358685619E-2</v>
      </c>
      <c r="D67" s="263">
        <f>Normalized_FCF!G116</f>
        <v>8.9336793210818763E-2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-20425</v>
      </c>
      <c r="D78" s="1" t="str">
        <f>Reporting_currency</f>
        <v>CNY</v>
      </c>
    </row>
    <row r="79" spans="1:6">
      <c r="A79" s="191"/>
      <c r="B79" s="44" t="s">
        <v>234</v>
      </c>
      <c r="C79" s="201">
        <f>C78*scaling_factor*Exchange_Rate/Common_Shares</f>
        <v>-2.6496303949737667</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28370.458082149395</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3.6803538826826041</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2.2572126742983374E-2</v>
      </c>
      <c r="D90" s="1" t="str">
        <f>Market_currency</f>
        <v>HKD</v>
      </c>
    </row>
    <row r="91" spans="1:6">
      <c r="A91" s="191"/>
    </row>
    <row r="92" spans="1:6">
      <c r="A92" s="191"/>
      <c r="B92" s="44" t="s">
        <v>469</v>
      </c>
      <c r="C92" s="216">
        <f>DCF!F8</f>
        <v>1.0532956144518208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-2.9643040032522414</v>
      </c>
      <c r="D111" s="1" t="str">
        <f>Market_currency</f>
        <v>HKD</v>
      </c>
    </row>
    <row r="112" spans="2:6">
      <c r="B112" s="44" t="s">
        <v>323</v>
      </c>
      <c r="C112" s="216">
        <f>DCF!C11</f>
        <v>14.781830587802244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13.84 HKD</v>
      </c>
      <c r="E118" s="208">
        <f>DCF!F90</f>
        <v>0.1</v>
      </c>
      <c r="F118" s="208">
        <f>RATE(Holding_Period,Scenarios!C$58,-DCF!E90,C$18)</f>
        <v>-3.6708689752469319E-2</v>
      </c>
    </row>
    <row r="119" spans="2:6">
      <c r="B119" s="205" t="str">
        <f>DCF!B91&amp;" ("&amp;DCF!D91&amp;"yrs)"</f>
        <v>Optimistic (5yrs)</v>
      </c>
      <c r="C119" s="198">
        <f>DCF!C91</f>
        <v>0.04</v>
      </c>
      <c r="D119" s="207" t="str">
        <f>ROUND(DCF!E91,2)&amp;" "&amp;Market_currency</f>
        <v>12.8 HKD</v>
      </c>
      <c r="E119" s="199">
        <f>DCF!F91</f>
        <v>8.0000000000000029E-2</v>
      </c>
      <c r="F119" s="208">
        <f>RATE(Holding_Period,Scenarios!C$58,-DCF!E91,C$18)</f>
        <v>-1.0679245747021287E-2</v>
      </c>
    </row>
    <row r="120" spans="2:6">
      <c r="B120" s="205" t="str">
        <f>DCF!B92&amp;" ("&amp;DCF!D92&amp;"yrs)"</f>
        <v>Base (5yrs)</v>
      </c>
      <c r="C120" s="198">
        <f>DCF!C92</f>
        <v>0.02</v>
      </c>
      <c r="D120" s="207" t="str">
        <f>ROUND(DCF!E92,2)&amp;" "&amp;Market_currency</f>
        <v>11.84 HKD</v>
      </c>
      <c r="E120" s="199">
        <f>DCF!F92</f>
        <v>0.48</v>
      </c>
      <c r="F120" s="208">
        <f>RATE(Holding_Period,Scenarios!C$58,-DCF!E92,C$18)</f>
        <v>1.6251038303305626E-2</v>
      </c>
    </row>
    <row r="121" spans="2:6">
      <c r="B121" s="205" t="str">
        <f>DCF!B93&amp;" ("&amp;DCF!D93&amp;"yrs)"</f>
        <v>Pessimistic (5yrs)</v>
      </c>
      <c r="C121" s="198">
        <f>DCF!C93</f>
        <v>0</v>
      </c>
      <c r="D121" s="207" t="str">
        <f>ROUND(DCF!E93,2)&amp;" "&amp;Market_currency</f>
        <v>10.94 HKD</v>
      </c>
      <c r="E121" s="199">
        <f>DCF!F93</f>
        <v>0.24</v>
      </c>
      <c r="F121" s="208">
        <f>RATE(Holding_Period,Scenarios!C$58,-DCF!E93,C$18)</f>
        <v>4.4099701151763621E-2</v>
      </c>
    </row>
    <row r="122" spans="2:6">
      <c r="B122" s="205" t="str">
        <f>DCF!B94&amp;" ("&amp;DCF!D94&amp;"yrs)"</f>
        <v>Devil's advocate (5yrs)</v>
      </c>
      <c r="C122" s="198">
        <f>DCF!C94</f>
        <v>-0.1</v>
      </c>
      <c r="D122" s="207" t="str">
        <f>ROUND(DCF!E94,2)&amp;" "&amp;Market_currency</f>
        <v>7.34 HKD</v>
      </c>
      <c r="E122" s="199">
        <f>DCF!F94</f>
        <v>0.1</v>
      </c>
      <c r="F122" s="208">
        <f>RATE(Holding_Period,Scenarios!C$58,-DCF!E94,C$18)</f>
        <v>0.19744990071154295</v>
      </c>
    </row>
    <row r="124" spans="2:6">
      <c r="B124" s="463" t="s">
        <v>357</v>
      </c>
      <c r="C124" s="463"/>
      <c r="D124" s="463"/>
      <c r="E124" s="463"/>
      <c r="F124" s="463"/>
    </row>
    <row r="125" spans="2:6">
      <c r="B125" s="193" t="s">
        <v>218</v>
      </c>
      <c r="C125" s="197">
        <f>Scenarios!C36</f>
        <v>11.448186649741713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0.31925349557693478</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0.58418651206011918</v>
      </c>
      <c r="D140" s="333">
        <f>Scenarios!D62</f>
        <v>5.2756620505722189</v>
      </c>
      <c r="E140" s="334">
        <f>Scenarios!E62</f>
        <v>5.8598485626323384</v>
      </c>
      <c r="F140" s="335">
        <f>E22</f>
        <v>0.29465259038036606</v>
      </c>
    </row>
    <row r="141" spans="1:6">
      <c r="B141" s="336" t="s">
        <v>313</v>
      </c>
      <c r="C141" s="333">
        <f>Scenarios!C63</f>
        <v>0.67171061487332195</v>
      </c>
      <c r="D141" s="333">
        <f>Scenarios!D63</f>
        <v>6.6126709890204864</v>
      </c>
      <c r="E141" s="334">
        <f>Scenarios!E63</f>
        <v>7.2843816038938085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0.77023198139575355</v>
      </c>
      <c r="D144" s="333">
        <f>Scenarios!D66</f>
        <v>8.2056067623756856</v>
      </c>
      <c r="E144" s="334">
        <f>Scenarios!E66</f>
        <v>8.9758387437714386</v>
      </c>
      <c r="F144" s="335">
        <f>E24</f>
        <v>0.1174</v>
      </c>
    </row>
    <row r="145" spans="1:6">
      <c r="B145" s="336" t="s">
        <v>314</v>
      </c>
      <c r="C145" s="333">
        <f>Scenarios!C67</f>
        <v>0.83400992303357446</v>
      </c>
      <c r="D145" s="333">
        <f>Scenarios!D67</f>
        <v>9.2799321077534511</v>
      </c>
      <c r="E145" s="334">
        <f>Scenarios!E67</f>
        <v>10.113942030787026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0.35472610619659417</v>
      </c>
      <c r="D25" s="37">
        <f>(0.2838)*Exchange_Rate</f>
        <v>0.31878172558135986</v>
      </c>
      <c r="E25" s="37">
        <f>0.2539*Exchange_Rate</f>
        <v>0.28519619494400023</v>
      </c>
      <c r="F25" s="37">
        <f>0.2078*Exchange_Rate</f>
        <v>0.23341382162017821</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0.35472610619659417</v>
      </c>
      <c r="D65" s="70">
        <f t="shared" ref="D65:M65" si="33">IF(D$4="","",D25)</f>
        <v>0.31878172558135986</v>
      </c>
      <c r="E65" s="70">
        <f t="shared" si="33"/>
        <v>0.28519619494400023</v>
      </c>
      <c r="F65" s="70">
        <f t="shared" si="33"/>
        <v>0.23341382162017821</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8.6900093463159198</v>
      </c>
      <c r="D47" s="134">
        <f>D46*H1/Common_Shares*Exchange_Rate</f>
        <v>-2.9643040032522414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28370.458082149395</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-14504.541917850605</v>
      </c>
      <c r="D73" s="285">
        <f>(Normalized_FCF!C26+Normalized_FCF!C35-Normalized_FCF!C89)/12</f>
        <v>-14504.541917850605</v>
      </c>
      <c r="F73" s="1" t="s">
        <v>278</v>
      </c>
    </row>
    <row r="74" spans="2:6" ht="15" customHeight="1">
      <c r="B74" s="227" t="s">
        <v>259</v>
      </c>
      <c r="C74" s="228">
        <f>-$C$66/C73</f>
        <v>2.9559706361518479</v>
      </c>
      <c r="D74" s="228">
        <f>-$C$66/D73</f>
        <v>2.9559706361518479</v>
      </c>
      <c r="F74" s="223" t="s">
        <v>257</v>
      </c>
    </row>
    <row r="75" spans="2:6" ht="15" customHeight="1">
      <c r="B75" s="77" t="s">
        <v>258</v>
      </c>
      <c r="C75" s="261"/>
      <c r="D75" s="262">
        <f>MAX(-D73*D76,G5)</f>
        <v>14504.541917850605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-22942.624189567563</v>
      </c>
      <c r="D86" s="201">
        <f>C86*scaling_factor/Common_Shares</f>
        <v>-2.6496303949737663</v>
      </c>
      <c r="E86" s="214" t="str">
        <f>Market_currency</f>
        <v>HKD</v>
      </c>
    </row>
    <row r="87" spans="2:8" ht="15" customHeight="1">
      <c r="B87" s="212" t="s">
        <v>240</v>
      </c>
      <c r="C87" s="73">
        <f>DCF!F5*Exchange_Rate</f>
        <v>31867.454485416565</v>
      </c>
      <c r="D87" s="201">
        <f>C87*scaling_factor/Common_Shares</f>
        <v>3.6803538826826041</v>
      </c>
      <c r="E87" s="214" t="str">
        <f>Market_currency</f>
        <v>HKD</v>
      </c>
    </row>
    <row r="88" spans="2:8" ht="15" customHeight="1">
      <c r="B88" s="213" t="s">
        <v>159</v>
      </c>
      <c r="C88" s="73">
        <f>DCF!F6*Exchange_Rate</f>
        <v>195.44756959533689</v>
      </c>
      <c r="D88" s="201">
        <f>C88*scaling_factor/Common_Shares</f>
        <v>2.2572126742983371E-2</v>
      </c>
      <c r="E88" s="214" t="str">
        <f>Market_currency</f>
        <v>HKD</v>
      </c>
    </row>
    <row r="89" spans="2:8" ht="15" customHeight="1">
      <c r="B89" s="77" t="s">
        <v>244</v>
      </c>
      <c r="C89" s="162">
        <f>SUM(C86:C88)</f>
        <v>9120.2778654443391</v>
      </c>
      <c r="D89" s="216">
        <f>SUM(D86:D88)</f>
        <v>1.0532956144518213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-715.97274849289636</v>
      </c>
      <c r="E10" s="237"/>
      <c r="G10" s="266">
        <f>G48</f>
        <v>-478.9101770891923</v>
      </c>
      <c r="H10" s="266">
        <f t="shared" ref="H10:Q10" si="6">H48</f>
        <v>-665.68043222087408</v>
      </c>
      <c r="I10" s="266">
        <f t="shared" si="6"/>
        <v>-608.40171411233428</v>
      </c>
      <c r="J10" s="266">
        <f t="shared" si="6"/>
        <v>-604.04017085614066</v>
      </c>
      <c r="K10" s="266">
        <f t="shared" si="6"/>
        <v>-596.36154325619361</v>
      </c>
      <c r="L10" s="266">
        <f t="shared" si="6"/>
        <v>-895.30625106726382</v>
      </c>
      <c r="M10" s="266">
        <f t="shared" si="6"/>
        <v>-1030.2019856381125</v>
      </c>
      <c r="N10" s="266">
        <f t="shared" si="6"/>
        <v>-1073.6190473547176</v>
      </c>
      <c r="O10" s="266">
        <f t="shared" si="6"/>
        <v>-566.93387453458047</v>
      </c>
      <c r="P10" s="266">
        <f t="shared" si="6"/>
        <v>-500.88287040195019</v>
      </c>
      <c r="Q10" s="266" t="str">
        <f t="shared" si="6"/>
        <v/>
      </c>
    </row>
    <row r="11" spans="1:17" ht="15.75" customHeight="1">
      <c r="A11" s="10"/>
      <c r="B11" s="67" t="s">
        <v>137</v>
      </c>
      <c r="C11" s="267">
        <f>SUM(C8:C10)</f>
        <v>15638.187251507103</v>
      </c>
      <c r="E11" s="237"/>
      <c r="G11" s="267">
        <f t="shared" ref="G11:Q11" si="7">IF(G$4="","",SUM(G8:G10))</f>
        <v>16710.089822910806</v>
      </c>
      <c r="H11" s="267">
        <f t="shared" si="7"/>
        <v>17016.319567779126</v>
      </c>
      <c r="I11" s="267">
        <f t="shared" si="7"/>
        <v>16731.598285887667</v>
      </c>
      <c r="J11" s="267">
        <f t="shared" si="7"/>
        <v>14520.95982914386</v>
      </c>
      <c r="K11" s="267">
        <f t="shared" si="7"/>
        <v>11496.638456743807</v>
      </c>
      <c r="L11" s="267">
        <f t="shared" si="7"/>
        <v>20325.693748932736</v>
      </c>
      <c r="M11" s="267">
        <f t="shared" si="7"/>
        <v>19125.798014361888</v>
      </c>
      <c r="N11" s="267">
        <f t="shared" si="7"/>
        <v>16885.380952645282</v>
      </c>
      <c r="O11" s="267">
        <f t="shared" si="7"/>
        <v>17654.066125465419</v>
      </c>
      <c r="P11" s="267">
        <f t="shared" si="7"/>
        <v>11794.117129598049</v>
      </c>
      <c r="Q11" s="267" t="str">
        <f t="shared" si="7"/>
        <v/>
      </c>
    </row>
    <row r="12" spans="1:17" ht="15.75" customHeight="1">
      <c r="A12" s="10"/>
      <c r="B12" s="2" t="s">
        <v>60</v>
      </c>
      <c r="C12" s="266">
        <f>-C11*C41</f>
        <v>-3909.5468128767757</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5447.0341009309013</v>
      </c>
      <c r="D14" s="58"/>
      <c r="E14" s="243"/>
      <c r="F14" s="58"/>
      <c r="G14" s="267">
        <f t="shared" ref="G14:Q14" si="8">IF(G$4="","",SUM(G11:G13))</f>
        <v>10035.089822910806</v>
      </c>
      <c r="H14" s="267">
        <f t="shared" si="8"/>
        <v>10105.319567779126</v>
      </c>
      <c r="I14" s="267">
        <f t="shared" si="8"/>
        <v>10567.598285887667</v>
      </c>
      <c r="J14" s="267">
        <f t="shared" si="8"/>
        <v>8501.9598291438597</v>
      </c>
      <c r="K14" s="267">
        <f t="shared" si="8"/>
        <v>5514.6384567438072</v>
      </c>
      <c r="L14" s="267">
        <f t="shared" si="8"/>
        <v>12231.693748932736</v>
      </c>
      <c r="M14" s="267">
        <f t="shared" si="8"/>
        <v>11774.798014361888</v>
      </c>
      <c r="N14" s="267">
        <f t="shared" si="8"/>
        <v>10165.380952645282</v>
      </c>
      <c r="O14" s="267">
        <f t="shared" si="8"/>
        <v>11198.066125465419</v>
      </c>
      <c r="P14" s="267">
        <f t="shared" si="8"/>
        <v>7004.1171295980494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5447.0341009309013</v>
      </c>
      <c r="D19" s="26"/>
      <c r="E19" s="234"/>
      <c r="F19" s="26"/>
      <c r="G19" s="271">
        <f t="shared" ref="G19:Q19" si="9">IF(G$4="","",G14+G17)</f>
        <v>10035.089822910806</v>
      </c>
      <c r="H19" s="271">
        <f t="shared" si="9"/>
        <v>10105.319567779126</v>
      </c>
      <c r="I19" s="271">
        <f t="shared" si="9"/>
        <v>10567.598285887667</v>
      </c>
      <c r="J19" s="271">
        <f t="shared" si="9"/>
        <v>8501.9598291438597</v>
      </c>
      <c r="K19" s="271">
        <f t="shared" si="9"/>
        <v>5514.6384567438072</v>
      </c>
      <c r="L19" s="271">
        <f t="shared" si="9"/>
        <v>12231.693748932736</v>
      </c>
      <c r="M19" s="271">
        <f t="shared" si="9"/>
        <v>11774.798014361888</v>
      </c>
      <c r="N19" s="271">
        <f t="shared" si="9"/>
        <v>10165.380952645282</v>
      </c>
      <c r="O19" s="271">
        <f t="shared" si="9"/>
        <v>11198.066125465419</v>
      </c>
      <c r="P19" s="271">
        <f t="shared" si="9"/>
        <v>7004.1171295980494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0.18719229119350836</v>
      </c>
      <c r="H41" s="6">
        <f t="shared" si="16"/>
        <v>0.19616462812091257</v>
      </c>
      <c r="I41" s="6">
        <f t="shared" si="16"/>
        <v>0.19059745192960884</v>
      </c>
      <c r="J41" s="6">
        <f t="shared" si="16"/>
        <v>0.1858003900393044</v>
      </c>
      <c r="K41" s="6">
        <f t="shared" si="16"/>
        <v>0.20118924403012939</v>
      </c>
      <c r="L41" s="6">
        <f t="shared" si="16"/>
        <v>0.20043596298964791</v>
      </c>
      <c r="M41" s="6">
        <f t="shared" si="16"/>
        <v>0.19722052889858718</v>
      </c>
      <c r="N41" s="6">
        <f t="shared" si="16"/>
        <v>0.20911580318517065</v>
      </c>
      <c r="O41" s="6">
        <f t="shared" si="16"/>
        <v>0.20964008935377371</v>
      </c>
      <c r="P41" s="6">
        <f t="shared" si="16"/>
        <v>0.22104240371308304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87.027251507103628</v>
      </c>
      <c r="E46" s="237"/>
      <c r="G46" s="274">
        <f t="shared" ref="G46:Q46" si="17">IFERROR(IF(G$4="","",($C$46/$C$47)*G47),0)</f>
        <v>324.0898229108077</v>
      </c>
      <c r="H46" s="274">
        <f t="shared" si="17"/>
        <v>294.31956777912598</v>
      </c>
      <c r="I46" s="274">
        <f t="shared" si="17"/>
        <v>290.59828588766578</v>
      </c>
      <c r="J46" s="274">
        <f t="shared" si="17"/>
        <v>178.95982914385937</v>
      </c>
      <c r="K46" s="274">
        <f t="shared" si="17"/>
        <v>111.6384567438064</v>
      </c>
      <c r="L46" s="274">
        <f t="shared" si="17"/>
        <v>92.693748932736227</v>
      </c>
      <c r="M46" s="274">
        <f t="shared" si="17"/>
        <v>99.798014361887553</v>
      </c>
      <c r="N46" s="274">
        <f t="shared" si="17"/>
        <v>71.380952645282278</v>
      </c>
      <c r="O46" s="274">
        <f t="shared" si="17"/>
        <v>118.0661254654195</v>
      </c>
      <c r="P46" s="274">
        <f t="shared" si="17"/>
        <v>76.117129598049829</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-715.97274849289636</v>
      </c>
      <c r="E48" s="237"/>
      <c r="G48" s="267">
        <f>IF(G$4="","",(G45+G46))</f>
        <v>-478.9101770891923</v>
      </c>
      <c r="H48" s="267">
        <f t="shared" ref="H48:Q48" si="18">IF(H$4="","",(H45+H46))</f>
        <v>-665.68043222087408</v>
      </c>
      <c r="I48" s="267">
        <f t="shared" si="18"/>
        <v>-608.40171411233428</v>
      </c>
      <c r="J48" s="267">
        <f t="shared" si="18"/>
        <v>-604.04017085614066</v>
      </c>
      <c r="K48" s="267">
        <f t="shared" si="18"/>
        <v>-596.36154325619361</v>
      </c>
      <c r="L48" s="267">
        <f t="shared" si="18"/>
        <v>-895.30625106726382</v>
      </c>
      <c r="M48" s="267">
        <f t="shared" si="18"/>
        <v>-1030.2019856381125</v>
      </c>
      <c r="N48" s="267">
        <f t="shared" si="18"/>
        <v>-1073.6190473547176</v>
      </c>
      <c r="O48" s="267">
        <f t="shared" si="18"/>
        <v>-566.93387453458047</v>
      </c>
      <c r="P48" s="267">
        <f t="shared" si="18"/>
        <v>-500.88287040195019</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3.8277896800407193E-3</v>
      </c>
      <c r="D76" s="26"/>
      <c r="E76" s="234"/>
      <c r="F76" s="26"/>
      <c r="G76" s="6">
        <f t="shared" ref="G76:Q76" si="28">IF(G$4="","",ABS(G10/G$4))</f>
        <v>2.5603871619237638E-3</v>
      </c>
      <c r="H76" s="6">
        <f t="shared" si="28"/>
        <v>3.7533995975330362E-3</v>
      </c>
      <c r="I76" s="6">
        <f t="shared" si="28"/>
        <v>3.5383712959587673E-3</v>
      </c>
      <c r="J76" s="6">
        <f t="shared" si="28"/>
        <v>4.359821366439841E-3</v>
      </c>
      <c r="K76" s="6">
        <f t="shared" si="28"/>
        <v>5.4586369301534415E-3</v>
      </c>
      <c r="L76" s="6">
        <f t="shared" si="28"/>
        <v>7.9011786032252597E-3</v>
      </c>
      <c r="M76" s="6">
        <f t="shared" si="28"/>
        <v>9.7677252833802269E-3</v>
      </c>
      <c r="N76" s="6">
        <f t="shared" si="28"/>
        <v>1.2103116444825802E-2</v>
      </c>
      <c r="O76" s="6">
        <f t="shared" si="28"/>
        <v>6.9237912426977901E-3</v>
      </c>
      <c r="P76" s="6">
        <f t="shared" si="28"/>
        <v>1.2028598506326703E-2</v>
      </c>
      <c r="Q76" s="6" t="str">
        <f t="shared" si="28"/>
        <v/>
      </c>
    </row>
    <row r="77" spans="1:17" ht="15.75" customHeight="1">
      <c r="A77" s="10"/>
      <c r="B77" s="67" t="s">
        <v>137</v>
      </c>
      <c r="C77" s="75">
        <f>C11/C4</f>
        <v>8.360610358685619E-2</v>
      </c>
      <c r="D77" s="26"/>
      <c r="E77" s="234"/>
      <c r="F77" s="26"/>
      <c r="G77" s="62">
        <f t="shared" ref="G77:Q77" si="29">IF(G$4="","",G11/G$4)</f>
        <v>8.9336793210818763E-2</v>
      </c>
      <c r="H77" s="62">
        <f t="shared" si="29"/>
        <v>9.594550767267232E-2</v>
      </c>
      <c r="I77" s="62">
        <f t="shared" si="29"/>
        <v>9.7308416030147407E-2</v>
      </c>
      <c r="J77" s="62">
        <f t="shared" si="29"/>
        <v>0.1048089083787008</v>
      </c>
      <c r="K77" s="62">
        <f t="shared" si="29"/>
        <v>0.10523142540337212</v>
      </c>
      <c r="L77" s="62">
        <f t="shared" si="29"/>
        <v>0.17937653886961547</v>
      </c>
      <c r="M77" s="62">
        <f t="shared" si="29"/>
        <v>0.18133875049172171</v>
      </c>
      <c r="N77" s="62">
        <f t="shared" si="29"/>
        <v>0.19035218533859358</v>
      </c>
      <c r="O77" s="62">
        <f t="shared" si="29"/>
        <v>0.21560374838750176</v>
      </c>
      <c r="P77" s="62">
        <f t="shared" si="29"/>
        <v>0.28323328281256571</v>
      </c>
      <c r="Q77" s="62" t="str">
        <f t="shared" si="29"/>
        <v/>
      </c>
    </row>
    <row r="78" spans="1:17" ht="15.75" customHeight="1">
      <c r="A78" s="10"/>
      <c r="B78" s="2" t="s">
        <v>60</v>
      </c>
      <c r="C78" s="74">
        <f>ABS(C12/C$4)</f>
        <v>2.0901525896714047E-2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2.9121361060546077E-2</v>
      </c>
      <c r="D80" s="26"/>
      <c r="E80" s="234"/>
      <c r="F80" s="26"/>
      <c r="G80" s="62">
        <f t="shared" ref="G80:Q80" si="32">IF(G$4="","",ABS(G14/G$4))</f>
        <v>5.3650384519908507E-2</v>
      </c>
      <c r="H80" s="62">
        <f t="shared" si="32"/>
        <v>5.6978244458986693E-2</v>
      </c>
      <c r="I80" s="62">
        <f t="shared" si="32"/>
        <v>6.1459534999114052E-2</v>
      </c>
      <c r="J80" s="62">
        <f t="shared" si="32"/>
        <v>6.1365167265576732E-2</v>
      </c>
      <c r="K80" s="62">
        <f t="shared" si="32"/>
        <v>5.0476777848658658E-2</v>
      </c>
      <c r="L80" s="62">
        <f t="shared" si="32"/>
        <v>0.10794607634545671</v>
      </c>
      <c r="M80" s="62">
        <f t="shared" si="32"/>
        <v>0.11164120616632112</v>
      </c>
      <c r="N80" s="62">
        <f t="shared" si="32"/>
        <v>0.11459631764080538</v>
      </c>
      <c r="O80" s="62">
        <f t="shared" si="32"/>
        <v>0.13675858095143523</v>
      </c>
      <c r="P80" s="62">
        <f t="shared" si="32"/>
        <v>0.1682024238034161</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2.9121361060546077E-2</v>
      </c>
      <c r="D85" s="72"/>
      <c r="E85" s="234"/>
      <c r="F85" s="72"/>
      <c r="G85" s="62">
        <f t="shared" ref="G85:Q85" si="35">IF(G$4="","",ABS(G19/G$4))</f>
        <v>5.3650384519908507E-2</v>
      </c>
      <c r="H85" s="62">
        <f t="shared" si="35"/>
        <v>5.6978244458986693E-2</v>
      </c>
      <c r="I85" s="62">
        <f t="shared" si="35"/>
        <v>6.1459534999114052E-2</v>
      </c>
      <c r="J85" s="62">
        <f t="shared" si="35"/>
        <v>6.1365167265576732E-2</v>
      </c>
      <c r="K85" s="62">
        <f t="shared" si="35"/>
        <v>5.0476777848658658E-2</v>
      </c>
      <c r="L85" s="62">
        <f t="shared" si="35"/>
        <v>0.10794607634545671</v>
      </c>
      <c r="M85" s="62">
        <f t="shared" si="35"/>
        <v>0.11164120616632112</v>
      </c>
      <c r="N85" s="62">
        <f t="shared" si="35"/>
        <v>0.11459631764080538</v>
      </c>
      <c r="O85" s="62">
        <f t="shared" si="35"/>
        <v>0.13675858095143523</v>
      </c>
      <c r="P85" s="62">
        <f t="shared" si="35"/>
        <v>0.1682024238034161</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0.35472610619659417</v>
      </c>
      <c r="E88" s="237"/>
      <c r="G88" s="109">
        <f>Data!C65</f>
        <v>0.35472610619659417</v>
      </c>
      <c r="H88" s="109">
        <f>Data!D65</f>
        <v>0.31878172558135986</v>
      </c>
      <c r="I88" s="109">
        <f>Data!E65</f>
        <v>0.28519619494400023</v>
      </c>
      <c r="J88" s="109">
        <f>Data!F65</f>
        <v>0.23341382162017821</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3071.5030142072592</v>
      </c>
      <c r="E89" s="237"/>
      <c r="G89" s="71">
        <f t="shared" ref="G89:Q89" si="36">IF(G$4="","",G88*Common_Shares/scaling_factor)</f>
        <v>3071.5030142072592</v>
      </c>
      <c r="H89" s="71">
        <f t="shared" si="36"/>
        <v>2760.2677499430661</v>
      </c>
      <c r="I89" s="71">
        <f t="shared" si="36"/>
        <v>2469.4572998962103</v>
      </c>
      <c r="J89" s="71">
        <f t="shared" si="36"/>
        <v>2021.0839973156064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0.5638854020910824</v>
      </c>
      <c r="E90" s="237"/>
      <c r="G90" s="152">
        <f t="shared" ref="G90:Q90" si="37">IF(G$4="","",G88/(G19*scaling_factor/Common_Shares))</f>
        <v>0.30607628515639235</v>
      </c>
      <c r="H90" s="152">
        <f t="shared" si="37"/>
        <v>0.27314997130265889</v>
      </c>
      <c r="I90" s="152">
        <f t="shared" si="37"/>
        <v>0.2336819808143169</v>
      </c>
      <c r="J90" s="152">
        <f t="shared" si="37"/>
        <v>0.23771977731387703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3.9906686947116847E-2</v>
      </c>
      <c r="E92" s="237"/>
      <c r="G92" s="22">
        <f t="shared" ref="G92:Q92" si="38">IF(G$4="","",(G88*(1-dividend_tax_rate))/Market_Price)</f>
        <v>3.9906686947116847E-2</v>
      </c>
      <c r="H92" s="22">
        <f t="shared" si="38"/>
        <v>3.5862944127902988E-2</v>
      </c>
      <c r="I92" s="22">
        <f t="shared" si="38"/>
        <v>3.2084571931200026E-2</v>
      </c>
      <c r="J92" s="22">
        <f t="shared" si="38"/>
        <v>2.625905493227005E-2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-6.4147026303475796E-2</v>
      </c>
      <c r="D96" s="26"/>
      <c r="E96" s="234"/>
      <c r="F96" s="26"/>
      <c r="G96" s="6">
        <f t="shared" ref="G96:Q96" si="40">IF(H5="","",G11/H11-1)</f>
        <v>-1.7996238472635095E-2</v>
      </c>
      <c r="H96" s="6">
        <f t="shared" si="40"/>
        <v>1.7016980507571056E-2</v>
      </c>
      <c r="I96" s="6">
        <f t="shared" si="40"/>
        <v>0.15223776408409395</v>
      </c>
      <c r="J96" s="6">
        <f t="shared" si="40"/>
        <v>0.26306136213460007</v>
      </c>
      <c r="K96" s="6">
        <f t="shared" si="40"/>
        <v>-0.43437903774637587</v>
      </c>
      <c r="L96" s="6">
        <f t="shared" si="40"/>
        <v>6.2737028471691714E-2</v>
      </c>
      <c r="M96" s="6">
        <f t="shared" si="40"/>
        <v>0.13268383271895434</v>
      </c>
      <c r="N96" s="6">
        <f t="shared" si="40"/>
        <v>-4.3541536967018235E-2</v>
      </c>
      <c r="O96" s="6">
        <f t="shared" si="40"/>
        <v>0.49685355262086328</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1.2470242141161179</v>
      </c>
      <c r="H113" s="251">
        <f>IF(H$4="","",Data!D$22/H19)</f>
        <v>1.4257837076167286</v>
      </c>
      <c r="I113" s="251">
        <f>IF(I$4="","",Data!E$22/I19)</f>
        <v>1.4071314595538618</v>
      </c>
      <c r="J113" s="251">
        <f>IF(J$4="","",Data!F$22/J19)</f>
        <v>1.4114392729621248</v>
      </c>
      <c r="K113" s="251">
        <f>IF(K$4="","",Data!G$22/K19)</f>
        <v>3.0351944431699298</v>
      </c>
      <c r="L113" s="251">
        <f>IF(L$4="","",Data!H$22/L19)</f>
        <v>1.315026383930147</v>
      </c>
      <c r="M113" s="251">
        <f>IF(M$4="","",Data!I$22/M19)</f>
        <v>1.4452901849562858</v>
      </c>
      <c r="N113" s="251">
        <f>IF(N$4="","",Data!J$22/N19)</f>
        <v>1.3070833313474981</v>
      </c>
      <c r="O113" s="251">
        <f>IF(O$4="","",Data!K$22/O19)</f>
        <v>1.4064035542874089</v>
      </c>
      <c r="P113" s="251">
        <f>IF(P$4="","",Data!L$22/P19)</f>
        <v>1.9088772721262692</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8.360610358685619E-2</v>
      </c>
      <c r="E116" s="22">
        <f>E119/E117/E118</f>
        <v>8.360610358685619E-2</v>
      </c>
      <c r="G116" s="22">
        <f t="shared" ref="G116:Q116" si="44">IF(G4="","",G77)</f>
        <v>8.9336793210818763E-2</v>
      </c>
      <c r="H116" s="22">
        <f t="shared" si="44"/>
        <v>9.594550767267232E-2</v>
      </c>
      <c r="I116" s="22">
        <f t="shared" si="44"/>
        <v>9.7308416030147407E-2</v>
      </c>
      <c r="J116" s="22">
        <f t="shared" si="44"/>
        <v>0.1048089083787008</v>
      </c>
      <c r="K116" s="22">
        <f t="shared" si="44"/>
        <v>0.10523142540337212</v>
      </c>
      <c r="L116" s="22">
        <f t="shared" si="44"/>
        <v>0.17937653886961547</v>
      </c>
      <c r="M116" s="22">
        <f t="shared" si="44"/>
        <v>0.18133875049172171</v>
      </c>
      <c r="N116" s="22">
        <f t="shared" si="44"/>
        <v>0.19035218533859358</v>
      </c>
      <c r="O116" s="22">
        <f t="shared" si="44"/>
        <v>0.21560374838750176</v>
      </c>
      <c r="P116" s="22">
        <f t="shared" si="44"/>
        <v>0.28323328281256571</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0.17171989339292729</v>
      </c>
      <c r="D119" s="100"/>
      <c r="E119" s="453">
        <f>C11/C104</f>
        <v>0.17171989339292729</v>
      </c>
      <c r="F119" s="100"/>
      <c r="G119" s="99">
        <f t="shared" ref="G119:Q119" si="47">IF(G$4="","",G11/G104)</f>
        <v>0.18349024710008791</v>
      </c>
      <c r="H119" s="99">
        <f t="shared" si="47"/>
        <v>0.19836470591817873</v>
      </c>
      <c r="I119" s="99">
        <f t="shared" si="47"/>
        <v>0.20732569559475189</v>
      </c>
      <c r="J119" s="99">
        <f t="shared" si="47"/>
        <v>0.1914153495095485</v>
      </c>
      <c r="K119" s="99">
        <f t="shared" si="47"/>
        <v>0.13601143370454183</v>
      </c>
      <c r="L119" s="99">
        <f t="shared" si="47"/>
        <v>0.25668616213844458</v>
      </c>
      <c r="M119" s="99">
        <f t="shared" si="47"/>
        <v>0.27285927489317041</v>
      </c>
      <c r="N119" s="99">
        <f t="shared" si="47"/>
        <v>0.25730104308792812</v>
      </c>
      <c r="O119" s="99">
        <f t="shared" si="47"/>
        <v>0.26626345905110504</v>
      </c>
      <c r="P119" s="99">
        <f t="shared" si="47"/>
        <v>0.16771112464589685</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0.70661577068715398</v>
      </c>
      <c r="D123" s="26"/>
      <c r="E123" s="234"/>
      <c r="F123" s="26"/>
      <c r="G123" s="159">
        <f t="shared" ref="G123:Q123" si="48">IF(G$4="","",G14*$C$3/Common_Shares*Exchange_Rate)</f>
        <v>1.3018006859768121</v>
      </c>
      <c r="H123" s="159">
        <f t="shared" si="48"/>
        <v>1.310911230242876</v>
      </c>
      <c r="I123" s="159">
        <f t="shared" si="48"/>
        <v>1.3708802751608635</v>
      </c>
      <c r="J123" s="159">
        <f t="shared" si="48"/>
        <v>1.1029156024551061</v>
      </c>
      <c r="K123" s="159">
        <f t="shared" si="48"/>
        <v>0.71538573670891625</v>
      </c>
      <c r="L123" s="159">
        <f t="shared" si="48"/>
        <v>1.5867548366796962</v>
      </c>
      <c r="M123" s="159">
        <f t="shared" si="48"/>
        <v>1.5274840985816405</v>
      </c>
      <c r="N123" s="159">
        <f t="shared" si="48"/>
        <v>1.3187026853667725</v>
      </c>
      <c r="O123" s="159">
        <f t="shared" si="48"/>
        <v>1.4526676313811158</v>
      </c>
      <c r="P123" s="159">
        <f t="shared" si="48"/>
        <v>0.90860815845970144</v>
      </c>
      <c r="Q123" s="159" t="str">
        <f t="shared" si="48"/>
        <v/>
      </c>
    </row>
    <row r="124" spans="1:17" ht="15.75" customHeight="1">
      <c r="A124" s="10"/>
      <c r="B124" s="26" t="s">
        <v>226</v>
      </c>
      <c r="C124" s="74">
        <f>C19*Exchange_Rate*$C$3/(Market_Price*Common_Shares)</f>
        <v>8.8326971335894247E-2</v>
      </c>
      <c r="D124" s="26"/>
      <c r="E124" s="234"/>
      <c r="F124" s="26"/>
      <c r="G124" s="74">
        <f t="shared" ref="G124" si="49">IF(G$4="","",G123/Market_Price)</f>
        <v>0.16272508574710151</v>
      </c>
      <c r="H124" s="74">
        <f t="shared" ref="H124" si="50">IF(H$4="","",H123/Market_Price)</f>
        <v>0.1638639037803595</v>
      </c>
      <c r="I124" s="74">
        <f t="shared" ref="I124" si="51">IF(I$4="","",I123/Market_Price)</f>
        <v>0.17136003439510794</v>
      </c>
      <c r="J124" s="74">
        <f t="shared" ref="J124" si="52">IF(J$4="","",J123/Market_Price)</f>
        <v>0.13786445030688826</v>
      </c>
      <c r="K124" s="74">
        <f t="shared" ref="K124" si="53">IF(K$4="","",K123/Market_Price)</f>
        <v>8.9423217088614532E-2</v>
      </c>
      <c r="L124" s="74">
        <f t="shared" ref="L124" si="54">IF(L$4="","",L123/Market_Price)</f>
        <v>0.19834435458496202</v>
      </c>
      <c r="M124" s="74">
        <f t="shared" ref="M124" si="55">IF(M$4="","",M123/Market_Price)</f>
        <v>0.19093551232270506</v>
      </c>
      <c r="N124" s="74">
        <f t="shared" ref="N124" si="56">IF(N$4="","",N123/Market_Price)</f>
        <v>0.16483783567084656</v>
      </c>
      <c r="O124" s="74">
        <f t="shared" ref="O124" si="57">IF(O$4="","",O123/Market_Price)</f>
        <v>0.18158345392263947</v>
      </c>
      <c r="P124" s="74">
        <f t="shared" ref="P124" si="58">IF(P$4="","",P123/Market_Price)</f>
        <v>0.11357601980746268</v>
      </c>
      <c r="Q124" s="74" t="str">
        <f t="shared" ref="Q124" si="59">IF(Q$4="","",Q123/Market_Price)</f>
        <v/>
      </c>
    </row>
    <row r="125" spans="1:17" ht="15.75" customHeight="1">
      <c r="B125" s="2" t="s">
        <v>306</v>
      </c>
      <c r="C125" s="151"/>
      <c r="G125" s="22">
        <f>IF(G$4="","",(Data!C47*$C$3)/(Market_Price*Common_Shares))</f>
        <v>0.13724474125583014</v>
      </c>
      <c r="H125" s="22">
        <f>IF(H$4="","",(Data!D47*$C$3)/(Market_Price*Common_Shares))</f>
        <v>0.13360682447908992</v>
      </c>
      <c r="I125" s="22">
        <f>IF(I$4="","",(Data!E47*$C$3)/(Market_Price*Common_Shares))</f>
        <v>0.11841996555396808</v>
      </c>
      <c r="J125" s="22">
        <f>IF(J$4="","",(Data!F47*$C$3)/(Market_Price*Common_Shares))</f>
        <v>0.38020561170240857</v>
      </c>
      <c r="K125" s="22">
        <f>IF(K$4="","",(Data!G47*$C$3)/(Market_Price*Common_Shares))</f>
        <v>0.14049288123506246</v>
      </c>
      <c r="L125" s="22">
        <f>IF(L$4="","",(Data!H47*$C$3)/(Market_Price*Common_Shares))</f>
        <v>0.13816865662770067</v>
      </c>
      <c r="M125" s="22">
        <f>IF(M$4="","",(Data!I47*$C$3)/(Market_Price*Common_Shares))</f>
        <v>0.11856432733082285</v>
      </c>
      <c r="N125" s="22">
        <f>IF(N$4="","",(Data!J47*$C$3)/(Market_Price*Common_Shares))</f>
        <v>0.11475317642185692</v>
      </c>
      <c r="O125" s="22">
        <f>IF(O$4="","",(Data!K47*$C$3)/(Market_Price*Common_Shares))</f>
        <v>4.9285110618218581E-2</v>
      </c>
      <c r="P125" s="22">
        <f>IF(P$4="","",(Data!L47*$C$3)/(Market_Price*Common_Shares))</f>
        <v>3.3491932230306713E-2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5447.0341009309013</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28370.458082149395</v>
      </c>
      <c r="G5" t="str">
        <f>Reporting_currency</f>
        <v>CNY</v>
      </c>
      <c r="H5" s="308" t="s">
        <v>395</v>
      </c>
      <c r="I5" s="305">
        <f>Normalized_FCF!C7</f>
        <v>-5830</v>
      </c>
      <c r="J5" s="305"/>
    </row>
    <row r="6" spans="2:15" ht="13.25" customHeight="1">
      <c r="B6" s="136" t="s">
        <v>194</v>
      </c>
      <c r="C6" s="283">
        <f>(C4*(1+Terminal_Growth))/(Equity_Cost-Terminal_Growth)</f>
        <v>105828.09110380038</v>
      </c>
      <c r="D6" t="str">
        <f>Reporting_currency</f>
        <v>CNY</v>
      </c>
      <c r="E6" s="187" t="s">
        <v>433</v>
      </c>
      <c r="F6" s="284">
        <f>BS!H42</f>
        <v>174</v>
      </c>
      <c r="G6" t="str">
        <f>Reporting_currency</f>
        <v>CNY</v>
      </c>
      <c r="H6" s="308" t="s">
        <v>416</v>
      </c>
      <c r="I6" s="305">
        <f>I7+I8</f>
        <v>-424.81274849289633</v>
      </c>
      <c r="J6" s="305"/>
      <c r="N6" s="135"/>
    </row>
    <row r="7" spans="2:15" ht="12.75" customHeight="1">
      <c r="B7" s="318" t="s">
        <v>430</v>
      </c>
      <c r="C7" s="275">
        <f>F7</f>
        <v>8119.4580821493946</v>
      </c>
      <c r="E7" s="140" t="s">
        <v>424</v>
      </c>
      <c r="F7" s="283">
        <f>SUM(F4:F6)</f>
        <v>8119.4580821493946</v>
      </c>
      <c r="G7" t="str">
        <f>Reporting_currency</f>
        <v>CNY</v>
      </c>
      <c r="H7" s="312" t="s">
        <v>417</v>
      </c>
      <c r="I7" s="313">
        <f>Normalized_FCF!C9</f>
        <v>291.16000000000003</v>
      </c>
      <c r="J7" s="313"/>
      <c r="N7" s="304"/>
      <c r="O7" s="304"/>
    </row>
    <row r="8" spans="2:15" ht="13.15">
      <c r="B8" s="136" t="s">
        <v>426</v>
      </c>
      <c r="C8" s="283">
        <f>C6+C7</f>
        <v>113947.54918594979</v>
      </c>
      <c r="D8" t="str">
        <f>Reporting_currency</f>
        <v>CNY</v>
      </c>
      <c r="E8" s="140" t="s">
        <v>464</v>
      </c>
      <c r="F8" s="108">
        <f>FV_adjustments*scaling_factor/Common_Shares*Exchange_Rate</f>
        <v>1.0532956144518208</v>
      </c>
      <c r="G8" s="294" t="str">
        <f>Market_currency</f>
        <v>HKD</v>
      </c>
      <c r="H8" s="314" t="str">
        <f>Normalized_FCF!B10</f>
        <v>Net Interest Income</v>
      </c>
      <c r="I8" s="313">
        <f>Normalized_FCF!C10</f>
        <v>-715.97274849289636</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127992.93994102872</v>
      </c>
      <c r="D10" t="str">
        <f>Market_currency</f>
        <v>HKD</v>
      </c>
      <c r="H10" s="308" t="s">
        <v>397</v>
      </c>
      <c r="I10" s="306">
        <f>Normalized_FCF!C41</f>
        <v>0.25</v>
      </c>
      <c r="N10" s="304"/>
      <c r="O10" s="304"/>
    </row>
    <row r="11" spans="2:15" ht="13.15">
      <c r="B11" s="136" t="s">
        <v>425</v>
      </c>
      <c r="C11" s="108">
        <f>(C10*scaling_factor)/Common_Shares</f>
        <v>14.781830587802244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8.360610358685619E-2</v>
      </c>
      <c r="E17" s="308" t="s">
        <v>549</v>
      </c>
      <c r="F17" s="311">
        <f>Scenarios!C40</f>
        <v>8.360610358685619E-2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11.044506903318883</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8.360610358685619E-2</v>
      </c>
      <c r="F21" s="277">
        <f>C21*E21</f>
        <v>15676.838795718642</v>
      </c>
      <c r="G21" s="299">
        <f t="shared" ref="G21:G50" si="2">IF(A21="",0%,IF(A21="I",$C$18,$F$18))</f>
        <v>0</v>
      </c>
      <c r="H21" s="277">
        <f>(F21*(1-$I$10)+C21*(G21-$I$9))</f>
        <v>5460.4970602872418</v>
      </c>
      <c r="I21" s="299">
        <f>H21/C4-1</f>
        <v>2.4716128276192073E-3</v>
      </c>
      <c r="J21" s="299">
        <f>H21/C21</f>
        <v>2.9121361060546073E-2</v>
      </c>
      <c r="K21" s="119">
        <f t="shared" ref="K21:K50" si="3">IF($C$15&lt;B21,0,1/(1+Equity_Cost)^B21)</f>
        <v>0.93240093240093236</v>
      </c>
      <c r="L21" s="277">
        <f t="shared" ref="L21:L51" si="4">H21*K21</f>
        <v>5091.3725503843743</v>
      </c>
    </row>
    <row r="22" spans="1:21">
      <c r="A22" s="302" t="str">
        <f t="shared" si="0"/>
        <v>I</v>
      </c>
      <c r="B22" s="117">
        <v>2</v>
      </c>
      <c r="C22" s="277">
        <f t="shared" ref="C22:C50" si="5">IF(A22="",0,C21*(1+D22))</f>
        <v>187971.75322560215</v>
      </c>
      <c r="D22" s="299">
        <f t="shared" si="1"/>
        <v>2.47161282761951E-3</v>
      </c>
      <c r="E22" s="299">
        <f t="shared" ref="E22:E50" si="6">IF($C$15&lt;B22,0,IF(B22&gt;=$F$15,$F$17,$C$17))</f>
        <v>8.360610358685619E-2</v>
      </c>
      <c r="F22" s="277">
        <f t="shared" ref="F22:F50" si="7">IF(A22="", 0,C22*E22)</f>
        <v>15715.585871582663</v>
      </c>
      <c r="G22" s="299">
        <f t="shared" si="2"/>
        <v>0</v>
      </c>
      <c r="H22" s="277">
        <f t="shared" ref="H22:H50" si="8">IF(A22="", 0,F22*(1-$I$10)+C22*(G22-$I$9))</f>
        <v>5473.9932948666274</v>
      </c>
      <c r="I22" s="299">
        <f t="shared" ref="I22:I50" si="9">IF(A22="", 0,H22/H21-1)</f>
        <v>2.4716128276196514E-3</v>
      </c>
      <c r="J22" s="299">
        <f>IF(A22="", 0,H22/C22)</f>
        <v>2.912136106054608E-2</v>
      </c>
      <c r="K22" s="119">
        <f t="shared" si="3"/>
        <v>0.86937149874212816</v>
      </c>
      <c r="L22" s="277">
        <f t="shared" si="4"/>
        <v>4758.9337548625599</v>
      </c>
    </row>
    <row r="23" spans="1:21">
      <c r="A23" s="302" t="str">
        <f t="shared" si="0"/>
        <v>I</v>
      </c>
      <c r="B23" s="117">
        <v>3</v>
      </c>
      <c r="C23" s="277">
        <f t="shared" si="5"/>
        <v>188436.34662210467</v>
      </c>
      <c r="D23" s="299">
        <f t="shared" si="1"/>
        <v>2.47161282761951E-3</v>
      </c>
      <c r="E23" s="299">
        <f t="shared" si="6"/>
        <v>8.360610358685619E-2</v>
      </c>
      <c r="F23" s="277">
        <f t="shared" si="7"/>
        <v>15754.428715216422</v>
      </c>
      <c r="G23" s="299">
        <f t="shared" si="2"/>
        <v>0</v>
      </c>
      <c r="H23" s="277">
        <f t="shared" si="8"/>
        <v>5487.5228869125222</v>
      </c>
      <c r="I23" s="299">
        <f t="shared" si="9"/>
        <v>2.4716128276194294E-3</v>
      </c>
      <c r="J23" s="299">
        <f t="shared" ref="J23:J50" si="10">IF(A23="", 0,H23/C23)</f>
        <v>2.9121361060546077E-2</v>
      </c>
      <c r="K23" s="119">
        <f t="shared" si="3"/>
        <v>0.81060279602995633</v>
      </c>
      <c r="L23" s="277">
        <f t="shared" si="4"/>
        <v>4448.2013954096683</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8.360610358685619E-2</v>
      </c>
      <c r="F24" s="277">
        <f t="shared" si="7"/>
        <v>15793.367563320766</v>
      </c>
      <c r="G24" s="299">
        <f t="shared" si="2"/>
        <v>0</v>
      </c>
      <c r="H24" s="277">
        <f t="shared" si="8"/>
        <v>5501.0859188716686</v>
      </c>
      <c r="I24" s="299">
        <f t="shared" si="9"/>
        <v>2.4716128276192073E-3</v>
      </c>
      <c r="J24" s="299">
        <f t="shared" si="10"/>
        <v>2.9121361060546067E-2</v>
      </c>
      <c r="K24" s="119">
        <f t="shared" si="3"/>
        <v>0.75580680282513402</v>
      </c>
      <c r="L24" s="277">
        <f t="shared" si="4"/>
        <v>4157.75816040876</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8.360610358685619E-2</v>
      </c>
      <c r="F25" s="277">
        <f t="shared" si="7"/>
        <v>15832.402653181578</v>
      </c>
      <c r="G25" s="299">
        <f t="shared" si="2"/>
        <v>0</v>
      </c>
      <c r="H25" s="277">
        <f t="shared" si="8"/>
        <v>5514.6824733945896</v>
      </c>
      <c r="I25" s="299">
        <f t="shared" si="9"/>
        <v>2.4716128276196514E-3</v>
      </c>
      <c r="J25" s="299">
        <f t="shared" si="10"/>
        <v>2.9121361060546073E-2</v>
      </c>
      <c r="K25" s="119">
        <f t="shared" si="3"/>
        <v>0.70471496766912267</v>
      </c>
      <c r="L25" s="277">
        <f t="shared" si="4"/>
        <v>3886.2792809437456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8.360610358685619E-2</v>
      </c>
      <c r="F51" s="277">
        <f>C51*E51</f>
        <v>16149.050706245211</v>
      </c>
      <c r="G51" s="299">
        <f>F18</f>
        <v>0</v>
      </c>
      <c r="H51" s="277">
        <f>(F51*(1-$I$10)+C51*(G51-$I$9))/Equity_Cost</f>
        <v>77585.877556723892</v>
      </c>
      <c r="I51" s="415">
        <f>(F51*(1-$I$10)+C51*(G51-$I$9))/VLOOKUP(C15,B21:H50,COLUMN(H20)-1,FALSE)-1</f>
        <v>2.0000000000000018E-2</v>
      </c>
      <c r="J51" s="454"/>
      <c r="K51" s="119">
        <f>1/(1+Equity_Cost)^C15</f>
        <v>0.70471496766912267</v>
      </c>
      <c r="L51" s="277">
        <f t="shared" si="4"/>
        <v>54675.929193967189</v>
      </c>
    </row>
    <row r="52" spans="1:21" ht="13.15">
      <c r="G52" s="111"/>
      <c r="H52" s="111"/>
      <c r="I52" s="111"/>
      <c r="J52" s="468" t="s">
        <v>420</v>
      </c>
      <c r="K52" s="468"/>
      <c r="L52" s="317">
        <f>SUM(L21:L51)</f>
        <v>77018.474335976294</v>
      </c>
    </row>
    <row r="53" spans="1:21">
      <c r="C53" s="111"/>
    </row>
    <row r="54" spans="1:21" ht="13.15">
      <c r="B54" s="115" t="s">
        <v>108</v>
      </c>
      <c r="C54" s="128"/>
      <c r="D54" s="128"/>
      <c r="E54" s="113"/>
      <c r="F54" s="113"/>
      <c r="G54" s="113"/>
      <c r="H54" s="113"/>
      <c r="I54" s="113"/>
      <c r="J54" s="113"/>
      <c r="K54" s="113"/>
      <c r="L54" s="113"/>
    </row>
    <row r="55" spans="1:21" ht="13.15">
      <c r="A55" s="125">
        <f>L52</f>
        <v>77018.474335976294</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68879.302689369768</v>
      </c>
      <c r="C56" s="118">
        <v>76532.558543744206</v>
      </c>
      <c r="D56" s="118">
        <v>78063.209714619079</v>
      </c>
      <c r="E56" s="118">
        <v>79593.860885493938</v>
      </c>
      <c r="F56" s="118">
        <v>81124.512056368854</v>
      </c>
      <c r="G56" s="295"/>
      <c r="H56" s="295"/>
      <c r="I56" s="295"/>
      <c r="J56" s="295"/>
      <c r="K56" s="295"/>
      <c r="L56" s="295"/>
    </row>
    <row r="57" spans="1:21" ht="13.15">
      <c r="A57" s="131">
        <v>2</v>
      </c>
      <c r="B57" s="118">
        <v>62371.751152699879</v>
      </c>
      <c r="C57" s="118">
        <v>76437.848619743687</v>
      </c>
      <c r="D57" s="118">
        <v>79422.32978262096</v>
      </c>
      <c r="E57" s="118">
        <v>82463.898168654428</v>
      </c>
      <c r="F57" s="118">
        <v>85562.553777844034</v>
      </c>
      <c r="G57" s="295"/>
      <c r="H57" s="295"/>
      <c r="I57" s="295"/>
      <c r="J57" s="295"/>
      <c r="K57" s="295"/>
      <c r="L57" s="295"/>
    </row>
    <row r="58" spans="1:21" ht="13.15">
      <c r="A58" s="131">
        <v>3</v>
      </c>
      <c r="B58" s="118">
        <v>56910.868744305531</v>
      </c>
      <c r="C58" s="118">
        <v>76349.540998297991</v>
      </c>
      <c r="D58" s="118">
        <v>80714.919497643772</v>
      </c>
      <c r="E58" s="118">
        <v>85246.964625052424</v>
      </c>
      <c r="F58" s="118">
        <v>89948.87007133002</v>
      </c>
      <c r="G58" s="295"/>
      <c r="H58" s="295"/>
      <c r="I58" s="295"/>
      <c r="J58" s="295"/>
      <c r="K58" s="295"/>
      <c r="L58" s="295"/>
    </row>
    <row r="59" spans="1:21" ht="13.15">
      <c r="A59" s="131">
        <v>4</v>
      </c>
      <c r="B59" s="118">
        <v>52328.310079918687</v>
      </c>
      <c r="C59" s="118">
        <v>76267.202889723907</v>
      </c>
      <c r="D59" s="118">
        <v>81944.235590252822</v>
      </c>
      <c r="E59" s="118">
        <v>87945.695734286855</v>
      </c>
      <c r="F59" s="118">
        <v>94284.063797292838</v>
      </c>
      <c r="G59" s="295"/>
      <c r="H59" s="295"/>
      <c r="I59" s="295"/>
      <c r="J59" s="295"/>
      <c r="K59" s="295"/>
      <c r="L59" s="295"/>
    </row>
    <row r="60" spans="1:21" ht="13.15">
      <c r="A60" s="131">
        <v>5</v>
      </c>
      <c r="B60" s="118">
        <v>48482.806305608043</v>
      </c>
      <c r="C60" s="118">
        <v>76190.430760517309</v>
      </c>
      <c r="D60" s="118">
        <v>83113.375370636262</v>
      </c>
      <c r="E60" s="118">
        <v>90562.64711293843</v>
      </c>
      <c r="F60" s="118">
        <v>98568.730789852823</v>
      </c>
      <c r="G60" s="295"/>
      <c r="H60" s="295"/>
      <c r="I60" s="295"/>
      <c r="J60" s="295"/>
      <c r="K60" s="295"/>
      <c r="L60" s="295"/>
    </row>
    <row r="61" spans="1:21" ht="13.15">
      <c r="A61" s="131">
        <v>6</v>
      </c>
      <c r="B61" s="118">
        <v>45255.810131361366</v>
      </c>
      <c r="C61" s="118">
        <v>76118.84835566266</v>
      </c>
      <c r="D61" s="118">
        <v>84225.284532399528</v>
      </c>
      <c r="E61" s="118">
        <v>93100.296934661179</v>
      </c>
      <c r="F61" s="118">
        <v>102803.45993867672</v>
      </c>
      <c r="G61" s="295"/>
      <c r="H61" s="295"/>
      <c r="I61" s="295"/>
      <c r="J61" s="295"/>
      <c r="K61" s="295"/>
      <c r="L61" s="295"/>
    </row>
    <row r="62" spans="1:21" ht="13.15">
      <c r="A62" s="131">
        <v>7</v>
      </c>
      <c r="B62" s="118">
        <v>42547.841313811688</v>
      </c>
      <c r="C62" s="118">
        <v>76052.104854632693</v>
      </c>
      <c r="D62" s="118">
        <v>85282.764574356232</v>
      </c>
      <c r="E62" s="118">
        <v>95561.0482769378</v>
      </c>
      <c r="F62" s="118">
        <v>106988.83326991524</v>
      </c>
      <c r="G62" s="295"/>
      <c r="H62" s="295"/>
      <c r="I62" s="295"/>
      <c r="J62" s="295"/>
      <c r="K62" s="295"/>
      <c r="L62" s="295"/>
    </row>
    <row r="63" spans="1:21" ht="13.15">
      <c r="A63" s="131">
        <v>8</v>
      </c>
      <c r="B63" s="118">
        <v>40275.419928455325</v>
      </c>
      <c r="C63" s="118">
        <v>75989.873152040644</v>
      </c>
      <c r="D63" s="118">
        <v>86288.479859014333</v>
      </c>
      <c r="E63" s="118">
        <v>97947.231396721152</v>
      </c>
      <c r="F63" s="118">
        <v>111125.42602619756</v>
      </c>
      <c r="G63" s="295"/>
      <c r="H63" s="295"/>
      <c r="I63" s="295"/>
      <c r="J63" s="295"/>
      <c r="K63" s="295"/>
      <c r="L63" s="295"/>
    </row>
    <row r="64" spans="1:21" ht="13.15">
      <c r="A64" s="131">
        <v>9</v>
      </c>
      <c r="B64" s="118">
        <v>38368.49289179263</v>
      </c>
      <c r="C64" s="118">
        <v>75931.848254518918</v>
      </c>
      <c r="D64" s="118">
        <v>87244.9643255423</v>
      </c>
      <c r="E64" s="118">
        <v>100261.10593711714</v>
      </c>
      <c r="F64" s="118">
        <v>115213.80674569338</v>
      </c>
      <c r="G64" s="295"/>
      <c r="H64" s="295"/>
      <c r="I64" s="295"/>
      <c r="J64" s="295"/>
      <c r="K64" s="295"/>
      <c r="L64" s="295"/>
    </row>
    <row r="65" spans="1:21" ht="13.15">
      <c r="A65" s="131">
        <v>10</v>
      </c>
      <c r="B65" s="118">
        <v>36768.274399488284</v>
      </c>
      <c r="C65" s="118">
        <v>75877.745785967199</v>
      </c>
      <c r="D65" s="118">
        <v>88154.627874128375</v>
      </c>
      <c r="E65" s="118">
        <v>102504.86306719809</v>
      </c>
      <c r="F65" s="118">
        <v>119254.53734025339</v>
      </c>
      <c r="G65" s="295"/>
      <c r="H65" s="295"/>
      <c r="I65" s="295"/>
      <c r="J65" s="295"/>
      <c r="K65" s="295"/>
      <c r="L65" s="295"/>
    </row>
    <row r="66" spans="1:21" ht="13.15">
      <c r="A66" s="131">
        <v>15</v>
      </c>
      <c r="B66" s="118">
        <v>31893.539726208015</v>
      </c>
      <c r="C66" s="277">
        <v>75657.392004236506</v>
      </c>
      <c r="D66" s="118">
        <v>92077.036228192708</v>
      </c>
      <c r="E66" s="118">
        <v>112744.04153070608</v>
      </c>
      <c r="F66" s="118">
        <v>138762.651167184</v>
      </c>
      <c r="G66" s="295"/>
      <c r="H66" s="295"/>
      <c r="I66" s="295"/>
      <c r="J66" s="295"/>
      <c r="K66" s="295"/>
      <c r="L66" s="295"/>
      <c r="M66" s="275"/>
      <c r="N66" s="275"/>
      <c r="O66" s="275"/>
      <c r="P66" s="275"/>
      <c r="Q66" s="275"/>
      <c r="R66" s="275"/>
      <c r="S66" s="275"/>
      <c r="T66" s="275"/>
      <c r="U66" s="275"/>
    </row>
    <row r="67" spans="1:21" ht="13.15">
      <c r="A67" s="132">
        <v>20</v>
      </c>
      <c r="B67" s="118">
        <v>29865.030322220064</v>
      </c>
      <c r="C67" s="277">
        <v>75502.105396068393</v>
      </c>
      <c r="D67" s="118">
        <v>95128.914166339309</v>
      </c>
      <c r="E67" s="118">
        <v>121523.04670102961</v>
      </c>
      <c r="F67" s="118">
        <v>157160.12115015229</v>
      </c>
      <c r="G67" s="295"/>
      <c r="H67" s="295"/>
      <c r="I67" s="295"/>
      <c r="J67" s="295"/>
      <c r="K67" s="295"/>
      <c r="L67" s="295"/>
      <c r="M67" s="275"/>
      <c r="N67" s="275"/>
      <c r="O67" s="275"/>
      <c r="P67" s="275"/>
      <c r="Q67" s="275"/>
      <c r="R67" s="275"/>
      <c r="S67" s="275"/>
      <c r="T67" s="275"/>
      <c r="U67" s="275"/>
    </row>
    <row r="68" spans="1:21" ht="13.15">
      <c r="A68" s="132">
        <v>25</v>
      </c>
      <c r="B68" s="118">
        <v>29020.912502921681</v>
      </c>
      <c r="C68" s="277">
        <v>75392.672599013764</v>
      </c>
      <c r="D68" s="118">
        <v>97503.465235122043</v>
      </c>
      <c r="E68" s="118">
        <v>129050.10876516349</v>
      </c>
      <c r="F68" s="118">
        <v>174510.17891467945</v>
      </c>
      <c r="G68" s="295"/>
      <c r="H68" s="295"/>
      <c r="I68" s="295"/>
      <c r="J68" s="295"/>
      <c r="K68" s="295"/>
      <c r="L68" s="295"/>
      <c r="M68" s="275"/>
      <c r="N68" s="275"/>
      <c r="O68" s="275"/>
      <c r="P68" s="275"/>
      <c r="Q68" s="275"/>
      <c r="R68" s="275"/>
      <c r="S68" s="275"/>
      <c r="T68" s="275"/>
      <c r="U68" s="275"/>
    </row>
    <row r="69" spans="1:21" ht="13.15">
      <c r="A69" s="132">
        <v>30</v>
      </c>
      <c r="B69" s="118">
        <v>28669.652167891316</v>
      </c>
      <c r="C69" s="277">
        <v>75315.553668975452</v>
      </c>
      <c r="D69" s="118">
        <v>99351.013824067733</v>
      </c>
      <c r="E69" s="118">
        <v>135503.76293418533</v>
      </c>
      <c r="F69" s="118">
        <v>190872.45615775191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14.781830587802244</v>
      </c>
      <c r="C73" s="119">
        <f>C11</f>
        <v>14.781830587802244</v>
      </c>
      <c r="D73" s="119">
        <f>C11</f>
        <v>14.781830587802244</v>
      </c>
      <c r="E73" s="119">
        <f>C11</f>
        <v>14.781830587802244</v>
      </c>
      <c r="F73" s="119">
        <f>C11</f>
        <v>14.781830587802244</v>
      </c>
      <c r="G73" s="296"/>
      <c r="H73" s="296"/>
      <c r="I73" s="296"/>
      <c r="J73" s="296"/>
      <c r="K73" s="296"/>
      <c r="L73" s="296"/>
    </row>
    <row r="74" spans="1:21" ht="13.15">
      <c r="A74" s="131">
        <v>1</v>
      </c>
      <c r="B74" s="119">
        <f t="shared" ref="B74:F87" si="11">(B56+FV_adjustments)/Common_Shares*scaling_factor*Exchange_Rate</f>
        <v>9.9886539493527948</v>
      </c>
      <c r="C74" s="119">
        <f t="shared" si="11"/>
        <v>10.981471542119575</v>
      </c>
      <c r="D74" s="119">
        <f t="shared" si="11"/>
        <v>11.18003506067293</v>
      </c>
      <c r="E74" s="119">
        <f t="shared" si="11"/>
        <v>11.378598579226281</v>
      </c>
      <c r="F74" s="119">
        <f t="shared" si="11"/>
        <v>11.57716209777964</v>
      </c>
      <c r="G74" s="296"/>
      <c r="H74" s="296"/>
      <c r="I74" s="296"/>
      <c r="J74" s="296"/>
      <c r="K74" s="296"/>
      <c r="L74" s="296"/>
    </row>
    <row r="75" spans="1:21" ht="13.15">
      <c r="A75" s="131">
        <v>2</v>
      </c>
      <c r="B75" s="119">
        <f t="shared" si="11"/>
        <v>9.1444626960642417</v>
      </c>
      <c r="C75" s="119">
        <f t="shared" si="11"/>
        <v>10.969185309887632</v>
      </c>
      <c r="D75" s="119">
        <f t="shared" si="11"/>
        <v>11.356346729833106</v>
      </c>
      <c r="E75" s="119">
        <f t="shared" si="11"/>
        <v>11.750913782172178</v>
      </c>
      <c r="F75" s="119">
        <f t="shared" si="11"/>
        <v>12.152886466904844</v>
      </c>
      <c r="G75" s="296"/>
      <c r="H75" s="296"/>
      <c r="I75" s="296"/>
      <c r="J75" s="296"/>
      <c r="K75" s="296"/>
      <c r="L75" s="296"/>
    </row>
    <row r="76" spans="1:21" ht="13.15">
      <c r="A76" s="131">
        <v>3</v>
      </c>
      <c r="B76" s="119">
        <f t="shared" si="11"/>
        <v>8.4360504555423699</v>
      </c>
      <c r="C76" s="119">
        <f t="shared" si="11"/>
        <v>10.957729615498875</v>
      </c>
      <c r="D76" s="119">
        <f t="shared" si="11"/>
        <v>11.524027757845584</v>
      </c>
      <c r="E76" s="119">
        <f t="shared" si="11"/>
        <v>12.111946706240923</v>
      </c>
      <c r="F76" s="119">
        <f t="shared" si="11"/>
        <v>12.721900761797826</v>
      </c>
      <c r="G76" s="296"/>
      <c r="H76" s="296"/>
      <c r="I76" s="296"/>
      <c r="J76" s="296"/>
      <c r="K76" s="296"/>
      <c r="L76" s="296"/>
    </row>
    <row r="77" spans="1:21" ht="13.15">
      <c r="A77" s="131">
        <v>4</v>
      </c>
      <c r="B77" s="119">
        <f t="shared" si="11"/>
        <v>7.8415786453142289</v>
      </c>
      <c r="C77" s="119">
        <f t="shared" si="11"/>
        <v>10.947048315369496</v>
      </c>
      <c r="D77" s="119">
        <f t="shared" si="11"/>
        <v>11.683500623647657</v>
      </c>
      <c r="E77" s="119">
        <f t="shared" si="11"/>
        <v>12.462039238671217</v>
      </c>
      <c r="F77" s="119">
        <f t="shared" si="11"/>
        <v>13.28428318845196</v>
      </c>
      <c r="G77" s="296"/>
      <c r="H77" s="296"/>
      <c r="I77" s="296"/>
      <c r="J77" s="296"/>
      <c r="K77" s="296"/>
      <c r="L77" s="296"/>
    </row>
    <row r="78" spans="1:21" ht="13.15">
      <c r="A78" s="131">
        <v>5</v>
      </c>
      <c r="B78" s="119">
        <f t="shared" si="11"/>
        <v>7.3427211821857181</v>
      </c>
      <c r="C78" s="119">
        <f t="shared" si="11"/>
        <v>10.937089061169612</v>
      </c>
      <c r="D78" s="119">
        <f t="shared" si="11"/>
        <v>11.835167125389487</v>
      </c>
      <c r="E78" s="119">
        <f t="shared" si="11"/>
        <v>12.801522906482415</v>
      </c>
      <c r="F78" s="119">
        <f t="shared" si="11"/>
        <v>13.840111041368862</v>
      </c>
      <c r="G78" s="296"/>
      <c r="H78" s="296"/>
      <c r="I78" s="296"/>
      <c r="J78" s="296"/>
      <c r="K78" s="296"/>
      <c r="L78" s="296"/>
    </row>
    <row r="79" spans="1:21" ht="13.15">
      <c r="A79" s="131">
        <v>6</v>
      </c>
      <c r="B79" s="119">
        <f t="shared" si="11"/>
        <v>6.9240995348051531</v>
      </c>
      <c r="C79" s="119">
        <f t="shared" si="11"/>
        <v>10.927803043267618</v>
      </c>
      <c r="D79" s="119">
        <f t="shared" si="11"/>
        <v>11.979409392780321</v>
      </c>
      <c r="E79" s="119">
        <f t="shared" si="11"/>
        <v>13.130719190420548</v>
      </c>
      <c r="F79" s="119">
        <f t="shared" si="11"/>
        <v>14.389460714181849</v>
      </c>
      <c r="G79" s="296"/>
      <c r="H79" s="296"/>
      <c r="I79" s="296"/>
      <c r="J79" s="296"/>
      <c r="K79" s="296"/>
      <c r="L79" s="296"/>
    </row>
    <row r="80" spans="1:21" ht="13.15">
      <c r="A80" s="131">
        <f t="shared" ref="A80" si="12">A62</f>
        <v>7</v>
      </c>
      <c r="B80" s="119">
        <f t="shared" si="11"/>
        <v>6.5728086418983818</v>
      </c>
      <c r="C80" s="119">
        <f t="shared" si="11"/>
        <v>10.919144751517512</v>
      </c>
      <c r="D80" s="119">
        <f t="shared" si="11"/>
        <v>12.116590849879298</v>
      </c>
      <c r="E80" s="119">
        <f t="shared" si="11"/>
        <v>13.449939829390859</v>
      </c>
      <c r="F80" s="119">
        <f t="shared" si="11"/>
        <v>14.932407710155516</v>
      </c>
      <c r="G80" s="296"/>
      <c r="H80" s="296"/>
      <c r="I80" s="296"/>
      <c r="J80" s="296"/>
      <c r="K80" s="296"/>
      <c r="L80" s="296"/>
    </row>
    <row r="81" spans="1:12" ht="13.15">
      <c r="A81" s="131">
        <v>8</v>
      </c>
      <c r="B81" s="119">
        <f t="shared" si="11"/>
        <v>6.2780190814171766</v>
      </c>
      <c r="C81" s="119">
        <f t="shared" si="11"/>
        <v>10.91107175221671</v>
      </c>
      <c r="D81" s="119">
        <f t="shared" si="11"/>
        <v>12.247057130756646</v>
      </c>
      <c r="E81" s="119">
        <f t="shared" si="11"/>
        <v>13.759487115665097</v>
      </c>
      <c r="F81" s="119">
        <f t="shared" si="11"/>
        <v>15.469026652563052</v>
      </c>
      <c r="G81" s="296"/>
      <c r="H81" s="296"/>
      <c r="I81" s="296"/>
      <c r="J81" s="296"/>
      <c r="K81" s="296"/>
      <c r="L81" s="296"/>
    </row>
    <row r="82" spans="1:12" ht="13.15">
      <c r="A82" s="131">
        <f t="shared" ref="A82" si="13">A64</f>
        <v>9</v>
      </c>
      <c r="B82" s="119">
        <f t="shared" si="11"/>
        <v>6.0306432264679124</v>
      </c>
      <c r="C82" s="119">
        <f t="shared" si="11"/>
        <v>10.903544480141374</v>
      </c>
      <c r="D82" s="119">
        <f t="shared" si="11"/>
        <v>12.3711369503323</v>
      </c>
      <c r="E82" s="119">
        <f t="shared" si="11"/>
        <v>14.05965418114315</v>
      </c>
      <c r="F82" s="119">
        <f t="shared" si="11"/>
        <v>15.99939129494253</v>
      </c>
      <c r="G82" s="296"/>
      <c r="H82" s="296"/>
      <c r="I82" s="296"/>
      <c r="J82" s="296"/>
      <c r="K82" s="296"/>
      <c r="L82" s="296"/>
    </row>
    <row r="83" spans="1:12" ht="13.15">
      <c r="A83" s="131">
        <f t="shared" ref="A83:A87" si="14">A65</f>
        <v>10</v>
      </c>
      <c r="B83" s="119">
        <f t="shared" si="11"/>
        <v>5.8230550964405587</v>
      </c>
      <c r="C83" s="119">
        <f t="shared" si="11"/>
        <v>10.896526044639891</v>
      </c>
      <c r="D83" s="119">
        <f t="shared" si="11"/>
        <v>12.489142932586075</v>
      </c>
      <c r="E83" s="119">
        <f t="shared" si="11"/>
        <v>14.350725274940046</v>
      </c>
      <c r="F83" s="119">
        <f t="shared" si="11"/>
        <v>16.523574531233674</v>
      </c>
      <c r="G83" s="296"/>
      <c r="H83" s="296"/>
      <c r="I83" s="296"/>
      <c r="J83" s="296"/>
      <c r="K83" s="296"/>
      <c r="L83" s="296"/>
    </row>
    <row r="84" spans="1:12" ht="13.15">
      <c r="A84" s="131">
        <f t="shared" si="14"/>
        <v>15</v>
      </c>
      <c r="B84" s="119">
        <f t="shared" si="11"/>
        <v>5.1906807925112597</v>
      </c>
      <c r="C84" s="119">
        <f t="shared" si="11"/>
        <v>10.867940679757586</v>
      </c>
      <c r="D84" s="119">
        <f t="shared" si="11"/>
        <v>12.997976832043991</v>
      </c>
      <c r="E84" s="119">
        <f t="shared" si="11"/>
        <v>15.679001332539627</v>
      </c>
      <c r="F84" s="119">
        <f t="shared" si="11"/>
        <v>19.054261989957947</v>
      </c>
      <c r="G84" s="296"/>
      <c r="H84" s="296"/>
      <c r="I84" s="296"/>
      <c r="J84" s="296"/>
      <c r="K84" s="296"/>
      <c r="L84" s="296"/>
    </row>
    <row r="85" spans="1:12" ht="13.15">
      <c r="A85" s="132">
        <f t="shared" si="14"/>
        <v>20</v>
      </c>
      <c r="B85" s="119">
        <f t="shared" si="11"/>
        <v>4.9275326812115505</v>
      </c>
      <c r="C85" s="119">
        <f t="shared" si="11"/>
        <v>10.847796145268742</v>
      </c>
      <c r="D85" s="119">
        <f t="shared" si="11"/>
        <v>13.393881289652956</v>
      </c>
      <c r="E85" s="119">
        <f t="shared" si="11"/>
        <v>16.817856604849105</v>
      </c>
      <c r="F85" s="119">
        <f t="shared" si="11"/>
        <v>21.440871324473999</v>
      </c>
      <c r="G85" s="296"/>
      <c r="H85" s="296"/>
      <c r="I85" s="296"/>
      <c r="J85" s="296"/>
      <c r="K85" s="296"/>
      <c r="L85" s="296"/>
    </row>
    <row r="86" spans="1:12" ht="13.15">
      <c r="A86" s="132">
        <f t="shared" si="14"/>
        <v>25</v>
      </c>
      <c r="B86" s="119">
        <f t="shared" si="11"/>
        <v>4.8180296099287112</v>
      </c>
      <c r="C86" s="119">
        <f t="shared" si="11"/>
        <v>10.833599990297731</v>
      </c>
      <c r="D86" s="119">
        <f t="shared" si="11"/>
        <v>13.701919609665888</v>
      </c>
      <c r="E86" s="119">
        <f t="shared" si="11"/>
        <v>17.794303725044117</v>
      </c>
      <c r="F86" s="119">
        <f t="shared" si="11"/>
        <v>23.691605248950953</v>
      </c>
      <c r="G86" s="296"/>
      <c r="H86" s="296"/>
      <c r="I86" s="296"/>
      <c r="J86" s="296"/>
      <c r="K86" s="296"/>
      <c r="L86" s="296"/>
    </row>
    <row r="87" spans="1:12" ht="13.15">
      <c r="A87" s="132">
        <f t="shared" si="14"/>
        <v>30</v>
      </c>
      <c r="B87" s="119">
        <f t="shared" si="11"/>
        <v>4.7724624099167103</v>
      </c>
      <c r="C87" s="119">
        <f t="shared" si="11"/>
        <v>10.823595747406303</v>
      </c>
      <c r="D87" s="119">
        <f t="shared" si="11"/>
        <v>13.94159260342165</v>
      </c>
      <c r="E87" s="119">
        <f t="shared" si="11"/>
        <v>18.631503149518512</v>
      </c>
      <c r="F87" s="119">
        <f t="shared" si="11"/>
        <v>25.814199477309941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13.840111041368862</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12.801522906482415</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11.835167125389487</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10.937089061169612</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7.3427211821857181</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10035.089822910806</v>
      </c>
      <c r="D8" s="469"/>
      <c r="E8" s="469"/>
      <c r="F8" s="469"/>
      <c r="G8" s="469"/>
    </row>
    <row r="9" spans="2:7">
      <c r="B9" s="97" t="s">
        <v>54</v>
      </c>
      <c r="C9" s="447">
        <f>Normalized_FCF!C19</f>
        <v>5447.0341009309013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-2.5521000709467612E-2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12.801522906482415</v>
      </c>
      <c r="F22" s="328">
        <f>1-F23-F24</f>
        <v>0.10000000000000003</v>
      </c>
      <c r="G22" s="328">
        <f>F22*(1-F$29-F$30)</f>
        <v>8.0000000000000029E-2</v>
      </c>
    </row>
    <row r="23" spans="2:7">
      <c r="B23" s="302" t="s">
        <v>437</v>
      </c>
      <c r="C23" s="324">
        <v>0.02</v>
      </c>
      <c r="D23" s="325">
        <f>C18</f>
        <v>5</v>
      </c>
      <c r="E23" s="326">
        <f>DCF!E92</f>
        <v>11.835167125389487</v>
      </c>
      <c r="F23" s="327">
        <v>0.6</v>
      </c>
      <c r="G23" s="328">
        <f t="shared" ref="G23:G24" si="0">F23*(1-F$29-F$30)</f>
        <v>0.48</v>
      </c>
    </row>
    <row r="24" spans="2:7">
      <c r="B24" s="302" t="s">
        <v>446</v>
      </c>
      <c r="C24" s="324">
        <v>0</v>
      </c>
      <c r="D24" s="325">
        <f>C18</f>
        <v>5</v>
      </c>
      <c r="E24" s="326">
        <f>DCF!E93</f>
        <v>10.937089061169612</v>
      </c>
      <c r="F24" s="327">
        <v>0.3</v>
      </c>
      <c r="G24" s="328">
        <f t="shared" si="0"/>
        <v>0.24</v>
      </c>
    </row>
    <row r="25" spans="2:7">
      <c r="B25" s="141" t="s">
        <v>451</v>
      </c>
      <c r="C25" s="441">
        <f>E23*F23+E24*F24+E22*F22</f>
        <v>11.662379284232818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13.840111041368862</v>
      </c>
      <c r="F29" s="327">
        <v>0.1</v>
      </c>
      <c r="G29" s="328">
        <f>F29</f>
        <v>0.1</v>
      </c>
    </row>
    <row r="30" spans="2:7">
      <c r="B30" s="315" t="s">
        <v>447</v>
      </c>
      <c r="C30" s="324">
        <v>-0.1</v>
      </c>
      <c r="D30" s="325">
        <f>C18</f>
        <v>5</v>
      </c>
      <c r="E30" s="326">
        <f>DCF!E94</f>
        <v>7.3427211821857181</v>
      </c>
      <c r="F30" s="327">
        <v>0.1</v>
      </c>
      <c r="G30" s="328">
        <f>F30</f>
        <v>0.1</v>
      </c>
    </row>
    <row r="31" spans="2:7">
      <c r="E31" s="329"/>
      <c r="F31" s="329"/>
    </row>
    <row r="32" spans="2:7" ht="13.15">
      <c r="B32" s="145" t="s">
        <v>456</v>
      </c>
    </row>
    <row r="33" spans="2:7">
      <c r="B33" s="97" t="s">
        <v>458</v>
      </c>
      <c r="C33" s="155">
        <f>Normalized_FCF!C88*(1-dividend_tax_rate)</f>
        <v>0.31925349557693478</v>
      </c>
      <c r="D33" t="str">
        <f>Market_currency</f>
        <v>HKD</v>
      </c>
      <c r="E33" s="97" t="s">
        <v>455</v>
      </c>
      <c r="F33" s="219">
        <f>Holding_Period</f>
        <v>3</v>
      </c>
    </row>
    <row r="34" spans="2:7">
      <c r="B34" s="97" t="s">
        <v>233</v>
      </c>
      <c r="C34" s="146">
        <f>Market_Price</f>
        <v>8</v>
      </c>
      <c r="D34" t="str">
        <f>Market_currency</f>
        <v>HKD</v>
      </c>
      <c r="E34" s="97" t="s">
        <v>454</v>
      </c>
      <c r="F34" s="330">
        <f>RATE(Holding_Period,$C$33,-C34,$C$36)</f>
        <v>0.1625616874572374</v>
      </c>
    </row>
    <row r="35" spans="2:7">
      <c r="B35" s="97" t="s">
        <v>434</v>
      </c>
      <c r="C35" s="320">
        <f>DCF!C11</f>
        <v>14.781830587802244</v>
      </c>
      <c r="D35" s="97" t="str">
        <f>Market_currency</f>
        <v>HKD</v>
      </c>
      <c r="E35" s="97" t="s">
        <v>454</v>
      </c>
      <c r="F35" s="330">
        <f>RATE(Holding_Period,$C$33,-C35,$C$36)</f>
        <v>-5.8120109404104101E-2</v>
      </c>
    </row>
    <row r="36" spans="2:7">
      <c r="B36" s="97" t="s">
        <v>435</v>
      </c>
      <c r="C36" s="321">
        <f>E22*G22+E23*G23+E24*G24+E30*G30+E29*G29</f>
        <v>11.448186649741713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8.360610358685619E-2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11.044506903318883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9.2005454372600146E-2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0.31925349557693478</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0.58418651206011918</v>
      </c>
      <c r="D62" s="119">
        <f>C36/(1+F62)^Holding_Period</f>
        <v>5.2756620505722189</v>
      </c>
      <c r="E62" s="332">
        <f>C62+D62</f>
        <v>5.8598485626323384</v>
      </c>
      <c r="F62" s="301">
        <f>Thesis!E22</f>
        <v>0.29465259038036606</v>
      </c>
      <c r="G62" s="440">
        <f>(1-E62/C36)</f>
        <v>0.48814176935483966</v>
      </c>
    </row>
    <row r="63" spans="2:7" ht="13.15">
      <c r="B63" s="302" t="s">
        <v>313</v>
      </c>
      <c r="C63" s="119">
        <f>PV(F63, Holding_Period, -C58, 0)</f>
        <v>0.67171061487332195</v>
      </c>
      <c r="D63" s="119">
        <f>C36/(1+F63)^Holding_Period</f>
        <v>6.6126709890204864</v>
      </c>
      <c r="E63" s="332">
        <f>C63+D63</f>
        <v>7.2843816038938085</v>
      </c>
      <c r="F63" s="301">
        <f>Thesis!E23</f>
        <v>0.20075184365903009</v>
      </c>
      <c r="G63" s="440">
        <f>(1-E63/C36)</f>
        <v>0.36370869669056671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0.77023198139575355</v>
      </c>
      <c r="D66" s="119">
        <f>C36/(1+F66)^Holding_Period</f>
        <v>8.2056067623756856</v>
      </c>
      <c r="E66" s="332">
        <f>C66+D66</f>
        <v>8.9758387437714386</v>
      </c>
      <c r="F66" s="301">
        <f>Thesis!E24</f>
        <v>0.1174</v>
      </c>
      <c r="G66" s="440">
        <f>(1-E66/C36)</f>
        <v>0.21595978311779651</v>
      </c>
    </row>
    <row r="67" spans="2:7" ht="13.15">
      <c r="B67" s="302" t="s">
        <v>314</v>
      </c>
      <c r="C67" s="119">
        <f>PV(F67, Holding_Period, -C58, 0)</f>
        <v>0.83400992303357446</v>
      </c>
      <c r="D67" s="119">
        <f>C36/(1+F67)^Holding_Period</f>
        <v>9.2799321077534511</v>
      </c>
      <c r="E67" s="332">
        <f>C67+D67</f>
        <v>10.113942030787026</v>
      </c>
      <c r="F67" s="301">
        <f>Thesis!E25</f>
        <v>7.2499999999999995E-2</v>
      </c>
      <c r="G67" s="440">
        <f>(1-E67/C36)</f>
        <v>0.11654637190814754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v>
      </c>
    </row>
    <row r="9" spans="1:10">
      <c r="B9" s="351" t="s">
        <v>361</v>
      </c>
      <c r="C9" s="353">
        <f>Common_Shares</f>
        <v>8658801708</v>
      </c>
    </row>
    <row r="10" spans="1:10">
      <c r="B10" s="351" t="s">
        <v>367</v>
      </c>
      <c r="C10" s="357">
        <f>投资主题!C8*Common_Shares/1000000</f>
        <v>69270.413664000007</v>
      </c>
      <c r="D10" s="343" t="s">
        <v>528</v>
      </c>
      <c r="E10" s="360">
        <f>Scenarios!F34</f>
        <v>0.1625616874572374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1.1232618942260741</v>
      </c>
    </row>
    <row r="17" spans="1:6">
      <c r="B17" s="343" t="s">
        <v>534</v>
      </c>
      <c r="C17" s="424">
        <f>Terminal_Growth</f>
        <v>0.02</v>
      </c>
      <c r="D17" s="351" t="s">
        <v>339</v>
      </c>
      <c r="E17" s="344" t="str">
        <f>Reporting_currency</f>
        <v>CNY</v>
      </c>
    </row>
    <row r="18" spans="1:6">
      <c r="B18" s="343" t="str">
        <f>"预期股权价值 ("&amp;C7&amp;") :"</f>
        <v>预期股权价值 (HKD) :</v>
      </c>
      <c r="C18" s="359">
        <f>C125</f>
        <v>11.448186649741713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5.8598485626323384</v>
      </c>
      <c r="D22" s="365" t="s">
        <v>440</v>
      </c>
      <c r="E22" s="366">
        <f>Thesis!E22</f>
        <v>0.29465259038036606</v>
      </c>
    </row>
    <row r="23" spans="1:6">
      <c r="B23" s="343" t="s">
        <v>341</v>
      </c>
      <c r="C23" s="367">
        <f>E141</f>
        <v>7.2843816038938085</v>
      </c>
      <c r="D23" s="365" t="s">
        <v>441</v>
      </c>
      <c r="E23" s="368">
        <f>Thesis!E23</f>
        <v>0.20075184365903009</v>
      </c>
    </row>
    <row r="24" spans="1:6">
      <c r="B24" s="343" t="s">
        <v>343</v>
      </c>
      <c r="C24" s="367">
        <f>E144</f>
        <v>8.9758387437714386</v>
      </c>
      <c r="D24" s="365" t="s">
        <v>443</v>
      </c>
      <c r="E24" s="368">
        <f>Thesis!E24</f>
        <v>0.1174</v>
      </c>
    </row>
    <row r="25" spans="1:6">
      <c r="B25" s="343" t="s">
        <v>342</v>
      </c>
      <c r="C25" s="367">
        <f>E145</f>
        <v>10.113942030787026</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87.027251507103628</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-715.97274849289636</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-3909.5468128767757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10035.089822910806</v>
      </c>
      <c r="D60" s="343" t="str">
        <f>Reporting_currency</f>
        <v>CNY</v>
      </c>
    </row>
    <row r="61" spans="2:6">
      <c r="B61" s="372" t="s">
        <v>213</v>
      </c>
      <c r="C61" s="373">
        <f>Normalized_FCF!C19</f>
        <v>5447.0341009309013</v>
      </c>
      <c r="D61" s="343" t="str">
        <f>Reporting_currency</f>
        <v>CNY</v>
      </c>
    </row>
    <row r="62" spans="2:6">
      <c r="B62" s="377" t="s">
        <v>302</v>
      </c>
      <c r="C62" s="378">
        <f>Normalized_FCF!C124</f>
        <v>8.8326971335894247E-2</v>
      </c>
      <c r="F62" s="379"/>
    </row>
    <row r="63" spans="2:6">
      <c r="B63" s="377" t="s">
        <v>332</v>
      </c>
      <c r="C63" s="378">
        <f>Normalized_FCF!C92</f>
        <v>3.9906686947116847E-2</v>
      </c>
      <c r="E63" s="372" t="s">
        <v>373</v>
      </c>
      <c r="F63" s="380">
        <f>Normalized_FCF!C90</f>
        <v>0.5638854020910824</v>
      </c>
    </row>
    <row r="65" spans="1:6">
      <c r="B65" s="369" t="s">
        <v>376</v>
      </c>
      <c r="C65" s="381" t="s">
        <v>327</v>
      </c>
      <c r="D65" s="381" t="s">
        <v>374</v>
      </c>
    </row>
    <row r="66" spans="1:6">
      <c r="B66" s="372" t="s">
        <v>326</v>
      </c>
      <c r="C66" s="378">
        <f>Normalized_FCF!E119</f>
        <v>0.17171989339292729</v>
      </c>
      <c r="D66" s="378">
        <f>Normalized_FCF!G119</f>
        <v>0.18349024710008791</v>
      </c>
    </row>
    <row r="67" spans="1:6">
      <c r="B67" s="382" t="str">
        <f>Normalized_FCF!B116</f>
        <v>Pre-tax Profit/Sales</v>
      </c>
      <c r="C67" s="383">
        <f>Normalized_FCF!E116</f>
        <v>8.360610358685619E-2</v>
      </c>
      <c r="D67" s="383">
        <f>Normalized_FCF!G116</f>
        <v>8.9336793210818763E-2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-2.6496303949737667</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28370.458082149395</v>
      </c>
      <c r="D84" s="343" t="str">
        <f>Reporting_currency</f>
        <v>CNY</v>
      </c>
    </row>
    <row r="85" spans="1:6">
      <c r="B85" s="382" t="s">
        <v>481</v>
      </c>
      <c r="C85" s="390">
        <f>BS!C66</f>
        <v>42875</v>
      </c>
      <c r="D85" s="391" t="str">
        <f>Reporting_currency</f>
        <v>CNY</v>
      </c>
    </row>
    <row r="86" spans="1:6">
      <c r="B86" s="372" t="s">
        <v>235</v>
      </c>
      <c r="C86" s="387">
        <f>C84*scaling_factor*Exchange_Rate/Common_Shares</f>
        <v>3.6803538826826041</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2.2572126742983374E-2</v>
      </c>
      <c r="D90" s="343" t="str">
        <f>Market_currency</f>
        <v>HKD</v>
      </c>
    </row>
    <row r="92" spans="1:6">
      <c r="B92" s="372" t="s">
        <v>480</v>
      </c>
      <c r="C92" s="387">
        <f>DCF!F8</f>
        <v>1.0532956144518208</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-2.9643040032522414</v>
      </c>
      <c r="D111" s="343" t="str">
        <f>Market_currency</f>
        <v>HKD</v>
      </c>
    </row>
    <row r="112" spans="1:6">
      <c r="A112" s="385"/>
      <c r="B112" s="372" t="s">
        <v>377</v>
      </c>
      <c r="C112" s="394">
        <f>DCF!C11</f>
        <v>14.781830587802244</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13.84 HKD</v>
      </c>
      <c r="F118" s="399">
        <f>DCF!F90</f>
        <v>0.1</v>
      </c>
    </row>
    <row r="119" spans="1:6">
      <c r="A119" s="385"/>
      <c r="B119" s="400" t="str">
        <f>DCF!B91</f>
        <v>Optimistic</v>
      </c>
      <c r="C119" s="401">
        <f>DCF!C91</f>
        <v>0.04</v>
      </c>
      <c r="D119" s="402">
        <f>DCF!D91</f>
        <v>5</v>
      </c>
      <c r="E119" s="398" t="str">
        <f>ROUND(DCF!E91,2)&amp;" "&amp;Market_currency</f>
        <v>12.8 HKD</v>
      </c>
      <c r="F119" s="403">
        <f>DCF!F91</f>
        <v>8.0000000000000029E-2</v>
      </c>
    </row>
    <row r="120" spans="1:6">
      <c r="B120" s="400" t="str">
        <f>DCF!B92</f>
        <v>Base</v>
      </c>
      <c r="C120" s="401">
        <f>DCF!C92</f>
        <v>0.02</v>
      </c>
      <c r="D120" s="402">
        <f>DCF!D92</f>
        <v>5</v>
      </c>
      <c r="E120" s="398" t="str">
        <f>ROUND(DCF!E92,2)&amp;" "&amp;Market_currency</f>
        <v>11.84 HKD</v>
      </c>
      <c r="F120" s="403">
        <f>DCF!F92</f>
        <v>0.48</v>
      </c>
    </row>
    <row r="121" spans="1:6">
      <c r="B121" s="400" t="str">
        <f>DCF!B93</f>
        <v>Pessimistic</v>
      </c>
      <c r="C121" s="401">
        <f>DCF!C93</f>
        <v>0</v>
      </c>
      <c r="D121" s="402">
        <f>DCF!D93</f>
        <v>5</v>
      </c>
      <c r="E121" s="398" t="str">
        <f>ROUND(DCF!E93,2)&amp;" "&amp;Market_currency</f>
        <v>10.94 HKD</v>
      </c>
      <c r="F121" s="403">
        <f>DCF!F93</f>
        <v>0.24</v>
      </c>
    </row>
    <row r="122" spans="1:6">
      <c r="B122" s="400" t="str">
        <f>DCF!B94</f>
        <v>Devil's advocate</v>
      </c>
      <c r="C122" s="401">
        <f>DCF!C94</f>
        <v>-0.1</v>
      </c>
      <c r="D122" s="402">
        <f>DCF!D94</f>
        <v>5</v>
      </c>
      <c r="E122" s="398" t="str">
        <f>ROUND(DCF!E94,2)&amp;" "&amp;Market_currency</f>
        <v>7.34 HKD</v>
      </c>
      <c r="F122" s="403">
        <f>DCF!F94</f>
        <v>0.1</v>
      </c>
    </row>
    <row r="124" spans="1:6">
      <c r="B124" s="470" t="s">
        <v>518</v>
      </c>
      <c r="C124" s="470"/>
      <c r="D124" s="470"/>
      <c r="E124" s="470"/>
      <c r="F124" s="470"/>
    </row>
    <row r="125" spans="1:6">
      <c r="B125" s="372" t="s">
        <v>218</v>
      </c>
      <c r="C125" s="404">
        <f>Scenarios!C36</f>
        <v>11.448186649741713</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0.31925349557693478</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0.58418651206011918</v>
      </c>
      <c r="D140" s="409">
        <f>Scenarios!D62</f>
        <v>5.2756620505722189</v>
      </c>
      <c r="E140" s="410">
        <f>Scenarios!E62</f>
        <v>5.8598485626323384</v>
      </c>
      <c r="F140" s="411">
        <f>E22</f>
        <v>0.29465259038036606</v>
      </c>
    </row>
    <row r="141" spans="1:6">
      <c r="B141" s="408" t="s">
        <v>313</v>
      </c>
      <c r="C141" s="409">
        <f>Scenarios!C63</f>
        <v>0.67171061487332195</v>
      </c>
      <c r="D141" s="409">
        <f>Scenarios!D63</f>
        <v>6.6126709890204864</v>
      </c>
      <c r="E141" s="410">
        <f>Scenarios!E63</f>
        <v>7.2843816038938085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0.77023198139575355</v>
      </c>
      <c r="D144" s="409">
        <f>Scenarios!D66</f>
        <v>8.2056067623756856</v>
      </c>
      <c r="E144" s="410">
        <f>Scenarios!E66</f>
        <v>8.9758387437714386</v>
      </c>
      <c r="F144" s="411">
        <f>E24</f>
        <v>0.1174</v>
      </c>
    </row>
    <row r="145" spans="1:6">
      <c r="B145" s="408" t="s">
        <v>314</v>
      </c>
      <c r="C145" s="409">
        <f>Scenarios!C67</f>
        <v>0.83400992303357446</v>
      </c>
      <c r="D145" s="409">
        <f>Scenarios!D67</f>
        <v>9.2799321077534511</v>
      </c>
      <c r="E145" s="410">
        <f>Scenarios!E67</f>
        <v>10.113942030787026</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