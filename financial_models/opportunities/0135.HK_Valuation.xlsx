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7D2843F-A7E9-B748-AC28-F3670018EE65}" xr6:coauthVersionLast="47" xr6:coauthVersionMax="47" xr10:uidLastSave="{00000000-0000-0000-0000-000000000000}"/>
  <bookViews>
    <workbookView xWindow="0" yWindow="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I94" i="2"/>
  <c r="P94" i="2"/>
  <c r="O94" i="2"/>
  <c r="Q92" i="2"/>
  <c r="Q94" i="2"/>
  <c r="J94" i="2"/>
  <c r="K94" i="2"/>
  <c r="N94" i="2"/>
  <c r="C44" i="6"/>
  <c r="C44" i="1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P119" i="2"/>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<sst xmlns="http://schemas.openxmlformats.org/spreadsheetml/2006/main" count="837" uniqueCount="561">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</sst>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family val="2"/>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file:///C:/Users/jerry/PycharmProjects/Invest_Proc/financial_models/opportunities/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45867</v>
      </c>
      <c r="D1" s="316" t="s">
        <v>427</v>
      </c>
      <c r="E1" s="292" t="s">
        <v>344</v>
      </c>
      <c r="F1" s="254" t="s">
        <v>553</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554</v>
      </c>
    </row>
    <row r="6" spans="1:10" x14ac:dyDescent="0.15">
      <c r="B6" s="4" t="s">
        <v>460</v>
      </c>
      <c r="C6" s="51">
        <v>8658801708</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555</v>
      </c>
      <c r="D11" s="49" t="s">
        <v>556</v>
      </c>
      <c r="E11" s="34"/>
    </row>
    <row r="12" spans="1:10" x14ac:dyDescent="0.15">
      <c r="B12" s="4" t="s">
        <v>464</v>
      </c>
      <c r="C12" s="50">
        <v>7.73</v>
      </c>
      <c r="D12" s="50"/>
      <c r="E12" s="48"/>
    </row>
    <row r="13" spans="1:10" x14ac:dyDescent="0.15">
      <c r="B13" s="1" t="s">
        <v>465</v>
      </c>
      <c r="C13" s="48" t="s">
        <v>377</v>
      </c>
      <c r="D13" s="48"/>
      <c r="E13" s="5"/>
    </row>
    <row r="14" spans="1:10" x14ac:dyDescent="0.15">
      <c r="B14" s="4" t="s">
        <v>466</v>
      </c>
      <c r="C14" s="35">
        <f>Thesis!C12*Common_Shares/1000000</f>
        <v>66932.537202840002</v>
      </c>
      <c r="D14" s="35" t="str">
        <f>IF(D11="","",Thesis!D12*Common_Shares/1000000)</f>
        <v/>
      </c>
      <c r="E14" s="5"/>
    </row>
    <row r="15" spans="1:10" x14ac:dyDescent="0.15">
      <c r="B15" s="4" t="s">
        <v>467</v>
      </c>
      <c r="C15" s="32" t="str">
        <f>IF(C25=C13,C13,C25&amp;"/"&amp;C13)</f>
        <v>CNY/HKD</v>
      </c>
      <c r="D15" s="32" t="str">
        <f>IF(D11="","",IF(C25=D13,D13,C25&amp;"/"&amp;D13))</f>
        <v/>
      </c>
      <c r="E15" s="5"/>
    </row>
    <row r="16" spans="1:10" x14ac:dyDescent="0.15">
      <c r="B16" s="4" t="s">
        <v>468</v>
      </c>
      <c r="C16" s="50">
        <v>1.0940809</v>
      </c>
      <c r="D16" s="50"/>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557</v>
      </c>
      <c r="D22" s="1" t="str">
        <f>IF(valuation_method="DDM","Terminal Value Discount Rate","")</f>
        <v/>
      </c>
      <c r="E22" s="313"/>
    </row>
    <row r="23" spans="2:6" x14ac:dyDescent="0.15">
      <c r="B23" s="1" t="s">
        <v>411</v>
      </c>
      <c r="C23" s="262" t="s">
        <v>553</v>
      </c>
    </row>
    <row r="24" spans="2:6" x14ac:dyDescent="0.15">
      <c r="B24" s="1" t="s">
        <v>412</v>
      </c>
      <c r="C24" s="262" t="s">
        <v>553</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(HKD) :</v>
      </c>
      <c r="C26" s="304">
        <f>C132</f>
        <v>12.981602364197574</v>
      </c>
      <c r="D26" s="1" t="s">
        <v>380</v>
      </c>
      <c r="E26" s="301">
        <f ca="1">Scenarios!C87</f>
        <v>0.22675455378220222</v>
      </c>
    </row>
    <row r="27" spans="2:6" x14ac:dyDescent="0.15">
      <c r="D27" s="5"/>
      <c r="E27" s="5"/>
    </row>
    <row r="28" spans="2:6" x14ac:dyDescent="0.15">
      <c r="B28" s="45" t="s">
        <v>410</v>
      </c>
      <c r="C28" s="309" t="str">
        <f>C145&amp;" ("&amp;Market_currency&amp;")"</f>
        <v>0135.HK (HKD)</v>
      </c>
      <c r="D28" s="309" t="str">
        <f>IF(D11="","",D145&amp;" ("&amp;D13&amp;")")</f>
        <v/>
      </c>
      <c r="E28" s="305" t="s">
        <v>406</v>
      </c>
      <c r="F28" s="303">
        <v>3</v>
      </c>
    </row>
    <row r="29" spans="2:6" x14ac:dyDescent="0.15">
      <c r="B29" s="1" t="s">
        <v>402</v>
      </c>
      <c r="C29" s="310">
        <f>C149</f>
        <v>5.862214484030086</v>
      </c>
      <c r="D29" s="310" t="str">
        <f>D149</f>
        <v/>
      </c>
      <c r="E29" s="306" t="s">
        <v>401</v>
      </c>
      <c r="F29" s="302">
        <v>0.35</v>
      </c>
    </row>
    <row r="30" spans="2:6" x14ac:dyDescent="0.15">
      <c r="B30" s="1" t="s">
        <v>403</v>
      </c>
      <c r="C30" s="311">
        <f>C157</f>
        <v>7.3210173909945979</v>
      </c>
      <c r="D30" s="311" t="str">
        <f>D157</f>
        <v/>
      </c>
      <c r="E30" s="307" t="s">
        <v>414</v>
      </c>
      <c r="F30" s="312">
        <v>0.25</v>
      </c>
    </row>
    <row r="31" spans="2:6" x14ac:dyDescent="0.15">
      <c r="B31" s="1" t="s">
        <v>404</v>
      </c>
      <c r="C31" s="311">
        <f>C165</f>
        <v>11.348187626380218</v>
      </c>
      <c r="D31" s="311" t="str">
        <f>D165</f>
        <v/>
      </c>
      <c r="E31" s="307" t="s">
        <v>413</v>
      </c>
      <c r="F31" s="312">
        <v>7.4999999999999997E-2</v>
      </c>
    </row>
    <row r="32" spans="2:6" x14ac:dyDescent="0.15">
      <c r="B32" s="1" t="s">
        <v>405</v>
      </c>
      <c r="C32" s="311">
        <f>C173</f>
        <v>10.138278723725117</v>
      </c>
      <c r="D32" s="311" t="str">
        <f>D173</f>
        <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17421.507258354162</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232</v>
      </c>
      <c r="C47" s="371"/>
      <c r="D47" s="371"/>
      <c r="E47" s="371"/>
      <c r="F47" s="371"/>
    </row>
    <row r="48" spans="1:6" x14ac:dyDescent="0.15">
      <c r="B48" s="47" t="s">
        <v>233</v>
      </c>
      <c r="C48" s="349">
        <f>Normalized_FCF!C11</f>
        <v>900.8</v>
      </c>
      <c r="D48" s="1" t="str">
        <f>Reporting_currency</f>
        <v>CNY</v>
      </c>
    </row>
    <row r="50" spans="2:6" x14ac:dyDescent="0.15">
      <c r="B50" s="371" t="s">
        <v>236</v>
      </c>
      <c r="C50" s="371"/>
      <c r="D50" s="371"/>
      <c r="E50" s="371"/>
      <c r="F50" s="371"/>
    </row>
    <row r="51" spans="2:6" x14ac:dyDescent="0.15">
      <c r="B51" s="47" t="s">
        <v>331</v>
      </c>
      <c r="C51" s="350">
        <f>Normalized_FCF!C48</f>
        <v>279.61700299744257</v>
      </c>
      <c r="D51" s="1" t="str">
        <f>Reporting_currency</f>
        <v>CNY</v>
      </c>
      <c r="E51" s="286"/>
      <c r="F51" s="286"/>
    </row>
    <row r="52" spans="2:6" x14ac:dyDescent="0.15">
      <c r="B52" s="47" t="s">
        <v>332</v>
      </c>
      <c r="C52" s="350">
        <f>Normalized_FCF!C47</f>
        <v>-803</v>
      </c>
      <c r="D52" s="1" t="str">
        <f>Reporting_currency</f>
        <v>CNY</v>
      </c>
      <c r="E52" s="286"/>
      <c r="F52" s="286"/>
    </row>
    <row r="53" spans="2:6" x14ac:dyDescent="0.15">
      <c r="B53" s="47" t="s">
        <v>234</v>
      </c>
      <c r="C53" s="349">
        <f>Normalized_FCF!C12</f>
        <v>-523.38299700255743</v>
      </c>
      <c r="D53" s="1" t="str">
        <f>Reporting_currency</f>
        <v>CNY</v>
      </c>
    </row>
    <row r="55" spans="2:6" x14ac:dyDescent="0.15">
      <c r="B55" s="1" t="s">
        <v>242</v>
      </c>
    </row>
    <row r="56" spans="2:6" x14ac:dyDescent="0.15">
      <c r="B56" s="47" t="s">
        <v>261</v>
      </c>
      <c r="C56" s="349">
        <f>Normalized_FCF!C15</f>
        <v>-6118.862069912404</v>
      </c>
      <c r="D56" s="1" t="str">
        <f>Reporting_currency</f>
        <v>CNY</v>
      </c>
    </row>
    <row r="58" spans="2:6" x14ac:dyDescent="0.15">
      <c r="B58" s="371" t="s">
        <v>237</v>
      </c>
      <c r="C58" s="371"/>
      <c r="D58" s="371"/>
      <c r="E58" s="371"/>
      <c r="F58" s="371"/>
    </row>
    <row r="59" spans="2:6" x14ac:dyDescent="0.15">
      <c r="B59" s="47" t="s">
        <v>235</v>
      </c>
      <c r="C59" s="349">
        <f>Normalized_FCF!C14</f>
        <v>-4449.7310653379009</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10305.059010182627</v>
      </c>
      <c r="D67" s="1" t="str">
        <f>Reporting_currency</f>
        <v>CNY</v>
      </c>
    </row>
    <row r="68" spans="1:6" x14ac:dyDescent="0.15">
      <c r="B68" s="47" t="s">
        <v>244</v>
      </c>
      <c r="C68" s="349">
        <f>Normalized_FCF!C19</f>
        <v>7230.3311261012987</v>
      </c>
      <c r="D68" s="1" t="str">
        <f>Reporting_currency</f>
        <v>CNY</v>
      </c>
    </row>
    <row r="69" spans="1:6" x14ac:dyDescent="0.15">
      <c r="B69" s="227" t="s">
        <v>371</v>
      </c>
      <c r="C69" s="92">
        <f>Normalized_FCF!C126</f>
        <v>0.11818717049033771</v>
      </c>
      <c r="F69" s="314"/>
    </row>
    <row r="70" spans="1:6" x14ac:dyDescent="0.15">
      <c r="B70" s="227" t="s">
        <v>435</v>
      </c>
      <c r="C70" s="92">
        <f>Normalized_FCF!C94</f>
        <v>4.4697380106080202E-2</v>
      </c>
      <c r="E70" s="47" t="s">
        <v>425</v>
      </c>
      <c r="F70" s="315">
        <f>Normalized_FCF!C92</f>
        <v>0.41377206723212245</v>
      </c>
    </row>
    <row r="72" spans="1:6" x14ac:dyDescent="0.15">
      <c r="B72" s="210" t="s">
        <v>428</v>
      </c>
      <c r="C72" s="323" t="s">
        <v>430</v>
      </c>
      <c r="D72" s="323" t="s">
        <v>431</v>
      </c>
    </row>
    <row r="73" spans="1:6" x14ac:dyDescent="0.15">
      <c r="B73" s="47" t="s">
        <v>429</v>
      </c>
      <c r="C73" s="92">
        <f>Normalized_FCF!C121</f>
        <v>0.20035936580572525</v>
      </c>
      <c r="D73" s="92">
        <f>Normalized_FCF!G121</f>
        <v>0.19114154342525613</v>
      </c>
    </row>
    <row r="74" spans="1:6" x14ac:dyDescent="0.15">
      <c r="B74" s="259" t="str">
        <f>Normalized_FCF!B118</f>
        <v>Pre-tax Profit/Sales</v>
      </c>
      <c r="C74" s="322">
        <f>Normalized_FCF!C118</f>
        <v>9.7688936670425927E-2</v>
      </c>
      <c r="D74" s="322">
        <f>Normalized_FCF!G118</f>
        <v>9.0780123660397061E-2</v>
      </c>
    </row>
    <row r="75" spans="1:6" x14ac:dyDescent="0.15">
      <c r="B75" s="259" t="str">
        <f>Normalized_FCF!B119</f>
        <v>Sales/Total Assets</v>
      </c>
      <c r="C75" s="324">
        <f>Normalized_FCF!C119</f>
        <v>1.2706604365715879</v>
      </c>
      <c r="D75" s="324">
        <f>Normalized_FCF!G119</f>
        <v>1.3044563777111375</v>
      </c>
    </row>
    <row r="76" spans="1:6" x14ac:dyDescent="0.15">
      <c r="B76" s="259" t="str">
        <f>Normalized_FCF!B120</f>
        <v>Total Assets/Equity</v>
      </c>
      <c r="C76" s="324">
        <f>Normalized_FCF!C120</f>
        <v>1.6141160578600777</v>
      </c>
      <c r="D76" s="324">
        <f>Normalized_FCF!G120</f>
        <v>1.6141160578600777</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12.181157705204138</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24279</v>
      </c>
      <c r="D102" s="1" t="str">
        <f>Reporting_currency</f>
        <v>CNY</v>
      </c>
    </row>
    <row r="103" spans="2:6" x14ac:dyDescent="0.15">
      <c r="B103" s="47" t="s">
        <v>276</v>
      </c>
      <c r="C103" s="223">
        <f>C102*scaling_factor*Exchange_Rate/Common_Shares</f>
        <v>3.0677674656249332</v>
      </c>
      <c r="D103" s="1" t="str">
        <f>Market_currency</f>
        <v>HKD</v>
      </c>
    </row>
    <row r="104" spans="2:6" x14ac:dyDescent="0.15">
      <c r="B104" s="296" t="s">
        <v>384</v>
      </c>
      <c r="C104" s="325">
        <f>IF(BS!G31/BS!G27&gt;300%,"nm",BS!G31/BS!G27)</f>
        <v>0.27330444081724548</v>
      </c>
    </row>
    <row r="105" spans="2:6" x14ac:dyDescent="0.15">
      <c r="B105" s="296" t="s">
        <v>386</v>
      </c>
      <c r="C105" s="326">
        <f>IF(BS!C50&gt;30,"nm",BS!C50)</f>
        <v>1.3936222417470483</v>
      </c>
    </row>
    <row r="107" spans="2:6" x14ac:dyDescent="0.15">
      <c r="B107" s="1" t="s">
        <v>250</v>
      </c>
    </row>
    <row r="108" spans="2:6" x14ac:dyDescent="0.15">
      <c r="B108" s="47" t="s">
        <v>260</v>
      </c>
      <c r="C108" s="349">
        <f>BS!C66</f>
        <v>45092</v>
      </c>
      <c r="D108" s="1" t="str">
        <f>Reporting_currency</f>
        <v>CNY</v>
      </c>
    </row>
    <row r="109" spans="2:6" x14ac:dyDescent="0.15">
      <c r="B109" s="47" t="s">
        <v>262</v>
      </c>
      <c r="C109" s="349">
        <f>DCF!C8</f>
        <v>17130.299700255742</v>
      </c>
      <c r="D109" s="1" t="str">
        <f>Reporting_currency</f>
        <v>CNY</v>
      </c>
    </row>
    <row r="110" spans="2:6" x14ac:dyDescent="0.15">
      <c r="B110" s="47" t="s">
        <v>277</v>
      </c>
      <c r="C110" s="223">
        <f>C109*scaling_factor*Exchange_Rate/Common_Shares</f>
        <v>2.164495082039998</v>
      </c>
      <c r="D110" s="1" t="str">
        <f>Market_currency</f>
        <v>HKD</v>
      </c>
    </row>
    <row r="112" spans="2:6" x14ac:dyDescent="0.15">
      <c r="B112" s="1" t="s">
        <v>252</v>
      </c>
    </row>
    <row r="113" spans="1:6" x14ac:dyDescent="0.15">
      <c r="B113" s="47" t="s">
        <v>253</v>
      </c>
      <c r="C113" s="349">
        <f>DCF!C9</f>
        <v>158.4</v>
      </c>
      <c r="D113" s="1" t="str">
        <f>Reporting_currency</f>
        <v>CNY</v>
      </c>
    </row>
    <row r="114" spans="1:6" x14ac:dyDescent="0.15">
      <c r="B114" s="47" t="s">
        <v>278</v>
      </c>
      <c r="C114" s="223">
        <f>C113*scaling_factor*Exchange_Rate/Common_Shares</f>
        <v>2.0014595599282894E-2</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11.297899917218485</v>
      </c>
      <c r="D118" s="1" t="str">
        <f>Market_currency</f>
        <v>HKD</v>
      </c>
    </row>
    <row r="119" spans="1:6" x14ac:dyDescent="0.15">
      <c r="B119" s="296" t="s">
        <v>550</v>
      </c>
      <c r="C119" s="223">
        <f>BS!D47</f>
        <v>-3.1950951675529464</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0.04</v>
      </c>
      <c r="D126" s="230">
        <f>DCF!D74</f>
        <v>10</v>
      </c>
      <c r="E126" s="231" t="str">
        <f>ROUND(IF(valuation_method="DCF",DCF!E74,DDM!E69),2)&amp;" "&amp;Market_currency</f>
        <v>12.91 HKD</v>
      </c>
      <c r="F126" s="232">
        <f>DCF!F74</f>
        <v>0.05</v>
      </c>
    </row>
    <row r="127" spans="1:6" x14ac:dyDescent="0.15">
      <c r="B127" s="218" t="str">
        <f>DCF!B75</f>
        <v>Optimistic</v>
      </c>
      <c r="C127" s="219">
        <f>DCF!C75</f>
        <v>0.03</v>
      </c>
      <c r="D127" s="220">
        <f>DCF!D75</f>
        <v>20</v>
      </c>
      <c r="E127" s="231" t="str">
        <f>ROUND(IF(valuation_method="DCF",DCF!E75,DDM!E70),2)&amp;" "&amp;Market_currency</f>
        <v>14.09 HKD</v>
      </c>
      <c r="F127" s="221">
        <f>DCF!F75</f>
        <v>0.18</v>
      </c>
    </row>
    <row r="128" spans="1:6" x14ac:dyDescent="0.15">
      <c r="B128" s="218" t="str">
        <f>DCF!B76</f>
        <v>Base</v>
      </c>
      <c r="C128" s="219">
        <f>DCF!C76</f>
        <v>0.02</v>
      </c>
      <c r="D128" s="220">
        <f>DCF!D76</f>
        <v>20</v>
      </c>
      <c r="E128" s="231" t="str">
        <f>ROUND(IF(valuation_method="DCF",DCF!E76,DDM!E71),2)&amp;" "&amp;Market_currency</f>
        <v>13.06 HKD</v>
      </c>
      <c r="F128" s="221">
        <f>DCF!F76</f>
        <v>0.53999999999999992</v>
      </c>
    </row>
    <row r="129" spans="1:6" x14ac:dyDescent="0.15">
      <c r="B129" s="218" t="str">
        <f>DCF!B77</f>
        <v>Pessimistic</v>
      </c>
      <c r="C129" s="219">
        <f>DCF!C77</f>
        <v>0.01</v>
      </c>
      <c r="D129" s="220">
        <f>DCF!D77</f>
        <v>20</v>
      </c>
      <c r="E129" s="231" t="str">
        <f>ROUND(IF(valuation_method="DCF",DCF!E77,DDM!E72),2)&amp;" "&amp;Market_currency</f>
        <v>12.13 HKD</v>
      </c>
      <c r="F129" s="221">
        <f>DCF!F77</f>
        <v>0.18</v>
      </c>
    </row>
    <row r="130" spans="1:6" x14ac:dyDescent="0.15">
      <c r="B130" s="218" t="str">
        <f>DCF!B78</f>
        <v>Devil's advocate</v>
      </c>
      <c r="C130" s="219">
        <f>DCF!C78</f>
        <v>0</v>
      </c>
      <c r="D130" s="220">
        <f>DCF!D78</f>
        <v>10</v>
      </c>
      <c r="E130" s="231" t="str">
        <f>ROUND(IF(valuation_method="DCF",DCF!E78,DDM!E73),2)&amp;" "&amp;Market_currency</f>
        <v>11.3 HKD</v>
      </c>
      <c r="F130" s="221">
        <f>DCF!F78</f>
        <v>0.05</v>
      </c>
    </row>
    <row r="132" spans="1:6" x14ac:dyDescent="0.15">
      <c r="B132" s="211" t="s">
        <v>254</v>
      </c>
      <c r="C132" s="217">
        <f>Scenarios!C60</f>
        <v>12.981602364197574</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0.34551074822</v>
      </c>
      <c r="D143" s="212" t="str">
        <f>Market_currency</f>
        <v>HKD</v>
      </c>
    </row>
    <row r="145" spans="2:4" x14ac:dyDescent="0.15">
      <c r="B145" s="210" t="s">
        <v>388</v>
      </c>
      <c r="C145" s="241" t="str">
        <f>C11</f>
        <v>0135.HK</v>
      </c>
      <c r="D145" s="241" t="str">
        <f>IF(D11="","",D11)</f>
        <v/>
      </c>
    </row>
    <row r="146" spans="2:4" x14ac:dyDescent="0.15">
      <c r="B146" s="1" t="s">
        <v>387</v>
      </c>
      <c r="C146" s="297">
        <f>F29</f>
        <v>0.35</v>
      </c>
    </row>
    <row r="147" spans="2:4" x14ac:dyDescent="0.15">
      <c r="B147" s="212" t="str">
        <f>"PV("&amp;C141&amp;" yrs of Dividends)"</f>
        <v>PV(3 yrs of Dividends)</v>
      </c>
      <c r="C147" s="216">
        <f>Scenarios!C81</f>
        <v>0.58594466166659565</v>
      </c>
    </row>
    <row r="148" spans="2:4" x14ac:dyDescent="0.15">
      <c r="B148" s="212" t="str">
        <f>"+ PV(Equity Value realized at year "&amp;C141&amp;")"</f>
        <v>+ PV(Equity Value realized at year 3)</v>
      </c>
      <c r="C148" s="216">
        <f>Scenarios!C82</f>
        <v>5.2762698223634903</v>
      </c>
    </row>
    <row r="149" spans="2:4" x14ac:dyDescent="0.15">
      <c r="B149" s="80" t="s">
        <v>256</v>
      </c>
      <c r="C149" s="215">
        <f>Scenarios!C83</f>
        <v>5.862214484030086</v>
      </c>
      <c r="D149" s="300" t="str">
        <f>IF($D$11="","",C149*$E$25)</f>
        <v/>
      </c>
    </row>
    <row r="150" spans="2:4" x14ac:dyDescent="0.15">
      <c r="B150" s="259" t="s">
        <v>396</v>
      </c>
      <c r="C150" s="298" t="str">
        <f>Market_currency</f>
        <v>HKD</v>
      </c>
      <c r="D150" s="298" t="str">
        <f>IF($D$11="","",D$13)</f>
        <v/>
      </c>
    </row>
    <row r="151" spans="2:4" x14ac:dyDescent="0.15">
      <c r="B151" s="214" t="s">
        <v>258</v>
      </c>
      <c r="C151" s="92">
        <f>Scenarios!F83</f>
        <v>0.54842134895475636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0.6744369805254401</v>
      </c>
    </row>
    <row r="156" spans="2:4" x14ac:dyDescent="0.15">
      <c r="B156" s="212" t="str">
        <f>"+ PV(Equity Value realized at year "&amp;C141&amp;")"</f>
        <v>+ PV(Equity Value realized at year 3)</v>
      </c>
      <c r="C156" s="216">
        <f>Scenarios!C92</f>
        <v>6.6465804104691575</v>
      </c>
    </row>
    <row r="157" spans="2:4" x14ac:dyDescent="0.15">
      <c r="B157" s="80" t="s">
        <v>256</v>
      </c>
      <c r="C157" s="215">
        <f>Scenarios!C93</f>
        <v>7.3210173909945979</v>
      </c>
      <c r="D157" s="300" t="str">
        <f>IF($D$11="","",C157*$E$25)</f>
        <v/>
      </c>
    </row>
    <row r="158" spans="2:4" x14ac:dyDescent="0.15">
      <c r="B158" s="259" t="s">
        <v>396</v>
      </c>
      <c r="C158" s="298" t="str">
        <f>Market_currency</f>
        <v>HKD</v>
      </c>
      <c r="D158" s="298" t="str">
        <f>IF($D$11="","",D$13)</f>
        <v/>
      </c>
    </row>
    <row r="159" spans="2:4" x14ac:dyDescent="0.15">
      <c r="B159" s="214" t="s">
        <v>258</v>
      </c>
      <c r="C159" s="92">
        <f>Scenarios!F93</f>
        <v>0.43604670782510691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0.89850959414852982</v>
      </c>
    </row>
    <row r="164" spans="2:4" x14ac:dyDescent="0.15">
      <c r="B164" s="212" t="str">
        <f>"+ PV(Equity Value realized at year "&amp;C141&amp;")"</f>
        <v>+ PV(Equity Value realized at year 3)</v>
      </c>
      <c r="C164" s="216">
        <f>Scenarios!C98</f>
        <v>10.449678032231688</v>
      </c>
    </row>
    <row r="165" spans="2:4" x14ac:dyDescent="0.15">
      <c r="B165" s="80" t="s">
        <v>382</v>
      </c>
      <c r="C165" s="215">
        <f>Scenarios!C99</f>
        <v>11.348187626380218</v>
      </c>
      <c r="D165" s="300" t="str">
        <f>IF($D$11="","",C165*$E$25)</f>
        <v/>
      </c>
    </row>
    <row r="166" spans="2:4" x14ac:dyDescent="0.15">
      <c r="B166" s="259" t="s">
        <v>396</v>
      </c>
      <c r="C166" s="298" t="str">
        <f>Market_currency</f>
        <v>HKD</v>
      </c>
      <c r="D166" s="298" t="str">
        <f>IF($D$11="","",D$13)</f>
        <v/>
      </c>
    </row>
    <row r="167" spans="2:4" x14ac:dyDescent="0.15">
      <c r="B167" s="214" t="s">
        <v>258</v>
      </c>
      <c r="C167" s="92">
        <f>Scenarios!F99</f>
        <v>0.12582535591462951</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0.83358031120097364</v>
      </c>
    </row>
    <row r="172" spans="2:4" x14ac:dyDescent="0.15">
      <c r="B172" s="212" t="str">
        <f>"+ PV(Equity Value realized at year "&amp;C141&amp;")"</f>
        <v>+ PV(Equity Value realized at year 3)</v>
      </c>
      <c r="C172" s="216">
        <f>Scenarios!C104</f>
        <v>9.304698412524143</v>
      </c>
    </row>
    <row r="173" spans="2:4" x14ac:dyDescent="0.15">
      <c r="B173" s="80" t="s">
        <v>382</v>
      </c>
      <c r="C173" s="215">
        <f>Scenarios!C105</f>
        <v>10.138278723725117</v>
      </c>
      <c r="D173" s="300" t="str">
        <f>IF($D$11="","",C173*$E$25)</f>
        <v/>
      </c>
    </row>
    <row r="174" spans="2:4" x14ac:dyDescent="0.15">
      <c r="B174" s="259" t="s">
        <v>396</v>
      </c>
      <c r="C174" s="298" t="str">
        <f>Market_currency</f>
        <v>HKD</v>
      </c>
      <c r="D174" s="298" t="str">
        <f>IF($D$11="","",D$13)</f>
        <v/>
      </c>
    </row>
    <row r="175" spans="2:4" x14ac:dyDescent="0.15">
      <c r="B175" s="214" t="s">
        <v>258</v>
      </c>
      <c r="C175" s="92">
        <f>Scenarios!F105</f>
        <v>0.22261866782543671</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187046</v>
      </c>
      <c r="D4" s="351">
        <v>177354</v>
      </c>
      <c r="E4" s="351">
        <v>171944</v>
      </c>
      <c r="F4" s="351">
        <v>138547</v>
      </c>
      <c r="G4" s="351">
        <v>109251</v>
      </c>
      <c r="H4" s="351">
        <v>113313</v>
      </c>
      <c r="I4" s="351">
        <v>105470</v>
      </c>
      <c r="J4" s="351">
        <v>88706</v>
      </c>
      <c r="K4" s="351">
        <v>81882</v>
      </c>
      <c r="L4" s="351">
        <v>41641</v>
      </c>
      <c r="M4" s="351"/>
    </row>
    <row r="5" spans="2:13" x14ac:dyDescent="0.15">
      <c r="B5" s="40" t="s">
        <v>41</v>
      </c>
      <c r="C5" s="351">
        <v>161662</v>
      </c>
      <c r="D5" s="351">
        <v>151091</v>
      </c>
      <c r="E5" s="351">
        <v>146077</v>
      </c>
      <c r="F5" s="351">
        <v>115893</v>
      </c>
      <c r="G5" s="351">
        <v>90292</v>
      </c>
      <c r="H5" s="351">
        <v>85116</v>
      </c>
      <c r="I5" s="351">
        <v>78249</v>
      </c>
      <c r="J5" s="351">
        <v>64145</v>
      </c>
      <c r="K5" s="351">
        <v>56682</v>
      </c>
      <c r="L5" s="351">
        <v>22884</v>
      </c>
      <c r="M5" s="351"/>
    </row>
    <row r="6" spans="2:13" x14ac:dyDescent="0.15">
      <c r="B6" s="40" t="s">
        <v>52</v>
      </c>
      <c r="C6" s="351">
        <v>9321</v>
      </c>
      <c r="D6" s="351">
        <v>9626</v>
      </c>
      <c r="E6" s="351">
        <v>9519</v>
      </c>
      <c r="F6" s="351">
        <v>8885</v>
      </c>
      <c r="G6" s="351">
        <v>7389</v>
      </c>
      <c r="H6" s="351">
        <v>8246</v>
      </c>
      <c r="I6" s="351">
        <v>8234</v>
      </c>
      <c r="J6" s="351">
        <v>7593</v>
      </c>
      <c r="K6" s="351">
        <v>7880</v>
      </c>
      <c r="L6" s="351">
        <v>4574</v>
      </c>
      <c r="M6" s="351"/>
    </row>
    <row r="7" spans="2:13" x14ac:dyDescent="0.15">
      <c r="B7" s="69" t="s">
        <v>59</v>
      </c>
      <c r="C7" s="352">
        <v>3491</v>
      </c>
      <c r="D7" s="352">
        <v>3656</v>
      </c>
      <c r="E7" s="352">
        <v>3770</v>
      </c>
      <c r="F7" s="352">
        <v>3400</v>
      </c>
      <c r="G7" s="352">
        <v>2689</v>
      </c>
      <c r="H7" s="352">
        <v>3112</v>
      </c>
      <c r="I7" s="352">
        <v>3389</v>
      </c>
      <c r="J7" s="352">
        <v>3264</v>
      </c>
      <c r="K7" s="352">
        <v>3399</v>
      </c>
      <c r="L7" s="352">
        <v>2545</v>
      </c>
      <c r="M7" s="352"/>
    </row>
    <row r="8" spans="2:13" x14ac:dyDescent="0.15">
      <c r="B8" s="40" t="s">
        <v>47</v>
      </c>
      <c r="C8" s="351"/>
      <c r="D8" s="351"/>
      <c r="E8" s="351"/>
      <c r="F8" s="351"/>
      <c r="G8" s="351"/>
      <c r="H8" s="351"/>
      <c r="I8" s="351"/>
      <c r="J8" s="351"/>
      <c r="K8" s="351"/>
      <c r="L8" s="351"/>
      <c r="M8" s="351"/>
    </row>
    <row r="9" spans="2:13" x14ac:dyDescent="0.15">
      <c r="B9" s="40" t="s">
        <v>155</v>
      </c>
      <c r="C9" s="351">
        <v>1126</v>
      </c>
      <c r="D9" s="351">
        <v>1045</v>
      </c>
      <c r="E9" s="351">
        <v>992</v>
      </c>
      <c r="F9" s="351">
        <v>1356</v>
      </c>
      <c r="G9" s="351">
        <v>523</v>
      </c>
      <c r="H9" s="351">
        <v>1270</v>
      </c>
      <c r="I9" s="351">
        <v>1169</v>
      </c>
      <c r="J9" s="351">
        <v>991</v>
      </c>
      <c r="K9" s="351">
        <v>901</v>
      </c>
      <c r="L9" s="351">
        <v>-1888</v>
      </c>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803</v>
      </c>
      <c r="D12" s="351">
        <v>960</v>
      </c>
      <c r="E12" s="351">
        <v>899</v>
      </c>
      <c r="F12" s="351">
        <v>783</v>
      </c>
      <c r="G12" s="351">
        <v>708</v>
      </c>
      <c r="H12" s="351">
        <v>988</v>
      </c>
      <c r="I12" s="351">
        <v>1130</v>
      </c>
      <c r="J12" s="351">
        <v>1145</v>
      </c>
      <c r="K12" s="351">
        <v>685</v>
      </c>
      <c r="L12" s="351">
        <v>577</v>
      </c>
      <c r="M12" s="351"/>
    </row>
    <row r="13" spans="2:13" x14ac:dyDescent="0.15">
      <c r="B13" s="40" t="s">
        <v>65</v>
      </c>
      <c r="C13" s="351">
        <v>958</v>
      </c>
      <c r="D13" s="351">
        <v>870</v>
      </c>
      <c r="E13" s="351">
        <v>859</v>
      </c>
      <c r="F13" s="351">
        <v>529</v>
      </c>
      <c r="G13" s="351">
        <v>330</v>
      </c>
      <c r="H13" s="351">
        <v>274</v>
      </c>
      <c r="I13" s="351">
        <v>295</v>
      </c>
      <c r="J13" s="351">
        <v>211</v>
      </c>
      <c r="K13" s="351">
        <v>349</v>
      </c>
      <c r="L13" s="351">
        <v>225</v>
      </c>
      <c r="M13" s="351"/>
    </row>
    <row r="14" spans="2:13" x14ac:dyDescent="0.15">
      <c r="B14" s="40" t="s">
        <v>48</v>
      </c>
      <c r="C14" s="351">
        <v>3128</v>
      </c>
      <c r="D14" s="351">
        <v>3338</v>
      </c>
      <c r="E14" s="351">
        <v>3189</v>
      </c>
      <c r="F14" s="351">
        <v>2698</v>
      </c>
      <c r="G14" s="351">
        <v>2313</v>
      </c>
      <c r="H14" s="351">
        <v>4074</v>
      </c>
      <c r="I14" s="351">
        <v>3772</v>
      </c>
      <c r="J14" s="351">
        <v>3531</v>
      </c>
      <c r="K14" s="351">
        <v>3701</v>
      </c>
      <c r="L14" s="351">
        <v>2607</v>
      </c>
      <c r="M14" s="351"/>
    </row>
    <row r="15" spans="2:13" x14ac:dyDescent="0.15">
      <c r="B15" s="43" t="s">
        <v>40</v>
      </c>
      <c r="C15" s="353">
        <v>9507</v>
      </c>
      <c r="D15" s="353">
        <v>9255</v>
      </c>
      <c r="E15" s="353">
        <v>8203</v>
      </c>
      <c r="F15" s="353">
        <v>26337</v>
      </c>
      <c r="G15" s="353">
        <v>9732</v>
      </c>
      <c r="H15" s="353">
        <v>9571</v>
      </c>
      <c r="I15" s="353">
        <v>8213</v>
      </c>
      <c r="J15" s="353">
        <v>7949</v>
      </c>
      <c r="K15" s="353">
        <v>3414</v>
      </c>
      <c r="L15" s="353">
        <v>2320</v>
      </c>
      <c r="M15" s="353"/>
    </row>
    <row r="16" spans="2:13" x14ac:dyDescent="0.15">
      <c r="B16" s="28" t="s">
        <v>42</v>
      </c>
      <c r="C16" s="351">
        <v>3547</v>
      </c>
      <c r="D16" s="351">
        <v>3573</v>
      </c>
      <c r="E16" s="351">
        <v>2975</v>
      </c>
      <c r="F16" s="351">
        <v>3321</v>
      </c>
      <c r="G16" s="351">
        <v>3669</v>
      </c>
      <c r="H16" s="351">
        <v>4020</v>
      </c>
      <c r="I16" s="351">
        <v>3579</v>
      </c>
      <c r="J16" s="351">
        <v>3189</v>
      </c>
      <c r="K16" s="351">
        <v>2755</v>
      </c>
      <c r="L16" s="351">
        <v>2183</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12514</v>
      </c>
      <c r="D22" s="351">
        <v>14408</v>
      </c>
      <c r="E22" s="351">
        <v>14870</v>
      </c>
      <c r="F22" s="351">
        <v>12000</v>
      </c>
      <c r="G22" s="351">
        <v>16738</v>
      </c>
      <c r="H22" s="351">
        <v>16085</v>
      </c>
      <c r="I22" s="351">
        <v>17018</v>
      </c>
      <c r="J22" s="351">
        <v>13287</v>
      </c>
      <c r="K22" s="351">
        <v>15749</v>
      </c>
      <c r="L22" s="351">
        <v>13370</v>
      </c>
      <c r="M22" s="351"/>
    </row>
    <row r="23" spans="2:13" ht="13" x14ac:dyDescent="0.15">
      <c r="B23" s="27" t="s">
        <v>356</v>
      </c>
      <c r="C23" s="351">
        <v>-3491</v>
      </c>
      <c r="D23" s="351">
        <v>-1061</v>
      </c>
      <c r="E23" s="351">
        <v>-18452</v>
      </c>
      <c r="F23" s="351">
        <v>25602</v>
      </c>
      <c r="G23" s="351">
        <v>-8833</v>
      </c>
      <c r="H23" s="351">
        <v>-10277</v>
      </c>
      <c r="I23" s="351">
        <v>-7000</v>
      </c>
      <c r="J23" s="351">
        <v>-13493</v>
      </c>
      <c r="K23" s="351">
        <v>-23127</v>
      </c>
      <c r="L23" s="351">
        <v>-4719</v>
      </c>
      <c r="M23" s="351"/>
    </row>
    <row r="24" spans="2:13" ht="13" x14ac:dyDescent="0.15">
      <c r="B24" s="27" t="s">
        <v>355</v>
      </c>
      <c r="C24" s="351">
        <v>-8586</v>
      </c>
      <c r="D24" s="351">
        <v>-6039</v>
      </c>
      <c r="E24" s="351">
        <v>-4920</v>
      </c>
      <c r="F24" s="351">
        <v>-25723</v>
      </c>
      <c r="G24" s="351">
        <v>-9808</v>
      </c>
      <c r="H24" s="351">
        <v>-7805</v>
      </c>
      <c r="I24" s="351">
        <v>-11355</v>
      </c>
      <c r="J24" s="351">
        <v>3277</v>
      </c>
      <c r="K24" s="351">
        <v>12259</v>
      </c>
      <c r="L24" s="351">
        <v>-6801</v>
      </c>
      <c r="M24" s="351"/>
    </row>
    <row r="25" spans="2:13" x14ac:dyDescent="0.15">
      <c r="B25" s="24" t="str">
        <f>"Dividend per share ("&amp;Market_currency&amp;")"</f>
        <v>Dividend per share (HKD)</v>
      </c>
      <c r="C25" s="39">
        <f>(0.1517+0.1641)*Exchange_Rate</f>
        <v>0.34551074822</v>
      </c>
      <c r="D25" s="39">
        <f>(0.2838)*Exchange_Rate</f>
        <v>0.31050015941999998</v>
      </c>
      <c r="E25" s="39">
        <f>0.2539*Exchange_Rate</f>
        <v>0.27778714051000003</v>
      </c>
      <c r="F25" s="39">
        <f>0.2078*Exchange_Rate</f>
        <v>0.22735001102000002</v>
      </c>
      <c r="G25" s="39"/>
      <c r="H25" s="39"/>
      <c r="I25" s="39"/>
      <c r="J25" s="39"/>
      <c r="K25" s="39"/>
      <c r="L25" s="39"/>
      <c r="M25" s="39"/>
    </row>
    <row r="27" spans="2:13" x14ac:dyDescent="0.15">
      <c r="B27" s="16" t="s">
        <v>26</v>
      </c>
      <c r="C27" s="97" t="s">
        <v>559</v>
      </c>
    </row>
    <row r="28" spans="2:13" ht="13" x14ac:dyDescent="0.15">
      <c r="B28" s="26" t="s">
        <v>22</v>
      </c>
      <c r="C28" s="333">
        <f>BS!C4</f>
        <v>2544</v>
      </c>
      <c r="D28" s="351">
        <v>1977</v>
      </c>
      <c r="E28" s="351">
        <v>2887</v>
      </c>
      <c r="F28" s="351">
        <v>2728</v>
      </c>
      <c r="G28" s="351">
        <v>4085</v>
      </c>
      <c r="H28" s="351">
        <v>2792</v>
      </c>
      <c r="I28" s="351">
        <v>2459</v>
      </c>
      <c r="J28" s="351">
        <v>2846</v>
      </c>
      <c r="K28" s="351">
        <v>3114</v>
      </c>
      <c r="L28" s="351">
        <v>1837</v>
      </c>
      <c r="M28" s="351"/>
    </row>
    <row r="29" spans="2:13" ht="13" x14ac:dyDescent="0.15">
      <c r="B29" s="26" t="s">
        <v>30</v>
      </c>
      <c r="C29" s="333">
        <f>BS!C6</f>
        <v>1131</v>
      </c>
      <c r="D29" s="351">
        <v>1155</v>
      </c>
      <c r="E29" s="351">
        <v>1081</v>
      </c>
      <c r="F29" s="351">
        <v>1230</v>
      </c>
      <c r="G29" s="351">
        <v>925</v>
      </c>
      <c r="H29" s="351">
        <v>1398</v>
      </c>
      <c r="I29" s="351">
        <v>1865</v>
      </c>
      <c r="J29" s="351">
        <v>1559</v>
      </c>
      <c r="K29" s="351">
        <v>1397</v>
      </c>
      <c r="L29" s="351">
        <v>916</v>
      </c>
      <c r="M29" s="351"/>
    </row>
    <row r="30" spans="2:13" ht="13" x14ac:dyDescent="0.15">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ht="13" x14ac:dyDescent="0.15">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ht="13" x14ac:dyDescent="0.15">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x14ac:dyDescent="0.15">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ht="13" x14ac:dyDescent="0.15">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x14ac:dyDescent="0.15">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x14ac:dyDescent="0.15">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x14ac:dyDescent="0.15">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x14ac:dyDescent="0.15">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x14ac:dyDescent="0.15">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x14ac:dyDescent="0.15">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x14ac:dyDescent="0.15">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x14ac:dyDescent="0.15">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x14ac:dyDescent="0.15">
      <c r="B50" s="16" t="s">
        <v>66</v>
      </c>
    </row>
    <row r="51" spans="2:13" x14ac:dyDescent="0.15">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x14ac:dyDescent="0.15">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x14ac:dyDescent="0.15">
      <c r="B54" s="174" t="s">
        <v>164</v>
      </c>
    </row>
    <row r="55" spans="2:13" x14ac:dyDescent="0.15">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x14ac:dyDescent="0.15">
      <c r="B65" s="24" t="s">
        <v>34</v>
      </c>
      <c r="C65" s="73">
        <f>IF(C$4="","",C25)</f>
        <v>0.34551074822</v>
      </c>
      <c r="D65" s="73">
        <f t="shared" ref="D65:M65" si="33">IF(D$4="","",D25)</f>
        <v>0.31050015941999998</v>
      </c>
      <c r="E65" s="73">
        <f t="shared" si="33"/>
        <v>0.27778714051000003</v>
      </c>
      <c r="F65" s="73">
        <f t="shared" si="33"/>
        <v>0.22735001102000002</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ht="13" x14ac:dyDescent="0.15">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x14ac:dyDescent="0.15">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x14ac:dyDescent="0.15">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x14ac:dyDescent="0.15">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ht="13" x14ac:dyDescent="0.15">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ht="13" x14ac:dyDescent="0.15">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ht="13" x14ac:dyDescent="0.15">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ht="13" x14ac:dyDescent="0.15">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2544</v>
      </c>
      <c r="D4" s="261">
        <v>0.6</v>
      </c>
      <c r="E4" s="25"/>
      <c r="F4" s="4" t="s">
        <v>75</v>
      </c>
      <c r="G4" s="19">
        <f>17265+27827</f>
        <v>45092</v>
      </c>
      <c r="H4" s="261">
        <v>0.9</v>
      </c>
    </row>
    <row r="5" spans="2:8" ht="15" customHeight="1" x14ac:dyDescent="0.15">
      <c r="B5" s="1" t="s">
        <v>31</v>
      </c>
      <c r="C5" s="19">
        <v>0</v>
      </c>
      <c r="D5" s="261">
        <v>0.6</v>
      </c>
      <c r="E5" s="25"/>
      <c r="F5" s="1" t="s">
        <v>27</v>
      </c>
      <c r="G5" s="19">
        <v>0</v>
      </c>
      <c r="H5" s="261">
        <v>0.7</v>
      </c>
    </row>
    <row r="6" spans="2:8" ht="15" customHeight="1" x14ac:dyDescent="0.15">
      <c r="B6" s="4" t="s">
        <v>8</v>
      </c>
      <c r="C6" s="19">
        <v>1131</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8470</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0</v>
      </c>
      <c r="D11" s="261">
        <v>0.05</v>
      </c>
      <c r="H11" s="262"/>
    </row>
    <row r="12" spans="2:8" ht="15" customHeight="1" x14ac:dyDescent="0.15">
      <c r="B12" s="80" t="s">
        <v>70</v>
      </c>
      <c r="C12" s="81">
        <f>SUM(C4:C11)</f>
        <v>12145</v>
      </c>
      <c r="D12" s="20">
        <f>C4*D4+C5*D5+C9*D9+C6*D6+C8*D8+C7*D7+C10*D10+C11*D11</f>
        <v>2938.8999999999996</v>
      </c>
      <c r="F12" s="80" t="s">
        <v>68</v>
      </c>
      <c r="G12" s="81">
        <f>SUM(G4:G9)</f>
        <v>45092</v>
      </c>
      <c r="H12" s="20">
        <f>G4*H4+G5*H5+G6*H6+G7*H7+G8*H8+G9*H9</f>
        <v>40582.800000000003</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264</v>
      </c>
      <c r="H17" s="261">
        <v>0.6</v>
      </c>
    </row>
    <row r="18" spans="2:8" ht="15" customHeight="1" x14ac:dyDescent="0.15">
      <c r="B18" s="4" t="s">
        <v>169</v>
      </c>
      <c r="C18" s="19">
        <v>0</v>
      </c>
      <c r="D18" s="261">
        <v>0.6</v>
      </c>
      <c r="F18" s="4" t="s">
        <v>177</v>
      </c>
      <c r="G18" s="19">
        <f>8567+6157</f>
        <v>14724</v>
      </c>
      <c r="H18" s="261">
        <v>0.1</v>
      </c>
    </row>
    <row r="19" spans="2:8" ht="15" customHeight="1" x14ac:dyDescent="0.15">
      <c r="B19" s="4" t="s">
        <v>24</v>
      </c>
      <c r="C19" s="19">
        <v>66797</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1526</v>
      </c>
      <c r="D21" s="261">
        <v>0.05</v>
      </c>
      <c r="F21" s="1" t="s">
        <v>176</v>
      </c>
      <c r="G21" s="19">
        <v>0</v>
      </c>
      <c r="H21" s="261">
        <v>0.1</v>
      </c>
    </row>
    <row r="22" spans="2:8" ht="15" customHeight="1" x14ac:dyDescent="0.15">
      <c r="B22" s="4" t="s">
        <v>18</v>
      </c>
      <c r="C22" s="19">
        <v>1162</v>
      </c>
      <c r="D22" s="261">
        <v>0.9</v>
      </c>
      <c r="H22" s="262"/>
    </row>
    <row r="23" spans="2:8" ht="15" customHeight="1" x14ac:dyDescent="0.15">
      <c r="B23" s="4" t="s">
        <v>19</v>
      </c>
      <c r="C23" s="19">
        <v>1680</v>
      </c>
      <c r="D23" s="261">
        <v>0</v>
      </c>
      <c r="H23" s="262"/>
    </row>
    <row r="24" spans="2:8" ht="15" customHeight="1" x14ac:dyDescent="0.15">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x14ac:dyDescent="0.15">
      <c r="B26" s="16" t="s">
        <v>196</v>
      </c>
      <c r="C26" s="182" t="s">
        <v>132</v>
      </c>
      <c r="F26" s="184" t="s">
        <v>192</v>
      </c>
      <c r="G26" s="185" t="s">
        <v>132</v>
      </c>
      <c r="H26" s="186" t="s">
        <v>33</v>
      </c>
    </row>
    <row r="27" spans="2:8" ht="15" customHeight="1" x14ac:dyDescent="0.15">
      <c r="B27" s="4" t="s">
        <v>3</v>
      </c>
      <c r="C27" s="19">
        <v>9133</v>
      </c>
      <c r="F27" s="187" t="s">
        <v>28</v>
      </c>
      <c r="G27" s="85">
        <f>G32-G30</f>
        <v>88835</v>
      </c>
      <c r="H27" s="188">
        <f>H32-G30</f>
        <v>-1600.6999999999971</v>
      </c>
    </row>
    <row r="28" spans="2:8" ht="15" customHeight="1" x14ac:dyDescent="0.15">
      <c r="B28" s="4" t="s">
        <v>4</v>
      </c>
      <c r="C28" s="19">
        <v>258</v>
      </c>
      <c r="F28" s="189" t="s">
        <v>240</v>
      </c>
      <c r="G28" s="12">
        <v>23686</v>
      </c>
      <c r="H28" s="188"/>
    </row>
    <row r="29" spans="2:8" ht="15" customHeight="1" x14ac:dyDescent="0.15">
      <c r="B29" s="4" t="s">
        <v>5</v>
      </c>
      <c r="C29" s="19">
        <v>0</v>
      </c>
      <c r="F29" s="190" t="s">
        <v>73</v>
      </c>
      <c r="G29" s="14">
        <f>G27-G28</f>
        <v>65149</v>
      </c>
      <c r="H29" s="188">
        <f>H27-G28</f>
        <v>-25286.699999999997</v>
      </c>
    </row>
    <row r="30" spans="2:8" ht="15" customHeight="1" x14ac:dyDescent="0.15">
      <c r="B30" s="2" t="s">
        <v>6</v>
      </c>
      <c r="C30" s="19">
        <v>0</v>
      </c>
      <c r="F30" s="187" t="s">
        <v>21</v>
      </c>
      <c r="G30" s="85">
        <f>C33+C42</f>
        <v>54555</v>
      </c>
      <c r="H30" s="188"/>
    </row>
    <row r="31" spans="2:8" ht="15" customHeight="1" x14ac:dyDescent="0.15">
      <c r="B31" s="80" t="s">
        <v>199</v>
      </c>
      <c r="C31" s="81">
        <f>SUM(C27:C30)</f>
        <v>9391</v>
      </c>
      <c r="F31" s="190" t="s">
        <v>74</v>
      </c>
      <c r="G31" s="191">
        <f>C31+C40</f>
        <v>24279</v>
      </c>
      <c r="H31" s="188"/>
    </row>
    <row r="32" spans="2:8" ht="15" customHeight="1" x14ac:dyDescent="0.15">
      <c r="B32" s="4" t="s">
        <v>7</v>
      </c>
      <c r="C32" s="21">
        <f>C33-C31</f>
        <v>26285</v>
      </c>
      <c r="F32" s="192" t="s">
        <v>72</v>
      </c>
      <c r="G32" s="193">
        <f>G35+G40</f>
        <v>143390</v>
      </c>
      <c r="H32" s="188">
        <f>H35+H40</f>
        <v>52954.3</v>
      </c>
    </row>
    <row r="33" spans="2:8" ht="15" customHeight="1" x14ac:dyDescent="0.15">
      <c r="B33" s="83" t="s">
        <v>2</v>
      </c>
      <c r="C33" s="84">
        <v>35676</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83310</v>
      </c>
      <c r="H35" s="200">
        <f>D12+D24</f>
        <v>10740.7</v>
      </c>
    </row>
    <row r="36" spans="2:8" ht="15" customHeight="1" x14ac:dyDescent="0.15">
      <c r="B36" s="4" t="s">
        <v>11</v>
      </c>
      <c r="C36" s="19">
        <v>14329</v>
      </c>
      <c r="F36" s="190" t="s">
        <v>193</v>
      </c>
      <c r="G36" s="191">
        <f>C4+C15</f>
        <v>2544</v>
      </c>
      <c r="H36" s="195"/>
    </row>
    <row r="37" spans="2:8" ht="15" customHeight="1" x14ac:dyDescent="0.15">
      <c r="B37" s="4" t="s">
        <v>12</v>
      </c>
      <c r="C37" s="19">
        <v>559</v>
      </c>
      <c r="F37" s="190" t="s">
        <v>194</v>
      </c>
      <c r="G37" s="191">
        <f>C6</f>
        <v>1131</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66797</v>
      </c>
      <c r="H39" s="188">
        <f>C7*D7+C17*D17+C19*D19+C20*D20</f>
        <v>6679.7000000000007</v>
      </c>
    </row>
    <row r="40" spans="2:8" ht="15" customHeight="1" x14ac:dyDescent="0.15">
      <c r="B40" s="80" t="s">
        <v>200</v>
      </c>
      <c r="C40" s="81">
        <f>SUM(C36:C39)</f>
        <v>14888</v>
      </c>
      <c r="F40" s="199" t="s">
        <v>134</v>
      </c>
      <c r="G40" s="193">
        <f>G12+G24</f>
        <v>60080</v>
      </c>
      <c r="H40" s="200">
        <f>H12+H24</f>
        <v>42213.600000000006</v>
      </c>
    </row>
    <row r="41" spans="2:8" ht="15" customHeight="1" x14ac:dyDescent="0.15">
      <c r="B41" s="4" t="s">
        <v>15</v>
      </c>
      <c r="C41" s="21">
        <f>C42-C40</f>
        <v>3991</v>
      </c>
      <c r="F41" s="190" t="s">
        <v>187</v>
      </c>
      <c r="G41" s="191">
        <f>C70</f>
        <v>59816</v>
      </c>
      <c r="H41" s="200">
        <f>H40-H42</f>
        <v>42055.200000000004</v>
      </c>
    </row>
    <row r="42" spans="2:8" ht="15" customHeight="1" x14ac:dyDescent="0.15">
      <c r="B42" s="83" t="s">
        <v>20</v>
      </c>
      <c r="C42" s="84">
        <v>18879</v>
      </c>
      <c r="F42" s="201" t="s">
        <v>188</v>
      </c>
      <c r="G42" s="202">
        <f>C82</f>
        <v>264</v>
      </c>
      <c r="H42" s="203">
        <f>D82</f>
        <v>158.4</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65149</v>
      </c>
      <c r="D46" s="76">
        <f>H29</f>
        <v>-25286.699999999997</v>
      </c>
      <c r="F46" s="253"/>
    </row>
    <row r="47" spans="2:8" ht="15" customHeight="1" x14ac:dyDescent="0.15">
      <c r="B47" s="1" t="str">
        <f>"Equity per share ("&amp;Market_currency&amp;")"</f>
        <v>Equity per share (HKD)</v>
      </c>
      <c r="C47" s="147">
        <f>C46*H1/Common_Shares*Exchange_Rate</f>
        <v>8.2318869235964733</v>
      </c>
      <c r="D47" s="147">
        <f>D46*H1/Common_Shares*Exchange_Rate</f>
        <v>-3.1950951675529464</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1.3936222417470483</v>
      </c>
      <c r="D50" s="95">
        <f>G31/Normalized_FCF!G8</f>
        <v>1.511486023781361</v>
      </c>
      <c r="F50" s="253"/>
    </row>
    <row r="51" spans="2:8" ht="15" customHeight="1" x14ac:dyDescent="0.15">
      <c r="B51" s="1" t="s">
        <v>172</v>
      </c>
      <c r="C51" s="181"/>
      <c r="D51" s="92">
        <f>G29/G32</f>
        <v>0.45434828091219748</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0.20911663975938258</v>
      </c>
      <c r="D54" s="92">
        <f>Normalized_FCF!G8/G35</f>
        <v>0.19280998679630296</v>
      </c>
      <c r="F54" s="253"/>
    </row>
    <row r="55" spans="2:8" ht="15" customHeight="1" x14ac:dyDescent="0.15">
      <c r="B55" s="1" t="s">
        <v>137</v>
      </c>
      <c r="C55" s="92">
        <f>Normalized_FCF!C11/G40</f>
        <v>1.4993342210386151E-2</v>
      </c>
      <c r="D55" s="92">
        <f>Normalized_FCF!G11/G40</f>
        <v>1.8741677762982689E-2</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0.46584141153497455</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0.36356659350105142</v>
      </c>
      <c r="D62" s="92">
        <f>G28/G29</f>
        <v>0.36356659350105142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45092</v>
      </c>
      <c r="D66" s="76">
        <f>C66-D75</f>
        <v>17130.299700255742</v>
      </c>
      <c r="F66" s="5" t="s">
        <v>222</v>
      </c>
    </row>
    <row r="67" spans="2:6" ht="15" customHeight="1" x14ac:dyDescent="0.15">
      <c r="B67" s="105" t="s">
        <v>173</v>
      </c>
      <c r="C67" s="20">
        <f>G6+G16</f>
        <v>0</v>
      </c>
      <c r="F67" s="253"/>
    </row>
    <row r="68" spans="2:6" ht="15" customHeight="1" x14ac:dyDescent="0.15">
      <c r="B68" s="105" t="s">
        <v>177</v>
      </c>
      <c r="C68" s="20">
        <f>G18</f>
        <v>14724</v>
      </c>
      <c r="F68" s="253"/>
    </row>
    <row r="69" spans="2:6" ht="15" customHeight="1" x14ac:dyDescent="0.15">
      <c r="B69" s="105" t="s">
        <v>175</v>
      </c>
      <c r="C69" s="20">
        <f>G8+G20</f>
        <v>0</v>
      </c>
      <c r="F69" s="253"/>
    </row>
    <row r="70" spans="2:6" ht="15" customHeight="1" x14ac:dyDescent="0.15">
      <c r="B70" s="80" t="s">
        <v>184</v>
      </c>
      <c r="C70" s="81">
        <f>SUM(C66:C69)</f>
        <v>59816</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-14497.892421401642</v>
      </c>
      <c r="D73" s="349">
        <f>(Normalized_FCF!C25+Normalized_FCF!C35-Normalized_FCF!C91)/12</f>
        <v>-13980.850149872129</v>
      </c>
      <c r="F73" s="1" t="s">
        <v>342</v>
      </c>
    </row>
    <row r="74" spans="2:6" ht="15" customHeight="1" x14ac:dyDescent="0.15">
      <c r="B74" s="257" t="s">
        <v>312</v>
      </c>
      <c r="C74" s="258">
        <f>-$C$66/C73</f>
        <v>3.1102451783567964</v>
      </c>
      <c r="D74" s="258">
        <f>-$C$66/D73</f>
        <v>3.2252688153168152</v>
      </c>
      <c r="F74" s="253" t="s">
        <v>310</v>
      </c>
    </row>
    <row r="75" spans="2:6" ht="15" customHeight="1" x14ac:dyDescent="0.15">
      <c r="B75" s="80" t="s">
        <v>311</v>
      </c>
      <c r="C75" s="320"/>
      <c r="D75" s="321">
        <f>MAX(-D73*D76,G5)</f>
        <v>27961.700299744258</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264</v>
      </c>
      <c r="D79" s="76">
        <f>G7*H7+G17*H17</f>
        <v>158.4</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264</v>
      </c>
      <c r="D82" s="81">
        <f>SUM(D79:D81)</f>
        <v>158.4</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-26563.190171099999</v>
      </c>
      <c r="D86" s="223">
        <f>C86*scaling_factor/Common_Shares</f>
        <v>-3.0677674656249327</v>
      </c>
      <c r="E86" s="240" t="str">
        <f>Market_currency</f>
        <v>HKD</v>
      </c>
    </row>
    <row r="87" spans="2:8" ht="15" customHeight="1" x14ac:dyDescent="0.15">
      <c r="B87" s="238" t="s">
        <v>282</v>
      </c>
      <c r="C87" s="76">
        <f>DCF!C8*Exchange_Rate</f>
        <v>18741.933713325532</v>
      </c>
      <c r="D87" s="223">
        <f>C87*scaling_factor/Common_Shares</f>
        <v>2.1644950820399975</v>
      </c>
      <c r="E87" s="240" t="str">
        <f>Market_currency</f>
        <v>HKD</v>
      </c>
    </row>
    <row r="88" spans="2:8" ht="15" customHeight="1" x14ac:dyDescent="0.15">
      <c r="B88" s="239" t="s">
        <v>185</v>
      </c>
      <c r="C88" s="76">
        <f>DCF!C9*Exchange_Rate</f>
        <v>173.30241456000002</v>
      </c>
      <c r="D88" s="223">
        <f>C88*scaling_factor/Common_Shares</f>
        <v>2.0014595599282894E-2</v>
      </c>
      <c r="E88" s="240" t="str">
        <f>Market_currency</f>
        <v>HKD</v>
      </c>
    </row>
    <row r="89" spans="2:8" ht="15" customHeight="1" x14ac:dyDescent="0.15">
      <c r="B89" s="80" t="s">
        <v>286</v>
      </c>
      <c r="C89" s="180">
        <f>SUM(C86:C88)</f>
        <v>-7647.9540432144668</v>
      </c>
      <c r="D89" s="242">
        <f>SUM(D86:D88)</f>
        <v>-0.88325778798565235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x14ac:dyDescent="0.15">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x14ac:dyDescent="0.15">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x14ac:dyDescent="0.15">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x14ac:dyDescent="0.15">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x14ac:dyDescent="0.15">
      <c r="A12" s="10"/>
      <c r="B12" s="2" t="s">
        <v>66</v>
      </c>
      <c r="C12" s="328">
        <f>C50</f>
        <v>-523.38299700255743</v>
      </c>
      <c r="E12" s="268"/>
      <c r="G12" s="328">
        <f>G50</f>
        <v>-208.94098981737341</v>
      </c>
      <c r="H12" s="328">
        <f t="shared" ref="H12:Q12" si="6">H50</f>
        <v>-420.51008469844976</v>
      </c>
      <c r="I12" s="328">
        <f t="shared" si="6"/>
        <v>-366.33122155858439</v>
      </c>
      <c r="J12" s="328">
        <f t="shared" si="6"/>
        <v>-454.9653273626206</v>
      </c>
      <c r="K12" s="328">
        <f t="shared" si="6"/>
        <v>-503.36589419596373</v>
      </c>
      <c r="L12" s="328">
        <f t="shared" si="6"/>
        <v>-818.09168184755777</v>
      </c>
      <c r="M12" s="328">
        <f t="shared" si="6"/>
        <v>-947.06951147820996</v>
      </c>
      <c r="N12" s="328">
        <f t="shared" si="6"/>
        <v>-1014.1581929556011</v>
      </c>
      <c r="O12" s="328">
        <f t="shared" si="6"/>
        <v>-468.58393052845861</v>
      </c>
      <c r="P12" s="328">
        <f t="shared" si="6"/>
        <v>-437.47674604270253</v>
      </c>
      <c r="Q12" s="328" t="str">
        <f t="shared" si="6"/>
        <v/>
      </c>
    </row>
    <row r="13" spans="1:17" ht="15.75" customHeight="1" x14ac:dyDescent="0.15">
      <c r="A13" s="10"/>
      <c r="B13" s="70" t="s">
        <v>160</v>
      </c>
      <c r="C13" s="329">
        <f>SUM(C8:C12)</f>
        <v>17798.924261351603</v>
      </c>
      <c r="E13" s="268"/>
      <c r="G13" s="329">
        <f>IF(G$4="","",SUM(G8:G12))</f>
        <v>16980.059010182627</v>
      </c>
      <c r="H13" s="329">
        <f t="shared" ref="H13:Q13" si="7">IF(H$4="","",SUM(H8:H12))</f>
        <v>17261.48991530155</v>
      </c>
      <c r="I13" s="329">
        <f t="shared" si="7"/>
        <v>16973.668778441417</v>
      </c>
      <c r="J13" s="329">
        <f t="shared" si="7"/>
        <v>14670.034672637379</v>
      </c>
      <c r="K13" s="329">
        <f t="shared" si="7"/>
        <v>11589.634105804036</v>
      </c>
      <c r="L13" s="329">
        <f t="shared" si="7"/>
        <v>20402.908318152444</v>
      </c>
      <c r="M13" s="329">
        <f t="shared" si="7"/>
        <v>19208.93048852179</v>
      </c>
      <c r="N13" s="329">
        <f t="shared" si="7"/>
        <v>16944.841807044399</v>
      </c>
      <c r="O13" s="329">
        <f t="shared" si="7"/>
        <v>17752.416069471543</v>
      </c>
      <c r="P13" s="329">
        <f t="shared" si="7"/>
        <v>11857.523253957297</v>
      </c>
      <c r="Q13" s="329" t="str">
        <f t="shared" si="7"/>
        <v/>
      </c>
    </row>
    <row r="14" spans="1:17" ht="15.75" customHeight="1" x14ac:dyDescent="0.15">
      <c r="A14" s="10"/>
      <c r="B14" s="2" t="s">
        <v>61</v>
      </c>
      <c r="C14" s="328">
        <f>-SUM(C8+C11,C12)*C43</f>
        <v>-4449.7310653379009</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x14ac:dyDescent="0.15">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x14ac:dyDescent="0.15">
      <c r="A16" s="10"/>
      <c r="B16" s="41" t="s">
        <v>150</v>
      </c>
      <c r="C16" s="332">
        <f>SUM(C13:C15)</f>
        <v>7230.3311261012987</v>
      </c>
      <c r="D16" s="61"/>
      <c r="E16" s="276"/>
      <c r="F16" s="61"/>
      <c r="G16" s="329">
        <f>IF(G$4="","",SUM(G13:G15))</f>
        <v>10305.059010182627</v>
      </c>
      <c r="H16" s="329">
        <f t="shared" ref="H16:Q16" si="8">IF(H$4="","",SUM(H13:H15))</f>
        <v>10350.48991530155</v>
      </c>
      <c r="I16" s="329">
        <f t="shared" si="8"/>
        <v>10809.668778441417</v>
      </c>
      <c r="J16" s="329">
        <f t="shared" si="8"/>
        <v>8651.0346726373791</v>
      </c>
      <c r="K16" s="329">
        <f t="shared" si="8"/>
        <v>5607.6341058040362</v>
      </c>
      <c r="L16" s="329">
        <f t="shared" si="8"/>
        <v>12308.908318152444</v>
      </c>
      <c r="M16" s="329">
        <f t="shared" si="8"/>
        <v>11857.93048852179</v>
      </c>
      <c r="N16" s="329">
        <f t="shared" si="8"/>
        <v>10224.841807044399</v>
      </c>
      <c r="O16" s="329">
        <f t="shared" si="8"/>
        <v>11296.416069471543</v>
      </c>
      <c r="P16" s="329">
        <f t="shared" si="8"/>
        <v>7067.5232539572971</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7230.3311261012987</v>
      </c>
      <c r="D19" s="27"/>
      <c r="E19" s="265"/>
      <c r="F19" s="27"/>
      <c r="G19" s="334">
        <f>IF(G$4="","",G16+G17)</f>
        <v>10305.059010182627</v>
      </c>
      <c r="H19" s="334">
        <f t="shared" ref="H19:Q19" si="9">IF(H$4="","",H16+H17)</f>
        <v>10350.48991530155</v>
      </c>
      <c r="I19" s="334">
        <f t="shared" si="9"/>
        <v>10809.668778441417</v>
      </c>
      <c r="J19" s="334">
        <f t="shared" si="9"/>
        <v>8651.0346726373791</v>
      </c>
      <c r="K19" s="334">
        <f t="shared" si="9"/>
        <v>5607.6341058040362</v>
      </c>
      <c r="L19" s="334">
        <f t="shared" si="9"/>
        <v>12308.908318152444</v>
      </c>
      <c r="M19" s="334">
        <f t="shared" si="9"/>
        <v>11857.93048852179</v>
      </c>
      <c r="N19" s="334">
        <f t="shared" si="9"/>
        <v>10224.841807044399</v>
      </c>
      <c r="O19" s="334">
        <f t="shared" si="9"/>
        <v>11296.416069471543</v>
      </c>
      <c r="P19" s="334">
        <f t="shared" si="9"/>
        <v>7067.5232539572971</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x14ac:dyDescent="0.2">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x14ac:dyDescent="0.15">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x14ac:dyDescent="0.2">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x14ac:dyDescent="0.15">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0.18421608535778328</v>
      </c>
      <c r="H43" s="6">
        <f t="shared" si="18"/>
        <v>0.19337844046944117</v>
      </c>
      <c r="I43" s="6">
        <f t="shared" si="18"/>
        <v>0.187879240582944</v>
      </c>
      <c r="J43" s="6">
        <f t="shared" si="18"/>
        <v>0.18391231242502262</v>
      </c>
      <c r="K43" s="6">
        <f t="shared" si="18"/>
        <v>0.19957489415836346</v>
      </c>
      <c r="L43" s="6">
        <f t="shared" si="18"/>
        <v>0.1996774154190247</v>
      </c>
      <c r="M43" s="6">
        <f t="shared" si="18"/>
        <v>0.19636699722839548</v>
      </c>
      <c r="N43" s="6">
        <f t="shared" si="18"/>
        <v>0.20838199849892219</v>
      </c>
      <c r="O43" s="6">
        <f t="shared" si="18"/>
        <v>0.20847866484858543</v>
      </c>
      <c r="P43" s="6">
        <f t="shared" si="18"/>
        <v>0.21986041639260095</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x14ac:dyDescent="0.15">
      <c r="A48" s="10"/>
      <c r="B48" s="2" t="s">
        <v>336</v>
      </c>
      <c r="C48" s="328">
        <f>BS!D75*C53</f>
        <v>279.61700299744257</v>
      </c>
      <c r="E48" s="268"/>
      <c r="G48" s="337">
        <f>IFERROR(IF(G$4="","",($C$48/$C$49)*G49),0)</f>
        <v>594.05901018262659</v>
      </c>
      <c r="H48" s="337">
        <f t="shared" ref="H48:Q48" si="19">IFERROR(IF(H$4="","",($C$48/$C$49)*H49),0)</f>
        <v>539.48991530155024</v>
      </c>
      <c r="I48" s="337">
        <f t="shared" si="19"/>
        <v>532.66877844141561</v>
      </c>
      <c r="J48" s="337">
        <f t="shared" si="19"/>
        <v>328.0346726373794</v>
      </c>
      <c r="K48" s="337">
        <f t="shared" si="19"/>
        <v>204.6341058040363</v>
      </c>
      <c r="L48" s="337">
        <f t="shared" si="19"/>
        <v>169.90831815244223</v>
      </c>
      <c r="M48" s="337">
        <f t="shared" si="19"/>
        <v>182.93048852179001</v>
      </c>
      <c r="N48" s="337">
        <f t="shared" si="19"/>
        <v>130.84180704439896</v>
      </c>
      <c r="O48" s="337">
        <f t="shared" si="19"/>
        <v>216.41606947154139</v>
      </c>
      <c r="P48" s="337">
        <f t="shared" si="19"/>
        <v>139.52325395729747</v>
      </c>
      <c r="Q48" s="337" t="str">
        <f t="shared" si="19"/>
        <v/>
      </c>
    </row>
    <row r="49" spans="1:17" ht="15.75" customHeight="1" x14ac:dyDescent="0.15">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x14ac:dyDescent="0.15">
      <c r="A50" s="10"/>
      <c r="B50" s="70" t="s">
        <v>66</v>
      </c>
      <c r="C50" s="329">
        <f>C47+C48</f>
        <v>-523.38299700255743</v>
      </c>
      <c r="E50" s="268"/>
      <c r="G50" s="329">
        <f>IF(G$4="","",(G47+G48))</f>
        <v>-208.94098981737341</v>
      </c>
      <c r="H50" s="329">
        <f t="shared" ref="H50:Q50" si="20">IF(H$4="","",(H47+H48))</f>
        <v>-420.51008469844976</v>
      </c>
      <c r="I50" s="329">
        <f t="shared" si="20"/>
        <v>-366.33122155858439</v>
      </c>
      <c r="J50" s="329">
        <f t="shared" si="20"/>
        <v>-454.9653273626206</v>
      </c>
      <c r="K50" s="329">
        <f t="shared" si="20"/>
        <v>-503.36589419596373</v>
      </c>
      <c r="L50" s="329">
        <f t="shared" si="20"/>
        <v>-818.09168184755777</v>
      </c>
      <c r="M50" s="329">
        <f t="shared" si="20"/>
        <v>-947.06951147820996</v>
      </c>
      <c r="N50" s="329">
        <f t="shared" si="20"/>
        <v>-1014.1581929556011</v>
      </c>
      <c r="O50" s="329">
        <f t="shared" si="20"/>
        <v>-468.58393052845861</v>
      </c>
      <c r="P50" s="329">
        <f t="shared" si="20"/>
        <v>-437.47674604270253</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x14ac:dyDescent="0.15">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x14ac:dyDescent="0.15">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x14ac:dyDescent="0.15">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x14ac:dyDescent="0.15">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x14ac:dyDescent="0.15">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x14ac:dyDescent="0.15">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x14ac:dyDescent="0.15">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x14ac:dyDescent="0.15">
      <c r="A80" s="10"/>
      <c r="B80" s="2" t="s">
        <v>66</v>
      </c>
      <c r="C80" s="77">
        <f>ABS(C12/C$4)</f>
        <v>2.8725740779503703E-3</v>
      </c>
      <c r="D80" s="27"/>
      <c r="E80" s="265"/>
      <c r="F80" s="27"/>
      <c r="G80" s="6">
        <f t="shared" ref="G80:Q80" si="31">IF(G$4="","",ABS(G12/G$4))</f>
        <v>1.117056712345484E-3</v>
      </c>
      <c r="H80" s="6">
        <f t="shared" si="31"/>
        <v>2.3710211480905408E-3</v>
      </c>
      <c r="I80" s="6">
        <f t="shared" si="31"/>
        <v>2.1305263432197948E-3</v>
      </c>
      <c r="J80" s="6">
        <f t="shared" si="31"/>
        <v>3.2838338423973137E-3</v>
      </c>
      <c r="K80" s="6">
        <f t="shared" si="31"/>
        <v>4.6074259658581045E-3</v>
      </c>
      <c r="L80" s="6">
        <f t="shared" si="31"/>
        <v>7.2197513246278697E-3</v>
      </c>
      <c r="M80" s="6">
        <f t="shared" si="31"/>
        <v>8.9795156108676399E-3</v>
      </c>
      <c r="N80" s="6">
        <f t="shared" si="31"/>
        <v>1.1432802662228046E-2</v>
      </c>
      <c r="O80" s="6">
        <f t="shared" si="31"/>
        <v>5.7226732435511907E-3</v>
      </c>
      <c r="P80" s="6">
        <f t="shared" si="31"/>
        <v>1.0505913547770288E-2</v>
      </c>
      <c r="Q80" s="6" t="str">
        <f t="shared" si="31"/>
        <v/>
      </c>
    </row>
    <row r="81" spans="1:17" ht="15.75" customHeight="1" x14ac:dyDescent="0.15">
      <c r="A81" s="10"/>
      <c r="B81" s="70" t="s">
        <v>160</v>
      </c>
      <c r="C81" s="78">
        <f>C13/C4</f>
        <v>9.7688936670425927E-2</v>
      </c>
      <c r="D81" s="27"/>
      <c r="E81" s="265"/>
      <c r="F81" s="27"/>
      <c r="G81" s="65">
        <f t="shared" ref="G81:Q81" si="32">IF(G$4="","",G13/G$4)</f>
        <v>9.0780123660397061E-2</v>
      </c>
      <c r="H81" s="65">
        <f t="shared" si="32"/>
        <v>9.7327886122114807E-2</v>
      </c>
      <c r="I81" s="65">
        <f t="shared" si="32"/>
        <v>9.8716260982886384E-2</v>
      </c>
      <c r="J81" s="65">
        <f t="shared" si="32"/>
        <v>0.10588489590274332</v>
      </c>
      <c r="K81" s="65">
        <f t="shared" si="32"/>
        <v>0.10608263636766745</v>
      </c>
      <c r="L81" s="65">
        <f t="shared" si="32"/>
        <v>0.18005796614821287</v>
      </c>
      <c r="M81" s="65">
        <f t="shared" si="32"/>
        <v>0.18212696016423427</v>
      </c>
      <c r="N81" s="65">
        <f t="shared" si="32"/>
        <v>0.19102249912119135</v>
      </c>
      <c r="O81" s="65">
        <f t="shared" si="32"/>
        <v>0.21680486638664839</v>
      </c>
      <c r="P81" s="65">
        <f t="shared" si="32"/>
        <v>0.28475596777112216</v>
      </c>
      <c r="Q81" s="65" t="str">
        <f t="shared" si="32"/>
        <v/>
      </c>
    </row>
    <row r="82" spans="1:17" ht="15.75" customHeight="1" x14ac:dyDescent="0.15">
      <c r="A82" s="10"/>
      <c r="B82" s="2" t="s">
        <v>61</v>
      </c>
      <c r="C82" s="77">
        <f>ABS(C14/C$4)</f>
        <v>2.4422234167606482E-2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x14ac:dyDescent="0.15">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x14ac:dyDescent="0.15">
      <c r="A84" s="10"/>
      <c r="B84" s="41" t="s">
        <v>150</v>
      </c>
      <c r="C84" s="78">
        <f>ABS(C16/C$4)</f>
        <v>3.9683485873223373E-2</v>
      </c>
      <c r="D84" s="27"/>
      <c r="E84" s="265"/>
      <c r="F84" s="27"/>
      <c r="G84" s="65">
        <f t="shared" ref="G84:Q84" si="35">IF(G$4="","",ABS(G16/G$4))</f>
        <v>5.5093714969486798E-2</v>
      </c>
      <c r="H84" s="65">
        <f t="shared" si="35"/>
        <v>5.8360622908429187E-2</v>
      </c>
      <c r="I84" s="65">
        <f t="shared" si="35"/>
        <v>6.2867379951853028E-2</v>
      </c>
      <c r="J84" s="65">
        <f t="shared" si="35"/>
        <v>6.2441154789619258E-2</v>
      </c>
      <c r="K84" s="65">
        <f t="shared" si="35"/>
        <v>5.1327988812953987E-2</v>
      </c>
      <c r="L84" s="65">
        <f t="shared" si="35"/>
        <v>0.10862750362405411</v>
      </c>
      <c r="M84" s="65">
        <f t="shared" si="35"/>
        <v>0.1124294158388337</v>
      </c>
      <c r="N84" s="65">
        <f t="shared" si="35"/>
        <v>0.11526663142340314</v>
      </c>
      <c r="O84" s="65">
        <f t="shared" si="35"/>
        <v>0.13795969895058185</v>
      </c>
      <c r="P84" s="65">
        <f t="shared" si="35"/>
        <v>0.1697251087619725</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3.9683485873223373E-2</v>
      </c>
      <c r="D87" s="75"/>
      <c r="E87" s="265"/>
      <c r="F87" s="75"/>
      <c r="G87" s="65">
        <f t="shared" ref="G87:Q87" si="36">IF(G$4="","",ABS(G19/G$4))</f>
        <v>5.5093714969486798E-2</v>
      </c>
      <c r="H87" s="65">
        <f t="shared" si="36"/>
        <v>5.8360622908429187E-2</v>
      </c>
      <c r="I87" s="65">
        <f t="shared" si="36"/>
        <v>6.2867379951853028E-2</v>
      </c>
      <c r="J87" s="65">
        <f t="shared" si="36"/>
        <v>6.2441154789619258E-2</v>
      </c>
      <c r="K87" s="65">
        <f t="shared" si="36"/>
        <v>5.1327988812953987E-2</v>
      </c>
      <c r="L87" s="65">
        <f t="shared" si="36"/>
        <v>0.10862750362405411</v>
      </c>
      <c r="M87" s="65">
        <f t="shared" si="36"/>
        <v>0.1124294158388337</v>
      </c>
      <c r="N87" s="65">
        <f t="shared" si="36"/>
        <v>0.11526663142340314</v>
      </c>
      <c r="O87" s="65">
        <f t="shared" si="36"/>
        <v>0.13795969895058185</v>
      </c>
      <c r="P87" s="65">
        <f t="shared" si="36"/>
        <v>0.1697251087619725</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0.34551074822</v>
      </c>
      <c r="E90" s="268"/>
      <c r="G90" s="112">
        <f>Data!C65</f>
        <v>0.34551074822</v>
      </c>
      <c r="H90" s="112">
        <f>Data!D65</f>
        <v>0.31050015941999998</v>
      </c>
      <c r="I90" s="112">
        <f>Data!E65</f>
        <v>0.27778714051000003</v>
      </c>
      <c r="J90" s="112">
        <f>Data!F65</f>
        <v>0.22735001102000002</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2991.7090568196941</v>
      </c>
      <c r="E91" s="268"/>
      <c r="G91" s="74">
        <f t="shared" ref="G91:Q91" si="37">IF(G$4="","",G90*Common_Shares/scaling_factor)</f>
        <v>2991.7090568196941</v>
      </c>
      <c r="H91" s="74">
        <f t="shared" si="37"/>
        <v>2688.559310720168</v>
      </c>
      <c r="I91" s="74">
        <f t="shared" si="37"/>
        <v>2405.3037667084241</v>
      </c>
      <c r="J91" s="74">
        <f t="shared" si="37"/>
        <v>1968.5786637337949</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0.41377206723212245</v>
      </c>
      <c r="E92" s="268"/>
      <c r="G92" s="170">
        <f t="shared" ref="G92:Q92" si="38">IF(G$4="","",G90/(G19*scaling_factor/Common_Shares))</f>
        <v>0.29031459731220643</v>
      </c>
      <c r="H92" s="170">
        <f t="shared" si="38"/>
        <v>0.25975188930386395</v>
      </c>
      <c r="I92" s="170">
        <f t="shared" si="38"/>
        <v>0.22251410436418856</v>
      </c>
      <c r="J92" s="170">
        <f t="shared" si="38"/>
        <v>0.22755412944537981</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434</v>
      </c>
      <c r="C93" s="356">
        <v>0</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4.4697380106080202E-2</v>
      </c>
      <c r="E94" s="268"/>
      <c r="G94" s="23">
        <f t="shared" ref="G94:Q94" si="39">IF(G$4="","",(G90*(1-dividend_tax_rate))/Market_Price)</f>
        <v>4.4697380106080202E-2</v>
      </c>
      <c r="H94" s="23">
        <f t="shared" si="39"/>
        <v>4.0168196561448898E-2</v>
      </c>
      <c r="I94" s="23">
        <f t="shared" si="39"/>
        <v>3.5936240686934025E-2</v>
      </c>
      <c r="J94" s="23">
        <f t="shared" si="39"/>
        <v>2.9411385642949549E-2</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x14ac:dyDescent="0.15">
      <c r="A98" s="10"/>
      <c r="B98" s="70" t="s">
        <v>160</v>
      </c>
      <c r="C98" s="77">
        <f>C13/G13-1</f>
        <v>4.8225112214151711E-2</v>
      </c>
      <c r="D98" s="27"/>
      <c r="E98" s="265"/>
      <c r="F98" s="27"/>
      <c r="G98" s="6">
        <f t="shared" ref="G98:Q98" si="41">IF(H5="","",G13/H13-1)</f>
        <v>-1.6303975294128414E-2</v>
      </c>
      <c r="H98" s="6">
        <f t="shared" si="41"/>
        <v>1.6956919603951626E-2</v>
      </c>
      <c r="I98" s="6">
        <f t="shared" si="41"/>
        <v>0.15702990191978117</v>
      </c>
      <c r="J98" s="6">
        <f t="shared" si="41"/>
        <v>0.26578928538310742</v>
      </c>
      <c r="K98" s="6">
        <f t="shared" si="41"/>
        <v>-0.43196166325500018</v>
      </c>
      <c r="L98" s="6">
        <f t="shared" si="41"/>
        <v>6.2157434030182479E-2</v>
      </c>
      <c r="M98" s="6">
        <f t="shared" si="41"/>
        <v>0.13361521501700602</v>
      </c>
      <c r="N98" s="6">
        <f t="shared" si="41"/>
        <v>-4.549094947227561E-2</v>
      </c>
      <c r="O98" s="6">
        <f t="shared" si="41"/>
        <v>0.49714368584914226</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x14ac:dyDescent="0.15">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x14ac:dyDescent="0.15">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x14ac:dyDescent="0.15">
      <c r="A115" s="10"/>
      <c r="B115" s="2" t="s">
        <v>373</v>
      </c>
      <c r="C115" s="169"/>
      <c r="E115" s="268"/>
      <c r="G115" s="295">
        <f>IF(G$4="","",Data!C$22/G19)</f>
        <v>1.2143550063745074</v>
      </c>
      <c r="H115" s="295">
        <f>IF(H$4="","",Data!D$22/H19)</f>
        <v>1.3920114040882323</v>
      </c>
      <c r="I115" s="295">
        <f>IF(I$4="","",Data!E$22/I19)</f>
        <v>1.3756203177711073</v>
      </c>
      <c r="J115" s="295">
        <f>IF(J$4="","",Data!F$22/J19)</f>
        <v>1.3871173164933861</v>
      </c>
      <c r="K115" s="295">
        <f>IF(K$4="","",Data!G$22/K19)</f>
        <v>2.9848595119064147</v>
      </c>
      <c r="L115" s="295">
        <f>IF(L$4="","",Data!H$22/L19)</f>
        <v>1.3067771393080247</v>
      </c>
      <c r="M115" s="295">
        <f>IF(M$4="","",Data!I$22/M19)</f>
        <v>1.4351576791981571</v>
      </c>
      <c r="N115" s="295">
        <f>IF(N$4="","",Data!J$22/N19)</f>
        <v>1.2994822072304266</v>
      </c>
      <c r="O115" s="295">
        <f>IF(O$4="","",Data!K$22/O19)</f>
        <v>1.3941589884035452</v>
      </c>
      <c r="P115" s="295">
        <f>IF(P$4="","",Data!L$22/P19)</f>
        <v>1.8917518230327401</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9.7688936670425927E-2</v>
      </c>
      <c r="E118" s="268"/>
      <c r="G118" s="23">
        <f t="shared" ref="G118:Q118" si="45">IF(G4="","",IF(valuation_method="DDM",G13/(G4+G12),G81))</f>
        <v>9.0780123660397061E-2</v>
      </c>
      <c r="H118" s="23">
        <f t="shared" si="45"/>
        <v>9.7327886122114807E-2</v>
      </c>
      <c r="I118" s="23">
        <f t="shared" si="45"/>
        <v>9.8716260982886384E-2</v>
      </c>
      <c r="J118" s="23">
        <f t="shared" si="45"/>
        <v>0.10588489590274332</v>
      </c>
      <c r="K118" s="23">
        <f t="shared" si="45"/>
        <v>0.10608263636766745</v>
      </c>
      <c r="L118" s="23">
        <f t="shared" si="45"/>
        <v>0.18005796614821287</v>
      </c>
      <c r="M118" s="23">
        <f t="shared" si="45"/>
        <v>0.18212696016423427</v>
      </c>
      <c r="N118" s="23">
        <f t="shared" si="45"/>
        <v>0.19102249912119135</v>
      </c>
      <c r="O118" s="23">
        <f t="shared" si="45"/>
        <v>0.21680486638664839</v>
      </c>
      <c r="P118" s="23">
        <f t="shared" si="45"/>
        <v>0.28475596777112216</v>
      </c>
      <c r="Q118" s="23" t="str">
        <f t="shared" si="45"/>
        <v/>
      </c>
    </row>
    <row r="119" spans="1:17" ht="15.75" customHeight="1" x14ac:dyDescent="0.15">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x14ac:dyDescent="0.15">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x14ac:dyDescent="0.15">
      <c r="A121" s="10"/>
      <c r="B121" s="70" t="s">
        <v>218</v>
      </c>
      <c r="C121" s="102">
        <f>C13/C106</f>
        <v>0.20035936580572525</v>
      </c>
      <c r="D121" s="103"/>
      <c r="E121" s="271"/>
      <c r="F121" s="103"/>
      <c r="G121" s="102">
        <f t="shared" ref="G121:Q121" si="48">IF(G$4="","",G13/G106)</f>
        <v>0.19114154342525613</v>
      </c>
      <c r="H121" s="102">
        <f t="shared" si="48"/>
        <v>0.20122273545226385</v>
      </c>
      <c r="I121" s="102">
        <f t="shared" si="48"/>
        <v>0.21032525561251786</v>
      </c>
      <c r="J121" s="102">
        <f t="shared" si="48"/>
        <v>0.19338045468208143</v>
      </c>
      <c r="K121" s="102">
        <f t="shared" si="48"/>
        <v>0.13711162239052654</v>
      </c>
      <c r="L121" s="102">
        <f t="shared" si="48"/>
        <v>0.25766127824906793</v>
      </c>
      <c r="M121" s="102">
        <f t="shared" si="48"/>
        <v>0.27404528901934244</v>
      </c>
      <c r="N121" s="102">
        <f t="shared" si="48"/>
        <v>0.25820711325020035</v>
      </c>
      <c r="O121" s="102">
        <f t="shared" si="48"/>
        <v>0.26774679983517402</v>
      </c>
      <c r="P121" s="102">
        <f t="shared" si="48"/>
        <v>0.16861275317042967</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0.91358682789031043</v>
      </c>
      <c r="D125" s="27"/>
      <c r="E125" s="265"/>
      <c r="F125" s="27"/>
      <c r="G125" s="177">
        <f t="shared" ref="G125:Q125" si="49">IF(G$4="","",G16*$C$3/Common_Shares*Exchange_Rate)</f>
        <v>1.3020933631032305</v>
      </c>
      <c r="H125" s="177">
        <f t="shared" si="49"/>
        <v>1.3078337746793962</v>
      </c>
      <c r="I125" s="177">
        <f t="shared" si="49"/>
        <v>1.3658532144109803</v>
      </c>
      <c r="J125" s="177">
        <f t="shared" si="49"/>
        <v>1.0930994980316402</v>
      </c>
      <c r="K125" s="177">
        <f t="shared" si="49"/>
        <v>0.70855131879049327</v>
      </c>
      <c r="L125" s="177">
        <f t="shared" si="49"/>
        <v>1.5552892819221622</v>
      </c>
      <c r="M125" s="177">
        <f t="shared" si="49"/>
        <v>1.4983060818950169</v>
      </c>
      <c r="N125" s="177">
        <f t="shared" si="49"/>
        <v>1.2919575368348144</v>
      </c>
      <c r="O125" s="177">
        <f t="shared" si="49"/>
        <v>1.4273560565133441</v>
      </c>
      <c r="P125" s="177">
        <f t="shared" si="49"/>
        <v>0.89301527661921243</v>
      </c>
      <c r="Q125" s="177" t="str">
        <f t="shared" si="49"/>
        <v/>
      </c>
    </row>
    <row r="126" spans="1:17" ht="15.75" customHeight="1" x14ac:dyDescent="0.15">
      <c r="A126" s="10"/>
      <c r="B126" s="27" t="s">
        <v>264</v>
      </c>
      <c r="C126" s="77">
        <f>C19*Exchange_Rate*$C$3/(Market_Price*Common_Shares)</f>
        <v>0.11818717049033771</v>
      </c>
      <c r="D126" s="27"/>
      <c r="E126" s="265"/>
      <c r="F126" s="27"/>
      <c r="G126" s="77">
        <f t="shared" ref="G126" si="50">IF(G$4="","",G125/Market_Price)</f>
        <v>0.16844674813754598</v>
      </c>
      <c r="H126" s="77">
        <f t="shared" ref="H126" si="51">IF(H$4="","",H125/Market_Price)</f>
        <v>0.16918936283045227</v>
      </c>
      <c r="I126" s="77">
        <f t="shared" ref="I126" si="52">IF(I$4="","",I125/Market_Price)</f>
        <v>0.17669511182548256</v>
      </c>
      <c r="J126" s="77">
        <f t="shared" ref="J126" si="53">IF(J$4="","",J125/Market_Price)</f>
        <v>0.14141002561858215</v>
      </c>
      <c r="K126" s="77">
        <f t="shared" ref="K126" si="54">IF(K$4="","",K125/Market_Price)</f>
        <v>9.1662525069921508E-2</v>
      </c>
      <c r="L126" s="77">
        <f t="shared" ref="L126" si="55">IF(L$4="","",L125/Market_Price)</f>
        <v>0.20120171823055139</v>
      </c>
      <c r="M126" s="77">
        <f t="shared" ref="M126" si="56">IF(M$4="","",M125/Market_Price)</f>
        <v>0.19383002353105006</v>
      </c>
      <c r="N126" s="77">
        <f t="shared" ref="N126" si="57">IF(N$4="","",N125/Market_Price)</f>
        <v>0.16713551576129551</v>
      </c>
      <c r="O126" s="77">
        <f t="shared" ref="O126" si="58">IF(O$4="","",O125/Market_Price)</f>
        <v>0.18465149502113118</v>
      </c>
      <c r="P126" s="77">
        <f t="shared" ref="P126" si="59">IF(P$4="","",P125/Market_Price)</f>
        <v>0.11552590900636642</v>
      </c>
      <c r="Q126" s="77" t="str">
        <f t="shared" ref="Q126" si="60">IF(Q$4="","",Q125/Market_Price)</f>
        <v/>
      </c>
    </row>
    <row r="127" spans="1:17" ht="15.75" customHeight="1" x14ac:dyDescent="0.15">
      <c r="B127" s="2" t="s">
        <v>375</v>
      </c>
      <c r="C127" s="169"/>
      <c r="G127" s="23">
        <f>IF(G$4="","",(Data!C47*$C$3)/(Market_Price*Common_Shares))</f>
        <v>0.14203854205001823</v>
      </c>
      <c r="H127" s="23">
        <f>IF(H$4="","",(Data!D47*$C$3)/(Market_Price*Common_Shares))</f>
        <v>0.13827355702881233</v>
      </c>
      <c r="I127" s="23">
        <f>IF(I$4="","",(Data!E47*$C$3)/(Market_Price*Common_Shares))</f>
        <v>0.12255623860695274</v>
      </c>
      <c r="J127" s="23">
        <f>IF(J$4="","",(Data!F47*$C$3)/(Market_Price*Common_Shares))</f>
        <v>0.39348575596627017</v>
      </c>
      <c r="K127" s="23">
        <f>IF(K$4="","",(Data!G47*$C$3)/(Market_Price*Common_Shares))</f>
        <v>0.14540013581895209</v>
      </c>
      <c r="L127" s="23">
        <f>IF(L$4="","",(Data!H47*$C$3)/(Market_Price*Common_Shares))</f>
        <v>0.14299472872207053</v>
      </c>
      <c r="M127" s="23">
        <f>IF(M$4="","",(Data!I47*$C$3)/(Market_Price*Common_Shares))</f>
        <v>0.1227056427744609</v>
      </c>
      <c r="N127" s="23">
        <f>IF(N$4="","",(Data!J47*$C$3)/(Market_Price*Common_Shares))</f>
        <v>0.11876137275224519</v>
      </c>
      <c r="O127" s="23">
        <f>IF(O$4="","",(Data!K47*$C$3)/(Market_Price*Common_Shares))</f>
        <v>5.1006582787289603E-2</v>
      </c>
      <c r="P127" s="23">
        <f>IF(P$4="","",(Data!L47*$C$3)/(Market_Price*Common_Shares))</f>
        <v>3.466176686189569E-2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7230.3311261012987</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96404.415014683982</v>
      </c>
      <c r="D6" t="str">
        <f>Reporting_currency</f>
        <v>CNY</v>
      </c>
      <c r="E6" s="378" t="s">
        <v>245</v>
      </c>
      <c r="F6" s="378"/>
      <c r="H6" s="120"/>
    </row>
    <row r="7" spans="2:8" x14ac:dyDescent="0.15">
      <c r="B7" s="148" t="s">
        <v>220</v>
      </c>
      <c r="C7" s="338">
        <f>BS!G31</f>
        <v>24279</v>
      </c>
      <c r="D7" t="str">
        <f>Reporting_currency</f>
        <v>CNY</v>
      </c>
      <c r="E7" s="378"/>
      <c r="F7" s="378"/>
      <c r="H7" s="120"/>
    </row>
    <row r="8" spans="2:8" x14ac:dyDescent="0.15">
      <c r="B8" s="148" t="s">
        <v>221</v>
      </c>
      <c r="C8" s="338">
        <f>BS!D66</f>
        <v>17130.299700255742</v>
      </c>
      <c r="D8" t="str">
        <f>Reporting_currency</f>
        <v>CNY</v>
      </c>
      <c r="E8" s="378"/>
      <c r="F8" s="378"/>
      <c r="H8" s="120"/>
    </row>
    <row r="9" spans="2:8" x14ac:dyDescent="0.15">
      <c r="B9" s="205" t="s">
        <v>186</v>
      </c>
      <c r="C9" s="348">
        <f>BS!H42</f>
        <v>158.4</v>
      </c>
      <c r="D9" t="str">
        <f>Reporting_currency</f>
        <v>CNY</v>
      </c>
      <c r="E9" s="378"/>
      <c r="F9" s="378"/>
      <c r="H9" s="120"/>
    </row>
    <row r="10" spans="2:8" x14ac:dyDescent="0.15">
      <c r="B10" s="149" t="s">
        <v>223</v>
      </c>
      <c r="C10" s="347">
        <f>C6-C7+C8+C9</f>
        <v>89414.114714939715</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11.297899917218485</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1.983423674168E-2</v>
      </c>
      <c r="H16" s="120"/>
    </row>
    <row r="17" spans="2:17" ht="13.25" customHeight="1" x14ac:dyDescent="0.15">
      <c r="B17" s="118" t="s">
        <v>130</v>
      </c>
      <c r="C17" s="162">
        <f>Scenarios!C64</f>
        <v>20</v>
      </c>
      <c r="H17" s="120"/>
    </row>
    <row r="18" spans="2:17" ht="13.25" customHeight="1" x14ac:dyDescent="0.15">
      <c r="B18" s="153" t="s">
        <v>103</v>
      </c>
      <c r="C18" s="140">
        <f>(F52-C7+C8+C9)*Exchange_Rate/Common_Shares*scaling_factor</f>
        <v>13.041577285327115</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7373.7392253771295</v>
      </c>
      <c r="D21" s="138">
        <f>IF($C$17&lt;B21,0,DCF!$C$16)</f>
        <v>1.983423674168E-2</v>
      </c>
      <c r="E21" s="124">
        <f t="shared" ref="E21:E50" si="0">IF($C$17&lt;B21,0,1/(1+Equity_Cost)^B21)</f>
        <v>0.93023255813953487</v>
      </c>
      <c r="F21" s="125">
        <f t="shared" ref="F21:F51" si="1">C21*E21</f>
        <v>6859.2923026763992</v>
      </c>
      <c r="H21" s="120"/>
    </row>
    <row r="22" spans="2:17" x14ac:dyDescent="0.15">
      <c r="B22" s="122">
        <v>2</v>
      </c>
      <c r="C22" s="123">
        <f t="shared" ref="C22:C50" si="2">IF(ROW()-ROW($C$21)&lt;$C$17, $C$21*(1+D22)^(ROW()-ROW($C$21)), 0)</f>
        <v>7519.9917148446712</v>
      </c>
      <c r="D22" s="138">
        <f>IF($C$17&lt;B22,0,DCF!$C$16)</f>
        <v>1.983423674168E-2</v>
      </c>
      <c r="E22" s="124">
        <f t="shared" si="0"/>
        <v>0.86533261222282321</v>
      </c>
      <c r="F22" s="125">
        <f t="shared" si="1"/>
        <v>6507.2940745005271</v>
      </c>
      <c r="H22" s="120"/>
    </row>
    <row r="23" spans="2:17" x14ac:dyDescent="0.15">
      <c r="B23" s="122">
        <v>3</v>
      </c>
      <c r="C23" s="123">
        <f t="shared" si="2"/>
        <v>7669.1450108123727</v>
      </c>
      <c r="D23" s="138">
        <f>IF($C$17&lt;B23,0,DCF!$C$16)</f>
        <v>1.983423674168E-2</v>
      </c>
      <c r="E23" s="124">
        <f t="shared" si="0"/>
        <v>0.80496056950960304</v>
      </c>
      <c r="F23" s="125">
        <f t="shared" si="1"/>
        <v>6173.3593355552584</v>
      </c>
      <c r="G23" s="338"/>
      <c r="H23" s="339"/>
      <c r="I23" s="338"/>
      <c r="J23" s="338"/>
      <c r="K23" s="338"/>
      <c r="L23" s="338"/>
      <c r="M23" s="338"/>
      <c r="N23" s="338"/>
      <c r="O23" s="338"/>
      <c r="P23" s="338"/>
      <c r="Q23" s="338"/>
    </row>
    <row r="24" spans="2:17" x14ac:dyDescent="0.15">
      <c r="B24" s="122">
        <v>4</v>
      </c>
      <c r="C24" s="123">
        <f t="shared" si="2"/>
        <v>7821.2566485630987</v>
      </c>
      <c r="D24" s="138">
        <f>IF($C$17&lt;B24,0,DCF!$C$16)</f>
        <v>1.983423674168E-2</v>
      </c>
      <c r="E24" s="124">
        <f t="shared" si="0"/>
        <v>0.7488005297763749</v>
      </c>
      <c r="F24" s="125">
        <f t="shared" si="1"/>
        <v>5856.5611219610428</v>
      </c>
      <c r="G24" s="338"/>
      <c r="H24" s="339"/>
      <c r="I24" s="338"/>
      <c r="J24" s="338"/>
      <c r="K24" s="338"/>
      <c r="L24" s="338"/>
      <c r="M24" s="338"/>
      <c r="N24" s="338"/>
      <c r="O24" s="338"/>
      <c r="P24" s="338"/>
      <c r="Q24" s="338"/>
    </row>
    <row r="25" spans="2:17" x14ac:dyDescent="0.15">
      <c r="B25" s="122">
        <v>5</v>
      </c>
      <c r="C25" s="123">
        <f t="shared" si="2"/>
        <v>7976.3853045481374</v>
      </c>
      <c r="D25" s="138">
        <f>IF($C$17&lt;B25,0,DCF!$C$16)</f>
        <v>1.983423674168E-2</v>
      </c>
      <c r="E25" s="124">
        <f t="shared" si="0"/>
        <v>0.69655863235011617</v>
      </c>
      <c r="F25" s="125">
        <f t="shared" si="1"/>
        <v>5556.0200388336152</v>
      </c>
      <c r="G25" s="338"/>
      <c r="H25" s="339"/>
      <c r="I25" s="338"/>
      <c r="J25" s="338"/>
      <c r="K25" s="338"/>
      <c r="L25" s="338"/>
      <c r="M25" s="338"/>
      <c r="N25" s="338"/>
      <c r="O25" s="338"/>
      <c r="P25" s="338"/>
      <c r="Q25" s="338"/>
    </row>
    <row r="26" spans="2:17" x14ac:dyDescent="0.15">
      <c r="B26" s="122">
        <v>6</v>
      </c>
      <c r="C26" s="123">
        <f t="shared" si="2"/>
        <v>8134.5908190214022</v>
      </c>
      <c r="D26" s="138">
        <f>IF($C$17&lt;B26,0,DCF!$C$16)</f>
        <v>1.983423674168E-2</v>
      </c>
      <c r="E26" s="124">
        <f t="shared" si="0"/>
        <v>0.64796151846522443</v>
      </c>
      <c r="F26" s="125">
        <f t="shared" si="1"/>
        <v>5270.9018191863815</v>
      </c>
      <c r="H26" s="120"/>
    </row>
    <row r="27" spans="2:17" x14ac:dyDescent="0.15">
      <c r="B27" s="122">
        <v>7</v>
      </c>
      <c r="C27" s="123">
        <f t="shared" si="2"/>
        <v>8295.9342191225696</v>
      </c>
      <c r="D27" s="138">
        <f>IF($C$17&lt;B27,0,DCF!$C$16)</f>
        <v>1.983423674168E-2</v>
      </c>
      <c r="E27" s="124">
        <f t="shared" si="0"/>
        <v>0.60275490089788319</v>
      </c>
      <c r="F27" s="125">
        <f t="shared" si="1"/>
        <v>5000.4150081025828</v>
      </c>
      <c r="H27" s="120"/>
    </row>
    <row r="28" spans="2:17" x14ac:dyDescent="0.15">
      <c r="B28" s="122">
        <v>8</v>
      </c>
      <c r="C28" s="123">
        <f t="shared" si="2"/>
        <v>8460.4777424180502</v>
      </c>
      <c r="D28" s="138">
        <f>IF($C$17&lt;B28,0,DCF!$C$16)</f>
        <v>1.983423674168E-2</v>
      </c>
      <c r="E28" s="124">
        <f t="shared" si="0"/>
        <v>0.56070223339337966</v>
      </c>
      <c r="F28" s="125">
        <f t="shared" si="1"/>
        <v>4743.8087657487795</v>
      </c>
      <c r="H28" s="120"/>
    </row>
    <row r="29" spans="2:17" x14ac:dyDescent="0.15">
      <c r="B29" s="122">
        <v>9</v>
      </c>
      <c r="C29" s="123">
        <f t="shared" si="2"/>
        <v>8628.2848609088833</v>
      </c>
      <c r="D29" s="138">
        <f>IF($C$17&lt;B29,0,DCF!$C$16)</f>
        <v>1.983423674168E-2</v>
      </c>
      <c r="E29" s="124">
        <f t="shared" si="0"/>
        <v>0.52158347292407414</v>
      </c>
      <c r="F29" s="125">
        <f t="shared" si="1"/>
        <v>4500.3707831310676</v>
      </c>
      <c r="H29" s="120"/>
    </row>
    <row r="30" spans="2:17" x14ac:dyDescent="0.15">
      <c r="B30" s="122">
        <v>10</v>
      </c>
      <c r="C30" s="123">
        <f t="shared" si="2"/>
        <v>8799.4203055148027</v>
      </c>
      <c r="D30" s="138">
        <f>IF($C$17&lt;B30,0,DCF!$C$16)</f>
        <v>1.983423674168E-2</v>
      </c>
      <c r="E30" s="124">
        <f t="shared" si="0"/>
        <v>0.48519392830146441</v>
      </c>
      <c r="F30" s="125">
        <f t="shared" si="1"/>
        <v>4269.4253048083992</v>
      </c>
      <c r="H30" s="120"/>
    </row>
    <row r="31" spans="2:17" x14ac:dyDescent="0.15">
      <c r="B31" s="122">
        <v>11</v>
      </c>
      <c r="C31" s="123">
        <f t="shared" si="2"/>
        <v>8973.9500910439292</v>
      </c>
      <c r="D31" s="138">
        <f>IF($C$17&lt;B31,0,DCF!$C$16)</f>
        <v>1.983423674168E-2</v>
      </c>
      <c r="E31" s="124">
        <f t="shared" si="0"/>
        <v>0.45134318911764126</v>
      </c>
      <c r="F31" s="125">
        <f t="shared" si="1"/>
        <v>4050.3312530743142</v>
      </c>
      <c r="H31" s="120"/>
    </row>
    <row r="32" spans="2:17" x14ac:dyDescent="0.15">
      <c r="B32" s="122">
        <v>12</v>
      </c>
      <c r="C32" s="123">
        <f t="shared" si="2"/>
        <v>9151.9415416577158</v>
      </c>
      <c r="D32" s="138">
        <f>IF($C$17&lt;B32,0,DCF!$C$16)</f>
        <v>1.983423674168E-2</v>
      </c>
      <c r="E32" s="124">
        <f t="shared" si="0"/>
        <v>0.41985412941175931</v>
      </c>
      <c r="F32" s="125">
        <f t="shared" si="1"/>
        <v>3842.4804484000147</v>
      </c>
      <c r="H32" s="120"/>
    </row>
    <row r="33" spans="2:17" x14ac:dyDescent="0.15">
      <c r="B33" s="122">
        <v>13</v>
      </c>
      <c r="C33" s="341">
        <f t="shared" si="2"/>
        <v>9333.4633168409691</v>
      </c>
      <c r="D33" s="138">
        <f>IF($C$17&lt;B33,0,DCF!$C$16)</f>
        <v>1.983423674168E-2</v>
      </c>
      <c r="E33" s="124">
        <f t="shared" si="0"/>
        <v>0.39056198084814819</v>
      </c>
      <c r="F33" s="125">
        <f t="shared" si="1"/>
        <v>3645.2959211989364</v>
      </c>
      <c r="G33" s="338"/>
      <c r="H33" s="339"/>
      <c r="I33" s="338"/>
      <c r="J33" s="338"/>
      <c r="K33" s="338"/>
      <c r="L33" s="338"/>
      <c r="M33" s="338"/>
      <c r="N33" s="338"/>
      <c r="O33" s="338"/>
      <c r="P33" s="338"/>
      <c r="Q33" s="338"/>
    </row>
    <row r="34" spans="2:17" x14ac:dyDescent="0.15">
      <c r="B34" s="122">
        <v>14</v>
      </c>
      <c r="C34" s="341">
        <f t="shared" si="2"/>
        <v>9518.5854378869808</v>
      </c>
      <c r="D34" s="138">
        <f>IF($C$17&lt;B34,0,DCF!$C$16)</f>
        <v>1.983423674168E-2</v>
      </c>
      <c r="E34" s="124">
        <f t="shared" si="0"/>
        <v>0.36331347055641694</v>
      </c>
      <c r="F34" s="125">
        <f t="shared" si="1"/>
        <v>3458.2303102264905</v>
      </c>
      <c r="G34" s="338"/>
      <c r="H34" s="339"/>
      <c r="I34" s="338"/>
      <c r="J34" s="338"/>
      <c r="K34" s="338"/>
      <c r="L34" s="338"/>
      <c r="M34" s="338"/>
      <c r="N34" s="338"/>
      <c r="O34" s="338"/>
      <c r="P34" s="338"/>
      <c r="Q34" s="338"/>
    </row>
    <row r="35" spans="2:17" x14ac:dyDescent="0.15">
      <c r="B35" s="122">
        <v>15</v>
      </c>
      <c r="C35" s="341">
        <f t="shared" si="2"/>
        <v>9707.3793149079374</v>
      </c>
      <c r="D35" s="138">
        <f>IF($C$17&lt;B35,0,DCF!$C$16)</f>
        <v>1.983423674168E-2</v>
      </c>
      <c r="E35" s="124">
        <f t="shared" si="0"/>
        <v>0.33796601912224833</v>
      </c>
      <c r="F35" s="125">
        <f t="shared" si="1"/>
        <v>3280.764343169094</v>
      </c>
      <c r="G35" s="338"/>
      <c r="H35" s="339"/>
      <c r="I35" s="338"/>
      <c r="J35" s="338"/>
      <c r="K35" s="338"/>
      <c r="L35" s="338"/>
      <c r="M35" s="338"/>
      <c r="N35" s="338"/>
      <c r="O35" s="338"/>
      <c r="P35" s="338"/>
      <c r="Q35" s="338"/>
    </row>
    <row r="36" spans="2:17" x14ac:dyDescent="0.15">
      <c r="B36" s="122">
        <v>16</v>
      </c>
      <c r="C36" s="123">
        <f t="shared" si="2"/>
        <v>9899.9177743811088</v>
      </c>
      <c r="D36" s="138">
        <f>IF($C$17&lt;B36,0,DCF!$C$16)</f>
        <v>1.983423674168E-2</v>
      </c>
      <c r="E36" s="124">
        <f t="shared" si="0"/>
        <v>0.31438699453232405</v>
      </c>
      <c r="F36" s="125">
        <f t="shared" si="1"/>
        <v>3112.4053952048112</v>
      </c>
      <c r="H36" s="120"/>
    </row>
    <row r="37" spans="2:17" x14ac:dyDescent="0.15">
      <c r="B37" s="122">
        <v>17</v>
      </c>
      <c r="C37" s="123">
        <f t="shared" si="2"/>
        <v>10096.275087241349</v>
      </c>
      <c r="D37" s="138">
        <f>IF($C$17&lt;B37,0,DCF!$C$16)</f>
        <v>1.983423674168E-2</v>
      </c>
      <c r="E37" s="124">
        <f t="shared" si="0"/>
        <v>0.29245301816960378</v>
      </c>
      <c r="F37" s="125">
        <f t="shared" si="1"/>
        <v>2952.6861215343124</v>
      </c>
      <c r="H37" s="120"/>
    </row>
    <row r="38" spans="2:17" x14ac:dyDescent="0.15">
      <c r="B38" s="122">
        <v>18</v>
      </c>
      <c r="C38" s="123">
        <f t="shared" si="2"/>
        <v>10296.526997530818</v>
      </c>
      <c r="D38" s="138">
        <f>IF($C$17&lt;B38,0,DCF!$C$16)</f>
        <v>1.983423674168E-2</v>
      </c>
      <c r="E38" s="124">
        <f t="shared" si="0"/>
        <v>0.27204931922753844</v>
      </c>
      <c r="F38" s="125">
        <f t="shared" si="1"/>
        <v>2801.1631600862297</v>
      </c>
      <c r="H38" s="120"/>
    </row>
    <row r="39" spans="2:17" x14ac:dyDescent="0.15">
      <c r="B39" s="122">
        <v>19</v>
      </c>
      <c r="C39" s="123">
        <f t="shared" si="2"/>
        <v>10500.750751616943</v>
      </c>
      <c r="D39" s="138">
        <f>IF($C$17&lt;B39,0,DCF!$C$16)</f>
        <v>1.983423674168E-2</v>
      </c>
      <c r="E39" s="124">
        <f t="shared" si="0"/>
        <v>0.25306913416515198</v>
      </c>
      <c r="F39" s="125">
        <f t="shared" si="1"/>
        <v>2657.4159007957687</v>
      </c>
      <c r="H39" s="120"/>
    </row>
    <row r="40" spans="2:17" x14ac:dyDescent="0.15">
      <c r="B40" s="122">
        <v>20</v>
      </c>
      <c r="C40" s="123">
        <f t="shared" si="2"/>
        <v>10709.025127989888</v>
      </c>
      <c r="D40" s="138">
        <f>IF($C$17&lt;B40,0,DCF!$C$16)</f>
        <v>1.983423674168E-2</v>
      </c>
      <c r="E40" s="124">
        <f t="shared" si="0"/>
        <v>0.23541314806060654</v>
      </c>
      <c r="F40" s="125">
        <f t="shared" si="1"/>
        <v>2521.0453180402392</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98316.523005028401</v>
      </c>
      <c r="D51" s="139">
        <f>Terminal_Growth</f>
        <v>0</v>
      </c>
      <c r="E51" s="124">
        <f>1/(1+Equity_Cost)^C17</f>
        <v>0.23541314806060654</v>
      </c>
      <c r="F51" s="125">
        <f t="shared" si="1"/>
        <v>23145.002186986778</v>
      </c>
      <c r="H51" s="120"/>
    </row>
    <row r="52" spans="1:17" x14ac:dyDescent="0.15">
      <c r="C52" s="114"/>
      <c r="E52" s="127" t="s">
        <v>97</v>
      </c>
      <c r="F52" s="137">
        <f>SUM(F21:F51)</f>
        <v>110204.26891322104</v>
      </c>
      <c r="H52" s="120"/>
    </row>
    <row r="53" spans="1:17" x14ac:dyDescent="0.15">
      <c r="C53" s="114"/>
      <c r="H53" s="120"/>
    </row>
    <row r="54" spans="1:17" x14ac:dyDescent="0.15">
      <c r="B54" s="119" t="s">
        <v>125</v>
      </c>
      <c r="C54" s="136"/>
      <c r="D54" s="136"/>
      <c r="E54" s="117"/>
      <c r="F54" s="117"/>
      <c r="H54" s="120"/>
    </row>
    <row r="55" spans="1:17" x14ac:dyDescent="0.15">
      <c r="A55" s="133">
        <f>F52</f>
        <v>110204.26891322104</v>
      </c>
      <c r="B55" s="131">
        <f>C78</f>
        <v>0</v>
      </c>
      <c r="C55" s="131">
        <f>C77</f>
        <v>0.01</v>
      </c>
      <c r="D55" s="131">
        <f>C76</f>
        <v>0.02</v>
      </c>
      <c r="E55" s="131">
        <f>C75</f>
        <v>0.03</v>
      </c>
      <c r="F55" s="131">
        <f>C74</f>
        <v>0.04</v>
      </c>
      <c r="H55" s="120"/>
    </row>
    <row r="56" spans="1:17" x14ac:dyDescent="0.15">
      <c r="A56" s="143">
        <v>5</v>
      </c>
      <c r="B56" s="123">
        <f t="dataTable" ref="B56:F61" dt2D="1" dtr="1" r1="C16" r2="C17"/>
        <v>96404.415014683997</v>
      </c>
      <c r="C56" s="123">
        <v>97922.039108002456</v>
      </c>
      <c r="D56" s="123">
        <v>99461.447536621548</v>
      </c>
      <c r="E56" s="123">
        <v>101023.11843016408</v>
      </c>
      <c r="F56" s="123">
        <v>102607.53738212289</v>
      </c>
      <c r="H56" s="120"/>
    </row>
    <row r="57" spans="1:17" x14ac:dyDescent="0.15">
      <c r="A57" s="143">
        <v>10</v>
      </c>
      <c r="B57" s="123">
        <v>96404.415014684026</v>
      </c>
      <c r="C57" s="123">
        <v>99377.109383669536</v>
      </c>
      <c r="D57" s="123">
        <v>102492.88755237043</v>
      </c>
      <c r="E57" s="123">
        <v>105760.13865165069</v>
      </c>
      <c r="F57" s="123">
        <v>109187.71457632413</v>
      </c>
      <c r="H57" s="120"/>
    </row>
    <row r="58" spans="1:17" x14ac:dyDescent="0.15">
      <c r="A58" s="143">
        <v>15</v>
      </c>
      <c r="B58" s="123">
        <v>96404.415014683997</v>
      </c>
      <c r="C58" s="341">
        <v>101173.59912043108</v>
      </c>
      <c r="D58" s="123">
        <v>106331.04561333396</v>
      </c>
      <c r="E58" s="123">
        <v>111913.75689923788</v>
      </c>
      <c r="F58" s="123">
        <v>117962.26544771671</v>
      </c>
      <c r="G58" s="338"/>
      <c r="H58" s="339"/>
      <c r="I58" s="338"/>
      <c r="J58" s="338"/>
      <c r="K58" s="338"/>
      <c r="L58" s="338"/>
      <c r="M58" s="338"/>
      <c r="N58" s="338"/>
      <c r="O58" s="338"/>
      <c r="P58" s="338"/>
      <c r="Q58" s="338"/>
    </row>
    <row r="59" spans="1:17" x14ac:dyDescent="0.15">
      <c r="A59" s="144">
        <v>20</v>
      </c>
      <c r="B59" s="123">
        <v>96404.415014684011</v>
      </c>
      <c r="C59" s="341">
        <v>102998.14803430374</v>
      </c>
      <c r="D59" s="123">
        <v>110332.38800967147</v>
      </c>
      <c r="E59" s="123">
        <v>118504.72933679397</v>
      </c>
      <c r="F59" s="123">
        <v>127626.06243122222</v>
      </c>
      <c r="G59" s="338"/>
      <c r="H59" s="339"/>
      <c r="I59" s="338"/>
      <c r="J59" s="338"/>
      <c r="K59" s="338"/>
      <c r="L59" s="338"/>
      <c r="M59" s="338"/>
      <c r="N59" s="338"/>
      <c r="O59" s="338"/>
      <c r="P59" s="338"/>
      <c r="Q59" s="338"/>
    </row>
    <row r="60" spans="1:17" x14ac:dyDescent="0.15">
      <c r="A60" s="144">
        <v>25</v>
      </c>
      <c r="B60" s="123">
        <v>96404.415014683997</v>
      </c>
      <c r="C60" s="341">
        <v>104688.678955136</v>
      </c>
      <c r="D60" s="123">
        <v>114140.74246774013</v>
      </c>
      <c r="E60" s="123">
        <v>124956.71137677043</v>
      </c>
      <c r="F60" s="123">
        <v>137367.51451256673</v>
      </c>
      <c r="G60" s="338"/>
      <c r="H60" s="339"/>
      <c r="I60" s="338"/>
      <c r="J60" s="338"/>
      <c r="K60" s="338"/>
      <c r="L60" s="338"/>
      <c r="M60" s="338"/>
      <c r="N60" s="338"/>
      <c r="O60" s="338"/>
      <c r="P60" s="338"/>
      <c r="Q60" s="338"/>
    </row>
    <row r="61" spans="1:17" x14ac:dyDescent="0.15">
      <c r="A61" s="144">
        <v>30</v>
      </c>
      <c r="B61" s="123">
        <v>96404.415014684011</v>
      </c>
      <c r="C61" s="341">
        <v>106173.43663655371</v>
      </c>
      <c r="D61" s="123">
        <v>117578.83402840888</v>
      </c>
      <c r="E61" s="123">
        <v>130953.64357042467</v>
      </c>
      <c r="F61" s="123">
        <v>146703.93510931535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0.02</v>
      </c>
      <c r="E64" s="132">
        <f>E55</f>
        <v>0.03</v>
      </c>
      <c r="F64" s="132">
        <f>F55</f>
        <v>0.04</v>
      </c>
      <c r="H64" s="120"/>
    </row>
    <row r="65" spans="1:8" x14ac:dyDescent="0.15">
      <c r="A65" s="143">
        <v>0</v>
      </c>
      <c r="B65" s="124">
        <f>C12</f>
        <v>11.297899917218485</v>
      </c>
      <c r="C65" s="124">
        <f>C12</f>
        <v>11.297899917218485</v>
      </c>
      <c r="D65" s="124">
        <f>C12</f>
        <v>11.297899917218485</v>
      </c>
      <c r="E65" s="141">
        <f>C12</f>
        <v>11.297899917218485</v>
      </c>
      <c r="F65" s="124">
        <f>C12</f>
        <v>11.297899917218485</v>
      </c>
      <c r="H65" s="120"/>
    </row>
    <row r="66" spans="1:8" x14ac:dyDescent="0.15">
      <c r="A66" s="143">
        <f t="shared" ref="A66:A71" si="3">A56</f>
        <v>5</v>
      </c>
      <c r="B66" s="124">
        <f t="shared" ref="B66:F71" si="4">(B56-$C$7+$C$8+$C$9)/Common_Shares*$C$3*Exchange_Rate</f>
        <v>11.297899917218489</v>
      </c>
      <c r="C66" s="124">
        <f t="shared" si="4"/>
        <v>11.489658960775921</v>
      </c>
      <c r="D66" s="124">
        <f t="shared" si="4"/>
        <v>11.684170559014168</v>
      </c>
      <c r="E66" s="124">
        <f t="shared" si="4"/>
        <v>11.881495125891851</v>
      </c>
      <c r="F66" s="124">
        <f t="shared" si="4"/>
        <v>12.081694018463159</v>
      </c>
      <c r="H66" s="120"/>
    </row>
    <row r="67" spans="1:8" x14ac:dyDescent="0.15">
      <c r="A67" s="143">
        <f t="shared" si="3"/>
        <v>10</v>
      </c>
      <c r="B67" s="124">
        <f t="shared" si="4"/>
        <v>11.297899917218491</v>
      </c>
      <c r="C67" s="124">
        <f t="shared" si="4"/>
        <v>11.673514031079037</v>
      </c>
      <c r="D67" s="124">
        <f t="shared" si="4"/>
        <v>12.067207465571604</v>
      </c>
      <c r="E67" s="124">
        <f t="shared" si="4"/>
        <v>12.480040227398669</v>
      </c>
      <c r="F67" s="124">
        <f t="shared" si="4"/>
        <v>12.913130795695242</v>
      </c>
      <c r="H67" s="120"/>
    </row>
    <row r="68" spans="1:8" x14ac:dyDescent="0.15">
      <c r="A68" s="143">
        <f t="shared" si="3"/>
        <v>15</v>
      </c>
      <c r="B68" s="124">
        <f t="shared" si="4"/>
        <v>11.297899917218489</v>
      </c>
      <c r="C68" s="124">
        <f t="shared" si="4"/>
        <v>11.900509078929698</v>
      </c>
      <c r="D68" s="124">
        <f t="shared" si="4"/>
        <v>12.552177045346307</v>
      </c>
      <c r="E68" s="124">
        <f t="shared" si="4"/>
        <v>13.257579246955647</v>
      </c>
      <c r="F68" s="124">
        <f t="shared" si="4"/>
        <v>14.021837154636263</v>
      </c>
      <c r="H68" s="120"/>
    </row>
    <row r="69" spans="1:8" x14ac:dyDescent="0.15">
      <c r="A69" s="144">
        <f t="shared" si="3"/>
        <v>20</v>
      </c>
      <c r="B69" s="124">
        <f t="shared" si="4"/>
        <v>11.297899917218491</v>
      </c>
      <c r="C69" s="124">
        <f t="shared" si="4"/>
        <v>12.131049537656164</v>
      </c>
      <c r="D69" s="124">
        <f t="shared" si="4"/>
        <v>13.057765744317019</v>
      </c>
      <c r="E69" s="124">
        <f t="shared" si="4"/>
        <v>14.090380054681058</v>
      </c>
      <c r="F69" s="124">
        <f t="shared" si="4"/>
        <v>15.242904001722328</v>
      </c>
      <c r="H69" s="120"/>
    </row>
    <row r="70" spans="1:8" x14ac:dyDescent="0.15">
      <c r="A70" s="144">
        <f t="shared" si="3"/>
        <v>25</v>
      </c>
      <c r="B70" s="124">
        <f t="shared" si="4"/>
        <v>11.297899917218489</v>
      </c>
      <c r="C70" s="124">
        <f t="shared" si="4"/>
        <v>12.344656183669679</v>
      </c>
      <c r="D70" s="124">
        <f t="shared" si="4"/>
        <v>13.538969496696883</v>
      </c>
      <c r="E70" s="124">
        <f t="shared" si="4"/>
        <v>14.905618762660634</v>
      </c>
      <c r="F70" s="124">
        <f t="shared" si="4"/>
        <v>16.473782940850501</v>
      </c>
    </row>
    <row r="71" spans="1:8" x14ac:dyDescent="0.15">
      <c r="A71" s="144">
        <f t="shared" si="3"/>
        <v>30</v>
      </c>
      <c r="B71" s="124">
        <f t="shared" si="4"/>
        <v>11.297899917218491</v>
      </c>
      <c r="C71" s="124">
        <f t="shared" si="4"/>
        <v>12.532262399304178</v>
      </c>
      <c r="D71" s="124">
        <f t="shared" si="4"/>
        <v>13.973388765763124</v>
      </c>
      <c r="E71" s="124">
        <f t="shared" si="4"/>
        <v>15.663359751879764</v>
      </c>
      <c r="F71" s="124">
        <f t="shared" si="4"/>
        <v>17.653484219819813</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0.04</v>
      </c>
      <c r="D74" s="145">
        <f>Scenarios!C55</f>
        <v>10</v>
      </c>
      <c r="E74" s="135">
        <f>INDEX(B$65:F$71, MATCH(D74, A$65:A$71, 0), MATCH(C74, B$64:F$64, 0))</f>
        <v>12.913130795695242</v>
      </c>
      <c r="F74" s="142">
        <f>Scenarios!C58</f>
        <v>0.05</v>
      </c>
    </row>
    <row r="75" spans="1:8" x14ac:dyDescent="0.15">
      <c r="B75" s="127" t="str">
        <f>Scenarios!B36</f>
        <v>Optimistic</v>
      </c>
      <c r="C75" s="142">
        <f>Scenarios!C38</f>
        <v>0.03</v>
      </c>
      <c r="D75" s="145">
        <f>Scenarios!C37</f>
        <v>20</v>
      </c>
      <c r="E75" s="135">
        <f>INDEX(B$65:F$71, MATCH(D75, A$65:A$71, 0), MATCH(C75, B$64:F$64, 0))</f>
        <v>14.090380054681058</v>
      </c>
      <c r="F75" s="142">
        <f>Scenarios!C40*(1-F$74-F$78)</f>
        <v>0.18</v>
      </c>
      <c r="H75" s="120"/>
    </row>
    <row r="76" spans="1:8" x14ac:dyDescent="0.15">
      <c r="B76" s="127" t="str">
        <f>Scenarios!B24</f>
        <v>Base</v>
      </c>
      <c r="C76" s="142">
        <f>Scenarios!C26</f>
        <v>0.02</v>
      </c>
      <c r="D76" s="145">
        <f>Scenarios!C25</f>
        <v>20</v>
      </c>
      <c r="E76" s="135">
        <f>INDEX(B$65:F$71, MATCH(D76, A$65:A$71, 0), MATCH(C76, B$64:F$64, 0))</f>
        <v>13.057765744317019</v>
      </c>
      <c r="F76" s="142">
        <f>Scenarios!C28*(1-F$74-F$78)</f>
        <v>0.53999999999999992</v>
      </c>
      <c r="H76" s="120"/>
    </row>
    <row r="77" spans="1:8" x14ac:dyDescent="0.15">
      <c r="B77" s="127" t="str">
        <f>Scenarios!B30</f>
        <v>Pessimistic</v>
      </c>
      <c r="C77" s="142">
        <f>Scenarios!C32</f>
        <v>0.01</v>
      </c>
      <c r="D77" s="145">
        <f>Scenarios!C31</f>
        <v>20</v>
      </c>
      <c r="E77" s="135">
        <f>INDEX(B$65:F$71, MATCH(D77, A$65:A$71, 0), MATCH(C77, B$64:F$64, 0))</f>
        <v>12.131049537656164</v>
      </c>
      <c r="F77" s="142">
        <f>Scenarios!C34*(1-F$74-F$78)</f>
        <v>0.18</v>
      </c>
      <c r="H77" s="120"/>
    </row>
    <row r="78" spans="1:8" x14ac:dyDescent="0.15">
      <c r="B78" s="127" t="str">
        <f>Scenarios!B48</f>
        <v>Devil's advocate</v>
      </c>
      <c r="C78" s="142">
        <f>Scenarios!C50</f>
        <v>0</v>
      </c>
      <c r="D78" s="145">
        <f>Scenarios!C49</f>
        <v>10</v>
      </c>
      <c r="E78" s="135">
        <f>INDEX(B$65:F$71, MATCH(D78, A$65:A$71, 0), MATCH(C78, B$64:F$64, 0))</f>
        <v>11.297899917218491</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1000000</v>
      </c>
      <c r="E3" s="109" t="s">
        <v>120</v>
      </c>
      <c r="H3" s="120"/>
    </row>
    <row r="4" spans="2:8" x14ac:dyDescent="0.15">
      <c r="B4" s="100" t="s">
        <v>417</v>
      </c>
      <c r="C4" s="114">
        <f>Normalized_FCF!C91*(1-dividend_tax_rate)</f>
        <v>2991.7090568196941</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39889.454090929255</v>
      </c>
      <c r="D6" t="str">
        <f>Reporting_currency</f>
        <v>CNY</v>
      </c>
      <c r="E6" s="378"/>
      <c r="F6" s="378"/>
      <c r="H6" s="120"/>
    </row>
    <row r="7" spans="2:8" x14ac:dyDescent="0.15">
      <c r="B7" s="149" t="s">
        <v>421</v>
      </c>
      <c r="C7" s="111">
        <f>(C6*scaling_factor)/Common_Shares*Exchange_Rate</f>
        <v>5.0402228049628137</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1.983423674168E-2</v>
      </c>
      <c r="H11" s="120"/>
    </row>
    <row r="12" spans="2:8" ht="13.25" customHeight="1" x14ac:dyDescent="0.15">
      <c r="B12" s="118" t="s">
        <v>130</v>
      </c>
      <c r="C12" s="162">
        <f>Scenarios!C64</f>
        <v>20</v>
      </c>
      <c r="H12" s="120"/>
    </row>
    <row r="13" spans="2:8" ht="13.25" customHeight="1" x14ac:dyDescent="0.15">
      <c r="B13" s="153" t="s">
        <v>103</v>
      </c>
      <c r="C13" s="140">
        <f>F47/Common_Shares*scaling_factor</f>
        <v>5.2662538886758625</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3051.0473225148839</v>
      </c>
      <c r="D16" s="138">
        <f>IF($C$12&lt;B16,0,DDM!$C$11)</f>
        <v>1.983423674168E-2</v>
      </c>
      <c r="E16" s="124">
        <f t="shared" ref="E16:E45" si="0">IF($C$12&lt;B16,0,1/(1+Equity_Cost)^B16)</f>
        <v>0.93023255813953487</v>
      </c>
      <c r="F16" s="125">
        <f t="shared" ref="F16:F46" si="1">C16*E16</f>
        <v>2838.183555827799</v>
      </c>
      <c r="H16" s="120"/>
    </row>
    <row r="17" spans="2:8" x14ac:dyDescent="0.15">
      <c r="B17" s="122">
        <v>2</v>
      </c>
      <c r="C17" s="123">
        <f t="shared" ref="C17:C45" si="2">IF(ROW()-ROW($C$16)&lt;$C$12, $C$16*(1+D17)^(ROW()-ROW($C$16)), 0)</f>
        <v>3111.562517419713</v>
      </c>
      <c r="D17" s="138">
        <f>IF($C$12&lt;B17,0,DDM!$C$11)</f>
        <v>1.983423674168E-2</v>
      </c>
      <c r="E17" s="124">
        <f t="shared" si="0"/>
        <v>0.86533261222282321</v>
      </c>
      <c r="F17" s="125">
        <f t="shared" si="1"/>
        <v>2692.5365212934239</v>
      </c>
      <c r="H17" s="120"/>
    </row>
    <row r="18" spans="2:8" x14ac:dyDescent="0.15">
      <c r="B18" s="122">
        <v>3</v>
      </c>
      <c r="C18" s="123">
        <f t="shared" si="2"/>
        <v>3173.277985026753</v>
      </c>
      <c r="D18" s="138">
        <f>IF($C$12&lt;B18,0,DDM!$C$11)</f>
        <v>1.983423674168E-2</v>
      </c>
      <c r="E18" s="124">
        <f t="shared" si="0"/>
        <v>0.80496056950960304</v>
      </c>
      <c r="F18" s="125">
        <f t="shared" si="1"/>
        <v>2554.3636540394205</v>
      </c>
      <c r="H18" s="120"/>
    </row>
    <row r="19" spans="2:8" x14ac:dyDescent="0.15">
      <c r="B19" s="122">
        <v>4</v>
      </c>
      <c r="C19" s="123">
        <f t="shared" si="2"/>
        <v>3236.2175318289351</v>
      </c>
      <c r="D19" s="138">
        <f>IF($C$12&lt;B19,0,DDM!$C$11)</f>
        <v>1.983423674168E-2</v>
      </c>
      <c r="E19" s="124">
        <f t="shared" si="0"/>
        <v>0.7488005297763749</v>
      </c>
      <c r="F19" s="125">
        <f t="shared" si="1"/>
        <v>2423.2814023050992</v>
      </c>
      <c r="H19" s="120"/>
    </row>
    <row r="20" spans="2:8" x14ac:dyDescent="0.15">
      <c r="B20" s="122">
        <v>5</v>
      </c>
      <c r="C20" s="123">
        <f t="shared" si="2"/>
        <v>3300.4054365028055</v>
      </c>
      <c r="D20" s="138">
        <f>IF($C$12&lt;B20,0,DDM!$C$11)</f>
        <v>1.983423674168E-2</v>
      </c>
      <c r="E20" s="124">
        <f t="shared" si="0"/>
        <v>0.69655863235011617</v>
      </c>
      <c r="F20" s="125">
        <f t="shared" si="1"/>
        <v>2298.9258970512824</v>
      </c>
      <c r="H20" s="120"/>
    </row>
    <row r="21" spans="2:8" x14ac:dyDescent="0.15">
      <c r="B21" s="122">
        <v>6</v>
      </c>
      <c r="C21" s="123">
        <f t="shared" si="2"/>
        <v>3365.8664592739296</v>
      </c>
      <c r="D21" s="138">
        <f>IF($C$12&lt;B21,0,DDM!$C$11)</f>
        <v>1.983423674168E-2</v>
      </c>
      <c r="E21" s="124">
        <f t="shared" si="0"/>
        <v>0.64796151846522443</v>
      </c>
      <c r="F21" s="125">
        <f t="shared" si="1"/>
        <v>2180.951941902304</v>
      </c>
      <c r="H21" s="120"/>
    </row>
    <row r="22" spans="2:8" x14ac:dyDescent="0.15">
      <c r="B22" s="122">
        <v>7</v>
      </c>
      <c r="C22" s="123">
        <f t="shared" si="2"/>
        <v>3432.6258514680489</v>
      </c>
      <c r="D22" s="138">
        <f>IF($C$12&lt;B22,0,DDM!$C$11)</f>
        <v>1.983423674168E-2</v>
      </c>
      <c r="E22" s="124">
        <f t="shared" si="0"/>
        <v>0.60275490089788319</v>
      </c>
      <c r="F22" s="125">
        <f t="shared" si="1"/>
        <v>2069.0320549211356</v>
      </c>
      <c r="H22" s="120"/>
    </row>
    <row r="23" spans="2:8" x14ac:dyDescent="0.15">
      <c r="B23" s="122">
        <v>8</v>
      </c>
      <c r="C23" s="123">
        <f t="shared" si="2"/>
        <v>3500.7093652516769</v>
      </c>
      <c r="D23" s="138">
        <f>IF($C$12&lt;B23,0,DDM!$C$11)</f>
        <v>1.983423674168E-2</v>
      </c>
      <c r="E23" s="124">
        <f t="shared" si="0"/>
        <v>0.56070223339337966</v>
      </c>
      <c r="F23" s="125">
        <f t="shared" si="1"/>
        <v>1962.8555595577357</v>
      </c>
      <c r="H23" s="120"/>
    </row>
    <row r="24" spans="2:8" x14ac:dyDescent="0.15">
      <c r="B24" s="122">
        <v>9</v>
      </c>
      <c r="C24" s="123">
        <f t="shared" si="2"/>
        <v>3570.1432635658948</v>
      </c>
      <c r="D24" s="138">
        <f>IF($C$12&lt;B24,0,DDM!$C$11)</f>
        <v>1.983423674168E-2</v>
      </c>
      <c r="E24" s="124">
        <f t="shared" si="0"/>
        <v>0.52158347292407414</v>
      </c>
      <c r="F24" s="125">
        <f t="shared" si="1"/>
        <v>1862.1277222471876</v>
      </c>
      <c r="H24" s="120"/>
    </row>
    <row r="25" spans="2:8" x14ac:dyDescent="0.15">
      <c r="B25" s="122">
        <v>10</v>
      </c>
      <c r="C25" s="123">
        <f t="shared" si="2"/>
        <v>3640.9543302571747</v>
      </c>
      <c r="D25" s="138">
        <f>IF($C$12&lt;B25,0,DDM!$C$11)</f>
        <v>1.983423674168E-2</v>
      </c>
      <c r="E25" s="124">
        <f t="shared" si="0"/>
        <v>0.48519392830146441</v>
      </c>
      <c r="F25" s="125">
        <f t="shared" si="1"/>
        <v>1766.5689342637061</v>
      </c>
      <c r="H25" s="120"/>
    </row>
    <row r="26" spans="2:8" x14ac:dyDescent="0.15">
      <c r="B26" s="122">
        <v>11</v>
      </c>
      <c r="C26" s="123">
        <f t="shared" si="2"/>
        <v>3713.1698804091398</v>
      </c>
      <c r="D26" s="138">
        <f>IF($C$12&lt;B26,0,DDM!$C$11)</f>
        <v>1.983423674168E-2</v>
      </c>
      <c r="E26" s="124">
        <f t="shared" si="0"/>
        <v>0.45134318911764126</v>
      </c>
      <c r="F26" s="125">
        <f t="shared" si="1"/>
        <v>1675.9139355594318</v>
      </c>
      <c r="H26" s="120"/>
    </row>
    <row r="27" spans="2:8" x14ac:dyDescent="0.15">
      <c r="B27" s="122">
        <v>12</v>
      </c>
      <c r="C27" s="123">
        <f t="shared" si="2"/>
        <v>3786.8177708792505</v>
      </c>
      <c r="D27" s="138">
        <f>IF($C$12&lt;B27,0,DDM!$C$11)</f>
        <v>1.983423674168E-2</v>
      </c>
      <c r="E27" s="124">
        <f t="shared" si="0"/>
        <v>0.41985412941175931</v>
      </c>
      <c r="F27" s="125">
        <f t="shared" si="1"/>
        <v>1589.9110784334869</v>
      </c>
      <c r="H27" s="120"/>
    </row>
    <row r="28" spans="2:8" x14ac:dyDescent="0.15">
      <c r="B28" s="122">
        <v>13</v>
      </c>
      <c r="C28" s="123">
        <f t="shared" si="2"/>
        <v>3861.9264110444701</v>
      </c>
      <c r="D28" s="138">
        <f>IF($C$12&lt;B28,0,DDM!$C$11)</f>
        <v>1.983423674168E-2</v>
      </c>
      <c r="E28" s="124">
        <f t="shared" si="0"/>
        <v>0.39056198084814819</v>
      </c>
      <c r="F28" s="125">
        <f t="shared" si="1"/>
        <v>1508.321628987308</v>
      </c>
      <c r="H28" s="120"/>
    </row>
    <row r="29" spans="2:8" x14ac:dyDescent="0.15">
      <c r="B29" s="122">
        <v>14</v>
      </c>
      <c r="C29" s="123">
        <f t="shared" si="2"/>
        <v>3938.524773760073</v>
      </c>
      <c r="D29" s="138">
        <f>IF($C$12&lt;B29,0,DDM!$C$11)</f>
        <v>1.983423674168E-2</v>
      </c>
      <c r="E29" s="124">
        <f t="shared" si="0"/>
        <v>0.36331347055641694</v>
      </c>
      <c r="F29" s="125">
        <f t="shared" si="1"/>
        <v>1430.919104427199</v>
      </c>
      <c r="H29" s="120"/>
    </row>
    <row r="30" spans="2:8" x14ac:dyDescent="0.15">
      <c r="B30" s="122">
        <v>15</v>
      </c>
      <c r="C30" s="123">
        <f t="shared" si="2"/>
        <v>4016.6424065358019</v>
      </c>
      <c r="D30" s="138">
        <f>IF($C$12&lt;B30,0,DDM!$C$11)</f>
        <v>1.983423674168E-2</v>
      </c>
      <c r="E30" s="124">
        <f t="shared" si="0"/>
        <v>0.33796601912224833</v>
      </c>
      <c r="F30" s="125">
        <f t="shared" si="1"/>
        <v>1357.4886443745124</v>
      </c>
      <c r="H30" s="120"/>
    </row>
    <row r="31" spans="2:8" x14ac:dyDescent="0.15">
      <c r="B31" s="122">
        <v>16</v>
      </c>
      <c r="C31" s="123">
        <f t="shared" si="2"/>
        <v>4096.3094429337043</v>
      </c>
      <c r="D31" s="138">
        <f>IF($C$12&lt;B31,0,DDM!$C$11)</f>
        <v>1.983423674168E-2</v>
      </c>
      <c r="E31" s="124">
        <f t="shared" si="0"/>
        <v>0.31438699453232405</v>
      </c>
      <c r="F31" s="125">
        <f t="shared" si="1"/>
        <v>1287.8264144383058</v>
      </c>
      <c r="H31" s="120"/>
    </row>
    <row r="32" spans="2:8" x14ac:dyDescent="0.15">
      <c r="B32" s="122">
        <v>17</v>
      </c>
      <c r="C32" s="123">
        <f t="shared" si="2"/>
        <v>4177.5566141920299</v>
      </c>
      <c r="D32" s="138">
        <f>IF($C$12&lt;B32,0,DDM!$C$11)</f>
        <v>1.983423674168E-2</v>
      </c>
      <c r="E32" s="124">
        <f t="shared" si="0"/>
        <v>0.29245301816960378</v>
      </c>
      <c r="F32" s="125">
        <f t="shared" si="1"/>
        <v>1221.7390403948502</v>
      </c>
      <c r="H32" s="120"/>
    </row>
    <row r="33" spans="2:8" x14ac:dyDescent="0.15">
      <c r="B33" s="122">
        <v>18</v>
      </c>
      <c r="C33" s="123">
        <f t="shared" si="2"/>
        <v>4260.4152610796855</v>
      </c>
      <c r="D33" s="138">
        <f>IF($C$12&lt;B33,0,DDM!$C$11)</f>
        <v>1.983423674168E-2</v>
      </c>
      <c r="E33" s="124">
        <f t="shared" si="0"/>
        <v>0.27204931922753844</v>
      </c>
      <c r="F33" s="125">
        <f t="shared" si="1"/>
        <v>1159.0430714033439</v>
      </c>
      <c r="H33" s="120"/>
    </row>
    <row r="34" spans="2:8" x14ac:dyDescent="0.15">
      <c r="B34" s="122">
        <v>19</v>
      </c>
      <c r="C34" s="123">
        <f t="shared" si="2"/>
        <v>4344.9173459858057</v>
      </c>
      <c r="D34" s="138">
        <f>IF($C$12&lt;B34,0,DDM!$C$11)</f>
        <v>1.983423674168E-2</v>
      </c>
      <c r="E34" s="124">
        <f t="shared" si="0"/>
        <v>0.25306913416515198</v>
      </c>
      <c r="F34" s="125">
        <f t="shared" si="1"/>
        <v>1099.5644707677779</v>
      </c>
      <c r="H34" s="120"/>
    </row>
    <row r="35" spans="2:8" x14ac:dyDescent="0.15">
      <c r="B35" s="122">
        <v>20</v>
      </c>
      <c r="C35" s="123">
        <f t="shared" si="2"/>
        <v>4431.09546524912</v>
      </c>
      <c r="D35" s="138">
        <f>IF($C$12&lt;B35,0,DDM!$C$11)</f>
        <v>1.983423674168E-2</v>
      </c>
      <c r="E35" s="124">
        <f t="shared" si="0"/>
        <v>0.23541314806060654</v>
      </c>
      <c r="F35" s="125">
        <f t="shared" si="1"/>
        <v>1043.1381328313732</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40680.630966865123</v>
      </c>
      <c r="D46" s="139">
        <f>Terminal_Growth</f>
        <v>0</v>
      </c>
      <c r="E46" s="124">
        <f>1/(1+Equity_Cost)^C12</f>
        <v>0.23541314806060654</v>
      </c>
      <c r="F46" s="125">
        <f t="shared" si="1"/>
        <v>9576.7554010015137</v>
      </c>
      <c r="H46" s="120"/>
    </row>
    <row r="47" spans="2:8" x14ac:dyDescent="0.15">
      <c r="C47" s="114"/>
      <c r="E47" s="127" t="s">
        <v>97</v>
      </c>
      <c r="F47" s="137">
        <f>SUM(F16:F46)</f>
        <v>45599.448166028196</v>
      </c>
      <c r="H47" s="120"/>
    </row>
    <row r="48" spans="2:8" x14ac:dyDescent="0.15">
      <c r="C48" s="114"/>
      <c r="H48" s="120"/>
    </row>
    <row r="49" spans="1:8" x14ac:dyDescent="0.15">
      <c r="B49" s="119" t="s">
        <v>125</v>
      </c>
      <c r="C49" s="136"/>
      <c r="D49" s="136"/>
      <c r="E49" s="117"/>
      <c r="F49" s="117"/>
      <c r="H49" s="120"/>
    </row>
    <row r="50" spans="1:8" x14ac:dyDescent="0.15">
      <c r="A50" s="133">
        <f>F47</f>
        <v>45599.448166028196</v>
      </c>
      <c r="B50" s="131">
        <f>C73</f>
        <v>0</v>
      </c>
      <c r="C50" s="131">
        <f>C72</f>
        <v>0.01</v>
      </c>
      <c r="D50" s="131">
        <f>C71</f>
        <v>0.02</v>
      </c>
      <c r="E50" s="131">
        <f>C70</f>
        <v>0.03</v>
      </c>
      <c r="F50" s="131">
        <f>C69</f>
        <v>0.04</v>
      </c>
      <c r="H50" s="120"/>
    </row>
    <row r="51" spans="1:8" x14ac:dyDescent="0.15">
      <c r="A51" s="143">
        <v>5</v>
      </c>
      <c r="B51" s="123">
        <f t="dataTable" ref="B51:F56" dt2D="1" dtr="1" r1="C11" r2="C12"/>
        <v>39889.454090929255</v>
      </c>
      <c r="C51" s="123">
        <v>40517.404549302919</v>
      </c>
      <c r="D51" s="123">
        <v>41154.368757127188</v>
      </c>
      <c r="E51" s="123">
        <v>41800.544551084517</v>
      </c>
      <c r="F51" s="123">
        <v>42456.132856198266</v>
      </c>
      <c r="H51" s="120"/>
    </row>
    <row r="52" spans="1:8" x14ac:dyDescent="0.15">
      <c r="A52" s="143">
        <v>10</v>
      </c>
      <c r="B52" s="123">
        <v>39889.45409092927</v>
      </c>
      <c r="C52" s="123">
        <v>41119.4719852337</v>
      </c>
      <c r="D52" s="123">
        <v>42408.693959133772</v>
      </c>
      <c r="E52" s="123">
        <v>43760.591200649404</v>
      </c>
      <c r="F52" s="123">
        <v>45178.826376596582</v>
      </c>
      <c r="H52" s="120"/>
    </row>
    <row r="53" spans="1:8" x14ac:dyDescent="0.15">
      <c r="A53" s="143">
        <v>15</v>
      </c>
      <c r="B53" s="123">
        <v>39889.454090929263</v>
      </c>
      <c r="C53" s="123">
        <v>41862.809257374814</v>
      </c>
      <c r="D53" s="123">
        <v>43996.816554382291</v>
      </c>
      <c r="E53" s="123">
        <v>46306.786543910865</v>
      </c>
      <c r="F53" s="123">
        <v>48809.490429686113</v>
      </c>
      <c r="H53" s="120"/>
    </row>
    <row r="54" spans="1:8" x14ac:dyDescent="0.15">
      <c r="A54" s="144">
        <v>20</v>
      </c>
      <c r="B54" s="123">
        <v>39889.45409092927</v>
      </c>
      <c r="C54" s="123">
        <v>42617.756633234028</v>
      </c>
      <c r="D54" s="123">
        <v>45652.460269418392</v>
      </c>
      <c r="E54" s="123">
        <v>49033.946834468385</v>
      </c>
      <c r="F54" s="123">
        <v>52808.09968486274</v>
      </c>
      <c r="H54" s="120"/>
    </row>
    <row r="55" spans="1:8" x14ac:dyDescent="0.15">
      <c r="A55" s="144">
        <v>25</v>
      </c>
      <c r="B55" s="123">
        <v>39889.454090929255</v>
      </c>
      <c r="C55" s="123">
        <v>43317.251107066615</v>
      </c>
      <c r="D55" s="123">
        <v>47228.250966286134</v>
      </c>
      <c r="E55" s="123">
        <v>51703.596780893968</v>
      </c>
      <c r="F55" s="123">
        <v>56838.840450403324</v>
      </c>
      <c r="H55" s="120"/>
    </row>
    <row r="56" spans="1:8" x14ac:dyDescent="0.15">
      <c r="A56" s="144">
        <v>30</v>
      </c>
      <c r="B56" s="123">
        <v>39889.454090929255</v>
      </c>
      <c r="C56" s="123">
        <v>43931.60236224559</v>
      </c>
      <c r="D56" s="123">
        <v>48650.837218677349</v>
      </c>
      <c r="E56" s="123">
        <v>54184.959811713168</v>
      </c>
      <c r="F56" s="123">
        <v>60701.990501268563</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0.01</v>
      </c>
      <c r="D59" s="132">
        <f>D50</f>
        <v>0.02</v>
      </c>
      <c r="E59" s="132">
        <f>E50</f>
        <v>0.03</v>
      </c>
      <c r="F59" s="132">
        <f>F50</f>
        <v>0.04</v>
      </c>
      <c r="H59" s="120"/>
    </row>
    <row r="60" spans="1:8" x14ac:dyDescent="0.15">
      <c r="A60" s="143">
        <v>0</v>
      </c>
      <c r="B60" s="124">
        <f>C7</f>
        <v>5.0402228049628137</v>
      </c>
      <c r="C60" s="124">
        <f>C7</f>
        <v>5.0402228049628137</v>
      </c>
      <c r="D60" s="124">
        <f>C7</f>
        <v>5.0402228049628137</v>
      </c>
      <c r="E60" s="141">
        <f>C7</f>
        <v>5.0402228049628137</v>
      </c>
      <c r="F60" s="124">
        <f>C7</f>
        <v>5.0402228049628137</v>
      </c>
      <c r="H60" s="120"/>
    </row>
    <row r="61" spans="1:8" x14ac:dyDescent="0.15">
      <c r="A61" s="143">
        <f t="shared" ref="A61:A66" si="3">A51</f>
        <v>5</v>
      </c>
      <c r="B61" s="124">
        <f t="shared" ref="B61:F66" si="4">B51/Common_Shares*$C$3*Exchange_Rate</f>
        <v>5.0402228049628137</v>
      </c>
      <c r="C61" s="124">
        <f t="shared" si="4"/>
        <v>5.1195673408260287</v>
      </c>
      <c r="D61" s="124">
        <f t="shared" si="4"/>
        <v>5.2000508069296929</v>
      </c>
      <c r="E61" s="124">
        <f t="shared" si="4"/>
        <v>5.2816982008823539</v>
      </c>
      <c r="F61" s="124">
        <f t="shared" si="4"/>
        <v>5.364534910519164</v>
      </c>
      <c r="H61" s="120"/>
    </row>
    <row r="62" spans="1:8" x14ac:dyDescent="0.15">
      <c r="A62" s="143">
        <f t="shared" si="3"/>
        <v>10</v>
      </c>
      <c r="B62" s="124">
        <f t="shared" si="4"/>
        <v>5.0402228049628155</v>
      </c>
      <c r="C62" s="124">
        <f t="shared" si="4"/>
        <v>5.1956414333364567</v>
      </c>
      <c r="D62" s="124">
        <f t="shared" si="4"/>
        <v>5.3585407795821576</v>
      </c>
      <c r="E62" s="124">
        <f t="shared" si="4"/>
        <v>5.5293594448644896</v>
      </c>
      <c r="F62" s="124">
        <f t="shared" si="4"/>
        <v>5.7085602246072975</v>
      </c>
      <c r="H62" s="120"/>
    </row>
    <row r="63" spans="1:8" x14ac:dyDescent="0.15">
      <c r="A63" s="143">
        <f t="shared" si="3"/>
        <v>15</v>
      </c>
      <c r="B63" s="124">
        <f t="shared" si="4"/>
        <v>5.0402228049628146</v>
      </c>
      <c r="C63" s="124">
        <f t="shared" si="4"/>
        <v>5.2895656435370784</v>
      </c>
      <c r="D63" s="124">
        <f t="shared" si="4"/>
        <v>5.5592076451502317</v>
      </c>
      <c r="E63" s="124">
        <f t="shared" si="4"/>
        <v>5.85108337234022</v>
      </c>
      <c r="F63" s="124">
        <f t="shared" si="4"/>
        <v>6.1673119466997237</v>
      </c>
      <c r="H63" s="120"/>
    </row>
    <row r="64" spans="1:8" x14ac:dyDescent="0.15">
      <c r="A64" s="144">
        <f t="shared" si="3"/>
        <v>20</v>
      </c>
      <c r="B64" s="124">
        <f t="shared" si="4"/>
        <v>5.0402228049628155</v>
      </c>
      <c r="C64" s="124">
        <f t="shared" si="4"/>
        <v>5.384956845724969</v>
      </c>
      <c r="D64" s="124">
        <f t="shared" si="4"/>
        <v>5.7684061262925406</v>
      </c>
      <c r="E64" s="124">
        <f t="shared" si="4"/>
        <v>6.1956730841453425</v>
      </c>
      <c r="F64" s="124">
        <f t="shared" si="4"/>
        <v>6.6725553002471347</v>
      </c>
      <c r="H64" s="120"/>
    </row>
    <row r="65" spans="1:8" x14ac:dyDescent="0.15">
      <c r="A65" s="144">
        <f t="shared" si="3"/>
        <v>25</v>
      </c>
      <c r="B65" s="124">
        <f t="shared" si="4"/>
        <v>5.0402228049628137</v>
      </c>
      <c r="C65" s="124">
        <f t="shared" si="4"/>
        <v>5.4733413092205021</v>
      </c>
      <c r="D65" s="124">
        <f t="shared" si="4"/>
        <v>5.9675147976746121</v>
      </c>
      <c r="E65" s="124">
        <f t="shared" si="4"/>
        <v>6.5329960896336976</v>
      </c>
      <c r="F65" s="124">
        <f t="shared" si="4"/>
        <v>7.1818586234026824</v>
      </c>
    </row>
    <row r="66" spans="1:8" x14ac:dyDescent="0.15">
      <c r="A66" s="144">
        <f t="shared" si="3"/>
        <v>30</v>
      </c>
      <c r="B66" s="124">
        <f t="shared" si="4"/>
        <v>5.0402228049628137</v>
      </c>
      <c r="C66" s="124">
        <f t="shared" si="4"/>
        <v>5.5509675208891833</v>
      </c>
      <c r="D66" s="124">
        <f t="shared" si="4"/>
        <v>6.1472653566816158</v>
      </c>
      <c r="E66" s="124">
        <f t="shared" si="4"/>
        <v>6.8465281451694127</v>
      </c>
      <c r="F66" s="124">
        <f t="shared" si="4"/>
        <v>7.6699860603181937</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0.04</v>
      </c>
      <c r="D69" s="145">
        <f>Scenarios!C55</f>
        <v>10</v>
      </c>
      <c r="E69" s="135">
        <f>INDEX(B$60:F$66, MATCH(D69, A$60:A$66, 0), MATCH(C69, B$59:F$59, 0))</f>
        <v>5.7085602246072975</v>
      </c>
      <c r="F69" s="142">
        <f>Scenarios!C58</f>
        <v>0.05</v>
      </c>
    </row>
    <row r="70" spans="1:8" x14ac:dyDescent="0.15">
      <c r="B70" s="127" t="str">
        <f>Scenarios!B36</f>
        <v>Optimistic</v>
      </c>
      <c r="C70" s="142">
        <f>Scenarios!C38</f>
        <v>0.03</v>
      </c>
      <c r="D70" s="145">
        <f>Scenarios!C37</f>
        <v>20</v>
      </c>
      <c r="E70" s="135">
        <f>INDEX(B$60:F$66, MATCH(D70, A$60:A$66, 0), MATCH(C70, B$59:F$59, 0))</f>
        <v>6.1956730841453425</v>
      </c>
      <c r="F70" s="142">
        <f>Scenarios!C40*(1-F$69-F$73)</f>
        <v>0.18</v>
      </c>
      <c r="H70" s="120"/>
    </row>
    <row r="71" spans="1:8" x14ac:dyDescent="0.15">
      <c r="B71" s="127" t="str">
        <f>Scenarios!B24</f>
        <v>Base</v>
      </c>
      <c r="C71" s="142">
        <f>Scenarios!C26</f>
        <v>0.02</v>
      </c>
      <c r="D71" s="145">
        <f>Scenarios!C25</f>
        <v>20</v>
      </c>
      <c r="E71" s="135">
        <f>INDEX(B$60:F$66, MATCH(D71, A$60:A$66, 0), MATCH(C71, B$59:F$59, 0))</f>
        <v>5.7684061262925406</v>
      </c>
      <c r="F71" s="142">
        <f>Scenarios!C28*(1-F$69-F$73)</f>
        <v>0.53999999999999992</v>
      </c>
      <c r="H71" s="120"/>
    </row>
    <row r="72" spans="1:8" x14ac:dyDescent="0.15">
      <c r="B72" s="127" t="str">
        <f>Scenarios!B30</f>
        <v>Pessimistic</v>
      </c>
      <c r="C72" s="142">
        <f>Scenarios!C32</f>
        <v>0.01</v>
      </c>
      <c r="D72" s="145">
        <f>Scenarios!C31</f>
        <v>20</v>
      </c>
      <c r="E72" s="135">
        <f>INDEX(B$60:F$66, MATCH(D72, A$60:A$66, 0), MATCH(C72, B$59:F$59, 0))</f>
        <v>5.384956845724969</v>
      </c>
      <c r="F72" s="142">
        <f>Scenarios!C34*(1-F$69-F$73)</f>
        <v>0.18</v>
      </c>
      <c r="H72" s="120"/>
    </row>
    <row r="73" spans="1:8" x14ac:dyDescent="0.15">
      <c r="B73" s="127" t="str">
        <f>Scenarios!B48</f>
        <v>Devil's advocate</v>
      </c>
      <c r="C73" s="142">
        <f>Scenarios!C50</f>
        <v>0</v>
      </c>
      <c r="D73" s="145">
        <f>Scenarios!C49</f>
        <v>10</v>
      </c>
      <c r="E73" s="135">
        <f>INDEX(B$60:F$66, MATCH(D73, A$60:A$66, 0), MATCH(C73, B$59:F$59, 0))</f>
        <v>5.0402228049628155</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-7.73</v>
      </c>
    </row>
    <row r="4" spans="2:9" x14ac:dyDescent="0.15">
      <c r="B4" s="152" t="s">
        <v>142</v>
      </c>
      <c r="C4" s="120">
        <v>3</v>
      </c>
      <c r="D4" s="120"/>
      <c r="E4" s="155" t="s">
        <v>146</v>
      </c>
      <c r="F4" s="155"/>
      <c r="H4" s="247">
        <v>1</v>
      </c>
      <c r="I4" s="124">
        <f t="shared" ref="I4:I13" si="0">IF(ROW()-3 &lt; $C$76, $C$77, IF(ROW()-3 = $C$76, $C$77 + $C$60, ""))</f>
        <v>0.34551074822</v>
      </c>
    </row>
    <row r="5" spans="2:9" x14ac:dyDescent="0.15">
      <c r="H5" s="247">
        <v>2</v>
      </c>
      <c r="I5" s="124">
        <f t="shared" si="0"/>
        <v>0.34551074822</v>
      </c>
    </row>
    <row r="6" spans="2:9" x14ac:dyDescent="0.15">
      <c r="B6" s="159" t="s">
        <v>92</v>
      </c>
      <c r="C6" s="107">
        <f>DCF!C3</f>
        <v>1000000</v>
      </c>
      <c r="E6" s="100" t="s">
        <v>274</v>
      </c>
      <c r="F6" s="100"/>
      <c r="H6" s="247">
        <v>3</v>
      </c>
      <c r="I6" s="124">
        <f t="shared" si="0"/>
        <v>13.327113112417575</v>
      </c>
    </row>
    <row r="7" spans="2:9" ht="12.75" customHeight="1" x14ac:dyDescent="0.15">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x14ac:dyDescent="0.15">
      <c r="B8" s="100" t="s">
        <v>64</v>
      </c>
      <c r="C8" s="338">
        <f>Normalized_FCF!G19</f>
        <v>10305.059010182627</v>
      </c>
      <c r="D8" t="str">
        <f>Reporting_currency</f>
        <v>CNY</v>
      </c>
      <c r="E8" s="380"/>
      <c r="F8" s="380"/>
      <c r="H8" s="247">
        <v>5</v>
      </c>
      <c r="I8" s="124" t="str">
        <f t="shared" si="0"/>
        <v/>
      </c>
    </row>
    <row r="9" spans="2:9" x14ac:dyDescent="0.15">
      <c r="B9" s="100" t="s">
        <v>55</v>
      </c>
      <c r="C9" s="338">
        <f>Normalized_FCF!C19</f>
        <v>7230.3311261012987</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0.10522432036524854</v>
      </c>
      <c r="D12" s="158"/>
      <c r="E12" s="380"/>
      <c r="F12" s="380"/>
      <c r="H12" s="247">
        <v>9</v>
      </c>
      <c r="I12" s="124" t="str">
        <f t="shared" si="0"/>
        <v/>
      </c>
    </row>
    <row r="13" spans="2:9" x14ac:dyDescent="0.15">
      <c r="B13" s="148" t="s">
        <v>148</v>
      </c>
      <c r="C13" s="158">
        <f ca="1">(Normalized_FCF!G8/OFFSET(Normalized_FCF!G8, 0, $C$4))^(1/$C$4) - 1</f>
        <v>5.2708395417024878E-2</v>
      </c>
      <c r="E13" s="380"/>
      <c r="F13" s="380"/>
      <c r="H13" s="247">
        <v>10</v>
      </c>
      <c r="I13" s="124" t="str">
        <f t="shared" si="0"/>
        <v/>
      </c>
    </row>
    <row r="14" spans="2:9" x14ac:dyDescent="0.15">
      <c r="B14" s="100" t="s">
        <v>64</v>
      </c>
      <c r="C14" s="158">
        <f ca="1">(Normalized_FCF!G19/OFFSET(Normalized_FCF!G19, 0, $C$4))^(1/$C$4) - 1</f>
        <v>6.0052749454342358E-2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20</v>
      </c>
      <c r="E18" s="380" t="s">
        <v>321</v>
      </c>
      <c r="F18" s="381"/>
    </row>
    <row r="19" spans="2:6" x14ac:dyDescent="0.15">
      <c r="E19" s="381"/>
      <c r="F19" s="381"/>
    </row>
    <row r="20" spans="2:6" x14ac:dyDescent="0.15">
      <c r="B20" s="159" t="s">
        <v>298</v>
      </c>
      <c r="E20" s="381"/>
      <c r="F20" s="381"/>
    </row>
    <row r="21" spans="2:6" x14ac:dyDescent="0.15">
      <c r="B21" s="100" t="s">
        <v>272</v>
      </c>
      <c r="C21" s="160">
        <f>Market_Price</f>
        <v>7.73</v>
      </c>
      <c r="D21" t="str">
        <f>Market_currency</f>
        <v>HKD</v>
      </c>
      <c r="E21" s="381"/>
      <c r="F21" s="381"/>
    </row>
    <row r="22" spans="2:6" x14ac:dyDescent="0.15">
      <c r="B22" s="100" t="s">
        <v>273</v>
      </c>
      <c r="C22" s="160">
        <f>IF(valuation_method="DCF",DCF!C12,DDM!C7)</f>
        <v>11.297899917218485</v>
      </c>
      <c r="D22" t="str">
        <f>Market_currency</f>
        <v>HKD</v>
      </c>
      <c r="E22" s="381"/>
      <c r="F22" s="381"/>
    </row>
    <row r="24" spans="2:6" x14ac:dyDescent="0.15">
      <c r="B24" s="159" t="s">
        <v>111</v>
      </c>
      <c r="E24" s="159" t="s">
        <v>145</v>
      </c>
      <c r="F24" s="159"/>
    </row>
    <row r="25" spans="2:6" x14ac:dyDescent="0.15">
      <c r="B25" s="152" t="s">
        <v>129</v>
      </c>
      <c r="C25" s="166">
        <f>C18</f>
        <v>20</v>
      </c>
      <c r="D25" s="163"/>
      <c r="E25" s="379"/>
      <c r="F25" s="379"/>
    </row>
    <row r="26" spans="2:6" ht="14" x14ac:dyDescent="0.15">
      <c r="B26" s="118" t="s">
        <v>130</v>
      </c>
      <c r="C26" s="164">
        <v>0.02</v>
      </c>
      <c r="D26" s="164"/>
      <c r="E26" s="379"/>
      <c r="F26" s="379"/>
    </row>
    <row r="27" spans="2:6" x14ac:dyDescent="0.15">
      <c r="B27" s="100" t="s">
        <v>109</v>
      </c>
      <c r="C27" s="160">
        <f>IF(valuation_method="DCF",DCF!E76,DDM!E71)</f>
        <v>13.057765744317019</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20</v>
      </c>
      <c r="D31" s="163"/>
      <c r="E31" s="379"/>
      <c r="F31" s="379"/>
    </row>
    <row r="32" spans="2:6" ht="14" x14ac:dyDescent="0.15">
      <c r="B32" s="118" t="s">
        <v>130</v>
      </c>
      <c r="C32" s="164">
        <v>0.01</v>
      </c>
      <c r="D32" s="164"/>
      <c r="E32" s="379"/>
      <c r="F32" s="379"/>
    </row>
    <row r="33" spans="2:6" x14ac:dyDescent="0.15">
      <c r="B33" s="100" t="s">
        <v>109</v>
      </c>
      <c r="C33" s="160">
        <f>IF(valuation_method="DCF",DCF!E77,DDM!E72)</f>
        <v>12.131049537656164</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20</v>
      </c>
      <c r="D37" s="163"/>
      <c r="E37" s="379"/>
      <c r="F37" s="379"/>
    </row>
    <row r="38" spans="2:6" ht="14" x14ac:dyDescent="0.15">
      <c r="B38" s="118" t="s">
        <v>130</v>
      </c>
      <c r="C38" s="164">
        <v>0.03</v>
      </c>
      <c r="D38" s="164"/>
      <c r="E38" s="379"/>
      <c r="F38" s="379"/>
    </row>
    <row r="39" spans="2:6" x14ac:dyDescent="0.15">
      <c r="B39" s="100" t="s">
        <v>109</v>
      </c>
      <c r="C39" s="160">
        <f>IF(valuation_method="DCF",DCF!E75,DDM!E70)</f>
        <v>14.090380054681058</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13.078945365057654</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v>
      </c>
      <c r="D50" s="164"/>
      <c r="E50" s="379"/>
      <c r="F50" s="379"/>
    </row>
    <row r="51" spans="2:6" x14ac:dyDescent="0.15">
      <c r="B51" s="100" t="s">
        <v>109</v>
      </c>
      <c r="C51" s="160">
        <f>IF(valuation_method="DCF",DCF!E78,DDM!E73)</f>
        <v>11.297899917218491</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0.04</v>
      </c>
      <c r="D56" s="164"/>
      <c r="E56" s="379"/>
      <c r="F56" s="379"/>
    </row>
    <row r="57" spans="2:6" x14ac:dyDescent="0.15">
      <c r="B57" s="100" t="s">
        <v>109</v>
      </c>
      <c r="C57" s="160">
        <f>IF(valuation_method="DCF",DCF!E74,DDM!E69)</f>
        <v>12.913130795695242</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12.981602364197574</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20</v>
      </c>
      <c r="D64" s="150"/>
      <c r="E64" s="251" t="s">
        <v>376</v>
      </c>
    </row>
    <row r="65" spans="2:6" ht="14" x14ac:dyDescent="0.15">
      <c r="B65" s="118" t="s">
        <v>130</v>
      </c>
      <c r="C65" s="151">
        <v>1.983423674168E-2</v>
      </c>
      <c r="D65" s="151"/>
      <c r="E65" s="251" t="s">
        <v>304</v>
      </c>
    </row>
    <row r="66" spans="2:6" x14ac:dyDescent="0.15">
      <c r="B66" s="100" t="s">
        <v>99</v>
      </c>
      <c r="C66" s="160">
        <f>IF(valuation_method="DCF",DCF!C18,DDM!C13)</f>
        <v>13.041577285327115</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-6.8039196025724891E-2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0.34551074822</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0.58594466166659565</v>
      </c>
      <c r="D81" s="116"/>
      <c r="E81" s="100"/>
      <c r="F81" s="100"/>
    </row>
    <row r="82" spans="2:8" x14ac:dyDescent="0.15">
      <c r="B82" s="100" t="s">
        <v>118</v>
      </c>
      <c r="C82" s="116">
        <f>C60/(1+C80)^C76</f>
        <v>5.2762698223634903</v>
      </c>
      <c r="D82" s="116"/>
    </row>
    <row r="83" spans="2:8" x14ac:dyDescent="0.15">
      <c r="B83" s="110" t="s">
        <v>98</v>
      </c>
      <c r="C83" s="111">
        <f>C81+C82</f>
        <v>5.862214484030086</v>
      </c>
      <c r="D83" t="str">
        <f>Market_currency</f>
        <v>HKD</v>
      </c>
      <c r="E83" s="146" t="s">
        <v>122</v>
      </c>
      <c r="F83" s="291">
        <f>(1-C83/C60)</f>
        <v>0.54842134895475636</v>
      </c>
    </row>
    <row r="84" spans="2:8" x14ac:dyDescent="0.15">
      <c r="E84" s="120"/>
    </row>
    <row r="85" spans="2:8" x14ac:dyDescent="0.15">
      <c r="B85" s="109" t="s">
        <v>297</v>
      </c>
    </row>
    <row r="86" spans="2:8" x14ac:dyDescent="0.15">
      <c r="B86" s="148" t="s">
        <v>295</v>
      </c>
      <c r="C86" s="116">
        <f>Market_Price</f>
        <v>7.73</v>
      </c>
      <c r="D86" t="str">
        <f>Market_currency</f>
        <v>HKD</v>
      </c>
    </row>
    <row r="87" spans="2:8" x14ac:dyDescent="0.15">
      <c r="B87" s="100" t="s">
        <v>293</v>
      </c>
      <c r="C87" s="237">
        <f ca="1">IRR(OFFSET($I$3, 0, 0, $C$76 + 1, 1))</f>
        <v>0.22675455378220222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0.6744369805254401</v>
      </c>
      <c r="D91" s="116"/>
      <c r="E91" s="100"/>
      <c r="F91" s="100"/>
    </row>
    <row r="92" spans="2:8" x14ac:dyDescent="0.15">
      <c r="B92" s="100" t="s">
        <v>118</v>
      </c>
      <c r="C92" s="116">
        <f>C60/(1+C90)^C76</f>
        <v>6.6465804104691575</v>
      </c>
      <c r="D92" s="116"/>
    </row>
    <row r="93" spans="2:8" x14ac:dyDescent="0.15">
      <c r="B93" s="110" t="s">
        <v>98</v>
      </c>
      <c r="C93" s="111">
        <f>C91+C92</f>
        <v>7.3210173909945979</v>
      </c>
      <c r="D93" t="str">
        <f>Market_currency</f>
        <v>HKD</v>
      </c>
      <c r="E93" s="146" t="s">
        <v>122</v>
      </c>
      <c r="F93" s="291">
        <f>(1-C93/C60)</f>
        <v>0.43604670782510691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0.89850959414852982</v>
      </c>
      <c r="D97" s="116"/>
      <c r="G97" s="2"/>
      <c r="H97" s="281"/>
    </row>
    <row r="98" spans="2:8" x14ac:dyDescent="0.15">
      <c r="B98" s="100" t="s">
        <v>118</v>
      </c>
      <c r="C98" s="116">
        <f>C60/(1+C96)^C76</f>
        <v>10.449678032231688</v>
      </c>
      <c r="D98" s="116"/>
      <c r="G98" s="2"/>
      <c r="H98" s="281"/>
    </row>
    <row r="99" spans="2:8" x14ac:dyDescent="0.15">
      <c r="B99" s="110" t="s">
        <v>379</v>
      </c>
      <c r="C99" s="111">
        <f>C97+C98</f>
        <v>11.348187626380218</v>
      </c>
      <c r="D99" t="s">
        <v>377</v>
      </c>
      <c r="E99" s="146" t="s">
        <v>122</v>
      </c>
      <c r="F99" s="291">
        <f>(1-C99/C60)</f>
        <v>0.12582535591462951</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0.83358031120097364</v>
      </c>
      <c r="D103" s="116"/>
    </row>
    <row r="104" spans="2:8" x14ac:dyDescent="0.15">
      <c r="B104" s="100" t="s">
        <v>118</v>
      </c>
      <c r="C104" s="116">
        <f>C60/(1+C102)^C76</f>
        <v>9.304698412524143</v>
      </c>
      <c r="D104" s="116"/>
    </row>
    <row r="105" spans="2:8" x14ac:dyDescent="0.15">
      <c r="B105" s="110" t="s">
        <v>379</v>
      </c>
      <c r="C105" s="111">
        <f>C103+C104</f>
        <v>10.138278723725117</v>
      </c>
      <c r="D105" t="s">
        <v>377</v>
      </c>
      <c r="E105" s="146" t="s">
        <v>122</v>
      </c>
      <c r="F105" s="291">
        <f>(1-C105/C66)</f>
        <v>0.22261866782543671</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45867</v>
      </c>
      <c r="D1" s="358" t="str">
        <f>Thesis!D1</f>
        <v>INT</v>
      </c>
      <c r="E1" s="292" t="s">
        <v>344</v>
      </c>
      <c r="F1" s="307" t="str">
        <f>Thesis!F1</f>
        <v>N</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昆仑能源</v>
      </c>
    </row>
    <row r="6" spans="1:10" x14ac:dyDescent="0.15">
      <c r="B6" s="4" t="s">
        <v>481</v>
      </c>
      <c r="C6" s="34">
        <f>Common_Shares</f>
        <v>8658801708</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0135.HK</v>
      </c>
      <c r="D11" s="49"/>
      <c r="E11" s="34"/>
    </row>
    <row r="12" spans="1:10" x14ac:dyDescent="0.15">
      <c r="B12" s="4" t="s">
        <v>485</v>
      </c>
      <c r="C12" s="366">
        <f>Market_Price</f>
        <v>7.73</v>
      </c>
      <c r="D12" s="50"/>
      <c r="E12" s="48"/>
    </row>
    <row r="13" spans="1:10" x14ac:dyDescent="0.15">
      <c r="B13" s="1" t="s">
        <v>486</v>
      </c>
      <c r="C13" s="32" t="str">
        <f>Market_currency</f>
        <v>HKD</v>
      </c>
      <c r="D13" s="48"/>
      <c r="E13" s="5"/>
    </row>
    <row r="14" spans="1:10" x14ac:dyDescent="0.15">
      <c r="B14" s="4" t="s">
        <v>487</v>
      </c>
      <c r="C14" s="35">
        <f>投资主题!C12*Common_Shares/1000000</f>
        <v>66932.537202840002</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x14ac:dyDescent="0.15">
      <c r="B22" s="2" t="s">
        <v>443</v>
      </c>
      <c r="C22" s="32" t="str">
        <f>Thesis!C22</f>
        <v>ENG_02</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12.981602364197574</v>
      </c>
      <c r="D26" s="1" t="s">
        <v>447</v>
      </c>
      <c r="E26" s="301">
        <f ca="1">Scenarios!C87</f>
        <v>0.22675455378220222</v>
      </c>
    </row>
    <row r="27" spans="2:6" x14ac:dyDescent="0.15">
      <c r="D27" s="5"/>
      <c r="E27" s="5"/>
    </row>
    <row r="28" spans="2:6" x14ac:dyDescent="0.15">
      <c r="B28" s="45" t="s">
        <v>449</v>
      </c>
      <c r="C28" s="309" t="str">
        <f>C145&amp;" ("&amp;Market_currency&amp;")"</f>
        <v>0135.HK (HKD)</v>
      </c>
      <c r="D28" s="309" t="str">
        <f>IF(D11="","",D145&amp;" ("&amp;D13&amp;")")</f>
        <v/>
      </c>
      <c r="E28" s="305" t="s">
        <v>454</v>
      </c>
      <c r="F28" s="361">
        <f>Thesis!F28</f>
        <v>3</v>
      </c>
    </row>
    <row r="29" spans="2:6" x14ac:dyDescent="0.15">
      <c r="B29" s="1" t="s">
        <v>450</v>
      </c>
      <c r="C29" s="310">
        <f>C149</f>
        <v>5.862214484030086</v>
      </c>
      <c r="D29" s="310" t="str">
        <f>D149</f>
        <v/>
      </c>
      <c r="E29" s="306" t="s">
        <v>456</v>
      </c>
      <c r="F29" s="362">
        <f>Thesis!F29</f>
        <v>0.35</v>
      </c>
    </row>
    <row r="30" spans="2:6" x14ac:dyDescent="0.15">
      <c r="B30" s="1" t="s">
        <v>451</v>
      </c>
      <c r="C30" s="311">
        <f>C157</f>
        <v>7.3210173909945979</v>
      </c>
      <c r="D30" s="311" t="str">
        <f>D157</f>
        <v/>
      </c>
      <c r="E30" s="307" t="s">
        <v>455</v>
      </c>
      <c r="F30" s="224">
        <f>Thesis!F30</f>
        <v>0.25</v>
      </c>
    </row>
    <row r="31" spans="2:6" x14ac:dyDescent="0.15">
      <c r="B31" s="1" t="s">
        <v>452</v>
      </c>
      <c r="C31" s="311">
        <f>C165</f>
        <v>11.348187626380218</v>
      </c>
      <c r="D31" s="311" t="str">
        <f>D165</f>
        <v/>
      </c>
      <c r="E31" s="307" t="s">
        <v>492</v>
      </c>
      <c r="F31" s="224">
        <f>Thesis!F31</f>
        <v>7.4999999999999997E-2</v>
      </c>
    </row>
    <row r="32" spans="2:6" x14ac:dyDescent="0.15">
      <c r="B32" s="1" t="s">
        <v>453</v>
      </c>
      <c r="C32" s="311">
        <f>C173</f>
        <v>10.138278723725117</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1000000</v>
      </c>
    </row>
    <row r="40" spans="1:6" x14ac:dyDescent="0.15">
      <c r="B40" s="371" t="s">
        <v>495</v>
      </c>
      <c r="C40" s="371"/>
      <c r="D40" s="371"/>
      <c r="E40" s="371"/>
      <c r="F40" s="371"/>
    </row>
    <row r="41" spans="1:6" x14ac:dyDescent="0.15">
      <c r="B41" s="47" t="s">
        <v>228</v>
      </c>
      <c r="C41" s="349">
        <f>Normalized_FCF!C8</f>
        <v>17421.507258354162</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497</v>
      </c>
      <c r="C47" s="371"/>
      <c r="D47" s="371"/>
      <c r="E47" s="371"/>
      <c r="F47" s="371"/>
    </row>
    <row r="48" spans="1:6" x14ac:dyDescent="0.15">
      <c r="B48" s="47" t="s">
        <v>233</v>
      </c>
      <c r="C48" s="349">
        <f>Normalized_FCF!C11</f>
        <v>900.8</v>
      </c>
      <c r="D48" s="1" t="str">
        <f>Reporting_currency</f>
        <v>CNY</v>
      </c>
    </row>
    <row r="50" spans="2:6" x14ac:dyDescent="0.15">
      <c r="B50" s="371" t="s">
        <v>498</v>
      </c>
      <c r="C50" s="371"/>
      <c r="D50" s="371"/>
      <c r="E50" s="371"/>
      <c r="F50" s="371"/>
    </row>
    <row r="51" spans="2:6" x14ac:dyDescent="0.15">
      <c r="B51" s="47" t="s">
        <v>331</v>
      </c>
      <c r="C51" s="350">
        <f>Normalized_FCF!C48</f>
        <v>279.61700299744257</v>
      </c>
      <c r="D51" s="1" t="str">
        <f>Reporting_currency</f>
        <v>CNY</v>
      </c>
      <c r="E51" s="286"/>
      <c r="F51" s="286"/>
    </row>
    <row r="52" spans="2:6" x14ac:dyDescent="0.15">
      <c r="B52" s="47" t="s">
        <v>332</v>
      </c>
      <c r="C52" s="350">
        <f>Normalized_FCF!C47</f>
        <v>-803</v>
      </c>
      <c r="D52" s="1" t="str">
        <f>Reporting_currency</f>
        <v>CNY</v>
      </c>
      <c r="E52" s="286"/>
      <c r="F52" s="286"/>
    </row>
    <row r="53" spans="2:6" x14ac:dyDescent="0.15">
      <c r="B53" s="47" t="s">
        <v>234</v>
      </c>
      <c r="C53" s="349">
        <f>Normalized_FCF!C12</f>
        <v>-523.38299700255743</v>
      </c>
      <c r="D53" s="1" t="str">
        <f>Reporting_currency</f>
        <v>CNY</v>
      </c>
    </row>
    <row r="55" spans="2:6" x14ac:dyDescent="0.15">
      <c r="B55" s="1" t="s">
        <v>499</v>
      </c>
    </row>
    <row r="56" spans="2:6" x14ac:dyDescent="0.15">
      <c r="B56" s="47" t="s">
        <v>261</v>
      </c>
      <c r="C56" s="349">
        <f>Normalized_FCF!C15</f>
        <v>-6118.862069912404</v>
      </c>
      <c r="D56" s="1" t="str">
        <f>Reporting_currency</f>
        <v>CNY</v>
      </c>
    </row>
    <row r="58" spans="2:6" x14ac:dyDescent="0.15">
      <c r="B58" s="371" t="s">
        <v>237</v>
      </c>
      <c r="C58" s="371"/>
      <c r="D58" s="371"/>
      <c r="E58" s="371"/>
      <c r="F58" s="371"/>
    </row>
    <row r="59" spans="2:6" x14ac:dyDescent="0.15">
      <c r="B59" s="47" t="s">
        <v>235</v>
      </c>
      <c r="C59" s="349">
        <f>Normalized_FCF!C14</f>
        <v>-4449.7310653379009</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10305.059010182627</v>
      </c>
      <c r="D67" s="1" t="str">
        <f>Reporting_currency</f>
        <v>CNY</v>
      </c>
    </row>
    <row r="68" spans="1:6" x14ac:dyDescent="0.15">
      <c r="B68" s="47" t="s">
        <v>244</v>
      </c>
      <c r="C68" s="349">
        <f>Normalized_FCF!C19</f>
        <v>7230.3311261012987</v>
      </c>
      <c r="D68" s="1" t="str">
        <f>Reporting_currency</f>
        <v>CNY</v>
      </c>
    </row>
    <row r="69" spans="1:6" x14ac:dyDescent="0.15">
      <c r="B69" s="227" t="s">
        <v>371</v>
      </c>
      <c r="C69" s="92">
        <f>Normalized_FCF!C126</f>
        <v>0.11818717049033771</v>
      </c>
      <c r="F69" s="314"/>
    </row>
    <row r="70" spans="1:6" x14ac:dyDescent="0.15">
      <c r="B70" s="227" t="s">
        <v>435</v>
      </c>
      <c r="C70" s="92">
        <f>Normalized_FCF!C94</f>
        <v>4.4697380106080202E-2</v>
      </c>
      <c r="E70" s="47" t="s">
        <v>504</v>
      </c>
      <c r="F70" s="315">
        <f>Normalized_FCF!C92</f>
        <v>0.41377206723212245</v>
      </c>
    </row>
    <row r="72" spans="1:6" x14ac:dyDescent="0.15">
      <c r="B72" s="210" t="s">
        <v>514</v>
      </c>
      <c r="C72" s="323" t="s">
        <v>430</v>
      </c>
      <c r="D72" s="323" t="s">
        <v>505</v>
      </c>
    </row>
    <row r="73" spans="1:6" x14ac:dyDescent="0.15">
      <c r="B73" s="47" t="s">
        <v>429</v>
      </c>
      <c r="C73" s="92">
        <f>Normalized_FCF!C121</f>
        <v>0.20035936580572525</v>
      </c>
      <c r="D73" s="92">
        <f>Normalized_FCF!G121</f>
        <v>0.19114154342525613</v>
      </c>
    </row>
    <row r="74" spans="1:6" x14ac:dyDescent="0.15">
      <c r="B74" s="259" t="str">
        <f>Normalized_FCF!B118</f>
        <v>Pre-tax Profit/Sales</v>
      </c>
      <c r="C74" s="322">
        <f>Normalized_FCF!C118</f>
        <v>9.7688936670425927E-2</v>
      </c>
      <c r="D74" s="322">
        <f>Normalized_FCF!G118</f>
        <v>9.0780123660397061E-2</v>
      </c>
    </row>
    <row r="75" spans="1:6" x14ac:dyDescent="0.15">
      <c r="B75" s="259" t="str">
        <f>Normalized_FCF!B119</f>
        <v>Sales/Total Assets</v>
      </c>
      <c r="C75" s="324">
        <f>Normalized_FCF!C119</f>
        <v>1.2706604365715879</v>
      </c>
      <c r="D75" s="324">
        <f>Normalized_FCF!G119</f>
        <v>1.3044563777111375</v>
      </c>
    </row>
    <row r="76" spans="1:6" x14ac:dyDescent="0.15">
      <c r="B76" s="259" t="str">
        <f>Normalized_FCF!B120</f>
        <v>Total Assets/Equity</v>
      </c>
      <c r="C76" s="324">
        <f>Normalized_FCF!C120</f>
        <v>1.6141160578600777</v>
      </c>
      <c r="D76" s="324">
        <f>Normalized_FCF!G120</f>
        <v>1.6141160578600777</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12.181157705204138</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24279</v>
      </c>
      <c r="D102" s="1" t="str">
        <f>Reporting_currency</f>
        <v>CNY</v>
      </c>
    </row>
    <row r="103" spans="2:6" x14ac:dyDescent="0.15">
      <c r="B103" s="47" t="s">
        <v>276</v>
      </c>
      <c r="C103" s="223">
        <f>C102*scaling_factor*Exchange_Rate/Common_Shares</f>
        <v>3.0677674656249332</v>
      </c>
      <c r="D103" s="1" t="str">
        <f>Market_currency</f>
        <v>HKD</v>
      </c>
    </row>
    <row r="104" spans="2:6" x14ac:dyDescent="0.15">
      <c r="B104" s="296" t="s">
        <v>384</v>
      </c>
      <c r="C104" s="325">
        <f>IF(BS!G31/BS!G27&gt;300%,"nm",BS!G31/BS!G27)</f>
        <v>0.27330444081724548</v>
      </c>
    </row>
    <row r="105" spans="2:6" x14ac:dyDescent="0.15">
      <c r="B105" s="296" t="s">
        <v>386</v>
      </c>
      <c r="C105" s="326">
        <f>IF(BS!C50&gt;30,"nm",BS!C50)</f>
        <v>1.3936222417470483</v>
      </c>
    </row>
    <row r="107" spans="2:6" x14ac:dyDescent="0.15">
      <c r="B107" s="1" t="s">
        <v>515</v>
      </c>
    </row>
    <row r="108" spans="2:6" x14ac:dyDescent="0.15">
      <c r="B108" s="47" t="s">
        <v>260</v>
      </c>
      <c r="C108" s="349">
        <f>BS!C66</f>
        <v>45092</v>
      </c>
      <c r="D108" s="1" t="str">
        <f>Reporting_currency</f>
        <v>CNY</v>
      </c>
    </row>
    <row r="109" spans="2:6" x14ac:dyDescent="0.15">
      <c r="B109" s="47" t="s">
        <v>262</v>
      </c>
      <c r="C109" s="349">
        <f>DCF!C8</f>
        <v>17130.299700255742</v>
      </c>
      <c r="D109" s="1" t="str">
        <f>Reporting_currency</f>
        <v>CNY</v>
      </c>
    </row>
    <row r="110" spans="2:6" x14ac:dyDescent="0.15">
      <c r="B110" s="47" t="s">
        <v>277</v>
      </c>
      <c r="C110" s="223">
        <f>C109*scaling_factor*Exchange_Rate/Common_Shares</f>
        <v>2.164495082039998</v>
      </c>
      <c r="D110" s="1" t="str">
        <f>Market_currency</f>
        <v>HKD</v>
      </c>
    </row>
    <row r="112" spans="2:6" x14ac:dyDescent="0.15">
      <c r="B112" s="1" t="s">
        <v>516</v>
      </c>
    </row>
    <row r="113" spans="1:6" x14ac:dyDescent="0.15">
      <c r="B113" s="47" t="s">
        <v>253</v>
      </c>
      <c r="C113" s="349">
        <f>DCF!C9</f>
        <v>158.4</v>
      </c>
      <c r="D113" s="1" t="str">
        <f>Reporting_currency</f>
        <v>CNY</v>
      </c>
    </row>
    <row r="114" spans="1:6" x14ac:dyDescent="0.15">
      <c r="B114" s="47" t="s">
        <v>278</v>
      </c>
      <c r="C114" s="223">
        <f>C113*scaling_factor*Exchange_Rate/Common_Shares</f>
        <v>2.0014595599282894E-2</v>
      </c>
      <c r="D114" s="1" t="str">
        <f>Market_currency</f>
        <v>HKD</v>
      </c>
    </row>
    <row r="116" spans="1:6" x14ac:dyDescent="0.15">
      <c r="B116" s="370" t="s">
        <v>517</v>
      </c>
      <c r="C116" s="370"/>
      <c r="D116" s="370"/>
      <c r="E116" s="370"/>
      <c r="F116" s="370"/>
    </row>
    <row r="118" spans="1:6" x14ac:dyDescent="0.15">
      <c r="B118" s="47" t="s">
        <v>518</v>
      </c>
      <c r="C118" s="223">
        <f>IF(valuation_method="DCF",DCF!C12,DDM!C7)</f>
        <v>11.297899917218485</v>
      </c>
      <c r="D118" s="1" t="str">
        <f>Market_currency</f>
        <v>HKD</v>
      </c>
    </row>
    <row r="119" spans="1:6" x14ac:dyDescent="0.15">
      <c r="B119" s="296" t="s">
        <v>551</v>
      </c>
      <c r="C119" s="223">
        <f>BS!D47</f>
        <v>-3.1950951675529464</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0.04</v>
      </c>
      <c r="D126" s="230">
        <f>DCF!D74</f>
        <v>10</v>
      </c>
      <c r="E126" s="231" t="str">
        <f>ROUND(IF(valuation_method="DCF",DCF!E74,DDM!E69),2)&amp;" "&amp;Market_currency</f>
        <v>12.91 HKD</v>
      </c>
      <c r="F126" s="232">
        <f>DCF!F74</f>
        <v>0.05</v>
      </c>
    </row>
    <row r="127" spans="1:6" x14ac:dyDescent="0.15">
      <c r="B127" s="218" t="str">
        <f>DCF!B75</f>
        <v>Optimistic</v>
      </c>
      <c r="C127" s="219">
        <f>DCF!C75</f>
        <v>0.03</v>
      </c>
      <c r="D127" s="220">
        <f>DCF!D75</f>
        <v>20</v>
      </c>
      <c r="E127" s="231" t="str">
        <f>ROUND(IF(valuation_method="DCF",DCF!E75,DDM!E70),2)&amp;" "&amp;Market_currency</f>
        <v>14.09 HKD</v>
      </c>
      <c r="F127" s="221">
        <f>DCF!F75</f>
        <v>0.18</v>
      </c>
    </row>
    <row r="128" spans="1:6" x14ac:dyDescent="0.15">
      <c r="B128" s="218" t="str">
        <f>DCF!B76</f>
        <v>Base</v>
      </c>
      <c r="C128" s="219">
        <f>DCF!C76</f>
        <v>0.02</v>
      </c>
      <c r="D128" s="220">
        <f>DCF!D76</f>
        <v>20</v>
      </c>
      <c r="E128" s="231" t="str">
        <f>ROUND(IF(valuation_method="DCF",DCF!E76,DDM!E71),2)&amp;" "&amp;Market_currency</f>
        <v>13.06 HKD</v>
      </c>
      <c r="F128" s="221">
        <f>DCF!F76</f>
        <v>0.53999999999999992</v>
      </c>
    </row>
    <row r="129" spans="1:6" x14ac:dyDescent="0.15">
      <c r="B129" s="218" t="str">
        <f>DCF!B77</f>
        <v>Pessimistic</v>
      </c>
      <c r="C129" s="219">
        <f>DCF!C77</f>
        <v>0.01</v>
      </c>
      <c r="D129" s="220">
        <f>DCF!D77</f>
        <v>20</v>
      </c>
      <c r="E129" s="231" t="str">
        <f>ROUND(IF(valuation_method="DCF",DCF!E77,DDM!E72),2)&amp;" "&amp;Market_currency</f>
        <v>12.13 HKD</v>
      </c>
      <c r="F129" s="221">
        <f>DCF!F77</f>
        <v>0.18</v>
      </c>
    </row>
    <row r="130" spans="1:6" x14ac:dyDescent="0.15">
      <c r="B130" s="218" t="str">
        <f>DCF!B78</f>
        <v>Devil's advocate</v>
      </c>
      <c r="C130" s="219">
        <f>DCF!C78</f>
        <v>0</v>
      </c>
      <c r="D130" s="220">
        <f>DCF!D78</f>
        <v>10</v>
      </c>
      <c r="E130" s="231" t="str">
        <f>ROUND(IF(valuation_method="DCF",DCF!E78,DDM!E73),2)&amp;" "&amp;Market_currency</f>
        <v>11.3 HKD</v>
      </c>
      <c r="F130" s="221">
        <f>DCF!F78</f>
        <v>0.05</v>
      </c>
    </row>
    <row r="132" spans="1:6" x14ac:dyDescent="0.15">
      <c r="B132" s="211" t="s">
        <v>254</v>
      </c>
      <c r="C132" s="217">
        <f>Scenarios!C60</f>
        <v>12.981602364197574</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0.34551074822</v>
      </c>
      <c r="D143" s="212" t="str">
        <f>Market_currency</f>
        <v>HKD</v>
      </c>
    </row>
    <row r="145" spans="2:4" x14ac:dyDescent="0.15">
      <c r="B145" s="210" t="s">
        <v>532</v>
      </c>
      <c r="C145" s="241" t="str">
        <f>C11</f>
        <v>0135.HK</v>
      </c>
      <c r="D145" s="241" t="str">
        <f>IF(D11="","",D11)</f>
        <v/>
      </c>
    </row>
    <row r="146" spans="2:4" x14ac:dyDescent="0.15">
      <c r="B146" s="1" t="s">
        <v>387</v>
      </c>
      <c r="C146" s="297">
        <f>F29</f>
        <v>0.35</v>
      </c>
    </row>
    <row r="147" spans="2:4" x14ac:dyDescent="0.15">
      <c r="B147" s="212" t="str">
        <f>"PV("&amp;C141&amp;" yrs of Dividends)"</f>
        <v>PV(3 yrs of Dividends)</v>
      </c>
      <c r="C147" s="216">
        <f>Scenarios!C81</f>
        <v>0.58594466166659565</v>
      </c>
    </row>
    <row r="148" spans="2:4" x14ac:dyDescent="0.15">
      <c r="B148" s="212" t="str">
        <f>"+ PV(Equity Value realized at year "&amp;C141&amp;")"</f>
        <v>+ PV(Equity Value realized at year 3)</v>
      </c>
      <c r="C148" s="216">
        <f>Scenarios!C82</f>
        <v>5.2762698223634903</v>
      </c>
    </row>
    <row r="149" spans="2:4" x14ac:dyDescent="0.15">
      <c r="B149" s="80" t="s">
        <v>256</v>
      </c>
      <c r="C149" s="215">
        <f>Scenarios!C83</f>
        <v>5.862214484030086</v>
      </c>
      <c r="D149" s="300" t="str">
        <f>IF($D$11="","",C149*$E$25)</f>
        <v/>
      </c>
    </row>
    <row r="150" spans="2:4" x14ac:dyDescent="0.15">
      <c r="B150" s="259" t="s">
        <v>533</v>
      </c>
      <c r="C150" s="298" t="str">
        <f>Market_currency</f>
        <v>HKD</v>
      </c>
      <c r="D150" s="298" t="str">
        <f>IF($D$11="","",D$13)</f>
        <v/>
      </c>
    </row>
    <row r="151" spans="2:4" x14ac:dyDescent="0.15">
      <c r="B151" s="214" t="s">
        <v>534</v>
      </c>
      <c r="C151" s="92">
        <f>Scenarios!F83</f>
        <v>0.54842134895475636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0.6744369805254401</v>
      </c>
    </row>
    <row r="156" spans="2:4" x14ac:dyDescent="0.15">
      <c r="B156" s="212" t="str">
        <f>"+ PV(Equity Value realized at year "&amp;C141&amp;")"</f>
        <v>+ PV(Equity Value realized at year 3)</v>
      </c>
      <c r="C156" s="216">
        <f>Scenarios!C92</f>
        <v>6.6465804104691575</v>
      </c>
    </row>
    <row r="157" spans="2:4" x14ac:dyDescent="0.15">
      <c r="B157" s="80" t="s">
        <v>256</v>
      </c>
      <c r="C157" s="215">
        <f>Scenarios!C93</f>
        <v>7.3210173909945979</v>
      </c>
      <c r="D157" s="300" t="str">
        <f>IF($D$11="","",C157*$E$25)</f>
        <v/>
      </c>
    </row>
    <row r="158" spans="2:4" x14ac:dyDescent="0.15">
      <c r="B158" s="259" t="s">
        <v>533</v>
      </c>
      <c r="C158" s="298" t="str">
        <f>Market_currency</f>
        <v>HKD</v>
      </c>
      <c r="D158" s="298" t="str">
        <f>IF($D$11="","",D$13)</f>
        <v/>
      </c>
    </row>
    <row r="159" spans="2:4" x14ac:dyDescent="0.15">
      <c r="B159" s="214" t="s">
        <v>534</v>
      </c>
      <c r="C159" s="92">
        <f>Scenarios!F93</f>
        <v>0.43604670782510691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0.89850959414852982</v>
      </c>
    </row>
    <row r="164" spans="2:4" x14ac:dyDescent="0.15">
      <c r="B164" s="212" t="str">
        <f>"+ PV(Equity Value realized at year "&amp;C141&amp;")"</f>
        <v>+ PV(Equity Value realized at year 3)</v>
      </c>
      <c r="C164" s="216">
        <f>Scenarios!C98</f>
        <v>10.449678032231688</v>
      </c>
    </row>
    <row r="165" spans="2:4" x14ac:dyDescent="0.15">
      <c r="B165" s="80" t="s">
        <v>382</v>
      </c>
      <c r="C165" s="215">
        <f>Scenarios!C99</f>
        <v>11.348187626380218</v>
      </c>
      <c r="D165" s="300" t="str">
        <f>IF($D$11="","",C165*$E$25)</f>
        <v/>
      </c>
    </row>
    <row r="166" spans="2:4" x14ac:dyDescent="0.15">
      <c r="B166" s="259" t="s">
        <v>533</v>
      </c>
      <c r="C166" s="298" t="str">
        <f>Market_currency</f>
        <v>HKD</v>
      </c>
      <c r="D166" s="298" t="str">
        <f>IF($D$11="","",D$13)</f>
        <v/>
      </c>
    </row>
    <row r="167" spans="2:4" x14ac:dyDescent="0.15">
      <c r="B167" s="214" t="s">
        <v>534</v>
      </c>
      <c r="C167" s="92">
        <f>Scenarios!F99</f>
        <v>0.12582535591462951</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0.83358031120097364</v>
      </c>
    </row>
    <row r="172" spans="2:4" x14ac:dyDescent="0.15">
      <c r="B172" s="212" t="str">
        <f>"+ PV(Equity Value realized at year "&amp;C141&amp;")"</f>
        <v>+ PV(Equity Value realized at year 3)</v>
      </c>
      <c r="C172" s="216">
        <f>Scenarios!C104</f>
        <v>9.304698412524143</v>
      </c>
    </row>
    <row r="173" spans="2:4" x14ac:dyDescent="0.15">
      <c r="B173" s="80" t="s">
        <v>382</v>
      </c>
      <c r="C173" s="215">
        <f>Scenarios!C105</f>
        <v>10.138278723725117</v>
      </c>
      <c r="D173" s="300" t="str">
        <f>IF($D$11="","",C173*$E$25)</f>
        <v/>
      </c>
    </row>
    <row r="174" spans="2:4" x14ac:dyDescent="0.15">
      <c r="B174" s="259" t="s">
        <v>533</v>
      </c>
      <c r="C174" s="298" t="str">
        <f>Market_currency</f>
        <v>HKD</v>
      </c>
      <c r="D174" s="298" t="str">
        <f>IF($D$11="","",D$13)</f>
        <v/>
      </c>
    </row>
    <row r="175" spans="2:4" x14ac:dyDescent="0.15">
      <c r="B175" s="214" t="s">
        <v>534</v>
      </c>
      <c r="C175" s="92">
        <f>Scenarios!F105</f>
        <v>0.22261866782543671</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row r="4" spans="2:5" x14ac:dyDescent="0.1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