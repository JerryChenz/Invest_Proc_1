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80A1A3A-A494-4054-8799-3E3BEBFAD6C9}" xr6:coauthVersionLast="47" xr6:coauthVersionMax="47" xr10:uidLastSave="{00000000-0000-0000-0000-000000000000}"/>
  <bookViews>
    <workbookView xWindow="-98" yWindow="-98" windowWidth="17115" windowHeight="10755"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1" r:id="rId9"/>
  </sheets>
  <definedNames>
    <definedName name="_xlnm._FilterDatabase" localSheetId="5" hidden="1">DCF!$B$73:$H$73</definedName>
    <definedName name="_xlnm._FilterDatabase" localSheetId="6"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67" i="2" l="1"/>
  <c r="C33" i="2"/>
  <c r="C4" i="2"/>
  <c r="G4" i="3"/>
  <c r="G18" i="3"/>
  <c r="F25" i="4"/>
  <c r="E25" i="4"/>
  <c r="D25" i="4"/>
  <c r="C25" i="4"/>
  <c r="F32" i="12" l="1"/>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F130" i="12"/>
  <c r="C130" i="12"/>
  <c r="B130" i="12"/>
  <c r="F129" i="12"/>
  <c r="C129" i="12"/>
  <c r="B129" i="12"/>
  <c r="F128" i="12"/>
  <c r="C128" i="12"/>
  <c r="B128" i="12"/>
  <c r="F127" i="12"/>
  <c r="C127" i="12"/>
  <c r="B127" i="12"/>
  <c r="F126" i="12"/>
  <c r="C126"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Q94" i="2"/>
  <c r="B91" i="2"/>
  <c r="B90" i="2"/>
  <c r="Q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C88" i="3" l="1"/>
  <c r="D88" i="3" s="1"/>
  <c r="C113" i="12"/>
  <c r="C114" i="12" s="1"/>
  <c r="F75" i="8"/>
  <c r="F127" i="6" s="1"/>
  <c r="F70" i="10"/>
  <c r="D74" i="8"/>
  <c r="D69" i="10"/>
  <c r="F55" i="8"/>
  <c r="F64" i="8" s="1"/>
  <c r="C126" i="6"/>
  <c r="C113" i="6"/>
  <c r="C114" i="6" s="1"/>
  <c r="G67" i="2"/>
  <c r="C59" i="2" s="1"/>
  <c r="D126" i="6" l="1"/>
  <c r="D126" i="12"/>
  <c r="C77" i="8"/>
  <c r="C31" i="9"/>
  <c r="D78" i="8"/>
  <c r="C25" i="9"/>
  <c r="C76" i="8"/>
  <c r="C78" i="8"/>
  <c r="D75" i="8"/>
  <c r="C75" i="8"/>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Q92" i="2" s="1"/>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O94" i="2"/>
  <c r="N94" i="2"/>
  <c r="P94" i="2"/>
  <c r="L94" i="2"/>
  <c r="M94" i="2"/>
  <c r="I94" i="2"/>
  <c r="C44" i="6"/>
  <c r="C44" i="12"/>
  <c r="J94" i="2"/>
  <c r="K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8" i="2"/>
  <c r="C23" i="2" s="1"/>
  <c r="C49" i="2"/>
  <c r="C29" i="2"/>
  <c r="C24" i="2" s="1"/>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H80" i="2" l="1"/>
  <c r="H119" i="2"/>
  <c r="I80" i="2"/>
  <c r="I119" i="2"/>
  <c r="J80" i="2"/>
  <c r="J119" i="2"/>
  <c r="C109" i="6"/>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C105" i="9"/>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M76" i="2"/>
  <c r="L13" i="2"/>
  <c r="L121" i="2" s="1"/>
  <c r="L117" i="2" s="1"/>
  <c r="K13" i="2"/>
  <c r="N13" i="2"/>
  <c r="M13" i="2"/>
  <c r="M121" i="2" s="1"/>
  <c r="I13" i="2"/>
  <c r="K76" i="2"/>
  <c r="N98" i="2" l="1"/>
  <c r="N121" i="2"/>
  <c r="N117" i="2" s="1"/>
  <c r="K16" i="2"/>
  <c r="K19" i="2" s="1"/>
  <c r="K92" i="2" s="1"/>
  <c r="K121" i="2"/>
  <c r="K117" i="2" s="1"/>
  <c r="D74" i="6"/>
  <c r="I121" i="2"/>
  <c r="I117" i="2" s="1"/>
  <c r="J121" i="2"/>
  <c r="J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<sst xmlns="http://schemas.openxmlformats.org/spreadsheetml/2006/main" count="836" uniqueCount="560">
  <si>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</si>
  <si>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</si>
  <si>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</si>
  <si>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</si>
  <si>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</si>
  <si>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</si>
  <si>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</si>
  <si>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</si>
  <si>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</si>
  <si>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</si>
  <si>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</si>
  <si>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</si>
  <si>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</si>
  <si>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</si>
  <si>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</si>
  <si>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</si>
  <si>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</si>
  <si>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</si>
  <si>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</si>
  <si>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</si>
  <si>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</si>
  <si>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</si>
  <si>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</si>
  <si>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</si>
  <si>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</si>
  <si>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</si>
  <si>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</si>
  <si>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</si>
  <si>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</si>
  <si>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</si>
  <si>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</si>
  <si>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</si>
  <si>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</si>
  <si>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</si>
  <si>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</si>
  <si>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</si>
  <si>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</si>
  <si>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</si>
  <si>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</si>
  <si>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</si>
  <si>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</si>
  <si>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</si>
  <si>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</si>
  <si>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</si>
  <si>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</si>
  <si>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</si>
  <si>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</si>
  <si>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</si>
  <si>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</si>
  <si>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</si>
  <si>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</si>
  <si>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</si>
  <si>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</si>
  <si>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</si>
  <si>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</si>
  <si>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</si>
  <si>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</si>
  <si>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</si>
  <si>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</si>
  <si>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</si>
  <si>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</si>
  <si>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</si>
  <si>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</si>
  <si>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</si>
  <si>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</si>
  <si>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</si>
  <si>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</si>
  <si>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</si>
  <si>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</si>
  <si>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</si>
  <si>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</si>
  <si>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</si>
  <si>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</si>
  <si>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</si>
  <si>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</si>
  <si>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</si>
  <si>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</si>
  <si>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</si>
  <si>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</si>
  <si>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</si>
  <si>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</si>
  <si>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</si>
  <si>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</si>
  <si>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</si>
  <si>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</si>
  <si>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</si>
  <si>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</si>
  <si>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</si>
  <si>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</si>
  <si>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</si>
  <si>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</si>
  <si>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</si>
  <si>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</si>
  <si>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</si>
  <si>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</si>
  <si>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</si>
  <si>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</si>
  <si>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</si>
  <si>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</si>
  <si>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</si>
  <si>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</si>
  <si>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</si>
  <si>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</si>
  <si>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</si>
  <si>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</si>
  <si>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</si>
  <si>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</si>
  <si>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</si>
  <si>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</si>
  <si>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</si>
  <si>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</si>
  <si>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</si>
  <si>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</si>
  <si>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</si>
  <si>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</si>
  <si>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</si>
  <si>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</si>
  <si>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</si>
  <si>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</si>
  <si>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</si>
  <si>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</si>
  <si>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</si>
  <si>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</si>
  <si>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</si>
  <si>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</si>
  <si>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</si>
  <si>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</si>
  <si>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</si>
  <si>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</si>
  <si>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</si>
  <si>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</si>
  <si>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</si>
  <si>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</si>
  <si>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</si>
  <si>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</si>
  <si>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</si>
  <si>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</si>
  <si>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</si>
  <si>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</si>
  <si>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</si>
  <si>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</si>
  <si>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</si>
  <si>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</si>
  <si>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</si>
  <si>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</si>
  <si>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</si>
  <si>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</si>
  <si>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</si>
  <si>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</si>
  <si>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</si>
  <si>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</si>
  <si>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</si>
  <si>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</si>
  <si>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</si>
  <si>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</si>
  <si>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</si>
  <si>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</si>
  <si>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</si>
  <si>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</si>
  <si>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</si>
  <si>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</si>
  <si>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</si>
  <si>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</si>
  <si>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</si>
  <si>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</si>
  <si>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</si>
  <si>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</si>
  <si>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</si>
  <si>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</si>
  <si>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</si>
  <si>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</si>
  <si>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</si>
  <si>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</si>
  <si>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</si>
  <si>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</si>
  <si>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</si>
  <si>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</si>
  <si>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</si>
  <si>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</si>
  <si>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</si>
  <si>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</si>
  <si>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</si>
  <si>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</si>
  <si>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</si>
  <si>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</si>
  <si>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</si>
  <si>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</si>
  <si>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</si>
  <si>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</si>
  <si>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</si>
  <si>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</si>
  <si>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</si>
  <si>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</si>
  <si>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</si>
  <si>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</si>
  <si>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</si>
  <si>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</si>
  <si>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</si>
  <si>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</si>
  <si>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</si>
  <si>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</si>
  <si>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</si>
  <si>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</si>
  <si>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</si>
  <si>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</si>
  <si>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</si>
  <si>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</si>
  <si>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</si>
  <si>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</si>
  <si>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</si>
  <si>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</si>
  <si>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</si>
  <si>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</si>
  <si>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</si>
  <si>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</si>
  <si>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</si>
  <si>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</si>
  <si>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</si>
  <si>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</si>
  <si>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</si>
  <si>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</si>
  <si>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</si>
  <si>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</si>
  <si>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</si>
  <si>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</si>
  <si>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</si>
  <si>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</si>
  <si>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</si>
  <si>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</si>
  <si>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</si>
  <si>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</si>
  <si>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</si>
  <si>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</si>
  <si>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</si>
  <si>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</si>
  <si>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</si>
  <si>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</si>
  <si>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</si>
  <si>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</si>
  <si>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</si>
  <si>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</si>
  <si>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</si>
  <si>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</si>
  <si>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</si>
  <si>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</si>
  <si>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</si>
  <si>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</si>
  <si>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</si>
  <si>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</si>
  <si>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</si>
  <si>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</si>
  <si>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</si>
  <si>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</si>
  <si>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</si>
  <si>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</si>
  <si>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</si>
  <si>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</si>
  <si>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</si>
  <si>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</si>
  <si>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</si>
  <si>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</si>
  <si>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</si>
  <si>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</si>
  <si>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</si>
  <si>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</si>
  <si>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</si>
  <si>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</si>
  <si>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</si>
  <si>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</si>
  <si>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</si>
  <si>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</si>
  <si>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</si>
  <si>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</si>
  <si>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</si>
  <si>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</si>
  <si>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</si>
  <si>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</si>
  <si>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</si>
  <si>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</si>
  <si>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</si>
  <si>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</si>
  <si>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</si>
  <si>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</si>
  <si>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</si>
  <si>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</si>
  <si>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</si>
  <si>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</si>
  <si>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</si>
  <si>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</si>
  <si>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</si>
  <si>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</si>
  <si>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</si>
  <si>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</si>
  <si>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</si>
  <si>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</si>
  <si>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</si>
  <si>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</si>
  <si>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</si>
  <si>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</si>
  <si>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</si>
  <si>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</si>
  <si>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</si>
  <si>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</si>
  <si>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</si>
  <si>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</si>
  <si>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</si>
  <si>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</si>
  <si>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</si>
  <si>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</si>
  <si>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</si>
  <si>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</si>
  <si>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</si>
  <si>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</si>
  <si>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</si>
  <si>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</si>
  <si>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</si>
  <si>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</si>
  <si>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</si>
  <si>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</si>
  <si>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</si>
  <si>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</si>
  <si>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</si>
  <si>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</si>
  <si>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</si>
  <si>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</si>
  <si>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</si>
  <si>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</si>
  <si>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</si>
  <si>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</si>
  <si>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</si>
  <si>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</si>
  <si>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</si>
  <si>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</si>
  <si>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</si>
  <si>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</si>
  <si>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</si>
  <si>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</si>
  <si>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</si>
  <si>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</si>
  <si>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</si>
  <si>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</si>
  <si>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</si>
  <si>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</si>
  <si>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</si>
  <si>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</si>
  <si>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</si>
  <si>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</si>
  <si>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</si>
  <si>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</si>
  <si>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</si>
  <si>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</si>
  <si>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</si>
  <si>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</si>
  <si>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</si>
  <si>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</si>
  <si>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</si>
  <si>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</si>
  <si>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</si>
  <si>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</si>
  <si>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</si>
  <si>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</si>
  <si>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</si>
  <si>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</si>
  <si>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</si>
  <si>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</si>
  <si>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</si>
  <si>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</si>
  <si>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</si>
  <si>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</si>
  <si>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</si>
  <si>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</si>
  <si>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</si>
  <si>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</si>
  <si>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</si>
  <si>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</si>
  <si>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</si>
  <si>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</si>
  <si>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</si>
  <si>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</si>
  <si>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</si>
  <si>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</si>
  <si>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</si>
  <si>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</si>
  <si>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</si>
  <si>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</si>
  <si>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</si>
  <si>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</si>
  <si>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</si>
  <si>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</si>
  <si>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</si>
  <si>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</si>
  <si>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</si>
  <si>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</si>
  <si>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</si>
  <si>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</si>
  <si>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</si>
  <si>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</si>
  <si>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</si>
  <si>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</si>
  <si>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</si>
  <si>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</si>
  <si>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</si>
  <si>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</si>
  <si>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</si>
  <si>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</si>
  <si>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</si>
  <si>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</si>
  <si>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</si>
  <si>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</si>
  <si>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</si>
  <si>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</si>
  <si>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</si>
  <si>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</si>
  <si>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</si>
  <si>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</si>
  <si>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</si>
  <si>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</si>
  <si>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</si>
  <si>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</si>
  <si>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</si>
  <si>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</si>
  <si>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</si>
  <si>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</si>
  <si>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</si>
  <si>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</si>
  <si>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</si>
  <si>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</si>
  <si>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</si>
  <si>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</si>
  <si>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</si>
  <si>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</si>
  <si>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</si>
  <si>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</si>
  <si>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</si>
  <si>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</si>
  <si>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</si>
  <si>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</si>
  <si>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</si>
  <si>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</si>
  <si>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</si>
  <si>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</si>
  <si>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</si>
  <si>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</si>
  <si>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</si>
  <si>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</si>
  <si>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</si>
  <si>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</si>
  <si>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</si>
  <si>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</si>
  <si>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</si>
  <si>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</si>
  <si>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</si>
  <si>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</si>
  <si>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</si>
  <si>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</si>
  <si>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</si>
  <si>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</si>
  <si>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</si>
  <si>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</si>
  <si>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</si>
  <si>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</si>
  <si>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</si>
  <si>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</si>
  <si>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</si>
  <si>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</si>
  <si>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</si>
  <si>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</si>
  <si>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</si>
  <si>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</si>
  <si>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</si>
  <si>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</si>
  <si>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</si>
  <si>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</si>
  <si>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</si>
  <si>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</si>
  <si>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</si>
  <si>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</si>
  <si>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</si>
  <si>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</si>
  <si>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</si>
  <si>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</si>
  <si>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</si>
  <si>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</si>
  <si>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</si>
  <si>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</si>
  <si>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</si>
  <si>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</si>
  <si>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</si>
  <si>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</si>
  <si>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</si>
  <si>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</si>
  <si>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</si>
  <si>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</si>
  <si>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</si>
  <si>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</si>
  <si>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</si>
  <si>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</si>
  <si>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</si>
  <si>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</si>
  <si>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</si>
  <si>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</si>
  <si>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</si>
  <si>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</si>
  <si>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</si>
  <si>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</si>
  <si>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</si>
  <si>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</si>
  <si>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</si>
  <si>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</si>
  <si>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</si>
  <si>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</si>
  <si>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</si>
  <si>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</si>
  <si>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</si>
  <si>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</si>
  <si>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</si>
  <si>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</si>
  <si>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</si>
  <si>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</si>
  <si>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</si>
  <si>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</si>
  <si>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</si>
  <si>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</si>
  <si>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</si>
  <si>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</si>
  <si>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</si>
  <si>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</si>
  <si>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</si>
  <si>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</si>
  <si>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</si>
  <si>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</si>
  <si>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</si>
  <si>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</si>
  <si>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</si>
  <si>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</si>
  <si>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</si>
  <si>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</si>
  <si>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</si>
  <si>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</si>
  <si>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</si>
  <si>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</si>
  <si>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</si>
  <si>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</si>
  <si>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</si>
  <si>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</si>
  <si>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</si>
  <si>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</si>
  <si>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</si>
  <si>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</si>
  <si>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</si>
  <si>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</si>
  <si>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</si>
  <si>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</si>
  <si>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0135.HK</t>
  </si>
  <si>
    <t>昆仑能源</t>
  </si>
  <si>
    <t>ENG_02</t>
  </si>
  <si>
    <t>CNY</t>
  </si>
  <si>
    <t>DCF</t>
  </si>
  <si>
    <t>昆仑能源是中国国内销售规模最大的
天然气终端利用企业和 LPG 销售企业之一。</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</si>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</sst>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B27" sqref="B2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439</v>
      </c>
      <c r="C1" s="33">
        <f>Thesis!C1</f>
        <v>45867</v>
      </c>
      <c r="D1" s="358" t="str">
        <f>Thesis!D1</f>
        <v>INT</v>
      </c>
      <c r="E1" s="292" t="s">
        <v>345</v>
      </c>
      <c r="F1" s="307" t="str">
        <f>Thesis!F1</f>
        <v>N</v>
      </c>
    </row>
    <row r="2" spans="1:10" ht="13.9">
      <c r="A2" s="222" t="s">
        <v>440</v>
      </c>
      <c r="B2" s="36"/>
      <c r="C2" s="36"/>
      <c r="D2" s="36"/>
      <c r="E2" s="36"/>
      <c r="F2" s="36"/>
      <c r="G2" s="22"/>
      <c r="H2" s="22"/>
      <c r="I2" s="22"/>
      <c r="J2" s="22"/>
    </row>
    <row r="4" spans="1:10">
      <c r="B4" s="45" t="s">
        <v>441</v>
      </c>
      <c r="C4" s="46"/>
      <c r="D4" s="5"/>
      <c r="E4" s="2"/>
      <c r="F4" s="2"/>
    </row>
    <row r="5" spans="1:10" ht="12.4">
      <c r="B5" s="4" t="s">
        <v>481</v>
      </c>
      <c r="C5" s="359" t="str">
        <f>Thesis!C5</f>
        <v>昆仑能源</v>
      </c>
    </row>
    <row r="6" spans="1:10">
      <c r="B6" s="4" t="s">
        <v>482</v>
      </c>
      <c r="C6" s="34">
        <f>Common_Shares</f>
        <v>8658801708</v>
      </c>
      <c r="E6" s="48"/>
    </row>
    <row r="7" spans="1:10">
      <c r="B7" s="2" t="s">
        <v>483</v>
      </c>
      <c r="C7" s="360">
        <f>Thesis!C7</f>
        <v>6</v>
      </c>
      <c r="D7" s="48"/>
      <c r="E7" s="48"/>
    </row>
    <row r="8" spans="1:10">
      <c r="B8" s="1" t="s">
        <v>484</v>
      </c>
      <c r="C8" s="33">
        <f>EOMONTH(EDATE(BS!C1,C7+2),0)</f>
        <v>45900</v>
      </c>
      <c r="E8" s="48"/>
    </row>
    <row r="9" spans="1:10">
      <c r="E9" s="34"/>
    </row>
    <row r="10" spans="1:10">
      <c r="B10" s="45" t="s">
        <v>442</v>
      </c>
      <c r="C10" s="46"/>
      <c r="E10" s="34"/>
    </row>
    <row r="11" spans="1:10">
      <c r="B11" s="1" t="s">
        <v>485</v>
      </c>
      <c r="C11" s="365" t="str">
        <f>Thesis!C11</f>
        <v>0135.HK</v>
      </c>
      <c r="D11" s="49"/>
      <c r="E11" s="34"/>
    </row>
    <row r="12" spans="1:10">
      <c r="B12" s="4" t="s">
        <v>486</v>
      </c>
      <c r="C12" s="366">
        <f>Market_Price</f>
        <v>7.72</v>
      </c>
      <c r="D12" s="50"/>
      <c r="E12" s="48"/>
    </row>
    <row r="13" spans="1:10">
      <c r="B13" s="1" t="s">
        <v>487</v>
      </c>
      <c r="C13" s="32" t="str">
        <f>Market_currency</f>
        <v>HKD</v>
      </c>
      <c r="D13" s="48"/>
      <c r="E13" s="5"/>
    </row>
    <row r="14" spans="1:10">
      <c r="B14" s="4" t="s">
        <v>488</v>
      </c>
      <c r="C14" s="35">
        <f>投资主题!C12*Common_Shares/1000000</f>
        <v>66845.949185759993</v>
      </c>
      <c r="D14" s="35" t="str">
        <f>IF(D11="","",投资主题!D12*Common_Shares/1000000)</f>
        <v/>
      </c>
      <c r="E14" s="5"/>
    </row>
    <row r="15" spans="1:10">
      <c r="B15" s="4" t="s">
        <v>489</v>
      </c>
      <c r="C15" s="32" t="str">
        <f>IF(C25=C13,C13,C25&amp;"/"&amp;C13)</f>
        <v>CNY/HKD</v>
      </c>
      <c r="D15" s="32" t="str">
        <f>IF(D11="","",IF(C25=D13,D13,C25&amp;"/"&amp;D13))</f>
        <v/>
      </c>
      <c r="E15" s="5"/>
    </row>
    <row r="16" spans="1:10">
      <c r="B16" s="4" t="s">
        <v>490</v>
      </c>
      <c r="C16" s="366">
        <f>Exchange_Rate</f>
        <v>1.09186545</v>
      </c>
      <c r="D16" s="50"/>
      <c r="E16" s="5"/>
    </row>
    <row r="17" spans="2:6">
      <c r="D17" s="5"/>
      <c r="E17" s="5"/>
    </row>
    <row r="18" spans="2:6" ht="24.6" customHeight="1">
      <c r="B18" s="371" t="s">
        <v>491</v>
      </c>
      <c r="C18" s="371"/>
      <c r="D18" s="371"/>
      <c r="E18" s="371"/>
      <c r="F18" s="371"/>
    </row>
    <row r="20" spans="2:6">
      <c r="B20" s="45" t="s">
        <v>492</v>
      </c>
      <c r="C20" s="46"/>
      <c r="D20" s="5"/>
    </row>
    <row r="21" spans="2:6">
      <c r="B21" s="2" t="s">
        <v>443</v>
      </c>
      <c r="C21" s="32" t="str">
        <f>IF(Scenarios!C69="Y",Scenarios!B69,"")&amp;IF(Scenarios!C70="Y",Scenarios!B70,"")&amp;IF(Scenarios!C71="Y",Scenarios!B71,"")&amp;" "&amp;IF(Scenarios!C72="Y",Scenarios!B72,"")</f>
        <v xml:space="preserve">Low Growth </v>
      </c>
      <c r="D21" s="1" t="s">
        <v>449</v>
      </c>
      <c r="E21" s="363" t="str">
        <f>valuation_method</f>
        <v>DCF</v>
      </c>
    </row>
    <row r="22" spans="2:6">
      <c r="B22" s="2" t="s">
        <v>444</v>
      </c>
      <c r="C22" s="32" t="str">
        <f>Thesis!C22</f>
        <v>ENG_02</v>
      </c>
      <c r="D22" s="1" t="str">
        <f>IF(valuation_method="DDM","终值贴现率","")</f>
        <v/>
      </c>
      <c r="E22" s="364">
        <f>Thesis!E22</f>
        <v>0</v>
      </c>
    </row>
    <row r="23" spans="2:6">
      <c r="B23" s="1" t="s">
        <v>445</v>
      </c>
      <c r="C23" s="253" t="str">
        <f>Thesis!C23</f>
        <v>N</v>
      </c>
    </row>
    <row r="24" spans="2:6">
      <c r="B24" s="1" t="s">
        <v>446</v>
      </c>
      <c r="C24" s="253" t="str">
        <f>Thesis!C24</f>
        <v>N</v>
      </c>
    </row>
    <row r="25" spans="2:6">
      <c r="B25" s="4" t="s">
        <v>447</v>
      </c>
      <c r="C25" s="32" t="str">
        <f>Reporting_currency</f>
        <v>CNY</v>
      </c>
      <c r="D25" s="32" t="str">
        <f>IF(D11="","",Market_currency&amp;"/"&amp;D13&amp;":")</f>
        <v/>
      </c>
      <c r="E25" s="299" t="str">
        <f>IF(D11="","",1/Exchange_Rate*D16)</f>
        <v/>
      </c>
    </row>
    <row r="26" spans="2:6">
      <c r="B26" s="1" t="str">
        <f>"预期股权价值 ("&amp;C13&amp;") :"</f>
        <v>预期股权价值 (HKD) :</v>
      </c>
      <c r="C26" s="304">
        <f>C132</f>
        <v>12.955428203627237</v>
      </c>
      <c r="D26" s="1" t="s">
        <v>448</v>
      </c>
      <c r="E26" s="301">
        <f ca="1">Scenarios!C87</f>
        <v>0.2264478139311954</v>
      </c>
    </row>
    <row r="27" spans="2:6">
      <c r="D27" s="5"/>
      <c r="E27" s="5"/>
    </row>
    <row r="28" spans="2:6">
      <c r="B28" s="45" t="s">
        <v>450</v>
      </c>
      <c r="C28" s="309" t="str">
        <f>C145&amp;" ("&amp;Market_currency&amp;")"</f>
        <v>0135.HK (HKD)</v>
      </c>
      <c r="D28" s="309" t="str">
        <f>IF(D11="","",D145&amp;" ("&amp;D13&amp;")")</f>
        <v/>
      </c>
      <c r="E28" s="305" t="s">
        <v>455</v>
      </c>
      <c r="F28" s="361">
        <f>Thesis!F28</f>
        <v>3</v>
      </c>
    </row>
    <row r="29" spans="2:6">
      <c r="B29" s="1" t="s">
        <v>451</v>
      </c>
      <c r="C29" s="310">
        <f>C149</f>
        <v>5.8503896992892184</v>
      </c>
      <c r="D29" s="310" t="str">
        <f>D149</f>
        <v/>
      </c>
      <c r="E29" s="306" t="s">
        <v>457</v>
      </c>
      <c r="F29" s="362">
        <f>Thesis!F29</f>
        <v>0.35</v>
      </c>
    </row>
    <row r="30" spans="2:6">
      <c r="B30" s="1" t="s">
        <v>452</v>
      </c>
      <c r="C30" s="311">
        <f>C157</f>
        <v>7.3062505252398662</v>
      </c>
      <c r="D30" s="311" t="str">
        <f>D157</f>
        <v/>
      </c>
      <c r="E30" s="307" t="s">
        <v>456</v>
      </c>
      <c r="F30" s="224">
        <f>Thesis!F30</f>
        <v>0.25</v>
      </c>
    </row>
    <row r="31" spans="2:6">
      <c r="B31" s="1" t="s">
        <v>453</v>
      </c>
      <c r="C31" s="311">
        <f>C165</f>
        <v>11.325299029666908</v>
      </c>
      <c r="D31" s="311" t="str">
        <f>D165</f>
        <v/>
      </c>
      <c r="E31" s="307" t="s">
        <v>493</v>
      </c>
      <c r="F31" s="224">
        <f>Thesis!F31</f>
        <v>7.4999999999999997E-2</v>
      </c>
    </row>
    <row r="32" spans="2:6">
      <c r="B32" s="1" t="s">
        <v>454</v>
      </c>
      <c r="C32" s="311">
        <f>C173</f>
        <v>10.117830170604076</v>
      </c>
      <c r="D32" s="311" t="str">
        <f>D173</f>
        <v/>
      </c>
      <c r="E32" s="307" t="s">
        <v>458</v>
      </c>
      <c r="F32" s="224">
        <f>Thesis!F32</f>
        <v>0.1174</v>
      </c>
    </row>
    <row r="33" spans="1:6">
      <c r="D33" s="5"/>
      <c r="E33" s="5"/>
    </row>
    <row r="34" spans="1:6" ht="13.9">
      <c r="A34" s="222" t="s">
        <v>459</v>
      </c>
      <c r="B34" s="36"/>
      <c r="C34" s="36"/>
      <c r="D34" s="36"/>
      <c r="E34" s="36"/>
      <c r="F34" s="36"/>
    </row>
    <row r="36" spans="1:6" ht="24.6" customHeight="1">
      <c r="B36" s="371" t="s">
        <v>494</v>
      </c>
      <c r="C36" s="371"/>
      <c r="D36" s="371"/>
      <c r="E36" s="371"/>
      <c r="F36" s="371"/>
    </row>
    <row r="37" spans="1:6" ht="24.6" customHeight="1">
      <c r="B37" s="374" t="s">
        <v>331</v>
      </c>
      <c r="C37" s="374"/>
      <c r="D37" s="374"/>
      <c r="E37" s="374"/>
      <c r="F37" s="374"/>
    </row>
    <row r="39" spans="1:6">
      <c r="B39" s="210" t="s">
        <v>495</v>
      </c>
      <c r="C39" s="108">
        <f>scaling_factor</f>
        <v>1000000</v>
      </c>
    </row>
    <row r="40" spans="1:6">
      <c r="B40" s="367" t="s">
        <v>496</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497</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498</v>
      </c>
      <c r="C47" s="367"/>
      <c r="D47" s="367"/>
      <c r="E47" s="367"/>
      <c r="F47" s="367"/>
    </row>
    <row r="48" spans="1:6">
      <c r="B48" s="47" t="s">
        <v>233</v>
      </c>
      <c r="C48" s="349">
        <f>Normalized_FCF!C11</f>
        <v>900.8</v>
      </c>
      <c r="D48" s="1" t="str">
        <f>Reporting_currency</f>
        <v>CNY</v>
      </c>
    </row>
    <row r="50" spans="2:6">
      <c r="B50" s="367" t="s">
        <v>499</v>
      </c>
      <c r="C50" s="367"/>
      <c r="D50" s="367"/>
      <c r="E50" s="367"/>
      <c r="F50" s="367"/>
    </row>
    <row r="51" spans="2:6">
      <c r="B51" s="47" t="s">
        <v>332</v>
      </c>
      <c r="C51" s="350">
        <f>Normalized_FCF!C48</f>
        <v>279.60690627024144</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-523.39309372975856</v>
      </c>
      <c r="D53" s="1" t="str">
        <f>Reporting_currency</f>
        <v>CNY</v>
      </c>
    </row>
    <row r="55" spans="2:6">
      <c r="B55" s="1" t="s">
        <v>500</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-4449.7285411561006</v>
      </c>
      <c r="D59" s="1" t="str">
        <f>Reporting_currency</f>
        <v>CNY</v>
      </c>
    </row>
    <row r="61" spans="2:6">
      <c r="B61" s="367" t="s">
        <v>501</v>
      </c>
      <c r="C61" s="373"/>
      <c r="D61" s="373"/>
      <c r="E61" s="373"/>
      <c r="F61" s="373"/>
    </row>
    <row r="62" spans="2:6">
      <c r="B62" s="47" t="s">
        <v>238</v>
      </c>
      <c r="C62" s="349">
        <f>Normalized_FCF!C17</f>
        <v>0</v>
      </c>
      <c r="D62" s="1" t="str">
        <f>Reporting_currency</f>
        <v>CNY</v>
      </c>
    </row>
    <row r="64" spans="2:6">
      <c r="B64" s="371" t="s">
        <v>502</v>
      </c>
      <c r="C64" s="371"/>
      <c r="D64" s="371"/>
      <c r="E64" s="371"/>
      <c r="F64" s="371"/>
    </row>
    <row r="65" spans="1:6">
      <c r="B65" s="371" t="s">
        <v>503</v>
      </c>
      <c r="C65" s="371"/>
      <c r="D65" s="371"/>
      <c r="E65" s="371"/>
      <c r="F65" s="371"/>
    </row>
    <row r="67" spans="1:6">
      <c r="B67" s="47" t="s">
        <v>504</v>
      </c>
      <c r="C67" s="349">
        <f>Normalized_FCF!G19</f>
        <v>10305.03755922756</v>
      </c>
      <c r="D67" s="1" t="str">
        <f>Reporting_currency</f>
        <v>CNY</v>
      </c>
    </row>
    <row r="68" spans="1:6">
      <c r="B68" s="47" t="s">
        <v>244</v>
      </c>
      <c r="C68" s="349">
        <f>Normalized_FCF!C19</f>
        <v>7230.3235535558979</v>
      </c>
      <c r="D68" s="1" t="str">
        <f>Reporting_currency</f>
        <v>CNY</v>
      </c>
    </row>
    <row r="69" spans="1:6">
      <c r="B69" s="227" t="s">
        <v>373</v>
      </c>
      <c r="C69" s="92">
        <f>Normalized_FCF!C126</f>
        <v>0.11810050686108982</v>
      </c>
      <c r="F69" s="314"/>
    </row>
    <row r="70" spans="1:6">
      <c r="B70" s="227" t="s">
        <v>436</v>
      </c>
      <c r="C70" s="92">
        <f>Normalized_FCF!C94</f>
        <v>4.4664651439119164E-2</v>
      </c>
      <c r="E70" s="47" t="s">
        <v>505</v>
      </c>
      <c r="F70" s="315">
        <f>Normalized_FCF!C92</f>
        <v>0.41293463541208869</v>
      </c>
    </row>
    <row r="72" spans="1:6">
      <c r="B72" s="210" t="s">
        <v>515</v>
      </c>
      <c r="C72" s="323" t="s">
        <v>431</v>
      </c>
      <c r="D72" s="323" t="s">
        <v>506</v>
      </c>
    </row>
    <row r="73" spans="1:6">
      <c r="B73" s="47" t="s">
        <v>430</v>
      </c>
      <c r="C73" s="92">
        <f>Normalized_FCF!C121</f>
        <v>0.20035925214863964</v>
      </c>
      <c r="D73" s="92">
        <f>Normalized_FCF!G121</f>
        <v>0.19114130195562065</v>
      </c>
    </row>
    <row r="74" spans="1:6">
      <c r="B74" s="259" t="str">
        <f>Normalized_FCF!B118</f>
        <v>Pre-tax Profit/Sales</v>
      </c>
      <c r="C74" s="322">
        <f>Normalized_FCF!C118</f>
        <v>9.7688881254799131E-2</v>
      </c>
      <c r="D74" s="322">
        <f>Normalized_FCF!G118</f>
        <v>9.0780008977618121E-2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507</v>
      </c>
      <c r="B78" s="36"/>
      <c r="C78" s="36"/>
      <c r="D78" s="36"/>
      <c r="E78" s="36"/>
      <c r="F78" s="36"/>
    </row>
    <row r="79" spans="1:6">
      <c r="A79" s="209"/>
    </row>
    <row r="80" spans="1:6">
      <c r="A80" s="17"/>
      <c r="B80" s="371" t="s">
        <v>508</v>
      </c>
      <c r="C80" s="371"/>
      <c r="D80" s="371"/>
      <c r="E80" s="371"/>
      <c r="F80" s="371"/>
    </row>
    <row r="81" spans="1:6">
      <c r="B81" s="374" t="s">
        <v>248</v>
      </c>
      <c r="C81" s="374"/>
      <c r="D81" s="374"/>
      <c r="E81" s="374"/>
      <c r="F81" s="374"/>
    </row>
    <row r="83" spans="1:6">
      <c r="B83" s="210" t="s">
        <v>495</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514</v>
      </c>
      <c r="C88" s="121"/>
    </row>
    <row r="89" spans="1:6">
      <c r="B89" s="371" t="s">
        <v>509</v>
      </c>
      <c r="C89" s="371"/>
      <c r="D89" s="371"/>
      <c r="E89" s="371"/>
      <c r="F89" s="371"/>
    </row>
    <row r="90" spans="1:6">
      <c r="B90" s="371" t="s">
        <v>510</v>
      </c>
      <c r="C90" s="371"/>
      <c r="D90" s="371"/>
      <c r="E90" s="371"/>
      <c r="F90" s="371"/>
    </row>
    <row r="92" spans="1:6">
      <c r="B92" s="47" t="s">
        <v>247</v>
      </c>
      <c r="C92" s="236">
        <v>0</v>
      </c>
    </row>
    <row r="93" spans="1:6">
      <c r="B93" s="47" t="s">
        <v>275</v>
      </c>
      <c r="C93" s="223">
        <f>DCF!C6*scaling_factor*Exchange_Rate/Common_Shares</f>
        <v>12.156478839568178</v>
      </c>
      <c r="D93" s="1" t="str">
        <f>Market_currency</f>
        <v>HKD</v>
      </c>
    </row>
    <row r="95" spans="1:6" ht="13.9">
      <c r="A95" s="222" t="s">
        <v>511</v>
      </c>
      <c r="B95" s="36"/>
      <c r="C95" s="36"/>
      <c r="D95" s="36"/>
      <c r="E95" s="36"/>
      <c r="F95" s="36"/>
    </row>
    <row r="96" spans="1:6">
      <c r="A96" s="209"/>
    </row>
    <row r="97" spans="2:6">
      <c r="B97" s="371" t="s">
        <v>512</v>
      </c>
      <c r="C97" s="371"/>
      <c r="D97" s="371"/>
      <c r="E97" s="371"/>
      <c r="F97" s="371"/>
    </row>
    <row r="98" spans="2:6">
      <c r="B98" s="1" t="s">
        <v>249</v>
      </c>
    </row>
    <row r="100" spans="2:6">
      <c r="B100" s="210" t="s">
        <v>495</v>
      </c>
    </row>
    <row r="101" spans="2:6">
      <c r="B101" s="371" t="s">
        <v>513</v>
      </c>
      <c r="C101" s="371"/>
      <c r="D101" s="371"/>
      <c r="E101" s="371"/>
      <c r="F101" s="371"/>
    </row>
    <row r="102" spans="2:6">
      <c r="B102" s="47" t="s">
        <v>251</v>
      </c>
      <c r="C102" s="349">
        <f>DCF!C7</f>
        <v>24279</v>
      </c>
      <c r="D102" s="1" t="str">
        <f>Reporting_currency</f>
        <v>CNY</v>
      </c>
    </row>
    <row r="103" spans="2:6">
      <c r="B103" s="47" t="s">
        <v>276</v>
      </c>
      <c r="C103" s="223">
        <f>C102*scaling_factor*Exchange_Rate/Common_Shares</f>
        <v>3.0615554154632685</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516</v>
      </c>
    </row>
    <row r="108" spans="2:6">
      <c r="B108" s="47" t="s">
        <v>260</v>
      </c>
      <c r="C108" s="349">
        <f>BS!C66</f>
        <v>45092</v>
      </c>
      <c r="D108" s="1" t="str">
        <f>Reporting_currency</f>
        <v>CNY</v>
      </c>
    </row>
    <row r="109" spans="2:6">
      <c r="B109" s="47" t="s">
        <v>262</v>
      </c>
      <c r="C109" s="349">
        <f>DCF!C8</f>
        <v>17131.309372975855</v>
      </c>
      <c r="D109" s="1" t="str">
        <f>Reporting_currency</f>
        <v>CNY</v>
      </c>
    </row>
    <row r="110" spans="2:6">
      <c r="B110" s="47" t="s">
        <v>277</v>
      </c>
      <c r="C110" s="223">
        <f>C109*scaling_factor*Exchange_Rate/Common_Shares</f>
        <v>2.1602394243918974</v>
      </c>
      <c r="D110" s="1" t="str">
        <f>Market_currency</f>
        <v>HKD</v>
      </c>
    </row>
    <row r="112" spans="2:6">
      <c r="B112" s="1" t="s">
        <v>517</v>
      </c>
    </row>
    <row r="113" spans="1:6">
      <c r="B113" s="47" t="s">
        <v>253</v>
      </c>
      <c r="C113" s="349">
        <f>DCF!C9</f>
        <v>158.4</v>
      </c>
      <c r="D113" s="1" t="str">
        <f>Reporting_currency</f>
        <v>CNY</v>
      </c>
    </row>
    <row r="114" spans="1:6">
      <c r="B114" s="47" t="s">
        <v>278</v>
      </c>
      <c r="C114" s="223">
        <f>C113*scaling_factor*Exchange_Rate/Common_Shares</f>
        <v>1.9974067210732804E-2</v>
      </c>
      <c r="D114" s="1" t="str">
        <f>Market_currency</f>
        <v>HKD</v>
      </c>
    </row>
    <row r="116" spans="1:6">
      <c r="B116" s="371" t="s">
        <v>518</v>
      </c>
      <c r="C116" s="371"/>
      <c r="D116" s="371"/>
      <c r="E116" s="371"/>
      <c r="F116" s="371"/>
    </row>
    <row r="118" spans="1:6">
      <c r="B118" s="47" t="s">
        <v>519</v>
      </c>
      <c r="C118" s="223">
        <f>IF(valuation_method="DCF",DCF!C12,DDM!C7)</f>
        <v>11.275136915707538</v>
      </c>
      <c r="D118" s="1" t="str">
        <f>Market_currency</f>
        <v>HKD</v>
      </c>
    </row>
    <row r="119" spans="1:6">
      <c r="B119" s="296" t="s">
        <v>552</v>
      </c>
      <c r="C119" s="223">
        <f>BS!D47</f>
        <v>-3.1886252862224569</v>
      </c>
      <c r="D119" s="1" t="str">
        <f>Market_currency</f>
        <v>HKD</v>
      </c>
    </row>
    <row r="121" spans="1:6" ht="13.9">
      <c r="A121" s="222" t="s">
        <v>520</v>
      </c>
      <c r="B121" s="36"/>
      <c r="C121" s="36"/>
      <c r="D121" s="36"/>
      <c r="E121" s="36"/>
      <c r="F121" s="36"/>
    </row>
    <row r="123" spans="1:6">
      <c r="B123" s="367" t="s">
        <v>521</v>
      </c>
      <c r="C123" s="367"/>
      <c r="D123" s="367"/>
      <c r="E123" s="367"/>
      <c r="F123" s="367"/>
    </row>
    <row r="125" spans="1:6" ht="12.4">
      <c r="B125" s="233" t="s">
        <v>522</v>
      </c>
      <c r="C125" s="233" t="s">
        <v>523</v>
      </c>
      <c r="D125" s="233" t="s">
        <v>108</v>
      </c>
      <c r="E125" s="233" t="s">
        <v>524</v>
      </c>
      <c r="F125" s="233" t="s">
        <v>525</v>
      </c>
    </row>
    <row r="126" spans="1:6">
      <c r="B126" s="228" t="str">
        <f>DCF!B74</f>
        <v>Snowball Scenario</v>
      </c>
      <c r="C126" s="229">
        <f>DCF!C74</f>
        <v>0.04</v>
      </c>
      <c r="D126" s="230">
        <f>DCF!D74</f>
        <v>10</v>
      </c>
      <c r="E126" s="231" t="str">
        <f>ROUND(IF(valuation_method="DCF",DCF!E74,DDM!E69),2)&amp;" "&amp;Market_currency</f>
        <v>12.89 HKD</v>
      </c>
      <c r="F126" s="232">
        <f>DCF!F74</f>
        <v>0.05</v>
      </c>
    </row>
    <row r="127" spans="1:6">
      <c r="B127" s="218" t="str">
        <f>DCF!B75</f>
        <v>Optimistic</v>
      </c>
      <c r="C127" s="219">
        <f>DCF!C75</f>
        <v>0.03</v>
      </c>
      <c r="D127" s="220">
        <f>DCF!D75</f>
        <v>20</v>
      </c>
      <c r="E127" s="231" t="str">
        <f>ROUND(IF(valuation_method="DCF",DCF!E75,DDM!E70),2)&amp;" "&amp;Market_currency</f>
        <v>14.06 HKD</v>
      </c>
      <c r="F127" s="221">
        <f>DCF!F75</f>
        <v>0.18</v>
      </c>
    </row>
    <row r="128" spans="1:6">
      <c r="B128" s="218" t="str">
        <f>DCF!B76</f>
        <v>Base</v>
      </c>
      <c r="C128" s="219">
        <f>DCF!C76</f>
        <v>0.02</v>
      </c>
      <c r="D128" s="220">
        <f>DCF!D76</f>
        <v>20</v>
      </c>
      <c r="E128" s="231" t="str">
        <f>ROUND(IF(valuation_method="DCF",DCF!E76,DDM!E71),2)&amp;" "&amp;Market_currency</f>
        <v>13.03 HKD</v>
      </c>
      <c r="F128" s="221">
        <f>DCF!F76</f>
        <v>0.53999999999999992</v>
      </c>
    </row>
    <row r="129" spans="1:6">
      <c r="B129" s="218" t="str">
        <f>DCF!B77</f>
        <v>Pessimistic</v>
      </c>
      <c r="C129" s="219">
        <f>DCF!C77</f>
        <v>0.01</v>
      </c>
      <c r="D129" s="220">
        <f>DCF!D77</f>
        <v>20</v>
      </c>
      <c r="E129" s="231" t="str">
        <f>ROUND(IF(valuation_method="DCF",DCF!E77,DDM!E72),2)&amp;" "&amp;Market_currency</f>
        <v>12.11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12.955428203627237</v>
      </c>
      <c r="D132" s="212" t="str">
        <f>Market_currency</f>
        <v>HKD</v>
      </c>
    </row>
    <row r="134" spans="1:6">
      <c r="B134" s="369" t="s">
        <v>526</v>
      </c>
      <c r="C134" s="369"/>
      <c r="D134" s="369"/>
      <c r="E134" s="369"/>
      <c r="F134" s="369"/>
    </row>
    <row r="136" spans="1:6" ht="13.9">
      <c r="A136" s="222" t="s">
        <v>527</v>
      </c>
      <c r="B136" s="36"/>
      <c r="C136" s="36"/>
      <c r="D136" s="36"/>
      <c r="E136" s="36"/>
      <c r="F136" s="36"/>
    </row>
    <row r="138" spans="1:6">
      <c r="B138" s="370" t="s">
        <v>528</v>
      </c>
      <c r="C138" s="370"/>
      <c r="D138" s="370"/>
      <c r="E138" s="370"/>
      <c r="F138" s="370"/>
    </row>
    <row r="139" spans="1:6" ht="24.6" customHeight="1">
      <c r="B139" s="371" t="s">
        <v>529</v>
      </c>
      <c r="C139" s="371"/>
      <c r="D139" s="371"/>
      <c r="E139" s="371"/>
      <c r="F139" s="371"/>
    </row>
    <row r="140" spans="1:6">
      <c r="B140" s="210" t="s">
        <v>495</v>
      </c>
    </row>
    <row r="141" spans="1:6">
      <c r="B141" s="1" t="s">
        <v>530</v>
      </c>
      <c r="C141" s="225">
        <f>F28</f>
        <v>3</v>
      </c>
    </row>
    <row r="142" spans="1:6">
      <c r="B142" s="1" t="s">
        <v>531</v>
      </c>
      <c r="C142" s="224">
        <f>F29</f>
        <v>0.35</v>
      </c>
    </row>
    <row r="143" spans="1:6">
      <c r="B143" s="212" t="s">
        <v>532</v>
      </c>
      <c r="C143" s="213">
        <f>Scenarios!C77</f>
        <v>0.34481110910999996</v>
      </c>
      <c r="D143" s="212" t="str">
        <f>Market_currency</f>
        <v>HKD</v>
      </c>
    </row>
    <row r="145" spans="2:4">
      <c r="B145" s="210" t="s">
        <v>533</v>
      </c>
      <c r="C145" s="241" t="str">
        <f>C11</f>
        <v>0135.HK</v>
      </c>
      <c r="D145" s="241" t="str">
        <f>IF(D11="","",D11)</f>
        <v/>
      </c>
    </row>
    <row r="146" spans="2:4">
      <c r="B146" s="1" t="s">
        <v>389</v>
      </c>
      <c r="C146" s="297">
        <f>F29</f>
        <v>0.35</v>
      </c>
    </row>
    <row r="147" spans="2:4">
      <c r="B147" s="212" t="str">
        <f>"PV("&amp;C141&amp;" yrs of Dividends)"</f>
        <v>PV(3 yrs of Dividends)</v>
      </c>
      <c r="C147" s="216">
        <f>Scenarios!C81</f>
        <v>0.58475815790742269</v>
      </c>
    </row>
    <row r="148" spans="2:4">
      <c r="B148" s="212" t="str">
        <f>"+ PV(Equity Value realized at year "&amp;C141&amp;")"</f>
        <v>+ PV(Equity Value realized at year 3)</v>
      </c>
      <c r="C148" s="216">
        <f>Scenarios!C82</f>
        <v>5.2656315413817953</v>
      </c>
    </row>
    <row r="149" spans="2:4">
      <c r="B149" s="80" t="s">
        <v>256</v>
      </c>
      <c r="C149" s="215">
        <f>Scenarios!C83</f>
        <v>5.8503896992892184</v>
      </c>
      <c r="D149" s="300" t="str">
        <f>IF($D$11="","",C149*$E$25)</f>
        <v/>
      </c>
    </row>
    <row r="150" spans="2:4">
      <c r="B150" s="259" t="s">
        <v>534</v>
      </c>
      <c r="C150" s="298" t="str">
        <f>Market_currency</f>
        <v>HKD</v>
      </c>
      <c r="D150" s="298" t="str">
        <f>IF($D$11="","",D$13)</f>
        <v/>
      </c>
    </row>
    <row r="151" spans="2:4">
      <c r="B151" s="214" t="s">
        <v>535</v>
      </c>
      <c r="C151" s="92">
        <f>Scenarios!F83</f>
        <v>0.5484217420423636</v>
      </c>
    </row>
    <row r="153" spans="2:4">
      <c r="B153" s="210" t="s">
        <v>393</v>
      </c>
    </row>
    <row r="154" spans="2:4">
      <c r="B154" s="1" t="s">
        <v>392</v>
      </c>
      <c r="C154" s="297">
        <f>Scenarios!C90</f>
        <v>0.25</v>
      </c>
    </row>
    <row r="155" spans="2:4">
      <c r="B155" s="212" t="str">
        <f>"PV("&amp;C141&amp;" yrs of Dividends)"</f>
        <v>PV(3 yrs of Dividends)</v>
      </c>
      <c r="C155" s="216">
        <f>Scenarios!C91</f>
        <v>0.67307128498271995</v>
      </c>
    </row>
    <row r="156" spans="2:4">
      <c r="B156" s="212" t="str">
        <f>"+ PV(Equity Value realized at year "&amp;C141&amp;")"</f>
        <v>+ PV(Equity Value realized at year 3)</v>
      </c>
      <c r="C156" s="216">
        <f>Scenarios!C92</f>
        <v>6.6331792402571459</v>
      </c>
    </row>
    <row r="157" spans="2:4">
      <c r="B157" s="80" t="s">
        <v>256</v>
      </c>
      <c r="C157" s="215">
        <f>Scenarios!C93</f>
        <v>7.3062505252398662</v>
      </c>
      <c r="D157" s="300" t="str">
        <f>IF($D$11="","",C157*$E$25)</f>
        <v/>
      </c>
    </row>
    <row r="158" spans="2:4">
      <c r="B158" s="259" t="s">
        <v>534</v>
      </c>
      <c r="C158" s="298" t="str">
        <f>Market_currency</f>
        <v>HKD</v>
      </c>
      <c r="D158" s="298" t="str">
        <f>IF($D$11="","",D$13)</f>
        <v/>
      </c>
    </row>
    <row r="159" spans="2:4">
      <c r="B159" s="214" t="s">
        <v>535</v>
      </c>
      <c r="C159" s="92">
        <f>Scenarios!F93</f>
        <v>0.43604716027878754</v>
      </c>
    </row>
    <row r="161" spans="2:4">
      <c r="B161" s="210" t="s">
        <v>383</v>
      </c>
    </row>
    <row r="162" spans="2:4">
      <c r="B162" s="1" t="s">
        <v>391</v>
      </c>
      <c r="C162" s="92">
        <f>Scenarios!C96</f>
        <v>7.4999999999999997E-2</v>
      </c>
    </row>
    <row r="163" spans="2:4">
      <c r="B163" s="212" t="str">
        <f>"PV("&amp;C141&amp;" yrs of Dividends)"</f>
        <v>PV(3 yrs of Dividends)</v>
      </c>
      <c r="C163" s="216">
        <f>Scenarios!C97</f>
        <v>0.89669016463435369</v>
      </c>
    </row>
    <row r="164" spans="2:4">
      <c r="B164" s="212" t="str">
        <f>"+ PV(Equity Value realized at year "&amp;C141&amp;")"</f>
        <v>+ PV(Equity Value realized at year 3)</v>
      </c>
      <c r="C164" s="216">
        <f>Scenarios!C98</f>
        <v>10.428608865032555</v>
      </c>
    </row>
    <row r="165" spans="2:4">
      <c r="B165" s="80" t="s">
        <v>384</v>
      </c>
      <c r="C165" s="215">
        <f>Scenarios!C99</f>
        <v>11.325299029666908</v>
      </c>
      <c r="D165" s="300" t="str">
        <f>IF($D$11="","",C165*$E$25)</f>
        <v/>
      </c>
    </row>
    <row r="166" spans="2:4">
      <c r="B166" s="259" t="s">
        <v>534</v>
      </c>
      <c r="C166" s="298" t="str">
        <f>Market_currency</f>
        <v>HKD</v>
      </c>
      <c r="D166" s="298" t="str">
        <f>IF($D$11="","",D$13)</f>
        <v/>
      </c>
    </row>
    <row r="167" spans="2:4">
      <c r="B167" s="214" t="s">
        <v>535</v>
      </c>
      <c r="C167" s="92">
        <f>Scenarios!F99</f>
        <v>0.12582595868995883</v>
      </c>
    </row>
    <row r="169" spans="2:4">
      <c r="B169" s="210" t="s">
        <v>410</v>
      </c>
    </row>
    <row r="170" spans="2:4">
      <c r="B170" s="1" t="s">
        <v>401</v>
      </c>
      <c r="C170" s="92">
        <f>F32</f>
        <v>0.1174</v>
      </c>
    </row>
    <row r="171" spans="2:4">
      <c r="B171" s="212" t="str">
        <f>"PV("&amp;C141&amp;" yrs of Dividends)"</f>
        <v>PV(3 yrs of Dividends)</v>
      </c>
      <c r="C171" s="216">
        <f>Scenarios!C103</f>
        <v>0.83189235969715858</v>
      </c>
    </row>
    <row r="172" spans="2:4">
      <c r="B172" s="212" t="str">
        <f>"+ PV(Equity Value realized at year "&amp;C141&amp;")"</f>
        <v>+ PV(Equity Value realized at year 3)</v>
      </c>
      <c r="C172" s="216">
        <f>Scenarios!C104</f>
        <v>9.2859378109069173</v>
      </c>
    </row>
    <row r="173" spans="2:4">
      <c r="B173" s="80" t="s">
        <v>384</v>
      </c>
      <c r="C173" s="215">
        <f>Scenarios!C105</f>
        <v>10.117830170604076</v>
      </c>
      <c r="D173" s="300" t="str">
        <f>IF($D$11="","",C173*$E$25)</f>
        <v/>
      </c>
    </row>
    <row r="174" spans="2:4">
      <c r="B174" s="259" t="s">
        <v>534</v>
      </c>
      <c r="C174" s="298" t="str">
        <f>Market_currency</f>
        <v>HKD</v>
      </c>
      <c r="D174" s="298" t="str">
        <f>IF($D$11="","",D$13)</f>
        <v/>
      </c>
    </row>
    <row r="175" spans="2:4">
      <c r="B175" s="214" t="s">
        <v>535</v>
      </c>
      <c r="C175" s="92">
        <f>Scenarios!F105</f>
        <v>0.22261918959240934</v>
      </c>
    </row>
    <row r="177" spans="1:6" ht="13.9">
      <c r="A177" s="222" t="s">
        <v>359</v>
      </c>
      <c r="B177" s="36"/>
      <c r="C177" s="36"/>
      <c r="D177" s="36"/>
      <c r="E177" s="36"/>
      <c r="F177" s="36"/>
    </row>
    <row r="179" spans="1:6">
      <c r="B179" s="372" t="s">
        <v>536</v>
      </c>
      <c r="C179" s="371"/>
      <c r="D179" s="371"/>
      <c r="E179" s="371"/>
      <c r="F179" s="371"/>
    </row>
    <row r="181" spans="1:6">
      <c r="B181" s="210" t="s">
        <v>537</v>
      </c>
    </row>
    <row r="182" spans="1:6">
      <c r="B182" s="373" t="s">
        <v>538</v>
      </c>
      <c r="C182" s="373"/>
      <c r="D182" s="373"/>
      <c r="E182" s="373"/>
      <c r="F182" s="373"/>
    </row>
    <row r="183" spans="1:6">
      <c r="B183" s="214" t="s">
        <v>539</v>
      </c>
    </row>
    <row r="184" spans="1:6">
      <c r="B184" s="214" t="s">
        <v>540</v>
      </c>
    </row>
    <row r="185" spans="1:6">
      <c r="B185" s="214" t="s">
        <v>541</v>
      </c>
    </row>
    <row r="187" spans="1:6">
      <c r="B187" s="1" t="s">
        <v>542</v>
      </c>
    </row>
    <row r="188" spans="1:6" ht="24.6" customHeight="1">
      <c r="B188" s="367" t="s">
        <v>543</v>
      </c>
      <c r="C188" s="367"/>
      <c r="D188" s="367"/>
      <c r="E188" s="367"/>
      <c r="F188" s="367"/>
    </row>
    <row r="190" spans="1:6">
      <c r="B190" s="1" t="s">
        <v>544</v>
      </c>
    </row>
    <row r="191" spans="1:6">
      <c r="B191" s="368" t="s">
        <v>545</v>
      </c>
      <c r="C191" s="368"/>
      <c r="D191" s="368"/>
      <c r="E191" s="368"/>
      <c r="F191" s="368"/>
    </row>
    <row r="192" spans="1:6">
      <c r="B192" s="368" t="s">
        <v>546</v>
      </c>
      <c r="C192" s="368"/>
      <c r="D192" s="368"/>
      <c r="E192" s="368"/>
      <c r="F192" s="368"/>
    </row>
    <row r="194" spans="2:2">
      <c r="B194" s="1" t="s">
        <v>547</v>
      </c>
    </row>
    <row r="195" spans="2:2">
      <c r="B195" s="214" t="s">
        <v>548</v>
      </c>
    </row>
    <row r="196" spans="2:2">
      <c r="B196" s="214" t="s">
        <v>549</v>
      </c>
    </row>
    <row r="197" spans="2:2">
      <c r="B197" s="214" t="s">
        <v>550</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428</v>
      </c>
      <c r="E1" s="292" t="s">
        <v>345</v>
      </c>
      <c r="F1" s="254" t="s">
        <v>559</v>
      </c>
    </row>
    <row r="2" spans="1:10" ht="13.9">
      <c r="A2" s="222" t="s">
        <v>263</v>
      </c>
      <c r="B2" s="36"/>
      <c r="C2" s="36"/>
      <c r="D2" s="36"/>
      <c r="E2" s="36"/>
      <c r="F2" s="36"/>
      <c r="G2" s="22"/>
      <c r="H2" s="22"/>
      <c r="I2" s="22"/>
      <c r="J2" s="22"/>
    </row>
    <row r="4" spans="1:10">
      <c r="B4" s="45" t="s">
        <v>396</v>
      </c>
      <c r="C4" s="46"/>
      <c r="D4" s="5"/>
      <c r="E4" s="2"/>
      <c r="F4" s="2"/>
    </row>
    <row r="5" spans="1:10" ht="12.4">
      <c r="B5" s="4" t="s">
        <v>460</v>
      </c>
      <c r="C5" s="294" t="s">
        <v>554</v>
      </c>
    </row>
    <row r="6" spans="1:10">
      <c r="B6" s="4" t="s">
        <v>461</v>
      </c>
      <c r="C6" s="51">
        <v>8658801708</v>
      </c>
      <c r="E6" s="48"/>
    </row>
    <row r="7" spans="1:10">
      <c r="B7" s="2" t="s">
        <v>462</v>
      </c>
      <c r="C7" s="250">
        <v>6</v>
      </c>
      <c r="D7" s="48"/>
      <c r="E7" s="48"/>
    </row>
    <row r="8" spans="1:10">
      <c r="B8" s="1" t="s">
        <v>463</v>
      </c>
      <c r="C8" s="33">
        <f>EOMONTH(EDATE(BS!C1,C7+2),0)</f>
        <v>45900</v>
      </c>
      <c r="E8" s="48"/>
    </row>
    <row r="9" spans="1:10">
      <c r="E9" s="34"/>
    </row>
    <row r="10" spans="1:10">
      <c r="B10" s="45" t="s">
        <v>398</v>
      </c>
      <c r="C10" s="46"/>
      <c r="E10" s="34"/>
    </row>
    <row r="11" spans="1:10">
      <c r="B11" s="1" t="s">
        <v>464</v>
      </c>
      <c r="C11" s="49" t="s">
        <v>553</v>
      </c>
      <c r="D11" s="49"/>
      <c r="E11" s="34"/>
    </row>
    <row r="12" spans="1:10">
      <c r="B12" s="4" t="s">
        <v>465</v>
      </c>
      <c r="C12" s="50">
        <v>7.72</v>
      </c>
      <c r="D12" s="50"/>
      <c r="E12" s="48"/>
    </row>
    <row r="13" spans="1:10">
      <c r="B13" s="1" t="s">
        <v>466</v>
      </c>
      <c r="C13" s="48" t="s">
        <v>379</v>
      </c>
      <c r="D13" s="48"/>
      <c r="E13" s="5"/>
    </row>
    <row r="14" spans="1:10">
      <c r="B14" s="4" t="s">
        <v>467</v>
      </c>
      <c r="C14" s="35">
        <f>Thesis!C12*Common_Shares/1000000</f>
        <v>66845.949185759993</v>
      </c>
      <c r="D14" s="35" t="str">
        <f>IF(D11="","",Thesis!D12*Common_Shares/1000000)</f>
        <v/>
      </c>
      <c r="E14" s="5"/>
    </row>
    <row r="15" spans="1:10">
      <c r="B15" s="4" t="s">
        <v>468</v>
      </c>
      <c r="C15" s="32" t="str">
        <f>IF(C25=C13,C13,C25&amp;"/"&amp;C13)</f>
        <v>CNY/HKD</v>
      </c>
      <c r="D15" s="32" t="str">
        <f>IF(D11="","",IF(C25=D13,D13,C25&amp;"/"&amp;D13))</f>
        <v/>
      </c>
      <c r="E15" s="5"/>
    </row>
    <row r="16" spans="1:10">
      <c r="B16" s="4" t="s">
        <v>469</v>
      </c>
      <c r="C16" s="50">
        <v>1.09186545</v>
      </c>
      <c r="D16" s="50"/>
      <c r="E16" s="5"/>
    </row>
    <row r="17" spans="2:6">
      <c r="D17" s="5"/>
      <c r="E17" s="5"/>
    </row>
    <row r="18" spans="2:6" ht="24.6" customHeight="1">
      <c r="B18" s="371" t="s">
        <v>470</v>
      </c>
      <c r="C18" s="371"/>
      <c r="D18" s="371"/>
      <c r="E18" s="371"/>
      <c r="F18" s="371"/>
    </row>
    <row r="20" spans="2:6">
      <c r="B20" s="45" t="s">
        <v>301</v>
      </c>
      <c r="C20" s="46"/>
      <c r="D20" s="5"/>
    </row>
    <row r="21" spans="2:6">
      <c r="B21" s="2" t="s">
        <v>340</v>
      </c>
      <c r="C21" s="32" t="str">
        <f>IF(Scenarios!C69="Y",Scenarios!B69,"")&amp;IF(Scenarios!C70="Y",Scenarios!B70,"")&amp;IF(Scenarios!C71="Y",Scenarios!B71,"")&amp;" "&amp;IF(Scenarios!C72="Y",Scenarios!B72,"")</f>
        <v xml:space="preserve">Low Growth </v>
      </c>
      <c r="D21" s="1" t="s">
        <v>417</v>
      </c>
      <c r="E21" s="308" t="s">
        <v>557</v>
      </c>
    </row>
    <row r="22" spans="2:6">
      <c r="B22" s="2" t="s">
        <v>54</v>
      </c>
      <c r="C22" s="48" t="s">
        <v>555</v>
      </c>
      <c r="D22" s="1" t="str">
        <f>IF(valuation_method="DDM","Terminal Value Discount Rate","")</f>
        <v/>
      </c>
      <c r="E22" s="313"/>
    </row>
    <row r="23" spans="2:6">
      <c r="B23" s="1" t="s">
        <v>412</v>
      </c>
      <c r="C23" s="262" t="s">
        <v>312</v>
      </c>
    </row>
    <row r="24" spans="2:6">
      <c r="B24" s="1" t="s">
        <v>413</v>
      </c>
      <c r="C24" s="262" t="s">
        <v>312</v>
      </c>
    </row>
    <row r="25" spans="2:6">
      <c r="B25" s="4" t="s">
        <v>339</v>
      </c>
      <c r="C25" s="48" t="s">
        <v>556</v>
      </c>
      <c r="D25" s="32" t="str">
        <f>IF(D11="","",Market_currency&amp;"/"&amp;D13&amp;":")</f>
        <v/>
      </c>
      <c r="E25" s="299" t="str">
        <f>IF(D11="","",1/Exchange_Rate*D16)</f>
        <v/>
      </c>
    </row>
    <row r="26" spans="2:6">
      <c r="B26" s="1" t="str">
        <f>"Expected Equity Value ("&amp;C13&amp;") :"</f>
        <v>Expected Equity Value (HKD) :</v>
      </c>
      <c r="C26" s="304">
        <f>C132</f>
        <v>12.955428203627237</v>
      </c>
      <c r="D26" s="1" t="s">
        <v>382</v>
      </c>
      <c r="E26" s="301">
        <f ca="1">Scenarios!C87</f>
        <v>0.2264478139311954</v>
      </c>
    </row>
    <row r="27" spans="2:6">
      <c r="D27" s="5"/>
      <c r="E27" s="5"/>
    </row>
    <row r="28" spans="2:6">
      <c r="B28" s="45" t="s">
        <v>411</v>
      </c>
      <c r="C28" s="309" t="str">
        <f>C145&amp;" ("&amp;Market_currency&amp;")"</f>
        <v>0135.HK (HKD)</v>
      </c>
      <c r="D28" s="309" t="str">
        <f>IF(D11="","",D145&amp;" ("&amp;D13&amp;")")</f>
        <v/>
      </c>
      <c r="E28" s="305" t="s">
        <v>407</v>
      </c>
      <c r="F28" s="303">
        <v>3</v>
      </c>
    </row>
    <row r="29" spans="2:6">
      <c r="B29" s="1" t="s">
        <v>403</v>
      </c>
      <c r="C29" s="310">
        <f>C149</f>
        <v>5.8503896992892184</v>
      </c>
      <c r="D29" s="310" t="str">
        <f>D149</f>
        <v/>
      </c>
      <c r="E29" s="306" t="s">
        <v>402</v>
      </c>
      <c r="F29" s="302">
        <v>0.35</v>
      </c>
    </row>
    <row r="30" spans="2:6">
      <c r="B30" s="1" t="s">
        <v>404</v>
      </c>
      <c r="C30" s="311">
        <f>C157</f>
        <v>7.3062505252398662</v>
      </c>
      <c r="D30" s="311" t="str">
        <f>D157</f>
        <v/>
      </c>
      <c r="E30" s="307" t="s">
        <v>415</v>
      </c>
      <c r="F30" s="312">
        <v>0.25</v>
      </c>
    </row>
    <row r="31" spans="2:6">
      <c r="B31" s="1" t="s">
        <v>405</v>
      </c>
      <c r="C31" s="311">
        <f>C165</f>
        <v>11.325299029666908</v>
      </c>
      <c r="D31" s="311" t="str">
        <f>D165</f>
        <v/>
      </c>
      <c r="E31" s="307" t="s">
        <v>414</v>
      </c>
      <c r="F31" s="312">
        <v>7.4999999999999997E-2</v>
      </c>
    </row>
    <row r="32" spans="2:6">
      <c r="B32" s="1" t="s">
        <v>406</v>
      </c>
      <c r="C32" s="311">
        <f>C173</f>
        <v>10.117830170604076</v>
      </c>
      <c r="D32" s="311" t="str">
        <f>D173</f>
        <v/>
      </c>
      <c r="E32" s="307" t="s">
        <v>416</v>
      </c>
      <c r="F32" s="312">
        <v>0.1174</v>
      </c>
    </row>
    <row r="33" spans="1:6">
      <c r="D33" s="5"/>
      <c r="E33" s="5"/>
    </row>
    <row r="34" spans="1:6" ht="13.9">
      <c r="A34" s="222" t="s">
        <v>347</v>
      </c>
      <c r="B34" s="36"/>
      <c r="C34" s="36"/>
      <c r="D34" s="36"/>
      <c r="E34" s="36"/>
      <c r="F34" s="36"/>
    </row>
    <row r="36" spans="1:6">
      <c r="B36" s="371" t="s">
        <v>471</v>
      </c>
      <c r="C36" s="371"/>
      <c r="D36" s="371"/>
      <c r="E36" s="371"/>
      <c r="F36" s="371"/>
    </row>
    <row r="37" spans="1:6" ht="24.6" customHeight="1">
      <c r="B37" s="374" t="s">
        <v>331</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900.8</v>
      </c>
      <c r="D48" s="1" t="str">
        <f>Reporting_currency</f>
        <v>CNY</v>
      </c>
    </row>
    <row r="50" spans="2:6">
      <c r="B50" s="367" t="s">
        <v>236</v>
      </c>
      <c r="C50" s="367"/>
      <c r="D50" s="367"/>
      <c r="E50" s="367"/>
      <c r="F50" s="367"/>
    </row>
    <row r="51" spans="2:6">
      <c r="B51" s="47" t="s">
        <v>332</v>
      </c>
      <c r="C51" s="350">
        <f>Normalized_FCF!C48</f>
        <v>279.60690627024144</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-523.39309372975856</v>
      </c>
      <c r="D53" s="1" t="str">
        <f>Reporting_currency</f>
        <v>CNY</v>
      </c>
    </row>
    <row r="55" spans="2:6">
      <c r="B55" s="1" t="s">
        <v>242</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-4449.7285411561006</v>
      </c>
      <c r="D59" s="1" t="str">
        <f>Reporting_currency</f>
        <v>CNY</v>
      </c>
    </row>
    <row r="61" spans="2:6">
      <c r="B61" s="367" t="s">
        <v>330</v>
      </c>
      <c r="C61" s="373"/>
      <c r="D61" s="373"/>
      <c r="E61" s="373"/>
      <c r="F61" s="373"/>
    </row>
    <row r="62" spans="2:6">
      <c r="B62" s="47" t="s">
        <v>238</v>
      </c>
      <c r="C62" s="349">
        <f>Normalized_FCF!C17</f>
        <v>0</v>
      </c>
      <c r="D62" s="1" t="str">
        <f>Reporting_currency</f>
        <v>CNY</v>
      </c>
    </row>
    <row r="64" spans="2:6" ht="24.6" customHeight="1">
      <c r="B64" s="371" t="s">
        <v>335</v>
      </c>
      <c r="C64" s="371"/>
      <c r="D64" s="371"/>
      <c r="E64" s="371"/>
      <c r="F64" s="371"/>
    </row>
    <row r="65" spans="1:6" ht="24.6" customHeight="1">
      <c r="B65" s="371" t="s">
        <v>350</v>
      </c>
      <c r="C65" s="371"/>
      <c r="D65" s="371"/>
      <c r="E65" s="371"/>
      <c r="F65" s="371"/>
    </row>
    <row r="67" spans="1:6">
      <c r="B67" s="47" t="s">
        <v>265</v>
      </c>
      <c r="C67" s="349">
        <f>Normalized_FCF!G19</f>
        <v>10305.03755922756</v>
      </c>
      <c r="D67" s="1" t="str">
        <f>Reporting_currency</f>
        <v>CNY</v>
      </c>
    </row>
    <row r="68" spans="1:6">
      <c r="B68" s="47" t="s">
        <v>244</v>
      </c>
      <c r="C68" s="349">
        <f>Normalized_FCF!C19</f>
        <v>7230.3235535558979</v>
      </c>
      <c r="D68" s="1" t="str">
        <f>Reporting_currency</f>
        <v>CNY</v>
      </c>
    </row>
    <row r="69" spans="1:6">
      <c r="B69" s="227" t="s">
        <v>373</v>
      </c>
      <c r="C69" s="92">
        <f>Normalized_FCF!C126</f>
        <v>0.11810050686108982</v>
      </c>
      <c r="F69" s="314"/>
    </row>
    <row r="70" spans="1:6">
      <c r="B70" s="227" t="s">
        <v>436</v>
      </c>
      <c r="C70" s="92">
        <f>Normalized_FCF!C94</f>
        <v>4.4664651439119164E-2</v>
      </c>
      <c r="E70" s="47" t="s">
        <v>426</v>
      </c>
      <c r="F70" s="315">
        <f>Normalized_FCF!C92</f>
        <v>0.41293463541208869</v>
      </c>
    </row>
    <row r="72" spans="1:6">
      <c r="B72" s="210" t="s">
        <v>429</v>
      </c>
      <c r="C72" s="323" t="s">
        <v>431</v>
      </c>
      <c r="D72" s="323" t="s">
        <v>432</v>
      </c>
    </row>
    <row r="73" spans="1:6">
      <c r="B73" s="47" t="s">
        <v>430</v>
      </c>
      <c r="C73" s="92">
        <f>Normalized_FCF!C121</f>
        <v>0.20035925214863964</v>
      </c>
      <c r="D73" s="92">
        <f>Normalized_FCF!G121</f>
        <v>0.19114130195562065</v>
      </c>
    </row>
    <row r="74" spans="1:6">
      <c r="B74" s="259" t="str">
        <f>Normalized_FCF!B118</f>
        <v>Pre-tax Profit/Sales</v>
      </c>
      <c r="C74" s="322">
        <f>Normalized_FCF!C118</f>
        <v>9.7688881254799131E-2</v>
      </c>
      <c r="D74" s="322">
        <f>Normalized_FCF!G118</f>
        <v>9.0780008977618121E-2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472</v>
      </c>
      <c r="B78" s="36"/>
      <c r="C78" s="36"/>
      <c r="D78" s="36"/>
      <c r="E78" s="36"/>
      <c r="F78" s="36"/>
    </row>
    <row r="79" spans="1:6">
      <c r="A79" s="209"/>
    </row>
    <row r="80" spans="1:6">
      <c r="A80" s="17"/>
      <c r="B80" s="371" t="s">
        <v>473</v>
      </c>
      <c r="C80" s="371"/>
      <c r="D80" s="371"/>
      <c r="E80" s="371"/>
      <c r="F80" s="371"/>
    </row>
    <row r="81" spans="1:6">
      <c r="B81" s="374" t="s">
        <v>248</v>
      </c>
      <c r="C81" s="374"/>
      <c r="D81" s="374"/>
      <c r="E81" s="374"/>
      <c r="F81" s="374"/>
    </row>
    <row r="83" spans="1:6">
      <c r="B83" s="210" t="s">
        <v>226</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348</v>
      </c>
      <c r="C88" s="121"/>
    </row>
    <row r="89" spans="1:6" ht="24.6" customHeight="1">
      <c r="B89" s="371" t="s">
        <v>351</v>
      </c>
      <c r="C89" s="371"/>
      <c r="D89" s="371"/>
      <c r="E89" s="371"/>
      <c r="F89" s="371"/>
    </row>
    <row r="90" spans="1:6" ht="24.6" customHeight="1">
      <c r="B90" s="371" t="s">
        <v>352</v>
      </c>
      <c r="C90" s="371"/>
      <c r="D90" s="371"/>
      <c r="E90" s="371"/>
      <c r="F90" s="371"/>
    </row>
    <row r="92" spans="1:6">
      <c r="B92" s="47" t="s">
        <v>247</v>
      </c>
      <c r="C92" s="236">
        <v>0</v>
      </c>
    </row>
    <row r="93" spans="1:6">
      <c r="B93" s="47" t="s">
        <v>275</v>
      </c>
      <c r="C93" s="223">
        <f>DCF!C6*scaling_factor*Exchange_Rate/Common_Shares</f>
        <v>12.156478839568178</v>
      </c>
      <c r="D93" s="1" t="str">
        <f>Market_currency</f>
        <v>HKD</v>
      </c>
    </row>
    <row r="95" spans="1:6" ht="13.9">
      <c r="A95" s="222" t="s">
        <v>349</v>
      </c>
      <c r="B95" s="36"/>
      <c r="C95" s="36"/>
      <c r="D95" s="36"/>
      <c r="E95" s="36"/>
      <c r="F95" s="36"/>
    </row>
    <row r="96" spans="1:6">
      <c r="A96" s="209"/>
    </row>
    <row r="97" spans="2:6">
      <c r="B97" s="371" t="s">
        <v>353</v>
      </c>
      <c r="C97" s="371"/>
      <c r="D97" s="371"/>
      <c r="E97" s="371"/>
      <c r="F97" s="371"/>
    </row>
    <row r="98" spans="2:6">
      <c r="B98" s="1" t="s">
        <v>249</v>
      </c>
    </row>
    <row r="100" spans="2:6">
      <c r="B100" s="210" t="s">
        <v>226</v>
      </c>
    </row>
    <row r="101" spans="2:6" ht="24.6" customHeight="1">
      <c r="B101" s="371" t="s">
        <v>336</v>
      </c>
      <c r="C101" s="371"/>
      <c r="D101" s="371"/>
      <c r="E101" s="371"/>
      <c r="F101" s="371"/>
    </row>
    <row r="102" spans="2:6">
      <c r="B102" s="47" t="s">
        <v>251</v>
      </c>
      <c r="C102" s="349">
        <f>DCF!C7</f>
        <v>24279</v>
      </c>
      <c r="D102" s="1" t="str">
        <f>Reporting_currency</f>
        <v>CNY</v>
      </c>
    </row>
    <row r="103" spans="2:6">
      <c r="B103" s="47" t="s">
        <v>276</v>
      </c>
      <c r="C103" s="223">
        <f>C102*scaling_factor*Exchange_Rate/Common_Shares</f>
        <v>3.0615554154632685</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17131.309372975855</v>
      </c>
      <c r="D109" s="1" t="str">
        <f>Reporting_currency</f>
        <v>CNY</v>
      </c>
    </row>
    <row r="110" spans="2:6">
      <c r="B110" s="47" t="s">
        <v>277</v>
      </c>
      <c r="C110" s="223">
        <f>C109*scaling_factor*Exchange_Rate/Common_Shares</f>
        <v>2.1602394243918974</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1.9974067210732804E-2</v>
      </c>
      <c r="D114" s="1" t="str">
        <f>Market_currency</f>
        <v>HKD</v>
      </c>
    </row>
    <row r="116" spans="1:6" ht="24.6" customHeight="1">
      <c r="B116" s="371" t="s">
        <v>354</v>
      </c>
      <c r="C116" s="371"/>
      <c r="D116" s="371"/>
      <c r="E116" s="371"/>
      <c r="F116" s="371"/>
    </row>
    <row r="118" spans="1:6">
      <c r="B118" s="47" t="s">
        <v>427</v>
      </c>
      <c r="C118" s="223">
        <f>IF(valuation_method="DCF",DCF!C12,DDM!C7)</f>
        <v>11.275136915707538</v>
      </c>
      <c r="D118" s="1" t="str">
        <f>Market_currency</f>
        <v>HKD</v>
      </c>
    </row>
    <row r="119" spans="1:6">
      <c r="B119" s="296" t="s">
        <v>551</v>
      </c>
      <c r="C119" s="223">
        <f>BS!D47</f>
        <v>-3.1886252862224569</v>
      </c>
      <c r="D119" s="1" t="str">
        <f>Market_currency</f>
        <v>HKD</v>
      </c>
    </row>
    <row r="121" spans="1:6" ht="13.9">
      <c r="A121" s="222" t="s">
        <v>474</v>
      </c>
      <c r="B121" s="36"/>
      <c r="C121" s="36"/>
      <c r="D121" s="36"/>
      <c r="E121" s="36"/>
      <c r="F121" s="36"/>
    </row>
    <row r="123" spans="1:6">
      <c r="B123" s="367" t="s">
        <v>475</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12.89 HKD</v>
      </c>
      <c r="F126" s="232">
        <f>DCF!F74</f>
        <v>0.05</v>
      </c>
    </row>
    <row r="127" spans="1:6">
      <c r="B127" s="218" t="str">
        <f>DCF!B75</f>
        <v>Optimistic</v>
      </c>
      <c r="C127" s="219">
        <f>DCF!C75</f>
        <v>0.03</v>
      </c>
      <c r="D127" s="220">
        <f>DCF!D75</f>
        <v>20</v>
      </c>
      <c r="E127" s="231" t="str">
        <f>ROUND(IF(valuation_method="DCF",DCF!E75,DDM!E70),2)&amp;" "&amp;Market_currency</f>
        <v>14.06 HKD</v>
      </c>
      <c r="F127" s="221">
        <f>DCF!F75</f>
        <v>0.18</v>
      </c>
    </row>
    <row r="128" spans="1:6">
      <c r="B128" s="218" t="str">
        <f>DCF!B76</f>
        <v>Base</v>
      </c>
      <c r="C128" s="219">
        <f>DCF!C76</f>
        <v>0.02</v>
      </c>
      <c r="D128" s="220">
        <f>DCF!D76</f>
        <v>20</v>
      </c>
      <c r="E128" s="231" t="str">
        <f>ROUND(IF(valuation_method="DCF",DCF!E76,DDM!E71),2)&amp;" "&amp;Market_currency</f>
        <v>13.03 HKD</v>
      </c>
      <c r="F128" s="221">
        <f>DCF!F76</f>
        <v>0.53999999999999992</v>
      </c>
    </row>
    <row r="129" spans="1:6">
      <c r="B129" s="218" t="str">
        <f>DCF!B77</f>
        <v>Pessimistic</v>
      </c>
      <c r="C129" s="219">
        <f>DCF!C77</f>
        <v>0.01</v>
      </c>
      <c r="D129" s="220">
        <f>DCF!D77</f>
        <v>20</v>
      </c>
      <c r="E129" s="231" t="str">
        <f>ROUND(IF(valuation_method="DCF",DCF!E77,DDM!E72),2)&amp;" "&amp;Market_currency</f>
        <v>12.11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12.955428203627237</v>
      </c>
      <c r="D132" s="212" t="str">
        <f>Market_currency</f>
        <v>HKD</v>
      </c>
    </row>
    <row r="134" spans="1:6" ht="24.6" customHeight="1">
      <c r="B134" s="369" t="s">
        <v>476</v>
      </c>
      <c r="C134" s="369"/>
      <c r="D134" s="369"/>
      <c r="E134" s="369"/>
      <c r="F134" s="369"/>
    </row>
    <row r="136" spans="1:6" ht="13.9">
      <c r="A136" s="222" t="s">
        <v>477</v>
      </c>
      <c r="B136" s="36"/>
      <c r="C136" s="36"/>
      <c r="D136" s="36"/>
      <c r="E136" s="36"/>
      <c r="F136" s="36"/>
    </row>
    <row r="138" spans="1:6">
      <c r="B138" s="370" t="s">
        <v>355</v>
      </c>
      <c r="C138" s="370"/>
      <c r="D138" s="370"/>
      <c r="E138" s="370"/>
      <c r="F138" s="370"/>
    </row>
    <row r="139" spans="1:6">
      <c r="B139" s="371" t="s">
        <v>478</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0.34481110910999996</v>
      </c>
      <c r="D143" s="212" t="str">
        <f>Market_currency</f>
        <v>HKD</v>
      </c>
    </row>
    <row r="145" spans="2:4">
      <c r="B145" s="210" t="s">
        <v>390</v>
      </c>
      <c r="C145" s="241" t="str">
        <f>C11</f>
        <v>0135.HK</v>
      </c>
      <c r="D145" s="241" t="str">
        <f>IF(D11="","",D11)</f>
        <v/>
      </c>
    </row>
    <row r="146" spans="2:4">
      <c r="B146" s="1" t="s">
        <v>389</v>
      </c>
      <c r="C146" s="297">
        <f>F29</f>
        <v>0.35</v>
      </c>
    </row>
    <row r="147" spans="2:4">
      <c r="B147" s="212" t="str">
        <f>"PV("&amp;C141&amp;" yrs of Dividends)"</f>
        <v>PV(3 yrs of Dividends)</v>
      </c>
      <c r="C147" s="216">
        <f>Scenarios!C81</f>
        <v>0.58475815790742269</v>
      </c>
    </row>
    <row r="148" spans="2:4">
      <c r="B148" s="212" t="str">
        <f>"+ PV(Equity Value realized at year "&amp;C141&amp;")"</f>
        <v>+ PV(Equity Value realized at year 3)</v>
      </c>
      <c r="C148" s="216">
        <f>Scenarios!C82</f>
        <v>5.2656315413817953</v>
      </c>
    </row>
    <row r="149" spans="2:4">
      <c r="B149" s="80" t="s">
        <v>256</v>
      </c>
      <c r="C149" s="215">
        <f>Scenarios!C83</f>
        <v>5.8503896992892184</v>
      </c>
      <c r="D149" s="300" t="str">
        <f>IF($D$11="","",C149*$E$25)</f>
        <v/>
      </c>
    </row>
    <row r="150" spans="2:4">
      <c r="B150" s="259" t="s">
        <v>397</v>
      </c>
      <c r="C150" s="298" t="str">
        <f>Market_currency</f>
        <v>HKD</v>
      </c>
      <c r="D150" s="298" t="str">
        <f>IF($D$11="","",D$13)</f>
        <v/>
      </c>
    </row>
    <row r="151" spans="2:4">
      <c r="B151" s="214" t="s">
        <v>258</v>
      </c>
      <c r="C151" s="92">
        <f>Scenarios!F83</f>
        <v>0.5484217420423636</v>
      </c>
    </row>
    <row r="153" spans="2:4">
      <c r="B153" s="210" t="s">
        <v>393</v>
      </c>
    </row>
    <row r="154" spans="2:4">
      <c r="B154" s="1" t="s">
        <v>392</v>
      </c>
      <c r="C154" s="297">
        <f>Scenarios!C90</f>
        <v>0.25</v>
      </c>
    </row>
    <row r="155" spans="2:4">
      <c r="B155" s="212" t="str">
        <f>"PV("&amp;C141&amp;" yrs of Dividends)"</f>
        <v>PV(3 yrs of Dividends)</v>
      </c>
      <c r="C155" s="216">
        <f>Scenarios!C91</f>
        <v>0.67307128498271995</v>
      </c>
    </row>
    <row r="156" spans="2:4">
      <c r="B156" s="212" t="str">
        <f>"+ PV(Equity Value realized at year "&amp;C141&amp;")"</f>
        <v>+ PV(Equity Value realized at year 3)</v>
      </c>
      <c r="C156" s="216">
        <f>Scenarios!C92</f>
        <v>6.6331792402571459</v>
      </c>
    </row>
    <row r="157" spans="2:4">
      <c r="B157" s="80" t="s">
        <v>256</v>
      </c>
      <c r="C157" s="215">
        <f>Scenarios!C93</f>
        <v>7.3062505252398662</v>
      </c>
      <c r="D157" s="300" t="str">
        <f>IF($D$11="","",C157*$E$25)</f>
        <v/>
      </c>
    </row>
    <row r="158" spans="2:4">
      <c r="B158" s="259" t="s">
        <v>397</v>
      </c>
      <c r="C158" s="298" t="str">
        <f>Market_currency</f>
        <v>HKD</v>
      </c>
      <c r="D158" s="298" t="str">
        <f>IF($D$11="","",D$13)</f>
        <v/>
      </c>
    </row>
    <row r="159" spans="2:4">
      <c r="B159" s="214" t="s">
        <v>258</v>
      </c>
      <c r="C159" s="92">
        <f>Scenarios!F93</f>
        <v>0.43604716027878754</v>
      </c>
    </row>
    <row r="161" spans="2:4">
      <c r="B161" s="210" t="s">
        <v>383</v>
      </c>
    </row>
    <row r="162" spans="2:4">
      <c r="B162" s="1" t="s">
        <v>391</v>
      </c>
      <c r="C162" s="92">
        <f>Scenarios!C96</f>
        <v>7.4999999999999997E-2</v>
      </c>
    </row>
    <row r="163" spans="2:4">
      <c r="B163" s="212" t="str">
        <f>"PV("&amp;C141&amp;" yrs of Dividends)"</f>
        <v>PV(3 yrs of Dividends)</v>
      </c>
      <c r="C163" s="216">
        <f>Scenarios!C97</f>
        <v>0.89669016463435369</v>
      </c>
    </row>
    <row r="164" spans="2:4">
      <c r="B164" s="212" t="str">
        <f>"+ PV(Equity Value realized at year "&amp;C141&amp;")"</f>
        <v>+ PV(Equity Value realized at year 3)</v>
      </c>
      <c r="C164" s="216">
        <f>Scenarios!C98</f>
        <v>10.428608865032555</v>
      </c>
    </row>
    <row r="165" spans="2:4">
      <c r="B165" s="80" t="s">
        <v>384</v>
      </c>
      <c r="C165" s="215">
        <f>Scenarios!C99</f>
        <v>11.325299029666908</v>
      </c>
      <c r="D165" s="300" t="str">
        <f>IF($D$11="","",C165*$E$25)</f>
        <v/>
      </c>
    </row>
    <row r="166" spans="2:4">
      <c r="B166" s="259" t="s">
        <v>397</v>
      </c>
      <c r="C166" s="298" t="str">
        <f>Market_currency</f>
        <v>HKD</v>
      </c>
      <c r="D166" s="298" t="str">
        <f>IF($D$11="","",D$13)</f>
        <v/>
      </c>
    </row>
    <row r="167" spans="2:4">
      <c r="B167" s="214" t="s">
        <v>258</v>
      </c>
      <c r="C167" s="92">
        <f>Scenarios!F99</f>
        <v>0.12582595868995883</v>
      </c>
    </row>
    <row r="169" spans="2:4">
      <c r="B169" s="210" t="s">
        <v>410</v>
      </c>
    </row>
    <row r="170" spans="2:4">
      <c r="B170" s="1" t="s">
        <v>401</v>
      </c>
      <c r="C170" s="92">
        <f>F32</f>
        <v>0.1174</v>
      </c>
    </row>
    <row r="171" spans="2:4">
      <c r="B171" s="212" t="str">
        <f>"PV("&amp;C141&amp;" yrs of Dividends)"</f>
        <v>PV(3 yrs of Dividends)</v>
      </c>
      <c r="C171" s="216">
        <f>Scenarios!C103</f>
        <v>0.83189235969715858</v>
      </c>
    </row>
    <row r="172" spans="2:4">
      <c r="B172" s="212" t="str">
        <f>"+ PV(Equity Value realized at year "&amp;C141&amp;")"</f>
        <v>+ PV(Equity Value realized at year 3)</v>
      </c>
      <c r="C172" s="216">
        <f>Scenarios!C104</f>
        <v>9.2859378109069173</v>
      </c>
    </row>
    <row r="173" spans="2:4">
      <c r="B173" s="80" t="s">
        <v>384</v>
      </c>
      <c r="C173" s="215">
        <f>Scenarios!C105</f>
        <v>10.117830170604076</v>
      </c>
      <c r="D173" s="300" t="str">
        <f>IF($D$11="","",C173*$E$25)</f>
        <v/>
      </c>
    </row>
    <row r="174" spans="2:4">
      <c r="B174" s="259" t="s">
        <v>397</v>
      </c>
      <c r="C174" s="298" t="str">
        <f>Market_currency</f>
        <v>HKD</v>
      </c>
      <c r="D174" s="298" t="str">
        <f>IF($D$11="","",D$13)</f>
        <v/>
      </c>
    </row>
    <row r="175" spans="2:4">
      <c r="B175" s="214" t="s">
        <v>258</v>
      </c>
      <c r="C175" s="92">
        <f>Scenarios!F105</f>
        <v>0.22261918959240934</v>
      </c>
    </row>
    <row r="177" spans="1:6" ht="13.9">
      <c r="A177" s="222" t="s">
        <v>359</v>
      </c>
      <c r="B177" s="36"/>
      <c r="C177" s="36"/>
      <c r="D177" s="36"/>
      <c r="E177" s="36"/>
      <c r="F177" s="36"/>
    </row>
    <row r="179" spans="1:6">
      <c r="B179" s="372" t="s">
        <v>479</v>
      </c>
      <c r="C179" s="371"/>
      <c r="D179" s="371"/>
      <c r="E179" s="371"/>
      <c r="F179" s="371"/>
    </row>
    <row r="181" spans="1:6">
      <c r="B181" s="210" t="s">
        <v>360</v>
      </c>
    </row>
    <row r="182" spans="1:6">
      <c r="B182" s="373" t="s">
        <v>364</v>
      </c>
      <c r="C182" s="373"/>
      <c r="D182" s="373"/>
      <c r="E182" s="373"/>
      <c r="F182" s="373"/>
    </row>
    <row r="183" spans="1:6">
      <c r="B183" s="214" t="s">
        <v>361</v>
      </c>
    </row>
    <row r="184" spans="1:6">
      <c r="B184" s="214" t="s">
        <v>362</v>
      </c>
    </row>
    <row r="185" spans="1:6">
      <c r="B185" s="214" t="s">
        <v>363</v>
      </c>
    </row>
    <row r="187" spans="1:6">
      <c r="B187" s="1" t="s">
        <v>367</v>
      </c>
    </row>
    <row r="188" spans="1:6" ht="34.35" customHeight="1">
      <c r="B188" s="367" t="s">
        <v>480</v>
      </c>
      <c r="C188" s="367"/>
      <c r="D188" s="367"/>
      <c r="E188" s="367"/>
      <c r="F188" s="367"/>
    </row>
    <row r="190" spans="1:6">
      <c r="B190" s="1" t="s">
        <v>368</v>
      </c>
    </row>
    <row r="191" spans="1:6" ht="24.6" customHeight="1">
      <c r="B191" s="368" t="s">
        <v>365</v>
      </c>
      <c r="C191" s="368"/>
      <c r="D191" s="368"/>
      <c r="E191" s="368"/>
      <c r="F191" s="368"/>
    </row>
    <row r="192" spans="1:6" ht="24.6" customHeight="1">
      <c r="B192" s="368" t="s">
        <v>366</v>
      </c>
      <c r="C192" s="368"/>
      <c r="D192" s="368"/>
      <c r="E192" s="368"/>
      <c r="F192" s="368"/>
    </row>
    <row r="194" spans="2:2">
      <c r="B194" s="1" t="s">
        <v>372</v>
      </c>
    </row>
    <row r="195" spans="2:2">
      <c r="B195" s="214" t="s">
        <v>369</v>
      </c>
    </row>
    <row r="196" spans="2:2">
      <c r="B196" s="214" t="s">
        <v>370</v>
      </c>
    </row>
    <row r="197" spans="2:2">
      <c r="B197" s="214" t="s">
        <v>371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22" sqref="D2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356</v>
      </c>
      <c r="C22" s="351">
        <v>12514</v>
      </c>
      <c r="D22" s="351">
        <v>14408</v>
      </c>
      <c r="E22" s="351">
        <v>14870</v>
      </c>
      <c r="F22" s="351">
        <v>12000</v>
      </c>
      <c r="G22" s="351">
        <v>16738</v>
      </c>
      <c r="H22" s="351">
        <v>16085</v>
      </c>
      <c r="I22" s="351">
        <v>17018</v>
      </c>
      <c r="J22" s="351">
        <v>13287</v>
      </c>
      <c r="K22" s="351">
        <v>15749</v>
      </c>
      <c r="L22" s="351">
        <v>13370</v>
      </c>
      <c r="M22" s="351"/>
    </row>
    <row r="23" spans="2:13">
      <c r="B23" s="27" t="s">
        <v>358</v>
      </c>
      <c r="C23" s="351">
        <v>-3491</v>
      </c>
      <c r="D23" s="351">
        <v>-1061</v>
      </c>
      <c r="E23" s="351">
        <v>-18452</v>
      </c>
      <c r="F23" s="351">
        <v>25602</v>
      </c>
      <c r="G23" s="351">
        <v>-8833</v>
      </c>
      <c r="H23" s="351">
        <v>-10277</v>
      </c>
      <c r="I23" s="351">
        <v>-7000</v>
      </c>
      <c r="J23" s="351">
        <v>-13493</v>
      </c>
      <c r="K23" s="351">
        <v>-23127</v>
      </c>
      <c r="L23" s="351">
        <v>-4719</v>
      </c>
      <c r="M23" s="351"/>
    </row>
    <row r="24" spans="2:13">
      <c r="B24" s="27" t="s">
        <v>357</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0.34481110910999996</v>
      </c>
      <c r="D25" s="39">
        <f>(0.2838)*Exchange_Rate</f>
        <v>0.30987141471000001</v>
      </c>
      <c r="E25" s="39">
        <f>0.2539*Exchange_Rate</f>
        <v>0.277224637755</v>
      </c>
      <c r="F25" s="39">
        <f>0.2078*Exchange_Rate</f>
        <v>0.22688964051000002</v>
      </c>
      <c r="G25" s="39"/>
      <c r="H25" s="39"/>
      <c r="I25" s="39"/>
      <c r="J25" s="39"/>
      <c r="K25" s="39"/>
      <c r="L25" s="39"/>
      <c r="M25" s="39"/>
    </row>
    <row r="27" spans="2:13">
      <c r="B27" s="16" t="s">
        <v>26</v>
      </c>
      <c r="C27" s="97" t="s">
        <v>215</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376</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0.34481110910999996</v>
      </c>
      <c r="D65" s="73">
        <f t="shared" ref="D65:M65" si="33">IF(D$4="","",D25)</f>
        <v>0.30987141471000001</v>
      </c>
      <c r="E65" s="73">
        <f t="shared" si="33"/>
        <v>0.277224637755</v>
      </c>
      <c r="F65" s="73">
        <f t="shared" si="33"/>
        <v>0.22688964051000002</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70" zoomScaleNormal="100" workbookViewId="0">
      <selection activeCell="F83" sqref="F83"/>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433</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387</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8.2152178327779772</v>
      </c>
      <c r="D47" s="147">
        <f>D46*H1/Common_Shares*Exchange_Rate</f>
        <v>-3.1886252862224569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17131.309372975855</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-14497.387585041586</v>
      </c>
      <c r="D73" s="349">
        <f>(Normalized_FCF!C25+Normalized_FCF!C35-Normalized_FCF!C91)/12</f>
        <v>-13980.345313512073</v>
      </c>
      <c r="F73" s="1" t="s">
        <v>343</v>
      </c>
    </row>
    <row r="74" spans="2:6" ht="15" customHeight="1">
      <c r="B74" s="257" t="s">
        <v>313</v>
      </c>
      <c r="C74" s="258">
        <f>-$C$66/C73</f>
        <v>3.1103534851014092</v>
      </c>
      <c r="D74" s="258">
        <f>-$C$66/D73</f>
        <v>3.2253852811788817</v>
      </c>
      <c r="F74" s="253" t="s">
        <v>310</v>
      </c>
    </row>
    <row r="75" spans="2:6" ht="15" customHeight="1">
      <c r="B75" s="80" t="s">
        <v>311</v>
      </c>
      <c r="C75" s="320"/>
      <c r="D75" s="321">
        <f>MAX(-D73*D76,G5)</f>
        <v>27960.690627024145</v>
      </c>
      <c r="F75" s="253" t="s">
        <v>344</v>
      </c>
    </row>
    <row r="76" spans="2:6" ht="15" customHeight="1">
      <c r="B76" s="259" t="s">
        <v>314</v>
      </c>
      <c r="C76" s="260"/>
      <c r="D76" s="290">
        <f>IF(valuation_method="DCF",IF(D74&lt;=3,1,IF(D74&gt;18,6,2)),-C66/D73)</f>
        <v>2</v>
      </c>
      <c r="F76" s="253" t="s">
        <v>315</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-26509.401260549999</v>
      </c>
      <c r="D86" s="223">
        <f>C86*scaling_factor/Common_Shares</f>
        <v>-3.0615554154632685</v>
      </c>
      <c r="E86" s="240" t="str">
        <f>Market_currency</f>
        <v>HKD</v>
      </c>
    </row>
    <row r="87" spans="2:8" ht="15" customHeight="1">
      <c r="B87" s="238" t="s">
        <v>282</v>
      </c>
      <c r="C87" s="76">
        <f>DCF!C8*Exchange_Rate</f>
        <v>18705.0848176135</v>
      </c>
      <c r="D87" s="223">
        <f>C87*scaling_factor/Common_Shares</f>
        <v>2.1602394243918974</v>
      </c>
      <c r="E87" s="240" t="str">
        <f>Market_currency</f>
        <v>HKD</v>
      </c>
    </row>
    <row r="88" spans="2:8" ht="15" customHeight="1">
      <c r="B88" s="239" t="s">
        <v>185</v>
      </c>
      <c r="C88" s="76">
        <f>DCF!C9*Exchange_Rate</f>
        <v>172.95148728000001</v>
      </c>
      <c r="D88" s="223">
        <f>C88*scaling_factor/Common_Shares</f>
        <v>1.9974067210732804E-2</v>
      </c>
      <c r="E88" s="240" t="str">
        <f>Market_currency</f>
        <v>HKD</v>
      </c>
    </row>
    <row r="89" spans="2:8" ht="15" customHeight="1">
      <c r="B89" s="80" t="s">
        <v>286</v>
      </c>
      <c r="C89" s="180">
        <f>SUM(C86:C88)</f>
        <v>-7631.3649556564988</v>
      </c>
      <c r="D89" s="242">
        <f>SUM(D86:D88)</f>
        <v>-0.88134192386063825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92" activePane="bottomRight" state="frozen"/>
      <selection activeCell="C17" sqref="C17"/>
      <selection pane="topRight" activeCell="C17" sqref="C17"/>
      <selection pane="bottomLeft" activeCell="C17" sqref="C17"/>
      <selection pane="bottomRight" activeCell="E97" sqref="E9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-523.39309372975856</v>
      </c>
      <c r="E12" s="268"/>
      <c r="G12" s="328">
        <f>G50</f>
        <v>-208.96244077244023</v>
      </c>
      <c r="H12" s="328">
        <f t="shared" ref="H12:Q12" si="6">H50</f>
        <v>-420.52956521087992</v>
      </c>
      <c r="I12" s="328">
        <f t="shared" si="6"/>
        <v>-366.35045576568484</v>
      </c>
      <c r="J12" s="328">
        <f t="shared" si="6"/>
        <v>-454.97717240983388</v>
      </c>
      <c r="K12" s="328">
        <f t="shared" si="6"/>
        <v>-503.37328335585096</v>
      </c>
      <c r="L12" s="328">
        <f t="shared" si="6"/>
        <v>-818.09781708940352</v>
      </c>
      <c r="M12" s="328">
        <f t="shared" si="6"/>
        <v>-947.07611693932131</v>
      </c>
      <c r="N12" s="328">
        <f t="shared" si="6"/>
        <v>-1014.1629175396502</v>
      </c>
      <c r="O12" s="328">
        <f t="shared" si="6"/>
        <v>-468.59174512482423</v>
      </c>
      <c r="P12" s="328">
        <f t="shared" si="6"/>
        <v>-437.48178410626201</v>
      </c>
      <c r="Q12" s="328" t="str">
        <f t="shared" si="6"/>
        <v/>
      </c>
    </row>
    <row r="13" spans="1:17" ht="15.75" customHeight="1">
      <c r="A13" s="10"/>
      <c r="B13" s="70" t="s">
        <v>160</v>
      </c>
      <c r="C13" s="329">
        <f>SUM(C8:C12)</f>
        <v>17798.914164624402</v>
      </c>
      <c r="E13" s="268"/>
      <c r="G13" s="329">
        <f>IF(G$4="","",SUM(G8:G12))</f>
        <v>16980.03755922756</v>
      </c>
      <c r="H13" s="329">
        <f t="shared" ref="H13:Q13" si="7">IF(H$4="","",SUM(H8:H12))</f>
        <v>17261.47043478912</v>
      </c>
      <c r="I13" s="329">
        <f t="shared" si="7"/>
        <v>16973.649544234315</v>
      </c>
      <c r="J13" s="329">
        <f t="shared" si="7"/>
        <v>14670.022827590166</v>
      </c>
      <c r="K13" s="329">
        <f t="shared" si="7"/>
        <v>11589.626716644148</v>
      </c>
      <c r="L13" s="329">
        <f t="shared" si="7"/>
        <v>20402.902182910595</v>
      </c>
      <c r="M13" s="329">
        <f t="shared" si="7"/>
        <v>19208.923883060677</v>
      </c>
      <c r="N13" s="329">
        <f t="shared" si="7"/>
        <v>16944.837082460348</v>
      </c>
      <c r="O13" s="329">
        <f t="shared" si="7"/>
        <v>17752.408254875176</v>
      </c>
      <c r="P13" s="329">
        <f t="shared" si="7"/>
        <v>11857.518215893739</v>
      </c>
      <c r="Q13" s="329" t="str">
        <f t="shared" si="7"/>
        <v/>
      </c>
    </row>
    <row r="14" spans="1:17" ht="15.75" customHeight="1">
      <c r="A14" s="10"/>
      <c r="B14" s="2" t="s">
        <v>61</v>
      </c>
      <c r="C14" s="328">
        <f>-SUM(C8+C11,C12)*C43</f>
        <v>-4449.7285411561006</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7230.3235535558979</v>
      </c>
      <c r="D16" s="61"/>
      <c r="E16" s="276"/>
      <c r="F16" s="61"/>
      <c r="G16" s="329">
        <f>IF(G$4="","",SUM(G13:G15))</f>
        <v>10305.03755922756</v>
      </c>
      <c r="H16" s="329">
        <f t="shared" ref="H16:Q16" si="8">IF(H$4="","",SUM(H13:H15))</f>
        <v>10350.47043478912</v>
      </c>
      <c r="I16" s="329">
        <f t="shared" si="8"/>
        <v>10809.649544234315</v>
      </c>
      <c r="J16" s="329">
        <f t="shared" si="8"/>
        <v>8651.0228275901663</v>
      </c>
      <c r="K16" s="329">
        <f t="shared" si="8"/>
        <v>5607.6267166441485</v>
      </c>
      <c r="L16" s="329">
        <f t="shared" si="8"/>
        <v>12308.902182910595</v>
      </c>
      <c r="M16" s="329">
        <f t="shared" si="8"/>
        <v>11857.923883060677</v>
      </c>
      <c r="N16" s="329">
        <f t="shared" si="8"/>
        <v>10224.837082460348</v>
      </c>
      <c r="O16" s="329">
        <f t="shared" si="8"/>
        <v>11296.408254875176</v>
      </c>
      <c r="P16" s="329">
        <f t="shared" si="8"/>
        <v>7067.5182158937387</v>
      </c>
      <c r="Q16" s="329" t="str">
        <f t="shared" si="8"/>
        <v/>
      </c>
    </row>
    <row r="17" spans="1:17" ht="15.75" customHeight="1">
      <c r="A17" s="10"/>
      <c r="B17" s="27" t="s">
        <v>50</v>
      </c>
      <c r="C17" s="328">
        <f>-C4*C85</f>
        <v>0</v>
      </c>
      <c r="D17" s="58"/>
      <c r="E17" s="267" t="s">
        <v>323</v>
      </c>
      <c r="F17" s="58"/>
      <c r="G17" s="335"/>
      <c r="H17" s="335"/>
      <c r="I17" s="335"/>
      <c r="J17" s="335"/>
      <c r="K17" s="335"/>
      <c r="L17" s="335"/>
      <c r="M17" s="335"/>
      <c r="N17" s="335"/>
      <c r="O17" s="335"/>
      <c r="P17" s="335"/>
      <c r="Q17" s="335"/>
    </row>
    <row r="18" spans="1:17" ht="15.75" customHeight="1">
      <c r="A18" s="10"/>
      <c r="B18" s="27" t="s">
        <v>95</v>
      </c>
      <c r="C18" s="328">
        <v>0</v>
      </c>
      <c r="D18" s="58"/>
      <c r="E18" s="267" t="s">
        <v>324</v>
      </c>
      <c r="F18" s="58"/>
      <c r="G18" s="336"/>
      <c r="H18" s="336"/>
      <c r="I18" s="336"/>
      <c r="J18" s="336"/>
      <c r="K18" s="336"/>
      <c r="L18" s="336"/>
      <c r="M18" s="336"/>
      <c r="N18" s="336"/>
      <c r="O18" s="336"/>
      <c r="P18" s="336"/>
      <c r="Q18" s="336"/>
    </row>
    <row r="19" spans="1:17" ht="15.75" customHeight="1">
      <c r="A19" s="10"/>
      <c r="B19" s="31" t="s">
        <v>64</v>
      </c>
      <c r="C19" s="329">
        <f>C16+C17</f>
        <v>7230.3235535558979</v>
      </c>
      <c r="D19" s="27"/>
      <c r="E19" s="265"/>
      <c r="F19" s="27"/>
      <c r="G19" s="334">
        <f>IF(G$4="","",G16+G17)</f>
        <v>10305.03755922756</v>
      </c>
      <c r="H19" s="334">
        <f t="shared" ref="H19:Q19" si="9">IF(H$4="","",H16+H17)</f>
        <v>10350.47043478912</v>
      </c>
      <c r="I19" s="334">
        <f t="shared" si="9"/>
        <v>10809.649544234315</v>
      </c>
      <c r="J19" s="334">
        <f t="shared" si="9"/>
        <v>8651.0228275901663</v>
      </c>
      <c r="K19" s="334">
        <f t="shared" si="9"/>
        <v>5607.6267166441485</v>
      </c>
      <c r="L19" s="334">
        <f t="shared" si="9"/>
        <v>12308.902182910595</v>
      </c>
      <c r="M19" s="334">
        <f t="shared" si="9"/>
        <v>11857.923883060677</v>
      </c>
      <c r="N19" s="334">
        <f t="shared" si="9"/>
        <v>10224.837082460348</v>
      </c>
      <c r="O19" s="334">
        <f t="shared" si="9"/>
        <v>11296.408254875176</v>
      </c>
      <c r="P19" s="334">
        <f t="shared" si="9"/>
        <v>7067.5182158937387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325</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325</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325</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326</v>
      </c>
      <c r="F43" s="27"/>
      <c r="G43" s="6">
        <f t="shared" ref="G43:Q43" si="18">IF(G$4="","",-G14/SUM(G8+G11,G12))</f>
        <v>0.1842163180787626</v>
      </c>
      <c r="H43" s="6">
        <f t="shared" si="18"/>
        <v>0.19337865870757606</v>
      </c>
      <c r="I43" s="6">
        <f t="shared" si="18"/>
        <v>0.18787945348401833</v>
      </c>
      <c r="J43" s="6">
        <f t="shared" si="18"/>
        <v>0.18391246092172567</v>
      </c>
      <c r="K43" s="6">
        <f t="shared" si="18"/>
        <v>0.19957502140066719</v>
      </c>
      <c r="L43" s="6">
        <f t="shared" si="18"/>
        <v>0.19967747546289613</v>
      </c>
      <c r="M43" s="6">
        <f t="shared" si="18"/>
        <v>0.1963670647540191</v>
      </c>
      <c r="N43" s="6">
        <f t="shared" si="18"/>
        <v>0.20838205660029324</v>
      </c>
      <c r="O43" s="6">
        <f t="shared" si="18"/>
        <v>0.20847875662073226</v>
      </c>
      <c r="P43" s="6">
        <f t="shared" si="18"/>
        <v>0.21986050980765895</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337</v>
      </c>
      <c r="C48" s="328">
        <f>BS!D75*C53</f>
        <v>279.60690627024144</v>
      </c>
      <c r="E48" s="268"/>
      <c r="G48" s="337">
        <f>IFERROR(IF(G$4="","",($C$48/$C$49)*G49),0)</f>
        <v>594.03755922755977</v>
      </c>
      <c r="H48" s="337">
        <f t="shared" ref="H48:Q48" si="19">IFERROR(IF(H$4="","",($C$48/$C$49)*H49),0)</f>
        <v>539.47043478912008</v>
      </c>
      <c r="I48" s="337">
        <f t="shared" si="19"/>
        <v>532.64954423431516</v>
      </c>
      <c r="J48" s="337">
        <f t="shared" si="19"/>
        <v>328.02282759016612</v>
      </c>
      <c r="K48" s="337">
        <f t="shared" si="19"/>
        <v>204.62671664414901</v>
      </c>
      <c r="L48" s="337">
        <f t="shared" si="19"/>
        <v>169.90218291059645</v>
      </c>
      <c r="M48" s="337">
        <f t="shared" si="19"/>
        <v>182.92388306067866</v>
      </c>
      <c r="N48" s="337">
        <f t="shared" si="19"/>
        <v>130.83708246034982</v>
      </c>
      <c r="O48" s="337">
        <f t="shared" si="19"/>
        <v>216.40825487517577</v>
      </c>
      <c r="P48" s="337">
        <f t="shared" si="19"/>
        <v>139.51821589373796</v>
      </c>
      <c r="Q48" s="337" t="str">
        <f t="shared" si="19"/>
        <v/>
      </c>
    </row>
    <row r="49" spans="1:17" ht="15.75" customHeight="1">
      <c r="A49" s="10"/>
      <c r="B49" s="287" t="s">
        <v>334</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-523.39309372975856</v>
      </c>
      <c r="E50" s="268"/>
      <c r="G50" s="329">
        <f>IF(G$4="","",(G47+G48))</f>
        <v>-208.96244077244023</v>
      </c>
      <c r="H50" s="329">
        <f t="shared" ref="H50:Q50" si="20">IF(H$4="","",(H47+H48))</f>
        <v>-420.52956521087992</v>
      </c>
      <c r="I50" s="329">
        <f t="shared" si="20"/>
        <v>-366.35045576568484</v>
      </c>
      <c r="J50" s="329">
        <f t="shared" si="20"/>
        <v>-454.97717240983388</v>
      </c>
      <c r="K50" s="329">
        <f t="shared" si="20"/>
        <v>-503.37328335585096</v>
      </c>
      <c r="L50" s="329">
        <f t="shared" si="20"/>
        <v>-818.09781708940352</v>
      </c>
      <c r="M50" s="329">
        <f t="shared" si="20"/>
        <v>-947.07611693932131</v>
      </c>
      <c r="N50" s="329">
        <f t="shared" si="20"/>
        <v>-1014.1629175396502</v>
      </c>
      <c r="O50" s="329">
        <f t="shared" si="20"/>
        <v>-468.59174512482423</v>
      </c>
      <c r="P50" s="329">
        <f t="shared" si="20"/>
        <v>-437.48178410626201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327</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328</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329</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346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2.8726294935771599E-3</v>
      </c>
      <c r="D80" s="27"/>
      <c r="E80" s="265"/>
      <c r="F80" s="27"/>
      <c r="G80" s="6">
        <f t="shared" ref="G80:Q80" si="31">IF(G$4="","",ABS(G12/G$4))</f>
        <v>1.1171713951244092E-3</v>
      </c>
      <c r="H80" s="6">
        <f t="shared" si="31"/>
        <v>2.3711309878033759E-3</v>
      </c>
      <c r="I80" s="6">
        <f t="shared" si="31"/>
        <v>2.1306382064258411E-3</v>
      </c>
      <c r="J80" s="6">
        <f t="shared" si="31"/>
        <v>3.2839193371912339E-3</v>
      </c>
      <c r="K80" s="6">
        <f t="shared" si="31"/>
        <v>4.6074936005697977E-3</v>
      </c>
      <c r="L80" s="6">
        <f t="shared" si="31"/>
        <v>7.21980546882885E-3</v>
      </c>
      <c r="M80" s="6">
        <f t="shared" si="31"/>
        <v>8.9795782396825761E-3</v>
      </c>
      <c r="N80" s="6">
        <f t="shared" si="31"/>
        <v>1.1432855923383426E-2</v>
      </c>
      <c r="O80" s="6">
        <f t="shared" si="31"/>
        <v>5.7227686808434602E-3</v>
      </c>
      <c r="P80" s="6">
        <f t="shared" si="31"/>
        <v>1.0506034535824356E-2</v>
      </c>
      <c r="Q80" s="6" t="str">
        <f t="shared" si="31"/>
        <v/>
      </c>
    </row>
    <row r="81" spans="1:17" ht="15.75" customHeight="1">
      <c r="A81" s="10"/>
      <c r="B81" s="70" t="s">
        <v>160</v>
      </c>
      <c r="C81" s="78">
        <f>C13/C4</f>
        <v>9.7688881254799131E-2</v>
      </c>
      <c r="D81" s="27"/>
      <c r="E81" s="265"/>
      <c r="F81" s="27"/>
      <c r="G81" s="65">
        <f t="shared" ref="G81:Q81" si="32">IF(G$4="","",G13/G$4)</f>
        <v>9.0780008977618121E-2</v>
      </c>
      <c r="H81" s="65">
        <f t="shared" si="32"/>
        <v>9.7327776282401982E-2</v>
      </c>
      <c r="I81" s="65">
        <f t="shared" si="32"/>
        <v>9.8716149119680324E-2</v>
      </c>
      <c r="J81" s="65">
        <f t="shared" si="32"/>
        <v>0.10588481040794941</v>
      </c>
      <c r="K81" s="65">
        <f t="shared" si="32"/>
        <v>0.10608256873295575</v>
      </c>
      <c r="L81" s="65">
        <f t="shared" si="32"/>
        <v>0.18005791200401186</v>
      </c>
      <c r="M81" s="65">
        <f t="shared" si="32"/>
        <v>0.18212689753541933</v>
      </c>
      <c r="N81" s="65">
        <f t="shared" si="32"/>
        <v>0.19102244586003594</v>
      </c>
      <c r="O81" s="65">
        <f t="shared" si="32"/>
        <v>0.2168047709493561</v>
      </c>
      <c r="P81" s="65">
        <f t="shared" si="32"/>
        <v>0.28475584678306809</v>
      </c>
      <c r="Q81" s="65" t="str">
        <f t="shared" si="32"/>
        <v/>
      </c>
    </row>
    <row r="82" spans="1:17" ht="15.75" customHeight="1">
      <c r="A82" s="10"/>
      <c r="B82" s="2" t="s">
        <v>61</v>
      </c>
      <c r="C82" s="77">
        <f>ABS(C14/C$4)</f>
        <v>2.4422220313699783E-2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3.968344431150328E-2</v>
      </c>
      <c r="D84" s="27"/>
      <c r="E84" s="265"/>
      <c r="F84" s="27"/>
      <c r="G84" s="65">
        <f t="shared" ref="G84:Q84" si="35">IF(G$4="","",ABS(G16/G$4))</f>
        <v>5.5093600286707865E-2</v>
      </c>
      <c r="H84" s="65">
        <f t="shared" si="35"/>
        <v>5.8360513068716355E-2</v>
      </c>
      <c r="I84" s="65">
        <f t="shared" si="35"/>
        <v>6.2867268088646969E-2</v>
      </c>
      <c r="J84" s="65">
        <f t="shared" si="35"/>
        <v>6.244106929482534E-2</v>
      </c>
      <c r="K84" s="65">
        <f t="shared" si="35"/>
        <v>5.1327921178242288E-2</v>
      </c>
      <c r="L84" s="65">
        <f t="shared" si="35"/>
        <v>0.1086274494798531</v>
      </c>
      <c r="M84" s="65">
        <f t="shared" si="35"/>
        <v>0.11242935321001875</v>
      </c>
      <c r="N84" s="65">
        <f t="shared" si="35"/>
        <v>0.11526657816224774</v>
      </c>
      <c r="O84" s="65">
        <f t="shared" si="35"/>
        <v>0.13795960351328956</v>
      </c>
      <c r="P84" s="65">
        <f t="shared" si="35"/>
        <v>0.16972498777391845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3.968344431150328E-2</v>
      </c>
      <c r="D87" s="75"/>
      <c r="E87" s="265"/>
      <c r="F87" s="75"/>
      <c r="G87" s="65">
        <f t="shared" ref="G87:Q87" si="36">IF(G$4="","",ABS(G19/G$4))</f>
        <v>5.5093600286707865E-2</v>
      </c>
      <c r="H87" s="65">
        <f t="shared" si="36"/>
        <v>5.8360513068716355E-2</v>
      </c>
      <c r="I87" s="65">
        <f t="shared" si="36"/>
        <v>6.2867268088646969E-2</v>
      </c>
      <c r="J87" s="65">
        <f t="shared" si="36"/>
        <v>6.244106929482534E-2</v>
      </c>
      <c r="K87" s="65">
        <f t="shared" si="36"/>
        <v>5.1327921178242288E-2</v>
      </c>
      <c r="L87" s="65">
        <f t="shared" si="36"/>
        <v>0.1086274494798531</v>
      </c>
      <c r="M87" s="65">
        <f t="shared" si="36"/>
        <v>0.11242935321001875</v>
      </c>
      <c r="N87" s="65">
        <f t="shared" si="36"/>
        <v>0.11526657816224774</v>
      </c>
      <c r="O87" s="65">
        <f t="shared" si="36"/>
        <v>0.13795960351328956</v>
      </c>
      <c r="P87" s="65">
        <f t="shared" si="36"/>
        <v>0.16972498777391845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0.34481110910999996</v>
      </c>
      <c r="E90" s="268"/>
      <c r="G90" s="112">
        <f>Data!C65</f>
        <v>0.34481110910999996</v>
      </c>
      <c r="H90" s="112">
        <f>Data!D65</f>
        <v>0.30987141471000001</v>
      </c>
      <c r="I90" s="112">
        <f>Data!E65</f>
        <v>0.277224637755</v>
      </c>
      <c r="J90" s="112">
        <f>Data!F65</f>
        <v>0.22688964051000002</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2985.6510204990423</v>
      </c>
      <c r="E91" s="268"/>
      <c r="G91" s="74">
        <f t="shared" ref="G91:Q91" si="37">IF(G$4="","",G90*Common_Shares/scaling_factor)</f>
        <v>2985.6510204990423</v>
      </c>
      <c r="H91" s="74">
        <f t="shared" si="37"/>
        <v>2683.1151349513243</v>
      </c>
      <c r="I91" s="74">
        <f t="shared" si="37"/>
        <v>2400.4331668926752</v>
      </c>
      <c r="J91" s="74">
        <f t="shared" si="37"/>
        <v>1964.5924067754941</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0.41293463541208869</v>
      </c>
      <c r="E92" s="268"/>
      <c r="G92" s="170">
        <f t="shared" ref="G92:Q92" si="38">IF(G$4="","",G90/(G19*scaling_factor/Common_Shares))</f>
        <v>0.28972733028280578</v>
      </c>
      <c r="H92" s="170">
        <f t="shared" si="38"/>
        <v>0.25922639476685683</v>
      </c>
      <c r="I92" s="170">
        <f t="shared" si="38"/>
        <v>0.22206392141297737</v>
      </c>
      <c r="J92" s="170">
        <f t="shared" si="38"/>
        <v>0.22709365654543673</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435</v>
      </c>
      <c r="C93" s="356">
        <v>0</v>
      </c>
      <c r="E93" s="268"/>
      <c r="G93" s="357"/>
      <c r="H93" s="357"/>
      <c r="I93" s="357"/>
      <c r="J93" s="357"/>
      <c r="K93" s="357"/>
      <c r="L93" s="357"/>
      <c r="M93" s="357"/>
      <c r="N93" s="357"/>
      <c r="O93" s="357"/>
      <c r="P93" s="357"/>
      <c r="Q93" s="357"/>
    </row>
    <row r="94" spans="1:17" ht="15.75" customHeight="1">
      <c r="A94" s="10"/>
      <c r="B94" s="2" t="s">
        <v>434</v>
      </c>
      <c r="C94" s="23">
        <f>(C90*(1-dividend_tax_rate))/Market_Price</f>
        <v>4.4664651439119164E-2</v>
      </c>
      <c r="E94" s="268"/>
      <c r="G94" s="23">
        <f t="shared" ref="G94:Q94" si="39">IF(G$4="","",(G90*(1-dividend_tax_rate))/Market_Price)</f>
        <v>4.4664651439119164E-2</v>
      </c>
      <c r="H94" s="23">
        <f t="shared" si="39"/>
        <v>4.0138784288860106E-2</v>
      </c>
      <c r="I94" s="23">
        <f t="shared" si="39"/>
        <v>3.5909927170336788E-2</v>
      </c>
      <c r="J94" s="23">
        <f t="shared" si="39"/>
        <v>2.9389849806994821E-2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4.8225841818108073E-2</v>
      </c>
      <c r="D98" s="27"/>
      <c r="E98" s="265"/>
      <c r="F98" s="27"/>
      <c r="G98" s="6">
        <f t="shared" ref="G98:Q98" si="41">IF(H5="","",G13/H13-1)</f>
        <v>-1.6304107846707883E-2</v>
      </c>
      <c r="H98" s="6">
        <f t="shared" si="41"/>
        <v>1.6956924308159316E-2</v>
      </c>
      <c r="I98" s="6">
        <f t="shared" si="41"/>
        <v>0.15702952501966649</v>
      </c>
      <c r="J98" s="6">
        <f t="shared" si="41"/>
        <v>0.26578907036946964</v>
      </c>
      <c r="K98" s="6">
        <f t="shared" si="41"/>
        <v>-0.43196185460558734</v>
      </c>
      <c r="L98" s="6">
        <f t="shared" si="41"/>
        <v>6.2157479883754529E-2</v>
      </c>
      <c r="M98" s="6">
        <f t="shared" si="41"/>
        <v>0.13361514127178542</v>
      </c>
      <c r="N98" s="6">
        <f t="shared" si="41"/>
        <v>-4.5490795435771503E-2</v>
      </c>
      <c r="O98" s="6">
        <f t="shared" si="41"/>
        <v>0.4971436629192747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374</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375</v>
      </c>
      <c r="C115" s="169"/>
      <c r="E115" s="268"/>
      <c r="G115" s="295">
        <f>IF(G$4="","",Data!C$22/G19)</f>
        <v>1.2143575341745789</v>
      </c>
      <c r="H115" s="295">
        <f>IF(H$4="","",Data!D$22/H19)</f>
        <v>1.3920140239783747</v>
      </c>
      <c r="I115" s="295">
        <f>IF(I$4="","",Data!E$22/I19)</f>
        <v>1.3756227654883972</v>
      </c>
      <c r="J115" s="295">
        <f>IF(J$4="","",Data!F$22/J19)</f>
        <v>1.3871192157451198</v>
      </c>
      <c r="K115" s="295">
        <f>IF(K$4="","",Data!G$22/K19)</f>
        <v>2.9848634450505576</v>
      </c>
      <c r="L115" s="295">
        <f>IF(L$4="","",Data!H$22/L19)</f>
        <v>1.3067777906572411</v>
      </c>
      <c r="M115" s="295">
        <f>IF(M$4="","",Data!I$22/M19)</f>
        <v>1.4351584786533005</v>
      </c>
      <c r="N115" s="295">
        <f>IF(N$4="","",Data!J$22/N19)</f>
        <v>1.2994828076813543</v>
      </c>
      <c r="O115" s="295">
        <f>IF(O$4="","",Data!K$22/O19)</f>
        <v>1.3941599528507855</v>
      </c>
      <c r="P115" s="295">
        <f>IF(P$4="","",Data!L$22/P19)</f>
        <v>1.8917531715635298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9.7688881254799131E-2</v>
      </c>
      <c r="E118" s="268"/>
      <c r="G118" s="23">
        <f t="shared" ref="G118:Q118" si="45">IF(G4="","",IF(valuation_method="DDM",G13/(G4+G12),G81))</f>
        <v>9.0780008977618121E-2</v>
      </c>
      <c r="H118" s="23">
        <f t="shared" si="45"/>
        <v>9.7327776282401982E-2</v>
      </c>
      <c r="I118" s="23">
        <f t="shared" si="45"/>
        <v>9.8716149119680324E-2</v>
      </c>
      <c r="J118" s="23">
        <f t="shared" si="45"/>
        <v>0.10588481040794941</v>
      </c>
      <c r="K118" s="23">
        <f t="shared" si="45"/>
        <v>0.10608256873295575</v>
      </c>
      <c r="L118" s="23">
        <f t="shared" si="45"/>
        <v>0.18005791200401186</v>
      </c>
      <c r="M118" s="23">
        <f t="shared" si="45"/>
        <v>0.18212689753541933</v>
      </c>
      <c r="N118" s="23">
        <f t="shared" si="45"/>
        <v>0.19102244586003594</v>
      </c>
      <c r="O118" s="23">
        <f t="shared" si="45"/>
        <v>0.2168047709493561</v>
      </c>
      <c r="P118" s="23">
        <f t="shared" si="45"/>
        <v>0.28475584678306809</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0.20035925214863964</v>
      </c>
      <c r="D121" s="103"/>
      <c r="E121" s="271"/>
      <c r="F121" s="103"/>
      <c r="G121" s="102">
        <f t="shared" ref="G121:Q121" si="48">IF(G$4="","",G13/G106)</f>
        <v>0.19114130195562065</v>
      </c>
      <c r="H121" s="102">
        <f t="shared" si="48"/>
        <v>0.2012225083616698</v>
      </c>
      <c r="I121" s="102">
        <f t="shared" si="48"/>
        <v>0.21032501727632916</v>
      </c>
      <c r="J121" s="102">
        <f t="shared" si="48"/>
        <v>0.19338029854062252</v>
      </c>
      <c r="K121" s="102">
        <f t="shared" si="48"/>
        <v>0.1371115349727797</v>
      </c>
      <c r="L121" s="102">
        <f t="shared" si="48"/>
        <v>0.25766120076921883</v>
      </c>
      <c r="M121" s="102">
        <f t="shared" si="48"/>
        <v>0.27404519478215933</v>
      </c>
      <c r="N121" s="102">
        <f t="shared" si="48"/>
        <v>0.25820704125653865</v>
      </c>
      <c r="O121" s="102">
        <f t="shared" si="48"/>
        <v>0.26774668197329193</v>
      </c>
      <c r="P121" s="102">
        <f t="shared" si="48"/>
        <v>0.16861268152968742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0.91173591296761336</v>
      </c>
      <c r="D125" s="27"/>
      <c r="E125" s="265"/>
      <c r="F125" s="27"/>
      <c r="G125" s="177">
        <f t="shared" ref="G125:Q125" si="49">IF(G$4="","",G16*$C$3/Common_Shares*Exchange_Rate)</f>
        <v>1.2994539950576844</v>
      </c>
      <c r="H125" s="177">
        <f t="shared" si="49"/>
        <v>1.3051830311059387</v>
      </c>
      <c r="I125" s="177">
        <f t="shared" si="49"/>
        <v>1.3630850159154255</v>
      </c>
      <c r="J125" s="177">
        <f t="shared" si="49"/>
        <v>1.0908845416658441</v>
      </c>
      <c r="K125" s="177">
        <f t="shared" si="49"/>
        <v>0.7071156119378228</v>
      </c>
      <c r="L125" s="177">
        <f t="shared" si="49"/>
        <v>1.5521391382057574</v>
      </c>
      <c r="M125" s="177">
        <f t="shared" si="49"/>
        <v>1.4952712665404526</v>
      </c>
      <c r="N125" s="177">
        <f t="shared" si="49"/>
        <v>1.2893408024233339</v>
      </c>
      <c r="O125" s="177">
        <f t="shared" si="49"/>
        <v>1.4244647583507173</v>
      </c>
      <c r="P125" s="177">
        <f t="shared" si="49"/>
        <v>0.89120633748320666</v>
      </c>
      <c r="Q125" s="177" t="str">
        <f t="shared" si="49"/>
        <v/>
      </c>
    </row>
    <row r="126" spans="1:17" ht="15.75" customHeight="1">
      <c r="A126" s="10"/>
      <c r="B126" s="27" t="s">
        <v>264</v>
      </c>
      <c r="C126" s="77">
        <f>C19*Exchange_Rate*$C$3/(Market_Price*Common_Shares)</f>
        <v>0.11810050686108982</v>
      </c>
      <c r="D126" s="27"/>
      <c r="E126" s="265"/>
      <c r="F126" s="27"/>
      <c r="G126" s="77">
        <f t="shared" ref="G126" si="50">IF(G$4="","",G125/Market_Price)</f>
        <v>0.16832305635462233</v>
      </c>
      <c r="H126" s="77">
        <f t="shared" ref="H126" si="51">IF(H$4="","",H125/Market_Price)</f>
        <v>0.16906515946968118</v>
      </c>
      <c r="I126" s="77">
        <f t="shared" ref="I126" si="52">IF(I$4="","",I125/Market_Price)</f>
        <v>0.17656541656935565</v>
      </c>
      <c r="J126" s="77">
        <f t="shared" ref="J126" si="53">IF(J$4="","",J125/Market_Price)</f>
        <v>0.14130628778054977</v>
      </c>
      <c r="K126" s="77">
        <f t="shared" ref="K126" si="54">IF(K$4="","",K125/Market_Price)</f>
        <v>9.1595286520443367E-2</v>
      </c>
      <c r="L126" s="77">
        <f t="shared" ref="L126" si="55">IF(L$4="","",L125/Market_Price)</f>
        <v>0.20105429251369916</v>
      </c>
      <c r="M126" s="77">
        <f t="shared" ref="M126" si="56">IF(M$4="","",M125/Market_Price)</f>
        <v>0.19368798789384101</v>
      </c>
      <c r="N126" s="77">
        <f t="shared" ref="N126" si="57">IF(N$4="","",N125/Market_Price)</f>
        <v>0.16701305730872201</v>
      </c>
      <c r="O126" s="77">
        <f t="shared" ref="O126" si="58">IF(O$4="","",O125/Market_Price)</f>
        <v>0.18451616040812402</v>
      </c>
      <c r="P126" s="77">
        <f t="shared" ref="P126" si="59">IF(P$4="","",P125/Market_Price)</f>
        <v>0.11544123542528584</v>
      </c>
      <c r="Q126" s="77" t="str">
        <f t="shared" ref="Q126" si="60">IF(Q$4="","",Q125/Market_Price)</f>
        <v/>
      </c>
    </row>
    <row r="127" spans="1:17" ht="15.75" customHeight="1">
      <c r="B127" s="2" t="s">
        <v>377</v>
      </c>
      <c r="C127" s="169"/>
      <c r="G127" s="23">
        <f>IF(G$4="","",(Data!C47*$C$3)/(Market_Price*Common_Shares))</f>
        <v>0.14222252979878772</v>
      </c>
      <c r="H127" s="23">
        <f>IF(H$4="","",(Data!D47*$C$3)/(Market_Price*Common_Shares))</f>
        <v>0.13845266785397919</v>
      </c>
      <c r="I127" s="23">
        <f>IF(I$4="","",(Data!E47*$C$3)/(Market_Price*Common_Shares))</f>
        <v>0.12271499021136589</v>
      </c>
      <c r="J127" s="23">
        <f>IF(J$4="","",(Data!F47*$C$3)/(Market_Price*Common_Shares))</f>
        <v>0.39399545254135604</v>
      </c>
      <c r="K127" s="23">
        <f>IF(K$4="","",(Data!G47*$C$3)/(Market_Price*Common_Shares))</f>
        <v>0.14558847796379532</v>
      </c>
      <c r="L127" s="23">
        <f>IF(L$4="","",(Data!H47*$C$3)/(Market_Price*Common_Shares))</f>
        <v>0.14317995505461209</v>
      </c>
      <c r="M127" s="23">
        <f>IF(M$4="","",(Data!I47*$C$3)/(Market_Price*Common_Shares))</f>
        <v>0.12286458790758846</v>
      </c>
      <c r="N127" s="23">
        <f>IF(N$4="","",(Data!J47*$C$3)/(Market_Price*Common_Shares))</f>
        <v>0.11891520872731287</v>
      </c>
      <c r="O127" s="23">
        <f>IF(O$4="","",(Data!K47*$C$3)/(Market_Price*Common_Shares))</f>
        <v>5.1072653490381953E-2</v>
      </c>
      <c r="P127" s="23">
        <f>IF(P$4="","",(Data!L47*$C$3)/(Market_Price*Common_Shares))</f>
        <v>3.4706665523633898E-2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topLeftCell="A10" zoomScale="75" zoomScaleNormal="85" workbookViewId="0">
      <selection activeCell="D30" sqref="D30"/>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7230.3235535558979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96404.314047411972</v>
      </c>
      <c r="D6" t="str">
        <f>Reporting_currency</f>
        <v>CNY</v>
      </c>
      <c r="E6" s="375" t="s">
        <v>245</v>
      </c>
      <c r="F6" s="375"/>
      <c r="H6" s="120"/>
    </row>
    <row r="7" spans="2:8">
      <c r="B7" s="148" t="s">
        <v>220</v>
      </c>
      <c r="C7" s="338">
        <f>BS!G31</f>
        <v>24279</v>
      </c>
      <c r="D7" t="str">
        <f>Reporting_currency</f>
        <v>CNY</v>
      </c>
      <c r="E7" s="375"/>
      <c r="F7" s="375"/>
      <c r="H7" s="120"/>
    </row>
    <row r="8" spans="2:8">
      <c r="B8" s="148" t="s">
        <v>221</v>
      </c>
      <c r="C8" s="338">
        <f>BS!D66</f>
        <v>17131.309372975855</v>
      </c>
      <c r="D8" t="str">
        <f>Reporting_currency</f>
        <v>CNY</v>
      </c>
      <c r="E8" s="375"/>
      <c r="F8" s="375"/>
      <c r="H8" s="120"/>
    </row>
    <row r="9" spans="2:8">
      <c r="B9" s="205" t="s">
        <v>186</v>
      </c>
      <c r="C9" s="348">
        <f>BS!H42</f>
        <v>158.4</v>
      </c>
      <c r="D9" t="str">
        <f>Reporting_currency</f>
        <v>CNY</v>
      </c>
      <c r="E9" s="375"/>
      <c r="F9" s="375"/>
      <c r="H9" s="120"/>
    </row>
    <row r="10" spans="2:8" ht="13.15">
      <c r="B10" s="149" t="s">
        <v>223</v>
      </c>
      <c r="C10" s="347">
        <f>C6-C7+C8+C9</f>
        <v>89415.023420387821</v>
      </c>
      <c r="D10" t="str">
        <f>Reporting_currency</f>
        <v>CNY</v>
      </c>
      <c r="H10" s="120"/>
    </row>
    <row r="11" spans="2:8" ht="13.15" thickBot="1">
      <c r="B11" s="207" t="s">
        <v>162</v>
      </c>
      <c r="C11" s="208">
        <f>Exchange_Rate</f>
        <v>1.09186545</v>
      </c>
      <c r="D11" t="str">
        <f>Thesis!C15</f>
        <v>CNY/HKD</v>
      </c>
      <c r="H11" s="120"/>
    </row>
    <row r="12" spans="2:8" ht="13.5" thickTop="1">
      <c r="B12" s="149" t="s">
        <v>99</v>
      </c>
      <c r="C12" s="111">
        <f>(C10*scaling_factor)/Common_Shares*Exchange_Rate</f>
        <v>11.275136915707538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1.9834236741680042E-2</v>
      </c>
      <c r="H16" s="120"/>
    </row>
    <row r="17" spans="2:17" ht="13.35" customHeight="1">
      <c r="B17" s="118" t="s">
        <v>130</v>
      </c>
      <c r="C17" s="162">
        <f>Scenarios!C64</f>
        <v>20</v>
      </c>
      <c r="H17" s="120"/>
    </row>
    <row r="18" spans="2:17" ht="13.35" customHeight="1">
      <c r="B18" s="153" t="s">
        <v>103</v>
      </c>
      <c r="C18" s="140">
        <f>(F52-C7+C8+C9)*Exchange_Rate/Common_Shares*scaling_factor</f>
        <v>13.015281616353727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7373.7315026360702</v>
      </c>
      <c r="D21" s="138">
        <f>IF($C$17&lt;B21,0,DCF!$C$16)</f>
        <v>1.9834236741680042E-2</v>
      </c>
      <c r="E21" s="124">
        <f t="shared" ref="E21:E50" si="0">IF($C$17&lt;B21,0,1/(1+Equity_Cost)^B21)</f>
        <v>0.93023255813953487</v>
      </c>
      <c r="F21" s="125">
        <f t="shared" ref="F21:F51" si="1">C21*E21</f>
        <v>6859.2851187312281</v>
      </c>
      <c r="H21" s="120"/>
    </row>
    <row r="22" spans="2:17">
      <c r="B22" s="122">
        <v>2</v>
      </c>
      <c r="C22" s="123">
        <f t="shared" ref="C22:C50" si="2">IF(ROW()-ROW($C$21)&lt;$C$17, $C$21*(1+D22)^(ROW()-ROW($C$21)), 0)</f>
        <v>7519.9838389289371</v>
      </c>
      <c r="D22" s="138">
        <f>IF($C$17&lt;B22,0,DCF!$C$16)</f>
        <v>1.9834236741680042E-2</v>
      </c>
      <c r="E22" s="124">
        <f t="shared" si="0"/>
        <v>0.86533261222282321</v>
      </c>
      <c r="F22" s="125">
        <f t="shared" si="1"/>
        <v>6507.287259213791</v>
      </c>
      <c r="H22" s="120"/>
    </row>
    <row r="23" spans="2:17">
      <c r="B23" s="122">
        <v>3</v>
      </c>
      <c r="C23" s="123">
        <f t="shared" si="2"/>
        <v>7669.1369786838613</v>
      </c>
      <c r="D23" s="138">
        <f>IF($C$17&lt;B23,0,DCF!$C$16)</f>
        <v>1.9834236741680042E-2</v>
      </c>
      <c r="E23" s="124">
        <f t="shared" si="0"/>
        <v>0.80496056950960304</v>
      </c>
      <c r="F23" s="125">
        <f t="shared" si="1"/>
        <v>6173.3528700085171</v>
      </c>
      <c r="G23" s="338"/>
      <c r="H23" s="339"/>
      <c r="I23" s="338"/>
      <c r="J23" s="338"/>
      <c r="K23" s="338"/>
      <c r="L23" s="338"/>
      <c r="M23" s="338"/>
      <c r="N23" s="338"/>
      <c r="O23" s="338"/>
      <c r="P23" s="338"/>
      <c r="Q23" s="338"/>
    </row>
    <row r="24" spans="2:17">
      <c r="B24" s="122">
        <v>4</v>
      </c>
      <c r="C24" s="123">
        <f t="shared" si="2"/>
        <v>7821.248457123449</v>
      </c>
      <c r="D24" s="138">
        <f>IF($C$17&lt;B24,0,DCF!$C$16)</f>
        <v>1.9834236741680042E-2</v>
      </c>
      <c r="E24" s="124">
        <f t="shared" si="0"/>
        <v>0.7488005297763749</v>
      </c>
      <c r="F24" s="125">
        <f t="shared" si="1"/>
        <v>5856.5549882066935</v>
      </c>
      <c r="G24" s="338"/>
      <c r="H24" s="339"/>
      <c r="I24" s="338"/>
      <c r="J24" s="338"/>
      <c r="K24" s="338"/>
      <c r="L24" s="338"/>
      <c r="M24" s="338"/>
      <c r="N24" s="338"/>
      <c r="O24" s="338"/>
      <c r="P24" s="338"/>
      <c r="Q24" s="338"/>
    </row>
    <row r="25" spans="2:17">
      <c r="B25" s="122">
        <v>5</v>
      </c>
      <c r="C25" s="123">
        <f t="shared" si="2"/>
        <v>7976.3769506375347</v>
      </c>
      <c r="D25" s="138">
        <f>IF($C$17&lt;B25,0,DCF!$C$16)</f>
        <v>1.9834236741680042E-2</v>
      </c>
      <c r="E25" s="124">
        <f t="shared" si="0"/>
        <v>0.69655863235011617</v>
      </c>
      <c r="F25" s="125">
        <f t="shared" si="1"/>
        <v>5556.0142198450712</v>
      </c>
      <c r="G25" s="338"/>
      <c r="H25" s="339"/>
      <c r="I25" s="338"/>
      <c r="J25" s="338"/>
      <c r="K25" s="338"/>
      <c r="L25" s="338"/>
      <c r="M25" s="338"/>
      <c r="N25" s="338"/>
      <c r="O25" s="338"/>
      <c r="P25" s="338"/>
      <c r="Q25" s="338"/>
    </row>
    <row r="26" spans="2:17">
      <c r="B26" s="122">
        <v>6</v>
      </c>
      <c r="C26" s="123">
        <f t="shared" si="2"/>
        <v>8134.5822994173595</v>
      </c>
      <c r="D26" s="138">
        <f>IF($C$17&lt;B26,0,DCF!$C$16)</f>
        <v>1.9834236741680042E-2</v>
      </c>
      <c r="E26" s="124">
        <f t="shared" si="0"/>
        <v>0.64796151846522443</v>
      </c>
      <c r="F26" s="125">
        <f t="shared" si="1"/>
        <v>5270.8962988108096</v>
      </c>
      <c r="H26" s="120"/>
    </row>
    <row r="27" spans="2:17">
      <c r="B27" s="122">
        <v>7</v>
      </c>
      <c r="C27" s="123">
        <f t="shared" si="2"/>
        <v>8295.9255305386832</v>
      </c>
      <c r="D27" s="138">
        <f>IF($C$17&lt;B27,0,DCF!$C$16)</f>
        <v>1.9834236741680042E-2</v>
      </c>
      <c r="E27" s="124">
        <f t="shared" si="0"/>
        <v>0.60275490089788319</v>
      </c>
      <c r="F27" s="125">
        <f t="shared" si="1"/>
        <v>5000.4097710160631</v>
      </c>
      <c r="H27" s="120"/>
    </row>
    <row r="28" spans="2:17">
      <c r="B28" s="122">
        <v>8</v>
      </c>
      <c r="C28" s="123">
        <f t="shared" si="2"/>
        <v>8460.4688815027348</v>
      </c>
      <c r="D28" s="138">
        <f>IF($C$17&lt;B28,0,DCF!$C$16)</f>
        <v>1.9834236741680042E-2</v>
      </c>
      <c r="E28" s="124">
        <f t="shared" si="0"/>
        <v>0.56070223339337966</v>
      </c>
      <c r="F28" s="125">
        <f t="shared" si="1"/>
        <v>4743.8037974137724</v>
      </c>
      <c r="H28" s="120"/>
    </row>
    <row r="29" spans="2:17">
      <c r="B29" s="122">
        <v>9</v>
      </c>
      <c r="C29" s="123">
        <f t="shared" si="2"/>
        <v>8628.2758242440741</v>
      </c>
      <c r="D29" s="138">
        <f>IF($C$17&lt;B29,0,DCF!$C$16)</f>
        <v>1.9834236741680042E-2</v>
      </c>
      <c r="E29" s="124">
        <f t="shared" si="0"/>
        <v>0.52158347292407414</v>
      </c>
      <c r="F29" s="125">
        <f t="shared" si="1"/>
        <v>4500.3660697560526</v>
      </c>
      <c r="H29" s="120"/>
    </row>
    <row r="30" spans="2:17">
      <c r="B30" s="122">
        <v>10</v>
      </c>
      <c r="C30" s="123">
        <f t="shared" si="2"/>
        <v>8799.4110896146449</v>
      </c>
      <c r="D30" s="138">
        <f>IF($C$17&lt;B30,0,DCF!$C$16)</f>
        <v>1.9834236741680042E-2</v>
      </c>
      <c r="E30" s="124">
        <f t="shared" si="0"/>
        <v>0.48519392830146441</v>
      </c>
      <c r="F30" s="125">
        <f t="shared" si="1"/>
        <v>4269.4208333095985</v>
      </c>
      <c r="H30" s="120"/>
    </row>
    <row r="31" spans="2:17">
      <c r="B31" s="122">
        <v>11</v>
      </c>
      <c r="C31" s="123">
        <f t="shared" si="2"/>
        <v>8973.9406923534261</v>
      </c>
      <c r="D31" s="138">
        <f>IF($C$17&lt;B31,0,DCF!$C$16)</f>
        <v>1.9834236741680042E-2</v>
      </c>
      <c r="E31" s="124">
        <f t="shared" si="0"/>
        <v>0.45134318911764126</v>
      </c>
      <c r="F31" s="125">
        <f t="shared" si="1"/>
        <v>4050.3270110393692</v>
      </c>
      <c r="H31" s="120"/>
    </row>
    <row r="32" spans="2:17">
      <c r="B32" s="122">
        <v>12</v>
      </c>
      <c r="C32" s="123">
        <f t="shared" si="2"/>
        <v>9151.9319565513597</v>
      </c>
      <c r="D32" s="138">
        <f>IF($C$17&lt;B32,0,DCF!$C$16)</f>
        <v>1.9834236741680042E-2</v>
      </c>
      <c r="E32" s="124">
        <f t="shared" si="0"/>
        <v>0.41985412941175931</v>
      </c>
      <c r="F32" s="125">
        <f t="shared" si="1"/>
        <v>3842.4764240535301</v>
      </c>
      <c r="H32" s="120"/>
    </row>
    <row r="33" spans="2:17">
      <c r="B33" s="122">
        <v>13</v>
      </c>
      <c r="C33" s="341">
        <f t="shared" si="2"/>
        <v>9333.4535416213457</v>
      </c>
      <c r="D33" s="138">
        <f>IF($C$17&lt;B33,0,DCF!$C$16)</f>
        <v>1.9834236741680042E-2</v>
      </c>
      <c r="E33" s="124">
        <f t="shared" si="0"/>
        <v>0.39056198084814819</v>
      </c>
      <c r="F33" s="125">
        <f t="shared" si="1"/>
        <v>3645.2921033697971</v>
      </c>
      <c r="G33" s="338"/>
      <c r="H33" s="339"/>
      <c r="I33" s="338"/>
      <c r="J33" s="338"/>
      <c r="K33" s="338"/>
      <c r="L33" s="338"/>
      <c r="M33" s="338"/>
      <c r="N33" s="338"/>
      <c r="O33" s="338"/>
      <c r="P33" s="338"/>
      <c r="Q33" s="338"/>
    </row>
    <row r="34" spans="2:17">
      <c r="B34" s="122">
        <v>14</v>
      </c>
      <c r="C34" s="341">
        <f t="shared" si="2"/>
        <v>9518.575468783336</v>
      </c>
      <c r="D34" s="138">
        <f>IF($C$17&lt;B34,0,DCF!$C$16)</f>
        <v>1.9834236741680042E-2</v>
      </c>
      <c r="E34" s="124">
        <f t="shared" si="0"/>
        <v>0.36331347055641694</v>
      </c>
      <c r="F34" s="125">
        <f t="shared" si="1"/>
        <v>3458.2266883168472</v>
      </c>
      <c r="G34" s="338"/>
      <c r="H34" s="339"/>
      <c r="I34" s="338"/>
      <c r="J34" s="338"/>
      <c r="K34" s="338"/>
      <c r="L34" s="338"/>
      <c r="M34" s="338"/>
      <c r="N34" s="338"/>
      <c r="O34" s="338"/>
      <c r="P34" s="338"/>
      <c r="Q34" s="338"/>
    </row>
    <row r="35" spans="2:17">
      <c r="B35" s="122">
        <v>15</v>
      </c>
      <c r="C35" s="341">
        <f t="shared" si="2"/>
        <v>9707.3691480747311</v>
      </c>
      <c r="D35" s="138">
        <f>IF($C$17&lt;B35,0,DCF!$C$16)</f>
        <v>1.9834236741680042E-2</v>
      </c>
      <c r="E35" s="124">
        <f t="shared" si="0"/>
        <v>0.33796601912224833</v>
      </c>
      <c r="F35" s="125">
        <f t="shared" si="1"/>
        <v>3280.7609071249481</v>
      </c>
      <c r="G35" s="338"/>
      <c r="H35" s="339"/>
      <c r="I35" s="338"/>
      <c r="J35" s="338"/>
      <c r="K35" s="338"/>
      <c r="L35" s="338"/>
      <c r="M35" s="338"/>
      <c r="N35" s="338"/>
      <c r="O35" s="338"/>
      <c r="P35" s="338"/>
      <c r="Q35" s="338"/>
    </row>
    <row r="36" spans="2:17">
      <c r="B36" s="122">
        <v>16</v>
      </c>
      <c r="C36" s="123">
        <f t="shared" si="2"/>
        <v>9899.9074058965252</v>
      </c>
      <c r="D36" s="138">
        <f>IF($C$17&lt;B36,0,DCF!$C$16)</f>
        <v>1.9834236741680042E-2</v>
      </c>
      <c r="E36" s="124">
        <f t="shared" si="0"/>
        <v>0.31438699453232405</v>
      </c>
      <c r="F36" s="125">
        <f t="shared" si="1"/>
        <v>3112.4021354881052</v>
      </c>
      <c r="H36" s="120"/>
    </row>
    <row r="37" spans="2:17">
      <c r="B37" s="122">
        <v>17</v>
      </c>
      <c r="C37" s="123">
        <f t="shared" si="2"/>
        <v>10096.264513105787</v>
      </c>
      <c r="D37" s="138">
        <f>IF($C$17&lt;B37,0,DCF!$C$16)</f>
        <v>1.9834236741680042E-2</v>
      </c>
      <c r="E37" s="124">
        <f t="shared" si="0"/>
        <v>0.29245301816960378</v>
      </c>
      <c r="F37" s="125">
        <f t="shared" si="1"/>
        <v>2952.6830290964526</v>
      </c>
      <c r="H37" s="120"/>
    </row>
    <row r="38" spans="2:17">
      <c r="B38" s="122">
        <v>18</v>
      </c>
      <c r="C38" s="123">
        <f t="shared" si="2"/>
        <v>10296.516213665349</v>
      </c>
      <c r="D38" s="138">
        <f>IF($C$17&lt;B38,0,DCF!$C$16)</f>
        <v>1.9834236741680042E-2</v>
      </c>
      <c r="E38" s="124">
        <f t="shared" si="0"/>
        <v>0.27204931922753844</v>
      </c>
      <c r="F38" s="125">
        <f t="shared" si="1"/>
        <v>2801.16022634297</v>
      </c>
      <c r="H38" s="120"/>
    </row>
    <row r="39" spans="2:17">
      <c r="B39" s="122">
        <v>19</v>
      </c>
      <c r="C39" s="123">
        <f t="shared" si="2"/>
        <v>10500.739753861733</v>
      </c>
      <c r="D39" s="138">
        <f>IF($C$17&lt;B39,0,DCF!$C$16)</f>
        <v>1.9834236741680042E-2</v>
      </c>
      <c r="E39" s="124">
        <f t="shared" si="0"/>
        <v>0.25306913416515198</v>
      </c>
      <c r="F39" s="125">
        <f t="shared" si="1"/>
        <v>2657.4131176033798</v>
      </c>
      <c r="H39" s="120"/>
    </row>
    <row r="40" spans="2:17">
      <c r="B40" s="122">
        <v>20</v>
      </c>
      <c r="C40" s="123">
        <f t="shared" si="2"/>
        <v>10709.013912102597</v>
      </c>
      <c r="D40" s="138">
        <f>IF($C$17&lt;B40,0,DCF!$C$16)</f>
        <v>1.9834236741680042E-2</v>
      </c>
      <c r="E40" s="124">
        <f t="shared" si="0"/>
        <v>0.23541314806060654</v>
      </c>
      <c r="F40" s="125">
        <f t="shared" si="1"/>
        <v>2521.0426776729037</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98316.420035147603</v>
      </c>
      <c r="D51" s="139">
        <f>Terminal_Growth</f>
        <v>0</v>
      </c>
      <c r="E51" s="124">
        <f>1/(1+Equity_Cost)^C17</f>
        <v>0.23541314806060654</v>
      </c>
      <c r="F51" s="125">
        <f t="shared" si="1"/>
        <v>23144.977946522984</v>
      </c>
      <c r="H51" s="120"/>
    </row>
    <row r="52" spans="1:17">
      <c r="C52" s="114"/>
      <c r="E52" s="127" t="s">
        <v>97</v>
      </c>
      <c r="F52" s="137">
        <f>SUM(F21:F51)</f>
        <v>110204.15349294289</v>
      </c>
      <c r="H52" s="120"/>
    </row>
    <row r="53" spans="1:17">
      <c r="C53" s="114"/>
      <c r="H53" s="120"/>
    </row>
    <row r="54" spans="1:17" ht="13.15">
      <c r="B54" s="119" t="s">
        <v>125</v>
      </c>
      <c r="C54" s="136"/>
      <c r="D54" s="136"/>
      <c r="E54" s="117"/>
      <c r="F54" s="117"/>
      <c r="H54" s="120"/>
    </row>
    <row r="55" spans="1:17" ht="13.15">
      <c r="A55" s="133">
        <f>F52</f>
        <v>110204.15349294289</v>
      </c>
      <c r="B55" s="131">
        <f>C78</f>
        <v>0</v>
      </c>
      <c r="C55" s="131">
        <f>C77</f>
        <v>0.01</v>
      </c>
      <c r="D55" s="131">
        <f>C76</f>
        <v>0.02</v>
      </c>
      <c r="E55" s="131">
        <f>C75</f>
        <v>0.03</v>
      </c>
      <c r="F55" s="131">
        <f>C74</f>
        <v>0.04</v>
      </c>
      <c r="H55" s="120"/>
    </row>
    <row r="56" spans="1:17" ht="13.15">
      <c r="A56" s="143">
        <v>5</v>
      </c>
      <c r="B56" s="123">
        <f t="dataTable" ref="B56:F61" dt2D="1" dtr="1" r1="C16" r2="C17"/>
        <v>96404.314047411972</v>
      </c>
      <c r="C56" s="123">
        <v>97921.936551276638</v>
      </c>
      <c r="D56" s="123">
        <v>99461.343367626512</v>
      </c>
      <c r="E56" s="123">
        <v>101023.01262558368</v>
      </c>
      <c r="F56" s="123">
        <v>102607.4299181324</v>
      </c>
      <c r="H56" s="120"/>
    </row>
    <row r="57" spans="1:17" ht="13.15">
      <c r="A57" s="143">
        <v>10</v>
      </c>
      <c r="B57" s="123">
        <v>96404.314047411986</v>
      </c>
      <c r="C57" s="123">
        <v>99377.005303004422</v>
      </c>
      <c r="D57" s="123">
        <v>102492.78020845618</v>
      </c>
      <c r="E57" s="123">
        <v>105760.02788584513</v>
      </c>
      <c r="F57" s="123">
        <v>109187.60022071422</v>
      </c>
      <c r="H57" s="120"/>
    </row>
    <row r="58" spans="1:17" ht="13.15">
      <c r="A58" s="143">
        <v>15</v>
      </c>
      <c r="B58" s="123">
        <v>96404.314047412001</v>
      </c>
      <c r="C58" s="341">
        <v>101173.49315824767</v>
      </c>
      <c r="D58" s="123">
        <v>106330.93424960022</v>
      </c>
      <c r="E58" s="123">
        <v>111913.63968856103</v>
      </c>
      <c r="F58" s="123">
        <v>117962.14190225315</v>
      </c>
      <c r="G58" s="338"/>
      <c r="H58" s="339"/>
      <c r="I58" s="338"/>
      <c r="J58" s="338"/>
      <c r="K58" s="338"/>
      <c r="L58" s="338"/>
      <c r="M58" s="338"/>
      <c r="N58" s="338"/>
      <c r="O58" s="338"/>
      <c r="P58" s="338"/>
      <c r="Q58" s="338"/>
    </row>
    <row r="59" spans="1:17" ht="13.15">
      <c r="A59" s="144">
        <v>20</v>
      </c>
      <c r="B59" s="123">
        <v>96404.314047412015</v>
      </c>
      <c r="C59" s="341">
        <v>102998.04016121484</v>
      </c>
      <c r="D59" s="123">
        <v>110332.27245521027</v>
      </c>
      <c r="E59" s="123">
        <v>118504.60522319149</v>
      </c>
      <c r="F59" s="123">
        <v>127625.92876457056</v>
      </c>
      <c r="G59" s="338"/>
      <c r="H59" s="339"/>
      <c r="I59" s="338"/>
      <c r="J59" s="338"/>
      <c r="K59" s="338"/>
      <c r="L59" s="338"/>
      <c r="M59" s="338"/>
      <c r="N59" s="338"/>
      <c r="O59" s="338"/>
      <c r="P59" s="338"/>
      <c r="Q59" s="338"/>
    </row>
    <row r="60" spans="1:17" ht="13.15">
      <c r="A60" s="144">
        <v>25</v>
      </c>
      <c r="B60" s="123">
        <v>96404.314047412001</v>
      </c>
      <c r="C60" s="341">
        <v>104688.56931150272</v>
      </c>
      <c r="D60" s="123">
        <v>114140.62292467365</v>
      </c>
      <c r="E60" s="123">
        <v>124956.58050581119</v>
      </c>
      <c r="F60" s="123">
        <v>137367.37064339643</v>
      </c>
      <c r="G60" s="338"/>
      <c r="H60" s="339"/>
      <c r="I60" s="338"/>
      <c r="J60" s="338"/>
      <c r="K60" s="338"/>
      <c r="L60" s="338"/>
      <c r="M60" s="338"/>
      <c r="N60" s="338"/>
      <c r="O60" s="338"/>
      <c r="P60" s="338"/>
      <c r="Q60" s="338"/>
    </row>
    <row r="61" spans="1:17" ht="13.15">
      <c r="A61" s="144">
        <v>30</v>
      </c>
      <c r="B61" s="123">
        <v>96404.314047412001</v>
      </c>
      <c r="C61" s="341">
        <v>106173.32543788859</v>
      </c>
      <c r="D61" s="123">
        <v>117578.71088452468</v>
      </c>
      <c r="E61" s="123">
        <v>130953.5064186962</v>
      </c>
      <c r="F61" s="123">
        <v>146703.78146182816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11.275136915707538</v>
      </c>
      <c r="C65" s="124">
        <f>C12</f>
        <v>11.275136915707538</v>
      </c>
      <c r="D65" s="124">
        <f>C12</f>
        <v>11.275136915707538</v>
      </c>
      <c r="E65" s="141">
        <f>C12</f>
        <v>11.275136915707538</v>
      </c>
      <c r="F65" s="124">
        <f>C12</f>
        <v>11.275136915707538</v>
      </c>
      <c r="H65" s="120"/>
    </row>
    <row r="66" spans="1:8" ht="13.15">
      <c r="A66" s="143">
        <f t="shared" ref="A66:A71" si="3">A56</f>
        <v>5</v>
      </c>
      <c r="B66" s="124">
        <f t="shared" ref="B66:F71" si="4">(B56-$C$7+$C$8+$C$9)/Common_Shares*$C$3*Exchange_Rate</f>
        <v>11.275136915707538</v>
      </c>
      <c r="C66" s="124">
        <f t="shared" si="4"/>
        <v>11.466507457959517</v>
      </c>
      <c r="D66" s="124">
        <f t="shared" si="4"/>
        <v>11.660624978252651</v>
      </c>
      <c r="E66" s="124">
        <f t="shared" si="4"/>
        <v>11.857549768147676</v>
      </c>
      <c r="F66" s="124">
        <f t="shared" si="4"/>
        <v>12.057343060390197</v>
      </c>
      <c r="H66" s="120"/>
    </row>
    <row r="67" spans="1:8" ht="13.15">
      <c r="A67" s="143">
        <f t="shared" si="3"/>
        <v>10</v>
      </c>
      <c r="B67" s="124">
        <f t="shared" si="4"/>
        <v>11.275136915707542</v>
      </c>
      <c r="C67" s="124">
        <f t="shared" si="4"/>
        <v>11.649990040303253</v>
      </c>
      <c r="D67" s="124">
        <f t="shared" si="4"/>
        <v>12.04288585706467</v>
      </c>
      <c r="E67" s="124">
        <f t="shared" si="4"/>
        <v>12.454882225134602</v>
      </c>
      <c r="F67" s="124">
        <f t="shared" si="4"/>
        <v>12.88709535762402</v>
      </c>
      <c r="H67" s="120"/>
    </row>
    <row r="68" spans="1:8" ht="13.15">
      <c r="A68" s="143">
        <f t="shared" si="3"/>
        <v>15</v>
      </c>
      <c r="B68" s="124">
        <f t="shared" si="4"/>
        <v>11.275136915707543</v>
      </c>
      <c r="C68" s="124">
        <f t="shared" si="4"/>
        <v>11.87652519916622</v>
      </c>
      <c r="D68" s="124">
        <f t="shared" si="4"/>
        <v>12.526872894835861</v>
      </c>
      <c r="E68" s="124">
        <f t="shared" si="4"/>
        <v>13.230845960842974</v>
      </c>
      <c r="F68" s="124">
        <f t="shared" si="4"/>
        <v>13.99355549203333</v>
      </c>
      <c r="H68" s="120"/>
    </row>
    <row r="69" spans="1:8" ht="13.15">
      <c r="A69" s="144">
        <f t="shared" si="3"/>
        <v>20</v>
      </c>
      <c r="B69" s="124">
        <f t="shared" si="4"/>
        <v>11.275136915707545</v>
      </c>
      <c r="C69" s="124">
        <f t="shared" si="4"/>
        <v>12.106598585949095</v>
      </c>
      <c r="D69" s="124">
        <f t="shared" si="4"/>
        <v>13.031437277738185</v>
      </c>
      <c r="E69" s="124">
        <f t="shared" si="4"/>
        <v>14.061959525062246</v>
      </c>
      <c r="F69" s="124">
        <f t="shared" si="4"/>
        <v>15.212148473713411</v>
      </c>
      <c r="H69" s="120"/>
    </row>
    <row r="70" spans="1:8" ht="13.15">
      <c r="A70" s="144">
        <f t="shared" si="3"/>
        <v>25</v>
      </c>
      <c r="B70" s="124">
        <f t="shared" si="4"/>
        <v>11.275136915707543</v>
      </c>
      <c r="C70" s="124">
        <f t="shared" si="4"/>
        <v>12.319772467701323</v>
      </c>
      <c r="D70" s="124">
        <f t="shared" si="4"/>
        <v>13.511666117631412</v>
      </c>
      <c r="E70" s="124">
        <f t="shared" si="4"/>
        <v>14.875546570119269</v>
      </c>
      <c r="F70" s="124">
        <f t="shared" si="4"/>
        <v>16.440533668265907</v>
      </c>
    </row>
    <row r="71" spans="1:8" ht="13.15">
      <c r="A71" s="144">
        <f t="shared" si="3"/>
        <v>30</v>
      </c>
      <c r="B71" s="124">
        <f t="shared" si="4"/>
        <v>11.275136915707543</v>
      </c>
      <c r="C71" s="124">
        <f t="shared" si="4"/>
        <v>12.50699859560523</v>
      </c>
      <c r="D71" s="124">
        <f t="shared" si="4"/>
        <v>13.945205258960172</v>
      </c>
      <c r="E71" s="124">
        <f t="shared" si="4"/>
        <v>15.631752386039407</v>
      </c>
      <c r="F71" s="124">
        <f t="shared" si="4"/>
        <v>17.617844887927319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12.88709535762402</v>
      </c>
      <c r="F74" s="142">
        <f>Scenarios!C58</f>
        <v>0.05</v>
      </c>
    </row>
    <row r="75" spans="1:8">
      <c r="B75" s="127" t="str">
        <f>Scenarios!B36</f>
        <v>Optimistic</v>
      </c>
      <c r="C75" s="142">
        <f>Scenarios!C38</f>
        <v>0.03</v>
      </c>
      <c r="D75" s="145">
        <f>Scenarios!C37</f>
        <v>20</v>
      </c>
      <c r="E75" s="135">
        <f>INDEX(B$65:F$71, MATCH(D75, A$65:A$71, 0), MATCH(C75, B$64:F$64, 0))</f>
        <v>14.061959525062246</v>
      </c>
      <c r="F75" s="142">
        <f>Scenarios!C40*(1-F$74-F$78)</f>
        <v>0.18</v>
      </c>
      <c r="H75" s="120"/>
    </row>
    <row r="76" spans="1:8">
      <c r="B76" s="127" t="str">
        <f>Scenarios!B24</f>
        <v>Base</v>
      </c>
      <c r="C76" s="142">
        <f>Scenarios!C26</f>
        <v>0.02</v>
      </c>
      <c r="D76" s="145">
        <f>Scenarios!C25</f>
        <v>20</v>
      </c>
      <c r="E76" s="135">
        <f>INDEX(B$65:F$71, MATCH(D76, A$65:A$71, 0), MATCH(C76, B$64:F$64, 0))</f>
        <v>13.031437277738185</v>
      </c>
      <c r="F76" s="142">
        <f>Scenarios!C28*(1-F$74-F$78)</f>
        <v>0.53999999999999992</v>
      </c>
      <c r="H76" s="120"/>
    </row>
    <row r="77" spans="1:8">
      <c r="B77" s="127" t="str">
        <f>Scenarios!B30</f>
        <v>Pessimistic</v>
      </c>
      <c r="C77" s="142">
        <f>Scenarios!C32</f>
        <v>0.01</v>
      </c>
      <c r="D77" s="145">
        <f>Scenarios!C31</f>
        <v>20</v>
      </c>
      <c r="E77" s="135">
        <f>INDEX(B$65:F$71, MATCH(D77, A$65:A$71, 0), MATCH(C77, B$64:F$64, 0))</f>
        <v>12.106598585949095</v>
      </c>
      <c r="F77" s="142">
        <f>Scenarios!C34*(1-F$74-F$78)</f>
        <v>0.18</v>
      </c>
      <c r="H77" s="120"/>
    </row>
    <row r="78" spans="1:8">
      <c r="B78" s="127" t="str">
        <f>Scenarios!B48</f>
        <v>Devil's advocate</v>
      </c>
      <c r="C78" s="142">
        <f>Scenarios!C50</f>
        <v>0</v>
      </c>
      <c r="D78" s="145">
        <f>Scenarios!C49</f>
        <v>10</v>
      </c>
      <c r="E78" s="135">
        <f>INDEX(B$65:F$71, MATCH(D78, A$65:A$71, 0), MATCH(C78, B$64:F$64, 0))</f>
        <v>11.275136915707542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421</v>
      </c>
      <c r="C2" s="37"/>
      <c r="D2" s="37"/>
      <c r="E2" s="37"/>
      <c r="F2" s="37"/>
      <c r="H2" s="130" t="s">
        <v>57</v>
      </c>
    </row>
    <row r="3" spans="2:8" ht="13.15">
      <c r="B3" s="109" t="s">
        <v>420</v>
      </c>
      <c r="C3" s="107">
        <f>scaling_factor</f>
        <v>1000000</v>
      </c>
      <c r="E3" s="109" t="s">
        <v>120</v>
      </c>
      <c r="H3" s="120"/>
    </row>
    <row r="4" spans="2:8">
      <c r="B4" s="100" t="s">
        <v>418</v>
      </c>
      <c r="C4" s="114">
        <f>Normalized_FCF!C91*(1-dividend_tax_rate)</f>
        <v>2985.6510204990423</v>
      </c>
      <c r="D4" t="str">
        <f>Market_currency</f>
        <v>HKD</v>
      </c>
      <c r="E4" s="100" t="s">
        <v>246</v>
      </c>
      <c r="F4" s="134">
        <f>Thesis!E22</f>
        <v>0</v>
      </c>
      <c r="H4" s="120"/>
    </row>
    <row r="5" spans="2:8">
      <c r="B5" s="205" t="s">
        <v>119</v>
      </c>
      <c r="C5" s="206">
        <f>Equity_Cost</f>
        <v>7.4999999999999997E-2</v>
      </c>
      <c r="E5" s="148"/>
      <c r="H5" s="120"/>
    </row>
    <row r="6" spans="2:8" ht="13.35" customHeight="1">
      <c r="B6" s="149" t="s">
        <v>419</v>
      </c>
      <c r="C6" s="319">
        <f>(C4*(1+Terminal_Growth))/(Equity_Cost-Terminal_Growth)</f>
        <v>39808.680273320562</v>
      </c>
      <c r="D6" t="str">
        <f>Reporting_currency</f>
        <v>CNY</v>
      </c>
      <c r="E6" s="375"/>
      <c r="F6" s="375"/>
      <c r="H6" s="120"/>
    </row>
    <row r="7" spans="2:8" ht="13.15">
      <c r="B7" s="149" t="s">
        <v>422</v>
      </c>
      <c r="C7" s="111">
        <f>(C6*scaling_factor)/Common_Shares*Exchange_Rate</f>
        <v>5.0198311575118559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1.9834236741680042E-2</v>
      </c>
      <c r="H11" s="120"/>
    </row>
    <row r="12" spans="2:8" ht="13.35" customHeight="1">
      <c r="B12" s="118" t="s">
        <v>130</v>
      </c>
      <c r="C12" s="162">
        <f>Scenarios!C64</f>
        <v>20</v>
      </c>
      <c r="H12" s="120"/>
    </row>
    <row r="13" spans="2:8" ht="13.35" customHeight="1">
      <c r="B13" s="153" t="s">
        <v>103</v>
      </c>
      <c r="C13" s="140">
        <f>F47/Common_Shares*scaling_factor</f>
        <v>5.2555900317547986</v>
      </c>
      <c r="D13" t="str">
        <f>Market_currency</f>
        <v>HKD</v>
      </c>
      <c r="H13" s="120"/>
    </row>
    <row r="14" spans="2:8">
      <c r="H14" s="120"/>
    </row>
    <row r="15" spans="2:8" ht="13.15">
      <c r="B15" s="128" t="s">
        <v>104</v>
      </c>
      <c r="C15" s="128" t="s">
        <v>424</v>
      </c>
      <c r="D15" s="128" t="s">
        <v>114</v>
      </c>
      <c r="E15" s="128" t="s">
        <v>106</v>
      </c>
      <c r="F15" s="129" t="s">
        <v>423</v>
      </c>
      <c r="H15" s="120"/>
    </row>
    <row r="16" spans="2:8">
      <c r="B16" s="122">
        <v>1</v>
      </c>
      <c r="C16" s="123">
        <f>C4*(1+D16)</f>
        <v>3044.8691296676584</v>
      </c>
      <c r="D16" s="138">
        <f>IF($C$12&lt;B16,0,DDM!$C$11)</f>
        <v>1.9834236741680042E-2</v>
      </c>
      <c r="E16" s="124">
        <f t="shared" ref="E16:E45" si="0">IF($C$12&lt;B16,0,1/(1+Equity_Cost)^B16)</f>
        <v>0.93023255813953487</v>
      </c>
      <c r="F16" s="125">
        <f t="shared" ref="F16:F46" si="1">C16*E16</f>
        <v>2832.4363996908451</v>
      </c>
      <c r="H16" s="120"/>
    </row>
    <row r="17" spans="2:8">
      <c r="B17" s="122">
        <v>2</v>
      </c>
      <c r="C17" s="123">
        <f t="shared" ref="C17:C45" si="2">IF(ROW()-ROW($C$16)&lt;$C$12, $C$16*(1+D17)^(ROW()-ROW($C$16)), 0)</f>
        <v>3105.2617848329196</v>
      </c>
      <c r="D17" s="138">
        <f>IF($C$12&lt;B17,0,DDM!$C$11)</f>
        <v>1.9834236741680042E-2</v>
      </c>
      <c r="E17" s="124">
        <f t="shared" si="0"/>
        <v>0.86533261222282321</v>
      </c>
      <c r="F17" s="125">
        <f t="shared" si="1"/>
        <v>2687.0842919051765</v>
      </c>
      <c r="H17" s="120"/>
    </row>
    <row r="18" spans="2:8">
      <c r="B18" s="122">
        <v>3</v>
      </c>
      <c r="C18" s="123">
        <f t="shared" si="2"/>
        <v>3166.8522822181876</v>
      </c>
      <c r="D18" s="138">
        <f>IF($C$12&lt;B18,0,DDM!$C$11)</f>
        <v>1.9834236741680042E-2</v>
      </c>
      <c r="E18" s="124">
        <f t="shared" si="0"/>
        <v>0.80496056950960304</v>
      </c>
      <c r="F18" s="125">
        <f t="shared" si="1"/>
        <v>2549.1912166471384</v>
      </c>
      <c r="H18" s="120"/>
    </row>
    <row r="19" spans="2:8">
      <c r="B19" s="122">
        <v>4</v>
      </c>
      <c r="C19" s="123">
        <f t="shared" si="2"/>
        <v>3229.6643801096325</v>
      </c>
      <c r="D19" s="138">
        <f>IF($C$12&lt;B19,0,DDM!$C$11)</f>
        <v>1.9834236741680042E-2</v>
      </c>
      <c r="E19" s="124">
        <f t="shared" si="0"/>
        <v>0.7488005297763749</v>
      </c>
      <c r="F19" s="125">
        <f t="shared" si="1"/>
        <v>2418.3743988259803</v>
      </c>
      <c r="H19" s="120"/>
    </row>
    <row r="20" spans="2:8">
      <c r="B20" s="122">
        <v>5</v>
      </c>
      <c r="C20" s="123">
        <f t="shared" si="2"/>
        <v>3293.7223080208983</v>
      </c>
      <c r="D20" s="138">
        <f>IF($C$12&lt;B20,0,DDM!$C$11)</f>
        <v>1.9834236741680042E-2</v>
      </c>
      <c r="E20" s="124">
        <f t="shared" si="0"/>
        <v>0.69655863235011617</v>
      </c>
      <c r="F20" s="125">
        <f t="shared" si="1"/>
        <v>2294.2707062161048</v>
      </c>
      <c r="H20" s="120"/>
    </row>
    <row r="21" spans="2:8">
      <c r="B21" s="122">
        <v>6</v>
      </c>
      <c r="C21" s="123">
        <f t="shared" si="2"/>
        <v>3359.0507760395371</v>
      </c>
      <c r="D21" s="138">
        <f>IF($C$12&lt;B21,0,DDM!$C$11)</f>
        <v>1.9834236741680042E-2</v>
      </c>
      <c r="E21" s="124">
        <f t="shared" si="0"/>
        <v>0.64796151846522443</v>
      </c>
      <c r="F21" s="125">
        <f t="shared" si="1"/>
        <v>2176.535641444369</v>
      </c>
      <c r="H21" s="120"/>
    </row>
    <row r="22" spans="2:8">
      <c r="B22" s="122">
        <v>7</v>
      </c>
      <c r="C22" s="123">
        <f t="shared" si="2"/>
        <v>3425.6749843588295</v>
      </c>
      <c r="D22" s="138">
        <f>IF($C$12&lt;B22,0,DDM!$C$11)</f>
        <v>1.9834236741680042E-2</v>
      </c>
      <c r="E22" s="124">
        <f t="shared" si="0"/>
        <v>0.60275490089788319</v>
      </c>
      <c r="F22" s="125">
        <f t="shared" si="1"/>
        <v>2064.8423857055641</v>
      </c>
      <c r="H22" s="120"/>
    </row>
    <row r="23" spans="2:8">
      <c r="B23" s="122">
        <v>8</v>
      </c>
      <c r="C23" s="123">
        <f t="shared" si="2"/>
        <v>3493.620632998653</v>
      </c>
      <c r="D23" s="138">
        <f>IF($C$12&lt;B23,0,DDM!$C$11)</f>
        <v>1.9834236741680042E-2</v>
      </c>
      <c r="E23" s="124">
        <f t="shared" si="0"/>
        <v>0.56070223339337966</v>
      </c>
      <c r="F23" s="125">
        <f t="shared" si="1"/>
        <v>1958.8808915515376</v>
      </c>
      <c r="H23" s="120"/>
    </row>
    <row r="24" spans="2:8">
      <c r="B24" s="122">
        <v>9</v>
      </c>
      <c r="C24" s="123">
        <f t="shared" si="2"/>
        <v>3562.9139317191662</v>
      </c>
      <c r="D24" s="138">
        <f>IF($C$12&lt;B24,0,DDM!$C$11)</f>
        <v>1.9834236741680042E-2</v>
      </c>
      <c r="E24" s="124">
        <f t="shared" si="0"/>
        <v>0.52158347292407414</v>
      </c>
      <c r="F24" s="125">
        <f t="shared" si="1"/>
        <v>1858.3570222356502</v>
      </c>
      <c r="H24" s="120"/>
    </row>
    <row r="25" spans="2:8">
      <c r="B25" s="122">
        <v>10</v>
      </c>
      <c r="C25" s="123">
        <f t="shared" si="2"/>
        <v>3633.5816101311138</v>
      </c>
      <c r="D25" s="138">
        <f>IF($C$12&lt;B25,0,DDM!$C$11)</f>
        <v>1.9834236741680042E-2</v>
      </c>
      <c r="E25" s="124">
        <f t="shared" si="0"/>
        <v>0.48519392830146441</v>
      </c>
      <c r="F25" s="125">
        <f t="shared" si="1"/>
        <v>1762.9917352234752</v>
      </c>
      <c r="H25" s="120"/>
    </row>
    <row r="26" spans="2:8">
      <c r="B26" s="122">
        <v>11</v>
      </c>
      <c r="C26" s="123">
        <f t="shared" si="2"/>
        <v>3705.6509280066684</v>
      </c>
      <c r="D26" s="138">
        <f>IF($C$12&lt;B26,0,DDM!$C$11)</f>
        <v>1.9834236741680042E-2</v>
      </c>
      <c r="E26" s="124">
        <f t="shared" si="0"/>
        <v>0.45134318911764126</v>
      </c>
      <c r="F26" s="125">
        <f t="shared" si="1"/>
        <v>1672.5203076032767</v>
      </c>
      <c r="H26" s="120"/>
    </row>
    <row r="27" spans="2:8">
      <c r="B27" s="122">
        <v>12</v>
      </c>
      <c r="C27" s="123">
        <f t="shared" si="2"/>
        <v>3779.1496857947791</v>
      </c>
      <c r="D27" s="138">
        <f>IF($C$12&lt;B27,0,DDM!$C$11)</f>
        <v>1.9834236741680042E-2</v>
      </c>
      <c r="E27" s="124">
        <f t="shared" si="0"/>
        <v>0.41985412941175931</v>
      </c>
      <c r="F27" s="125">
        <f t="shared" si="1"/>
        <v>1586.6916012460908</v>
      </c>
      <c r="H27" s="120"/>
    </row>
    <row r="28" spans="2:8">
      <c r="B28" s="122">
        <v>13</v>
      </c>
      <c r="C28" s="123">
        <f t="shared" si="2"/>
        <v>3854.1062353450779</v>
      </c>
      <c r="D28" s="138">
        <f>IF($C$12&lt;B28,0,DDM!$C$11)</f>
        <v>1.9834236741680042E-2</v>
      </c>
      <c r="E28" s="124">
        <f t="shared" si="0"/>
        <v>0.39056198084814819</v>
      </c>
      <c r="F28" s="125">
        <f t="shared" si="1"/>
        <v>1505.2673656755728</v>
      </c>
      <c r="H28" s="120"/>
    </row>
    <row r="29" spans="2:8">
      <c r="B29" s="122">
        <v>14</v>
      </c>
      <c r="C29" s="123">
        <f t="shared" si="2"/>
        <v>3930.5494908444975</v>
      </c>
      <c r="D29" s="138">
        <f>IF($C$12&lt;B29,0,DDM!$C$11)</f>
        <v>1.9834236741680042E-2</v>
      </c>
      <c r="E29" s="124">
        <f t="shared" si="0"/>
        <v>0.36331347055641694</v>
      </c>
      <c r="F29" s="125">
        <f t="shared" si="1"/>
        <v>1428.0215767124719</v>
      </c>
      <c r="H29" s="120"/>
    </row>
    <row r="30" spans="2:8">
      <c r="B30" s="122">
        <v>15</v>
      </c>
      <c r="C30" s="123">
        <f t="shared" si="2"/>
        <v>4008.5089399707967</v>
      </c>
      <c r="D30" s="138">
        <f>IF($C$12&lt;B30,0,DDM!$C$11)</f>
        <v>1.9834236741680042E-2</v>
      </c>
      <c r="E30" s="124">
        <f t="shared" si="0"/>
        <v>0.33796601912224833</v>
      </c>
      <c r="F30" s="125">
        <f t="shared" si="1"/>
        <v>1354.7398090578736</v>
      </c>
      <c r="H30" s="120"/>
    </row>
    <row r="31" spans="2:8">
      <c r="B31" s="122">
        <v>16</v>
      </c>
      <c r="C31" s="123">
        <f t="shared" si="2"/>
        <v>4088.0146552673186</v>
      </c>
      <c r="D31" s="138">
        <f>IF($C$12&lt;B31,0,DDM!$C$11)</f>
        <v>1.9834236741680042E-2</v>
      </c>
      <c r="E31" s="124">
        <f t="shared" si="0"/>
        <v>0.31438699453232405</v>
      </c>
      <c r="F31" s="125">
        <f t="shared" si="1"/>
        <v>1285.2186410735872</v>
      </c>
      <c r="H31" s="120"/>
    </row>
    <row r="32" spans="2:8">
      <c r="B32" s="122">
        <v>17</v>
      </c>
      <c r="C32" s="123">
        <f t="shared" si="2"/>
        <v>4169.0973057433466</v>
      </c>
      <c r="D32" s="138">
        <f>IF($C$12&lt;B32,0,DDM!$C$11)</f>
        <v>1.9834236741680042E-2</v>
      </c>
      <c r="E32" s="124">
        <f t="shared" si="0"/>
        <v>0.29245301816960378</v>
      </c>
      <c r="F32" s="125">
        <f t="shared" si="1"/>
        <v>1219.2650901074051</v>
      </c>
      <c r="H32" s="120"/>
    </row>
    <row r="33" spans="2:8">
      <c r="B33" s="122">
        <v>18</v>
      </c>
      <c r="C33" s="123">
        <f t="shared" si="2"/>
        <v>4251.7881687045601</v>
      </c>
      <c r="D33" s="138">
        <f>IF($C$12&lt;B33,0,DDM!$C$11)</f>
        <v>1.9834236741680042E-2</v>
      </c>
      <c r="E33" s="124">
        <f t="shared" si="0"/>
        <v>0.27204931922753844</v>
      </c>
      <c r="F33" s="125">
        <f t="shared" si="1"/>
        <v>1156.696076795778</v>
      </c>
      <c r="H33" s="120"/>
    </row>
    <row r="34" spans="2:8">
      <c r="B34" s="122">
        <v>19</v>
      </c>
      <c r="C34" s="123">
        <f t="shared" si="2"/>
        <v>4336.1191418181206</v>
      </c>
      <c r="D34" s="138">
        <f>IF($C$12&lt;B34,0,DDM!$C$11)</f>
        <v>1.9834236741680042E-2</v>
      </c>
      <c r="E34" s="124">
        <f t="shared" si="0"/>
        <v>0.25306913416515198</v>
      </c>
      <c r="F34" s="125">
        <f t="shared" si="1"/>
        <v>1097.3379168568536</v>
      </c>
      <c r="H34" s="120"/>
    </row>
    <row r="35" spans="2:8">
      <c r="B35" s="122">
        <v>20</v>
      </c>
      <c r="C35" s="123">
        <f t="shared" si="2"/>
        <v>4422.1227554170719</v>
      </c>
      <c r="D35" s="138">
        <f>IF($C$12&lt;B35,0,DDM!$C$11)</f>
        <v>1.9834236741680042E-2</v>
      </c>
      <c r="E35" s="124">
        <f t="shared" si="0"/>
        <v>0.23541314806060654</v>
      </c>
      <c r="F35" s="125">
        <f t="shared" si="1"/>
        <v>1041.0258389631765</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40598.255062235447</v>
      </c>
      <c r="D46" s="139">
        <f>Terminal_Growth</f>
        <v>0</v>
      </c>
      <c r="E46" s="124">
        <f>1/(1+Equity_Cost)^C12</f>
        <v>0.23541314806060654</v>
      </c>
      <c r="F46" s="125">
        <f t="shared" si="1"/>
        <v>9557.3630299683027</v>
      </c>
      <c r="H46" s="120"/>
    </row>
    <row r="47" spans="2:8">
      <c r="C47" s="114"/>
      <c r="E47" s="127" t="s">
        <v>97</v>
      </c>
      <c r="F47" s="137">
        <f>SUM(F16:F46)</f>
        <v>45507.111943506228</v>
      </c>
      <c r="H47" s="120"/>
    </row>
    <row r="48" spans="2:8">
      <c r="C48" s="114"/>
      <c r="H48" s="120"/>
    </row>
    <row r="49" spans="1:8" ht="13.15">
      <c r="B49" s="119" t="s">
        <v>125</v>
      </c>
      <c r="C49" s="136"/>
      <c r="D49" s="136"/>
      <c r="E49" s="117"/>
      <c r="F49" s="117"/>
      <c r="H49" s="120"/>
    </row>
    <row r="50" spans="1:8" ht="13.15">
      <c r="A50" s="133">
        <f>F47</f>
        <v>45507.111943506228</v>
      </c>
      <c r="B50" s="131">
        <f>C73</f>
        <v>0</v>
      </c>
      <c r="C50" s="131">
        <f>C72</f>
        <v>0.01</v>
      </c>
      <c r="D50" s="131">
        <f>C71</f>
        <v>0.02</v>
      </c>
      <c r="E50" s="131">
        <f>C70</f>
        <v>0.03</v>
      </c>
      <c r="F50" s="131">
        <f>C69</f>
        <v>0.04</v>
      </c>
      <c r="H50" s="120"/>
    </row>
    <row r="51" spans="1:8" ht="13.15">
      <c r="A51" s="143">
        <v>5</v>
      </c>
      <c r="B51" s="123">
        <f t="dataTable" ref="B51:F56" dt2D="1" dtr="1" r1="C11" r2="C12"/>
        <v>39808.68027332057</v>
      </c>
      <c r="C51" s="123">
        <v>40435.359168647097</v>
      </c>
      <c r="D51" s="123">
        <v>41071.033561107426</v>
      </c>
      <c r="E51" s="123">
        <v>41715.900886776239</v>
      </c>
      <c r="F51" s="123">
        <v>42370.161663815445</v>
      </c>
      <c r="H51" s="120"/>
    </row>
    <row r="52" spans="1:8" ht="13.15">
      <c r="A52" s="143">
        <v>10</v>
      </c>
      <c r="B52" s="123">
        <v>39808.68027332057</v>
      </c>
      <c r="C52" s="123">
        <v>41036.207453141338</v>
      </c>
      <c r="D52" s="123">
        <v>42322.818827750198</v>
      </c>
      <c r="E52" s="123">
        <v>43671.978556213806</v>
      </c>
      <c r="F52" s="123">
        <v>45087.341888661518</v>
      </c>
      <c r="H52" s="120"/>
    </row>
    <row r="53" spans="1:8" ht="13.15">
      <c r="A53" s="143">
        <v>15</v>
      </c>
      <c r="B53" s="123">
        <v>39808.680273320577</v>
      </c>
      <c r="C53" s="123">
        <v>41778.039510668459</v>
      </c>
      <c r="D53" s="123">
        <v>43907.725567385438</v>
      </c>
      <c r="E53" s="123">
        <v>46213.01800243582</v>
      </c>
      <c r="F53" s="123">
        <v>48710.654058835964</v>
      </c>
      <c r="H53" s="120"/>
    </row>
    <row r="54" spans="1:8" ht="13.15">
      <c r="A54" s="144">
        <v>20</v>
      </c>
      <c r="B54" s="123">
        <v>39808.680273320577</v>
      </c>
      <c r="C54" s="123">
        <v>42531.458162130926</v>
      </c>
      <c r="D54" s="123">
        <v>45560.016700479493</v>
      </c>
      <c r="E54" s="123">
        <v>48934.655952492089</v>
      </c>
      <c r="F54" s="123">
        <v>52701.16636352714</v>
      </c>
      <c r="H54" s="120"/>
    </row>
    <row r="55" spans="1:8" ht="13.15">
      <c r="A55" s="144">
        <v>25</v>
      </c>
      <c r="B55" s="123">
        <v>39808.680273320577</v>
      </c>
      <c r="C55" s="123">
        <v>43229.536200458562</v>
      </c>
      <c r="D55" s="123">
        <v>47132.616513108806</v>
      </c>
      <c r="E55" s="123">
        <v>51598.900013508457</v>
      </c>
      <c r="F55" s="123">
        <v>56723.745114148151</v>
      </c>
      <c r="H55" s="120"/>
    </row>
    <row r="56" spans="1:8" ht="13.15">
      <c r="A56" s="144">
        <v>30</v>
      </c>
      <c r="B56" s="123">
        <v>39808.680273320584</v>
      </c>
      <c r="C56" s="123">
        <v>43842.643430183583</v>
      </c>
      <c r="D56" s="123">
        <v>48552.322111324589</v>
      </c>
      <c r="E56" s="123">
        <v>54075.238428938937</v>
      </c>
      <c r="F56" s="123">
        <v>60579.072511514743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5.0198311575118559</v>
      </c>
      <c r="C60" s="124">
        <f>C7</f>
        <v>5.0198311575118559</v>
      </c>
      <c r="D60" s="124">
        <f>C7</f>
        <v>5.0198311575118559</v>
      </c>
      <c r="E60" s="141">
        <f>C7</f>
        <v>5.0198311575118559</v>
      </c>
      <c r="F60" s="124">
        <f>C7</f>
        <v>5.0198311575118559</v>
      </c>
      <c r="H60" s="120"/>
    </row>
    <row r="61" spans="1:8" ht="13.15">
      <c r="A61" s="143">
        <f t="shared" ref="A61:A66" si="3">A51</f>
        <v>5</v>
      </c>
      <c r="B61" s="124">
        <f t="shared" ref="B61:F66" si="4">B51/Common_Shares*$C$3*Exchange_Rate</f>
        <v>5.0198311575118568</v>
      </c>
      <c r="C61" s="124">
        <f t="shared" si="4"/>
        <v>5.0988546826052907</v>
      </c>
      <c r="D61" s="124">
        <f t="shared" si="4"/>
        <v>5.1790125300746359</v>
      </c>
      <c r="E61" s="124">
        <f t="shared" si="4"/>
        <v>5.2603295963935404</v>
      </c>
      <c r="F61" s="124">
        <f t="shared" si="4"/>
        <v>5.342831166683486</v>
      </c>
      <c r="H61" s="120"/>
    </row>
    <row r="62" spans="1:8" ht="13.15">
      <c r="A62" s="143">
        <f t="shared" si="3"/>
        <v>10</v>
      </c>
      <c r="B62" s="124">
        <f t="shared" si="4"/>
        <v>5.0198311575118568</v>
      </c>
      <c r="C62" s="124">
        <f t="shared" si="4"/>
        <v>5.174620995849871</v>
      </c>
      <c r="D62" s="124">
        <f t="shared" si="4"/>
        <v>5.3368612866991798</v>
      </c>
      <c r="E62" s="124">
        <f t="shared" si="4"/>
        <v>5.5069888567392447</v>
      </c>
      <c r="F62" s="124">
        <f t="shared" si="4"/>
        <v>5.6854646290240769</v>
      </c>
      <c r="H62" s="120"/>
    </row>
    <row r="63" spans="1:8" ht="13.15">
      <c r="A63" s="143">
        <f t="shared" si="3"/>
        <v>15</v>
      </c>
      <c r="B63" s="124">
        <f t="shared" si="4"/>
        <v>5.0198311575118586</v>
      </c>
      <c r="C63" s="124">
        <f t="shared" si="4"/>
        <v>5.2681652090829703</v>
      </c>
      <c r="D63" s="124">
        <f t="shared" si="4"/>
        <v>5.5367162976854027</v>
      </c>
      <c r="E63" s="124">
        <f t="shared" si="4"/>
        <v>5.8274111590369833</v>
      </c>
      <c r="F63" s="124">
        <f t="shared" si="4"/>
        <v>6.1423603412243954</v>
      </c>
      <c r="H63" s="120"/>
    </row>
    <row r="64" spans="1:8" ht="13.15">
      <c r="A64" s="144">
        <f t="shared" si="3"/>
        <v>20</v>
      </c>
      <c r="B64" s="124">
        <f t="shared" si="4"/>
        <v>5.0198311575118586</v>
      </c>
      <c r="C64" s="124">
        <f t="shared" si="4"/>
        <v>5.3631704791721804</v>
      </c>
      <c r="D64" s="124">
        <f t="shared" si="4"/>
        <v>5.7450684071811011</v>
      </c>
      <c r="E64" s="124">
        <f t="shared" si="4"/>
        <v>6.1706067356639087</v>
      </c>
      <c r="F64" s="124">
        <f t="shared" si="4"/>
        <v>6.6455595898301896</v>
      </c>
      <c r="H64" s="120"/>
    </row>
    <row r="65" spans="1:8" ht="13.15">
      <c r="A65" s="144">
        <f t="shared" si="3"/>
        <v>25</v>
      </c>
      <c r="B65" s="124">
        <f t="shared" si="4"/>
        <v>5.0198311575118586</v>
      </c>
      <c r="C65" s="124">
        <f t="shared" si="4"/>
        <v>5.4511973583129167</v>
      </c>
      <c r="D65" s="124">
        <f t="shared" si="4"/>
        <v>5.9433715280967814</v>
      </c>
      <c r="E65" s="124">
        <f t="shared" si="4"/>
        <v>6.5065650054905282</v>
      </c>
      <c r="F65" s="124">
        <f t="shared" si="4"/>
        <v>7.1528023822883311</v>
      </c>
    </row>
    <row r="66" spans="1:8" ht="13.15">
      <c r="A66" s="144">
        <f t="shared" si="3"/>
        <v>30</v>
      </c>
      <c r="B66" s="124">
        <f t="shared" si="4"/>
        <v>5.0198311575118595</v>
      </c>
      <c r="C66" s="124">
        <f t="shared" si="4"/>
        <v>5.5285095111785338</v>
      </c>
      <c r="D66" s="124">
        <f t="shared" si="4"/>
        <v>6.1223948553582437</v>
      </c>
      <c r="E66" s="124">
        <f t="shared" si="4"/>
        <v>6.8188285783840135</v>
      </c>
      <c r="F66" s="124">
        <f t="shared" si="4"/>
        <v>7.6389549615457808</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5.6854646290240769</v>
      </c>
      <c r="F69" s="142">
        <f>Scenarios!C58</f>
        <v>0.05</v>
      </c>
    </row>
    <row r="70" spans="1:8">
      <c r="B70" s="127" t="str">
        <f>Scenarios!B36</f>
        <v>Optimistic</v>
      </c>
      <c r="C70" s="142">
        <f>Scenarios!C38</f>
        <v>0.03</v>
      </c>
      <c r="D70" s="145">
        <f>Scenarios!C37</f>
        <v>20</v>
      </c>
      <c r="E70" s="135">
        <f>INDEX(B$60:F$66, MATCH(D70, A$60:A$66, 0), MATCH(C70, B$59:F$59, 0))</f>
        <v>6.1706067356639087</v>
      </c>
      <c r="F70" s="142">
        <f>Scenarios!C40*(1-F$69-F$73)</f>
        <v>0.18</v>
      </c>
      <c r="H70" s="120"/>
    </row>
    <row r="71" spans="1:8">
      <c r="B71" s="127" t="str">
        <f>Scenarios!B24</f>
        <v>Base</v>
      </c>
      <c r="C71" s="142">
        <f>Scenarios!C26</f>
        <v>0.02</v>
      </c>
      <c r="D71" s="145">
        <f>Scenarios!C25</f>
        <v>20</v>
      </c>
      <c r="E71" s="135">
        <f>INDEX(B$60:F$66, MATCH(D71, A$60:A$66, 0), MATCH(C71, B$59:F$59, 0))</f>
        <v>5.7450684071811011</v>
      </c>
      <c r="F71" s="142">
        <f>Scenarios!C28*(1-F$69-F$73)</f>
        <v>0.53999999999999992</v>
      </c>
      <c r="H71" s="120"/>
    </row>
    <row r="72" spans="1:8">
      <c r="B72" s="127" t="str">
        <f>Scenarios!B30</f>
        <v>Pessimistic</v>
      </c>
      <c r="C72" s="142">
        <f>Scenarios!C32</f>
        <v>0.01</v>
      </c>
      <c r="D72" s="145">
        <f>Scenarios!C31</f>
        <v>20</v>
      </c>
      <c r="E72" s="135">
        <f>INDEX(B$60:F$66, MATCH(D72, A$60:A$66, 0), MATCH(C72, B$59:F$59, 0))</f>
        <v>5.3631704791721804</v>
      </c>
      <c r="F72" s="142">
        <f>Scenarios!C34*(1-F$69-F$73)</f>
        <v>0.18</v>
      </c>
      <c r="H72" s="120"/>
    </row>
    <row r="73" spans="1:8">
      <c r="B73" s="127" t="str">
        <f>Scenarios!B48</f>
        <v>Devil's advocate</v>
      </c>
      <c r="C73" s="142">
        <f>Scenarios!C50</f>
        <v>0</v>
      </c>
      <c r="D73" s="145">
        <f>Scenarios!C49</f>
        <v>10</v>
      </c>
      <c r="E73" s="135">
        <f>INDEX(B$60:F$66, MATCH(D73, A$60:A$66, 0), MATCH(C73, B$59:F$59, 0))</f>
        <v>5.0198311575118568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E7" sqref="E7:F1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-7.72</v>
      </c>
    </row>
    <row r="4" spans="2:9">
      <c r="B4" s="152" t="s">
        <v>142</v>
      </c>
      <c r="C4" s="120">
        <v>3</v>
      </c>
      <c r="D4" s="120"/>
      <c r="E4" s="155" t="s">
        <v>146</v>
      </c>
      <c r="F4" s="155"/>
      <c r="H4" s="247">
        <v>1</v>
      </c>
      <c r="I4" s="124">
        <f t="shared" ref="I4:I13" si="0">IF(ROW()-3 &lt; $C$76, $C$77, IF(ROW()-3 = $C$76, $C$77 + $C$60, ""))</f>
        <v>0.34481110910999996</v>
      </c>
    </row>
    <row r="5" spans="2:9">
      <c r="H5" s="247">
        <v>2</v>
      </c>
      <c r="I5" s="124">
        <f t="shared" si="0"/>
        <v>0.34481110910999996</v>
      </c>
    </row>
    <row r="6" spans="2:9" ht="13.15">
      <c r="B6" s="159" t="s">
        <v>92</v>
      </c>
      <c r="C6" s="107">
        <f>DCF!C3</f>
        <v>1000000</v>
      </c>
      <c r="E6" s="100" t="s">
        <v>274</v>
      </c>
      <c r="F6" s="100"/>
      <c r="H6" s="247">
        <v>3</v>
      </c>
      <c r="I6" s="124">
        <f t="shared" si="0"/>
        <v>13.300239312737236</v>
      </c>
    </row>
    <row r="7" spans="2:9" ht="12.75" customHeight="1">
      <c r="B7" s="100" t="s">
        <v>270</v>
      </c>
      <c r="C7" s="338">
        <f>Normalized_FCF!G8</f>
        <v>16063</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77"/>
      <c r="H7" s="247">
        <v>4</v>
      </c>
      <c r="I7" s="124" t="str">
        <f t="shared" si="0"/>
        <v/>
      </c>
    </row>
    <row r="8" spans="2:9">
      <c r="B8" s="100" t="s">
        <v>64</v>
      </c>
      <c r="C8" s="338">
        <f>Normalized_FCF!G19</f>
        <v>10305.03755922756</v>
      </c>
      <c r="D8" t="str">
        <f>Reporting_currency</f>
        <v>CNY</v>
      </c>
      <c r="E8" s="377"/>
      <c r="F8" s="377"/>
      <c r="H8" s="247">
        <v>5</v>
      </c>
      <c r="I8" s="124" t="str">
        <f t="shared" si="0"/>
        <v/>
      </c>
    </row>
    <row r="9" spans="2:9">
      <c r="B9" s="100" t="s">
        <v>55</v>
      </c>
      <c r="C9" s="338">
        <f>Normalized_FCF!C19</f>
        <v>7230.3235535558979</v>
      </c>
      <c r="D9" t="str">
        <f>Reporting_currency</f>
        <v>CNY</v>
      </c>
      <c r="E9" s="377"/>
      <c r="F9" s="377"/>
      <c r="H9" s="247">
        <v>6</v>
      </c>
      <c r="I9" s="124" t="str">
        <f t="shared" si="0"/>
        <v/>
      </c>
    </row>
    <row r="10" spans="2:9">
      <c r="E10" s="377"/>
      <c r="F10" s="377"/>
      <c r="H10" s="247">
        <v>7</v>
      </c>
      <c r="I10" s="124" t="str">
        <f t="shared" si="0"/>
        <v/>
      </c>
    </row>
    <row r="11" spans="2:9" ht="13.15">
      <c r="B11" s="159" t="s">
        <v>425</v>
      </c>
      <c r="E11" s="377"/>
      <c r="F11" s="377"/>
      <c r="H11" s="247">
        <v>8</v>
      </c>
      <c r="I11" s="124" t="str">
        <f t="shared" si="0"/>
        <v/>
      </c>
    </row>
    <row r="12" spans="2:9">
      <c r="B12" s="118" t="s">
        <v>140</v>
      </c>
      <c r="C12" s="158">
        <f ca="1">(Normalized_FCF!G4/OFFSET(Normalized_FCF!G4, 0, $C$4))^(1/$C$4) - 1</f>
        <v>0.10522432036524854</v>
      </c>
      <c r="D12" s="158"/>
      <c r="E12" s="377"/>
      <c r="F12" s="377"/>
      <c r="H12" s="247">
        <v>9</v>
      </c>
      <c r="I12" s="124" t="str">
        <f t="shared" si="0"/>
        <v/>
      </c>
    </row>
    <row r="13" spans="2:9">
      <c r="B13" s="148" t="s">
        <v>148</v>
      </c>
      <c r="C13" s="158">
        <f ca="1">(Normalized_FCF!G8/OFFSET(Normalized_FCF!G8, 0, $C$4))^(1/$C$4) - 1</f>
        <v>5.2708395417024878E-2</v>
      </c>
      <c r="E13" s="377"/>
      <c r="F13" s="377"/>
      <c r="H13" s="247">
        <v>10</v>
      </c>
      <c r="I13" s="124" t="str">
        <f t="shared" si="0"/>
        <v/>
      </c>
    </row>
    <row r="14" spans="2:9">
      <c r="B14" s="100" t="s">
        <v>64</v>
      </c>
      <c r="C14" s="158">
        <f ca="1">(Normalized_FCF!G19/OFFSET(Normalized_FCF!G19, 0, $C$4))^(1/$C$4) - 1</f>
        <v>6.0052497730721521E-2</v>
      </c>
      <c r="E14" s="377"/>
      <c r="F14" s="377"/>
    </row>
    <row r="16" spans="2:9" ht="13.9">
      <c r="B16" s="36" t="s">
        <v>158</v>
      </c>
      <c r="C16" s="37"/>
      <c r="D16" s="37"/>
      <c r="E16" s="37"/>
      <c r="F16" s="37"/>
    </row>
    <row r="17" spans="2:6" ht="13.15">
      <c r="B17" s="109" t="s">
        <v>147</v>
      </c>
      <c r="E17" s="159" t="s">
        <v>321</v>
      </c>
    </row>
    <row r="18" spans="2:6">
      <c r="B18" s="152" t="s">
        <v>129</v>
      </c>
      <c r="C18" s="150">
        <v>20</v>
      </c>
      <c r="E18" s="377" t="s">
        <v>322</v>
      </c>
      <c r="F18" s="378"/>
    </row>
    <row r="19" spans="2:6">
      <c r="E19" s="378"/>
      <c r="F19" s="378"/>
    </row>
    <row r="20" spans="2:6" ht="13.15">
      <c r="B20" s="159" t="s">
        <v>298</v>
      </c>
      <c r="E20" s="378"/>
      <c r="F20" s="378"/>
    </row>
    <row r="21" spans="2:6">
      <c r="B21" s="100" t="s">
        <v>272</v>
      </c>
      <c r="C21" s="160">
        <f>Market_Price</f>
        <v>7.72</v>
      </c>
      <c r="D21" t="str">
        <f>Market_currency</f>
        <v>HKD</v>
      </c>
      <c r="E21" s="378"/>
      <c r="F21" s="378"/>
    </row>
    <row r="22" spans="2:6">
      <c r="B22" s="100" t="s">
        <v>273</v>
      </c>
      <c r="C22" s="160">
        <f>IF(valuation_method="DCF",DCF!C12,DDM!C7)</f>
        <v>11.275136915707538</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0.02</v>
      </c>
      <c r="D26" s="164"/>
      <c r="E26" s="376"/>
      <c r="F26" s="376"/>
    </row>
    <row r="27" spans="2:6">
      <c r="B27" s="100" t="s">
        <v>109</v>
      </c>
      <c r="C27" s="160">
        <f>IF(valuation_method="DCF",DCF!E76,DDM!E71)</f>
        <v>13.031437277738185</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0.01</v>
      </c>
      <c r="D32" s="164"/>
      <c r="E32" s="376"/>
      <c r="F32" s="376"/>
    </row>
    <row r="33" spans="2:6">
      <c r="B33" s="100" t="s">
        <v>109</v>
      </c>
      <c r="C33" s="160">
        <f>IF(valuation_method="DCF",DCF!E77,DDM!E72)</f>
        <v>12.106598585949095</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0.03</v>
      </c>
      <c r="D38" s="164"/>
      <c r="E38" s="376"/>
      <c r="F38" s="376"/>
    </row>
    <row r="39" spans="2:6">
      <c r="B39" s="100" t="s">
        <v>109</v>
      </c>
      <c r="C39" s="160">
        <f>IF(valuation_method="DCF",DCF!E75,DDM!E70)</f>
        <v>14.061959525062246</v>
      </c>
      <c r="D39" t="str">
        <f>Market_currency</f>
        <v>HKD</v>
      </c>
      <c r="E39" s="376"/>
      <c r="F39" s="376"/>
    </row>
    <row r="40" spans="2:6">
      <c r="B40" s="100" t="s">
        <v>143</v>
      </c>
      <c r="C40" s="167">
        <f>1-C28-C34</f>
        <v>0.2</v>
      </c>
      <c r="D40" s="165"/>
      <c r="E40" s="376"/>
      <c r="F40" s="376"/>
    </row>
    <row r="42" spans="2:6" ht="13.15">
      <c r="B42" s="100" t="s">
        <v>116</v>
      </c>
      <c r="C42" s="154">
        <f>C27*C28+C33*C34+C39*C40</f>
        <v>13.052573988845179</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11.275136915707542</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12.88709535762402</v>
      </c>
      <c r="D57" t="str">
        <f>Market_currency</f>
        <v>HKD</v>
      </c>
      <c r="E57" s="376"/>
      <c r="F57" s="376"/>
    </row>
    <row r="58" spans="2:6">
      <c r="B58" s="100" t="s">
        <v>143</v>
      </c>
      <c r="C58" s="165">
        <v>0.05</v>
      </c>
      <c r="D58" s="165"/>
      <c r="E58" s="376"/>
      <c r="F58" s="376"/>
    </row>
    <row r="60" spans="2:6" ht="13.15">
      <c r="B60" s="100" t="s">
        <v>116</v>
      </c>
      <c r="C60" s="154">
        <f>C51*C52+C57*C58+C42*(1-C52-C58)</f>
        <v>12.955428203627237</v>
      </c>
      <c r="D60" t="str">
        <f>Market_currency</f>
        <v>HKD</v>
      </c>
      <c r="E60" s="100" t="s">
        <v>291</v>
      </c>
      <c r="F60" s="277">
        <f>Thesis!F28</f>
        <v>3</v>
      </c>
    </row>
    <row r="62" spans="2:6" ht="13.9">
      <c r="B62" s="36" t="s">
        <v>341</v>
      </c>
      <c r="C62" s="37"/>
      <c r="D62" s="37"/>
      <c r="E62" s="37"/>
      <c r="F62" s="37"/>
    </row>
    <row r="63" spans="2:6" ht="13.15">
      <c r="B63" s="109" t="s">
        <v>299</v>
      </c>
      <c r="E63" s="252" t="s">
        <v>303</v>
      </c>
    </row>
    <row r="64" spans="2:6">
      <c r="B64" s="152" t="s">
        <v>129</v>
      </c>
      <c r="C64" s="166">
        <f>C18</f>
        <v>20</v>
      </c>
      <c r="D64" s="150"/>
      <c r="E64" s="251" t="s">
        <v>378</v>
      </c>
    </row>
    <row r="65" spans="2:6">
      <c r="B65" s="118" t="s">
        <v>130</v>
      </c>
      <c r="C65" s="151">
        <v>1.9834236741680042E-2</v>
      </c>
      <c r="D65" s="151"/>
      <c r="E65" s="251" t="s">
        <v>304</v>
      </c>
    </row>
    <row r="66" spans="2:6">
      <c r="B66" s="100" t="s">
        <v>99</v>
      </c>
      <c r="C66" s="160">
        <f>IF(valuation_method="DCF",DCF!C18,DDM!C13)</f>
        <v>13.015281616353727</v>
      </c>
      <c r="D66" s="160" t="str">
        <f>Market_currency</f>
        <v>HKD</v>
      </c>
      <c r="E66" s="251" t="s">
        <v>305</v>
      </c>
    </row>
    <row r="68" spans="2:6" ht="13.15">
      <c r="B68" s="109" t="s">
        <v>342</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338</v>
      </c>
      <c r="F72" s="291">
        <f>BS!D89/C60</f>
        <v>-6.8028776047238768E-2</v>
      </c>
    </row>
    <row r="74" spans="2:6" ht="13.9">
      <c r="B74" s="36" t="s">
        <v>123</v>
      </c>
      <c r="C74" s="37"/>
      <c r="D74" s="37"/>
      <c r="E74" s="37"/>
      <c r="F74" s="37"/>
    </row>
    <row r="75" spans="2:6" ht="13.15">
      <c r="B75" s="109" t="s">
        <v>121</v>
      </c>
    </row>
    <row r="76" spans="2:6">
      <c r="B76" s="246" t="s">
        <v>292</v>
      </c>
      <c r="C76" s="245">
        <f>F60</f>
        <v>3</v>
      </c>
      <c r="D76" s="134"/>
    </row>
    <row r="77" spans="2:6">
      <c r="B77" s="100" t="s">
        <v>437</v>
      </c>
      <c r="C77" s="173">
        <f>Normalized_FCF!C90*(1-dividend_tax_rate)</f>
        <v>0.34481110910999996</v>
      </c>
      <c r="D77" t="str">
        <f>Market_currency</f>
        <v>HKD</v>
      </c>
    </row>
    <row r="79" spans="2:6" ht="13.15">
      <c r="B79" s="109" t="s">
        <v>296</v>
      </c>
    </row>
    <row r="80" spans="2:6">
      <c r="B80" s="148" t="s">
        <v>294</v>
      </c>
      <c r="C80" s="167">
        <f>Thesis!F29</f>
        <v>0.35</v>
      </c>
    </row>
    <row r="81" spans="2:8">
      <c r="B81" s="100" t="s">
        <v>117</v>
      </c>
      <c r="C81" s="116">
        <f>PV(C80, C76, -C77, 0)</f>
        <v>0.58475815790742269</v>
      </c>
      <c r="D81" s="116"/>
      <c r="E81" s="100"/>
      <c r="F81" s="100"/>
    </row>
    <row r="82" spans="2:8">
      <c r="B82" s="100" t="s">
        <v>118</v>
      </c>
      <c r="C82" s="116">
        <f>C60/(1+C80)^C76</f>
        <v>5.2656315413817953</v>
      </c>
      <c r="D82" s="116"/>
    </row>
    <row r="83" spans="2:8" ht="13.15">
      <c r="B83" s="110" t="s">
        <v>98</v>
      </c>
      <c r="C83" s="111">
        <f>C81+C82</f>
        <v>5.8503896992892184</v>
      </c>
      <c r="D83" t="str">
        <f>Market_currency</f>
        <v>HKD</v>
      </c>
      <c r="E83" s="146" t="s">
        <v>122</v>
      </c>
      <c r="F83" s="291">
        <f>(1-C83/C60)</f>
        <v>0.5484217420423636</v>
      </c>
    </row>
    <row r="84" spans="2:8">
      <c r="E84" s="120"/>
    </row>
    <row r="85" spans="2:8" ht="13.15">
      <c r="B85" s="109" t="s">
        <v>297</v>
      </c>
    </row>
    <row r="86" spans="2:8">
      <c r="B86" s="148" t="s">
        <v>295</v>
      </c>
      <c r="C86" s="116">
        <f>Market_Price</f>
        <v>7.72</v>
      </c>
      <c r="D86" t="str">
        <f>Market_currency</f>
        <v>HKD</v>
      </c>
    </row>
    <row r="87" spans="2:8" ht="13.15">
      <c r="B87" s="100" t="s">
        <v>293</v>
      </c>
      <c r="C87" s="237">
        <f ca="1">IRR(OFFSET($I$3, 0, 0, $C$76 + 1, 1))</f>
        <v>0.2264478139311954</v>
      </c>
    </row>
    <row r="88" spans="2:8">
      <c r="B88" s="100"/>
    </row>
    <row r="89" spans="2:8" ht="13.15">
      <c r="B89" s="109" t="s">
        <v>394</v>
      </c>
    </row>
    <row r="90" spans="2:8">
      <c r="B90" s="148" t="s">
        <v>395</v>
      </c>
      <c r="C90" s="167">
        <f>Thesis!F30</f>
        <v>0.25</v>
      </c>
    </row>
    <row r="91" spans="2:8">
      <c r="B91" s="100" t="s">
        <v>117</v>
      </c>
      <c r="C91" s="116">
        <f>PV(C90, C76, -C77, 0)</f>
        <v>0.67307128498271995</v>
      </c>
      <c r="D91" s="116"/>
      <c r="E91" s="100"/>
      <c r="F91" s="100"/>
    </row>
    <row r="92" spans="2:8">
      <c r="B92" s="100" t="s">
        <v>118</v>
      </c>
      <c r="C92" s="116">
        <f>C60/(1+C90)^C76</f>
        <v>6.6331792402571459</v>
      </c>
      <c r="D92" s="116"/>
    </row>
    <row r="93" spans="2:8" ht="13.15">
      <c r="B93" s="110" t="s">
        <v>98</v>
      </c>
      <c r="C93" s="111">
        <f>C91+C92</f>
        <v>7.3062505252398662</v>
      </c>
      <c r="D93" t="str">
        <f>Market_currency</f>
        <v>HKD</v>
      </c>
      <c r="E93" s="146" t="s">
        <v>122</v>
      </c>
      <c r="F93" s="291">
        <f>(1-C93/C60)</f>
        <v>0.43604716027878754</v>
      </c>
    </row>
    <row r="95" spans="2:8" ht="13.15">
      <c r="B95" s="109" t="s">
        <v>380</v>
      </c>
      <c r="G95" s="2"/>
      <c r="H95" s="281"/>
    </row>
    <row r="96" spans="2:8">
      <c r="B96" s="148" t="s">
        <v>385</v>
      </c>
      <c r="C96" s="134">
        <f>Thesis!F31</f>
        <v>7.4999999999999997E-2</v>
      </c>
      <c r="G96" s="2"/>
      <c r="H96" s="281"/>
    </row>
    <row r="97" spans="2:8">
      <c r="B97" s="100" t="s">
        <v>117</v>
      </c>
      <c r="C97" s="116">
        <f>PV(C96, C76, -C77, 0)</f>
        <v>0.89669016463435369</v>
      </c>
      <c r="D97" s="116"/>
      <c r="G97" s="2"/>
      <c r="H97" s="281"/>
    </row>
    <row r="98" spans="2:8">
      <c r="B98" s="100" t="s">
        <v>118</v>
      </c>
      <c r="C98" s="116">
        <f>C60/(1+C96)^C76</f>
        <v>10.428608865032555</v>
      </c>
      <c r="D98" s="116"/>
      <c r="G98" s="2"/>
      <c r="H98" s="281"/>
    </row>
    <row r="99" spans="2:8" ht="13.15">
      <c r="B99" s="110" t="s">
        <v>381</v>
      </c>
      <c r="C99" s="111">
        <f>C97+C98</f>
        <v>11.325299029666908</v>
      </c>
      <c r="D99" t="s">
        <v>379</v>
      </c>
      <c r="E99" s="146" t="s">
        <v>122</v>
      </c>
      <c r="F99" s="291">
        <f>(1-C99/C60)</f>
        <v>0.12582595868995883</v>
      </c>
    </row>
    <row r="100" spans="2:8">
      <c r="B100" s="100"/>
    </row>
    <row r="101" spans="2:8" ht="13.15">
      <c r="B101" s="109" t="s">
        <v>400</v>
      </c>
    </row>
    <row r="102" spans="2:8">
      <c r="B102" s="148" t="s">
        <v>399</v>
      </c>
      <c r="C102" s="134">
        <f>Thesis!F32</f>
        <v>0.1174</v>
      </c>
    </row>
    <row r="103" spans="2:8">
      <c r="B103" s="100" t="s">
        <v>117</v>
      </c>
      <c r="C103" s="116">
        <f>PV(C102, C76, -C77, 0)</f>
        <v>0.83189235969715858</v>
      </c>
      <c r="D103" s="116"/>
    </row>
    <row r="104" spans="2:8">
      <c r="B104" s="100" t="s">
        <v>118</v>
      </c>
      <c r="C104" s="116">
        <f>C60/(1+C102)^C76</f>
        <v>9.2859378109069173</v>
      </c>
      <c r="D104" s="116"/>
    </row>
    <row r="105" spans="2:8" ht="13.15">
      <c r="B105" s="110" t="s">
        <v>381</v>
      </c>
      <c r="C105" s="111">
        <f>C103+C104</f>
        <v>10.117830170604076</v>
      </c>
      <c r="D105" t="s">
        <v>379</v>
      </c>
      <c r="E105" s="146" t="s">
        <v>122</v>
      </c>
      <c r="F105" s="291">
        <f>(1-C105/C66)</f>
        <v>0.22261918959240934</v>
      </c>
    </row>
    <row r="106" spans="2:8">
      <c r="B106" s="100"/>
    </row>
    <row r="107" spans="2:8" ht="14.65">
      <c r="E107" s="285" t="s">
        <v>316</v>
      </c>
      <c r="F107" s="282"/>
    </row>
    <row r="108" spans="2:8" ht="13.9">
      <c r="E108" s="278" t="s">
        <v>317</v>
      </c>
      <c r="F108" s="283" t="s">
        <v>318</v>
      </c>
    </row>
    <row r="109" spans="2:8" ht="13.9">
      <c r="E109" s="279" t="s">
        <v>317</v>
      </c>
      <c r="F109" s="283" t="s">
        <v>319</v>
      </c>
    </row>
    <row r="110" spans="2:8" ht="13.9">
      <c r="E110" s="280" t="s">
        <v>317</v>
      </c>
      <c r="F110" s="284" t="s">
        <v>320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4"/>
  <sheetViews>
    <sheetView showGridLines="0" workbookViewId="0">
      <selection activeCell="D6" sqref="D6"/>
    </sheetView>
  </sheetViews>
  <sheetFormatPr defaultRowHeight="12.75"/>
  <cols>
    <col min="1" max="1" width="2.59765625" customWidth="1"/>
    <col min="2" max="2" width="22.73046875" customWidth="1"/>
    <col min="3" max="5" width="20.73046875" customWidth="1"/>
  </cols>
  <sheetData>
    <row r="2" spans="2:5" ht="13.9">
      <c r="B2" s="36" t="s">
        <v>438</v>
      </c>
      <c r="C2" s="37"/>
      <c r="D2" s="37"/>
      <c r="E2" s="37"/>
    </row>
    <row r="4" spans="2:5">
      <c r="B4" t="s">
        <v>558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