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87D3E1-1E72-4D85-AE3A-80FFD535C12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B118" i="6" s="1"/>
  <c r="F55" i="8"/>
  <c r="F68" i="8" s="1"/>
  <c r="C118" i="6"/>
  <c r="C89" i="6"/>
  <c r="C90" i="6" s="1"/>
  <c r="G65" i="2"/>
  <c r="C57" i="2" l="1"/>
  <c r="D118" i="12"/>
  <c r="E119" i="6"/>
  <c r="F119" i="12"/>
  <c r="C85" i="8"/>
  <c r="C121" i="12" s="1"/>
  <c r="D24" i="9"/>
  <c r="D86" i="8"/>
  <c r="B122" i="6" s="1"/>
  <c r="D23" i="9"/>
  <c r="C84" i="8"/>
  <c r="C120" i="12" s="1"/>
  <c r="C86" i="8"/>
  <c r="C122" i="12" s="1"/>
  <c r="D83" i="8"/>
  <c r="B119" i="6" s="1"/>
  <c r="C83" i="8"/>
  <c r="C119" i="12" s="1"/>
  <c r="C15" i="8"/>
  <c r="B51" i="8" s="1"/>
  <c r="Q95" i="2"/>
  <c r="A79" i="8"/>
  <c r="A78" i="8"/>
  <c r="D122" i="12" l="1"/>
  <c r="D119" i="12"/>
  <c r="D85" i="8"/>
  <c r="B121" i="6" s="1"/>
  <c r="D84" i="8"/>
  <c r="B120" i="6" s="1"/>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3" i="9" l="1"/>
  <c r="C67" i="9"/>
  <c r="C62"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8" i="6"/>
  <c r="F120" i="6"/>
  <c r="F119"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<sst xmlns="http://schemas.openxmlformats.org/spreadsheetml/2006/main" count="766" uniqueCount="556">
  <si>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</si>
  <si>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</si>
  <si>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</si>
  <si>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</si>
  <si>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</si>
  <si>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</si>
  <si>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</si>
  <si>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</si>
  <si>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</si>
  <si>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</si>
  <si>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</si>
  <si>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</si>
  <si>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</si>
  <si>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</si>
  <si>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</si>
  <si>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</si>
  <si>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</si>
  <si>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</si>
  <si>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</si>
  <si>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</si>
  <si>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</si>
  <si>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</si>
  <si>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</si>
  <si>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</si>
  <si>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</si>
  <si>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</si>
  <si>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</si>
  <si>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</si>
  <si>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</si>
  <si>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</si>
  <si>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</si>
  <si>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</si>
  <si>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</si>
  <si>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</si>
  <si>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</si>
  <si>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</si>
  <si>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</si>
  <si>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</si>
  <si>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</si>
  <si>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</si>
  <si>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</si>
  <si>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</si>
  <si>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</si>
  <si>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</si>
  <si>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</si>
  <si>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</si>
  <si>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</si>
  <si>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</si>
  <si>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</si>
  <si>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</si>
  <si>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</si>
  <si>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</si>
  <si>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</si>
  <si>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</si>
  <si>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</si>
  <si>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</si>
  <si>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</si>
  <si>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</si>
  <si>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</si>
  <si>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</si>
  <si>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</si>
  <si>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</si>
  <si>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</si>
  <si>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</si>
  <si>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</si>
  <si>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</si>
  <si>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</si>
  <si>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</si>
  <si>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</si>
  <si>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</si>
  <si>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</si>
  <si>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</si>
  <si>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</si>
  <si>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</si>
  <si>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</si>
  <si>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</si>
  <si>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</si>
  <si>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</si>
  <si>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</si>
  <si>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</si>
  <si>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</si>
  <si>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</si>
  <si>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</si>
  <si>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</si>
  <si>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</si>
  <si>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</si>
  <si>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</si>
  <si>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</si>
  <si>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</si>
  <si>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</si>
  <si>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</si>
  <si>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</si>
  <si>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</si>
  <si>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</si>
  <si>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</si>
  <si>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</si>
  <si>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</si>
  <si>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</si>
  <si>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</si>
  <si>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</si>
  <si>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</si>
  <si>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</si>
  <si>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</si>
  <si>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</si>
  <si>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</si>
  <si>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</si>
  <si>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</si>
  <si>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</si>
  <si>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</si>
  <si>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</si>
  <si>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</si>
  <si>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</si>
  <si>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</si>
  <si>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</si>
  <si>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</si>
  <si>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</si>
  <si>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</si>
  <si>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</si>
  <si>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</si>
  <si>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</si>
  <si>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</si>
  <si>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</si>
  <si>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</si>
  <si>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</si>
  <si>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</si>
  <si>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</si>
  <si>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</si>
  <si>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</si>
  <si>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</si>
  <si>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</si>
  <si>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</si>
  <si>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</si>
  <si>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</si>
  <si>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</si>
  <si>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</si>
  <si>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</si>
  <si>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</si>
  <si>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</si>
  <si>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</si>
  <si>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</si>
  <si>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</si>
  <si>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</si>
  <si>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</si>
  <si>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</si>
  <si>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</si>
  <si>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</si>
  <si>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</si>
  <si>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</si>
  <si>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</si>
  <si>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</si>
  <si>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</si>
  <si>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</si>
  <si>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</si>
  <si>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</si>
  <si>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</si>
  <si>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</si>
  <si>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</si>
  <si>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</si>
  <si>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</si>
  <si>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</si>
  <si>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</si>
  <si>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</si>
  <si>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</si>
  <si>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</si>
  <si>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</si>
  <si>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</si>
  <si>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</si>
  <si>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</si>
  <si>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</si>
  <si>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</si>
  <si>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</si>
  <si>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</si>
  <si>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</si>
  <si>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</si>
  <si>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</si>
  <si>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</si>
  <si>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</si>
  <si>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</si>
  <si>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</si>
  <si>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</si>
  <si>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</si>
  <si>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</si>
  <si>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</si>
  <si>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</si>
  <si>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</si>
  <si>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</si>
  <si>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</si>
  <si>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</si>
  <si>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</si>
  <si>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</si>
  <si>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</si>
  <si>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</si>
  <si>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</si>
  <si>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</si>
  <si>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</si>
  <si>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</si>
  <si>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</si>
  <si>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</si>
  <si>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</si>
  <si>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</si>
  <si>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</si>
  <si>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</si>
  <si>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</si>
  <si>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</si>
  <si>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</si>
  <si>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</si>
  <si>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</si>
  <si>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</si>
  <si>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</si>
  <si>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</si>
  <si>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</si>
  <si>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</si>
  <si>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</si>
  <si>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</si>
  <si>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</si>
  <si>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</si>
  <si>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</si>
  <si>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</si>
  <si>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</si>
  <si>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</si>
  <si>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</si>
  <si>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</si>
  <si>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</si>
  <si>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</si>
  <si>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</si>
  <si>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</si>
  <si>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</si>
  <si>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</si>
  <si>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</si>
  <si>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</si>
  <si>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</si>
  <si>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</si>
  <si>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</si>
  <si>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</si>
  <si>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</si>
  <si>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</si>
  <si>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</si>
  <si>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</si>
  <si>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</si>
  <si>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</si>
  <si>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</si>
  <si>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</si>
  <si>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</si>
  <si>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</si>
  <si>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</si>
  <si>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</si>
  <si>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</si>
  <si>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</si>
  <si>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</si>
  <si>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</si>
  <si>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</si>
  <si>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</si>
  <si>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</si>
  <si>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</si>
  <si>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</si>
  <si>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</si>
  <si>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</si>
  <si>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</si>
  <si>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</si>
  <si>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</si>
  <si>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</si>
  <si>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</si>
  <si>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</si>
  <si>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</si>
  <si>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</si>
  <si>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</si>
  <si>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</si>
  <si>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</si>
  <si>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</si>
  <si>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</si>
  <si>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</si>
  <si>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</si>
  <si>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</si>
  <si>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</si>
  <si>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</si>
  <si>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</si>
  <si>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</si>
  <si>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</si>
  <si>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</si>
  <si>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</si>
  <si>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</si>
  <si>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</si>
  <si>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</si>
  <si>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</si>
  <si>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</si>
  <si>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</si>
  <si>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</si>
  <si>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</si>
  <si>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</si>
  <si>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</si>
  <si>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</si>
  <si>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</si>
  <si>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</si>
  <si>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</si>
  <si>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</si>
  <si>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</si>
  <si>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</si>
  <si>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</si>
  <si>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</si>
  <si>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</si>
  <si>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</si>
  <si>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</si>
  <si>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</si>
  <si>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</si>
  <si>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</si>
  <si>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</si>
  <si>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</si>
  <si>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</si>
  <si>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</si>
  <si>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</si>
  <si>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</si>
  <si>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</si>
  <si>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</si>
  <si>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</si>
  <si>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</si>
  <si>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</si>
  <si>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</si>
  <si>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</si>
  <si>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</si>
  <si>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</si>
  <si>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</si>
  <si>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</si>
  <si>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</si>
  <si>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</si>
  <si>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</si>
  <si>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</si>
  <si>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</si>
  <si>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</si>
  <si>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</si>
  <si>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</si>
  <si>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</si>
  <si>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</si>
  <si>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</si>
  <si>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</si>
  <si>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</si>
  <si>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</si>
  <si>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</si>
  <si>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</si>
  <si>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</si>
  <si>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</si>
  <si>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</si>
  <si>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</si>
  <si>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</si>
  <si>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</si>
  <si>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</si>
  <si>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</si>
  <si>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</si>
  <si>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</si>
  <si>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</si>
  <si>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</si>
  <si>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</si>
  <si>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</si>
  <si>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</si>
  <si>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</si>
  <si>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</si>
  <si>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</si>
  <si>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</si>
  <si>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</si>
  <si>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</si>
  <si>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</si>
  <si>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</si>
  <si>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</si>
  <si>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</si>
  <si>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</si>
  <si>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</si>
  <si>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</si>
  <si>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</si>
  <si>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</si>
  <si>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</si>
  <si>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</si>
  <si>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</si>
  <si>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</si>
  <si>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</si>
  <si>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</si>
  <si>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</si>
  <si>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</si>
  <si>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</si>
  <si>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</si>
  <si>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</si>
  <si>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</si>
  <si>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</si>
  <si>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</si>
  <si>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</si>
  <si>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</si>
  <si>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</si>
  <si>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</si>
  <si>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</si>
  <si>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</si>
  <si>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</si>
  <si>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</si>
  <si>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</si>
  <si>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</si>
  <si>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</si>
  <si>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</si>
  <si>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</si>
  <si>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</si>
  <si>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</si>
  <si>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</si>
  <si>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</si>
  <si>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</si>
  <si>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</si>
  <si>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</si>
  <si>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</si>
  <si>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</si>
  <si>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</si>
  <si>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</si>
  <si>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</si>
  <si>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</si>
  <si>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</si>
  <si>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</si>
  <si>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</si>
  <si>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</si>
  <si>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</si>
  <si>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</si>
  <si>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</si>
  <si>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</si>
  <si>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</si>
  <si>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</si>
  <si>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</si>
  <si>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</si>
  <si>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</si>
  <si>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</si>
  <si>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</si>
  <si>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</si>
  <si>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</si>
  <si>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</si>
  <si>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</si>
  <si>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</si>
  <si>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</si>
  <si>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</si>
  <si>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</si>
  <si>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</si>
  <si>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</si>
  <si>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</si>
  <si>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</si>
  <si>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</si>
  <si>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</si>
  <si>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</si>
  <si>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</si>
  <si>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</si>
  <si>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</si>
  <si>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</si>
  <si>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</si>
  <si>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</si>
  <si>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</si>
  <si>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</si>
  <si>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</si>
  <si>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</si>
  <si>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</si>
  <si>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</si>
  <si>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</si>
  <si>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</si>
  <si>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</si>
  <si>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</si>
  <si>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</si>
  <si>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</si>
  <si>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</si>
  <si>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</si>
  <si>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</si>
  <si>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</si>
  <si>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</si>
  <si>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</si>
  <si>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</si>
  <si>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</si>
  <si>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</si>
  <si>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</si>
  <si>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</si>
  <si>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</si>
  <si>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</si>
  <si>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</si>
  <si>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</si>
  <si>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</si>
  <si>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</si>
  <si>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</si>
  <si>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</si>
  <si>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</si>
  <si>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</si>
  <si>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</si>
  <si>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</si>
  <si>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</si>
  <si>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</si>
  <si>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</si>
  <si>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</si>
  <si>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</si>
  <si>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</si>
  <si>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</si>
  <si>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</si>
  <si>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</si>
  <si>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</si>
  <si>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</si>
  <si>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</si>
  <si>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</si>
  <si>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</si>
  <si>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</si>
  <si>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</si>
  <si>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</si>
  <si>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</si>
  <si>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</si>
  <si>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</si>
  <si>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</si>
  <si>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</si>
  <si>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</si>
  <si>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</si>
  <si>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</si>
  <si>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</si>
  <si>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</si>
  <si>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</si>
  <si>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</si>
  <si>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</si>
  <si>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</si>
  <si>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</si>
  <si>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</si>
  <si>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</si>
  <si>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</si>
  <si>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</si>
  <si>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</si>
  <si>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</si>
  <si>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</si>
  <si>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</si>
  <si>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</si>
  <si>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</si>
  <si>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</si>
  <si>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</si>
  <si>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</si>
  <si>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</si>
  <si>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</si>
  <si>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</si>
  <si>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</si>
  <si>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</si>
  <si>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</si>
  <si>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</si>
  <si>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</si>
  <si>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</si>
  <si>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</si>
  <si>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</si>
  <si>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</si>
  <si>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</si>
  <si>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</si>
  <si>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</si>
  <si>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</si>
  <si>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</si>
  <si>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</si>
  <si>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</si>
  <si>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</si>
  <si>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</si>
  <si>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</si>
  <si>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</si>
  <si>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</si>
  <si>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</si>
  <si>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Implied Return</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</si>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</sst>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551</v>
      </c>
      <c r="E4" s="435" t="s">
        <v>539</v>
      </c>
      <c r="F4" s="436" t="s">
        <v>324</v>
      </c>
    </row>
    <row r="5" spans="1:9">
      <c r="B5" s="1" t="s">
        <v>349</v>
      </c>
      <c r="C5" s="46" t="s">
        <v>552</v>
      </c>
      <c r="E5" s="438" t="s">
        <v>541</v>
      </c>
      <c r="F5" s="437" t="s">
        <v>550</v>
      </c>
    </row>
    <row r="6" spans="1:9">
      <c r="B6" s="2" t="s">
        <v>53</v>
      </c>
      <c r="C6" s="45" t="s">
        <v>553</v>
      </c>
      <c r="D6" s="45"/>
      <c r="E6" s="45"/>
    </row>
    <row r="7" spans="1:9">
      <c r="B7" s="1" t="s">
        <v>351</v>
      </c>
      <c r="C7" s="45" t="s">
        <v>308</v>
      </c>
      <c r="D7" s="45"/>
      <c r="E7" s="45"/>
    </row>
    <row r="8" spans="1:9">
      <c r="B8" s="4" t="s">
        <v>350</v>
      </c>
      <c r="C8" s="47">
        <v>6.98</v>
      </c>
      <c r="E8" s="32"/>
    </row>
    <row r="9" spans="1:9">
      <c r="B9" s="4" t="s">
        <v>346</v>
      </c>
      <c r="C9" s="48">
        <v>8658801708</v>
      </c>
    </row>
    <row r="10" spans="1:9">
      <c r="B10" s="4" t="s">
        <v>352</v>
      </c>
      <c r="C10" s="33">
        <f>Thesis!C8*Common_Shares/1000000</f>
        <v>60438.435921840006</v>
      </c>
      <c r="D10" s="1" t="s">
        <v>530</v>
      </c>
      <c r="E10" s="307">
        <f>Scenarios!F34</f>
        <v>0.18869665596086194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1.09146385</v>
      </c>
    </row>
    <row r="17" spans="1:6">
      <c r="B17" s="1" t="s">
        <v>534</v>
      </c>
      <c r="C17" s="420">
        <v>0</v>
      </c>
      <c r="D17" s="4" t="s">
        <v>274</v>
      </c>
      <c r="E17" s="224" t="s">
        <v>545</v>
      </c>
    </row>
    <row r="18" spans="1:6">
      <c r="B18" s="1" t="str">
        <f>"Expected Equity Value ("&amp;C7&amp;") :"</f>
        <v>Expected Equity Value (HKD) :</v>
      </c>
      <c r="C18" s="255">
        <f>C125</f>
        <v>10.606500569973274</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5.4554372531177178</v>
      </c>
      <c r="D22" s="38" t="s">
        <v>408</v>
      </c>
      <c r="E22" s="79">
        <v>0.29465259038036606</v>
      </c>
    </row>
    <row r="23" spans="1:6">
      <c r="B23" s="1" t="s">
        <v>313</v>
      </c>
      <c r="C23" s="259">
        <f>E141</f>
        <v>6.7791939085382324</v>
      </c>
      <c r="D23" s="38" t="s">
        <v>409</v>
      </c>
      <c r="E23" s="448">
        <v>0.20075184365903009</v>
      </c>
    </row>
    <row r="24" spans="1:6">
      <c r="B24" s="1" t="s">
        <v>315</v>
      </c>
      <c r="C24" s="259">
        <f>E144</f>
        <v>8.3507472596129357</v>
      </c>
      <c r="D24" s="38" t="s">
        <v>410</v>
      </c>
      <c r="E24" s="448">
        <v>0.1174</v>
      </c>
    </row>
    <row r="25" spans="1:6">
      <c r="B25" s="1" t="s">
        <v>314</v>
      </c>
      <c r="C25" s="259">
        <f>E145</f>
        <v>9.4080592339596905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86.983776432773993</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-716.01622356722601</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-3909.5359441081937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10034.927921565006</v>
      </c>
      <c r="D60" s="1" t="str">
        <f>Reporting_currency</f>
        <v>CNY</v>
      </c>
    </row>
    <row r="61" spans="2:6">
      <c r="B61" s="44" t="s">
        <v>213</v>
      </c>
      <c r="C61" s="289">
        <f>Normalized_FCF!C19</f>
        <v>5447.0014946251558</v>
      </c>
      <c r="D61" s="1" t="str">
        <f>Reporting_currency</f>
        <v>CNY</v>
      </c>
    </row>
    <row r="62" spans="2:6">
      <c r="B62" s="204" t="s">
        <v>302</v>
      </c>
      <c r="C62" s="89">
        <f>Normalized_FCF!C124</f>
        <v>9.8367952968997516E-2</v>
      </c>
      <c r="F62" s="260"/>
    </row>
    <row r="63" spans="2:6">
      <c r="B63" s="204" t="s">
        <v>332</v>
      </c>
      <c r="C63" s="89">
        <f>Normalized_FCF!C92</f>
        <v>4.4443532298997127E-2</v>
      </c>
      <c r="E63" s="44" t="s">
        <v>322</v>
      </c>
      <c r="F63" s="261">
        <f>Normalized_FCF!C90</f>
        <v>0.54792583928845573</v>
      </c>
    </row>
    <row r="65" spans="1:6">
      <c r="B65" s="192" t="s">
        <v>325</v>
      </c>
      <c r="C65" s="267" t="s">
        <v>327</v>
      </c>
      <c r="D65" s="267" t="s">
        <v>328</v>
      </c>
    </row>
    <row r="66" spans="1:6">
      <c r="B66" s="44" t="s">
        <v>326</v>
      </c>
      <c r="C66" s="89">
        <f>Normalized_FCF!C119</f>
        <v>0.17171941600158974</v>
      </c>
      <c r="D66" s="89">
        <f>Normalized_FCF!G119</f>
        <v>0.18348846929289109</v>
      </c>
    </row>
    <row r="67" spans="1:6">
      <c r="B67" s="229" t="str">
        <f>Normalized_FCF!B116</f>
        <v>Pre-tax Profit/Sales</v>
      </c>
      <c r="C67" s="266">
        <f>Normalized_FCF!C116</f>
        <v>8.3605871157002951E-2</v>
      </c>
      <c r="D67" s="266">
        <f>Normalized_FCF!G116</f>
        <v>8.9335927641141788E-2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-2.5746228967979503</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28377.703927871</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3.5770813361689013</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2.193313997761779E-2</v>
      </c>
      <c r="D90" s="1" t="str">
        <f>Market_currency</f>
        <v>HKD</v>
      </c>
    </row>
    <row r="91" spans="1:6">
      <c r="A91" s="191"/>
    </row>
    <row r="92" spans="1:6">
      <c r="A92" s="191"/>
      <c r="B92" s="44" t="s">
        <v>472</v>
      </c>
      <c r="C92" s="216">
        <f>DCF!F8</f>
        <v>1.0243915793485687</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-2.8803885154399467</v>
      </c>
      <c r="D111" s="1" t="str">
        <f>Market_currency</f>
        <v>HKD</v>
      </c>
    </row>
    <row r="112" spans="2:6">
      <c r="B112" s="44" t="s">
        <v>323</v>
      </c>
      <c r="C112" s="216">
        <f>DCF!C11</f>
        <v>10.494851051398259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DCF!B82&amp;" ("&amp;DCF!D82&amp;"yrs)"</f>
        <v>Snowball Scenario (5yrs)</v>
      </c>
      <c r="C118" s="206">
        <f>DCF!C82</f>
        <v>0.04</v>
      </c>
      <c r="D118" s="207" t="str">
        <f>ROUND(DCF!E82,2)&amp;" "&amp;Market_currency</f>
        <v>12.38 HKD</v>
      </c>
      <c r="E118" s="208">
        <f>DCF!F82</f>
        <v>0.1</v>
      </c>
      <c r="F118" s="208">
        <f>RATE(Holding_Period,Scenarios!C$58,-DCF!E82,C$18)</f>
        <v>-2.3901425606718627E-2</v>
      </c>
    </row>
    <row r="119" spans="2:6">
      <c r="B119" s="205" t="str">
        <f>DCF!B83&amp;" ("&amp;DCF!D83&amp;"yrs)"</f>
        <v>Optimistic (5yrs)</v>
      </c>
      <c r="C119" s="198">
        <f>DCF!C83</f>
        <v>0.02</v>
      </c>
      <c r="D119" s="207" t="str">
        <f>ROUND(DCF!E83,2)&amp;" "&amp;Market_currency</f>
        <v>11.4 HKD</v>
      </c>
      <c r="E119" s="199">
        <f>DCF!F83</f>
        <v>8.0000000000000029E-2</v>
      </c>
      <c r="F119" s="208">
        <f>RATE(Holding_Period,Scenarios!C$58,-DCF!E83,C$18)</f>
        <v>3.9891958704101433E-3</v>
      </c>
    </row>
    <row r="120" spans="2:6">
      <c r="B120" s="205" t="str">
        <f>DCF!B84&amp;" ("&amp;DCF!D84&amp;"yrs)"</f>
        <v>Base (5yrs)</v>
      </c>
      <c r="C120" s="198">
        <f>DCF!C84</f>
        <v>0.01</v>
      </c>
      <c r="D120" s="207" t="str">
        <f>ROUND(DCF!E84,2)&amp;" "&amp;Market_currency</f>
        <v>10.94 HKD</v>
      </c>
      <c r="E120" s="199">
        <f>DCF!F84</f>
        <v>0.48</v>
      </c>
      <c r="F120" s="208">
        <f>RATE(Holding_Period,Scenarios!C$58,-DCF!E84,C$18)</f>
        <v>1.834840071432017E-2</v>
      </c>
    </row>
    <row r="121" spans="2:6">
      <c r="B121" s="205" t="str">
        <f>DCF!B85&amp;" ("&amp;DCF!D85&amp;"yrs)"</f>
        <v>Pessimistic (5yrs)</v>
      </c>
      <c r="C121" s="198">
        <f>DCF!C85</f>
        <v>0</v>
      </c>
      <c r="D121" s="207" t="str">
        <f>ROUND(DCF!E85,2)&amp;" "&amp;Market_currency</f>
        <v>10.49 HKD</v>
      </c>
      <c r="E121" s="199">
        <f>DCF!F85</f>
        <v>0.24</v>
      </c>
      <c r="F121" s="208">
        <f>RATE(Holding_Period,Scenarios!C$58,-DCF!E85,C$18)</f>
        <v>3.2990571219443508E-2</v>
      </c>
    </row>
    <row r="122" spans="2:6">
      <c r="B122" s="205" t="str">
        <f>DCF!B86&amp;" ("&amp;DCF!D86&amp;"yrs)"</f>
        <v>Devil's advocate (5yrs)</v>
      </c>
      <c r="C122" s="198">
        <f>DCF!C86</f>
        <v>-0.1</v>
      </c>
      <c r="D122" s="207" t="str">
        <f>ROUND(DCF!E86,2)&amp;" "&amp;Market_currency</f>
        <v>6.86 HKD</v>
      </c>
      <c r="E122" s="199">
        <f>DCF!F86</f>
        <v>0.1</v>
      </c>
      <c r="F122" s="208">
        <f>RATE(Holding_Period,Scenarios!C$58,-DCF!E86,C$18)</f>
        <v>0.19609585102762633</v>
      </c>
    </row>
    <row r="124" spans="2:6">
      <c r="B124" s="459" t="s">
        <v>357</v>
      </c>
      <c r="C124" s="459"/>
      <c r="D124" s="459"/>
      <c r="E124" s="459"/>
      <c r="F124" s="459"/>
    </row>
    <row r="125" spans="2:6">
      <c r="B125" s="193" t="s">
        <v>218</v>
      </c>
      <c r="C125" s="197">
        <f>Scenarios!C36</f>
        <v>10.606500569973274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0.31021585544699998</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0.56764897202404196</v>
      </c>
      <c r="D140" s="337">
        <f>Scenarios!D62</f>
        <v>4.8877882810936759</v>
      </c>
      <c r="E140" s="338">
        <f>Scenarios!E62</f>
        <v>5.4554372531177178</v>
      </c>
      <c r="F140" s="339">
        <f>E22</f>
        <v>0.29465259038036606</v>
      </c>
    </row>
    <row r="141" spans="1:6">
      <c r="B141" s="340" t="s">
        <v>313</v>
      </c>
      <c r="C141" s="337">
        <f>Scenarios!C63</f>
        <v>0.65269538436594166</v>
      </c>
      <c r="D141" s="337">
        <f>Scenarios!D63</f>
        <v>6.1264985241722911</v>
      </c>
      <c r="E141" s="338">
        <f>Scenarios!E63</f>
        <v>6.7791939085382324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0.74842774256716416</v>
      </c>
      <c r="D144" s="337">
        <f>Scenarios!D66</f>
        <v>7.602319517045772</v>
      </c>
      <c r="E144" s="338">
        <f>Scenarios!E66</f>
        <v>8.3507472596129357</v>
      </c>
      <c r="F144" s="339">
        <f>E24</f>
        <v>0.1174</v>
      </c>
    </row>
    <row r="145" spans="1:6">
      <c r="B145" s="340" t="s">
        <v>314</v>
      </c>
      <c r="C145" s="337">
        <f>Scenarios!C67</f>
        <v>0.81040021584602806</v>
      </c>
      <c r="D145" s="337">
        <f>Scenarios!D67</f>
        <v>8.5976590181136618</v>
      </c>
      <c r="E145" s="338">
        <f>Scenarios!E67</f>
        <v>9.4080592339596905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0.34468428382999999</v>
      </c>
      <c r="D25" s="37">
        <f>(0.2838)*Exchange_Rate</f>
        <v>0.30975744062999999</v>
      </c>
      <c r="E25" s="37">
        <f>0.2539*Exchange_Rate</f>
        <v>0.27712267151500003</v>
      </c>
      <c r="F25" s="37">
        <f>0.2078*Exchange_Rate</f>
        <v>0.22680618803000002</v>
      </c>
      <c r="G25" s="37"/>
      <c r="H25" s="37"/>
      <c r="I25" s="37"/>
      <c r="J25" s="37"/>
      <c r="K25" s="37"/>
      <c r="L25" s="37"/>
      <c r="M25" s="37"/>
    </row>
    <row r="27" spans="2:13">
      <c r="B27" s="16" t="s">
        <v>26</v>
      </c>
      <c r="C27" s="94" t="s">
        <v>554</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0.34468428382999999</v>
      </c>
      <c r="D65" s="70">
        <f t="shared" ref="D65:M65" si="33">IF(D$4="","",D25)</f>
        <v>0.30975744062999999</v>
      </c>
      <c r="E65" s="70">
        <f t="shared" si="33"/>
        <v>0.27712267151500003</v>
      </c>
      <c r="F65" s="70">
        <f t="shared" si="33"/>
        <v>0.22680618803000002</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8.4440067863256338</v>
      </c>
      <c r="D47" s="134">
        <f>D46*H1/Common_Shares*Exchange_Rate</f>
        <v>-2.8803885154399467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28377.703927871</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-14497.296072128998</v>
      </c>
      <c r="D73" s="289">
        <f>(Normalized_FCF!C26+Normalized_FCF!C35-Normalized_FCF!C89)/12</f>
        <v>-14497.296072128998</v>
      </c>
      <c r="F73" s="1" t="s">
        <v>278</v>
      </c>
    </row>
    <row r="74" spans="2:6" ht="15" customHeight="1">
      <c r="B74" s="227" t="s">
        <v>259</v>
      </c>
      <c r="C74" s="228">
        <f>-$C$66/C73</f>
        <v>2.9574480500834248</v>
      </c>
      <c r="D74" s="228">
        <f>-$C$66/D73</f>
        <v>2.9574480500834248</v>
      </c>
      <c r="F74" s="223" t="s">
        <v>257</v>
      </c>
    </row>
    <row r="75" spans="2:6" ht="15" customHeight="1">
      <c r="B75" s="77" t="s">
        <v>258</v>
      </c>
      <c r="C75" s="264"/>
      <c r="D75" s="265">
        <f>MAX(-D73*D76,G5)</f>
        <v>14497.296072128998</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22293.149136250002</v>
      </c>
      <c r="D86" s="201">
        <f>C86*scaling_factor/Common_Shares</f>
        <v>2.5746228967979503</v>
      </c>
      <c r="E86" s="214" t="str">
        <f>Market_currency</f>
        <v>HKD</v>
      </c>
    </row>
    <row r="87" spans="2:8" ht="15" customHeight="1">
      <c r="B87" s="212" t="s">
        <v>240</v>
      </c>
      <c r="C87" s="73">
        <f>DCF!F5*Exchange_Rate</f>
        <v>30973.237983274204</v>
      </c>
      <c r="D87" s="201">
        <f>C87*scaling_factor/Common_Shares</f>
        <v>3.5770813361689013</v>
      </c>
      <c r="E87" s="214" t="str">
        <f>Market_currency</f>
        <v>HKD</v>
      </c>
    </row>
    <row r="88" spans="2:8" ht="15" customHeight="1">
      <c r="B88" s="213" t="s">
        <v>159</v>
      </c>
      <c r="C88" s="73">
        <f>DCF!F6*Exchange_Rate</f>
        <v>189.91470989999999</v>
      </c>
      <c r="D88" s="201">
        <f>C88*scaling_factor/Common_Shares</f>
        <v>2.193313997761779E-2</v>
      </c>
      <c r="E88" s="214" t="str">
        <f>Market_currency</f>
        <v>HKD</v>
      </c>
    </row>
    <row r="89" spans="2:8" ht="15" customHeight="1">
      <c r="B89" s="77" t="s">
        <v>244</v>
      </c>
      <c r="C89" s="162">
        <f>SUM(C86:C88)</f>
        <v>53456.301829424207</v>
      </c>
      <c r="D89" s="216">
        <f>SUM(D86:D88)</f>
        <v>6.1736373729444693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-716.01622356722601</v>
      </c>
      <c r="E10" s="238"/>
      <c r="G10" s="270">
        <f>G48</f>
        <v>-479.07207843499521</v>
      </c>
      <c r="H10" s="270">
        <f t="shared" ref="H10:Q10" si="6">H48</f>
        <v>-665.82746162677017</v>
      </c>
      <c r="I10" s="270">
        <f t="shared" si="6"/>
        <v>-608.54688452574203</v>
      </c>
      <c r="J10" s="270">
        <f t="shared" si="6"/>
        <v>-604.12957149489819</v>
      </c>
      <c r="K10" s="270">
        <f t="shared" si="6"/>
        <v>-596.41731303084384</v>
      </c>
      <c r="L10" s="270">
        <f t="shared" si="6"/>
        <v>-895.35255688015513</v>
      </c>
      <c r="M10" s="270">
        <f t="shared" si="6"/>
        <v>-1030.2518404366635</v>
      </c>
      <c r="N10" s="270">
        <f t="shared" si="6"/>
        <v>-1073.6547062106304</v>
      </c>
      <c r="O10" s="270">
        <f t="shared" si="6"/>
        <v>-566.99285529625604</v>
      </c>
      <c r="P10" s="270">
        <f t="shared" si="6"/>
        <v>-500.9208952483026</v>
      </c>
      <c r="Q10" s="270" t="str">
        <f t="shared" si="6"/>
        <v/>
      </c>
    </row>
    <row r="11" spans="1:17" ht="15.75" customHeight="1">
      <c r="A11" s="10"/>
      <c r="B11" s="67" t="s">
        <v>137</v>
      </c>
      <c r="C11" s="271">
        <f>SUM(C8:C10)</f>
        <v>15638.143776432775</v>
      </c>
      <c r="E11" s="238"/>
      <c r="G11" s="271">
        <f t="shared" ref="G11:Q11" si="7">IF(G$4="","",SUM(G8:G10))</f>
        <v>16709.927921565006</v>
      </c>
      <c r="H11" s="271">
        <f t="shared" si="7"/>
        <v>17016.17253837323</v>
      </c>
      <c r="I11" s="271">
        <f t="shared" si="7"/>
        <v>16731.453115474258</v>
      </c>
      <c r="J11" s="271">
        <f t="shared" si="7"/>
        <v>14520.870428505103</v>
      </c>
      <c r="K11" s="271">
        <f t="shared" si="7"/>
        <v>11496.582686969155</v>
      </c>
      <c r="L11" s="271">
        <f t="shared" si="7"/>
        <v>20325.647443119844</v>
      </c>
      <c r="M11" s="271">
        <f t="shared" si="7"/>
        <v>19125.748159563336</v>
      </c>
      <c r="N11" s="271">
        <f t="shared" si="7"/>
        <v>16885.345293789371</v>
      </c>
      <c r="O11" s="271">
        <f t="shared" si="7"/>
        <v>17654.007144703744</v>
      </c>
      <c r="P11" s="271">
        <f t="shared" si="7"/>
        <v>11794.079104751698</v>
      </c>
      <c r="Q11" s="271" t="str">
        <f t="shared" si="7"/>
        <v/>
      </c>
    </row>
    <row r="12" spans="1:17" ht="15.75" customHeight="1">
      <c r="A12" s="10"/>
      <c r="B12" s="2" t="s">
        <v>60</v>
      </c>
      <c r="C12" s="270">
        <f>-C11*C41</f>
        <v>-3909.5359441081937</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5447.0014946251558</v>
      </c>
      <c r="D14" s="58"/>
      <c r="E14" s="246"/>
      <c r="F14" s="58"/>
      <c r="G14" s="271">
        <f t="shared" ref="G14:Q14" si="8">IF(G$4="","",SUM(G11:G13))</f>
        <v>10034.927921565006</v>
      </c>
      <c r="H14" s="271">
        <f t="shared" si="8"/>
        <v>10105.17253837323</v>
      </c>
      <c r="I14" s="271">
        <f t="shared" si="8"/>
        <v>10567.453115474258</v>
      </c>
      <c r="J14" s="271">
        <f t="shared" si="8"/>
        <v>8501.8704285051026</v>
      </c>
      <c r="K14" s="271">
        <f t="shared" si="8"/>
        <v>5514.5826869691555</v>
      </c>
      <c r="L14" s="271">
        <f t="shared" si="8"/>
        <v>12231.647443119844</v>
      </c>
      <c r="M14" s="271">
        <f t="shared" si="8"/>
        <v>11774.748159563336</v>
      </c>
      <c r="N14" s="271">
        <f t="shared" si="8"/>
        <v>10165.345293789371</v>
      </c>
      <c r="O14" s="271">
        <f t="shared" si="8"/>
        <v>11198.007144703744</v>
      </c>
      <c r="P14" s="271">
        <f t="shared" si="8"/>
        <v>7004.0791047516977</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5447.0014946251558</v>
      </c>
      <c r="D19" s="26"/>
      <c r="E19" s="235"/>
      <c r="F19" s="26"/>
      <c r="G19" s="275">
        <f t="shared" ref="G19:Q19" si="9">IF(G$4="","",G14+G17)</f>
        <v>10034.927921565006</v>
      </c>
      <c r="H19" s="275">
        <f t="shared" si="9"/>
        <v>10105.17253837323</v>
      </c>
      <c r="I19" s="275">
        <f t="shared" si="9"/>
        <v>10567.453115474258</v>
      </c>
      <c r="J19" s="275">
        <f t="shared" si="9"/>
        <v>8501.8704285051026</v>
      </c>
      <c r="K19" s="275">
        <f t="shared" si="9"/>
        <v>5514.5826869691555</v>
      </c>
      <c r="L19" s="275">
        <f t="shared" si="9"/>
        <v>12231.647443119844</v>
      </c>
      <c r="M19" s="275">
        <f t="shared" si="9"/>
        <v>11774.748159563336</v>
      </c>
      <c r="N19" s="275">
        <f t="shared" si="9"/>
        <v>10165.345293789371</v>
      </c>
      <c r="O19" s="275">
        <f t="shared" si="9"/>
        <v>11198.007144703744</v>
      </c>
      <c r="P19" s="275">
        <f t="shared" si="9"/>
        <v>7004.0791047516977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0.18719410488678159</v>
      </c>
      <c r="H41" s="6">
        <f t="shared" si="16"/>
        <v>0.19616632309483609</v>
      </c>
      <c r="I41" s="6">
        <f t="shared" si="16"/>
        <v>0.19059910564794999</v>
      </c>
      <c r="J41" s="6">
        <f t="shared" si="16"/>
        <v>0.18580153395651189</v>
      </c>
      <c r="K41" s="6">
        <f t="shared" si="16"/>
        <v>0.20119021999656284</v>
      </c>
      <c r="L41" s="6">
        <f t="shared" si="16"/>
        <v>0.20043641962209838</v>
      </c>
      <c r="M41" s="6">
        <f t="shared" si="16"/>
        <v>0.19722104299035795</v>
      </c>
      <c r="N41" s="6">
        <f t="shared" si="16"/>
        <v>0.20911624480067598</v>
      </c>
      <c r="O41" s="6">
        <f t="shared" si="16"/>
        <v>0.20964078974615749</v>
      </c>
      <c r="P41" s="6">
        <f t="shared" si="16"/>
        <v>0.22104311636757379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86.983776432773993</v>
      </c>
      <c r="E46" s="238"/>
      <c r="G46" s="278">
        <f t="shared" ref="G46:Q46" si="17">IFERROR(IF(G$4="","",($C$46/$C$47)*G47),0)</f>
        <v>323.92792156500479</v>
      </c>
      <c r="H46" s="278">
        <f t="shared" si="17"/>
        <v>294.17253837322983</v>
      </c>
      <c r="I46" s="278">
        <f t="shared" si="17"/>
        <v>290.45311547425797</v>
      </c>
      <c r="J46" s="278">
        <f t="shared" si="17"/>
        <v>178.87042850510181</v>
      </c>
      <c r="K46" s="278">
        <f t="shared" si="17"/>
        <v>111.58268696915614</v>
      </c>
      <c r="L46" s="278">
        <f t="shared" si="17"/>
        <v>92.647443119844809</v>
      </c>
      <c r="M46" s="278">
        <f t="shared" si="17"/>
        <v>99.748159563336557</v>
      </c>
      <c r="N46" s="278">
        <f t="shared" si="17"/>
        <v>71.345293789369535</v>
      </c>
      <c r="O46" s="278">
        <f t="shared" si="17"/>
        <v>118.00714470374393</v>
      </c>
      <c r="P46" s="278">
        <f t="shared" si="17"/>
        <v>76.079104751697372</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-716.01622356722601</v>
      </c>
      <c r="E48" s="238"/>
      <c r="G48" s="271">
        <f>IF(G$4="","",(G45+G46))</f>
        <v>-479.07207843499521</v>
      </c>
      <c r="H48" s="271">
        <f t="shared" ref="H48:Q48" si="18">IF(H$4="","",(H45+H46))</f>
        <v>-665.82746162677017</v>
      </c>
      <c r="I48" s="271">
        <f t="shared" si="18"/>
        <v>-608.54688452574203</v>
      </c>
      <c r="J48" s="271">
        <f t="shared" si="18"/>
        <v>-604.12957149489819</v>
      </c>
      <c r="K48" s="271">
        <f t="shared" si="18"/>
        <v>-596.41731303084384</v>
      </c>
      <c r="L48" s="271">
        <f t="shared" si="18"/>
        <v>-895.35255688015513</v>
      </c>
      <c r="M48" s="271">
        <f t="shared" si="18"/>
        <v>-1030.2518404366635</v>
      </c>
      <c r="N48" s="271">
        <f t="shared" si="18"/>
        <v>-1073.6547062106304</v>
      </c>
      <c r="O48" s="271">
        <f t="shared" si="18"/>
        <v>-566.99285529625604</v>
      </c>
      <c r="P48" s="271">
        <f t="shared" si="18"/>
        <v>-500.9208952483026</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3.8280221098939619E-3</v>
      </c>
      <c r="D76" s="26"/>
      <c r="E76" s="235"/>
      <c r="F76" s="26"/>
      <c r="G76" s="6">
        <f t="shared" ref="G76:Q76" si="28">IF(G$4="","",ABS(G10/G$4))</f>
        <v>2.5612527316007569E-3</v>
      </c>
      <c r="H76" s="6">
        <f t="shared" si="28"/>
        <v>3.7542286141094656E-3</v>
      </c>
      <c r="I76" s="6">
        <f t="shared" si="28"/>
        <v>3.539215584874971E-3</v>
      </c>
      <c r="J76" s="6">
        <f t="shared" si="28"/>
        <v>4.36046663944292E-3</v>
      </c>
      <c r="K76" s="6">
        <f t="shared" si="28"/>
        <v>5.4591474039674135E-3</v>
      </c>
      <c r="L76" s="6">
        <f t="shared" si="28"/>
        <v>7.9015872572445797E-3</v>
      </c>
      <c r="M76" s="6">
        <f t="shared" si="28"/>
        <v>9.768197975127178E-3</v>
      </c>
      <c r="N76" s="6">
        <f t="shared" si="28"/>
        <v>1.2103518434047644E-2</v>
      </c>
      <c r="O76" s="6">
        <f t="shared" si="28"/>
        <v>6.9245115568288031E-3</v>
      </c>
      <c r="P76" s="6">
        <f t="shared" si="28"/>
        <v>1.2029511665144991E-2</v>
      </c>
      <c r="Q76" s="6" t="str">
        <f t="shared" si="28"/>
        <v/>
      </c>
    </row>
    <row r="77" spans="1:17" ht="15.75" customHeight="1">
      <c r="A77" s="10"/>
      <c r="B77" s="67" t="s">
        <v>137</v>
      </c>
      <c r="C77" s="75">
        <f>C11/C4</f>
        <v>8.3605871157002951E-2</v>
      </c>
      <c r="D77" s="26"/>
      <c r="E77" s="235"/>
      <c r="F77" s="26"/>
      <c r="G77" s="62">
        <f t="shared" ref="G77:Q77" si="29">IF(G$4="","",G11/G$4)</f>
        <v>8.9335927641141788E-2</v>
      </c>
      <c r="H77" s="62">
        <f t="shared" si="29"/>
        <v>9.5944678656095891E-2</v>
      </c>
      <c r="I77" s="62">
        <f t="shared" si="29"/>
        <v>9.7307571741231197E-2</v>
      </c>
      <c r="J77" s="62">
        <f t="shared" si="29"/>
        <v>0.10480826310569773</v>
      </c>
      <c r="K77" s="62">
        <f t="shared" si="29"/>
        <v>0.10523091492955813</v>
      </c>
      <c r="L77" s="62">
        <f t="shared" si="29"/>
        <v>0.17937613021559612</v>
      </c>
      <c r="M77" s="62">
        <f t="shared" si="29"/>
        <v>0.18133827779997475</v>
      </c>
      <c r="N77" s="62">
        <f t="shared" si="29"/>
        <v>0.19035178334937175</v>
      </c>
      <c r="O77" s="62">
        <f t="shared" si="29"/>
        <v>0.21560302807337076</v>
      </c>
      <c r="P77" s="62">
        <f t="shared" si="29"/>
        <v>0.28323236965374743</v>
      </c>
      <c r="Q77" s="62" t="str">
        <f t="shared" si="29"/>
        <v/>
      </c>
    </row>
    <row r="78" spans="1:17" ht="15.75" customHeight="1">
      <c r="A78" s="10"/>
      <c r="B78" s="2" t="s">
        <v>60</v>
      </c>
      <c r="C78" s="74">
        <f>ABS(C12/C$4)</f>
        <v>2.0901467789250738E-2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2.9121186738156155E-2</v>
      </c>
      <c r="D80" s="26"/>
      <c r="E80" s="235"/>
      <c r="F80" s="26"/>
      <c r="G80" s="62">
        <f t="shared" ref="G80:Q80" si="32">IF(G$4="","",ABS(G14/G$4))</f>
        <v>5.3649518950231526E-2</v>
      </c>
      <c r="H80" s="62">
        <f t="shared" si="32"/>
        <v>5.6977415442410265E-2</v>
      </c>
      <c r="I80" s="62">
        <f t="shared" si="32"/>
        <v>6.1458690710197841E-2</v>
      </c>
      <c r="J80" s="62">
        <f t="shared" si="32"/>
        <v>6.136452199257366E-2</v>
      </c>
      <c r="K80" s="62">
        <f t="shared" si="32"/>
        <v>5.0476267374844674E-2</v>
      </c>
      <c r="L80" s="62">
        <f t="shared" si="32"/>
        <v>0.10794566769143737</v>
      </c>
      <c r="M80" s="62">
        <f t="shared" si="32"/>
        <v>0.11164073347457415</v>
      </c>
      <c r="N80" s="62">
        <f t="shared" si="32"/>
        <v>0.11459591565158356</v>
      </c>
      <c r="O80" s="62">
        <f t="shared" si="32"/>
        <v>0.13675786063730422</v>
      </c>
      <c r="P80" s="62">
        <f t="shared" si="32"/>
        <v>0.16820151064459782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2.9121186738156155E-2</v>
      </c>
      <c r="D85" s="72"/>
      <c r="E85" s="235"/>
      <c r="F85" s="72"/>
      <c r="G85" s="62">
        <f t="shared" ref="G85:Q85" si="35">IF(G$4="","",ABS(G19/G$4))</f>
        <v>5.3649518950231526E-2</v>
      </c>
      <c r="H85" s="62">
        <f t="shared" si="35"/>
        <v>5.6977415442410265E-2</v>
      </c>
      <c r="I85" s="62">
        <f t="shared" si="35"/>
        <v>6.1458690710197841E-2</v>
      </c>
      <c r="J85" s="62">
        <f t="shared" si="35"/>
        <v>6.136452199257366E-2</v>
      </c>
      <c r="K85" s="62">
        <f t="shared" si="35"/>
        <v>5.0476267374844674E-2</v>
      </c>
      <c r="L85" s="62">
        <f t="shared" si="35"/>
        <v>0.10794566769143737</v>
      </c>
      <c r="M85" s="62">
        <f t="shared" si="35"/>
        <v>0.11164073347457415</v>
      </c>
      <c r="N85" s="62">
        <f t="shared" si="35"/>
        <v>0.11459591565158356</v>
      </c>
      <c r="O85" s="62">
        <f t="shared" si="35"/>
        <v>0.13675786063730422</v>
      </c>
      <c r="P85" s="62">
        <f t="shared" si="35"/>
        <v>0.16820151064459782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0.34468428382999999</v>
      </c>
      <c r="E88" s="238"/>
      <c r="G88" s="109">
        <f>Data!C65</f>
        <v>0.34468428382999999</v>
      </c>
      <c r="H88" s="109">
        <f>Data!D65</f>
        <v>0.30975744062999999</v>
      </c>
      <c r="I88" s="109">
        <f>Data!E65</f>
        <v>0.27712267151500003</v>
      </c>
      <c r="J88" s="109">
        <f>Data!F65</f>
        <v>0.22680618803000002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2984.5528655479607</v>
      </c>
      <c r="E89" s="238"/>
      <c r="G89" s="71">
        <f t="shared" ref="G89:Q89" si="36">IF(G$4="","",G88*Common_Shares/scaling_factor)</f>
        <v>2984.5528655479607</v>
      </c>
      <c r="H89" s="71">
        <f t="shared" si="36"/>
        <v>2682.1282559927527</v>
      </c>
      <c r="I89" s="71">
        <f t="shared" si="36"/>
        <v>2399.550261439605</v>
      </c>
      <c r="J89" s="71">
        <f t="shared" si="36"/>
        <v>1963.8698082991334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0.54792583928845573</v>
      </c>
      <c r="E90" s="238"/>
      <c r="G90" s="152">
        <f t="shared" ref="G90:Q90" si="37">IF(G$4="","",G88/(G19*scaling_factor/Common_Shares))</f>
        <v>0.29741647263197302</v>
      </c>
      <c r="H90" s="152">
        <f t="shared" si="37"/>
        <v>0.26542132218006959</v>
      </c>
      <c r="I90" s="152">
        <f t="shared" si="37"/>
        <v>0.2270698753255756</v>
      </c>
      <c r="J90" s="152">
        <f t="shared" si="37"/>
        <v>0.23099267682493296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4.4443532298997127E-2</v>
      </c>
      <c r="E92" s="238"/>
      <c r="G92" s="22">
        <f t="shared" ref="G92:Q92" si="38">IF(G$4="","",(G88*(1-dividend_tax_rate))/Market_Price)</f>
        <v>4.4443532298997127E-2</v>
      </c>
      <c r="H92" s="22">
        <f t="shared" si="38"/>
        <v>3.9940071141404014E-2</v>
      </c>
      <c r="I92" s="22">
        <f t="shared" si="38"/>
        <v>3.5732149622277942E-2</v>
      </c>
      <c r="J92" s="22">
        <f t="shared" si="38"/>
        <v>2.9244350892120349E-2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-6.4140560639345368E-2</v>
      </c>
      <c r="D96" s="26"/>
      <c r="E96" s="235"/>
      <c r="F96" s="26"/>
      <c r="G96" s="6">
        <f t="shared" ref="G96:Q96" si="40">IF(H5="","",G11/H11-1)</f>
        <v>-1.7997267958914431E-2</v>
      </c>
      <c r="H96" s="6">
        <f t="shared" si="40"/>
        <v>1.7017017047709082E-2</v>
      </c>
      <c r="I96" s="6">
        <f t="shared" si="40"/>
        <v>0.15223486070295666</v>
      </c>
      <c r="J96" s="6">
        <f t="shared" si="40"/>
        <v>0.26305971294964348</v>
      </c>
      <c r="K96" s="6">
        <f t="shared" si="40"/>
        <v>-0.43438049296379455</v>
      </c>
      <c r="L96" s="6">
        <f t="shared" si="40"/>
        <v>6.273737756797404E-2</v>
      </c>
      <c r="M96" s="6">
        <f t="shared" si="40"/>
        <v>0.13268327219805287</v>
      </c>
      <c r="N96" s="6">
        <f t="shared" si="40"/>
        <v>-4.3540361381635306E-2</v>
      </c>
      <c r="O96" s="6">
        <f t="shared" si="40"/>
        <v>0.49685337769111193</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1.2470443333337236</v>
      </c>
      <c r="H113" s="254">
        <f>IF(H$4="","",Data!D$22/H19)</f>
        <v>1.425804452649104</v>
      </c>
      <c r="I113" s="254">
        <f>IF(I$4="","",Data!E$22/I19)</f>
        <v>1.4071507900257807</v>
      </c>
      <c r="J113" s="254">
        <f>IF(J$4="","",Data!F$22/J19)</f>
        <v>1.4114541148223521</v>
      </c>
      <c r="K113" s="254">
        <f>IF(K$4="","",Data!G$22/K19)</f>
        <v>3.0352251385316147</v>
      </c>
      <c r="L113" s="254">
        <f>IF(L$4="","",Data!H$22/L19)</f>
        <v>1.3150313622755387</v>
      </c>
      <c r="M113" s="254">
        <f>IF(M$4="","",Data!I$22/M19)</f>
        <v>1.4452963043781235</v>
      </c>
      <c r="N113" s="254">
        <f>IF(N$4="","",Data!J$22/N19)</f>
        <v>1.3070879164446916</v>
      </c>
      <c r="O113" s="254">
        <f>IF(O$4="","",Data!K$22/O19)</f>
        <v>1.4064109619226945</v>
      </c>
      <c r="P113" s="254">
        <f>IF(P$4="","",Data!L$22/P19)</f>
        <v>1.9088876353394615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8.3605871157002951E-2</v>
      </c>
      <c r="E116" s="238"/>
      <c r="G116" s="22">
        <f t="shared" ref="G116:Q116" si="44">IF(G4="","",G77)</f>
        <v>8.9335927641141788E-2</v>
      </c>
      <c r="H116" s="22">
        <f t="shared" si="44"/>
        <v>9.5944678656095891E-2</v>
      </c>
      <c r="I116" s="22">
        <f t="shared" si="44"/>
        <v>9.7307571741231197E-2</v>
      </c>
      <c r="J116" s="22">
        <f t="shared" si="44"/>
        <v>0.10480826310569773</v>
      </c>
      <c r="K116" s="22">
        <f t="shared" si="44"/>
        <v>0.10523091492955813</v>
      </c>
      <c r="L116" s="22">
        <f t="shared" si="44"/>
        <v>0.17937613021559612</v>
      </c>
      <c r="M116" s="22">
        <f t="shared" si="44"/>
        <v>0.18133827779997475</v>
      </c>
      <c r="N116" s="22">
        <f t="shared" si="44"/>
        <v>0.19035178334937175</v>
      </c>
      <c r="O116" s="22">
        <f t="shared" si="44"/>
        <v>0.21560302807337076</v>
      </c>
      <c r="P116" s="22">
        <f t="shared" si="44"/>
        <v>0.28323236965374743</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0.17171941600158974</v>
      </c>
      <c r="D119" s="100"/>
      <c r="E119" s="241"/>
      <c r="F119" s="100"/>
      <c r="G119" s="99">
        <f t="shared" ref="G119:Q119" si="47">IF(G$4="","",G11/G104)</f>
        <v>0.18348846929289109</v>
      </c>
      <c r="H119" s="99">
        <f t="shared" si="47"/>
        <v>0.19836299194914178</v>
      </c>
      <c r="I119" s="99">
        <f t="shared" si="47"/>
        <v>0.20732389674945179</v>
      </c>
      <c r="J119" s="99">
        <f t="shared" si="47"/>
        <v>0.19141417102997724</v>
      </c>
      <c r="K119" s="99">
        <f t="shared" si="47"/>
        <v>0.13601077391802804</v>
      </c>
      <c r="L119" s="99">
        <f t="shared" si="47"/>
        <v>0.25668557735833608</v>
      </c>
      <c r="M119" s="99">
        <f t="shared" si="47"/>
        <v>0.27285856363687816</v>
      </c>
      <c r="N119" s="99">
        <f t="shared" si="47"/>
        <v>0.25730049971488567</v>
      </c>
      <c r="O119" s="99">
        <f t="shared" si="47"/>
        <v>0.26626256948710836</v>
      </c>
      <c r="P119" s="99">
        <f t="shared" si="47"/>
        <v>0.16771058393651808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0.68660831172360259</v>
      </c>
      <c r="D123" s="26"/>
      <c r="E123" s="235"/>
      <c r="F123" s="26"/>
      <c r="G123" s="159">
        <f t="shared" ref="G123:Q123" si="48">IF(G$4="","",G14*$C$3/Common_Shares*Exchange_Rate)</f>
        <v>1.2649280389022439</v>
      </c>
      <c r="H123" s="159">
        <f t="shared" si="48"/>
        <v>1.2737825504719502</v>
      </c>
      <c r="I123" s="159">
        <f t="shared" si="48"/>
        <v>1.3320541861414374</v>
      </c>
      <c r="J123" s="159">
        <f t="shared" si="48"/>
        <v>1.0716822654021365</v>
      </c>
      <c r="K123" s="159">
        <f t="shared" si="48"/>
        <v>0.69512709190483979</v>
      </c>
      <c r="L123" s="159">
        <f t="shared" si="48"/>
        <v>1.541830089234588</v>
      </c>
      <c r="M123" s="159">
        <f t="shared" si="48"/>
        <v>1.4842367792235638</v>
      </c>
      <c r="N123" s="159">
        <f t="shared" si="48"/>
        <v>1.2813674784454052</v>
      </c>
      <c r="O123" s="159">
        <f t="shared" si="48"/>
        <v>1.4115371159491457</v>
      </c>
      <c r="P123" s="159">
        <f t="shared" si="48"/>
        <v>0.88288188171739579</v>
      </c>
      <c r="Q123" s="159" t="str">
        <f t="shared" si="48"/>
        <v/>
      </c>
    </row>
    <row r="124" spans="1:17" ht="15.75" customHeight="1">
      <c r="A124" s="10"/>
      <c r="B124" s="26" t="s">
        <v>226</v>
      </c>
      <c r="C124" s="74">
        <f>C19*Exchange_Rate*$C$3/(Market_Price*Common_Shares)</f>
        <v>9.8367952968997516E-2</v>
      </c>
      <c r="D124" s="26"/>
      <c r="E124" s="235"/>
      <c r="F124" s="26"/>
      <c r="G124" s="74">
        <f t="shared" ref="G124" si="49">IF(G$4="","",G123/Market_Price)</f>
        <v>0.18122178207768536</v>
      </c>
      <c r="H124" s="74">
        <f t="shared" ref="H124" si="50">IF(H$4="","",H123/Market_Price)</f>
        <v>0.18249033674383239</v>
      </c>
      <c r="I124" s="74">
        <f t="shared" ref="I124" si="51">IF(I$4="","",I123/Market_Price)</f>
        <v>0.19083870861625177</v>
      </c>
      <c r="J124" s="74">
        <f t="shared" ref="J124" si="52">IF(J$4="","",J123/Market_Price)</f>
        <v>0.15353614117509118</v>
      </c>
      <c r="K124" s="74">
        <f t="shared" ref="K124" si="53">IF(K$4="","",K123/Market_Price)</f>
        <v>9.9588408582355264E-2</v>
      </c>
      <c r="L124" s="74">
        <f t="shared" ref="L124" si="54">IF(L$4="","",L123/Market_Price)</f>
        <v>0.22089256292759138</v>
      </c>
      <c r="M124" s="74">
        <f t="shared" ref="M124" si="55">IF(M$4="","",M123/Market_Price)</f>
        <v>0.21264137238159939</v>
      </c>
      <c r="N124" s="74">
        <f t="shared" ref="N124" si="56">IF(N$4="","",N123/Market_Price)</f>
        <v>0.18357700264260818</v>
      </c>
      <c r="O124" s="74">
        <f t="shared" ref="O124" si="57">IF(O$4="","",O123/Market_Price)</f>
        <v>0.20222594784371714</v>
      </c>
      <c r="P124" s="74">
        <f t="shared" ref="P124" si="58">IF(P$4="","",P123/Market_Price)</f>
        <v>0.12648737560421142</v>
      </c>
      <c r="Q124" s="74" t="str">
        <f t="shared" ref="Q124" si="59">IF(Q$4="","",Q123/Market_Price)</f>
        <v/>
      </c>
    </row>
    <row r="125" spans="1:17" ht="15.75" customHeight="1">
      <c r="B125" s="2" t="s">
        <v>306</v>
      </c>
      <c r="C125" s="151"/>
      <c r="G125" s="22">
        <f>IF(G$4="","",(Data!C47*$C$3)/(Market_Price*Common_Shares))</f>
        <v>0.15730056304393136</v>
      </c>
      <c r="H125" s="22">
        <f>IF(H$4="","",(Data!D47*$C$3)/(Market_Price*Common_Shares))</f>
        <v>0.15313103092159303</v>
      </c>
      <c r="I125" s="22">
        <f>IF(I$4="","",(Data!E47*$C$3)/(Market_Price*Common_Shares))</f>
        <v>0.13572488888706943</v>
      </c>
      <c r="J125" s="22">
        <f>IF(J$4="","",(Data!F47*$C$3)/(Market_Price*Common_Shares))</f>
        <v>0.4357657440715284</v>
      </c>
      <c r="K125" s="22">
        <f>IF(K$4="","",(Data!G47*$C$3)/(Market_Price*Common_Shares))</f>
        <v>0.16102335958173347</v>
      </c>
      <c r="L125" s="22">
        <f>IF(L$4="","",(Data!H47*$C$3)/(Market_Price*Common_Shares))</f>
        <v>0.1583594918369062</v>
      </c>
      <c r="M125" s="22">
        <f>IF(M$4="","",(Data!I47*$C$3)/(Market_Price*Common_Shares))</f>
        <v>0.13589034651097173</v>
      </c>
      <c r="N125" s="22">
        <f>IF(N$4="","",(Data!J47*$C$3)/(Market_Price*Common_Shares))</f>
        <v>0.13152226523995061</v>
      </c>
      <c r="O125" s="22">
        <f>IF(O$4="","",(Data!K47*$C$3)/(Market_Price*Common_Shares))</f>
        <v>5.6487232800250524E-2</v>
      </c>
      <c r="P125" s="22">
        <f>IF(P$4="","",(Data!L47*$C$3)/(Market_Price*Common_Shares))</f>
        <v>3.83861687453372E-2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5447.0014946251558</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28377.703927871</v>
      </c>
      <c r="G5" t="str">
        <f>Reporting_currency</f>
        <v>CNY</v>
      </c>
      <c r="H5" s="312" t="s">
        <v>396</v>
      </c>
      <c r="I5" s="309">
        <f>Normalized_FCF!C7</f>
        <v>-5830</v>
      </c>
      <c r="J5" s="309"/>
    </row>
    <row r="6" spans="2:15" ht="13.25" customHeight="1">
      <c r="B6" s="136" t="s">
        <v>194</v>
      </c>
      <c r="C6" s="287">
        <f>(C4*(1+Terminal_Growth))/(Equity_Cost-Terminal_Growth)</f>
        <v>75131.055098278011</v>
      </c>
      <c r="D6" t="str">
        <f>Reporting_currency</f>
        <v>CNY</v>
      </c>
      <c r="E6" s="187" t="s">
        <v>436</v>
      </c>
      <c r="F6" s="288">
        <f>BS!H42</f>
        <v>174</v>
      </c>
      <c r="G6" t="str">
        <f>Reporting_currency</f>
        <v>CNY</v>
      </c>
      <c r="H6" s="312" t="s">
        <v>418</v>
      </c>
      <c r="I6" s="309">
        <f>I7+I8</f>
        <v>-424.85622356722598</v>
      </c>
      <c r="J6" s="309"/>
      <c r="N6" s="135"/>
    </row>
    <row r="7" spans="2:15" ht="12.75" customHeight="1">
      <c r="B7" s="322" t="s">
        <v>433</v>
      </c>
      <c r="C7" s="279">
        <f>F7</f>
        <v>8126.7039278709999</v>
      </c>
      <c r="E7" s="140" t="s">
        <v>427</v>
      </c>
      <c r="F7" s="287">
        <f>SUM(F4:F6)</f>
        <v>8126.7039278709999</v>
      </c>
      <c r="G7" t="str">
        <f>Reporting_currency</f>
        <v>CNY</v>
      </c>
      <c r="H7" s="316" t="s">
        <v>419</v>
      </c>
      <c r="I7" s="317">
        <f>Normalized_FCF!C9</f>
        <v>291.16000000000003</v>
      </c>
      <c r="J7" s="317"/>
      <c r="N7" s="308"/>
      <c r="O7" s="308"/>
    </row>
    <row r="8" spans="2:15" ht="13.15">
      <c r="B8" s="136" t="s">
        <v>429</v>
      </c>
      <c r="C8" s="287">
        <f>C6+C7</f>
        <v>83257.759026149011</v>
      </c>
      <c r="D8" t="str">
        <f>Reporting_currency</f>
        <v>CNY</v>
      </c>
      <c r="E8" s="140" t="s">
        <v>467</v>
      </c>
      <c r="F8" s="108">
        <f>FV_adjustments*scaling_factor/Common_Shares*Exchange_Rate</f>
        <v>1.0243915793485687</v>
      </c>
      <c r="G8" s="298" t="str">
        <f>Market_currency</f>
        <v>HKD</v>
      </c>
      <c r="H8" s="318" t="str">
        <f>Normalized_FCF!B10</f>
        <v>Net Interest Income</v>
      </c>
      <c r="I8" s="317">
        <f>Normalized_FCF!C10</f>
        <v>-716.01622356722601</v>
      </c>
      <c r="J8" s="317"/>
      <c r="N8" s="308"/>
      <c r="O8" s="308"/>
    </row>
    <row r="9" spans="2:15" ht="13.15" thickBot="1">
      <c r="B9" s="189" t="str">
        <f>"*"&amp;Thesis!E15</f>
        <v>*CNY/HKD</v>
      </c>
      <c r="C9" s="190">
        <f>Exchange_Rate</f>
        <v>1.09146385</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90872.834209052846</v>
      </c>
      <c r="D10" t="str">
        <f>Market_currency</f>
        <v>HKD</v>
      </c>
      <c r="H10" s="312" t="s">
        <v>398</v>
      </c>
      <c r="I10" s="310">
        <f>Normalized_FCF!C41</f>
        <v>0.25</v>
      </c>
      <c r="N10" s="308"/>
      <c r="O10" s="308"/>
    </row>
    <row r="11" spans="2:15" ht="13.15">
      <c r="B11" s="136" t="s">
        <v>428</v>
      </c>
      <c r="C11" s="108">
        <f>(C10*scaling_factor)/Common_Shares</f>
        <v>10.494851051398259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10.603578591176781</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15677.84529328282</v>
      </c>
      <c r="H21" s="303">
        <f t="shared" ref="H21:H50" si="2">IF(A21="",0%,IF(A21="I",$C$18,$F$18))</f>
        <v>0</v>
      </c>
      <c r="I21" s="281">
        <f>(G21*(1-$I$10)+C21*(H21-$I$9))</f>
        <v>5461.2519334603749</v>
      </c>
      <c r="J21" s="303">
        <f>I21/C4-1</f>
        <v>2.6161988112689549E-3</v>
      </c>
      <c r="K21" s="119">
        <f t="shared" ref="K21:K50" si="3">IF($C$15&lt;B21,0,1/(1+Equity_Cost)^B21)</f>
        <v>0.93240093240093236</v>
      </c>
      <c r="L21" s="281">
        <f t="shared" ref="L21:L50" si="4">I21*K21</f>
        <v>5092.0763948348485</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15717.644936911194</v>
      </c>
      <c r="H22" s="303">
        <f t="shared" si="2"/>
        <v>0</v>
      </c>
      <c r="I22" s="281">
        <f>IF(A22="", 0,G22*(1-$I$10)+C22*(H22-$I$9))</f>
        <v>5475.537593863025</v>
      </c>
      <c r="J22" s="303">
        <f>IF(A22="", 0,I22/I21-1)</f>
        <v>2.6158215326277379E-3</v>
      </c>
      <c r="K22" s="119">
        <f t="shared" si="3"/>
        <v>0.86937149874212816</v>
      </c>
      <c r="L22" s="281">
        <f t="shared" si="4"/>
        <v>4760.2763243955642</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15757.542949849296</v>
      </c>
      <c r="H23" s="303">
        <f t="shared" si="2"/>
        <v>0</v>
      </c>
      <c r="I23" s="281">
        <f t="shared" ref="I23:I50" si="9">IF(A23="", 0,G23*(1-$I$10)+C23*(H23-$I$9))</f>
        <v>5489.858562887177</v>
      </c>
      <c r="J23" s="303">
        <f t="shared" ref="J23:J50" si="10">IF(A23="", 0,I23/I22-1)</f>
        <v>2.61544529256863E-3</v>
      </c>
      <c r="K23" s="119">
        <f t="shared" si="3"/>
        <v>0.81060279602995633</v>
      </c>
      <c r="L23" s="281">
        <f t="shared" si="4"/>
        <v>4450.0947008853436</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15797.539575227969</v>
      </c>
      <c r="H24" s="303">
        <f t="shared" si="2"/>
        <v>0</v>
      </c>
      <c r="I24" s="281">
        <f t="shared" si="9"/>
        <v>5504.2149278020706</v>
      </c>
      <c r="J24" s="303">
        <f t="shared" si="10"/>
        <v>2.6150700879521427E-3</v>
      </c>
      <c r="K24" s="119">
        <f t="shared" si="3"/>
        <v>0.75580680282513402</v>
      </c>
      <c r="L24" s="281">
        <f t="shared" si="4"/>
        <v>4160.1230866444585</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15837.635056778989</v>
      </c>
      <c r="H25" s="303">
        <f t="shared" si="2"/>
        <v>0</v>
      </c>
      <c r="I25" s="281">
        <f t="shared" si="9"/>
        <v>5518.6067760926462</v>
      </c>
      <c r="J25" s="303">
        <f t="shared" si="10"/>
        <v>2.6146959156485572E-3</v>
      </c>
      <c r="K25" s="119">
        <f t="shared" si="3"/>
        <v>0.70471496766912267</v>
      </c>
      <c r="L25" s="281">
        <f t="shared" si="4"/>
        <v>3889.0447957927304</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15837.635056778989</v>
      </c>
      <c r="H51" s="303">
        <f>F18</f>
        <v>0</v>
      </c>
      <c r="I51" s="281">
        <f>(G51*(1-$I$10)+C51*(H51-$I$9))/Equity_Cost</f>
        <v>76118.714153002016</v>
      </c>
      <c r="J51" s="419">
        <f>(G51*(1-$I$10)+C51*(H51-$I$9))/VLOOKUP(C15,B21:I50,8,FALSE)-1</f>
        <v>0</v>
      </c>
      <c r="K51" s="119">
        <f>1/(1+Equity_Cost)^C15</f>
        <v>0.70471496766912267</v>
      </c>
      <c r="L51" s="281">
        <f>I51*K51</f>
        <v>53641.997183348009</v>
      </c>
    </row>
    <row r="52" spans="1:21" ht="13.15">
      <c r="G52" s="111"/>
      <c r="H52" s="111"/>
      <c r="I52" s="111"/>
      <c r="J52" s="464" t="s">
        <v>423</v>
      </c>
      <c r="K52" s="464"/>
      <c r="L52" s="321">
        <f>SUM(L21:L51)</f>
        <v>75993.612485900958</v>
      </c>
    </row>
    <row r="53" spans="1:21">
      <c r="C53" s="111"/>
    </row>
    <row r="54" spans="1:21" ht="13.15">
      <c r="B54" s="115" t="s">
        <v>108</v>
      </c>
      <c r="C54" s="128"/>
      <c r="D54" s="128"/>
      <c r="E54" s="113"/>
      <c r="F54" s="113"/>
      <c r="G54" s="113"/>
      <c r="H54" s="113"/>
      <c r="I54" s="113"/>
      <c r="J54" s="113"/>
      <c r="K54" s="113"/>
      <c r="L54" s="113"/>
    </row>
    <row r="55" spans="1:21" ht="13.15">
      <c r="A55" s="125">
        <f>L52</f>
        <v>75993.612485900958</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46261.753316848975</v>
      </c>
      <c r="C56" s="118">
        <v>75131.055098277968</v>
      </c>
      <c r="D56" s="118">
        <v>78670.151334200214</v>
      </c>
      <c r="E56" s="118">
        <v>82342.278149733582</v>
      </c>
      <c r="F56" s="118">
        <v>90101.096822786261</v>
      </c>
      <c r="G56" s="299"/>
      <c r="H56" s="299"/>
      <c r="I56" s="299"/>
      <c r="J56" s="299"/>
      <c r="K56" s="299"/>
      <c r="L56" s="299"/>
    </row>
    <row r="57" spans="1:21" ht="13.15">
      <c r="A57" s="131">
        <v>6</v>
      </c>
      <c r="B57" s="118">
        <v>42952.455641385721</v>
      </c>
      <c r="C57" s="118">
        <v>75131.055098277968</v>
      </c>
      <c r="D57" s="118">
        <v>79259.171489610919</v>
      </c>
      <c r="E57" s="118">
        <v>83579.803606745001</v>
      </c>
      <c r="F57" s="118">
        <v>92828.50397397115</v>
      </c>
      <c r="G57" s="299"/>
      <c r="H57" s="299"/>
      <c r="I57" s="299"/>
      <c r="J57" s="299"/>
      <c r="K57" s="299"/>
      <c r="L57" s="299"/>
    </row>
    <row r="58" spans="1:21" ht="13.15">
      <c r="A58" s="131">
        <v>7</v>
      </c>
      <c r="B58" s="118">
        <v>40175.422627010965</v>
      </c>
      <c r="C58" s="118">
        <v>75131.055098277968</v>
      </c>
      <c r="D58" s="118">
        <v>79813.866461139813</v>
      </c>
      <c r="E58" s="118">
        <v>84756.750894532117</v>
      </c>
      <c r="F58" s="118">
        <v>95473.262423605032</v>
      </c>
      <c r="G58" s="299"/>
      <c r="H58" s="299"/>
      <c r="I58" s="299"/>
      <c r="J58" s="299"/>
      <c r="K58" s="299"/>
      <c r="L58" s="299"/>
    </row>
    <row r="59" spans="1:21" ht="13.15">
      <c r="A59" s="131">
        <v>8</v>
      </c>
      <c r="B59" s="118">
        <v>37845.045272290881</v>
      </c>
      <c r="C59" s="118">
        <v>75131.055098277968</v>
      </c>
      <c r="D59" s="118">
        <v>80336.236550878035</v>
      </c>
      <c r="E59" s="118">
        <v>85876.085378021919</v>
      </c>
      <c r="F59" s="118">
        <v>98037.876677795386</v>
      </c>
      <c r="G59" s="299"/>
      <c r="H59" s="299"/>
      <c r="I59" s="299"/>
      <c r="J59" s="299"/>
      <c r="K59" s="299"/>
      <c r="L59" s="299"/>
    </row>
    <row r="60" spans="1:21" ht="13.15">
      <c r="A60" s="131">
        <v>9</v>
      </c>
      <c r="B60" s="118">
        <v>35889.483855742561</v>
      </c>
      <c r="C60" s="118">
        <v>75131.055098277953</v>
      </c>
      <c r="D60" s="118">
        <v>80828.165493195585</v>
      </c>
      <c r="E60" s="118">
        <v>86940.627264417853</v>
      </c>
      <c r="F60" s="118">
        <v>100524.77534852552</v>
      </c>
      <c r="G60" s="299"/>
      <c r="H60" s="299"/>
      <c r="I60" s="299"/>
      <c r="J60" s="299"/>
      <c r="K60" s="299"/>
      <c r="L60" s="299"/>
    </row>
    <row r="61" spans="1:21" ht="13.15">
      <c r="A61" s="131">
        <v>10</v>
      </c>
      <c r="B61" s="118">
        <v>34248.453296401312</v>
      </c>
      <c r="C61" s="118">
        <v>75131.055098277968</v>
      </c>
      <c r="D61" s="118">
        <v>81291.427247732383</v>
      </c>
      <c r="E61" s="118">
        <v>87953.058708822326</v>
      </c>
      <c r="F61" s="118">
        <v>102936.31345347592</v>
      </c>
      <c r="G61" s="299"/>
      <c r="H61" s="299"/>
      <c r="I61" s="299"/>
      <c r="J61" s="299"/>
      <c r="K61" s="299"/>
      <c r="L61" s="299"/>
    </row>
    <row r="62" spans="1:21" ht="13.15">
      <c r="A62" s="131">
        <v>15</v>
      </c>
      <c r="B62" s="118">
        <v>29249.393101806458</v>
      </c>
      <c r="C62" s="281">
        <v>75131.055098277968</v>
      </c>
      <c r="D62" s="118">
        <v>83232.908054363579</v>
      </c>
      <c r="E62" s="118">
        <v>92318.595353246797</v>
      </c>
      <c r="F62" s="118">
        <v>113941.14490207654</v>
      </c>
      <c r="G62" s="299"/>
      <c r="H62" s="299"/>
      <c r="I62" s="299"/>
      <c r="J62" s="299"/>
      <c r="K62" s="299"/>
      <c r="L62" s="299"/>
      <c r="M62" s="279"/>
      <c r="N62" s="279"/>
      <c r="O62" s="279"/>
      <c r="P62" s="279"/>
      <c r="Q62" s="279"/>
      <c r="R62" s="279"/>
      <c r="S62" s="279"/>
      <c r="T62" s="279"/>
      <c r="U62" s="279"/>
    </row>
    <row r="63" spans="1:21" ht="13.15">
      <c r="A63" s="132">
        <v>20</v>
      </c>
      <c r="B63" s="118">
        <v>27169.148474048336</v>
      </c>
      <c r="C63" s="281">
        <v>75131.055098277953</v>
      </c>
      <c r="D63" s="118">
        <v>84670.890108468739</v>
      </c>
      <c r="E63" s="118">
        <v>95715.254693798226</v>
      </c>
      <c r="F63" s="118">
        <v>123376.61597332731</v>
      </c>
      <c r="G63" s="299"/>
      <c r="H63" s="299"/>
      <c r="I63" s="299"/>
      <c r="J63" s="299"/>
      <c r="K63" s="299"/>
      <c r="L63" s="299"/>
      <c r="M63" s="279"/>
      <c r="N63" s="279"/>
      <c r="O63" s="279"/>
      <c r="P63" s="279"/>
      <c r="Q63" s="279"/>
      <c r="R63" s="279"/>
      <c r="S63" s="279"/>
      <c r="T63" s="279"/>
      <c r="U63" s="279"/>
    </row>
    <row r="64" spans="1:21" ht="13.15">
      <c r="A64" s="132">
        <v>25</v>
      </c>
      <c r="B64" s="118">
        <v>26303.502223980082</v>
      </c>
      <c r="C64" s="281">
        <v>75131.055098277953</v>
      </c>
      <c r="D64" s="118">
        <v>85735.949510995852</v>
      </c>
      <c r="E64" s="118">
        <v>98358.067162338659</v>
      </c>
      <c r="F64" s="118">
        <v>131466.52764096414</v>
      </c>
      <c r="G64" s="299"/>
      <c r="H64" s="299"/>
      <c r="I64" s="299"/>
      <c r="J64" s="299"/>
      <c r="K64" s="299"/>
      <c r="L64" s="299"/>
      <c r="M64" s="279"/>
      <c r="N64" s="279"/>
      <c r="O64" s="279"/>
      <c r="P64" s="279"/>
      <c r="Q64" s="279"/>
      <c r="R64" s="279"/>
      <c r="S64" s="279"/>
      <c r="T64" s="279"/>
      <c r="U64" s="279"/>
    </row>
    <row r="65" spans="1:21" ht="13.15">
      <c r="A65" s="132">
        <v>30</v>
      </c>
      <c r="B65" s="118">
        <v>25943.283324597651</v>
      </c>
      <c r="C65" s="281">
        <v>75131.055098277953</v>
      </c>
      <c r="D65" s="118">
        <v>86524.799085073013</v>
      </c>
      <c r="E65" s="118">
        <v>100414.33982427089</v>
      </c>
      <c r="F65" s="118">
        <v>138402.76540757419</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10.494851051398259</v>
      </c>
      <c r="C69" s="119">
        <f>C11</f>
        <v>10.494851051398259</v>
      </c>
      <c r="D69" s="119">
        <f>C11</f>
        <v>10.494851051398259</v>
      </c>
      <c r="E69" s="119">
        <f>C11</f>
        <v>10.494851051398259</v>
      </c>
      <c r="F69" s="119">
        <f>C11</f>
        <v>10.494851051398259</v>
      </c>
      <c r="G69" s="300"/>
      <c r="H69" s="300"/>
      <c r="I69" s="300"/>
      <c r="J69" s="300"/>
      <c r="K69" s="300"/>
      <c r="L69" s="300"/>
    </row>
    <row r="70" spans="1:21" ht="13.15">
      <c r="A70" s="131">
        <f>A56</f>
        <v>5</v>
      </c>
      <c r="B70" s="119">
        <f t="shared" ref="B70:F74" si="11">(B56+FV_adjustments)/Common_Shares*scaling_factor*Exchange_Rate</f>
        <v>6.8558025627305952</v>
      </c>
      <c r="C70" s="119">
        <f t="shared" si="11"/>
        <v>10.494851051398255</v>
      </c>
      <c r="D70" s="119">
        <f t="shared" si="11"/>
        <v>10.940963080919765</v>
      </c>
      <c r="E70" s="119">
        <f t="shared" si="11"/>
        <v>11.403843951383312</v>
      </c>
      <c r="F70" s="119">
        <f t="shared" si="11"/>
        <v>12.381862664124801</v>
      </c>
      <c r="G70" s="300"/>
      <c r="H70" s="300"/>
      <c r="I70" s="300"/>
      <c r="J70" s="300"/>
      <c r="K70" s="300"/>
      <c r="L70" s="300"/>
    </row>
    <row r="71" spans="1:21" ht="13.15">
      <c r="A71" s="131">
        <v>6</v>
      </c>
      <c r="B71" s="119">
        <f t="shared" si="11"/>
        <v>6.4386572228251886</v>
      </c>
      <c r="C71" s="119">
        <f t="shared" si="11"/>
        <v>10.494851051398255</v>
      </c>
      <c r="D71" s="119">
        <f t="shared" si="11"/>
        <v>11.015210560909772</v>
      </c>
      <c r="E71" s="119">
        <f t="shared" si="11"/>
        <v>11.559837164455134</v>
      </c>
      <c r="F71" s="119">
        <f t="shared" si="11"/>
        <v>12.72565923207247</v>
      </c>
      <c r="G71" s="300"/>
      <c r="H71" s="300"/>
      <c r="I71" s="300"/>
      <c r="J71" s="300"/>
      <c r="K71" s="300"/>
      <c r="L71" s="300"/>
    </row>
    <row r="72" spans="1:21" ht="13.15">
      <c r="A72" s="131">
        <f t="shared" ref="A72" si="12">A58</f>
        <v>7</v>
      </c>
      <c r="B72" s="119">
        <f t="shared" si="11"/>
        <v>6.0886051893381357</v>
      </c>
      <c r="C72" s="119">
        <f t="shared" si="11"/>
        <v>10.494851051398255</v>
      </c>
      <c r="D72" s="119">
        <f t="shared" si="11"/>
        <v>11.085131264676576</v>
      </c>
      <c r="E72" s="119">
        <f t="shared" si="11"/>
        <v>11.708194346117848</v>
      </c>
      <c r="F72" s="119">
        <f t="shared" si="11"/>
        <v>13.059037722203545</v>
      </c>
      <c r="G72" s="300"/>
      <c r="H72" s="300"/>
      <c r="I72" s="300"/>
      <c r="J72" s="300"/>
      <c r="K72" s="300"/>
      <c r="L72" s="300"/>
    </row>
    <row r="73" spans="1:21" ht="13.15">
      <c r="A73" s="131">
        <v>8</v>
      </c>
      <c r="B73" s="119">
        <f t="shared" si="11"/>
        <v>5.7948552311671797</v>
      </c>
      <c r="C73" s="119">
        <f t="shared" si="11"/>
        <v>10.494851051398255</v>
      </c>
      <c r="D73" s="119">
        <f t="shared" si="11"/>
        <v>11.150977335356746</v>
      </c>
      <c r="E73" s="119">
        <f t="shared" si="11"/>
        <v>11.849289288118747</v>
      </c>
      <c r="F73" s="119">
        <f t="shared" si="11"/>
        <v>13.382313833845792</v>
      </c>
      <c r="G73" s="300"/>
      <c r="H73" s="300"/>
      <c r="I73" s="300"/>
      <c r="J73" s="300"/>
      <c r="K73" s="300"/>
      <c r="L73" s="300"/>
    </row>
    <row r="74" spans="1:21" ht="13.15">
      <c r="A74" s="131">
        <f t="shared" ref="A74" si="13">A60</f>
        <v>9</v>
      </c>
      <c r="B74" s="119">
        <f t="shared" si="11"/>
        <v>5.54835176976498</v>
      </c>
      <c r="C74" s="119">
        <f t="shared" si="11"/>
        <v>10.494851051398253</v>
      </c>
      <c r="D74" s="119">
        <f t="shared" si="11"/>
        <v>11.212986222430837</v>
      </c>
      <c r="E74" s="119">
        <f t="shared" si="11"/>
        <v>11.98347748470702</v>
      </c>
      <c r="F74" s="119">
        <f t="shared" si="11"/>
        <v>13.69579369968071</v>
      </c>
      <c r="G74" s="300"/>
      <c r="H74" s="300"/>
      <c r="I74" s="300"/>
      <c r="J74" s="300"/>
      <c r="K74" s="300"/>
      <c r="L74" s="300"/>
    </row>
    <row r="75" spans="1:21" ht="13.15">
      <c r="A75" s="131">
        <f t="shared" ref="A75:A79" si="14">A61</f>
        <v>10</v>
      </c>
      <c r="B75" s="119">
        <f t="shared" ref="B75:F79" si="15">(B61+FV_adjustments)/Common_Shares*scaling_factor*Exchange_Rate</f>
        <v>5.3414957182386571</v>
      </c>
      <c r="C75" s="119">
        <f t="shared" si="15"/>
        <v>10.494851051398255</v>
      </c>
      <c r="D75" s="119">
        <f t="shared" si="15"/>
        <v>11.271381537997115</v>
      </c>
      <c r="E75" s="119">
        <f t="shared" si="15"/>
        <v>12.11109702831544</v>
      </c>
      <c r="F75" s="119">
        <f t="shared" si="15"/>
        <v>13.999774175641837</v>
      </c>
      <c r="G75" s="300"/>
      <c r="H75" s="300"/>
      <c r="I75" s="300"/>
      <c r="J75" s="300"/>
      <c r="K75" s="300"/>
      <c r="L75" s="300"/>
    </row>
    <row r="76" spans="1:21" ht="13.15">
      <c r="A76" s="131">
        <f t="shared" si="14"/>
        <v>15</v>
      </c>
      <c r="B76" s="119">
        <f t="shared" si="15"/>
        <v>4.7113515400513801</v>
      </c>
      <c r="C76" s="119">
        <f t="shared" si="15"/>
        <v>10.494851051398255</v>
      </c>
      <c r="D76" s="119">
        <f t="shared" si="15"/>
        <v>11.516110102914933</v>
      </c>
      <c r="E76" s="119">
        <f t="shared" si="15"/>
        <v>12.661383961071657</v>
      </c>
      <c r="F76" s="119">
        <f t="shared" si="15"/>
        <v>15.386961006631767</v>
      </c>
      <c r="G76" s="300"/>
      <c r="H76" s="300"/>
      <c r="I76" s="300"/>
      <c r="J76" s="300"/>
      <c r="K76" s="300"/>
      <c r="L76" s="300"/>
    </row>
    <row r="77" spans="1:21" ht="13.15">
      <c r="A77" s="132">
        <f t="shared" si="14"/>
        <v>20</v>
      </c>
      <c r="B77" s="119">
        <f t="shared" si="15"/>
        <v>4.4491314446013437</v>
      </c>
      <c r="C77" s="119">
        <f t="shared" si="15"/>
        <v>10.494851051398253</v>
      </c>
      <c r="D77" s="119">
        <f t="shared" si="15"/>
        <v>11.697371376926377</v>
      </c>
      <c r="E77" s="119">
        <f t="shared" si="15"/>
        <v>13.089541459764746</v>
      </c>
      <c r="F77" s="119">
        <f t="shared" si="15"/>
        <v>16.576325993761113</v>
      </c>
      <c r="G77" s="300"/>
      <c r="H77" s="300"/>
      <c r="I77" s="300"/>
      <c r="J77" s="300"/>
      <c r="K77" s="300"/>
      <c r="L77" s="300"/>
    </row>
    <row r="78" spans="1:21" ht="13.15">
      <c r="A78" s="132">
        <f t="shared" si="14"/>
        <v>25</v>
      </c>
      <c r="B78" s="119">
        <f t="shared" si="15"/>
        <v>4.3400145459010746</v>
      </c>
      <c r="C78" s="119">
        <f t="shared" si="15"/>
        <v>10.494851051398253</v>
      </c>
      <c r="D78" s="119">
        <f t="shared" si="15"/>
        <v>11.831624807731576</v>
      </c>
      <c r="E78" s="119">
        <f t="shared" si="15"/>
        <v>13.422674654058369</v>
      </c>
      <c r="F78" s="119">
        <f t="shared" si="15"/>
        <v>17.596079815674003</v>
      </c>
      <c r="G78" s="300"/>
      <c r="H78" s="300"/>
      <c r="I78" s="300"/>
      <c r="J78" s="300"/>
      <c r="K78" s="300"/>
      <c r="L78" s="300"/>
    </row>
    <row r="79" spans="1:21" ht="13.15">
      <c r="A79" s="132">
        <f t="shared" si="14"/>
        <v>30</v>
      </c>
      <c r="B79" s="119">
        <f t="shared" si="15"/>
        <v>4.2946080427818893</v>
      </c>
      <c r="C79" s="119">
        <f t="shared" si="15"/>
        <v>10.494851051398253</v>
      </c>
      <c r="D79" s="119">
        <f t="shared" si="15"/>
        <v>11.931061291234558</v>
      </c>
      <c r="E79" s="119">
        <f t="shared" si="15"/>
        <v>13.681873022600374</v>
      </c>
      <c r="F79" s="119">
        <f t="shared" si="15"/>
        <v>18.47041012517456</v>
      </c>
      <c r="G79" s="300"/>
      <c r="H79" s="300"/>
      <c r="I79" s="300"/>
      <c r="J79" s="300"/>
      <c r="K79" s="300"/>
      <c r="L79" s="300"/>
    </row>
    <row r="81" spans="2:12" ht="13.15">
      <c r="B81" s="153" t="s">
        <v>101</v>
      </c>
      <c r="C81" s="153" t="s">
        <v>110</v>
      </c>
      <c r="D81" s="153" t="s">
        <v>99</v>
      </c>
      <c r="E81" s="154" t="s">
        <v>100</v>
      </c>
      <c r="F81" s="154" t="s">
        <v>460</v>
      </c>
      <c r="G81" s="327"/>
      <c r="H81" s="327"/>
      <c r="I81" s="327"/>
      <c r="J81" s="327"/>
      <c r="K81" s="327"/>
      <c r="L81" s="327"/>
    </row>
    <row r="82" spans="2:12">
      <c r="B82" s="120" t="str">
        <f>Scenarios!B29</f>
        <v>Snowball Scenario</v>
      </c>
      <c r="C82" s="130">
        <f>Scenarios!C29</f>
        <v>0.04</v>
      </c>
      <c r="D82" s="133">
        <f>Scenarios!D29</f>
        <v>5</v>
      </c>
      <c r="E82" s="127">
        <f>INDEX(B$69:F$79, MATCH(D82, A$69:A$79, 0), MATCH(C82, B$68:F$68, 0))</f>
        <v>12.381862664124801</v>
      </c>
      <c r="F82" s="130">
        <f>Scenarios!F29</f>
        <v>0.1</v>
      </c>
      <c r="G82" s="301"/>
      <c r="H82" s="301"/>
      <c r="I82" s="301"/>
      <c r="J82" s="301"/>
      <c r="K82" s="301"/>
      <c r="L82" s="301"/>
    </row>
    <row r="83" spans="2:12">
      <c r="B83" s="120" t="str">
        <f>Scenarios!B22</f>
        <v>Optimistic</v>
      </c>
      <c r="C83" s="130">
        <f>Scenarios!C22</f>
        <v>0.02</v>
      </c>
      <c r="D83" s="133">
        <f>Scenarios!D22</f>
        <v>5</v>
      </c>
      <c r="E83" s="127">
        <f>INDEX(B$69:F$79, MATCH(D83, A$69:A$79, 0), MATCH(C83, B$68:F$68, 0))</f>
        <v>11.403843951383312</v>
      </c>
      <c r="F83" s="130">
        <f>Scenarios!F22*(1-F$82-F$86)</f>
        <v>8.0000000000000029E-2</v>
      </c>
      <c r="G83" s="301"/>
      <c r="H83" s="301"/>
      <c r="I83" s="301"/>
      <c r="J83" s="301"/>
      <c r="K83" s="301"/>
      <c r="L83" s="301"/>
    </row>
    <row r="84" spans="2:12">
      <c r="B84" s="120" t="str">
        <f>Scenarios!B23</f>
        <v>Base</v>
      </c>
      <c r="C84" s="130">
        <f>Scenarios!C23</f>
        <v>0.01</v>
      </c>
      <c r="D84" s="133">
        <f>Scenarios!D23</f>
        <v>5</v>
      </c>
      <c r="E84" s="127">
        <f>INDEX(B$69:F$79, MATCH(D84, A$69:A$79, 0), MATCH(C84, B$68:F$68, 0))</f>
        <v>10.940963080919765</v>
      </c>
      <c r="F84" s="130">
        <f>Scenarios!F23*(1-F$82-F$86)</f>
        <v>0.48</v>
      </c>
      <c r="G84" s="301"/>
      <c r="H84" s="301"/>
      <c r="I84" s="301"/>
      <c r="J84" s="301"/>
      <c r="K84" s="301"/>
      <c r="L84" s="301"/>
    </row>
    <row r="85" spans="2:12">
      <c r="B85" s="120" t="str">
        <f>Scenarios!B24</f>
        <v>Pessimistic</v>
      </c>
      <c r="C85" s="130">
        <f>Scenarios!C24</f>
        <v>0</v>
      </c>
      <c r="D85" s="133">
        <f>Scenarios!D24</f>
        <v>5</v>
      </c>
      <c r="E85" s="127">
        <f>INDEX(B$69:F$79, MATCH(D85, A$69:A$79, 0), MATCH(C85, B$68:F$68, 0))</f>
        <v>10.494851051398255</v>
      </c>
      <c r="F85" s="130">
        <f>Scenarios!F24*(1-F$82-F$86)</f>
        <v>0.24</v>
      </c>
      <c r="G85" s="301"/>
      <c r="H85" s="301"/>
      <c r="I85" s="301"/>
      <c r="J85" s="301"/>
      <c r="K85" s="301"/>
      <c r="L85" s="301"/>
    </row>
    <row r="86" spans="2:12">
      <c r="B86" s="120" t="str">
        <f>Scenarios!B30</f>
        <v>Devil's advocate</v>
      </c>
      <c r="C86" s="130">
        <f>Scenarios!C30</f>
        <v>-0.1</v>
      </c>
      <c r="D86" s="133">
        <f>Scenarios!D30</f>
        <v>5</v>
      </c>
      <c r="E86" s="127">
        <f>INDEX(B$69:F$79, MATCH(D86, A$69:A$79, 0), MATCH(C86, B$68:F$68, 0))</f>
        <v>6.8558025627305952</v>
      </c>
      <c r="F86" s="130">
        <f>Scenarios!F30</f>
        <v>0.1</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10034.927921565006</v>
      </c>
      <c r="D8" s="465"/>
      <c r="E8" s="465"/>
      <c r="F8" s="465"/>
      <c r="G8" s="465"/>
    </row>
    <row r="9" spans="2:7">
      <c r="B9" s="97" t="s">
        <v>54</v>
      </c>
      <c r="C9" s="452">
        <f>Normalized_FCF!C19</f>
        <v>5447.0014946251558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-2.5522168253670374E-2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DCF!E83</f>
        <v>11.403843951383312</v>
      </c>
      <c r="F22" s="332">
        <f>1-F23-F24</f>
        <v>0.10000000000000003</v>
      </c>
      <c r="G22" s="332">
        <f>F22*(1-F$29-F$30)</f>
        <v>8.0000000000000029E-2</v>
      </c>
    </row>
    <row r="23" spans="2:7">
      <c r="B23" s="306" t="s">
        <v>440</v>
      </c>
      <c r="C23" s="328">
        <v>0.01</v>
      </c>
      <c r="D23" s="329">
        <f>C18</f>
        <v>5</v>
      </c>
      <c r="E23" s="330">
        <f>DCF!E84</f>
        <v>10.940963080919765</v>
      </c>
      <c r="F23" s="331">
        <v>0.6</v>
      </c>
      <c r="G23" s="332">
        <f t="shared" ref="G23:G24" si="0">F23*(1-F$29-F$30)</f>
        <v>0.48</v>
      </c>
    </row>
    <row r="24" spans="2:7">
      <c r="B24" s="306" t="s">
        <v>449</v>
      </c>
      <c r="C24" s="328">
        <v>0</v>
      </c>
      <c r="D24" s="329">
        <f>C18</f>
        <v>5</v>
      </c>
      <c r="E24" s="330">
        <f>DCF!E85</f>
        <v>10.494851051398255</v>
      </c>
      <c r="F24" s="331">
        <v>0.3</v>
      </c>
      <c r="G24" s="332">
        <f t="shared" si="0"/>
        <v>0.24</v>
      </c>
    </row>
    <row r="25" spans="2:7">
      <c r="B25" s="141" t="s">
        <v>454</v>
      </c>
      <c r="C25" s="446">
        <f>E23*F23+E24*F24+E22*F22</f>
        <v>10.853417559109667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DCF!E82</f>
        <v>12.381862664124801</v>
      </c>
      <c r="F29" s="331">
        <v>0.1</v>
      </c>
      <c r="G29" s="332">
        <f>F29</f>
        <v>0.1</v>
      </c>
    </row>
    <row r="30" spans="2:7">
      <c r="B30" s="319" t="s">
        <v>450</v>
      </c>
      <c r="C30" s="328">
        <v>-0.1</v>
      </c>
      <c r="D30" s="329">
        <f>C18</f>
        <v>5</v>
      </c>
      <c r="E30" s="330">
        <f>DCF!E86</f>
        <v>6.8558025627305952</v>
      </c>
      <c r="F30" s="331">
        <v>0.1</v>
      </c>
      <c r="G30" s="332">
        <f>F30</f>
        <v>0.1</v>
      </c>
    </row>
    <row r="31" spans="2:7">
      <c r="E31" s="333"/>
      <c r="F31" s="333"/>
    </row>
    <row r="32" spans="2:7" ht="13.15">
      <c r="B32" s="145" t="s">
        <v>459</v>
      </c>
    </row>
    <row r="33" spans="2:7">
      <c r="B33" s="97" t="s">
        <v>461</v>
      </c>
      <c r="C33" s="155">
        <f>Normalized_FCF!C88*(1-dividend_tax_rate)</f>
        <v>0.31021585544699998</v>
      </c>
      <c r="D33" t="str">
        <f>Market_currency</f>
        <v>HKD</v>
      </c>
      <c r="E33" s="97" t="s">
        <v>458</v>
      </c>
      <c r="F33" s="219">
        <f>Holding_Period</f>
        <v>3</v>
      </c>
    </row>
    <row r="34" spans="2:7">
      <c r="B34" s="97" t="s">
        <v>233</v>
      </c>
      <c r="C34" s="146">
        <f>Market_Price</f>
        <v>6.98</v>
      </c>
      <c r="D34" t="str">
        <f>Market_currency</f>
        <v>HKD</v>
      </c>
      <c r="E34" s="97" t="s">
        <v>457</v>
      </c>
      <c r="F34" s="334">
        <f>RATE(Holding_Period,$C$33,-C34,$C$36)</f>
        <v>0.18869665596086194</v>
      </c>
    </row>
    <row r="35" spans="2:7">
      <c r="B35" s="97" t="s">
        <v>437</v>
      </c>
      <c r="C35" s="324">
        <f>DCF!C11</f>
        <v>10.494851051398259</v>
      </c>
      <c r="D35" s="97" t="str">
        <f>Market_currency</f>
        <v>HKD</v>
      </c>
      <c r="E35" s="97" t="s">
        <v>457</v>
      </c>
      <c r="F35" s="334">
        <f>RATE(Holding_Period,$C$33,-C35,$C$36)</f>
        <v>3.299057121944337E-2</v>
      </c>
    </row>
    <row r="36" spans="2:7">
      <c r="B36" s="97" t="s">
        <v>438</v>
      </c>
      <c r="C36" s="325">
        <f>E22*G22+E23*G23+E24*G24+E30*G30+E29*G29</f>
        <v>10.606500569973274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10.603578591176781</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0.58206166418562921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0.31021585544699998</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0.56764897202404196</v>
      </c>
      <c r="D62" s="119">
        <f>C36/(1+F62)^Holding_Period</f>
        <v>4.8877882810936759</v>
      </c>
      <c r="E62" s="336">
        <f>C62+D62</f>
        <v>5.4554372531177178</v>
      </c>
      <c r="F62" s="305">
        <f>Thesis!E22</f>
        <v>0.29465259038036606</v>
      </c>
      <c r="G62" s="445">
        <f>(1-E62/C36)</f>
        <v>0.48565153821214913</v>
      </c>
    </row>
    <row r="63" spans="2:7" ht="13.15">
      <c r="B63" s="306" t="s">
        <v>313</v>
      </c>
      <c r="C63" s="119">
        <f>PV(F63, Holding_Period, -C58, 0)</f>
        <v>0.65269538436594166</v>
      </c>
      <c r="D63" s="119">
        <f>C36/(1+F63)^Holding_Period</f>
        <v>6.1264985241722911</v>
      </c>
      <c r="E63" s="336">
        <f>C63+D63</f>
        <v>6.7791939085382324</v>
      </c>
      <c r="F63" s="305">
        <f>Thesis!E23</f>
        <v>0.20075184365903009</v>
      </c>
      <c r="G63" s="445">
        <f>(1-E63/C36)</f>
        <v>0.36084537366358582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0.74842774256716416</v>
      </c>
      <c r="D66" s="119">
        <f>C36/(1+F66)^Holding_Period</f>
        <v>7.602319517045772</v>
      </c>
      <c r="E66" s="336">
        <f>C66+D66</f>
        <v>8.3507472596129357</v>
      </c>
      <c r="F66" s="305">
        <f>Thesis!E24</f>
        <v>0.1174</v>
      </c>
      <c r="G66" s="445">
        <f>(1-E66/C36)</f>
        <v>0.21267648980723364</v>
      </c>
    </row>
    <row r="67" spans="2:7" ht="13.15">
      <c r="B67" s="306" t="s">
        <v>314</v>
      </c>
      <c r="C67" s="119">
        <f>PV(F67, Holding_Period, -C58, 0)</f>
        <v>0.81040021584602806</v>
      </c>
      <c r="D67" s="119">
        <f>C36/(1+F67)^Holding_Period</f>
        <v>8.5976590181136618</v>
      </c>
      <c r="E67" s="336">
        <f>C67+D67</f>
        <v>9.4080592339596905</v>
      </c>
      <c r="F67" s="305">
        <f>Thesis!E25</f>
        <v>7.2499999999999995E-2</v>
      </c>
      <c r="G67" s="445">
        <f>(1-E67/C36)</f>
        <v>0.11299121025895575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6.98</v>
      </c>
    </row>
    <row r="9" spans="1:10">
      <c r="B9" s="355" t="s">
        <v>361</v>
      </c>
      <c r="C9" s="357">
        <f>Common_Shares</f>
        <v>8658801708</v>
      </c>
    </row>
    <row r="10" spans="1:10">
      <c r="B10" s="355" t="s">
        <v>367</v>
      </c>
      <c r="C10" s="361">
        <f>投资主题!C8*Common_Shares/1000000</f>
        <v>60438.435921840006</v>
      </c>
      <c r="D10" s="347" t="s">
        <v>531</v>
      </c>
      <c r="E10" s="364">
        <f>Scenarios!F34</f>
        <v>0.18869665596086194</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1.09146385</v>
      </c>
    </row>
    <row r="17" spans="1:6">
      <c r="B17" s="347" t="s">
        <v>537</v>
      </c>
      <c r="C17" s="429">
        <f>Terminal_Growth</f>
        <v>0</v>
      </c>
      <c r="D17" s="355" t="s">
        <v>339</v>
      </c>
      <c r="E17" s="348" t="str">
        <f>Reporting_currency</f>
        <v>CNY</v>
      </c>
    </row>
    <row r="18" spans="1:6">
      <c r="B18" s="347" t="str">
        <f>"预期股权价值 ("&amp;C7&amp;") :"</f>
        <v>预期股权价值 (HKD) :</v>
      </c>
      <c r="C18" s="363">
        <f>C125</f>
        <v>10.606500569973274</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5.4554372531177178</v>
      </c>
      <c r="D22" s="369" t="s">
        <v>443</v>
      </c>
      <c r="E22" s="370">
        <f>Thesis!E22</f>
        <v>0.29465259038036606</v>
      </c>
    </row>
    <row r="23" spans="1:6">
      <c r="B23" s="347" t="s">
        <v>341</v>
      </c>
      <c r="C23" s="371">
        <f>E141</f>
        <v>6.7791939085382324</v>
      </c>
      <c r="D23" s="369" t="s">
        <v>444</v>
      </c>
      <c r="E23" s="372">
        <f>Thesis!E23</f>
        <v>0.20075184365903009</v>
      </c>
    </row>
    <row r="24" spans="1:6">
      <c r="B24" s="347" t="s">
        <v>343</v>
      </c>
      <c r="C24" s="371">
        <f>E144</f>
        <v>8.3507472596129357</v>
      </c>
      <c r="D24" s="369" t="s">
        <v>446</v>
      </c>
      <c r="E24" s="372">
        <f>Thesis!E24</f>
        <v>0.1174</v>
      </c>
    </row>
    <row r="25" spans="1:6">
      <c r="B25" s="347" t="s">
        <v>342</v>
      </c>
      <c r="C25" s="371">
        <f>E145</f>
        <v>9.4080592339596905</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86.983776432773993</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-716.01622356722601</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-3909.5359441081937</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10034.927921565006</v>
      </c>
      <c r="D60" s="347" t="str">
        <f>Reporting_currency</f>
        <v>CNY</v>
      </c>
    </row>
    <row r="61" spans="2:6">
      <c r="B61" s="376" t="s">
        <v>213</v>
      </c>
      <c r="C61" s="377">
        <f>Normalized_FCF!C19</f>
        <v>5447.0014946251558</v>
      </c>
      <c r="D61" s="347" t="str">
        <f>Reporting_currency</f>
        <v>CNY</v>
      </c>
    </row>
    <row r="62" spans="2:6">
      <c r="B62" s="381" t="s">
        <v>302</v>
      </c>
      <c r="C62" s="382">
        <f>Normalized_FCF!C124</f>
        <v>9.8367952968997516E-2</v>
      </c>
      <c r="F62" s="383"/>
    </row>
    <row r="63" spans="2:6">
      <c r="B63" s="381" t="s">
        <v>332</v>
      </c>
      <c r="C63" s="382">
        <f>Normalized_FCF!C92</f>
        <v>4.4443532298997127E-2</v>
      </c>
      <c r="E63" s="376" t="s">
        <v>373</v>
      </c>
      <c r="F63" s="384">
        <f>Normalized_FCF!C90</f>
        <v>0.54792583928845573</v>
      </c>
    </row>
    <row r="65" spans="1:6">
      <c r="B65" s="373" t="s">
        <v>376</v>
      </c>
      <c r="C65" s="385" t="s">
        <v>327</v>
      </c>
      <c r="D65" s="385" t="s">
        <v>374</v>
      </c>
    </row>
    <row r="66" spans="1:6">
      <c r="B66" s="376" t="s">
        <v>326</v>
      </c>
      <c r="C66" s="382">
        <f>Normalized_FCF!C119</f>
        <v>0.17171941600158974</v>
      </c>
      <c r="D66" s="382">
        <f>Normalized_FCF!G119</f>
        <v>0.18348846929289109</v>
      </c>
    </row>
    <row r="67" spans="1:6">
      <c r="B67" s="386" t="str">
        <f>Normalized_FCF!B116</f>
        <v>Pre-tax Profit/Sales</v>
      </c>
      <c r="C67" s="387">
        <f>Normalized_FCF!C116</f>
        <v>8.3605871157002951E-2</v>
      </c>
      <c r="D67" s="387">
        <f>Normalized_FCF!G116</f>
        <v>8.9335927641141788E-2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-2.5746228967979503</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28377.703927871</v>
      </c>
      <c r="D84" s="347" t="str">
        <f>Reporting_currency</f>
        <v>CNY</v>
      </c>
    </row>
    <row r="85" spans="1:6">
      <c r="B85" s="386" t="s">
        <v>484</v>
      </c>
      <c r="C85" s="394">
        <f>BS!C66</f>
        <v>42875</v>
      </c>
      <c r="D85" s="395" t="str">
        <f>Reporting_currency</f>
        <v>CNY</v>
      </c>
    </row>
    <row r="86" spans="1:6">
      <c r="B86" s="376" t="s">
        <v>235</v>
      </c>
      <c r="C86" s="391">
        <f>C84*scaling_factor*Exchange_Rate/Common_Shares</f>
        <v>3.5770813361689013</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2.193313997761779E-2</v>
      </c>
      <c r="D90" s="347" t="str">
        <f>Market_currency</f>
        <v>HKD</v>
      </c>
    </row>
    <row r="92" spans="1:6">
      <c r="B92" s="376" t="s">
        <v>483</v>
      </c>
      <c r="C92" s="391">
        <f>DCF!F8</f>
        <v>1.0243915793485687</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-2.8803885154399467</v>
      </c>
      <c r="D111" s="347" t="str">
        <f>Market_currency</f>
        <v>HKD</v>
      </c>
    </row>
    <row r="112" spans="1:6">
      <c r="A112" s="389"/>
      <c r="B112" s="376" t="s">
        <v>377</v>
      </c>
      <c r="C112" s="398">
        <f>DCF!C11</f>
        <v>10.494851051398259</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DCF!B82</f>
        <v>Snowball Scenario</v>
      </c>
      <c r="C118" s="400">
        <f>DCF!C82</f>
        <v>0.04</v>
      </c>
      <c r="D118" s="401">
        <f>DCF!D82</f>
        <v>5</v>
      </c>
      <c r="E118" s="402" t="str">
        <f>ROUND(DCF!E82,2)&amp;" "&amp;Market_currency</f>
        <v>12.38 HKD</v>
      </c>
      <c r="F118" s="403">
        <f>DCF!F82</f>
        <v>0.1</v>
      </c>
    </row>
    <row r="119" spans="1:6">
      <c r="A119" s="389"/>
      <c r="B119" s="404" t="str">
        <f>DCF!B83</f>
        <v>Optimistic</v>
      </c>
      <c r="C119" s="405">
        <f>DCF!C83</f>
        <v>0.02</v>
      </c>
      <c r="D119" s="406">
        <f>DCF!D83</f>
        <v>5</v>
      </c>
      <c r="E119" s="402" t="str">
        <f>ROUND(DCF!E83,2)&amp;" "&amp;Market_currency</f>
        <v>11.4 HKD</v>
      </c>
      <c r="F119" s="407">
        <f>DCF!F83</f>
        <v>8.0000000000000029E-2</v>
      </c>
    </row>
    <row r="120" spans="1:6">
      <c r="B120" s="404" t="str">
        <f>DCF!B84</f>
        <v>Base</v>
      </c>
      <c r="C120" s="405">
        <f>DCF!C84</f>
        <v>0.01</v>
      </c>
      <c r="D120" s="406">
        <f>DCF!D84</f>
        <v>5</v>
      </c>
      <c r="E120" s="402" t="str">
        <f>ROUND(DCF!E84,2)&amp;" "&amp;Market_currency</f>
        <v>10.94 HKD</v>
      </c>
      <c r="F120" s="407">
        <f>DCF!F84</f>
        <v>0.48</v>
      </c>
    </row>
    <row r="121" spans="1:6">
      <c r="B121" s="404" t="str">
        <f>DCF!B85</f>
        <v>Pessimistic</v>
      </c>
      <c r="C121" s="405">
        <f>DCF!C85</f>
        <v>0</v>
      </c>
      <c r="D121" s="406">
        <f>DCF!D85</f>
        <v>5</v>
      </c>
      <c r="E121" s="402" t="str">
        <f>ROUND(DCF!E85,2)&amp;" "&amp;Market_currency</f>
        <v>10.49 HKD</v>
      </c>
      <c r="F121" s="407">
        <f>DCF!F85</f>
        <v>0.24</v>
      </c>
    </row>
    <row r="122" spans="1:6">
      <c r="B122" s="404" t="str">
        <f>DCF!B86</f>
        <v>Devil's advocate</v>
      </c>
      <c r="C122" s="405">
        <f>DCF!C86</f>
        <v>-0.1</v>
      </c>
      <c r="D122" s="406">
        <f>DCF!D86</f>
        <v>5</v>
      </c>
      <c r="E122" s="402" t="str">
        <f>ROUND(DCF!E86,2)&amp;" "&amp;Market_currency</f>
        <v>6.86 HKD</v>
      </c>
      <c r="F122" s="407">
        <f>DCF!F86</f>
        <v>0.1</v>
      </c>
    </row>
    <row r="124" spans="1:6">
      <c r="B124" s="466" t="s">
        <v>521</v>
      </c>
      <c r="C124" s="466"/>
      <c r="D124" s="466"/>
      <c r="E124" s="466"/>
      <c r="F124" s="466"/>
    </row>
    <row r="125" spans="1:6">
      <c r="B125" s="376" t="s">
        <v>218</v>
      </c>
      <c r="C125" s="408">
        <f>Scenarios!C36</f>
        <v>10.606500569973274</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0.31021585544699998</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0.56764897202404196</v>
      </c>
      <c r="D140" s="413">
        <f>Scenarios!D62</f>
        <v>4.8877882810936759</v>
      </c>
      <c r="E140" s="414">
        <f>Scenarios!E62</f>
        <v>5.4554372531177178</v>
      </c>
      <c r="F140" s="415">
        <f>E22</f>
        <v>0.29465259038036606</v>
      </c>
    </row>
    <row r="141" spans="1:6">
      <c r="B141" s="412" t="s">
        <v>313</v>
      </c>
      <c r="C141" s="413">
        <f>Scenarios!C63</f>
        <v>0.65269538436594166</v>
      </c>
      <c r="D141" s="413">
        <f>Scenarios!D63</f>
        <v>6.1264985241722911</v>
      </c>
      <c r="E141" s="414">
        <f>Scenarios!E63</f>
        <v>6.7791939085382324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0.74842774256716416</v>
      </c>
      <c r="D144" s="413">
        <f>Scenarios!D66</f>
        <v>7.602319517045772</v>
      </c>
      <c r="E144" s="414">
        <f>Scenarios!E66</f>
        <v>8.3507472596129357</v>
      </c>
      <c r="F144" s="415">
        <f>E24</f>
        <v>0.1174</v>
      </c>
    </row>
    <row r="145" spans="1:6">
      <c r="B145" s="412" t="s">
        <v>314</v>
      </c>
      <c r="C145" s="413">
        <f>Scenarios!C67</f>
        <v>0.81040021584602806</v>
      </c>
      <c r="D145" s="413">
        <f>Scenarios!D67</f>
        <v>8.5976590181136618</v>
      </c>
      <c r="E145" s="414">
        <f>Scenarios!E67</f>
        <v>9.4080592339596905</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