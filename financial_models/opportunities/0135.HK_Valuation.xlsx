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034B2BEF-65A9-2943-8BBF-E4D393ADC01C}" xr6:coauthVersionLast="47" xr6:coauthVersionMax="47" xr10:uidLastSave="{00000000-0000-0000-0000-000000000000}"/>
  <bookViews>
    <workbookView xWindow="-100" yWindow="-100" windowWidth="17120" windowHeight="10760"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<sst xmlns="http://schemas.openxmlformats.org/spreadsheetml/2006/main" count="768" uniqueCount="558">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</sst>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537</v>
      </c>
      <c r="F3" s="429">
        <v>45932</v>
      </c>
    </row>
    <row r="4" spans="1:9" ht="14" x14ac:dyDescent="0.2">
      <c r="B4" s="421" t="s">
        <v>532</v>
      </c>
      <c r="C4" s="420" t="s">
        <v>554</v>
      </c>
      <c r="E4" s="430" t="s">
        <v>536</v>
      </c>
      <c r="F4" s="431" t="s">
        <v>324</v>
      </c>
    </row>
    <row r="5" spans="1:9" x14ac:dyDescent="0.15">
      <c r="B5" s="1" t="s">
        <v>349</v>
      </c>
      <c r="C5" s="46" t="s">
        <v>555</v>
      </c>
      <c r="E5" s="433" t="s">
        <v>538</v>
      </c>
      <c r="F5" s="432" t="s">
        <v>545</v>
      </c>
    </row>
    <row r="6" spans="1:9" x14ac:dyDescent="0.15">
      <c r="B6" s="2" t="s">
        <v>53</v>
      </c>
      <c r="C6" s="45" t="s">
        <v>556</v>
      </c>
      <c r="D6" s="45"/>
      <c r="E6" s="45"/>
    </row>
    <row r="7" spans="1:9" x14ac:dyDescent="0.15">
      <c r="B7" s="1" t="s">
        <v>351</v>
      </c>
      <c r="C7" s="45" t="s">
        <v>308</v>
      </c>
      <c r="D7" s="45"/>
      <c r="E7" s="45"/>
    </row>
    <row r="8" spans="1:9" x14ac:dyDescent="0.15">
      <c r="B8" s="4" t="s">
        <v>350</v>
      </c>
      <c r="C8" s="47">
        <v>8.26</v>
      </c>
      <c r="E8" s="32"/>
    </row>
    <row r="9" spans="1:9" x14ac:dyDescent="0.15">
      <c r="B9" s="4" t="s">
        <v>346</v>
      </c>
      <c r="C9" s="48">
        <v>8658801708</v>
      </c>
    </row>
    <row r="10" spans="1:9" x14ac:dyDescent="0.15">
      <c r="B10" s="4" t="s">
        <v>352</v>
      </c>
      <c r="C10" s="33">
        <f>Thesis!C8*Common_Shares/1000000</f>
        <v>71521.702108080004</v>
      </c>
      <c r="D10" s="1" t="s">
        <v>527</v>
      </c>
      <c r="E10" s="303">
        <f>Scenarios!F34</f>
        <v>0.15274183509108599</v>
      </c>
    </row>
    <row r="11" spans="1:9" x14ac:dyDescent="0.15">
      <c r="D11" s="5"/>
      <c r="E11" s="5"/>
    </row>
    <row r="12" spans="1:9" ht="24.5" customHeight="1" x14ac:dyDescent="0.15">
      <c r="B12" s="460" t="s">
        <v>355</v>
      </c>
      <c r="C12" s="460"/>
      <c r="D12" s="460"/>
      <c r="E12" s="460"/>
      <c r="F12" s="460"/>
    </row>
    <row r="14" spans="1:9" x14ac:dyDescent="0.15">
      <c r="B14" s="42" t="str">
        <f>Scenarios!B39&amp;" Valuation Conclusion"</f>
        <v>1-stage DCF Valuation Conclusion</v>
      </c>
      <c r="C14" s="43"/>
    </row>
    <row r="15" spans="1:9" x14ac:dyDescent="0.15">
      <c r="B15" s="1" t="s">
        <v>319</v>
      </c>
      <c r="C15" s="417" t="s">
        <v>545</v>
      </c>
      <c r="D15" s="4" t="s">
        <v>353</v>
      </c>
      <c r="E15" s="253" t="str">
        <f>IF(E17=C7,C7,E17&amp;"/"&amp;C7)</f>
        <v>CNY/HKD</v>
      </c>
    </row>
    <row r="16" spans="1:9" x14ac:dyDescent="0.15">
      <c r="B16" s="1" t="s">
        <v>320</v>
      </c>
      <c r="C16" s="417" t="s">
        <v>545</v>
      </c>
      <c r="D16" s="4" t="s">
        <v>354</v>
      </c>
      <c r="E16" s="416">
        <v>1.1315830089569092</v>
      </c>
    </row>
    <row r="17" spans="1:6" x14ac:dyDescent="0.15">
      <c r="B17" s="1" t="s">
        <v>531</v>
      </c>
      <c r="C17" s="456">
        <v>0.02</v>
      </c>
      <c r="D17" s="4" t="s">
        <v>274</v>
      </c>
      <c r="E17" s="224" t="s">
        <v>557</v>
      </c>
    </row>
    <row r="18" spans="1:6" x14ac:dyDescent="0.15">
      <c r="B18" s="1" t="str">
        <f>"Expected Equity Value ("&amp;C7&amp;") :"</f>
        <v>Expected Equity Value (HKD) :</v>
      </c>
      <c r="C18" s="252">
        <f>C125</f>
        <v>11.532763326181085</v>
      </c>
      <c r="D18" s="2" t="s">
        <v>347</v>
      </c>
      <c r="E18" s="418">
        <v>6</v>
      </c>
    </row>
    <row r="19" spans="1:6" x14ac:dyDescent="0.15">
      <c r="B19" s="2" t="s">
        <v>275</v>
      </c>
      <c r="C19" s="31" t="str">
        <f>IF(Terminal_Growth&lt;2%, "Lower than Inflation rate", IF(Terminal_Growth&lt;5%, "Low growth", IF(Terminal_Growth&lt;8%, "Medium growth", "High growth")))</f>
        <v>Low growth</v>
      </c>
      <c r="D19" s="1" t="s">
        <v>348</v>
      </c>
      <c r="E19" s="419">
        <f>EOMONTH(EDATE(BS!C1,E18+2),0)</f>
        <v>46081</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5.9031516383650837</v>
      </c>
      <c r="D22" s="38" t="s">
        <v>406</v>
      </c>
      <c r="E22" s="79">
        <v>0.29465259038036606</v>
      </c>
    </row>
    <row r="23" spans="1:6" x14ac:dyDescent="0.15">
      <c r="B23" s="1" t="s">
        <v>313</v>
      </c>
      <c r="C23" s="256">
        <f>E141</f>
        <v>7.3382105844185963</v>
      </c>
      <c r="D23" s="38" t="s">
        <v>407</v>
      </c>
      <c r="E23" s="443">
        <v>0.20075184365903009</v>
      </c>
    </row>
    <row r="24" spans="1:6" x14ac:dyDescent="0.15">
      <c r="B24" s="1" t="s">
        <v>315</v>
      </c>
      <c r="C24" s="256">
        <f>E144</f>
        <v>9.0421658277011385</v>
      </c>
      <c r="D24" s="38" t="s">
        <v>408</v>
      </c>
      <c r="E24" s="443">
        <v>0.1174</v>
      </c>
    </row>
    <row r="25" spans="1:6" x14ac:dyDescent="0.15">
      <c r="B25" s="1" t="s">
        <v>314</v>
      </c>
      <c r="C25" s="256">
        <f>E145</f>
        <v>10.188678459731804</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0" t="s">
        <v>356</v>
      </c>
      <c r="C29" s="460"/>
      <c r="D29" s="460"/>
      <c r="E29" s="460"/>
      <c r="F29" s="460"/>
    </row>
    <row r="30" spans="1:6" ht="24.5" customHeight="1" x14ac:dyDescent="0.15">
      <c r="B30" s="462" t="s">
        <v>266</v>
      </c>
      <c r="C30" s="462"/>
      <c r="D30" s="462"/>
      <c r="E30" s="462"/>
      <c r="F30" s="462"/>
    </row>
    <row r="32" spans="1:6" x14ac:dyDescent="0.15">
      <c r="B32" s="192" t="s">
        <v>195</v>
      </c>
      <c r="C32" s="105">
        <f>scaling_factor</f>
        <v>1000000</v>
      </c>
    </row>
    <row r="33" spans="2:6" ht="24.5" customHeight="1" x14ac:dyDescent="0.15">
      <c r="B33" s="461" t="s">
        <v>196</v>
      </c>
      <c r="C33" s="461"/>
      <c r="D33" s="461"/>
      <c r="E33" s="461"/>
      <c r="F33" s="461"/>
    </row>
    <row r="34" spans="2:6" x14ac:dyDescent="0.15">
      <c r="B34" s="44" t="s">
        <v>197</v>
      </c>
      <c r="C34" s="285">
        <f>Normalized_FCF!C8</f>
        <v>16063</v>
      </c>
      <c r="D34" s="1" t="str">
        <f>Reporting_currency</f>
        <v>CNY</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0</v>
      </c>
      <c r="D37" s="1" t="str">
        <f>Reporting_currency</f>
        <v>CNY</v>
      </c>
    </row>
    <row r="38" spans="2:6" x14ac:dyDescent="0.15">
      <c r="B38" s="49" t="s">
        <v>200</v>
      </c>
      <c r="C38" s="285">
        <f>Normalized_FCF!C16</f>
        <v>0</v>
      </c>
      <c r="D38" s="1" t="str">
        <f>Reporting_currency</f>
        <v>CNY</v>
      </c>
    </row>
    <row r="40" spans="2:6" x14ac:dyDescent="0.15">
      <c r="B40" s="461" t="s">
        <v>201</v>
      </c>
      <c r="C40" s="461"/>
      <c r="D40" s="461"/>
      <c r="E40" s="461"/>
      <c r="F40" s="461"/>
    </row>
    <row r="41" spans="2:6" x14ac:dyDescent="0.15">
      <c r="B41" s="44" t="s">
        <v>202</v>
      </c>
      <c r="C41" s="285">
        <f>Normalized_FCF!C9</f>
        <v>291.16000000000003</v>
      </c>
      <c r="D41" s="1" t="str">
        <f>Reporting_currency</f>
        <v>CNY</v>
      </c>
    </row>
    <row r="43" spans="2:6" x14ac:dyDescent="0.15">
      <c r="B43" s="461" t="s">
        <v>205</v>
      </c>
      <c r="C43" s="461"/>
      <c r="D43" s="461"/>
      <c r="E43" s="461"/>
      <c r="F43" s="461"/>
    </row>
    <row r="44" spans="2:6" x14ac:dyDescent="0.15">
      <c r="B44" s="44" t="s">
        <v>267</v>
      </c>
      <c r="C44" s="286">
        <f>Normalized_FCF!C46</f>
        <v>87.038628341441509</v>
      </c>
      <c r="D44" s="1" t="str">
        <f>Reporting_currency</f>
        <v>CNY</v>
      </c>
      <c r="E44" s="244"/>
      <c r="F44" s="244"/>
    </row>
    <row r="45" spans="2:6" x14ac:dyDescent="0.15">
      <c r="B45" s="44" t="s">
        <v>268</v>
      </c>
      <c r="C45" s="286">
        <f>Normalized_FCF!C45</f>
        <v>-803</v>
      </c>
      <c r="D45" s="1" t="str">
        <f>Reporting_currency</f>
        <v>CNY</v>
      </c>
      <c r="E45" s="244"/>
      <c r="F45" s="244"/>
    </row>
    <row r="46" spans="2:6" x14ac:dyDescent="0.15">
      <c r="B46" s="44" t="s">
        <v>203</v>
      </c>
      <c r="C46" s="285">
        <f>Normalized_FCF!C10</f>
        <v>-715.96137165855851</v>
      </c>
      <c r="D46" s="1" t="str">
        <f>Reporting_currency</f>
        <v>CNY</v>
      </c>
    </row>
    <row r="48" spans="2:6" x14ac:dyDescent="0.15">
      <c r="B48" s="1" t="s">
        <v>211</v>
      </c>
    </row>
    <row r="49" spans="2:6" x14ac:dyDescent="0.15">
      <c r="B49" s="44" t="s">
        <v>223</v>
      </c>
      <c r="C49" s="285">
        <f>Normalized_FCF!C13</f>
        <v>-6281.6063376994261</v>
      </c>
      <c r="D49" s="1" t="str">
        <f>Reporting_currency</f>
        <v>CNY</v>
      </c>
    </row>
    <row r="51" spans="2:6" x14ac:dyDescent="0.15">
      <c r="B51" s="461" t="s">
        <v>206</v>
      </c>
      <c r="C51" s="461"/>
      <c r="D51" s="461"/>
      <c r="E51" s="461"/>
      <c r="F51" s="461"/>
    </row>
    <row r="52" spans="2:6" x14ac:dyDescent="0.15">
      <c r="B52" s="44" t="s">
        <v>204</v>
      </c>
      <c r="C52" s="285">
        <f>Normalized_FCF!C12</f>
        <v>-3909.5496570853602</v>
      </c>
      <c r="D52" s="1" t="str">
        <f>Reporting_currency</f>
        <v>CNY</v>
      </c>
    </row>
    <row r="54" spans="2:6" x14ac:dyDescent="0.15">
      <c r="B54" s="461" t="s">
        <v>265</v>
      </c>
      <c r="C54" s="464"/>
      <c r="D54" s="464"/>
      <c r="E54" s="464"/>
      <c r="F54" s="464"/>
    </row>
    <row r="55" spans="2:6" x14ac:dyDescent="0.15">
      <c r="B55" s="44" t="s">
        <v>207</v>
      </c>
      <c r="C55" s="285">
        <f>Normalized_FCF!C17</f>
        <v>0</v>
      </c>
      <c r="D55" s="1" t="str">
        <f>Reporting_currency</f>
        <v>CNY</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10035.132190286105</v>
      </c>
      <c r="D60" s="1" t="str">
        <f>Reporting_currency</f>
        <v>CNY</v>
      </c>
    </row>
    <row r="61" spans="2:6" x14ac:dyDescent="0.15">
      <c r="B61" s="44" t="s">
        <v>213</v>
      </c>
      <c r="C61" s="285">
        <f>Normalized_FCF!C19</f>
        <v>5447.0426335566535</v>
      </c>
      <c r="D61" s="1" t="str">
        <f>Reporting_currency</f>
        <v>CNY</v>
      </c>
    </row>
    <row r="62" spans="2:6" x14ac:dyDescent="0.15">
      <c r="B62" s="204" t="s">
        <v>302</v>
      </c>
      <c r="C62" s="89">
        <f>Normalized_FCF!C124</f>
        <v>8.6180567737079425E-2</v>
      </c>
      <c r="F62" s="257"/>
    </row>
    <row r="63" spans="2:6" x14ac:dyDescent="0.15">
      <c r="B63" s="204" t="s">
        <v>332</v>
      </c>
      <c r="C63" s="89">
        <f>Normalized_FCF!C92</f>
        <v>3.8936867167764254E-2</v>
      </c>
      <c r="E63" s="44" t="s">
        <v>322</v>
      </c>
      <c r="F63" s="258">
        <f>Normalized_FCF!C90</f>
        <v>0.56806177058735774</v>
      </c>
    </row>
    <row r="65" spans="1:6" x14ac:dyDescent="0.15">
      <c r="B65" s="192" t="s">
        <v>325</v>
      </c>
      <c r="C65" s="264" t="s">
        <v>327</v>
      </c>
      <c r="D65" s="264" t="s">
        <v>328</v>
      </c>
    </row>
    <row r="66" spans="1:6" x14ac:dyDescent="0.15">
      <c r="B66" s="44" t="s">
        <v>326</v>
      </c>
      <c r="C66" s="89">
        <f>Normalized_FCF!E119</f>
        <v>0.17172001831973296</v>
      </c>
      <c r="D66" s="89">
        <f>Normalized_FCF!G119</f>
        <v>0.18349071232799782</v>
      </c>
    </row>
    <row r="67" spans="1:6" x14ac:dyDescent="0.15">
      <c r="B67" s="229" t="str">
        <f>Normalized_FCF!B116</f>
        <v>Pre-tax Profit/Sales</v>
      </c>
      <c r="C67" s="263">
        <f>Normalized_FCF!E116</f>
        <v>8.3606164410580511E-2</v>
      </c>
      <c r="D67" s="263">
        <f>Normalized_FCF!G116</f>
        <v>8.9337019718604541E-2</v>
      </c>
    </row>
    <row r="68" spans="1:6" x14ac:dyDescent="0.15">
      <c r="B68" s="229" t="str">
        <f>Normalized_FCF!B117</f>
        <v>Sales/Total Assets</v>
      </c>
      <c r="C68" s="265">
        <f>Normalized_FCF!E117</f>
        <v>1.3282158707615834</v>
      </c>
      <c r="D68" s="265">
        <f>Normalized_FCF!G117</f>
        <v>1.3282158707615834</v>
      </c>
    </row>
    <row r="69" spans="1:6" x14ac:dyDescent="0.15">
      <c r="B69" s="229" t="str">
        <f>Normalized_FCF!B118</f>
        <v>Total Assets/Equity</v>
      </c>
      <c r="C69" s="265">
        <f>Normalized_FCF!E118</f>
        <v>1.5463719418456539</v>
      </c>
      <c r="D69" s="265">
        <f>Normalized_FCF!G118</f>
        <v>1.5463719418456539</v>
      </c>
    </row>
    <row r="71" spans="1:6" ht="16" x14ac:dyDescent="0.25">
      <c r="A71" s="200" t="s">
        <v>477</v>
      </c>
      <c r="B71" s="34"/>
      <c r="C71" s="34"/>
      <c r="D71" s="34"/>
      <c r="E71" s="34"/>
      <c r="F71" s="34"/>
    </row>
    <row r="72" spans="1:6" x14ac:dyDescent="0.15">
      <c r="A72" s="191"/>
    </row>
    <row r="73" spans="1:6" x14ac:dyDescent="0.15">
      <c r="A73" s="191"/>
      <c r="B73" s="460" t="s">
        <v>478</v>
      </c>
      <c r="C73" s="460"/>
      <c r="D73" s="460"/>
      <c r="E73" s="460"/>
      <c r="F73" s="460"/>
    </row>
    <row r="74" spans="1:6" x14ac:dyDescent="0.15">
      <c r="A74" s="191"/>
      <c r="B74" s="1" t="s">
        <v>465</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-20425</v>
      </c>
      <c r="D78" s="1" t="str">
        <f>Reporting_currency</f>
        <v>CNY</v>
      </c>
    </row>
    <row r="79" spans="1:6" x14ac:dyDescent="0.15">
      <c r="A79" s="191"/>
      <c r="B79" s="44" t="s">
        <v>234</v>
      </c>
      <c r="C79" s="201">
        <f>C78*scaling_factor*Exchange_Rate/Common_Shares</f>
        <v>-2.6692588348097637</v>
      </c>
      <c r="D79" s="1" t="str">
        <f>Market_currency</f>
        <v>HKD</v>
      </c>
    </row>
    <row r="80" spans="1:6" x14ac:dyDescent="0.15">
      <c r="A80" s="191"/>
      <c r="B80" s="229" t="s">
        <v>309</v>
      </c>
      <c r="C80" s="337">
        <f>IF(BS!G31/BS!G27&gt;300%,"nm",BS!G31/BS!G27)</f>
        <v>0.22428295339746124</v>
      </c>
    </row>
    <row r="81" spans="1:6" x14ac:dyDescent="0.15">
      <c r="A81" s="191"/>
      <c r="B81" s="229" t="s">
        <v>311</v>
      </c>
      <c r="C81" s="338">
        <f>IF(BS!C50&gt;30,"nm",BS!C50)</f>
        <v>1.2715557492373779</v>
      </c>
    </row>
    <row r="82" spans="1:6" x14ac:dyDescent="0.15">
      <c r="A82" s="191"/>
    </row>
    <row r="83" spans="1:6" x14ac:dyDescent="0.15">
      <c r="A83" s="191"/>
      <c r="B83" s="1" t="s">
        <v>466</v>
      </c>
    </row>
    <row r="84" spans="1:6" x14ac:dyDescent="0.15">
      <c r="A84" s="191"/>
      <c r="B84" s="1" t="s">
        <v>224</v>
      </c>
      <c r="C84" s="285">
        <f>DCF!F5</f>
        <v>28368.561943093082</v>
      </c>
      <c r="D84" s="1" t="str">
        <f>Reporting_currency</f>
        <v>CNY</v>
      </c>
    </row>
    <row r="85" spans="1:6" x14ac:dyDescent="0.15">
      <c r="A85" s="191"/>
      <c r="B85" s="229" t="s">
        <v>222</v>
      </c>
      <c r="C85" s="291">
        <f>BS!C66</f>
        <v>42875</v>
      </c>
      <c r="D85" s="339" t="str">
        <f>Reporting_currency</f>
        <v>CNY</v>
      </c>
    </row>
    <row r="86" spans="1:6" x14ac:dyDescent="0.15">
      <c r="A86" s="191"/>
      <c r="B86" s="44" t="s">
        <v>235</v>
      </c>
      <c r="C86" s="201">
        <f>C84*scaling_factor*Exchange_Rate/Common_Shares</f>
        <v>3.7073701149301956</v>
      </c>
      <c r="D86" s="1" t="str">
        <f>Market_currency</f>
        <v>HKD</v>
      </c>
    </row>
    <row r="87" spans="1:6" x14ac:dyDescent="0.15">
      <c r="A87" s="191"/>
    </row>
    <row r="88" spans="1:6" x14ac:dyDescent="0.15">
      <c r="A88" s="191"/>
      <c r="B88" s="1" t="s">
        <v>216</v>
      </c>
    </row>
    <row r="89" spans="1:6" x14ac:dyDescent="0.15">
      <c r="A89" s="191"/>
      <c r="B89" s="1" t="s">
        <v>217</v>
      </c>
      <c r="C89" s="285">
        <f>DCF!F6</f>
        <v>174</v>
      </c>
      <c r="D89" s="1" t="str">
        <f>Reporting_currency</f>
        <v>CNY</v>
      </c>
    </row>
    <row r="90" spans="1:6" x14ac:dyDescent="0.15">
      <c r="A90" s="191"/>
      <c r="B90" s="44" t="s">
        <v>236</v>
      </c>
      <c r="C90" s="201">
        <f>C89*scaling_factor*Exchange_Rate/Common_Shares</f>
        <v>2.2739340869370812E-2</v>
      </c>
      <c r="D90" s="1" t="str">
        <f>Market_currency</f>
        <v>HKD</v>
      </c>
    </row>
    <row r="91" spans="1:6" x14ac:dyDescent="0.15">
      <c r="A91" s="191"/>
    </row>
    <row r="92" spans="1:6" x14ac:dyDescent="0.15">
      <c r="A92" s="191"/>
      <c r="B92" s="44" t="s">
        <v>469</v>
      </c>
      <c r="C92" s="216">
        <f>DCF!F8</f>
        <v>1.0608506209898028</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0" t="s">
        <v>485</v>
      </c>
      <c r="C96" s="460"/>
      <c r="D96" s="460"/>
      <c r="E96" s="460"/>
      <c r="F96" s="460"/>
    </row>
    <row r="97" spans="2:6" x14ac:dyDescent="0.15">
      <c r="B97" s="462" t="s">
        <v>484</v>
      </c>
      <c r="C97" s="462"/>
      <c r="D97" s="462"/>
      <c r="E97" s="462"/>
      <c r="F97" s="462"/>
    </row>
    <row r="98" spans="2:6" x14ac:dyDescent="0.15">
      <c r="B98" s="462" t="s">
        <v>483</v>
      </c>
      <c r="C98" s="462"/>
      <c r="D98" s="462"/>
      <c r="E98" s="462"/>
      <c r="F98" s="462"/>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0.02</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487</v>
      </c>
    </row>
    <row r="111" spans="2:6" x14ac:dyDescent="0.15">
      <c r="B111" s="49" t="s">
        <v>468</v>
      </c>
      <c r="C111" s="216">
        <f>BS!D47</f>
        <v>-2.9862635425501813</v>
      </c>
      <c r="D111" s="1" t="str">
        <f>Market_currency</f>
        <v>HKD</v>
      </c>
    </row>
    <row r="112" spans="2:6" x14ac:dyDescent="0.15">
      <c r="B112" s="44" t="s">
        <v>323</v>
      </c>
      <c r="C112" s="216">
        <f>DCF!C11</f>
        <v>14.89110813143631</v>
      </c>
      <c r="D112" s="1" t="str">
        <f>Market_currency</f>
        <v>HKD</v>
      </c>
    </row>
    <row r="114" spans="2:6" ht="24.5" customHeight="1" x14ac:dyDescent="0.15">
      <c r="B114" s="460" t="s">
        <v>491</v>
      </c>
      <c r="C114" s="460"/>
      <c r="D114" s="460"/>
      <c r="E114" s="460"/>
      <c r="F114" s="460"/>
    </row>
    <row r="116" spans="2:6" x14ac:dyDescent="0.15">
      <c r="B116" s="192" t="s">
        <v>488</v>
      </c>
    </row>
    <row r="117" spans="2:6" ht="14" x14ac:dyDescent="0.2">
      <c r="B117" s="342" t="s">
        <v>101</v>
      </c>
      <c r="C117" s="342" t="s">
        <v>110</v>
      </c>
      <c r="D117" s="342" t="s">
        <v>219</v>
      </c>
      <c r="E117" s="342" t="s">
        <v>124</v>
      </c>
      <c r="F117" s="342" t="s">
        <v>544</v>
      </c>
    </row>
    <row r="118" spans="2:6" x14ac:dyDescent="0.15">
      <c r="B118" s="205" t="str">
        <f>DCF!B90&amp;" ("&amp;DCF!D90&amp;"yrs)"</f>
        <v>Snowball Scenario (5yrs)</v>
      </c>
      <c r="C118" s="206">
        <f>DCF!C90</f>
        <v>0.06</v>
      </c>
      <c r="D118" s="207" t="str">
        <f>ROUND(DCF!E90,2)&amp;" "&amp;Market_currency</f>
        <v>13.94 HKD</v>
      </c>
      <c r="E118" s="208">
        <f>DCF!F90</f>
        <v>0.1</v>
      </c>
      <c r="F118" s="208">
        <f>RATE(Holding_Period,Scenarios!C$58,-DCF!E90,C$18)</f>
        <v>-3.6709427316043715E-2</v>
      </c>
    </row>
    <row r="119" spans="2:6" x14ac:dyDescent="0.15">
      <c r="B119" s="205" t="str">
        <f>DCF!B91&amp;" ("&amp;DCF!D91&amp;"yrs)"</f>
        <v>Optimistic (5yrs)</v>
      </c>
      <c r="C119" s="198">
        <f>DCF!C91</f>
        <v>0.04</v>
      </c>
      <c r="D119" s="207" t="str">
        <f>ROUND(DCF!E91,2)&amp;" "&amp;Market_currency</f>
        <v>12.9 HKD</v>
      </c>
      <c r="E119" s="199">
        <f>DCF!F91</f>
        <v>8.0000000000000029E-2</v>
      </c>
      <c r="F119" s="208">
        <f>RATE(Holding_Period,Scenarios!C$58,-DCF!E91,C$18)</f>
        <v>-1.0679500497405958E-2</v>
      </c>
    </row>
    <row r="120" spans="2:6" x14ac:dyDescent="0.15">
      <c r="B120" s="205" t="str">
        <f>DCF!B92&amp;" ("&amp;DCF!D92&amp;"yrs)"</f>
        <v>Base (5yrs)</v>
      </c>
      <c r="C120" s="198">
        <f>DCF!C92</f>
        <v>0.02</v>
      </c>
      <c r="D120" s="207" t="str">
        <f>ROUND(DCF!E92,2)&amp;" "&amp;Market_currency</f>
        <v>11.92 HKD</v>
      </c>
      <c r="E120" s="199">
        <f>DCF!F92</f>
        <v>0.48</v>
      </c>
      <c r="F120" s="208">
        <f>RATE(Holding_Period,Scenarios!C$58,-DCF!E92,C$18)</f>
        <v>1.6251339283080365E-2</v>
      </c>
    </row>
    <row r="121" spans="2:6" x14ac:dyDescent="0.15">
      <c r="B121" s="205" t="str">
        <f>DCF!B93&amp;" ("&amp;DCF!D93&amp;"yrs)"</f>
        <v>Pessimistic (5yrs)</v>
      </c>
      <c r="C121" s="198">
        <f>DCF!C93</f>
        <v>0</v>
      </c>
      <c r="D121" s="207" t="str">
        <f>ROUND(DCF!E93,2)&amp;" "&amp;Market_currency</f>
        <v>11.02 HKD</v>
      </c>
      <c r="E121" s="199">
        <f>DCF!F93</f>
        <v>0.24</v>
      </c>
      <c r="F121" s="208">
        <f>RATE(Holding_Period,Scenarios!C$58,-DCF!E93,C$18)</f>
        <v>4.4100640112439769E-2</v>
      </c>
    </row>
    <row r="122" spans="2:6" x14ac:dyDescent="0.15">
      <c r="B122" s="205" t="str">
        <f>DCF!B94&amp;" ("&amp;DCF!D94&amp;"yrs)"</f>
        <v>Devil's advocate (5yrs)</v>
      </c>
      <c r="C122" s="198">
        <f>DCF!C94</f>
        <v>-0.1</v>
      </c>
      <c r="D122" s="207" t="str">
        <f>ROUND(DCF!E94,2)&amp;" "&amp;Market_currency</f>
        <v>7.4 HKD</v>
      </c>
      <c r="E122" s="199">
        <f>DCF!F94</f>
        <v>0.1</v>
      </c>
      <c r="F122" s="208">
        <f>RATE(Holding_Period,Scenarios!C$58,-DCF!E94,C$18)</f>
        <v>0.19745566225142305</v>
      </c>
    </row>
    <row r="124" spans="2:6" x14ac:dyDescent="0.15">
      <c r="B124" s="461" t="s">
        <v>357</v>
      </c>
      <c r="C124" s="461"/>
      <c r="D124" s="461"/>
      <c r="E124" s="461"/>
      <c r="F124" s="461"/>
    </row>
    <row r="125" spans="2:6" x14ac:dyDescent="0.15">
      <c r="B125" s="193" t="s">
        <v>218</v>
      </c>
      <c r="C125" s="197">
        <f>Scenarios!C36</f>
        <v>11.532763326181085</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3" t="s">
        <v>285</v>
      </c>
      <c r="C131" s="463"/>
      <c r="D131" s="463"/>
      <c r="E131" s="463"/>
      <c r="F131" s="463"/>
    </row>
    <row r="132" spans="1:6" x14ac:dyDescent="0.15">
      <c r="B132" s="460" t="s">
        <v>359</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0.32161852280573272</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0.58851416086227837</v>
      </c>
      <c r="D140" s="333">
        <f>Scenarios!D62</f>
        <v>5.3146374775028056</v>
      </c>
      <c r="E140" s="334">
        <f>Scenarios!E62</f>
        <v>5.9031516383650837</v>
      </c>
      <c r="F140" s="335">
        <f>E22</f>
        <v>0.29465259038036606</v>
      </c>
    </row>
    <row r="141" spans="1:6" x14ac:dyDescent="0.15">
      <c r="B141" s="336" t="s">
        <v>313</v>
      </c>
      <c r="C141" s="333">
        <f>Scenarios!C63</f>
        <v>0.67668664149811164</v>
      </c>
      <c r="D141" s="333">
        <f>Scenarios!D63</f>
        <v>6.6615239429204847</v>
      </c>
      <c r="E141" s="334">
        <f>Scenarios!E63</f>
        <v>7.3382105844185963</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0.77593785348088151</v>
      </c>
      <c r="D144" s="333">
        <f>Scenarios!D66</f>
        <v>8.2662279742202571</v>
      </c>
      <c r="E144" s="334">
        <f>Scenarios!E66</f>
        <v>9.0421658277011385</v>
      </c>
      <c r="F144" s="335">
        <f>E24</f>
        <v>0.1174</v>
      </c>
    </row>
    <row r="145" spans="1:6" x14ac:dyDescent="0.15">
      <c r="B145" s="336" t="s">
        <v>314</v>
      </c>
      <c r="C145" s="333">
        <f>Scenarios!C67</f>
        <v>0.84018826157767579</v>
      </c>
      <c r="D145" s="333">
        <f>Scenarios!D67</f>
        <v>9.3484901981541277</v>
      </c>
      <c r="E145" s="334">
        <f>Scenarios!E67</f>
        <v>10.188678459731804</v>
      </c>
      <c r="F145" s="335">
        <f>Scenarios!F67</f>
        <v>7.2499999999999995E-2</v>
      </c>
    </row>
    <row r="147" spans="1:6" ht="16" x14ac:dyDescent="0.25">
      <c r="A147" s="200" t="s">
        <v>475</v>
      </c>
      <c r="B147" s="34"/>
      <c r="C147" s="34"/>
      <c r="D147" s="34"/>
      <c r="E147" s="34"/>
      <c r="F147" s="34"/>
    </row>
    <row r="149" spans="1:6" x14ac:dyDescent="0.15">
      <c r="B149" s="467" t="s">
        <v>360</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438</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1000000</v>
      </c>
    </row>
    <row r="4" spans="2:13" x14ac:dyDescent="0.15">
      <c r="B4" s="31" t="s">
        <v>0</v>
      </c>
      <c r="C4" s="287">
        <v>187046</v>
      </c>
      <c r="D4" s="287">
        <v>177354</v>
      </c>
      <c r="E4" s="287">
        <v>171944</v>
      </c>
      <c r="F4" s="287">
        <v>138547</v>
      </c>
      <c r="G4" s="287">
        <v>109251</v>
      </c>
      <c r="H4" s="287">
        <v>113313</v>
      </c>
      <c r="I4" s="287">
        <v>105470</v>
      </c>
      <c r="J4" s="287">
        <v>88706</v>
      </c>
      <c r="K4" s="287">
        <v>81882</v>
      </c>
      <c r="L4" s="287">
        <v>41641</v>
      </c>
      <c r="M4" s="287"/>
    </row>
    <row r="5" spans="2:13" x14ac:dyDescent="0.15">
      <c r="B5" s="38" t="s">
        <v>40</v>
      </c>
      <c r="C5" s="287">
        <v>161662</v>
      </c>
      <c r="D5" s="287">
        <v>151091</v>
      </c>
      <c r="E5" s="287">
        <v>146077</v>
      </c>
      <c r="F5" s="287">
        <v>115893</v>
      </c>
      <c r="G5" s="287">
        <v>90292</v>
      </c>
      <c r="H5" s="287">
        <v>85116</v>
      </c>
      <c r="I5" s="287">
        <v>78249</v>
      </c>
      <c r="J5" s="287">
        <v>64145</v>
      </c>
      <c r="K5" s="287">
        <v>56682</v>
      </c>
      <c r="L5" s="287">
        <v>22884</v>
      </c>
      <c r="M5" s="287"/>
    </row>
    <row r="6" spans="2:13" x14ac:dyDescent="0.15">
      <c r="B6" s="38" t="s">
        <v>51</v>
      </c>
      <c r="C6" s="287">
        <v>9321</v>
      </c>
      <c r="D6" s="287">
        <v>9626</v>
      </c>
      <c r="E6" s="287">
        <v>9519</v>
      </c>
      <c r="F6" s="287">
        <v>8885</v>
      </c>
      <c r="G6" s="287">
        <v>7389</v>
      </c>
      <c r="H6" s="287">
        <v>8246</v>
      </c>
      <c r="I6" s="287">
        <v>8234</v>
      </c>
      <c r="J6" s="287">
        <v>7593</v>
      </c>
      <c r="K6" s="287">
        <v>7880</v>
      </c>
      <c r="L6" s="287">
        <v>4574</v>
      </c>
      <c r="M6" s="287"/>
    </row>
    <row r="7" spans="2:13" x14ac:dyDescent="0.15">
      <c r="B7" s="66" t="s">
        <v>58</v>
      </c>
      <c r="C7" s="288">
        <v>3491</v>
      </c>
      <c r="D7" s="288">
        <v>3656</v>
      </c>
      <c r="E7" s="288">
        <v>3770</v>
      </c>
      <c r="F7" s="288">
        <v>3400</v>
      </c>
      <c r="G7" s="288">
        <v>2689</v>
      </c>
      <c r="H7" s="288">
        <v>3112</v>
      </c>
      <c r="I7" s="288">
        <v>3389</v>
      </c>
      <c r="J7" s="288">
        <v>3264</v>
      </c>
      <c r="K7" s="288">
        <v>3399</v>
      </c>
      <c r="L7" s="288">
        <v>2545</v>
      </c>
      <c r="M7" s="288"/>
    </row>
    <row r="8" spans="2:13" x14ac:dyDescent="0.15">
      <c r="B8" s="38" t="s">
        <v>46</v>
      </c>
      <c r="C8" s="287"/>
      <c r="D8" s="287"/>
      <c r="E8" s="287"/>
      <c r="F8" s="287"/>
      <c r="G8" s="287"/>
      <c r="H8" s="287"/>
      <c r="I8" s="287"/>
      <c r="J8" s="287"/>
      <c r="K8" s="287"/>
      <c r="L8" s="287"/>
      <c r="M8" s="287"/>
    </row>
    <row r="9" spans="2:13" x14ac:dyDescent="0.15">
      <c r="B9" s="38" t="s">
        <v>134</v>
      </c>
      <c r="C9" s="287">
        <v>1126</v>
      </c>
      <c r="D9" s="287">
        <v>1045</v>
      </c>
      <c r="E9" s="287">
        <v>992</v>
      </c>
      <c r="F9" s="287">
        <v>1356</v>
      </c>
      <c r="G9" s="287">
        <v>523</v>
      </c>
      <c r="H9" s="287">
        <v>1270</v>
      </c>
      <c r="I9" s="287">
        <v>1169</v>
      </c>
      <c r="J9" s="287">
        <v>991</v>
      </c>
      <c r="K9" s="287">
        <v>901</v>
      </c>
      <c r="L9" s="287">
        <v>-1888</v>
      </c>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803</v>
      </c>
      <c r="D12" s="287">
        <v>960</v>
      </c>
      <c r="E12" s="287">
        <v>899</v>
      </c>
      <c r="F12" s="287">
        <v>783</v>
      </c>
      <c r="G12" s="287">
        <v>708</v>
      </c>
      <c r="H12" s="287">
        <v>988</v>
      </c>
      <c r="I12" s="287">
        <v>1130</v>
      </c>
      <c r="J12" s="287">
        <v>1145</v>
      </c>
      <c r="K12" s="287">
        <v>685</v>
      </c>
      <c r="L12" s="287">
        <v>577</v>
      </c>
      <c r="M12" s="287"/>
    </row>
    <row r="13" spans="2:13" x14ac:dyDescent="0.15">
      <c r="B13" s="38" t="s">
        <v>64</v>
      </c>
      <c r="C13" s="287">
        <v>958</v>
      </c>
      <c r="D13" s="287">
        <v>870</v>
      </c>
      <c r="E13" s="287">
        <v>859</v>
      </c>
      <c r="F13" s="287">
        <v>529</v>
      </c>
      <c r="G13" s="287">
        <v>330</v>
      </c>
      <c r="H13" s="287">
        <v>274</v>
      </c>
      <c r="I13" s="287">
        <v>295</v>
      </c>
      <c r="J13" s="287">
        <v>211</v>
      </c>
      <c r="K13" s="287">
        <v>349</v>
      </c>
      <c r="L13" s="287">
        <v>225</v>
      </c>
      <c r="M13" s="287"/>
    </row>
    <row r="14" spans="2:13" x14ac:dyDescent="0.15">
      <c r="B14" s="38" t="s">
        <v>47</v>
      </c>
      <c r="C14" s="287">
        <v>3128</v>
      </c>
      <c r="D14" s="287">
        <v>3338</v>
      </c>
      <c r="E14" s="287">
        <v>3189</v>
      </c>
      <c r="F14" s="287">
        <v>2698</v>
      </c>
      <c r="G14" s="287">
        <v>2313</v>
      </c>
      <c r="H14" s="287">
        <v>4074</v>
      </c>
      <c r="I14" s="287">
        <v>3772</v>
      </c>
      <c r="J14" s="287">
        <v>3531</v>
      </c>
      <c r="K14" s="287">
        <v>3701</v>
      </c>
      <c r="L14" s="287">
        <v>2607</v>
      </c>
      <c r="M14" s="287"/>
    </row>
    <row r="15" spans="2:13" x14ac:dyDescent="0.15">
      <c r="B15" s="41" t="s">
        <v>39</v>
      </c>
      <c r="C15" s="289">
        <v>9507</v>
      </c>
      <c r="D15" s="289">
        <v>9255</v>
      </c>
      <c r="E15" s="289">
        <v>8203</v>
      </c>
      <c r="F15" s="289">
        <v>26337</v>
      </c>
      <c r="G15" s="289">
        <v>9732</v>
      </c>
      <c r="H15" s="289">
        <v>9571</v>
      </c>
      <c r="I15" s="289">
        <v>8213</v>
      </c>
      <c r="J15" s="289">
        <v>7949</v>
      </c>
      <c r="K15" s="289">
        <v>3414</v>
      </c>
      <c r="L15" s="289">
        <v>2320</v>
      </c>
      <c r="M15" s="289"/>
    </row>
    <row r="16" spans="2:13" x14ac:dyDescent="0.15">
      <c r="B16" s="27" t="s">
        <v>41</v>
      </c>
      <c r="C16" s="287">
        <v>3547</v>
      </c>
      <c r="D16" s="287">
        <v>3573</v>
      </c>
      <c r="E16" s="287">
        <v>2975</v>
      </c>
      <c r="F16" s="287">
        <v>3321</v>
      </c>
      <c r="G16" s="287">
        <v>3669</v>
      </c>
      <c r="H16" s="287">
        <v>4020</v>
      </c>
      <c r="I16" s="287">
        <v>3579</v>
      </c>
      <c r="J16" s="287">
        <v>3189</v>
      </c>
      <c r="K16" s="287">
        <v>2755</v>
      </c>
      <c r="L16" s="287">
        <v>2183</v>
      </c>
      <c r="M16" s="287"/>
    </row>
    <row r="18" spans="2:13" x14ac:dyDescent="0.15">
      <c r="B18" s="16" t="s">
        <v>48</v>
      </c>
      <c r="C18" s="9"/>
    </row>
    <row r="19" spans="2:13" ht="13" x14ac:dyDescent="0.15">
      <c r="B19" s="26" t="s">
        <v>44</v>
      </c>
      <c r="C19" s="287"/>
      <c r="D19" s="287"/>
      <c r="E19" s="287"/>
      <c r="F19" s="287"/>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12514</v>
      </c>
      <c r="D22" s="287">
        <v>14408</v>
      </c>
      <c r="E22" s="287">
        <v>14870</v>
      </c>
      <c r="F22" s="287">
        <v>12000</v>
      </c>
      <c r="G22" s="287">
        <v>16738</v>
      </c>
      <c r="H22" s="287">
        <v>16085</v>
      </c>
      <c r="I22" s="287">
        <v>17018</v>
      </c>
      <c r="J22" s="287">
        <v>13287</v>
      </c>
      <c r="K22" s="287">
        <v>15749</v>
      </c>
      <c r="L22" s="287">
        <v>13370</v>
      </c>
      <c r="M22" s="287"/>
    </row>
    <row r="23" spans="2:13" ht="13" x14ac:dyDescent="0.15">
      <c r="B23" s="26" t="s">
        <v>288</v>
      </c>
      <c r="C23" s="287">
        <v>-3491</v>
      </c>
      <c r="D23" s="287">
        <v>-1061</v>
      </c>
      <c r="E23" s="287">
        <v>-18452</v>
      </c>
      <c r="F23" s="287">
        <v>25602</v>
      </c>
      <c r="G23" s="287">
        <v>-8833</v>
      </c>
      <c r="H23" s="287">
        <v>-10277</v>
      </c>
      <c r="I23" s="287">
        <v>-7000</v>
      </c>
      <c r="J23" s="287">
        <v>-13493</v>
      </c>
      <c r="K23" s="287">
        <v>-23127</v>
      </c>
      <c r="L23" s="287">
        <v>-4719</v>
      </c>
      <c r="M23" s="287"/>
    </row>
    <row r="24" spans="2:13" ht="13" x14ac:dyDescent="0.15">
      <c r="B24" s="26" t="s">
        <v>287</v>
      </c>
      <c r="C24" s="287">
        <v>-8586</v>
      </c>
      <c r="D24" s="287">
        <v>-6039</v>
      </c>
      <c r="E24" s="287">
        <v>-4920</v>
      </c>
      <c r="F24" s="287">
        <v>-25723</v>
      </c>
      <c r="G24" s="287">
        <v>-9808</v>
      </c>
      <c r="H24" s="287">
        <v>-7805</v>
      </c>
      <c r="I24" s="287">
        <v>-11355</v>
      </c>
      <c r="J24" s="287">
        <v>3277</v>
      </c>
      <c r="K24" s="287">
        <v>12259</v>
      </c>
      <c r="L24" s="287">
        <v>-6801</v>
      </c>
      <c r="M24" s="287"/>
    </row>
    <row r="25" spans="2:13" x14ac:dyDescent="0.15">
      <c r="B25" s="23" t="str">
        <f>"Dividend per share ("&amp;Market_currency&amp;")"</f>
        <v>Dividend per share (HKD)</v>
      </c>
      <c r="C25" s="37">
        <f>(0.1517+0.1641)*Exchange_Rate</f>
        <v>0.35735391422859192</v>
      </c>
      <c r="D25" s="37">
        <f>(0.2838)*Exchange_Rate</f>
        <v>0.32114325794197085</v>
      </c>
      <c r="E25" s="37">
        <f>0.2539*Exchange_Rate</f>
        <v>0.28730892597415925</v>
      </c>
      <c r="F25" s="37">
        <f>0.2078*Exchange_Rate</f>
        <v>0.23514294926124574</v>
      </c>
      <c r="G25" s="37"/>
      <c r="H25" s="37"/>
      <c r="I25" s="37"/>
      <c r="J25" s="37"/>
      <c r="K25" s="37"/>
      <c r="L25" s="37"/>
      <c r="M25" s="37"/>
    </row>
    <row r="27" spans="2:13" x14ac:dyDescent="0.15">
      <c r="B27" s="16" t="s">
        <v>26</v>
      </c>
      <c r="C27" s="94" t="s">
        <v>546</v>
      </c>
    </row>
    <row r="28" spans="2:13" ht="13" x14ac:dyDescent="0.15">
      <c r="B28" s="25" t="s">
        <v>22</v>
      </c>
      <c r="C28" s="270">
        <f>BS!C4</f>
        <v>3404</v>
      </c>
      <c r="D28" s="287">
        <v>1977</v>
      </c>
      <c r="E28" s="287">
        <v>2887</v>
      </c>
      <c r="F28" s="287">
        <v>2728</v>
      </c>
      <c r="G28" s="287">
        <v>4085</v>
      </c>
      <c r="H28" s="287">
        <v>2792</v>
      </c>
      <c r="I28" s="287">
        <v>2459</v>
      </c>
      <c r="J28" s="287">
        <v>2846</v>
      </c>
      <c r="K28" s="287">
        <v>3114</v>
      </c>
      <c r="L28" s="287">
        <v>1837</v>
      </c>
      <c r="M28" s="287"/>
    </row>
    <row r="29" spans="2:13" ht="13" x14ac:dyDescent="0.15">
      <c r="B29" s="25" t="s">
        <v>30</v>
      </c>
      <c r="C29" s="270">
        <f>BS!C6</f>
        <v>1202</v>
      </c>
      <c r="D29" s="287">
        <v>1155</v>
      </c>
      <c r="E29" s="287">
        <v>1081</v>
      </c>
      <c r="F29" s="287">
        <v>1230</v>
      </c>
      <c r="G29" s="287">
        <v>925</v>
      </c>
      <c r="H29" s="287">
        <v>1398</v>
      </c>
      <c r="I29" s="287">
        <v>1865</v>
      </c>
      <c r="J29" s="287">
        <v>1559</v>
      </c>
      <c r="K29" s="287">
        <v>1397</v>
      </c>
      <c r="L29" s="287">
        <v>916</v>
      </c>
      <c r="M29" s="287"/>
    </row>
    <row r="30" spans="2:13" ht="13" x14ac:dyDescent="0.15">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ht="13" x14ac:dyDescent="0.15">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ht="13" x14ac:dyDescent="0.15">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x14ac:dyDescent="0.15">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ht="13" x14ac:dyDescent="0.15">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x14ac:dyDescent="0.15">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x14ac:dyDescent="0.15">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x14ac:dyDescent="0.15">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x14ac:dyDescent="0.15">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x14ac:dyDescent="0.15">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x14ac:dyDescent="0.15">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x14ac:dyDescent="0.15">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x14ac:dyDescent="0.15">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x14ac:dyDescent="0.15">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x14ac:dyDescent="0.15">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x14ac:dyDescent="0.15">
      <c r="B50" s="16" t="s">
        <v>65</v>
      </c>
    </row>
    <row r="51" spans="2:13" x14ac:dyDescent="0.15">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x14ac:dyDescent="0.15">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x14ac:dyDescent="0.15">
      <c r="B54" s="156" t="s">
        <v>139</v>
      </c>
    </row>
    <row r="55" spans="2:13" x14ac:dyDescent="0.15">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x14ac:dyDescent="0.15">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x14ac:dyDescent="0.15">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x14ac:dyDescent="0.15">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x14ac:dyDescent="0.15">
      <c r="B60" s="16" t="s">
        <v>48</v>
      </c>
      <c r="C60" s="9"/>
    </row>
    <row r="61" spans="2:13" ht="13" x14ac:dyDescent="0.15">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ht="13" x14ac:dyDescent="0.15">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ht="13" x14ac:dyDescent="0.15">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ht="13" x14ac:dyDescent="0.15">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x14ac:dyDescent="0.15">
      <c r="B65" s="23" t="s">
        <v>34</v>
      </c>
      <c r="C65" s="70">
        <f>IF(C$4="","",C25)</f>
        <v>0.35735391422859192</v>
      </c>
      <c r="D65" s="70">
        <f t="shared" ref="D65:M65" si="33">IF(D$4="","",D25)</f>
        <v>0.32114325794197085</v>
      </c>
      <c r="E65" s="70">
        <f t="shared" si="33"/>
        <v>0.28730892597415925</v>
      </c>
      <c r="F65" s="70">
        <f t="shared" si="33"/>
        <v>0.23514294926124574</v>
      </c>
      <c r="G65" s="70">
        <f t="shared" si="33"/>
        <v>0</v>
      </c>
      <c r="H65" s="70">
        <f t="shared" si="33"/>
        <v>0</v>
      </c>
      <c r="I65" s="70">
        <f t="shared" si="33"/>
        <v>0</v>
      </c>
      <c r="J65" s="70">
        <f t="shared" si="33"/>
        <v>0</v>
      </c>
      <c r="K65" s="70">
        <f t="shared" si="33"/>
        <v>0</v>
      </c>
      <c r="L65" s="70">
        <f t="shared" si="33"/>
        <v>0</v>
      </c>
      <c r="M65" s="70" t="str">
        <f t="shared" si="33"/>
        <v/>
      </c>
    </row>
    <row r="67" spans="2:13" x14ac:dyDescent="0.15">
      <c r="B67" s="88" t="s">
        <v>81</v>
      </c>
    </row>
    <row r="68" spans="2:13" x14ac:dyDescent="0.15">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ht="13" x14ac:dyDescent="0.15">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x14ac:dyDescent="0.15">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x14ac:dyDescent="0.15">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x14ac:dyDescent="0.15">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ht="13" x14ac:dyDescent="0.15">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ht="13" x14ac:dyDescent="0.15">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ht="13" x14ac:dyDescent="0.15">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ht="13" x14ac:dyDescent="0.15">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1000000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v>3404</v>
      </c>
      <c r="D4" s="231">
        <v>0.6</v>
      </c>
      <c r="E4" s="24"/>
      <c r="F4" s="4" t="s">
        <v>74</v>
      </c>
      <c r="G4" s="18">
        <f>13396+29479</f>
        <v>42875</v>
      </c>
      <c r="H4" s="231">
        <v>0.9</v>
      </c>
    </row>
    <row r="5" spans="2:8" ht="15" customHeight="1" x14ac:dyDescent="0.15">
      <c r="B5" s="1" t="s">
        <v>31</v>
      </c>
      <c r="C5" s="18">
        <v>0</v>
      </c>
      <c r="D5" s="231">
        <v>0.6</v>
      </c>
      <c r="E5" s="24"/>
      <c r="F5" s="1" t="s">
        <v>27</v>
      </c>
      <c r="G5" s="18">
        <v>0</v>
      </c>
      <c r="H5" s="231">
        <v>0.7</v>
      </c>
    </row>
    <row r="6" spans="2:8" ht="15" customHeight="1" x14ac:dyDescent="0.15">
      <c r="B6" s="4" t="s">
        <v>8</v>
      </c>
      <c r="C6" s="18">
        <v>1202</v>
      </c>
      <c r="D6" s="231">
        <v>0.5</v>
      </c>
      <c r="E6" s="24"/>
      <c r="F6" s="4" t="s">
        <v>147</v>
      </c>
      <c r="G6" s="18">
        <v>0</v>
      </c>
      <c r="H6" s="231">
        <v>0.6</v>
      </c>
    </row>
    <row r="7" spans="2:8" ht="15" customHeight="1" x14ac:dyDescent="0.15">
      <c r="B7" s="1" t="s">
        <v>66</v>
      </c>
      <c r="C7" s="18">
        <v>0</v>
      </c>
      <c r="D7" s="231">
        <v>0.6</v>
      </c>
      <c r="E7" s="24"/>
      <c r="F7" s="4" t="s">
        <v>148</v>
      </c>
      <c r="G7" s="18">
        <v>0</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0</v>
      </c>
      <c r="D9" s="231">
        <v>0.1</v>
      </c>
      <c r="E9" s="24"/>
      <c r="F9" s="4" t="s">
        <v>150</v>
      </c>
      <c r="G9" s="18">
        <v>0</v>
      </c>
      <c r="H9" s="231">
        <v>0.6</v>
      </c>
    </row>
    <row r="10" spans="2:8" ht="15" customHeight="1" x14ac:dyDescent="0.15">
      <c r="B10" s="4" t="s">
        <v>9</v>
      </c>
      <c r="C10" s="18">
        <v>0</v>
      </c>
      <c r="D10" s="231">
        <v>0.9</v>
      </c>
      <c r="F10" s="1" t="s">
        <v>402</v>
      </c>
      <c r="G10" s="18">
        <v>0</v>
      </c>
      <c r="H10" s="231">
        <v>0.6</v>
      </c>
    </row>
    <row r="11" spans="2:8" ht="15" customHeight="1" x14ac:dyDescent="0.15">
      <c r="B11" s="4" t="s">
        <v>10</v>
      </c>
      <c r="C11" s="18">
        <v>8968</v>
      </c>
      <c r="D11" s="231">
        <v>0.05</v>
      </c>
      <c r="H11" s="232"/>
    </row>
    <row r="12" spans="2:8" ht="15" customHeight="1" x14ac:dyDescent="0.15">
      <c r="B12" s="77" t="s">
        <v>69</v>
      </c>
      <c r="C12" s="78">
        <f>SUM(C4:C11)</f>
        <v>13574</v>
      </c>
      <c r="D12" s="19">
        <f>C4*D4+C5*D5+C9*D9+C6*D6+C8*D8+C7*D7+C10*D10+C11*D11</f>
        <v>3091.7999999999997</v>
      </c>
      <c r="F12" s="77" t="s">
        <v>67</v>
      </c>
      <c r="G12" s="78">
        <f>SUM(G4:G10)</f>
        <v>42875</v>
      </c>
      <c r="H12" s="19">
        <f>G4*H4+G5*H5+G6*H6+G7*H7+G8*H8+G9*H9+G10*H10</f>
        <v>38587.5</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0</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v>290</v>
      </c>
      <c r="H17" s="231">
        <v>0.6</v>
      </c>
    </row>
    <row r="18" spans="2:8" ht="15" customHeight="1" x14ac:dyDescent="0.15">
      <c r="B18" s="4" t="s">
        <v>144</v>
      </c>
      <c r="C18" s="18">
        <v>0</v>
      </c>
      <c r="D18" s="231">
        <v>0.6</v>
      </c>
      <c r="F18" s="4" t="s">
        <v>151</v>
      </c>
      <c r="G18" s="18">
        <f>8273+6285</f>
        <v>14558</v>
      </c>
      <c r="H18" s="231">
        <v>0.1</v>
      </c>
    </row>
    <row r="19" spans="2:8" ht="15" customHeight="1" x14ac:dyDescent="0.15">
      <c r="B19" s="4" t="s">
        <v>24</v>
      </c>
      <c r="C19" s="18">
        <f>65142</f>
        <v>65142</v>
      </c>
      <c r="D19" s="231">
        <v>0.1</v>
      </c>
      <c r="F19" s="4" t="s">
        <v>152</v>
      </c>
      <c r="G19" s="18">
        <v>0</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1480</v>
      </c>
      <c r="D21" s="231">
        <v>0.05</v>
      </c>
      <c r="F21" s="1" t="s">
        <v>150</v>
      </c>
      <c r="G21" s="18">
        <v>0</v>
      </c>
      <c r="H21" s="231">
        <v>0.1</v>
      </c>
    </row>
    <row r="22" spans="2:8" ht="15" customHeight="1" x14ac:dyDescent="0.15">
      <c r="B22" s="4" t="s">
        <v>18</v>
      </c>
      <c r="C22" s="18">
        <v>1210</v>
      </c>
      <c r="D22" s="231">
        <v>0.9</v>
      </c>
      <c r="H22" s="232"/>
    </row>
    <row r="23" spans="2:8" ht="15" customHeight="1" x14ac:dyDescent="0.15">
      <c r="B23" s="4" t="s">
        <v>19</v>
      </c>
      <c r="C23" s="18">
        <v>1696</v>
      </c>
      <c r="D23" s="231">
        <v>0</v>
      </c>
      <c r="H23" s="232"/>
    </row>
    <row r="24" spans="2:8" ht="15" customHeight="1" x14ac:dyDescent="0.15">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x14ac:dyDescent="0.15">
      <c r="B26" s="16" t="s">
        <v>169</v>
      </c>
      <c r="C26" s="164" t="s">
        <v>113</v>
      </c>
      <c r="F26" s="166" t="s">
        <v>165</v>
      </c>
      <c r="G26" s="167" t="s">
        <v>113</v>
      </c>
      <c r="H26" s="168" t="s">
        <v>33</v>
      </c>
    </row>
    <row r="27" spans="2:8" ht="15" customHeight="1" x14ac:dyDescent="0.15">
      <c r="B27" s="4" t="s">
        <v>3</v>
      </c>
      <c r="C27" s="18">
        <v>4243</v>
      </c>
      <c r="F27" s="169" t="s">
        <v>28</v>
      </c>
      <c r="G27" s="82">
        <f>G32-G30</f>
        <v>91068</v>
      </c>
      <c r="H27" s="170">
        <f>H32-G30</f>
        <v>1229.3000000000029</v>
      </c>
    </row>
    <row r="28" spans="2:8" ht="15" customHeight="1" x14ac:dyDescent="0.15">
      <c r="B28" s="4" t="s">
        <v>4</v>
      </c>
      <c r="C28" s="18">
        <v>275</v>
      </c>
      <c r="F28" s="171" t="s">
        <v>209</v>
      </c>
      <c r="G28" s="287">
        <v>24080</v>
      </c>
      <c r="H28" s="170"/>
    </row>
    <row r="29" spans="2:8" ht="15" customHeight="1" x14ac:dyDescent="0.15">
      <c r="B29" s="4" t="s">
        <v>5</v>
      </c>
      <c r="C29" s="18">
        <v>0</v>
      </c>
      <c r="F29" s="172" t="s">
        <v>72</v>
      </c>
      <c r="G29" s="14">
        <f>G27-G28</f>
        <v>66988</v>
      </c>
      <c r="H29" s="170">
        <f>H27-G28</f>
        <v>-22850.699999999997</v>
      </c>
    </row>
    <row r="30" spans="2:8" ht="15" customHeight="1" x14ac:dyDescent="0.15">
      <c r="B30" s="2" t="s">
        <v>6</v>
      </c>
      <c r="C30" s="18">
        <v>0</v>
      </c>
      <c r="F30" s="169" t="s">
        <v>21</v>
      </c>
      <c r="G30" s="82">
        <f>C33+C42</f>
        <v>49757</v>
      </c>
      <c r="H30" s="170"/>
    </row>
    <row r="31" spans="2:8" ht="15" customHeight="1" x14ac:dyDescent="0.15">
      <c r="B31" s="77" t="s">
        <v>172</v>
      </c>
      <c r="C31" s="78">
        <f>SUM(C27:C30)</f>
        <v>4518</v>
      </c>
      <c r="F31" s="172" t="s">
        <v>73</v>
      </c>
      <c r="G31" s="173">
        <f>C31+C40</f>
        <v>20425</v>
      </c>
      <c r="H31" s="170"/>
    </row>
    <row r="32" spans="2:8" ht="15" customHeight="1" x14ac:dyDescent="0.15">
      <c r="B32" s="4" t="s">
        <v>7</v>
      </c>
      <c r="C32" s="20">
        <f>C33-C31</f>
        <v>25282</v>
      </c>
      <c r="F32" s="174" t="s">
        <v>71</v>
      </c>
      <c r="G32" s="175">
        <f>G35+G40</f>
        <v>140825</v>
      </c>
      <c r="H32" s="170">
        <f>H35+H40</f>
        <v>50986.3</v>
      </c>
    </row>
    <row r="33" spans="2:8" ht="15" customHeight="1" x14ac:dyDescent="0.15">
      <c r="B33" s="80" t="s">
        <v>2</v>
      </c>
      <c r="C33" s="81">
        <v>29800</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83102</v>
      </c>
      <c r="H35" s="182">
        <f>D12+D24</f>
        <v>10769</v>
      </c>
    </row>
    <row r="36" spans="2:8" ht="15" customHeight="1" x14ac:dyDescent="0.15">
      <c r="B36" s="4" t="s">
        <v>11</v>
      </c>
      <c r="C36" s="18">
        <v>15427</v>
      </c>
      <c r="F36" s="172" t="s">
        <v>166</v>
      </c>
      <c r="G36" s="173">
        <f>C4+C15</f>
        <v>3404</v>
      </c>
      <c r="H36" s="177"/>
    </row>
    <row r="37" spans="2:8" ht="15" customHeight="1" x14ac:dyDescent="0.15">
      <c r="B37" s="4" t="s">
        <v>12</v>
      </c>
      <c r="C37" s="18">
        <v>480</v>
      </c>
      <c r="F37" s="172" t="s">
        <v>167</v>
      </c>
      <c r="G37" s="173">
        <f>C6</f>
        <v>1202</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65142</v>
      </c>
      <c r="H39" s="170">
        <f>C7*D7+C17*D17+C19*D19+C20*D20</f>
        <v>6514.2000000000007</v>
      </c>
    </row>
    <row r="40" spans="2:8" ht="15" customHeight="1" x14ac:dyDescent="0.15">
      <c r="B40" s="77" t="s">
        <v>173</v>
      </c>
      <c r="C40" s="78">
        <f>SUM(C36:C39)</f>
        <v>15907</v>
      </c>
      <c r="F40" s="181" t="s">
        <v>115</v>
      </c>
      <c r="G40" s="175">
        <f>G12+G24</f>
        <v>57723</v>
      </c>
      <c r="H40" s="182">
        <f>H12+H24</f>
        <v>40217.300000000003</v>
      </c>
    </row>
    <row r="41" spans="2:8" ht="15" customHeight="1" x14ac:dyDescent="0.15">
      <c r="B41" s="4" t="s">
        <v>15</v>
      </c>
      <c r="C41" s="20">
        <f>C42-C40</f>
        <v>4050</v>
      </c>
      <c r="F41" s="172" t="s">
        <v>160</v>
      </c>
      <c r="G41" s="173">
        <f>C70</f>
        <v>57433</v>
      </c>
      <c r="H41" s="182">
        <f>H40-H42</f>
        <v>40043.300000000003</v>
      </c>
    </row>
    <row r="42" spans="2:8" ht="15" customHeight="1" x14ac:dyDescent="0.15">
      <c r="B42" s="80" t="s">
        <v>20</v>
      </c>
      <c r="C42" s="81">
        <v>19957</v>
      </c>
      <c r="F42" s="183" t="s">
        <v>161</v>
      </c>
      <c r="G42" s="184">
        <f>C82</f>
        <v>290</v>
      </c>
      <c r="H42" s="185">
        <f>D82</f>
        <v>174</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66988</v>
      </c>
      <c r="D46" s="73">
        <f>H29</f>
        <v>-22850.699999999997</v>
      </c>
      <c r="F46" s="223"/>
    </row>
    <row r="47" spans="2:8" ht="15" customHeight="1" x14ac:dyDescent="0.15">
      <c r="B47" s="1" t="str">
        <f>"Equity per share ("&amp;Market_currency&amp;")"</f>
        <v>Equity per share (HKD)</v>
      </c>
      <c r="C47" s="134">
        <f>C46*H1/Common_Shares*Exchange_Rate</f>
        <v>8.7543848629736321</v>
      </c>
      <c r="D47" s="134">
        <f>D46*H1/Common_Shares*Exchange_Rate</f>
        <v>-2.9862635425501813</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1.2715557492373779</v>
      </c>
      <c r="D50" s="92">
        <f>G31/Normalized_FCF!G8</f>
        <v>1.2715557492373779</v>
      </c>
      <c r="F50" s="223"/>
    </row>
    <row r="51" spans="2:8" ht="15" customHeight="1" x14ac:dyDescent="0.15">
      <c r="B51" s="1" t="s">
        <v>146</v>
      </c>
      <c r="C51" s="163"/>
      <c r="D51" s="89">
        <f>G29/G32</f>
        <v>0.47568258476832948</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0.19329258020264253</v>
      </c>
      <c r="D54" s="89">
        <f>Normalized_FCF!G8/G35</f>
        <v>0.19329258020264253</v>
      </c>
      <c r="F54" s="223"/>
    </row>
    <row r="55" spans="2:8" ht="15" customHeight="1" x14ac:dyDescent="0.15">
      <c r="B55" s="1" t="s">
        <v>118</v>
      </c>
      <c r="C55" s="89">
        <f>Normalized_FCF!C9/G40</f>
        <v>5.0440898775184935E-3</v>
      </c>
      <c r="D55" s="89">
        <f>Normalized_FCF!G9/G40</f>
        <v>1.9506955632936612E-2</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v>
      </c>
      <c r="F58" s="5"/>
    </row>
    <row r="59" spans="2:8" ht="15" customHeight="1" x14ac:dyDescent="0.15">
      <c r="B59" s="1" t="s">
        <v>89</v>
      </c>
      <c r="C59" s="95"/>
      <c r="D59" s="89">
        <f>G39/G32</f>
        <v>0.46257411681164567</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0.35946736728966383</v>
      </c>
      <c r="D62" s="89">
        <f>G28/G29</f>
        <v>0.35946736728966383</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42875</v>
      </c>
      <c r="D66" s="73">
        <f>C66-D75</f>
        <v>28368.561943093082</v>
      </c>
      <c r="F66" s="5" t="s">
        <v>193</v>
      </c>
    </row>
    <row r="67" spans="2:6" ht="15" customHeight="1" x14ac:dyDescent="0.15">
      <c r="B67" s="102" t="s">
        <v>147</v>
      </c>
      <c r="C67" s="19">
        <f>G6+G16</f>
        <v>0</v>
      </c>
      <c r="F67" s="223"/>
    </row>
    <row r="68" spans="2:6" ht="15" customHeight="1" x14ac:dyDescent="0.15">
      <c r="B68" s="102" t="s">
        <v>151</v>
      </c>
      <c r="C68" s="19">
        <f>G18</f>
        <v>14558</v>
      </c>
      <c r="F68" s="223"/>
    </row>
    <row r="69" spans="2:6" ht="15" customHeight="1" x14ac:dyDescent="0.15">
      <c r="B69" s="102" t="s">
        <v>149</v>
      </c>
      <c r="C69" s="19">
        <f>G8+G20</f>
        <v>0</v>
      </c>
      <c r="F69" s="223"/>
    </row>
    <row r="70" spans="2:6" ht="15" customHeight="1" x14ac:dyDescent="0.15">
      <c r="B70" s="77" t="s">
        <v>158</v>
      </c>
      <c r="C70" s="78">
        <f>SUM(C66:C69)</f>
        <v>57433</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-14506.438056906918</v>
      </c>
      <c r="D73" s="285">
        <f>(Normalized_FCF!C26+Normalized_FCF!C35-Normalized_FCF!C89)/12</f>
        <v>-14506.438056906918</v>
      </c>
      <c r="F73" s="1" t="s">
        <v>278</v>
      </c>
    </row>
    <row r="74" spans="2:6" ht="15" customHeight="1" x14ac:dyDescent="0.15">
      <c r="B74" s="227" t="s">
        <v>259</v>
      </c>
      <c r="C74" s="228">
        <f>-$C$66/C73</f>
        <v>2.9555842607128509</v>
      </c>
      <c r="D74" s="228">
        <f>-$C$66/D73</f>
        <v>2.9555842607128509</v>
      </c>
      <c r="F74" s="223" t="s">
        <v>257</v>
      </c>
    </row>
    <row r="75" spans="2:6" ht="15" customHeight="1" x14ac:dyDescent="0.15">
      <c r="B75" s="77" t="s">
        <v>258</v>
      </c>
      <c r="C75" s="261"/>
      <c r="D75" s="262">
        <f>MAX(-D73*D76,G5)</f>
        <v>14506.438056906918</v>
      </c>
      <c r="F75" s="223" t="s">
        <v>279</v>
      </c>
    </row>
    <row r="76" spans="2:6" ht="15" customHeight="1" x14ac:dyDescent="0.15">
      <c r="B76" s="229" t="s">
        <v>260</v>
      </c>
      <c r="C76" s="230"/>
      <c r="D76" s="248">
        <f>IF(D74&lt;=3,1,IF(D74&gt;18,6,2))</f>
        <v>1</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290</v>
      </c>
      <c r="D79" s="73">
        <f>G7*H7+G17*H17</f>
        <v>174</v>
      </c>
      <c r="F79" s="223"/>
    </row>
    <row r="80" spans="2:6" ht="15" customHeight="1" x14ac:dyDescent="0.15">
      <c r="B80" s="102" t="s">
        <v>152</v>
      </c>
      <c r="C80" s="19">
        <f>G19</f>
        <v>0</v>
      </c>
      <c r="D80" s="73">
        <f>G19*H19</f>
        <v>0</v>
      </c>
      <c r="F80" s="223"/>
    </row>
    <row r="81" spans="2:8" ht="15" customHeight="1" x14ac:dyDescent="0.15">
      <c r="B81" s="102" t="s">
        <v>150</v>
      </c>
      <c r="C81" s="19">
        <f>G9+G21</f>
        <v>0</v>
      </c>
      <c r="D81" s="73">
        <f>G9*H9+G21*H21</f>
        <v>0</v>
      </c>
      <c r="F81" s="223"/>
    </row>
    <row r="82" spans="2:8" ht="15" customHeight="1" x14ac:dyDescent="0.15">
      <c r="B82" s="77" t="s">
        <v>159</v>
      </c>
      <c r="C82" s="78">
        <f>SUM(C79:C81)</f>
        <v>290</v>
      </c>
      <c r="D82" s="78">
        <f>SUM(D79:D81)</f>
        <v>174</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-23112.582957944869</v>
      </c>
      <c r="D86" s="201">
        <f>C86*scaling_factor/Common_Shares</f>
        <v>-2.6692588348097637</v>
      </c>
      <c r="E86" s="214" t="str">
        <f>Market_currency</f>
        <v>HKD</v>
      </c>
    </row>
    <row r="87" spans="2:8" ht="15" customHeight="1" x14ac:dyDescent="0.15">
      <c r="B87" s="212" t="s">
        <v>240</v>
      </c>
      <c r="C87" s="73">
        <f>DCF!F5*Exchange_Rate</f>
        <v>32101.382683345731</v>
      </c>
      <c r="D87" s="201">
        <f>C87*scaling_factor/Common_Shares</f>
        <v>3.7073701149301952</v>
      </c>
      <c r="E87" s="214" t="str">
        <f>Market_currency</f>
        <v>HKD</v>
      </c>
    </row>
    <row r="88" spans="2:8" ht="15" customHeight="1" x14ac:dyDescent="0.15">
      <c r="B88" s="213" t="s">
        <v>159</v>
      </c>
      <c r="C88" s="73">
        <f>DCF!F6*Exchange_Rate</f>
        <v>196.89544355850219</v>
      </c>
      <c r="D88" s="201">
        <f>C88*scaling_factor/Common_Shares</f>
        <v>2.2739340869370812E-2</v>
      </c>
      <c r="E88" s="214" t="str">
        <f>Market_currency</f>
        <v>HKD</v>
      </c>
    </row>
    <row r="89" spans="2:8" ht="15" customHeight="1" x14ac:dyDescent="0.15">
      <c r="B89" s="77" t="s">
        <v>244</v>
      </c>
      <c r="C89" s="162">
        <f>SUM(C86:C88)</f>
        <v>9185.6951689593643</v>
      </c>
      <c r="D89" s="216">
        <f>SUM(D86:D88)</f>
        <v>1.0608506209898023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1000000</v>
      </c>
      <c r="D3" s="9"/>
      <c r="E3" s="237"/>
      <c r="F3" s="9"/>
      <c r="G3" s="16" t="s">
        <v>410</v>
      </c>
      <c r="H3" s="104">
        <f>scaling_factor</f>
        <v>1000000</v>
      </c>
    </row>
    <row r="4" spans="1:17" ht="15.75" customHeight="1" x14ac:dyDescent="0.15">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x14ac:dyDescent="0.15">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x14ac:dyDescent="0.15">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x14ac:dyDescent="0.15">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x14ac:dyDescent="0.15">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x14ac:dyDescent="0.15">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x14ac:dyDescent="0.15">
      <c r="A10" s="10"/>
      <c r="B10" s="2" t="s">
        <v>65</v>
      </c>
      <c r="C10" s="266">
        <f>C48</f>
        <v>-715.96137165855851</v>
      </c>
      <c r="E10" s="237"/>
      <c r="G10" s="266">
        <f>G48</f>
        <v>-478.86780971389322</v>
      </c>
      <c r="H10" s="266">
        <f t="shared" ref="H10:Q10" si="6">H48</f>
        <v>-665.64195662952727</v>
      </c>
      <c r="I10" s="266">
        <f t="shared" si="6"/>
        <v>-608.36372499398158</v>
      </c>
      <c r="J10" s="266">
        <f t="shared" si="6"/>
        <v>-604.01677592760916</v>
      </c>
      <c r="K10" s="266">
        <f t="shared" si="6"/>
        <v>-596.34694906637242</v>
      </c>
      <c r="L10" s="266">
        <f t="shared" si="6"/>
        <v>-895.29413346723038</v>
      </c>
      <c r="M10" s="266">
        <f t="shared" si="6"/>
        <v>-1030.1889393169088</v>
      </c>
      <c r="N10" s="266">
        <f t="shared" si="6"/>
        <v>-1073.6097159181957</v>
      </c>
      <c r="O10" s="266">
        <f t="shared" si="6"/>
        <v>-566.91844007322413</v>
      </c>
      <c r="P10" s="266">
        <f t="shared" si="6"/>
        <v>-500.8729198179812</v>
      </c>
      <c r="Q10" s="266" t="str">
        <f t="shared" si="6"/>
        <v/>
      </c>
    </row>
    <row r="11" spans="1:17" ht="15.75" customHeight="1" x14ac:dyDescent="0.15">
      <c r="A11" s="10"/>
      <c r="B11" s="67" t="s">
        <v>137</v>
      </c>
      <c r="C11" s="267">
        <f>SUM(C8:C10)</f>
        <v>15638.198628341441</v>
      </c>
      <c r="E11" s="237"/>
      <c r="G11" s="267">
        <f t="shared" ref="G11:Q11" si="7">IF(G$4="","",SUM(G8:G10))</f>
        <v>16710.132190286105</v>
      </c>
      <c r="H11" s="267">
        <f t="shared" si="7"/>
        <v>17016.358043370474</v>
      </c>
      <c r="I11" s="267">
        <f t="shared" si="7"/>
        <v>16731.636275006018</v>
      </c>
      <c r="J11" s="267">
        <f t="shared" si="7"/>
        <v>14520.983224072392</v>
      </c>
      <c r="K11" s="267">
        <f t="shared" si="7"/>
        <v>11496.653050933628</v>
      </c>
      <c r="L11" s="267">
        <f t="shared" si="7"/>
        <v>20325.705866532771</v>
      </c>
      <c r="M11" s="267">
        <f t="shared" si="7"/>
        <v>19125.811060683092</v>
      </c>
      <c r="N11" s="267">
        <f t="shared" si="7"/>
        <v>16885.390284081805</v>
      </c>
      <c r="O11" s="267">
        <f t="shared" si="7"/>
        <v>17654.081559926777</v>
      </c>
      <c r="P11" s="267">
        <f t="shared" si="7"/>
        <v>11794.127080182019</v>
      </c>
      <c r="Q11" s="267" t="str">
        <f t="shared" si="7"/>
        <v/>
      </c>
    </row>
    <row r="12" spans="1:17" ht="15.75" customHeight="1" x14ac:dyDescent="0.15">
      <c r="A12" s="10"/>
      <c r="B12" s="2" t="s">
        <v>60</v>
      </c>
      <c r="C12" s="266">
        <f>-C11*C41</f>
        <v>-3909.5496570853602</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x14ac:dyDescent="0.15">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x14ac:dyDescent="0.15">
      <c r="A14" s="10"/>
      <c r="B14" s="39" t="s">
        <v>129</v>
      </c>
      <c r="C14" s="269">
        <f>SUM(C11:C13)</f>
        <v>5447.0426335566535</v>
      </c>
      <c r="D14" s="58"/>
      <c r="E14" s="243"/>
      <c r="F14" s="58"/>
      <c r="G14" s="267">
        <f t="shared" ref="G14:Q14" si="8">IF(G$4="","",SUM(G11:G13))</f>
        <v>10035.132190286105</v>
      </c>
      <c r="H14" s="267">
        <f t="shared" si="8"/>
        <v>10105.358043370474</v>
      </c>
      <c r="I14" s="267">
        <f t="shared" si="8"/>
        <v>10567.636275006018</v>
      </c>
      <c r="J14" s="267">
        <f t="shared" si="8"/>
        <v>8501.9832240723917</v>
      </c>
      <c r="K14" s="267">
        <f t="shared" si="8"/>
        <v>5514.653050933628</v>
      </c>
      <c r="L14" s="267">
        <f t="shared" si="8"/>
        <v>12231.705866532771</v>
      </c>
      <c r="M14" s="267">
        <f t="shared" si="8"/>
        <v>11774.811060683092</v>
      </c>
      <c r="N14" s="267">
        <f t="shared" si="8"/>
        <v>10165.390284081805</v>
      </c>
      <c r="O14" s="267">
        <f t="shared" si="8"/>
        <v>11198.081559926777</v>
      </c>
      <c r="P14" s="267">
        <f t="shared" si="8"/>
        <v>7004.1270801820192</v>
      </c>
      <c r="Q14" s="267" t="str">
        <f t="shared" si="8"/>
        <v/>
      </c>
    </row>
    <row r="15" spans="1:17" ht="15.75" customHeight="1" x14ac:dyDescent="0.15">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x14ac:dyDescent="0.15">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5447.0426335566535</v>
      </c>
      <c r="D19" s="26"/>
      <c r="E19" s="234"/>
      <c r="F19" s="26"/>
      <c r="G19" s="271">
        <f t="shared" ref="G19:Q19" si="9">IF(G$4="","",G14+G17)</f>
        <v>10035.132190286105</v>
      </c>
      <c r="H19" s="271">
        <f t="shared" si="9"/>
        <v>10105.358043370474</v>
      </c>
      <c r="I19" s="271">
        <f t="shared" si="9"/>
        <v>10567.636275006018</v>
      </c>
      <c r="J19" s="271">
        <f t="shared" si="9"/>
        <v>8501.9832240723917</v>
      </c>
      <c r="K19" s="271">
        <f t="shared" si="9"/>
        <v>5514.653050933628</v>
      </c>
      <c r="L19" s="271">
        <f t="shared" si="9"/>
        <v>12231.705866532771</v>
      </c>
      <c r="M19" s="271">
        <f t="shared" si="9"/>
        <v>11774.811060683092</v>
      </c>
      <c r="N19" s="271">
        <f t="shared" si="9"/>
        <v>10165.390284081805</v>
      </c>
      <c r="O19" s="271">
        <f t="shared" si="9"/>
        <v>11198.081559926777</v>
      </c>
      <c r="P19" s="271">
        <f t="shared" si="9"/>
        <v>7004.1270801820192</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x14ac:dyDescent="0.2">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x14ac:dyDescent="0.15">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x14ac:dyDescent="0.15">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x14ac:dyDescent="0.2">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x14ac:dyDescent="0.15">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x14ac:dyDescent="0.15">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403</v>
      </c>
      <c r="F41" s="26"/>
      <c r="G41" s="6">
        <f t="shared" ref="G41:Q41" si="16">IF(G$4="","",-G12/SUM(G8+G9,G10))</f>
        <v>0.18719181658050327</v>
      </c>
      <c r="H41" s="6">
        <f t="shared" si="16"/>
        <v>0.19616418457417659</v>
      </c>
      <c r="I41" s="6">
        <f t="shared" si="16"/>
        <v>0.19059701917879834</v>
      </c>
      <c r="J41" s="6">
        <f t="shared" si="16"/>
        <v>0.18580009069408931</v>
      </c>
      <c r="K41" s="6">
        <f t="shared" si="16"/>
        <v>0.20118898863458043</v>
      </c>
      <c r="L41" s="6">
        <f t="shared" si="16"/>
        <v>0.2004358434955035</v>
      </c>
      <c r="M41" s="6">
        <f t="shared" si="16"/>
        <v>0.19722039436822086</v>
      </c>
      <c r="N41" s="6">
        <f t="shared" si="16"/>
        <v>0.20911568762072053</v>
      </c>
      <c r="O41" s="6">
        <f t="shared" si="16"/>
        <v>0.20963990607140656</v>
      </c>
      <c r="P41" s="6">
        <f t="shared" si="16"/>
        <v>0.22104221722187567</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x14ac:dyDescent="0.15">
      <c r="A46" s="10"/>
      <c r="B46" s="2" t="s">
        <v>272</v>
      </c>
      <c r="C46" s="266">
        <f>BS!D75*C51</f>
        <v>87.038628341441509</v>
      </c>
      <c r="E46" s="237"/>
      <c r="G46" s="274">
        <f t="shared" ref="G46:Q46" si="17">IFERROR(IF(G$4="","",($C$46/$C$47)*G47),0)</f>
        <v>324.13219028610678</v>
      </c>
      <c r="H46" s="274">
        <f t="shared" si="17"/>
        <v>294.35804337047273</v>
      </c>
      <c r="I46" s="274">
        <f t="shared" si="17"/>
        <v>290.63627500601848</v>
      </c>
      <c r="J46" s="274">
        <f t="shared" si="17"/>
        <v>178.9832240723909</v>
      </c>
      <c r="K46" s="274">
        <f t="shared" si="17"/>
        <v>111.65305093362758</v>
      </c>
      <c r="L46" s="274">
        <f t="shared" si="17"/>
        <v>92.705866532769576</v>
      </c>
      <c r="M46" s="274">
        <f t="shared" si="17"/>
        <v>99.811060683091327</v>
      </c>
      <c r="N46" s="274">
        <f t="shared" si="17"/>
        <v>71.39028408180431</v>
      </c>
      <c r="O46" s="274">
        <f t="shared" si="17"/>
        <v>118.08155992677584</v>
      </c>
      <c r="P46" s="274">
        <f t="shared" si="17"/>
        <v>76.127080182018815</v>
      </c>
      <c r="Q46" s="274" t="str">
        <f t="shared" si="17"/>
        <v/>
      </c>
    </row>
    <row r="47" spans="1:17" ht="15.75" customHeight="1" x14ac:dyDescent="0.15">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x14ac:dyDescent="0.15">
      <c r="A48" s="10"/>
      <c r="B48" s="67" t="s">
        <v>65</v>
      </c>
      <c r="C48" s="267">
        <f>C45+C46</f>
        <v>-715.96137165855851</v>
      </c>
      <c r="E48" s="237"/>
      <c r="G48" s="267">
        <f>IF(G$4="","",(G45+G46))</f>
        <v>-478.86780971389322</v>
      </c>
      <c r="H48" s="267">
        <f t="shared" ref="H48:Q48" si="18">IF(H$4="","",(H45+H46))</f>
        <v>-665.64195662952727</v>
      </c>
      <c r="I48" s="267">
        <f t="shared" si="18"/>
        <v>-608.36372499398158</v>
      </c>
      <c r="J48" s="267">
        <f t="shared" si="18"/>
        <v>-604.01677592760916</v>
      </c>
      <c r="K48" s="267">
        <f t="shared" si="18"/>
        <v>-596.34694906637242</v>
      </c>
      <c r="L48" s="267">
        <f t="shared" si="18"/>
        <v>-895.29413346723038</v>
      </c>
      <c r="M48" s="267">
        <f t="shared" si="18"/>
        <v>-1030.1889393169088</v>
      </c>
      <c r="N48" s="267">
        <f t="shared" si="18"/>
        <v>-1073.6097159181957</v>
      </c>
      <c r="O48" s="267">
        <f t="shared" si="18"/>
        <v>-566.91844007322413</v>
      </c>
      <c r="P48" s="267">
        <f t="shared" si="18"/>
        <v>-500.8729198179812</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x14ac:dyDescent="0.15">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x14ac:dyDescent="0.15">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x14ac:dyDescent="0.15">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x14ac:dyDescent="0.15">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x14ac:dyDescent="0.15">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x14ac:dyDescent="0.15">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x14ac:dyDescent="0.15">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x14ac:dyDescent="0.15">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x14ac:dyDescent="0.15">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x14ac:dyDescent="0.15">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x14ac:dyDescent="0.15">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x14ac:dyDescent="0.15">
      <c r="A76" s="10"/>
      <c r="B76" s="2" t="s">
        <v>65</v>
      </c>
      <c r="C76" s="74">
        <f t="shared" si="22"/>
        <v>3.8277288563164061E-3</v>
      </c>
      <c r="D76" s="26"/>
      <c r="E76" s="234"/>
      <c r="F76" s="26"/>
      <c r="G76" s="6">
        <f t="shared" ref="G76:Q76" si="28">IF(G$4="","",ABS(G10/G$4))</f>
        <v>2.5601606541379835E-3</v>
      </c>
      <c r="H76" s="6">
        <f t="shared" si="28"/>
        <v>3.753182655195413E-3</v>
      </c>
      <c r="I76" s="6">
        <f t="shared" si="28"/>
        <v>3.538150357058005E-3</v>
      </c>
      <c r="J76" s="6">
        <f t="shared" si="28"/>
        <v>4.3596525072907332E-3</v>
      </c>
      <c r="K76" s="6">
        <f t="shared" si="28"/>
        <v>5.4585033461146569E-3</v>
      </c>
      <c r="L76" s="6">
        <f t="shared" si="28"/>
        <v>7.9010716640388161E-3</v>
      </c>
      <c r="M76" s="6">
        <f t="shared" si="28"/>
        <v>9.7676015863933704E-3</v>
      </c>
      <c r="N76" s="6">
        <f t="shared" si="28"/>
        <v>1.2103011249726013E-2</v>
      </c>
      <c r="O76" s="6">
        <f t="shared" si="28"/>
        <v>6.9236027463083962E-3</v>
      </c>
      <c r="P76" s="6">
        <f t="shared" si="28"/>
        <v>1.2028359545111337E-2</v>
      </c>
      <c r="Q76" s="6" t="str">
        <f t="shared" si="28"/>
        <v/>
      </c>
    </row>
    <row r="77" spans="1:17" ht="15.75" customHeight="1" x14ac:dyDescent="0.15">
      <c r="A77" s="10"/>
      <c r="B77" s="67" t="s">
        <v>137</v>
      </c>
      <c r="C77" s="75">
        <f>C11/C4</f>
        <v>8.3606164410580497E-2</v>
      </c>
      <c r="D77" s="26"/>
      <c r="E77" s="234"/>
      <c r="F77" s="26"/>
      <c r="G77" s="62">
        <f t="shared" ref="G77:Q77" si="29">IF(G$4="","",G11/G$4)</f>
        <v>8.9337019718604541E-2</v>
      </c>
      <c r="H77" s="62">
        <f t="shared" si="29"/>
        <v>9.5945724615009942E-2</v>
      </c>
      <c r="I77" s="62">
        <f t="shared" si="29"/>
        <v>9.7308636969048165E-2</v>
      </c>
      <c r="J77" s="62">
        <f t="shared" si="29"/>
        <v>0.10480907723784991</v>
      </c>
      <c r="K77" s="62">
        <f t="shared" si="29"/>
        <v>0.10523155898741089</v>
      </c>
      <c r="L77" s="62">
        <f t="shared" si="29"/>
        <v>0.17937664580880192</v>
      </c>
      <c r="M77" s="62">
        <f t="shared" si="29"/>
        <v>0.18133887418870856</v>
      </c>
      <c r="N77" s="62">
        <f t="shared" si="29"/>
        <v>0.19035229053369337</v>
      </c>
      <c r="O77" s="62">
        <f t="shared" si="29"/>
        <v>0.21560393688389118</v>
      </c>
      <c r="P77" s="62">
        <f t="shared" si="29"/>
        <v>0.28323352177378108</v>
      </c>
      <c r="Q77" s="62" t="str">
        <f t="shared" si="29"/>
        <v/>
      </c>
    </row>
    <row r="78" spans="1:17" ht="15.75" customHeight="1" x14ac:dyDescent="0.15">
      <c r="A78" s="10"/>
      <c r="B78" s="2" t="s">
        <v>60</v>
      </c>
      <c r="C78" s="74">
        <f>ABS(C12/C$4)</f>
        <v>2.0901541102645124E-2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x14ac:dyDescent="0.15">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x14ac:dyDescent="0.15">
      <c r="A80" s="10"/>
      <c r="B80" s="39" t="s">
        <v>129</v>
      </c>
      <c r="C80" s="75">
        <f>ABS(C14/C$4)</f>
        <v>2.9121406678339304E-2</v>
      </c>
      <c r="D80" s="26"/>
      <c r="E80" s="234"/>
      <c r="F80" s="26"/>
      <c r="G80" s="62">
        <f t="shared" ref="G80:Q80" si="32">IF(G$4="","",ABS(G14/G$4))</f>
        <v>5.3650611027694285E-2</v>
      </c>
      <c r="H80" s="62">
        <f t="shared" si="32"/>
        <v>5.6978461401324322E-2</v>
      </c>
      <c r="I80" s="62">
        <f t="shared" si="32"/>
        <v>6.145975593801481E-2</v>
      </c>
      <c r="J80" s="62">
        <f t="shared" si="32"/>
        <v>6.1365336124725847E-2</v>
      </c>
      <c r="K80" s="62">
        <f t="shared" si="32"/>
        <v>5.047691143269744E-2</v>
      </c>
      <c r="L80" s="62">
        <f t="shared" si="32"/>
        <v>0.10794618328464317</v>
      </c>
      <c r="M80" s="62">
        <f t="shared" si="32"/>
        <v>0.11164132986330798</v>
      </c>
      <c r="N80" s="62">
        <f t="shared" si="32"/>
        <v>0.11459642283590518</v>
      </c>
      <c r="O80" s="62">
        <f t="shared" si="32"/>
        <v>0.13675876944782464</v>
      </c>
      <c r="P80" s="62">
        <f t="shared" si="32"/>
        <v>0.16820266276463147</v>
      </c>
      <c r="Q80" s="62" t="str">
        <f t="shared" si="32"/>
        <v/>
      </c>
    </row>
    <row r="81" spans="1:17" ht="15.75" customHeight="1" x14ac:dyDescent="0.15">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x14ac:dyDescent="0.15">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2.9121406678339304E-2</v>
      </c>
      <c r="D85" s="72"/>
      <c r="E85" s="234"/>
      <c r="F85" s="72"/>
      <c r="G85" s="62">
        <f t="shared" ref="G85:Q85" si="35">IF(G$4="","",ABS(G19/G$4))</f>
        <v>5.3650611027694285E-2</v>
      </c>
      <c r="H85" s="62">
        <f t="shared" si="35"/>
        <v>5.6978461401324322E-2</v>
      </c>
      <c r="I85" s="62">
        <f t="shared" si="35"/>
        <v>6.145975593801481E-2</v>
      </c>
      <c r="J85" s="62">
        <f t="shared" si="35"/>
        <v>6.1365336124725847E-2</v>
      </c>
      <c r="K85" s="62">
        <f t="shared" si="35"/>
        <v>5.047691143269744E-2</v>
      </c>
      <c r="L85" s="62">
        <f t="shared" si="35"/>
        <v>0.10794618328464317</v>
      </c>
      <c r="M85" s="62">
        <f t="shared" si="35"/>
        <v>0.11164132986330798</v>
      </c>
      <c r="N85" s="62">
        <f t="shared" si="35"/>
        <v>0.11459642283590518</v>
      </c>
      <c r="O85" s="62">
        <f t="shared" si="35"/>
        <v>0.13675876944782464</v>
      </c>
      <c r="P85" s="62">
        <f t="shared" si="35"/>
        <v>0.16820266276463147</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0.35735391422859192</v>
      </c>
      <c r="E88" s="237"/>
      <c r="G88" s="109">
        <f>Data!C65</f>
        <v>0.35735391422859192</v>
      </c>
      <c r="H88" s="109">
        <f>Data!D65</f>
        <v>0.32114325794197085</v>
      </c>
      <c r="I88" s="109">
        <f>Data!E65</f>
        <v>0.28730892597415925</v>
      </c>
      <c r="J88" s="109">
        <f>Data!F65</f>
        <v>0.23514294926124574</v>
      </c>
      <c r="K88" s="109">
        <f>Data!G65</f>
        <v>0</v>
      </c>
      <c r="L88" s="109">
        <f>Data!H65</f>
        <v>0</v>
      </c>
      <c r="M88" s="109">
        <f>Data!I65</f>
        <v>0</v>
      </c>
      <c r="N88" s="109">
        <f>Data!J65</f>
        <v>0</v>
      </c>
      <c r="O88" s="109">
        <f>Data!K65</f>
        <v>0</v>
      </c>
      <c r="P88" s="109">
        <f>Data!L65</f>
        <v>0</v>
      </c>
      <c r="Q88" s="109" t="str">
        <f>Data!M65</f>
        <v/>
      </c>
    </row>
    <row r="89" spans="1:17" ht="15.75" customHeight="1" x14ac:dyDescent="0.15">
      <c r="A89" s="10"/>
      <c r="B89" s="2" t="str">
        <f>"Dividend ("&amp;Market_currency&amp;")"</f>
        <v>Dividend (HKD)</v>
      </c>
      <c r="C89" s="71">
        <f>C88*Common_Shares/scaling_factor</f>
        <v>3094.2566828830172</v>
      </c>
      <c r="E89" s="237"/>
      <c r="G89" s="71">
        <f t="shared" ref="G89:Q89" si="36">IF(G$4="","",G88*Common_Shares/scaling_factor)</f>
        <v>3094.2566828830172</v>
      </c>
      <c r="H89" s="71">
        <f t="shared" si="36"/>
        <v>2780.7157903806219</v>
      </c>
      <c r="I89" s="71">
        <f t="shared" si="36"/>
        <v>2487.7510189486957</v>
      </c>
      <c r="J89" s="71">
        <f t="shared" si="36"/>
        <v>2036.0561706874319</v>
      </c>
      <c r="K89" s="71">
        <f t="shared" si="36"/>
        <v>0</v>
      </c>
      <c r="L89" s="71">
        <f t="shared" si="36"/>
        <v>0</v>
      </c>
      <c r="M89" s="71">
        <f t="shared" si="36"/>
        <v>0</v>
      </c>
      <c r="N89" s="71">
        <f t="shared" si="36"/>
        <v>0</v>
      </c>
      <c r="O89" s="71">
        <f t="shared" si="36"/>
        <v>0</v>
      </c>
      <c r="P89" s="71">
        <f t="shared" si="36"/>
        <v>0</v>
      </c>
      <c r="Q89" s="71" t="str">
        <f t="shared" si="36"/>
        <v/>
      </c>
    </row>
    <row r="90" spans="1:17" ht="15.75" customHeight="1" x14ac:dyDescent="0.15">
      <c r="A90" s="10"/>
      <c r="B90" s="2" t="s">
        <v>182</v>
      </c>
      <c r="C90" s="22">
        <f>C88/(C19*scaling_factor/Common_Shares)</f>
        <v>0.56806177058735774</v>
      </c>
      <c r="E90" s="237"/>
      <c r="G90" s="152">
        <f t="shared" ref="G90:Q90" si="37">IF(G$4="","",G88/(G19*scaling_factor/Common_Shares))</f>
        <v>0.30834239392264534</v>
      </c>
      <c r="H90" s="152">
        <f t="shared" si="37"/>
        <v>0.27517241630096267</v>
      </c>
      <c r="I90" s="152">
        <f t="shared" si="37"/>
        <v>0.23541224870055241</v>
      </c>
      <c r="J90" s="152">
        <f t="shared" si="37"/>
        <v>0.23948014445883309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x14ac:dyDescent="0.15">
      <c r="A91" s="10"/>
      <c r="B91" s="2" t="s">
        <v>331</v>
      </c>
      <c r="C91" s="292">
        <v>0.1</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3.8936867167764254E-2</v>
      </c>
      <c r="E92" s="237"/>
      <c r="G92" s="22">
        <f t="shared" ref="G92:Q92" si="38">IF(G$4="","",(G88*(1-dividend_tax_rate))/Market_Price)</f>
        <v>3.8936867167764254E-2</v>
      </c>
      <c r="H92" s="22">
        <f t="shared" si="38"/>
        <v>3.4991396143798273E-2</v>
      </c>
      <c r="I92" s="22">
        <f t="shared" si="38"/>
        <v>3.1304846655780066E-2</v>
      </c>
      <c r="J92" s="22">
        <f t="shared" si="38"/>
        <v>2.5620902461879078E-2</v>
      </c>
      <c r="K92" s="22">
        <f t="shared" si="38"/>
        <v>0</v>
      </c>
      <c r="L92" s="22">
        <f t="shared" si="38"/>
        <v>0</v>
      </c>
      <c r="M92" s="22">
        <f t="shared" si="38"/>
        <v>0</v>
      </c>
      <c r="N92" s="22">
        <f t="shared" si="38"/>
        <v>0</v>
      </c>
      <c r="O92" s="22">
        <f t="shared" si="38"/>
        <v>0</v>
      </c>
      <c r="P92" s="22">
        <f t="shared" si="38"/>
        <v>0</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x14ac:dyDescent="0.15">
      <c r="A96" s="10"/>
      <c r="B96" s="67" t="s">
        <v>137</v>
      </c>
      <c r="C96" s="74">
        <f>C11/G11-1</f>
        <v>-6.4148718258961401E-2</v>
      </c>
      <c r="D96" s="26"/>
      <c r="E96" s="234"/>
      <c r="F96" s="26"/>
      <c r="G96" s="6">
        <f t="shared" ref="G96:Q96" si="40">IF(H5="","",G11/H11-1)</f>
        <v>-1.7995969073045792E-2</v>
      </c>
      <c r="H96" s="6">
        <f t="shared" si="40"/>
        <v>1.7016970945619825E-2</v>
      </c>
      <c r="I96" s="6">
        <f t="shared" si="40"/>
        <v>0.15223852385345915</v>
      </c>
      <c r="J96" s="6">
        <f t="shared" si="40"/>
        <v>0.26306179370118166</v>
      </c>
      <c r="K96" s="6">
        <f t="shared" si="40"/>
        <v>-0.43437865693690836</v>
      </c>
      <c r="L96" s="6">
        <f t="shared" si="40"/>
        <v>6.2736937118253788E-2</v>
      </c>
      <c r="M96" s="6">
        <f t="shared" si="40"/>
        <v>0.13268397939924292</v>
      </c>
      <c r="N96" s="6">
        <f t="shared" si="40"/>
        <v>-4.3541844600391677E-2</v>
      </c>
      <c r="O96" s="6">
        <f t="shared" si="40"/>
        <v>0.4968535983974085</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x14ac:dyDescent="0.15">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x14ac:dyDescent="0.15">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x14ac:dyDescent="0.15">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x14ac:dyDescent="0.15">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x14ac:dyDescent="0.15">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x14ac:dyDescent="0.15">
      <c r="A113" s="10"/>
      <c r="B113" s="2" t="s">
        <v>304</v>
      </c>
      <c r="C113" s="151"/>
      <c r="E113" s="459">
        <f>(Normalized_FCF!E117/Normalized_FCF!C117)^(1/DCF!C15)-1</f>
        <v>0</v>
      </c>
      <c r="G113" s="251">
        <f>IF(G$4="","",Data!C$22/G19)</f>
        <v>1.2470189492982873</v>
      </c>
      <c r="H113" s="251">
        <f>IF(H$4="","",Data!D$22/H19)</f>
        <v>1.4257782790241891</v>
      </c>
      <c r="I113" s="251">
        <f>IF(I$4="","",Data!E$22/I19)</f>
        <v>1.4071264011205318</v>
      </c>
      <c r="J113" s="251">
        <f>IF(J$4="","",Data!F$22/J19)</f>
        <v>1.4114353891011422</v>
      </c>
      <c r="K113" s="251">
        <f>IF(K$4="","",Data!G$22/K19)</f>
        <v>3.0351864107146804</v>
      </c>
      <c r="L113" s="251">
        <f>IF(L$4="","",Data!H$22/L19)</f>
        <v>1.3150250811712407</v>
      </c>
      <c r="M113" s="251">
        <f>IF(M$4="","",Data!I$22/M19)</f>
        <v>1.44528858359556</v>
      </c>
      <c r="N113" s="251">
        <f>IF(N$4="","",Data!J$22/N19)</f>
        <v>1.3070821314953729</v>
      </c>
      <c r="O113" s="251">
        <f>IF(O$4="","",Data!K$22/O19)</f>
        <v>1.4064016158231107</v>
      </c>
      <c r="P113" s="251">
        <f>IF(P$4="","",Data!L$22/P19)</f>
        <v>1.9088745602332144</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8.3606164410580497E-2</v>
      </c>
      <c r="E116" s="22">
        <f>E119/E117/E118</f>
        <v>8.3606164410580511E-2</v>
      </c>
      <c r="G116" s="22">
        <f t="shared" ref="G116:Q116" si="44">IF(G4="","",G77)</f>
        <v>8.9337019718604541E-2</v>
      </c>
      <c r="H116" s="22">
        <f t="shared" si="44"/>
        <v>9.5945724615009942E-2</v>
      </c>
      <c r="I116" s="22">
        <f t="shared" si="44"/>
        <v>9.7308636969048165E-2</v>
      </c>
      <c r="J116" s="22">
        <f t="shared" si="44"/>
        <v>0.10480907723784991</v>
      </c>
      <c r="K116" s="22">
        <f t="shared" si="44"/>
        <v>0.10523155898741089</v>
      </c>
      <c r="L116" s="22">
        <f t="shared" si="44"/>
        <v>0.17937664580880192</v>
      </c>
      <c r="M116" s="22">
        <f t="shared" si="44"/>
        <v>0.18133887418870856</v>
      </c>
      <c r="N116" s="22">
        <f t="shared" si="44"/>
        <v>0.19035229053369337</v>
      </c>
      <c r="O116" s="22">
        <f t="shared" si="44"/>
        <v>0.21560393688389118</v>
      </c>
      <c r="P116" s="22">
        <f t="shared" si="44"/>
        <v>0.28323352177378108</v>
      </c>
      <c r="Q116" s="22" t="str">
        <f t="shared" si="44"/>
        <v/>
      </c>
    </row>
    <row r="117" spans="1:17" ht="15.75" customHeight="1" x14ac:dyDescent="0.15">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x14ac:dyDescent="0.15">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x14ac:dyDescent="0.15">
      <c r="A119" s="10"/>
      <c r="B119" s="67" t="s">
        <v>191</v>
      </c>
      <c r="C119" s="62">
        <f>C11/C104</f>
        <v>0.17172001831973296</v>
      </c>
      <c r="D119" s="100"/>
      <c r="E119" s="453">
        <f>C11/C104</f>
        <v>0.17172001831973296</v>
      </c>
      <c r="F119" s="100"/>
      <c r="G119" s="99">
        <f t="shared" ref="G119:Q119" si="47">IF(G$4="","",G11/G104)</f>
        <v>0.18349071232799782</v>
      </c>
      <c r="H119" s="99">
        <f t="shared" si="47"/>
        <v>0.19836515444051239</v>
      </c>
      <c r="I119" s="99">
        <f t="shared" si="47"/>
        <v>0.20732616632804662</v>
      </c>
      <c r="J119" s="99">
        <f t="shared" si="47"/>
        <v>0.19141565790158832</v>
      </c>
      <c r="K119" s="99">
        <f t="shared" si="47"/>
        <v>0.13601160636167886</v>
      </c>
      <c r="L119" s="99">
        <f t="shared" si="47"/>
        <v>0.25668631516742779</v>
      </c>
      <c r="M119" s="99">
        <f t="shared" si="47"/>
        <v>0.27285946101924691</v>
      </c>
      <c r="N119" s="99">
        <f t="shared" si="47"/>
        <v>0.25730118528124657</v>
      </c>
      <c r="O119" s="99">
        <f t="shared" si="47"/>
        <v>0.26626369183787729</v>
      </c>
      <c r="P119" s="99">
        <f t="shared" si="47"/>
        <v>0.1677112661421708</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0.71185148950827626</v>
      </c>
      <c r="D123" s="26"/>
      <c r="E123" s="234"/>
      <c r="F123" s="26"/>
      <c r="G123" s="159">
        <f t="shared" ref="G123:Q123" si="48">IF(G$4="","",G14*$C$3/Common_Shares*Exchange_Rate)</f>
        <v>1.3114499514029396</v>
      </c>
      <c r="H123" s="159">
        <f t="shared" si="48"/>
        <v>1.320627477903674</v>
      </c>
      <c r="I123" s="159">
        <f t="shared" si="48"/>
        <v>1.3810407094304016</v>
      </c>
      <c r="J123" s="159">
        <f t="shared" si="48"/>
        <v>1.1110890494129562</v>
      </c>
      <c r="K123" s="159">
        <f t="shared" si="48"/>
        <v>0.72068721552583614</v>
      </c>
      <c r="L123" s="159">
        <f t="shared" si="48"/>
        <v>1.5985110868561574</v>
      </c>
      <c r="M123" s="159">
        <f t="shared" si="48"/>
        <v>1.5388013929960376</v>
      </c>
      <c r="N123" s="159">
        <f t="shared" si="48"/>
        <v>1.3284728433329103</v>
      </c>
      <c r="O123" s="159">
        <f t="shared" si="48"/>
        <v>1.4634309981275324</v>
      </c>
      <c r="P123" s="159">
        <f t="shared" si="48"/>
        <v>0.91534042050948194</v>
      </c>
      <c r="Q123" s="159" t="str">
        <f t="shared" si="48"/>
        <v/>
      </c>
    </row>
    <row r="124" spans="1:17" ht="15.75" customHeight="1" x14ac:dyDescent="0.15">
      <c r="A124" s="10"/>
      <c r="B124" s="26" t="s">
        <v>226</v>
      </c>
      <c r="C124" s="74">
        <f>C19*Exchange_Rate*$C$3/(Market_Price*Common_Shares)</f>
        <v>8.6180567737079425E-2</v>
      </c>
      <c r="D124" s="26"/>
      <c r="E124" s="234"/>
      <c r="F124" s="26"/>
      <c r="G124" s="74">
        <f t="shared" ref="G124" si="49">IF(G$4="","",G123/Market_Price)</f>
        <v>0.15877118055725661</v>
      </c>
      <c r="H124" s="74">
        <f t="shared" ref="H124" si="50">IF(H$4="","",H123/Market_Price)</f>
        <v>0.15988226124741817</v>
      </c>
      <c r="I124" s="74">
        <f t="shared" ref="I124" si="51">IF(I$4="","",I123/Market_Price)</f>
        <v>0.16719621179544814</v>
      </c>
      <c r="J124" s="74">
        <f t="shared" ref="J124" si="52">IF(J$4="","",J123/Market_Price)</f>
        <v>0.1345144127618591</v>
      </c>
      <c r="K124" s="74">
        <f t="shared" ref="K124" si="53">IF(K$4="","",K123/Market_Price)</f>
        <v>8.7250268223466848E-2</v>
      </c>
      <c r="L124" s="74">
        <f t="shared" ref="L124" si="54">IF(L$4="","",L123/Market_Price)</f>
        <v>0.19352434465570914</v>
      </c>
      <c r="M124" s="74">
        <f t="shared" ref="M124" si="55">IF(M$4="","",M123/Market_Price)</f>
        <v>0.18629556815932657</v>
      </c>
      <c r="N124" s="74">
        <f t="shared" ref="N124" si="56">IF(N$4="","",N123/Market_Price)</f>
        <v>0.1608320633574952</v>
      </c>
      <c r="O124" s="74">
        <f t="shared" ref="O124" si="57">IF(O$4="","",O123/Market_Price)</f>
        <v>0.17717082301786108</v>
      </c>
      <c r="P124" s="74">
        <f t="shared" ref="P124" si="58">IF(P$4="","",P123/Market_Price)</f>
        <v>0.11081603153867821</v>
      </c>
      <c r="Q124" s="74" t="str">
        <f t="shared" ref="Q124" si="59">IF(Q$4="","",Q123/Market_Price)</f>
        <v/>
      </c>
    </row>
    <row r="125" spans="1:17" ht="15.75" customHeight="1" x14ac:dyDescent="0.15">
      <c r="B125" s="2" t="s">
        <v>306</v>
      </c>
      <c r="C125" s="151"/>
      <c r="G125" s="22">
        <f>IF(G$4="","",(Data!C47*$C$3)/(Market_Price*Common_Shares))</f>
        <v>0.13292468886763209</v>
      </c>
      <c r="H125" s="22">
        <f>IF(H$4="","",(Data!D47*$C$3)/(Market_Price*Common_Shares))</f>
        <v>0.1294012827884648</v>
      </c>
      <c r="I125" s="22">
        <f>IF(I$4="","",(Data!E47*$C$3)/(Market_Price*Common_Shares))</f>
        <v>0.11469246058495698</v>
      </c>
      <c r="J125" s="22">
        <f>IF(J$4="","",(Data!F47*$C$3)/(Market_Price*Common_Shares))</f>
        <v>0.36823788058344653</v>
      </c>
      <c r="K125" s="22">
        <f>IF(K$4="","",(Data!G47*$C$3)/(Market_Price*Common_Shares))</f>
        <v>0.13607058715260287</v>
      </c>
      <c r="L125" s="22">
        <f>IF(L$4="","",(Data!H47*$C$3)/(Market_Price*Common_Shares))</f>
        <v>0.13381952215757933</v>
      </c>
      <c r="M125" s="22">
        <f>IF(M$4="","",(Data!I47*$C$3)/(Market_Price*Common_Shares))</f>
        <v>0.11483227828651124</v>
      </c>
      <c r="N125" s="22">
        <f>IF(N$4="","",(Data!J47*$C$3)/(Market_Price*Common_Shares))</f>
        <v>0.11114109096547885</v>
      </c>
      <c r="O125" s="22">
        <f>IF(O$4="","",(Data!K47*$C$3)/(Market_Price*Common_Shares))</f>
        <v>4.7733763310623324E-2</v>
      </c>
      <c r="P125" s="22">
        <f>IF(P$4="","",(Data!L47*$C$3)/(Market_Price*Common_Shares))</f>
        <v>3.243770676058761E-2</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1000000</v>
      </c>
      <c r="E3" s="106" t="s">
        <v>424</v>
      </c>
      <c r="H3" s="106" t="s">
        <v>414</v>
      </c>
    </row>
    <row r="4" spans="2:15" x14ac:dyDescent="0.15">
      <c r="B4" s="97" t="s">
        <v>393</v>
      </c>
      <c r="C4" s="275">
        <f>Normalized_FCF!C19</f>
        <v>5447.0426335566535</v>
      </c>
      <c r="D4" t="str">
        <f>Reporting_currency</f>
        <v>CNY</v>
      </c>
      <c r="E4" s="135" t="s">
        <v>431</v>
      </c>
      <c r="F4" s="275">
        <f>-BS!G31</f>
        <v>-20425</v>
      </c>
      <c r="G4" t="str">
        <f>Reporting_currency</f>
        <v>CNY</v>
      </c>
      <c r="H4" s="308" t="s">
        <v>394</v>
      </c>
      <c r="I4" s="305">
        <f>Normalized_FCF!C4</f>
        <v>187046</v>
      </c>
      <c r="J4" s="305"/>
    </row>
    <row r="5" spans="2:15" x14ac:dyDescent="0.15">
      <c r="B5" s="187" t="s">
        <v>105</v>
      </c>
      <c r="C5" s="188">
        <f>Equity_Cost</f>
        <v>7.2499999999999995E-2</v>
      </c>
      <c r="E5" s="135" t="s">
        <v>432</v>
      </c>
      <c r="F5" s="275">
        <f>BS!D66</f>
        <v>28368.561943093082</v>
      </c>
      <c r="G5" t="str">
        <f>Reporting_currency</f>
        <v>CNY</v>
      </c>
      <c r="H5" s="308" t="s">
        <v>395</v>
      </c>
      <c r="I5" s="305">
        <f>Normalized_FCF!C7</f>
        <v>-5830</v>
      </c>
      <c r="J5" s="305"/>
    </row>
    <row r="6" spans="2:15" ht="13.25" customHeight="1" x14ac:dyDescent="0.15">
      <c r="B6" s="136" t="s">
        <v>194</v>
      </c>
      <c r="C6" s="283">
        <f>(C4*(1+Terminal_Growth))/(Equity_Cost-Terminal_Growth)</f>
        <v>105828.25688052928</v>
      </c>
      <c r="D6" t="str">
        <f>Reporting_currency</f>
        <v>CNY</v>
      </c>
      <c r="E6" s="187" t="s">
        <v>433</v>
      </c>
      <c r="F6" s="284">
        <f>BS!H42</f>
        <v>174</v>
      </c>
      <c r="G6" t="str">
        <f>Reporting_currency</f>
        <v>CNY</v>
      </c>
      <c r="H6" s="308" t="s">
        <v>416</v>
      </c>
      <c r="I6" s="305">
        <f>I7+I8</f>
        <v>-424.80137165855848</v>
      </c>
      <c r="J6" s="305"/>
      <c r="N6" s="135"/>
    </row>
    <row r="7" spans="2:15" ht="12.75" customHeight="1" x14ac:dyDescent="0.15">
      <c r="B7" s="318" t="s">
        <v>430</v>
      </c>
      <c r="C7" s="275">
        <f>F7</f>
        <v>8117.5619430930819</v>
      </c>
      <c r="E7" s="140" t="s">
        <v>424</v>
      </c>
      <c r="F7" s="283">
        <f>SUM(F4:F6)</f>
        <v>8117.5619430930819</v>
      </c>
      <c r="G7" t="str">
        <f>Reporting_currency</f>
        <v>CNY</v>
      </c>
      <c r="H7" s="312" t="s">
        <v>417</v>
      </c>
      <c r="I7" s="313">
        <f>Normalized_FCF!C9</f>
        <v>291.16000000000003</v>
      </c>
      <c r="J7" s="313"/>
      <c r="N7" s="304"/>
      <c r="O7" s="304"/>
    </row>
    <row r="8" spans="2:15" ht="14" x14ac:dyDescent="0.15">
      <c r="B8" s="136" t="s">
        <v>426</v>
      </c>
      <c r="C8" s="283">
        <f>C6+C7</f>
        <v>113945.81882362237</v>
      </c>
      <c r="D8" t="str">
        <f>Reporting_currency</f>
        <v>CNY</v>
      </c>
      <c r="E8" s="140" t="s">
        <v>464</v>
      </c>
      <c r="F8" s="108">
        <f>FV_adjustments*scaling_factor/Common_Shares*Exchange_Rate</f>
        <v>1.0608506209898028</v>
      </c>
      <c r="G8" s="294" t="str">
        <f>Market_currency</f>
        <v>HKD</v>
      </c>
      <c r="H8" s="314" t="str">
        <f>Normalized_FCF!B10</f>
        <v>Net Interest Income</v>
      </c>
      <c r="I8" s="313">
        <f>Normalized_FCF!C10</f>
        <v>-715.96137165855851</v>
      </c>
      <c r="J8" s="313"/>
      <c r="N8" s="304"/>
      <c r="O8" s="304"/>
    </row>
    <row r="9" spans="2:15" ht="14" thickBot="1" x14ac:dyDescent="0.2">
      <c r="B9" s="189" t="str">
        <f>"*"&amp;Thesis!E15</f>
        <v>*CNY/HKD</v>
      </c>
      <c r="C9" s="190">
        <f>Exchange_Rate</f>
        <v>1.1315830089569092</v>
      </c>
      <c r="D9" t="str">
        <f>Thesis!E15</f>
        <v>CNY/HKD</v>
      </c>
      <c r="F9" s="322"/>
      <c r="H9" s="308" t="str">
        <f>Normalized_FCF!B79</f>
        <v>NCI’s Share of Profits</v>
      </c>
      <c r="I9" s="144">
        <f>Normalized_FCF!C79</f>
        <v>3.3583216629596069E-2</v>
      </c>
      <c r="J9" s="306"/>
      <c r="N9" s="304"/>
      <c r="O9" s="304"/>
    </row>
    <row r="10" spans="2:15" ht="14" thickTop="1" x14ac:dyDescent="0.15">
      <c r="B10" s="107" t="s">
        <v>427</v>
      </c>
      <c r="C10" s="283">
        <f>C8*Exchange_Rate</f>
        <v>128939.15252249342</v>
      </c>
      <c r="D10" t="str">
        <f>Market_currency</f>
        <v>HKD</v>
      </c>
      <c r="H10" s="308" t="s">
        <v>397</v>
      </c>
      <c r="I10" s="306">
        <f>Normalized_FCF!C41</f>
        <v>0.25</v>
      </c>
      <c r="N10" s="304"/>
      <c r="O10" s="304"/>
    </row>
    <row r="11" spans="2:15" x14ac:dyDescent="0.15">
      <c r="B11" s="136" t="s">
        <v>425</v>
      </c>
      <c r="C11" s="108">
        <f>(C10*scaling_factor)/Common_Shares</f>
        <v>14.89110813143631</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v>
      </c>
      <c r="H14" s="106" t="s">
        <v>413</v>
      </c>
    </row>
    <row r="15" spans="2:15" x14ac:dyDescent="0.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x14ac:dyDescent="0.15">
      <c r="B16" s="114" t="s">
        <v>422</v>
      </c>
      <c r="C16" s="147">
        <f>Scenarios!C46</f>
        <v>2.47161282761951E-3</v>
      </c>
      <c r="E16" s="308" t="s">
        <v>400</v>
      </c>
      <c r="F16" s="311">
        <f>Scenarios!C41</f>
        <v>2.47161282761951E-3</v>
      </c>
    </row>
    <row r="17" spans="1:21" ht="13.25" customHeight="1" x14ac:dyDescent="0.15">
      <c r="B17" s="308" t="s">
        <v>548</v>
      </c>
      <c r="C17" s="306">
        <f>Normalized_FCF!C77</f>
        <v>8.3606164410580497E-2</v>
      </c>
      <c r="E17" s="308" t="s">
        <v>549</v>
      </c>
      <c r="F17" s="311">
        <f>Scenarios!C40</f>
        <v>8.3606164410580511E-2</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11.126092486530892</v>
      </c>
      <c r="J18" t="str">
        <f>Market_currency</f>
        <v>HKD</v>
      </c>
    </row>
    <row r="19" spans="1:21" x14ac:dyDescent="0.15">
      <c r="L19" s="275"/>
    </row>
    <row r="20" spans="1:21" ht="14" x14ac:dyDescent="0.2">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x14ac:dyDescent="0.15">
      <c r="A21" s="302" t="str">
        <f t="shared" ref="A21:A50" si="0">IF($C$15&lt;B21,"",IF(B21&gt;=$F$15,"II","I"))</f>
        <v>I</v>
      </c>
      <c r="B21" s="117">
        <v>1</v>
      </c>
      <c r="C21" s="277">
        <f>I4*(1+D21)</f>
        <v>187508.3052929549</v>
      </c>
      <c r="D21" s="299">
        <f t="shared" ref="D21:D50" si="1">IF(A21="",0,IF(A21="I",$C$16,$F$16))</f>
        <v>2.47161282761951E-3</v>
      </c>
      <c r="E21" s="299">
        <f>$C$17</f>
        <v>8.3606164410580497E-2</v>
      </c>
      <c r="F21" s="277">
        <f>C21*E21</f>
        <v>15676.850200672108</v>
      </c>
      <c r="G21" s="299">
        <f t="shared" ref="G21:G50" si="2">IF(A21="",0%,IF(A21="I",$C$18,$F$18))</f>
        <v>0</v>
      </c>
      <c r="H21" s="277">
        <f>(F21*(1-$I$10)+C21*(G21-$I$9))</f>
        <v>5460.5056140023407</v>
      </c>
      <c r="I21" s="299">
        <f>H21/C4-1</f>
        <v>2.4716128276192073E-3</v>
      </c>
      <c r="J21" s="299">
        <f>H21/C21</f>
        <v>2.9121406678339297E-2</v>
      </c>
      <c r="K21" s="119">
        <f t="shared" ref="K21:K50" si="3">IF($C$15&lt;B21,0,1/(1+Equity_Cost)^B21)</f>
        <v>0.93240093240093236</v>
      </c>
      <c r="L21" s="277">
        <f t="shared" ref="L21:L51" si="4">H21*K21</f>
        <v>5091.3805258763077</v>
      </c>
    </row>
    <row r="22" spans="1:21" x14ac:dyDescent="0.15">
      <c r="A22" s="302" t="str">
        <f t="shared" si="0"/>
        <v>I</v>
      </c>
      <c r="B22" s="117">
        <v>2</v>
      </c>
      <c r="C22" s="277">
        <f t="shared" ref="C22:C50" si="5">IF(A22="",0,C21*(1+D22))</f>
        <v>187971.75322560215</v>
      </c>
      <c r="D22" s="299">
        <f t="shared" si="1"/>
        <v>2.47161282761951E-3</v>
      </c>
      <c r="E22" s="299">
        <f t="shared" ref="E22:E50" si="6">IF($C$15&lt;B22,0,IF(B22&gt;=$F$15,$F$17,$C$17))</f>
        <v>8.3606164410580497E-2</v>
      </c>
      <c r="F22" s="277">
        <f t="shared" ref="F22:F50" si="7">IF(A22="", 0,C22*E22)</f>
        <v>15715.597304724759</v>
      </c>
      <c r="G22" s="299">
        <f t="shared" si="2"/>
        <v>0</v>
      </c>
      <c r="H22" s="277">
        <f t="shared" ref="H22:H50" si="8">IF(A22="", 0,F22*(1-$I$10)+C22*(G22-$I$9))</f>
        <v>5474.0018697231981</v>
      </c>
      <c r="I22" s="299">
        <f t="shared" ref="I22:I50" si="9">IF(A22="", 0,H22/H21-1)</f>
        <v>2.4716128276196514E-3</v>
      </c>
      <c r="J22" s="299">
        <f>IF(A22="", 0,H22/C22)</f>
        <v>2.9121406678339304E-2</v>
      </c>
      <c r="K22" s="119">
        <f t="shared" si="3"/>
        <v>0.86937149874212816</v>
      </c>
      <c r="L22" s="277">
        <f t="shared" si="4"/>
        <v>4758.941209598468</v>
      </c>
    </row>
    <row r="23" spans="1:21" x14ac:dyDescent="0.15">
      <c r="A23" s="302" t="str">
        <f t="shared" si="0"/>
        <v>I</v>
      </c>
      <c r="B23" s="117">
        <v>3</v>
      </c>
      <c r="C23" s="277">
        <f t="shared" si="5"/>
        <v>188436.34662210467</v>
      </c>
      <c r="D23" s="299">
        <f t="shared" si="1"/>
        <v>2.47161282761951E-3</v>
      </c>
      <c r="E23" s="299">
        <f t="shared" si="6"/>
        <v>8.3606164410580497E-2</v>
      </c>
      <c r="F23" s="277">
        <f t="shared" si="7"/>
        <v>15754.440176616818</v>
      </c>
      <c r="G23" s="299">
        <f t="shared" si="2"/>
        <v>0</v>
      </c>
      <c r="H23" s="277">
        <f t="shared" si="8"/>
        <v>5487.5314829628187</v>
      </c>
      <c r="I23" s="299">
        <f t="shared" si="9"/>
        <v>2.4716128276194294E-3</v>
      </c>
      <c r="J23" s="299">
        <f t="shared" ref="J23:J50" si="10">IF(A23="", 0,H23/C23)</f>
        <v>2.9121406678339304E-2</v>
      </c>
      <c r="K23" s="119">
        <f t="shared" si="3"/>
        <v>0.81060279602995633</v>
      </c>
      <c r="L23" s="277">
        <f t="shared" si="4"/>
        <v>4448.2083633920738</v>
      </c>
      <c r="N23" s="275"/>
      <c r="O23" s="275"/>
      <c r="P23" s="275"/>
      <c r="Q23" s="275"/>
      <c r="R23" s="275"/>
      <c r="S23" s="275"/>
      <c r="T23" s="275"/>
      <c r="U23" s="275"/>
    </row>
    <row r="24" spans="1:21" x14ac:dyDescent="0.15">
      <c r="A24" s="302" t="str">
        <f t="shared" si="0"/>
        <v>I</v>
      </c>
      <c r="B24" s="117">
        <v>4</v>
      </c>
      <c r="C24" s="277">
        <f t="shared" si="5"/>
        <v>188902.08831360561</v>
      </c>
      <c r="D24" s="299">
        <f t="shared" si="1"/>
        <v>2.47161282761951E-3</v>
      </c>
      <c r="E24" s="299">
        <f t="shared" si="6"/>
        <v>8.3606164410580497E-2</v>
      </c>
      <c r="F24" s="277">
        <f t="shared" si="7"/>
        <v>15793.379053049308</v>
      </c>
      <c r="G24" s="299">
        <f t="shared" si="2"/>
        <v>0</v>
      </c>
      <c r="H24" s="277">
        <f t="shared" si="8"/>
        <v>5501.094536168076</v>
      </c>
      <c r="I24" s="299">
        <f t="shared" si="9"/>
        <v>2.4716128276196514E-3</v>
      </c>
      <c r="J24" s="299">
        <f t="shared" si="10"/>
        <v>2.9121406678339307E-2</v>
      </c>
      <c r="K24" s="119">
        <f t="shared" si="3"/>
        <v>0.75580680282513402</v>
      </c>
      <c r="L24" s="277">
        <f t="shared" si="4"/>
        <v>4157.7646734200071</v>
      </c>
      <c r="N24" s="275"/>
      <c r="O24" s="275"/>
      <c r="P24" s="275"/>
      <c r="Q24" s="275"/>
      <c r="R24" s="275"/>
      <c r="S24" s="275"/>
      <c r="T24" s="275"/>
      <c r="U24" s="275"/>
    </row>
    <row r="25" spans="1:21" x14ac:dyDescent="0.15">
      <c r="A25" s="302" t="str">
        <f t="shared" si="0"/>
        <v>I</v>
      </c>
      <c r="B25" s="117">
        <v>5</v>
      </c>
      <c r="C25" s="277">
        <f t="shared" si="5"/>
        <v>189368.98113824561</v>
      </c>
      <c r="D25" s="299">
        <f t="shared" si="1"/>
        <v>2.47161282761951E-3</v>
      </c>
      <c r="E25" s="299">
        <f t="shared" si="6"/>
        <v>8.3606164410580497E-2</v>
      </c>
      <c r="F25" s="277">
        <f t="shared" si="7"/>
        <v>15832.414171308279</v>
      </c>
      <c r="G25" s="299">
        <f t="shared" si="2"/>
        <v>0</v>
      </c>
      <c r="H25" s="277">
        <f t="shared" si="8"/>
        <v>5514.6911119896149</v>
      </c>
      <c r="I25" s="299">
        <f t="shared" si="9"/>
        <v>2.4716128276192073E-3</v>
      </c>
      <c r="J25" s="299">
        <f t="shared" si="10"/>
        <v>2.91214066783393E-2</v>
      </c>
      <c r="K25" s="119">
        <f t="shared" si="3"/>
        <v>0.70471496766912267</v>
      </c>
      <c r="L25" s="277">
        <f t="shared" si="4"/>
        <v>3886.2853686909598</v>
      </c>
      <c r="N25" s="275"/>
      <c r="O25" s="275"/>
      <c r="P25" s="275"/>
      <c r="Q25" s="275"/>
      <c r="R25" s="275"/>
      <c r="S25" s="275"/>
      <c r="T25" s="275"/>
      <c r="U25" s="275"/>
    </row>
    <row r="26" spans="1:21" x14ac:dyDescent="0.15">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x14ac:dyDescent="0.15">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x14ac:dyDescent="0.15">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x14ac:dyDescent="0.15">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x14ac:dyDescent="0.15">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x14ac:dyDescent="0.15">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x14ac:dyDescent="0.15">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x14ac:dyDescent="0.15">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x14ac:dyDescent="0.15">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x14ac:dyDescent="0.15">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6</v>
      </c>
      <c r="C51" s="277">
        <f>VLOOKUP(C15,B21:C50,2,FALSE)*(1+Terminal_Growth)</f>
        <v>193156.36076101052</v>
      </c>
      <c r="D51" s="301">
        <f>Terminal_Growth</f>
        <v>0.02</v>
      </c>
      <c r="E51" s="301">
        <f>F17</f>
        <v>8.3606164410580511E-2</v>
      </c>
      <c r="F51" s="277">
        <f>C51*E51</f>
        <v>16149.062454734449</v>
      </c>
      <c r="G51" s="299">
        <f>F18</f>
        <v>0</v>
      </c>
      <c r="H51" s="277">
        <f>(F51*(1-$I$10)+C51*(G51-$I$9))/Equity_Cost</f>
        <v>77585.99909281946</v>
      </c>
      <c r="I51" s="415">
        <f>(F51*(1-$I$10)+C51*(G51-$I$9))/VLOOKUP(C15,B21:H50,COLUMN(H20)-1,FALSE)-1</f>
        <v>2.0000000000000462E-2</v>
      </c>
      <c r="J51" s="454"/>
      <c r="K51" s="119">
        <f>1/(1+Equity_Cost)^C15</f>
        <v>0.70471496766912267</v>
      </c>
      <c r="L51" s="277">
        <f t="shared" si="4"/>
        <v>54676.014842272845</v>
      </c>
    </row>
    <row r="52" spans="1:21" x14ac:dyDescent="0.15">
      <c r="G52" s="111"/>
      <c r="H52" s="111"/>
      <c r="I52" s="111"/>
      <c r="J52" s="468" t="s">
        <v>420</v>
      </c>
      <c r="K52" s="468"/>
      <c r="L52" s="317">
        <f>SUM(L21:L51)</f>
        <v>77018.594983250659</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77018.594983250659</v>
      </c>
      <c r="B55" s="123">
        <f>C94</f>
        <v>-0.1</v>
      </c>
      <c r="C55" s="123">
        <f>C93</f>
        <v>0</v>
      </c>
      <c r="D55" s="123">
        <f>C92</f>
        <v>0.02</v>
      </c>
      <c r="E55" s="123">
        <f>C91</f>
        <v>0.04</v>
      </c>
      <c r="F55" s="123">
        <f>C90</f>
        <v>0.06</v>
      </c>
      <c r="G55" s="123"/>
      <c r="H55" s="123"/>
      <c r="I55" s="123"/>
      <c r="J55" s="123"/>
      <c r="K55" s="123"/>
      <c r="L55" s="123"/>
    </row>
    <row r="56" spans="1:21" x14ac:dyDescent="0.15">
      <c r="A56" s="131">
        <v>1</v>
      </c>
      <c r="B56" s="118">
        <f t="dataTable" ref="B56:F69" dt2D="1" dtr="1" r1="C16" r2="C15"/>
        <v>68879.410586860613</v>
      </c>
      <c r="C56" s="118">
        <v>76532.678429845138</v>
      </c>
      <c r="D56" s="118">
        <v>78063.331998442052</v>
      </c>
      <c r="E56" s="118">
        <v>79593.985567038937</v>
      </c>
      <c r="F56" s="118">
        <v>81124.639135635865</v>
      </c>
      <c r="G56" s="295"/>
      <c r="H56" s="295"/>
      <c r="I56" s="295"/>
      <c r="J56" s="295"/>
      <c r="K56" s="295"/>
      <c r="L56" s="295"/>
    </row>
    <row r="57" spans="1:21" x14ac:dyDescent="0.15">
      <c r="A57" s="131">
        <v>2</v>
      </c>
      <c r="B57" s="118">
        <v>62371.848856294229</v>
      </c>
      <c r="C57" s="118">
        <v>76437.968357484191</v>
      </c>
      <c r="D57" s="118">
        <v>79422.454195467319</v>
      </c>
      <c r="E57" s="118">
        <v>82464.027346032104</v>
      </c>
      <c r="F57" s="118">
        <v>85562.687809178635</v>
      </c>
      <c r="G57" s="295"/>
      <c r="H57" s="295"/>
      <c r="I57" s="295"/>
      <c r="J57" s="295"/>
      <c r="K57" s="295"/>
      <c r="L57" s="295"/>
    </row>
    <row r="58" spans="1:21" x14ac:dyDescent="0.15">
      <c r="A58" s="131">
        <v>3</v>
      </c>
      <c r="B58" s="118">
        <v>56910.957893581166</v>
      </c>
      <c r="C58" s="118">
        <v>76349.660597707087</v>
      </c>
      <c r="D58" s="118">
        <v>80715.045935295522</v>
      </c>
      <c r="E58" s="118">
        <v>85247.098162025475</v>
      </c>
      <c r="F58" s="118">
        <v>89949.010973705706</v>
      </c>
      <c r="G58" s="295"/>
      <c r="H58" s="295"/>
      <c r="I58" s="295"/>
      <c r="J58" s="295"/>
      <c r="K58" s="295"/>
      <c r="L58" s="295"/>
    </row>
    <row r="59" spans="1:21" x14ac:dyDescent="0.15">
      <c r="A59" s="131">
        <v>4</v>
      </c>
      <c r="B59" s="118">
        <v>52328.392050745024</v>
      </c>
      <c r="C59" s="118">
        <v>76267.322360152655</v>
      </c>
      <c r="D59" s="118">
        <v>81944.363953593653</v>
      </c>
      <c r="E59" s="118">
        <v>87945.833498746273</v>
      </c>
      <c r="F59" s="118">
        <v>94284.211490627611</v>
      </c>
      <c r="G59" s="295"/>
      <c r="H59" s="295"/>
      <c r="I59" s="295"/>
      <c r="J59" s="295"/>
      <c r="K59" s="295"/>
      <c r="L59" s="295"/>
    </row>
    <row r="60" spans="1:21" x14ac:dyDescent="0.15">
      <c r="A60" s="131">
        <v>5</v>
      </c>
      <c r="B60" s="118">
        <v>48482.882252560841</v>
      </c>
      <c r="C60" s="118">
        <v>76190.550110684679</v>
      </c>
      <c r="D60" s="118">
        <v>83113.505565401691</v>
      </c>
      <c r="E60" s="118">
        <v>90562.788976778611</v>
      </c>
      <c r="F60" s="118">
        <v>98568.885194997958</v>
      </c>
      <c r="G60" s="295"/>
      <c r="H60" s="295"/>
      <c r="I60" s="295"/>
      <c r="J60" s="295"/>
      <c r="K60" s="295"/>
      <c r="L60" s="295"/>
    </row>
    <row r="61" spans="1:21" x14ac:dyDescent="0.15">
      <c r="A61" s="131">
        <v>6</v>
      </c>
      <c r="B61" s="118">
        <v>45255.881023315378</v>
      </c>
      <c r="C61" s="118">
        <v>76118.967593698209</v>
      </c>
      <c r="D61" s="118">
        <v>84225.416468939409</v>
      </c>
      <c r="E61" s="118">
        <v>93100.442773658462</v>
      </c>
      <c r="F61" s="118">
        <v>102803.62097740595</v>
      </c>
      <c r="G61" s="295"/>
      <c r="H61" s="295"/>
      <c r="I61" s="295"/>
      <c r="J61" s="295"/>
      <c r="K61" s="295"/>
      <c r="L61" s="295"/>
    </row>
    <row r="62" spans="1:21" x14ac:dyDescent="0.15">
      <c r="A62" s="131">
        <v>7</v>
      </c>
      <c r="B62" s="118">
        <v>42547.907963808713</v>
      </c>
      <c r="C62" s="118">
        <v>76052.223988116428</v>
      </c>
      <c r="D62" s="118">
        <v>85282.898167408857</v>
      </c>
      <c r="E62" s="118">
        <v>95561.197970632842</v>
      </c>
      <c r="F62" s="118">
        <v>106989.00086491411</v>
      </c>
      <c r="G62" s="295"/>
      <c r="H62" s="295"/>
      <c r="I62" s="295"/>
      <c r="J62" s="295"/>
      <c r="K62" s="295"/>
      <c r="L62" s="295"/>
    </row>
    <row r="63" spans="1:21" x14ac:dyDescent="0.15">
      <c r="A63" s="131">
        <v>8</v>
      </c>
      <c r="B63" s="118">
        <v>40275.483018768136</v>
      </c>
      <c r="C63" s="118">
        <v>75989.992188040167</v>
      </c>
      <c r="D63" s="118">
        <v>86288.615027491687</v>
      </c>
      <c r="E63" s="118">
        <v>97947.384828304945</v>
      </c>
      <c r="F63" s="118">
        <v>111125.60010105268</v>
      </c>
      <c r="G63" s="295"/>
      <c r="H63" s="295"/>
      <c r="I63" s="295"/>
      <c r="J63" s="295"/>
      <c r="K63" s="295"/>
      <c r="L63" s="295"/>
    </row>
    <row r="64" spans="1:21" x14ac:dyDescent="0.15">
      <c r="A64" s="131">
        <v>9</v>
      </c>
      <c r="B64" s="118">
        <v>38368.552994957863</v>
      </c>
      <c r="C64" s="118">
        <v>75931.96719962408</v>
      </c>
      <c r="D64" s="118">
        <v>87245.100992325693</v>
      </c>
      <c r="E64" s="118">
        <v>100261.26299332036</v>
      </c>
      <c r="F64" s="118">
        <v>115213.98722488196</v>
      </c>
      <c r="G64" s="295"/>
      <c r="H64" s="295"/>
      <c r="I64" s="295"/>
      <c r="J64" s="295"/>
      <c r="K64" s="295"/>
      <c r="L64" s="295"/>
    </row>
    <row r="65" spans="1:21" x14ac:dyDescent="0.15">
      <c r="A65" s="131">
        <v>10</v>
      </c>
      <c r="B65" s="118">
        <v>36768.331995956236</v>
      </c>
      <c r="C65" s="118">
        <v>75877.864646322356</v>
      </c>
      <c r="D65" s="118">
        <v>88154.765965874103</v>
      </c>
      <c r="E65" s="118">
        <v>102505.02363818376</v>
      </c>
      <c r="F65" s="118">
        <v>119254.72414913282</v>
      </c>
      <c r="G65" s="295"/>
      <c r="H65" s="295"/>
      <c r="I65" s="295"/>
      <c r="J65" s="295"/>
      <c r="K65" s="295"/>
      <c r="L65" s="295"/>
    </row>
    <row r="66" spans="1:21" x14ac:dyDescent="0.15">
      <c r="A66" s="131">
        <v>15</v>
      </c>
      <c r="B66" s="118">
        <v>31893.589686541178</v>
      </c>
      <c r="C66" s="277">
        <v>75657.510519413656</v>
      </c>
      <c r="D66" s="118">
        <v>92077.180464280857</v>
      </c>
      <c r="E66" s="118">
        <v>112744.21814107688</v>
      </c>
      <c r="F66" s="118">
        <v>138762.86853497519</v>
      </c>
      <c r="G66" s="295"/>
      <c r="H66" s="295"/>
      <c r="I66" s="295"/>
      <c r="J66" s="295"/>
      <c r="K66" s="295"/>
      <c r="L66" s="295"/>
      <c r="M66" s="275"/>
      <c r="N66" s="275"/>
      <c r="O66" s="275"/>
      <c r="P66" s="275"/>
      <c r="Q66" s="275"/>
      <c r="R66" s="275"/>
      <c r="S66" s="275"/>
      <c r="T66" s="275"/>
      <c r="U66" s="275"/>
    </row>
    <row r="67" spans="1:21" x14ac:dyDescent="0.15">
      <c r="A67" s="132">
        <v>20</v>
      </c>
      <c r="B67" s="118">
        <v>29865.077104950284</v>
      </c>
      <c r="C67" s="277">
        <v>75502.223667993429</v>
      </c>
      <c r="D67" s="118">
        <v>95129.063183108403</v>
      </c>
      <c r="E67" s="118">
        <v>121523.23706346512</v>
      </c>
      <c r="F67" s="118">
        <v>157160.36733706284</v>
      </c>
      <c r="G67" s="295"/>
      <c r="H67" s="295"/>
      <c r="I67" s="295"/>
      <c r="J67" s="295"/>
      <c r="K67" s="295"/>
      <c r="L67" s="295"/>
      <c r="M67" s="275"/>
      <c r="N67" s="275"/>
      <c r="O67" s="275"/>
      <c r="P67" s="275"/>
      <c r="Q67" s="275"/>
      <c r="R67" s="275"/>
      <c r="S67" s="275"/>
      <c r="T67" s="275"/>
      <c r="U67" s="275"/>
    </row>
    <row r="68" spans="1:21" x14ac:dyDescent="0.15">
      <c r="A68" s="132">
        <v>25</v>
      </c>
      <c r="B68" s="118">
        <v>29020.957963365079</v>
      </c>
      <c r="C68" s="277">
        <v>75392.79069951539</v>
      </c>
      <c r="D68" s="118">
        <v>97503.617971558604</v>
      </c>
      <c r="E68" s="118">
        <v>129050.31091853001</v>
      </c>
      <c r="F68" s="118">
        <v>174510.45227996766</v>
      </c>
      <c r="G68" s="295"/>
      <c r="H68" s="295"/>
      <c r="I68" s="295"/>
      <c r="J68" s="295"/>
      <c r="K68" s="295"/>
      <c r="L68" s="295"/>
      <c r="M68" s="275"/>
      <c r="N68" s="275"/>
      <c r="O68" s="275"/>
      <c r="P68" s="275"/>
      <c r="Q68" s="275"/>
      <c r="R68" s="275"/>
      <c r="S68" s="275"/>
      <c r="T68" s="275"/>
      <c r="U68" s="275"/>
    </row>
    <row r="69" spans="1:21" x14ac:dyDescent="0.15">
      <c r="A69" s="132">
        <v>30</v>
      </c>
      <c r="B69" s="118">
        <v>28669.697078095276</v>
      </c>
      <c r="C69" s="277">
        <v>75315.671648672447</v>
      </c>
      <c r="D69" s="118">
        <v>99351.169454637202</v>
      </c>
      <c r="E69" s="118">
        <v>135503.97519701964</v>
      </c>
      <c r="F69" s="118">
        <v>190872.75515408732</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-0.1</v>
      </c>
      <c r="C72" s="124">
        <f>C55</f>
        <v>0</v>
      </c>
      <c r="D72" s="124">
        <f>D55</f>
        <v>0.02</v>
      </c>
      <c r="E72" s="124">
        <f>E55</f>
        <v>0.04</v>
      </c>
      <c r="F72" s="124">
        <f>F55</f>
        <v>0.06</v>
      </c>
      <c r="G72" s="124"/>
      <c r="H72" s="124"/>
      <c r="I72" s="124"/>
      <c r="J72" s="124"/>
      <c r="K72" s="124"/>
      <c r="L72" s="124"/>
    </row>
    <row r="73" spans="1:21" x14ac:dyDescent="0.15">
      <c r="A73" s="131">
        <v>0</v>
      </c>
      <c r="B73" s="119">
        <f>C11</f>
        <v>14.89110813143631</v>
      </c>
      <c r="C73" s="119">
        <f>C11</f>
        <v>14.89110813143631</v>
      </c>
      <c r="D73" s="119">
        <f>C11</f>
        <v>14.89110813143631</v>
      </c>
      <c r="E73" s="119">
        <f>C11</f>
        <v>14.89110813143631</v>
      </c>
      <c r="F73" s="119">
        <f>C11</f>
        <v>14.89110813143631</v>
      </c>
      <c r="G73" s="296"/>
      <c r="H73" s="296"/>
      <c r="I73" s="296"/>
      <c r="J73" s="296"/>
      <c r="K73" s="296"/>
      <c r="L73" s="296"/>
    </row>
    <row r="74" spans="1:21" x14ac:dyDescent="0.15">
      <c r="A74" s="131">
        <v>1</v>
      </c>
      <c r="B74" s="119">
        <f t="shared" ref="B74:F87" si="11">(B56+FV_adjustments)/Common_Shares*scaling_factor*Exchange_Rate</f>
        <v>10.062416116483895</v>
      </c>
      <c r="C74" s="119">
        <f t="shared" si="11"/>
        <v>11.062590060427684</v>
      </c>
      <c r="D74" s="119">
        <f t="shared" si="11"/>
        <v>11.262624849216445</v>
      </c>
      <c r="E74" s="119">
        <f t="shared" si="11"/>
        <v>11.462659638005201</v>
      </c>
      <c r="F74" s="119">
        <f t="shared" si="11"/>
        <v>11.662694426793962</v>
      </c>
      <c r="G74" s="296"/>
      <c r="H74" s="296"/>
      <c r="I74" s="296"/>
      <c r="J74" s="296"/>
      <c r="K74" s="296"/>
      <c r="L74" s="296"/>
    </row>
    <row r="75" spans="1:21" x14ac:dyDescent="0.15">
      <c r="A75" s="131">
        <v>2</v>
      </c>
      <c r="B75" s="119">
        <f t="shared" si="11"/>
        <v>9.2119697692435434</v>
      </c>
      <c r="C75" s="119">
        <f t="shared" si="11"/>
        <v>11.050212792501373</v>
      </c>
      <c r="D75" s="119">
        <f t="shared" si="11"/>
        <v>11.440242911982455</v>
      </c>
      <c r="E75" s="119">
        <f t="shared" si="11"/>
        <v>11.8377335364067</v>
      </c>
      <c r="F75" s="119">
        <f t="shared" si="11"/>
        <v>12.242684665774123</v>
      </c>
      <c r="G75" s="296"/>
      <c r="H75" s="296"/>
      <c r="I75" s="296"/>
      <c r="J75" s="296"/>
      <c r="K75" s="296"/>
      <c r="L75" s="296"/>
    </row>
    <row r="76" spans="1:21" x14ac:dyDescent="0.15">
      <c r="A76" s="131">
        <v>3</v>
      </c>
      <c r="B76" s="119">
        <f t="shared" si="11"/>
        <v>8.4983084988320545</v>
      </c>
      <c r="C76" s="119">
        <f t="shared" si="11"/>
        <v>11.038672216346303</v>
      </c>
      <c r="D76" s="119">
        <f t="shared" si="11"/>
        <v>11.609166384263412</v>
      </c>
      <c r="E76" s="119">
        <f t="shared" si="11"/>
        <v>12.201441559099065</v>
      </c>
      <c r="F76" s="119">
        <f t="shared" si="11"/>
        <v>12.815915111759171</v>
      </c>
      <c r="G76" s="296"/>
      <c r="H76" s="296"/>
      <c r="I76" s="296"/>
      <c r="J76" s="296"/>
      <c r="K76" s="296"/>
      <c r="L76" s="296"/>
    </row>
    <row r="77" spans="1:21" x14ac:dyDescent="0.15">
      <c r="A77" s="131">
        <v>4</v>
      </c>
      <c r="B77" s="119">
        <f t="shared" si="11"/>
        <v>7.8994319082769584</v>
      </c>
      <c r="C77" s="119">
        <f t="shared" si="11"/>
        <v>11.02791177237887</v>
      </c>
      <c r="D77" s="119">
        <f t="shared" si="11"/>
        <v>11.769820875383759</v>
      </c>
      <c r="E77" s="119">
        <f t="shared" si="11"/>
        <v>12.55412812655832</v>
      </c>
      <c r="F77" s="119">
        <f t="shared" si="11"/>
        <v>13.382464550215261</v>
      </c>
      <c r="G77" s="296"/>
      <c r="H77" s="296"/>
      <c r="I77" s="296"/>
      <c r="J77" s="296"/>
      <c r="K77" s="296"/>
      <c r="L77" s="296"/>
    </row>
    <row r="78" spans="1:21" x14ac:dyDescent="0.15">
      <c r="A78" s="131">
        <v>5</v>
      </c>
      <c r="B78" s="119">
        <f t="shared" si="11"/>
        <v>7.3968781259929619</v>
      </c>
      <c r="C78" s="119">
        <f t="shared" si="11"/>
        <v>11.01787872439059</v>
      </c>
      <c r="D78" s="119">
        <f t="shared" si="11"/>
        <v>11.922611160645074</v>
      </c>
      <c r="E78" s="119">
        <f t="shared" si="11"/>
        <v>12.896127222276391</v>
      </c>
      <c r="F78" s="119">
        <f t="shared" si="11"/>
        <v>13.942410848363002</v>
      </c>
      <c r="G78" s="296"/>
      <c r="H78" s="296"/>
      <c r="I78" s="296"/>
      <c r="J78" s="296"/>
      <c r="K78" s="296"/>
      <c r="L78" s="296"/>
    </row>
    <row r="79" spans="1:21" x14ac:dyDescent="0.15">
      <c r="A79" s="131">
        <v>6</v>
      </c>
      <c r="B79" s="119">
        <f t="shared" si="11"/>
        <v>6.9751546723280695</v>
      </c>
      <c r="C79" s="119">
        <f t="shared" si="11"/>
        <v>11.008523901091493</v>
      </c>
      <c r="D79" s="119">
        <f t="shared" si="11"/>
        <v>12.067922201173316</v>
      </c>
      <c r="E79" s="119">
        <f t="shared" si="11"/>
        <v>13.227762709033312</v>
      </c>
      <c r="F79" s="119">
        <f t="shared" si="11"/>
        <v>14.495830965879653</v>
      </c>
      <c r="G79" s="296"/>
      <c r="H79" s="296"/>
      <c r="I79" s="296"/>
      <c r="J79" s="296"/>
      <c r="K79" s="296"/>
      <c r="L79" s="296"/>
    </row>
    <row r="80" spans="1:21" x14ac:dyDescent="0.15">
      <c r="A80" s="131">
        <f t="shared" ref="A80" si="12">A62</f>
        <v>7</v>
      </c>
      <c r="B80" s="119">
        <f t="shared" si="11"/>
        <v>6.6212608650568336</v>
      </c>
      <c r="C80" s="119">
        <f t="shared" si="11"/>
        <v>10.99980145512497</v>
      </c>
      <c r="D80" s="119">
        <f t="shared" si="11"/>
        <v>12.206120113843536</v>
      </c>
      <c r="E80" s="119">
        <f t="shared" si="11"/>
        <v>13.549348635585474</v>
      </c>
      <c r="F80" s="119">
        <f t="shared" si="11"/>
        <v>15.042800965476532</v>
      </c>
      <c r="G80" s="296"/>
      <c r="H80" s="296"/>
      <c r="I80" s="296"/>
      <c r="J80" s="296"/>
      <c r="K80" s="296"/>
      <c r="L80" s="296"/>
    </row>
    <row r="81" spans="1:12" x14ac:dyDescent="0.15">
      <c r="A81" s="131">
        <v>8</v>
      </c>
      <c r="B81" s="119">
        <f t="shared" si="11"/>
        <v>6.3242870407732772</v>
      </c>
      <c r="C81" s="119">
        <f t="shared" si="11"/>
        <v>10.991668638372968</v>
      </c>
      <c r="D81" s="119">
        <f t="shared" si="11"/>
        <v>12.337553093725703</v>
      </c>
      <c r="E81" s="119">
        <f t="shared" si="11"/>
        <v>13.861189534060292</v>
      </c>
      <c r="F81" s="119">
        <f t="shared" si="11"/>
        <v>15.583396023353162</v>
      </c>
      <c r="G81" s="296"/>
      <c r="H81" s="296"/>
      <c r="I81" s="296"/>
      <c r="J81" s="296"/>
      <c r="K81" s="296"/>
      <c r="L81" s="296"/>
    </row>
    <row r="82" spans="1:12" x14ac:dyDescent="0.15">
      <c r="A82" s="131">
        <f t="shared" ref="A82" si="13">A64</f>
        <v>9</v>
      </c>
      <c r="B82" s="119">
        <f t="shared" si="11"/>
        <v>6.0750782371786833</v>
      </c>
      <c r="C82" s="119">
        <f t="shared" si="11"/>
        <v>10.984085592450354</v>
      </c>
      <c r="D82" s="119">
        <f t="shared" si="11"/>
        <v>12.46255229137587</v>
      </c>
      <c r="E82" s="119">
        <f t="shared" si="11"/>
        <v>14.163580708338914</v>
      </c>
      <c r="F82" s="119">
        <f t="shared" si="11"/>
        <v>16.1176904395296</v>
      </c>
      <c r="G82" s="296"/>
      <c r="H82" s="296"/>
      <c r="I82" s="296"/>
      <c r="J82" s="296"/>
      <c r="K82" s="296"/>
      <c r="L82" s="296"/>
    </row>
    <row r="83" spans="1:12" x14ac:dyDescent="0.15">
      <c r="A83" s="131">
        <f t="shared" ref="A83:A87" si="14">A65</f>
        <v>10</v>
      </c>
      <c r="B83" s="119">
        <f t="shared" si="11"/>
        <v>5.8659519684279768</v>
      </c>
      <c r="C83" s="119">
        <f t="shared" si="11"/>
        <v>10.977015153361668</v>
      </c>
      <c r="D83" s="119">
        <f t="shared" si="11"/>
        <v>12.581432647183021</v>
      </c>
      <c r="E83" s="119">
        <f t="shared" si="11"/>
        <v>14.456808513699995</v>
      </c>
      <c r="F83" s="119">
        <f t="shared" si="11"/>
        <v>16.6457576480583</v>
      </c>
      <c r="G83" s="296"/>
      <c r="H83" s="296"/>
      <c r="I83" s="296"/>
      <c r="J83" s="296"/>
      <c r="K83" s="296"/>
      <c r="L83" s="296"/>
    </row>
    <row r="84" spans="1:12" x14ac:dyDescent="0.15">
      <c r="A84" s="131">
        <f t="shared" si="14"/>
        <v>15</v>
      </c>
      <c r="B84" s="119">
        <f t="shared" si="11"/>
        <v>5.2288920430019248</v>
      </c>
      <c r="C84" s="119">
        <f t="shared" si="11"/>
        <v>10.948217983225179</v>
      </c>
      <c r="D84" s="119">
        <f t="shared" si="11"/>
        <v>13.094036786897007</v>
      </c>
      <c r="E84" s="119">
        <f t="shared" si="11"/>
        <v>15.794926525361342</v>
      </c>
      <c r="F84" s="119">
        <f t="shared" si="11"/>
        <v>19.195196411958136</v>
      </c>
      <c r="G84" s="296"/>
      <c r="H84" s="296"/>
      <c r="I84" s="296"/>
      <c r="J84" s="296"/>
      <c r="K84" s="296"/>
      <c r="L84" s="296"/>
    </row>
    <row r="85" spans="1:12" x14ac:dyDescent="0.15">
      <c r="A85" s="132">
        <f t="shared" si="14"/>
        <v>20</v>
      </c>
      <c r="B85" s="119">
        <f t="shared" si="11"/>
        <v>4.9637941174237481</v>
      </c>
      <c r="C85" s="119">
        <f t="shared" si="11"/>
        <v>10.927924186403477</v>
      </c>
      <c r="D85" s="119">
        <f t="shared" si="11"/>
        <v>13.49287472618874</v>
      </c>
      <c r="E85" s="119">
        <f t="shared" si="11"/>
        <v>16.942220225216758</v>
      </c>
      <c r="F85" s="119">
        <f t="shared" si="11"/>
        <v>21.599489494742691</v>
      </c>
      <c r="G85" s="296"/>
      <c r="H85" s="296"/>
      <c r="I85" s="296"/>
      <c r="J85" s="296"/>
      <c r="K85" s="296"/>
      <c r="L85" s="296"/>
    </row>
    <row r="86" spans="1:12" x14ac:dyDescent="0.15">
      <c r="A86" s="132">
        <f t="shared" si="14"/>
        <v>25</v>
      </c>
      <c r="B86" s="119">
        <f t="shared" si="11"/>
        <v>4.8534796754992273</v>
      </c>
      <c r="C86" s="119">
        <f t="shared" si="11"/>
        <v>10.913622844032389</v>
      </c>
      <c r="D86" s="119">
        <f t="shared" si="11"/>
        <v>13.803195477611533</v>
      </c>
      <c r="E86" s="119">
        <f t="shared" si="11"/>
        <v>17.925902398430836</v>
      </c>
      <c r="F86" s="119">
        <f t="shared" si="11"/>
        <v>23.866900389163675</v>
      </c>
      <c r="G86" s="296"/>
      <c r="H86" s="296"/>
      <c r="I86" s="296"/>
      <c r="J86" s="296"/>
      <c r="K86" s="296"/>
      <c r="L86" s="296"/>
    </row>
    <row r="87" spans="1:12" x14ac:dyDescent="0.15">
      <c r="A87" s="132">
        <f t="shared" si="14"/>
        <v>30</v>
      </c>
      <c r="B87" s="119">
        <f t="shared" si="11"/>
        <v>4.8075748421416016</v>
      </c>
      <c r="C87" s="119">
        <f t="shared" si="11"/>
        <v>10.903544474005722</v>
      </c>
      <c r="D87" s="119">
        <f t="shared" si="11"/>
        <v>14.044644345125532</v>
      </c>
      <c r="E87" s="119">
        <f t="shared" si="11"/>
        <v>18.769305110413924</v>
      </c>
      <c r="F87" s="119">
        <f t="shared" si="11"/>
        <v>26.005222127453866</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0.06</v>
      </c>
      <c r="D90" s="133">
        <f>Scenarios!D29</f>
        <v>5</v>
      </c>
      <c r="E90" s="127">
        <f>INDEX(B$73:F$87, MATCH(D90, A$73:A$87, 0), MATCH(C90, B$72:F$72, 0))</f>
        <v>13.942410848363002</v>
      </c>
      <c r="F90" s="130">
        <f>Scenarios!F29</f>
        <v>0.1</v>
      </c>
      <c r="G90" s="297"/>
      <c r="H90" s="297"/>
      <c r="I90" s="297"/>
      <c r="J90" s="297"/>
      <c r="K90" s="297"/>
      <c r="L90" s="297"/>
    </row>
    <row r="91" spans="1:12" x14ac:dyDescent="0.15">
      <c r="B91" s="120" t="str">
        <f>Scenarios!B22</f>
        <v>Optimistic</v>
      </c>
      <c r="C91" s="130">
        <f>Scenarios!C22</f>
        <v>0.04</v>
      </c>
      <c r="D91" s="133">
        <f>Scenarios!D22</f>
        <v>5</v>
      </c>
      <c r="E91" s="127">
        <f>INDEX(B$73:F$87, MATCH(D91, A$73:A$87, 0), MATCH(C91, B$72:F$72, 0))</f>
        <v>12.896127222276391</v>
      </c>
      <c r="F91" s="130">
        <f>Scenarios!F22*(1-F$90-F$94)</f>
        <v>8.0000000000000029E-2</v>
      </c>
      <c r="G91" s="297"/>
      <c r="H91" s="297"/>
      <c r="I91" s="297"/>
      <c r="J91" s="297"/>
      <c r="K91" s="297"/>
      <c r="L91" s="297"/>
    </row>
    <row r="92" spans="1:12" x14ac:dyDescent="0.15">
      <c r="B92" s="120" t="str">
        <f>Scenarios!B23</f>
        <v>Base</v>
      </c>
      <c r="C92" s="130">
        <f>Scenarios!C23</f>
        <v>0.02</v>
      </c>
      <c r="D92" s="133">
        <f>Scenarios!D23</f>
        <v>5</v>
      </c>
      <c r="E92" s="127">
        <f>INDEX(B$73:F$87, MATCH(D92, A$73:A$87, 0), MATCH(C92, B$72:F$72, 0))</f>
        <v>11.922611160645074</v>
      </c>
      <c r="F92" s="130">
        <f>Scenarios!F23*(1-F$90-F$94)</f>
        <v>0.48</v>
      </c>
      <c r="G92" s="297"/>
      <c r="H92" s="297"/>
      <c r="I92" s="297"/>
      <c r="J92" s="297"/>
      <c r="K92" s="297"/>
      <c r="L92" s="297"/>
    </row>
    <row r="93" spans="1:12" x14ac:dyDescent="0.15">
      <c r="B93" s="120" t="str">
        <f>Scenarios!B24</f>
        <v>Pessimistic</v>
      </c>
      <c r="C93" s="130">
        <f>Scenarios!C24</f>
        <v>0</v>
      </c>
      <c r="D93" s="133">
        <f>Scenarios!D24</f>
        <v>5</v>
      </c>
      <c r="E93" s="127">
        <f>INDEX(B$73:F$87, MATCH(D93, A$73:A$87, 0), MATCH(C93, B$72:F$72, 0))</f>
        <v>11.01787872439059</v>
      </c>
      <c r="F93" s="130">
        <f>Scenarios!F24*(1-F$90-F$94)</f>
        <v>0.24</v>
      </c>
      <c r="G93" s="297"/>
      <c r="H93" s="297"/>
      <c r="I93" s="297"/>
      <c r="J93" s="297"/>
      <c r="K93" s="297"/>
      <c r="L93" s="297"/>
    </row>
    <row r="94" spans="1:12" x14ac:dyDescent="0.15">
      <c r="B94" s="120" t="str">
        <f>Scenarios!B30</f>
        <v>Devil's advocate</v>
      </c>
      <c r="C94" s="130">
        <f>Scenarios!C30</f>
        <v>-0.1</v>
      </c>
      <c r="D94" s="133">
        <f>Scenarios!D30</f>
        <v>5</v>
      </c>
      <c r="E94" s="127">
        <f>INDEX(B$73:F$87, MATCH(D94, A$73:A$87, 0), MATCH(C94, B$72:F$72, 0))</f>
        <v>7.3968781259929619</v>
      </c>
      <c r="F94" s="130">
        <f>Scenarios!F30</f>
        <v>0.1</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542</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1000000 CNY</v>
      </c>
      <c r="D6" s="469"/>
      <c r="E6" s="469"/>
      <c r="F6" s="469"/>
      <c r="G6" s="469"/>
    </row>
    <row r="7" spans="2:7" ht="12.75" customHeight="1" x14ac:dyDescent="0.15">
      <c r="B7" s="97" t="s">
        <v>232</v>
      </c>
      <c r="C7" s="447">
        <f>Normalized_FCF!G8</f>
        <v>16063</v>
      </c>
      <c r="D7" s="469"/>
      <c r="E7" s="469"/>
      <c r="F7" s="469"/>
      <c r="G7" s="469"/>
    </row>
    <row r="8" spans="2:7" x14ac:dyDescent="0.15">
      <c r="B8" s="97" t="s">
        <v>63</v>
      </c>
      <c r="C8" s="447">
        <f>Normalized_FCF!G19</f>
        <v>10035.132190286105</v>
      </c>
      <c r="D8" s="469"/>
      <c r="E8" s="469"/>
      <c r="F8" s="469"/>
      <c r="G8" s="469"/>
    </row>
    <row r="9" spans="2:7" x14ac:dyDescent="0.15">
      <c r="B9" s="97" t="s">
        <v>54</v>
      </c>
      <c r="C9" s="447">
        <f>Normalized_FCF!C19</f>
        <v>5447.0426335566535</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f ca="1">(Normalized_FCF!G4/OFFSET(Normalized_FCF!G4, 0, $C$4))^(1/$C$4) - 1</f>
        <v>4.2991333470914217E-2</v>
      </c>
      <c r="D12" s="469"/>
      <c r="E12" s="469"/>
      <c r="F12" s="469"/>
      <c r="G12" s="469"/>
    </row>
    <row r="13" spans="2:7" x14ac:dyDescent="0.15">
      <c r="B13" s="135" t="s">
        <v>127</v>
      </c>
      <c r="C13" s="249">
        <f ca="1">(Normalized_FCF!G8/OFFSET(Normalized_FCF!G8, 0, $C$4))^(1/$C$4) - 1</f>
        <v>-8.754987491685684E-3</v>
      </c>
      <c r="D13" s="469"/>
      <c r="E13" s="469"/>
      <c r="F13" s="469"/>
      <c r="G13" s="469"/>
    </row>
    <row r="14" spans="2:7" x14ac:dyDescent="0.15">
      <c r="B14" s="97" t="s">
        <v>63</v>
      </c>
      <c r="C14" s="249">
        <f ca="1">(Normalized_FCF!G19/OFFSET(Normalized_FCF!G19, 0, $C$4))^(1/$C$4) - 1</f>
        <v>-2.552069518459088E-2</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5</v>
      </c>
      <c r="E18" s="450" t="s">
        <v>543</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0.04</v>
      </c>
      <c r="D22" s="325">
        <f>C18</f>
        <v>5</v>
      </c>
      <c r="E22" s="326">
        <f>DCF!E91</f>
        <v>12.896127222276391</v>
      </c>
      <c r="F22" s="328">
        <f>1-F23-F24</f>
        <v>0.10000000000000003</v>
      </c>
      <c r="G22" s="328">
        <f>F22*(1-F$29-F$30)</f>
        <v>8.0000000000000029E-2</v>
      </c>
    </row>
    <row r="23" spans="2:7" x14ac:dyDescent="0.15">
      <c r="B23" s="302" t="s">
        <v>437</v>
      </c>
      <c r="C23" s="324">
        <v>0.02</v>
      </c>
      <c r="D23" s="325">
        <f>C18</f>
        <v>5</v>
      </c>
      <c r="E23" s="326">
        <f>DCF!E92</f>
        <v>11.922611160645074</v>
      </c>
      <c r="F23" s="327">
        <v>0.6</v>
      </c>
      <c r="G23" s="328">
        <f t="shared" ref="G23:G24" si="0">F23*(1-F$29-F$30)</f>
        <v>0.48</v>
      </c>
    </row>
    <row r="24" spans="2:7" x14ac:dyDescent="0.15">
      <c r="B24" s="302" t="s">
        <v>446</v>
      </c>
      <c r="C24" s="324">
        <v>0</v>
      </c>
      <c r="D24" s="325">
        <f>C18</f>
        <v>5</v>
      </c>
      <c r="E24" s="326">
        <f>DCF!E93</f>
        <v>11.01787872439059</v>
      </c>
      <c r="F24" s="327">
        <v>0.3</v>
      </c>
      <c r="G24" s="328">
        <f t="shared" si="0"/>
        <v>0.24</v>
      </c>
    </row>
    <row r="25" spans="2:7" x14ac:dyDescent="0.15">
      <c r="B25" s="141" t="s">
        <v>451</v>
      </c>
      <c r="C25" s="441">
        <f>E23*F23+E24*F24+E22*F22</f>
        <v>11.748543035931862</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0.06</v>
      </c>
      <c r="D29" s="325">
        <f>C18</f>
        <v>5</v>
      </c>
      <c r="E29" s="326">
        <f>DCF!E90</f>
        <v>13.942410848363002</v>
      </c>
      <c r="F29" s="327">
        <v>0.1</v>
      </c>
      <c r="G29" s="328">
        <f>F29</f>
        <v>0.1</v>
      </c>
    </row>
    <row r="30" spans="2:7" x14ac:dyDescent="0.15">
      <c r="B30" s="315" t="s">
        <v>447</v>
      </c>
      <c r="C30" s="324">
        <v>-0.1</v>
      </c>
      <c r="D30" s="325">
        <f>C18</f>
        <v>5</v>
      </c>
      <c r="E30" s="326">
        <f>DCF!E94</f>
        <v>7.3968781259929619</v>
      </c>
      <c r="F30" s="327">
        <v>0.1</v>
      </c>
      <c r="G30" s="328">
        <f>F30</f>
        <v>0.1</v>
      </c>
    </row>
    <row r="31" spans="2:7" x14ac:dyDescent="0.15">
      <c r="E31" s="329"/>
      <c r="F31" s="329"/>
    </row>
    <row r="32" spans="2:7" x14ac:dyDescent="0.15">
      <c r="B32" s="145" t="s">
        <v>456</v>
      </c>
    </row>
    <row r="33" spans="2:7" x14ac:dyDescent="0.15">
      <c r="B33" s="97" t="s">
        <v>458</v>
      </c>
      <c r="C33" s="155">
        <f>Normalized_FCF!C88*(1-dividend_tax_rate)</f>
        <v>0.32161852280573272</v>
      </c>
      <c r="D33" t="str">
        <f>Market_currency</f>
        <v>HKD</v>
      </c>
      <c r="E33" s="97" t="s">
        <v>455</v>
      </c>
      <c r="F33" s="219">
        <f>Holding_Period</f>
        <v>3</v>
      </c>
    </row>
    <row r="34" spans="2:7" x14ac:dyDescent="0.15">
      <c r="B34" s="97" t="s">
        <v>233</v>
      </c>
      <c r="C34" s="146">
        <f>Market_Price</f>
        <v>8.26</v>
      </c>
      <c r="D34" t="str">
        <f>Market_currency</f>
        <v>HKD</v>
      </c>
      <c r="E34" s="97" t="s">
        <v>454</v>
      </c>
      <c r="F34" s="330">
        <f>RATE(Holding_Period,$C$33,-C34,$C$36)</f>
        <v>0.15274183509108599</v>
      </c>
    </row>
    <row r="35" spans="2:7" x14ac:dyDescent="0.15">
      <c r="B35" s="97" t="s">
        <v>434</v>
      </c>
      <c r="C35" s="320">
        <f>DCF!C11</f>
        <v>14.89110813143631</v>
      </c>
      <c r="D35" s="97" t="str">
        <f>Market_currency</f>
        <v>HKD</v>
      </c>
      <c r="E35" s="97" t="s">
        <v>454</v>
      </c>
      <c r="F35" s="330">
        <f>RATE(Holding_Period,$C$33,-C35,$C$36)</f>
        <v>-5.8121205994988656E-2</v>
      </c>
    </row>
    <row r="36" spans="2:7" x14ac:dyDescent="0.15">
      <c r="B36" s="97" t="s">
        <v>435</v>
      </c>
      <c r="C36" s="321">
        <f>E22*G22+E23*G23+E24*G24+E30*G30+E29*G29</f>
        <v>11.532763326181085</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1-stage DCF</v>
      </c>
      <c r="E39" s="222" t="s">
        <v>251</v>
      </c>
    </row>
    <row r="40" spans="2:7" x14ac:dyDescent="0.15">
      <c r="B40" t="s">
        <v>549</v>
      </c>
      <c r="C40" s="126">
        <f>Normalized_FCF!E116</f>
        <v>8.3606164410580511E-2</v>
      </c>
      <c r="E40" s="97" t="s">
        <v>401</v>
      </c>
    </row>
    <row r="41" spans="2:7" x14ac:dyDescent="0.15">
      <c r="B41" s="97" t="s">
        <v>400</v>
      </c>
      <c r="C41" s="455">
        <f>DCF!C16</f>
        <v>2.47161282761951E-3</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5</v>
      </c>
      <c r="D45" s="137"/>
      <c r="E45" s="221" t="s">
        <v>307</v>
      </c>
    </row>
    <row r="46" spans="2:7" ht="14" x14ac:dyDescent="0.15">
      <c r="B46" s="114" t="s">
        <v>112</v>
      </c>
      <c r="C46" s="138">
        <v>2.47161282761951E-3</v>
      </c>
      <c r="D46" s="138"/>
      <c r="E46" s="221" t="s">
        <v>252</v>
      </c>
    </row>
    <row r="47" spans="2:7" x14ac:dyDescent="0.15">
      <c r="B47" s="97" t="s">
        <v>96</v>
      </c>
      <c r="C47" s="146">
        <f>DCF!I18</f>
        <v>11.126092486530892</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Negative Growth </v>
      </c>
      <c r="E49" s="222" t="s">
        <v>254</v>
      </c>
    </row>
    <row r="50" spans="2:7" x14ac:dyDescent="0.15">
      <c r="B50" s="97" t="s">
        <v>250</v>
      </c>
      <c r="C50" s="218" t="str">
        <f>IF(C36&lt;C35,"Y","N")</f>
        <v>Y</v>
      </c>
      <c r="E50" s="126"/>
    </row>
    <row r="51" spans="2:7" x14ac:dyDescent="0.15">
      <c r="B51" s="97" t="s">
        <v>246</v>
      </c>
      <c r="C51" s="218" t="str">
        <f>IF(C50="Y","N",IF(C46&gt;8%,"N","Y"))</f>
        <v>N</v>
      </c>
      <c r="E51" s="221" t="s">
        <v>247</v>
      </c>
    </row>
    <row r="52" spans="2:7" x14ac:dyDescent="0.15">
      <c r="B52" s="97" t="s">
        <v>245</v>
      </c>
      <c r="C52" s="218" t="str">
        <f>IF(C46&gt;8%,"Y","N")</f>
        <v>N</v>
      </c>
      <c r="E52" s="221"/>
    </row>
    <row r="53" spans="2:7" x14ac:dyDescent="0.15">
      <c r="B53" s="97" t="s">
        <v>237</v>
      </c>
      <c r="C53" s="217" t="str">
        <f>IF(F53&gt;50%,"Y","N")</f>
        <v>N</v>
      </c>
      <c r="E53" s="126" t="s">
        <v>273</v>
      </c>
      <c r="F53" s="249">
        <f>BS!D89/C36</f>
        <v>9.1985813892626569E-2</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0.32161852280573272</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0.58851416086227837</v>
      </c>
      <c r="D62" s="119">
        <f>C36/(1+F62)^Holding_Period</f>
        <v>5.3146374775028056</v>
      </c>
      <c r="E62" s="332">
        <f>C62+D62</f>
        <v>5.9031516383650837</v>
      </c>
      <c r="F62" s="301">
        <f>Thesis!E22</f>
        <v>0.29465259038036606</v>
      </c>
      <c r="G62" s="440">
        <f>(1-E62/C36)</f>
        <v>0.48814074550857611</v>
      </c>
    </row>
    <row r="63" spans="2:7" x14ac:dyDescent="0.15">
      <c r="B63" s="302" t="s">
        <v>313</v>
      </c>
      <c r="C63" s="119">
        <f>PV(F63, Holding_Period, -C58, 0)</f>
        <v>0.67668664149811164</v>
      </c>
      <c r="D63" s="119">
        <f>C36/(1+F63)^Holding_Period</f>
        <v>6.6615239429204847</v>
      </c>
      <c r="E63" s="332">
        <f>C63+D63</f>
        <v>7.3382105844185963</v>
      </c>
      <c r="F63" s="301">
        <f>Thesis!E23</f>
        <v>0.20075184365903009</v>
      </c>
      <c r="G63" s="440">
        <f>(1-E63/C36)</f>
        <v>0.36370751944941337</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0.77593785348088151</v>
      </c>
      <c r="D66" s="119">
        <f>C36/(1+F66)^Holding_Period</f>
        <v>8.2662279742202571</v>
      </c>
      <c r="E66" s="332">
        <f>C66+D66</f>
        <v>9.0421658277011385</v>
      </c>
      <c r="F66" s="301">
        <f>Thesis!E24</f>
        <v>0.1174</v>
      </c>
      <c r="G66" s="440">
        <f>(1-E66/C36)</f>
        <v>0.21595843320793029</v>
      </c>
    </row>
    <row r="67" spans="2:7" x14ac:dyDescent="0.15">
      <c r="B67" s="302" t="s">
        <v>314</v>
      </c>
      <c r="C67" s="119">
        <f>PV(F67, Holding_Period, -C58, 0)</f>
        <v>0.84018826157767579</v>
      </c>
      <c r="D67" s="119">
        <f>C36/(1+F67)^Holding_Period</f>
        <v>9.3484901981541277</v>
      </c>
      <c r="E67" s="332">
        <f>C67+D67</f>
        <v>10.188678459731804</v>
      </c>
      <c r="F67" s="301">
        <f>Thesis!E25</f>
        <v>7.2499999999999995E-2</v>
      </c>
      <c r="G67" s="440">
        <f>(1-E67/C36)</f>
        <v>0.11654491022095359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541</v>
      </c>
      <c r="F3" s="436">
        <f>Thesis!F3</f>
        <v>45932</v>
      </c>
    </row>
    <row r="4" spans="1:10" x14ac:dyDescent="0.2">
      <c r="B4" s="422" t="s">
        <v>533</v>
      </c>
      <c r="C4" s="423" t="str">
        <f>Thesis!C4</f>
        <v>昆仑能源</v>
      </c>
      <c r="D4" s="349"/>
      <c r="E4" s="434" t="s">
        <v>539</v>
      </c>
      <c r="F4" s="437" t="str">
        <f>Thesis!F4</f>
        <v>INT</v>
      </c>
    </row>
    <row r="5" spans="1:10" x14ac:dyDescent="0.2">
      <c r="B5" s="343" t="s">
        <v>364</v>
      </c>
      <c r="C5" s="355" t="str">
        <f>Thesis!C5</f>
        <v>0135.HK</v>
      </c>
      <c r="E5" s="438" t="s">
        <v>540</v>
      </c>
      <c r="F5" s="439" t="str">
        <f>Thesis!F5</f>
        <v>N</v>
      </c>
    </row>
    <row r="6" spans="1:10" x14ac:dyDescent="0.2">
      <c r="B6" s="350" t="s">
        <v>336</v>
      </c>
      <c r="C6" s="352" t="str">
        <f>Thesis!C6</f>
        <v>ENG_02</v>
      </c>
      <c r="E6" s="354"/>
    </row>
    <row r="7" spans="1:10" x14ac:dyDescent="0.2">
      <c r="B7" s="343" t="s">
        <v>366</v>
      </c>
      <c r="C7" s="352" t="str">
        <f>Market_currency</f>
        <v>HKD</v>
      </c>
      <c r="D7" s="354"/>
      <c r="E7" s="354"/>
    </row>
    <row r="8" spans="1:10" x14ac:dyDescent="0.2">
      <c r="B8" s="351" t="s">
        <v>365</v>
      </c>
      <c r="C8" s="356">
        <f>Market_Price</f>
        <v>8.26</v>
      </c>
    </row>
    <row r="9" spans="1:10" x14ac:dyDescent="0.2">
      <c r="B9" s="351" t="s">
        <v>361</v>
      </c>
      <c r="C9" s="353">
        <f>Common_Shares</f>
        <v>8658801708</v>
      </c>
    </row>
    <row r="10" spans="1:10" x14ac:dyDescent="0.2">
      <c r="B10" s="351" t="s">
        <v>367</v>
      </c>
      <c r="C10" s="357">
        <f>投资主题!C8*Common_Shares/1000000</f>
        <v>71521.702108080004</v>
      </c>
      <c r="D10" s="343" t="s">
        <v>528</v>
      </c>
      <c r="E10" s="360">
        <f>Scenarios!F34</f>
        <v>0.15274183509108599</v>
      </c>
    </row>
    <row r="11" spans="1:10" x14ac:dyDescent="0.2">
      <c r="D11" s="349"/>
      <c r="E11" s="349"/>
    </row>
    <row r="12" spans="1:10" ht="24.5" customHeight="1" x14ac:dyDescent="0.2">
      <c r="B12" s="471" t="s">
        <v>497</v>
      </c>
      <c r="C12" s="471"/>
      <c r="D12" s="471"/>
      <c r="E12" s="471"/>
      <c r="F12" s="471"/>
    </row>
    <row r="14" spans="1:10" x14ac:dyDescent="0.2">
      <c r="B14" s="347" t="s">
        <v>370</v>
      </c>
      <c r="C14" s="348"/>
      <c r="D14" s="349"/>
    </row>
    <row r="15" spans="1:10" x14ac:dyDescent="0.2">
      <c r="B15" s="343" t="s">
        <v>337</v>
      </c>
      <c r="C15" s="358" t="str">
        <f>Thesis!C15</f>
        <v>N</v>
      </c>
      <c r="D15" s="351" t="s">
        <v>368</v>
      </c>
      <c r="E15" s="344" t="str">
        <f>IF(E17=C7,C7,E17&amp;"/"&amp;C7)</f>
        <v>CNY/HKD</v>
      </c>
    </row>
    <row r="16" spans="1:10" x14ac:dyDescent="0.2">
      <c r="B16" s="343" t="s">
        <v>338</v>
      </c>
      <c r="C16" s="358" t="str">
        <f>Thesis!C16</f>
        <v>N</v>
      </c>
      <c r="D16" s="351" t="s">
        <v>369</v>
      </c>
      <c r="E16" s="425">
        <f>Exchange_Rate</f>
        <v>1.1315830089569092</v>
      </c>
    </row>
    <row r="17" spans="1:6" x14ac:dyDescent="0.2">
      <c r="B17" s="343" t="s">
        <v>534</v>
      </c>
      <c r="C17" s="424">
        <f>Terminal_Growth</f>
        <v>0.02</v>
      </c>
      <c r="D17" s="351" t="s">
        <v>339</v>
      </c>
      <c r="E17" s="344" t="str">
        <f>Reporting_currency</f>
        <v>CNY</v>
      </c>
    </row>
    <row r="18" spans="1:6" x14ac:dyDescent="0.2">
      <c r="B18" s="343" t="str">
        <f>"预期股权价值 ("&amp;C7&amp;") :"</f>
        <v>预期股权价值 (HKD) :</v>
      </c>
      <c r="C18" s="359">
        <f>C125</f>
        <v>11.532763326181085</v>
      </c>
      <c r="D18" s="350" t="s">
        <v>362</v>
      </c>
      <c r="E18" s="426">
        <f>Thesis!E18</f>
        <v>6</v>
      </c>
    </row>
    <row r="19" spans="1:6" x14ac:dyDescent="0.2">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5.9031516383650837</v>
      </c>
      <c r="D22" s="365" t="s">
        <v>440</v>
      </c>
      <c r="E22" s="366">
        <f>Thesis!E22</f>
        <v>0.29465259038036606</v>
      </c>
    </row>
    <row r="23" spans="1:6" x14ac:dyDescent="0.2">
      <c r="B23" s="343" t="s">
        <v>341</v>
      </c>
      <c r="C23" s="367">
        <f>E141</f>
        <v>7.3382105844185963</v>
      </c>
      <c r="D23" s="365" t="s">
        <v>441</v>
      </c>
      <c r="E23" s="368">
        <f>Thesis!E23</f>
        <v>0.20075184365903009</v>
      </c>
    </row>
    <row r="24" spans="1:6" x14ac:dyDescent="0.2">
      <c r="B24" s="343" t="s">
        <v>343</v>
      </c>
      <c r="C24" s="367">
        <f>E144</f>
        <v>9.0421658277011385</v>
      </c>
      <c r="D24" s="365" t="s">
        <v>443</v>
      </c>
      <c r="E24" s="368">
        <f>Thesis!E24</f>
        <v>0.1174</v>
      </c>
    </row>
    <row r="25" spans="1:6" x14ac:dyDescent="0.2">
      <c r="B25" s="343" t="s">
        <v>342</v>
      </c>
      <c r="C25" s="367">
        <f>E145</f>
        <v>10.188678459731804</v>
      </c>
      <c r="D25" s="365" t="s">
        <v>442</v>
      </c>
      <c r="E25" s="368">
        <f>Thesis!E25</f>
        <v>7.2499999999999995E-2</v>
      </c>
    </row>
    <row r="27" spans="1:6" ht="16" x14ac:dyDescent="0.25">
      <c r="A27" s="345" t="s">
        <v>345</v>
      </c>
      <c r="B27" s="345"/>
      <c r="C27" s="345"/>
      <c r="D27" s="345"/>
      <c r="E27" s="345"/>
      <c r="F27" s="345"/>
    </row>
    <row r="29" spans="1:6" x14ac:dyDescent="0.2">
      <c r="B29" s="471" t="s">
        <v>498</v>
      </c>
      <c r="C29" s="471"/>
      <c r="D29" s="471"/>
      <c r="E29" s="471"/>
      <c r="F29" s="471"/>
    </row>
    <row r="30" spans="1:6" ht="24.5" customHeight="1" x14ac:dyDescent="0.2">
      <c r="B30" s="472" t="s">
        <v>499</v>
      </c>
      <c r="C30" s="472"/>
      <c r="D30" s="472"/>
      <c r="E30" s="472"/>
      <c r="F30" s="472"/>
    </row>
    <row r="32" spans="1:6" x14ac:dyDescent="0.2">
      <c r="B32" s="369" t="s">
        <v>371</v>
      </c>
      <c r="C32" s="370">
        <f>scaling_factor</f>
        <v>1000000</v>
      </c>
    </row>
    <row r="33" spans="2:6" x14ac:dyDescent="0.2">
      <c r="B33" s="470" t="s">
        <v>500</v>
      </c>
      <c r="C33" s="470"/>
      <c r="D33" s="470"/>
      <c r="E33" s="470"/>
      <c r="F33" s="470"/>
    </row>
    <row r="34" spans="2:6" x14ac:dyDescent="0.2">
      <c r="B34" s="372" t="s">
        <v>197</v>
      </c>
      <c r="C34" s="373">
        <f>Normalized_FCF!C8</f>
        <v>16063</v>
      </c>
      <c r="D34" s="343" t="str">
        <f>Reporting_currency</f>
        <v>CNY</v>
      </c>
    </row>
    <row r="35" spans="2:6" x14ac:dyDescent="0.2">
      <c r="B35" s="372"/>
      <c r="C35" s="374"/>
    </row>
    <row r="36" spans="2:6" ht="24.5" customHeight="1" x14ac:dyDescent="0.2">
      <c r="B36" s="470" t="s">
        <v>501</v>
      </c>
      <c r="C36" s="470"/>
      <c r="D36" s="470"/>
      <c r="E36" s="470"/>
      <c r="F36" s="470"/>
    </row>
    <row r="37" spans="2:6" x14ac:dyDescent="0.2">
      <c r="B37" s="372" t="s">
        <v>199</v>
      </c>
      <c r="C37" s="373">
        <f>Normalized_FCF!C15</f>
        <v>0</v>
      </c>
      <c r="D37" s="343" t="str">
        <f>Reporting_currency</f>
        <v>CNY</v>
      </c>
    </row>
    <row r="38" spans="2:6" x14ac:dyDescent="0.2">
      <c r="B38" s="375" t="s">
        <v>200</v>
      </c>
      <c r="C38" s="373">
        <f>Normalized_FCF!C16</f>
        <v>0</v>
      </c>
      <c r="D38" s="343" t="str">
        <f>Reporting_currency</f>
        <v>CNY</v>
      </c>
    </row>
    <row r="40" spans="2:6" x14ac:dyDescent="0.2">
      <c r="B40" s="470" t="s">
        <v>502</v>
      </c>
      <c r="C40" s="470"/>
      <c r="D40" s="470"/>
      <c r="E40" s="470"/>
      <c r="F40" s="470"/>
    </row>
    <row r="41" spans="2:6" x14ac:dyDescent="0.2">
      <c r="B41" s="372" t="s">
        <v>202</v>
      </c>
      <c r="C41" s="373">
        <f>Normalized_FCF!C9</f>
        <v>291.16000000000003</v>
      </c>
      <c r="D41" s="343" t="str">
        <f>Reporting_currency</f>
        <v>CNY</v>
      </c>
    </row>
    <row r="43" spans="2:6" x14ac:dyDescent="0.2">
      <c r="B43" s="470" t="s">
        <v>503</v>
      </c>
      <c r="C43" s="470"/>
      <c r="D43" s="470"/>
      <c r="E43" s="470"/>
      <c r="F43" s="470"/>
    </row>
    <row r="44" spans="2:6" x14ac:dyDescent="0.2">
      <c r="B44" s="372" t="s">
        <v>267</v>
      </c>
      <c r="C44" s="376">
        <f>Normalized_FCF!C46</f>
        <v>87.038628341441509</v>
      </c>
      <c r="D44" s="343" t="str">
        <f>Reporting_currency</f>
        <v>CNY</v>
      </c>
      <c r="E44" s="371"/>
      <c r="F44" s="371"/>
    </row>
    <row r="45" spans="2:6" x14ac:dyDescent="0.2">
      <c r="B45" s="372" t="s">
        <v>268</v>
      </c>
      <c r="C45" s="376">
        <f>Normalized_FCF!C45</f>
        <v>-803</v>
      </c>
      <c r="D45" s="343" t="str">
        <f>Reporting_currency</f>
        <v>CNY</v>
      </c>
      <c r="E45" s="371"/>
      <c r="F45" s="371"/>
    </row>
    <row r="46" spans="2:6" x14ac:dyDescent="0.2">
      <c r="B46" s="372" t="s">
        <v>203</v>
      </c>
      <c r="C46" s="373">
        <f>Normalized_FCF!C10</f>
        <v>-715.96137165855851</v>
      </c>
      <c r="D46" s="343" t="str">
        <f>Reporting_currency</f>
        <v>CNY</v>
      </c>
    </row>
    <row r="48" spans="2:6" x14ac:dyDescent="0.2">
      <c r="B48" s="343" t="s">
        <v>504</v>
      </c>
    </row>
    <row r="49" spans="2:6" x14ac:dyDescent="0.2">
      <c r="B49" s="372" t="s">
        <v>223</v>
      </c>
      <c r="C49" s="373">
        <f>Normalized_FCF!C13</f>
        <v>-6281.6063376994261</v>
      </c>
      <c r="D49" s="343" t="str">
        <f>Reporting_currency</f>
        <v>CNY</v>
      </c>
    </row>
    <row r="51" spans="2:6" x14ac:dyDescent="0.2">
      <c r="B51" s="470" t="s">
        <v>505</v>
      </c>
      <c r="C51" s="470"/>
      <c r="D51" s="470"/>
      <c r="E51" s="470"/>
      <c r="F51" s="470"/>
    </row>
    <row r="52" spans="2:6" x14ac:dyDescent="0.2">
      <c r="B52" s="372" t="s">
        <v>496</v>
      </c>
      <c r="C52" s="373">
        <f>Normalized_FCF!C12</f>
        <v>-3909.5496570853602</v>
      </c>
      <c r="D52" s="343" t="str">
        <f>Reporting_currency</f>
        <v>CNY</v>
      </c>
    </row>
    <row r="54" spans="2:6" x14ac:dyDescent="0.2">
      <c r="B54" s="470" t="s">
        <v>506</v>
      </c>
      <c r="C54" s="473"/>
      <c r="D54" s="473"/>
      <c r="E54" s="473"/>
      <c r="F54" s="473"/>
    </row>
    <row r="55" spans="2:6" x14ac:dyDescent="0.2">
      <c r="B55" s="372" t="s">
        <v>207</v>
      </c>
      <c r="C55" s="373">
        <f>Normalized_FCF!C17</f>
        <v>0</v>
      </c>
      <c r="D55" s="343" t="str">
        <f>Reporting_currency</f>
        <v>CNY</v>
      </c>
    </row>
    <row r="57" spans="2:6" x14ac:dyDescent="0.2">
      <c r="B57" s="471" t="s">
        <v>507</v>
      </c>
      <c r="C57" s="471"/>
      <c r="D57" s="471"/>
      <c r="E57" s="471"/>
      <c r="F57" s="471"/>
    </row>
    <row r="58" spans="2:6" x14ac:dyDescent="0.2">
      <c r="B58" s="471" t="s">
        <v>508</v>
      </c>
      <c r="C58" s="471"/>
      <c r="D58" s="471"/>
      <c r="E58" s="471"/>
      <c r="F58" s="471"/>
    </row>
    <row r="60" spans="2:6" x14ac:dyDescent="0.2">
      <c r="B60" s="372" t="s">
        <v>372</v>
      </c>
      <c r="C60" s="373">
        <f>Normalized_FCF!G19</f>
        <v>10035.132190286105</v>
      </c>
      <c r="D60" s="343" t="str">
        <f>Reporting_currency</f>
        <v>CNY</v>
      </c>
    </row>
    <row r="61" spans="2:6" x14ac:dyDescent="0.2">
      <c r="B61" s="372" t="s">
        <v>213</v>
      </c>
      <c r="C61" s="373">
        <f>Normalized_FCF!C19</f>
        <v>5447.0426335566535</v>
      </c>
      <c r="D61" s="343" t="str">
        <f>Reporting_currency</f>
        <v>CNY</v>
      </c>
    </row>
    <row r="62" spans="2:6" x14ac:dyDescent="0.2">
      <c r="B62" s="377" t="s">
        <v>302</v>
      </c>
      <c r="C62" s="378">
        <f>Normalized_FCF!C124</f>
        <v>8.6180567737079425E-2</v>
      </c>
      <c r="F62" s="379"/>
    </row>
    <row r="63" spans="2:6" x14ac:dyDescent="0.2">
      <c r="B63" s="377" t="s">
        <v>332</v>
      </c>
      <c r="C63" s="378">
        <f>Normalized_FCF!C92</f>
        <v>3.8936867167764254E-2</v>
      </c>
      <c r="E63" s="372" t="s">
        <v>373</v>
      </c>
      <c r="F63" s="380">
        <f>Normalized_FCF!C90</f>
        <v>0.56806177058735774</v>
      </c>
    </row>
    <row r="65" spans="1:6" x14ac:dyDescent="0.2">
      <c r="B65" s="369" t="s">
        <v>376</v>
      </c>
      <c r="C65" s="381" t="s">
        <v>327</v>
      </c>
      <c r="D65" s="381" t="s">
        <v>374</v>
      </c>
    </row>
    <row r="66" spans="1:6" x14ac:dyDescent="0.2">
      <c r="B66" s="372" t="s">
        <v>326</v>
      </c>
      <c r="C66" s="378">
        <f>Normalized_FCF!E119</f>
        <v>0.17172001831973296</v>
      </c>
      <c r="D66" s="378">
        <f>Normalized_FCF!G119</f>
        <v>0.18349071232799782</v>
      </c>
    </row>
    <row r="67" spans="1:6" x14ac:dyDescent="0.2">
      <c r="B67" s="382" t="str">
        <f>Normalized_FCF!B116</f>
        <v>Pre-tax Profit/Sales</v>
      </c>
      <c r="C67" s="383">
        <f>Normalized_FCF!E116</f>
        <v>8.3606164410580511E-2</v>
      </c>
      <c r="D67" s="383">
        <f>Normalized_FCF!G116</f>
        <v>8.9337019718604541E-2</v>
      </c>
    </row>
    <row r="68" spans="1:6" x14ac:dyDescent="0.2">
      <c r="B68" s="382" t="str">
        <f>Normalized_FCF!B117</f>
        <v>Sales/Total Assets</v>
      </c>
      <c r="C68" s="384">
        <f>Normalized_FCF!E117</f>
        <v>1.3282158707615834</v>
      </c>
      <c r="D68" s="384">
        <f>Normalized_FCF!G117</f>
        <v>1.3282158707615834</v>
      </c>
    </row>
    <row r="69" spans="1:6" x14ac:dyDescent="0.2">
      <c r="B69" s="382" t="str">
        <f>Normalized_FCF!B118</f>
        <v>Total Assets/Equity</v>
      </c>
      <c r="C69" s="384">
        <f>Normalized_FCF!E118</f>
        <v>1.5463719418456539</v>
      </c>
      <c r="D69" s="384">
        <f>Normalized_FCF!G118</f>
        <v>1.5463719418456539</v>
      </c>
    </row>
    <row r="71" spans="1:6" ht="16" x14ac:dyDescent="0.25">
      <c r="A71" s="345" t="s">
        <v>476</v>
      </c>
      <c r="B71" s="345"/>
      <c r="C71" s="345"/>
      <c r="D71" s="345"/>
      <c r="E71" s="345"/>
      <c r="F71" s="345"/>
    </row>
    <row r="72" spans="1:6" x14ac:dyDescent="0.2">
      <c r="A72" s="385"/>
    </row>
    <row r="73" spans="1:6" x14ac:dyDescent="0.2">
      <c r="A73" s="386"/>
      <c r="B73" s="471" t="s">
        <v>509</v>
      </c>
      <c r="C73" s="471"/>
      <c r="D73" s="471"/>
      <c r="E73" s="471"/>
      <c r="F73" s="471"/>
    </row>
    <row r="74" spans="1:6" x14ac:dyDescent="0.2">
      <c r="B74" s="472" t="s">
        <v>479</v>
      </c>
      <c r="C74" s="472"/>
      <c r="D74" s="472"/>
      <c r="E74" s="472"/>
      <c r="F74" s="472"/>
    </row>
    <row r="76" spans="1:6" x14ac:dyDescent="0.2">
      <c r="B76" s="369" t="s">
        <v>371</v>
      </c>
    </row>
    <row r="77" spans="1:6" x14ac:dyDescent="0.2">
      <c r="B77" s="471" t="s">
        <v>510</v>
      </c>
      <c r="C77" s="471"/>
      <c r="D77" s="471"/>
      <c r="E77" s="471"/>
      <c r="F77" s="471"/>
    </row>
    <row r="78" spans="1:6" x14ac:dyDescent="0.2">
      <c r="B78" s="343" t="s">
        <v>215</v>
      </c>
      <c r="C78" s="373">
        <f>DCF!F4</f>
        <v>-20425</v>
      </c>
      <c r="D78" s="343" t="str">
        <f>Reporting_currency</f>
        <v>CNY</v>
      </c>
    </row>
    <row r="79" spans="1:6" x14ac:dyDescent="0.2">
      <c r="B79" s="372" t="s">
        <v>234</v>
      </c>
      <c r="C79" s="387">
        <f>C78*scaling_factor*Exchange_Rate/Common_Shares</f>
        <v>-2.6692588348097637</v>
      </c>
      <c r="D79" s="343" t="str">
        <f>Market_currency</f>
        <v>HKD</v>
      </c>
    </row>
    <row r="80" spans="1:6" x14ac:dyDescent="0.2">
      <c r="B80" s="382" t="s">
        <v>309</v>
      </c>
      <c r="C80" s="388">
        <f>IF(BS!G31/BS!G27&gt;300%,"nm",BS!G31/BS!G27)</f>
        <v>0.22428295339746124</v>
      </c>
    </row>
    <row r="81" spans="1:6" x14ac:dyDescent="0.2">
      <c r="B81" s="382" t="s">
        <v>311</v>
      </c>
      <c r="C81" s="389">
        <f>IF(BS!C50&gt;30,"nm",BS!C50)</f>
        <v>1.2715557492373779</v>
      </c>
    </row>
    <row r="83" spans="1:6" x14ac:dyDescent="0.2">
      <c r="B83" s="343" t="s">
        <v>511</v>
      </c>
    </row>
    <row r="84" spans="1:6" x14ac:dyDescent="0.2">
      <c r="B84" s="343" t="s">
        <v>224</v>
      </c>
      <c r="C84" s="373">
        <f>DCF!F5</f>
        <v>28368.561943093082</v>
      </c>
      <c r="D84" s="343" t="str">
        <f>Reporting_currency</f>
        <v>CNY</v>
      </c>
    </row>
    <row r="85" spans="1:6" x14ac:dyDescent="0.2">
      <c r="B85" s="382" t="s">
        <v>481</v>
      </c>
      <c r="C85" s="390">
        <f>BS!C66</f>
        <v>42875</v>
      </c>
      <c r="D85" s="391" t="str">
        <f>Reporting_currency</f>
        <v>CNY</v>
      </c>
    </row>
    <row r="86" spans="1:6" x14ac:dyDescent="0.2">
      <c r="B86" s="372" t="s">
        <v>235</v>
      </c>
      <c r="C86" s="387">
        <f>C84*scaling_factor*Exchange_Rate/Common_Shares</f>
        <v>3.7073701149301956</v>
      </c>
      <c r="D86" s="343" t="str">
        <f>Market_currency</f>
        <v>HKD</v>
      </c>
    </row>
    <row r="88" spans="1:6" x14ac:dyDescent="0.2">
      <c r="B88" s="343" t="s">
        <v>512</v>
      </c>
    </row>
    <row r="89" spans="1:6" x14ac:dyDescent="0.2">
      <c r="B89" s="343" t="s">
        <v>217</v>
      </c>
      <c r="C89" s="373">
        <f>DCF!F6</f>
        <v>174</v>
      </c>
      <c r="D89" s="343" t="str">
        <f>Reporting_currency</f>
        <v>CNY</v>
      </c>
    </row>
    <row r="90" spans="1:6" x14ac:dyDescent="0.2">
      <c r="B90" s="372" t="s">
        <v>236</v>
      </c>
      <c r="C90" s="387">
        <f>C89*scaling_factor*Exchange_Rate/Common_Shares</f>
        <v>2.2739340869370812E-2</v>
      </c>
      <c r="D90" s="343" t="str">
        <f>Market_currency</f>
        <v>HKD</v>
      </c>
    </row>
    <row r="92" spans="1:6" x14ac:dyDescent="0.2">
      <c r="B92" s="372" t="s">
        <v>480</v>
      </c>
      <c r="C92" s="387">
        <f>DCF!F8</f>
        <v>1.0608506209898028</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1" t="s">
        <v>513</v>
      </c>
      <c r="C96" s="471"/>
      <c r="D96" s="471"/>
      <c r="E96" s="471"/>
      <c r="F96" s="471"/>
    </row>
    <row r="97" spans="1:6" x14ac:dyDescent="0.2">
      <c r="A97" s="385"/>
      <c r="B97" s="472" t="s">
        <v>514</v>
      </c>
      <c r="C97" s="472"/>
      <c r="D97" s="472"/>
      <c r="E97" s="472"/>
      <c r="F97" s="472"/>
    </row>
    <row r="98" spans="1:6" x14ac:dyDescent="0.2">
      <c r="A98" s="385"/>
      <c r="B98" s="472" t="s">
        <v>515</v>
      </c>
      <c r="C98" s="472"/>
      <c r="D98" s="472"/>
      <c r="E98" s="472"/>
      <c r="F98" s="472"/>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534</v>
      </c>
      <c r="C104" s="368">
        <v>0</v>
      </c>
    </row>
    <row r="105" spans="1:6" x14ac:dyDescent="0.2">
      <c r="A105" s="385"/>
      <c r="C105" s="392"/>
    </row>
    <row r="106" spans="1:6" x14ac:dyDescent="0.2">
      <c r="A106" s="385"/>
      <c r="B106" s="393" t="s">
        <v>375</v>
      </c>
      <c r="C106" s="392"/>
    </row>
    <row r="107" spans="1:6" x14ac:dyDescent="0.2">
      <c r="A107" s="385"/>
      <c r="B107" s="471" t="s">
        <v>516</v>
      </c>
      <c r="C107" s="471"/>
      <c r="D107" s="471"/>
      <c r="E107" s="471"/>
      <c r="F107" s="471"/>
    </row>
    <row r="108" spans="1:6" x14ac:dyDescent="0.2">
      <c r="A108" s="385"/>
      <c r="B108" s="471" t="s">
        <v>535</v>
      </c>
      <c r="C108" s="471"/>
      <c r="D108" s="471"/>
      <c r="E108" s="471"/>
      <c r="F108" s="471"/>
    </row>
    <row r="109" spans="1:6" x14ac:dyDescent="0.2">
      <c r="A109" s="385"/>
    </row>
    <row r="110" spans="1:6" x14ac:dyDescent="0.2">
      <c r="A110" s="385"/>
      <c r="B110" s="369" t="s">
        <v>489</v>
      </c>
    </row>
    <row r="111" spans="1:6" x14ac:dyDescent="0.2">
      <c r="A111" s="385"/>
      <c r="B111" s="375" t="s">
        <v>486</v>
      </c>
      <c r="C111" s="394">
        <f>BS!D47</f>
        <v>-2.9862635425501813</v>
      </c>
      <c r="D111" s="343" t="str">
        <f>Market_currency</f>
        <v>HKD</v>
      </c>
    </row>
    <row r="112" spans="1:6" x14ac:dyDescent="0.2">
      <c r="A112" s="385"/>
      <c r="B112" s="372" t="s">
        <v>377</v>
      </c>
      <c r="C112" s="394">
        <f>DCF!C11</f>
        <v>14.89110813143631</v>
      </c>
      <c r="D112" s="343" t="str">
        <f>Market_currency</f>
        <v>HKD</v>
      </c>
    </row>
    <row r="113" spans="1:6" x14ac:dyDescent="0.2">
      <c r="A113" s="385"/>
    </row>
    <row r="114" spans="1:6" x14ac:dyDescent="0.2">
      <c r="A114" s="385"/>
      <c r="B114" s="471" t="s">
        <v>517</v>
      </c>
      <c r="C114" s="471"/>
      <c r="D114" s="471"/>
      <c r="E114" s="471"/>
      <c r="F114" s="471"/>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0.06</v>
      </c>
      <c r="D118" s="397">
        <f>DCF!D90</f>
        <v>5</v>
      </c>
      <c r="E118" s="398" t="str">
        <f>ROUND(DCF!E90,2)&amp;" "&amp;Market_currency</f>
        <v>13.94 HKD</v>
      </c>
      <c r="F118" s="399">
        <f>DCF!F90</f>
        <v>0.1</v>
      </c>
    </row>
    <row r="119" spans="1:6" x14ac:dyDescent="0.2">
      <c r="A119" s="385"/>
      <c r="B119" s="400" t="str">
        <f>DCF!B91</f>
        <v>Optimistic</v>
      </c>
      <c r="C119" s="401">
        <f>DCF!C91</f>
        <v>0.04</v>
      </c>
      <c r="D119" s="402">
        <f>DCF!D91</f>
        <v>5</v>
      </c>
      <c r="E119" s="398" t="str">
        <f>ROUND(DCF!E91,2)&amp;" "&amp;Market_currency</f>
        <v>12.9 HKD</v>
      </c>
      <c r="F119" s="403">
        <f>DCF!F91</f>
        <v>8.0000000000000029E-2</v>
      </c>
    </row>
    <row r="120" spans="1:6" x14ac:dyDescent="0.2">
      <c r="B120" s="400" t="str">
        <f>DCF!B92</f>
        <v>Base</v>
      </c>
      <c r="C120" s="401">
        <f>DCF!C92</f>
        <v>0.02</v>
      </c>
      <c r="D120" s="402">
        <f>DCF!D92</f>
        <v>5</v>
      </c>
      <c r="E120" s="398" t="str">
        <f>ROUND(DCF!E92,2)&amp;" "&amp;Market_currency</f>
        <v>11.92 HKD</v>
      </c>
      <c r="F120" s="403">
        <f>DCF!F92</f>
        <v>0.48</v>
      </c>
    </row>
    <row r="121" spans="1:6" x14ac:dyDescent="0.2">
      <c r="B121" s="400" t="str">
        <f>DCF!B93</f>
        <v>Pessimistic</v>
      </c>
      <c r="C121" s="401">
        <f>DCF!C93</f>
        <v>0</v>
      </c>
      <c r="D121" s="402">
        <f>DCF!D93</f>
        <v>5</v>
      </c>
      <c r="E121" s="398" t="str">
        <f>ROUND(DCF!E93,2)&amp;" "&amp;Market_currency</f>
        <v>11.02 HKD</v>
      </c>
      <c r="F121" s="403">
        <f>DCF!F93</f>
        <v>0.24</v>
      </c>
    </row>
    <row r="122" spans="1:6" x14ac:dyDescent="0.2">
      <c r="B122" s="400" t="str">
        <f>DCF!B94</f>
        <v>Devil's advocate</v>
      </c>
      <c r="C122" s="401">
        <f>DCF!C94</f>
        <v>-0.1</v>
      </c>
      <c r="D122" s="402">
        <f>DCF!D94</f>
        <v>5</v>
      </c>
      <c r="E122" s="398" t="str">
        <f>ROUND(DCF!E94,2)&amp;" "&amp;Market_currency</f>
        <v>7.4 HKD</v>
      </c>
      <c r="F122" s="403">
        <f>DCF!F94</f>
        <v>0.1</v>
      </c>
    </row>
    <row r="124" spans="1:6" x14ac:dyDescent="0.2">
      <c r="B124" s="470" t="s">
        <v>518</v>
      </c>
      <c r="C124" s="470"/>
      <c r="D124" s="470"/>
      <c r="E124" s="470"/>
      <c r="F124" s="470"/>
    </row>
    <row r="125" spans="1:6" x14ac:dyDescent="0.2">
      <c r="B125" s="372" t="s">
        <v>218</v>
      </c>
      <c r="C125" s="404">
        <f>Scenarios!C36</f>
        <v>11.532763326181085</v>
      </c>
      <c r="D125" s="343" t="str">
        <f>Market_currency</f>
        <v>HKD</v>
      </c>
    </row>
    <row r="127" spans="1:6" x14ac:dyDescent="0.2">
      <c r="B127" s="475" t="s">
        <v>519</v>
      </c>
      <c r="C127" s="475"/>
      <c r="D127" s="475"/>
      <c r="E127" s="475"/>
      <c r="F127" s="475"/>
    </row>
    <row r="129" spans="1:6" ht="16" x14ac:dyDescent="0.25">
      <c r="A129" s="345" t="s">
        <v>492</v>
      </c>
      <c r="B129" s="345"/>
      <c r="C129" s="345"/>
      <c r="D129" s="345"/>
      <c r="E129" s="345"/>
      <c r="F129" s="345"/>
    </row>
    <row r="131" spans="1:6" x14ac:dyDescent="0.2">
      <c r="B131" s="476" t="s">
        <v>520</v>
      </c>
      <c r="C131" s="476"/>
      <c r="D131" s="476"/>
      <c r="E131" s="476"/>
      <c r="F131" s="476"/>
    </row>
    <row r="132" spans="1:6" ht="24.5" customHeight="1" x14ac:dyDescent="0.2">
      <c r="B132" s="471" t="s">
        <v>521</v>
      </c>
      <c r="C132" s="471"/>
      <c r="D132" s="471"/>
      <c r="E132" s="471"/>
      <c r="F132" s="471"/>
    </row>
    <row r="134" spans="1:6" x14ac:dyDescent="0.2">
      <c r="B134" s="369" t="s">
        <v>371</v>
      </c>
    </row>
    <row r="135" spans="1:6" x14ac:dyDescent="0.2">
      <c r="B135" s="343" t="s">
        <v>382</v>
      </c>
      <c r="C135" s="405">
        <f>E21</f>
        <v>3</v>
      </c>
    </row>
    <row r="136" spans="1:6" x14ac:dyDescent="0.2">
      <c r="B136" s="343" t="s">
        <v>383</v>
      </c>
      <c r="C136" s="406">
        <f>Scenarios!C58</f>
        <v>0.32161852280573272</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0.58851416086227837</v>
      </c>
      <c r="D140" s="409">
        <f>Scenarios!D62</f>
        <v>5.3146374775028056</v>
      </c>
      <c r="E140" s="410">
        <f>Scenarios!E62</f>
        <v>5.9031516383650837</v>
      </c>
      <c r="F140" s="411">
        <f>E22</f>
        <v>0.29465259038036606</v>
      </c>
    </row>
    <row r="141" spans="1:6" x14ac:dyDescent="0.2">
      <c r="B141" s="408" t="s">
        <v>313</v>
      </c>
      <c r="C141" s="409">
        <f>Scenarios!C63</f>
        <v>0.67668664149811164</v>
      </c>
      <c r="D141" s="409">
        <f>Scenarios!D63</f>
        <v>6.6615239429204847</v>
      </c>
      <c r="E141" s="410">
        <f>Scenarios!E63</f>
        <v>7.3382105844185963</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0.77593785348088151</v>
      </c>
      <c r="D144" s="409">
        <f>Scenarios!D66</f>
        <v>8.2662279742202571</v>
      </c>
      <c r="E144" s="410">
        <f>Scenarios!E66</f>
        <v>9.0421658277011385</v>
      </c>
      <c r="F144" s="411">
        <f>E24</f>
        <v>0.1174</v>
      </c>
    </row>
    <row r="145" spans="1:6" x14ac:dyDescent="0.2">
      <c r="B145" s="408" t="s">
        <v>314</v>
      </c>
      <c r="C145" s="409">
        <f>Scenarios!C67</f>
        <v>0.84018826157767579</v>
      </c>
      <c r="D145" s="409">
        <f>Scenarios!D67</f>
        <v>9.3484901981541277</v>
      </c>
      <c r="E145" s="410">
        <f>Scenarios!E67</f>
        <v>10.188678459731804</v>
      </c>
      <c r="F145" s="411">
        <f>Scenarios!F67</f>
        <v>7.2499999999999995E-2</v>
      </c>
    </row>
    <row r="147" spans="1:6" ht="16" x14ac:dyDescent="0.25">
      <c r="A147" s="345" t="s">
        <v>475</v>
      </c>
      <c r="B147" s="345"/>
      <c r="C147" s="345"/>
      <c r="D147" s="345"/>
      <c r="E147" s="345"/>
      <c r="F147" s="345"/>
    </row>
    <row r="149" spans="1:6" x14ac:dyDescent="0.2">
      <c r="B149" s="477" t="s">
        <v>522</v>
      </c>
      <c r="C149" s="471"/>
      <c r="D149" s="471"/>
      <c r="E149" s="471"/>
      <c r="F149" s="471"/>
    </row>
    <row r="151" spans="1:6" x14ac:dyDescent="0.2">
      <c r="B151" s="369" t="s">
        <v>384</v>
      </c>
    </row>
    <row r="152" spans="1:6" x14ac:dyDescent="0.2">
      <c r="B152" s="473" t="s">
        <v>523</v>
      </c>
      <c r="C152" s="473"/>
      <c r="D152" s="473"/>
      <c r="E152" s="473"/>
      <c r="F152" s="473"/>
    </row>
    <row r="153" spans="1:6" x14ac:dyDescent="0.2">
      <c r="B153" s="412" t="s">
        <v>385</v>
      </c>
    </row>
    <row r="154" spans="1:6" x14ac:dyDescent="0.2">
      <c r="B154" s="412" t="s">
        <v>386</v>
      </c>
    </row>
    <row r="155" spans="1:6" x14ac:dyDescent="0.2">
      <c r="B155" s="412" t="s">
        <v>387</v>
      </c>
    </row>
    <row r="157" spans="1:6" x14ac:dyDescent="0.2">
      <c r="B157" s="343" t="s">
        <v>524</v>
      </c>
    </row>
    <row r="158" spans="1:6" ht="24.5" customHeight="1" x14ac:dyDescent="0.2">
      <c r="B158" s="470" t="s">
        <v>439</v>
      </c>
      <c r="C158" s="470"/>
      <c r="D158" s="470"/>
      <c r="E158" s="470"/>
      <c r="F158" s="470"/>
    </row>
    <row r="160" spans="1:6" x14ac:dyDescent="0.2">
      <c r="B160" s="343" t="s">
        <v>525</v>
      </c>
    </row>
    <row r="161" spans="2:6" x14ac:dyDescent="0.2">
      <c r="B161" s="474" t="s">
        <v>388</v>
      </c>
      <c r="C161" s="474"/>
      <c r="D161" s="474"/>
      <c r="E161" s="474"/>
      <c r="F161" s="474"/>
    </row>
    <row r="162" spans="2:6" x14ac:dyDescent="0.2">
      <c r="B162" s="474" t="s">
        <v>389</v>
      </c>
      <c r="C162" s="474"/>
      <c r="D162" s="474"/>
      <c r="E162" s="474"/>
      <c r="F162" s="474"/>
    </row>
    <row r="164" spans="2:6" x14ac:dyDescent="0.2">
      <c r="B164" s="343" t="s">
        <v>526</v>
      </c>
    </row>
    <row r="165" spans="2:6" x14ac:dyDescent="0.2">
      <c r="B165" s="412" t="s">
        <v>390</v>
      </c>
    </row>
    <row r="166" spans="2:6" x14ac:dyDescent="0.2">
      <c r="B166" s="412" t="s">
        <v>391</v>
      </c>
    </row>
    <row r="167" spans="2:6" x14ac:dyDescent="0.2">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