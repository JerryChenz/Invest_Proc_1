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CC7774-FA17-45F9-89F7-595E9B75B243}" xr6:coauthVersionLast="47" xr6:coauthVersionMax="47" xr10:uidLastSave="{00000000-0000-0000-0000-000000000000}"/>
  <bookViews>
    <workbookView xWindow="1103" yWindow="1103"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63" i="6" l="1"/>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<sst xmlns="http://schemas.openxmlformats.org/spreadsheetml/2006/main" count="766" uniqueCount="555">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</sst>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6.85</v>
      </c>
      <c r="E8" s="32"/>
    </row>
    <row r="9" spans="1:9">
      <c r="B9" s="4" t="s">
        <v>346</v>
      </c>
      <c r="C9" s="48">
        <v>8658801708</v>
      </c>
    </row>
    <row r="10" spans="1:9">
      <c r="B10" s="4" t="s">
        <v>352</v>
      </c>
      <c r="C10" s="33">
        <f>Thesis!C8*Common_Shares/1000000</f>
        <v>59312.791699799993</v>
      </c>
      <c r="D10" s="1" t="s">
        <v>530</v>
      </c>
      <c r="E10" s="310">
        <f>Scenarios!F34</f>
        <v>0.19723548810142041</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1.09355365</v>
      </c>
    </row>
    <row r="17" spans="1:6">
      <c r="B17" s="1" t="s">
        <v>534</v>
      </c>
      <c r="C17" s="423">
        <v>0</v>
      </c>
      <c r="D17" s="4" t="s">
        <v>274</v>
      </c>
      <c r="E17" s="227" t="s">
        <v>545</v>
      </c>
    </row>
    <row r="18" spans="1:6">
      <c r="B18" s="1" t="str">
        <f>"Expected Equity Value ("&amp;C7&amp;") :"</f>
        <v>Expected Equity Value (HKD) :</v>
      </c>
      <c r="C18" s="258">
        <f>C125</f>
        <v>10.626752176805129</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5.4658566548794374</v>
      </c>
      <c r="D22" s="38" t="s">
        <v>408</v>
      </c>
      <c r="E22" s="79">
        <v>0.29465259038036606</v>
      </c>
    </row>
    <row r="23" spans="1:6">
      <c r="B23" s="1" t="s">
        <v>313</v>
      </c>
      <c r="C23" s="262">
        <f>E141</f>
        <v>6.7921412879786383</v>
      </c>
      <c r="D23" s="38" t="s">
        <v>409</v>
      </c>
      <c r="E23" s="451">
        <v>0.20075184365903009</v>
      </c>
    </row>
    <row r="24" spans="1:6">
      <c r="B24" s="1" t="s">
        <v>315</v>
      </c>
      <c r="C24" s="262">
        <f>E144</f>
        <v>8.366695806169254</v>
      </c>
      <c r="D24" s="38" t="s">
        <v>410</v>
      </c>
      <c r="E24" s="451">
        <v>0.1174</v>
      </c>
    </row>
    <row r="25" spans="1:6">
      <c r="B25" s="1" t="s">
        <v>314</v>
      </c>
      <c r="C25" s="262">
        <f>E145</f>
        <v>9.4260268971938039</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16063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291.16000000000003</v>
      </c>
      <c r="D41" s="1" t="str">
        <f>Reporting_currency</f>
        <v>CNY</v>
      </c>
    </row>
    <row r="43" spans="2:6">
      <c r="B43" s="462" t="s">
        <v>205</v>
      </c>
      <c r="C43" s="462"/>
      <c r="D43" s="462"/>
      <c r="E43" s="462"/>
      <c r="F43" s="462"/>
    </row>
    <row r="44" spans="2:6">
      <c r="B44" s="44" t="s">
        <v>267</v>
      </c>
      <c r="C44" s="293">
        <f>Normalized_FCF!C46</f>
        <v>86.986633659139486</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-716.01336634086056</v>
      </c>
      <c r="D46" s="1" t="str">
        <f>Reporting_currency</f>
        <v>CNY</v>
      </c>
    </row>
    <row r="48" spans="2:6">
      <c r="B48" s="1" t="s">
        <v>211</v>
      </c>
    </row>
    <row r="49" spans="2:6">
      <c r="B49" s="44" t="s">
        <v>223</v>
      </c>
      <c r="C49" s="292">
        <f>Normalized_FCF!C13</f>
        <v>-6281.6063376994261</v>
      </c>
      <c r="D49" s="1" t="str">
        <f>Reporting_currency</f>
        <v>CNY</v>
      </c>
    </row>
    <row r="51" spans="2:6">
      <c r="B51" s="462" t="s">
        <v>206</v>
      </c>
      <c r="C51" s="462"/>
      <c r="D51" s="462"/>
      <c r="E51" s="462"/>
      <c r="F51" s="462"/>
    </row>
    <row r="52" spans="2:6">
      <c r="B52" s="44" t="s">
        <v>204</v>
      </c>
      <c r="C52" s="292">
        <f>Normalized_FCF!C12</f>
        <v>-3909.5366584147851</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10034.938561887098</v>
      </c>
      <c r="D60" s="1" t="str">
        <f>Reporting_currency</f>
        <v>CNY</v>
      </c>
    </row>
    <row r="61" spans="2:6">
      <c r="B61" s="44" t="s">
        <v>213</v>
      </c>
      <c r="C61" s="292">
        <f>Normalized_FCF!C19</f>
        <v>5447.003637544929</v>
      </c>
      <c r="D61" s="1" t="str">
        <f>Reporting_currency</f>
        <v>CNY</v>
      </c>
    </row>
    <row r="62" spans="2:6">
      <c r="B62" s="206" t="s">
        <v>302</v>
      </c>
      <c r="C62" s="89">
        <f>Normalized_FCF!C124</f>
        <v>0.10042674672183101</v>
      </c>
      <c r="F62" s="263"/>
    </row>
    <row r="63" spans="2:6">
      <c r="B63" s="206" t="s">
        <v>332</v>
      </c>
      <c r="C63" s="89">
        <f>Normalized_FCF!C92</f>
        <v>4.5373696117226275E-2</v>
      </c>
      <c r="E63" s="44" t="s">
        <v>322</v>
      </c>
      <c r="F63" s="264">
        <f>Normalized_FCF!C90</f>
        <v>0.54897472395056712</v>
      </c>
    </row>
    <row r="65" spans="1:6">
      <c r="B65" s="192" t="s">
        <v>325</v>
      </c>
      <c r="C65" s="270" t="s">
        <v>327</v>
      </c>
      <c r="D65" s="270" t="s">
        <v>328</v>
      </c>
    </row>
    <row r="66" spans="1:6">
      <c r="B66" s="44" t="s">
        <v>326</v>
      </c>
      <c r="C66" s="89">
        <f>Normalized_FCF!C119</f>
        <v>0.17171944737623687</v>
      </c>
      <c r="D66" s="89">
        <f>Normalized_FCF!G119</f>
        <v>0.18348858613219901</v>
      </c>
    </row>
    <row r="67" spans="1:6">
      <c r="B67" s="232" t="str">
        <f>Normalized_FCF!B116</f>
        <v>Pre-tax Profit/Sales</v>
      </c>
      <c r="C67" s="269">
        <f>Normalized_FCF!C116</f>
        <v>8.360588643253071E-2</v>
      </c>
      <c r="D67" s="269">
        <f>Normalized_FCF!G116</f>
        <v>8.9335984527266543E-2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-20425</v>
      </c>
      <c r="D78" s="1" t="str">
        <f>Reporting_currency</f>
        <v>CNY</v>
      </c>
    </row>
    <row r="79" spans="1:6">
      <c r="A79" s="191"/>
      <c r="B79" s="44" t="s">
        <v>234</v>
      </c>
      <c r="C79" s="203">
        <f>C78*scaling_factor*Exchange_Rate/Common_Shares</f>
        <v>-2.5795524663203202</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28377.227723476753</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3.5838701474383265</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2.1975134841602725E-2</v>
      </c>
      <c r="D90" s="1" t="str">
        <f>Market_currency</f>
        <v>HKD</v>
      </c>
    </row>
    <row r="91" spans="1:6">
      <c r="A91" s="191"/>
    </row>
    <row r="92" spans="1:6">
      <c r="A92" s="191"/>
      <c r="B92" s="44" t="s">
        <v>472</v>
      </c>
      <c r="C92" s="219">
        <f>DCF!F8</f>
        <v>1.0262928159596092</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-2.8859035271552376</v>
      </c>
      <c r="D111" s="1" t="str">
        <f>Market_currency</f>
        <v>HKD</v>
      </c>
    </row>
    <row r="112" spans="2:6">
      <c r="B112" s="44" t="s">
        <v>323</v>
      </c>
      <c r="C112" s="219">
        <f>DCF!C11</f>
        <v>10.514888885539504</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12.41 HKD</v>
      </c>
      <c r="F118" s="211">
        <f>DCF!F82</f>
        <v>0.1</v>
      </c>
    </row>
    <row r="119" spans="2:6">
      <c r="B119" s="198" t="str">
        <f>DCF!B83</f>
        <v>Optimistic</v>
      </c>
      <c r="C119" s="199">
        <f>DCF!C83</f>
        <v>0.02</v>
      </c>
      <c r="D119" s="200">
        <f>DCF!D83</f>
        <v>5</v>
      </c>
      <c r="E119" s="210" t="str">
        <f>ROUND(DCF!E83,2)&amp;" "&amp;Market_currency</f>
        <v>11.43 HKD</v>
      </c>
      <c r="F119" s="201">
        <f>DCF!F83</f>
        <v>8.0000000000000029E-2</v>
      </c>
    </row>
    <row r="120" spans="2:6">
      <c r="B120" s="198" t="str">
        <f>DCF!B84</f>
        <v>Base</v>
      </c>
      <c r="C120" s="199">
        <f>DCF!C84</f>
        <v>0.01</v>
      </c>
      <c r="D120" s="200">
        <f>DCF!D84</f>
        <v>5</v>
      </c>
      <c r="E120" s="210" t="str">
        <f>ROUND(DCF!E84,2)&amp;" "&amp;Market_currency</f>
        <v>10.96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6.87 HKD</v>
      </c>
      <c r="F122" s="201">
        <f>DCF!F86</f>
        <v>0.1</v>
      </c>
    </row>
    <row r="124" spans="2:6">
      <c r="B124" s="462" t="s">
        <v>357</v>
      </c>
      <c r="C124" s="462"/>
      <c r="D124" s="462"/>
      <c r="E124" s="462"/>
      <c r="F124" s="462"/>
    </row>
    <row r="125" spans="2:6">
      <c r="B125" s="193" t="s">
        <v>218</v>
      </c>
      <c r="C125" s="197">
        <f>Scenarios!C36</f>
        <v>10.626752176805129</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0.31080981840299998</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0.56873583607522959</v>
      </c>
      <c r="D140" s="340">
        <f>Scenarios!D62</f>
        <v>4.8971208188042077</v>
      </c>
      <c r="E140" s="341">
        <f>Scenarios!E62</f>
        <v>5.4658566548794374</v>
      </c>
      <c r="F140" s="342">
        <f>E22</f>
        <v>0.29465259038036606</v>
      </c>
    </row>
    <row r="141" spans="1:6">
      <c r="B141" s="343" t="s">
        <v>313</v>
      </c>
      <c r="C141" s="340">
        <f>Scenarios!C63</f>
        <v>0.65394508476989732</v>
      </c>
      <c r="D141" s="340">
        <f>Scenarios!D63</f>
        <v>6.1381962032087412</v>
      </c>
      <c r="E141" s="341">
        <f>Scenarios!E63</f>
        <v>6.7921412879786383</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0.74986073945150167</v>
      </c>
      <c r="D144" s="340">
        <f>Scenarios!D66</f>
        <v>7.6168350667177531</v>
      </c>
      <c r="E144" s="341">
        <f>Scenarios!E66</f>
        <v>8.366695806169254</v>
      </c>
      <c r="F144" s="342">
        <f>E24</f>
        <v>0.1174</v>
      </c>
    </row>
    <row r="145" spans="1:6">
      <c r="B145" s="343" t="s">
        <v>314</v>
      </c>
      <c r="C145" s="340">
        <f>Scenarios!C67</f>
        <v>0.81195186995814095</v>
      </c>
      <c r="D145" s="340">
        <f>Scenarios!D67</f>
        <v>8.6140750272356623</v>
      </c>
      <c r="E145" s="341">
        <f>Scenarios!E67</f>
        <v>9.4260268971938039</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0.34534424266999997</v>
      </c>
      <c r="D25" s="37">
        <f>(0.2838)*Exchange_Rate</f>
        <v>0.31035052587</v>
      </c>
      <c r="E25" s="37">
        <f>0.2539*Exchange_Rate</f>
        <v>0.27765327173500004</v>
      </c>
      <c r="F25" s="37">
        <f>0.2078*Exchange_Rate</f>
        <v>0.22724044847000002</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0.34534424266999997</v>
      </c>
      <c r="D65" s="70">
        <f t="shared" ref="D65:M65" si="33">IF(D$4="","",D25)</f>
        <v>0.31035052587</v>
      </c>
      <c r="E65" s="70">
        <f t="shared" si="33"/>
        <v>0.27765327173500004</v>
      </c>
      <c r="F65" s="70">
        <f t="shared" si="33"/>
        <v>0.22724044847000002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8.4601743262602493</v>
      </c>
      <c r="D47" s="134">
        <f>D46*H1/Common_Shares*Exchange_Rate</f>
        <v>-2.8859035271552376</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28377.227723476753</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-14497.772276523247</v>
      </c>
      <c r="D73" s="292">
        <f>(Normalized_FCF!C26+Normalized_FCF!C35-Normalized_FCF!C89)/12</f>
        <v>-14497.772276523247</v>
      </c>
      <c r="F73" s="1" t="s">
        <v>278</v>
      </c>
    </row>
    <row r="74" spans="2:6" ht="15" customHeight="1">
      <c r="B74" s="230" t="s">
        <v>259</v>
      </c>
      <c r="C74" s="231">
        <f>-$C$66/C73</f>
        <v>2.957350907589368</v>
      </c>
      <c r="D74" s="231">
        <f>-$C$66/D73</f>
        <v>2.957350907589368</v>
      </c>
      <c r="F74" s="226" t="s">
        <v>257</v>
      </c>
    </row>
    <row r="75" spans="2:6" ht="15" customHeight="1">
      <c r="B75" s="77" t="s">
        <v>258</v>
      </c>
      <c r="C75" s="267"/>
      <c r="D75" s="268">
        <f>MAX(-D73*D76,G5)</f>
        <v>14497.772276523247</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22335.833301250001</v>
      </c>
      <c r="D86" s="203">
        <f>C86*scaling_factor/Common_Shares</f>
        <v>2.5795524663203202</v>
      </c>
      <c r="E86" s="217" t="str">
        <f>Market_currency</f>
        <v>HKD</v>
      </c>
    </row>
    <row r="87" spans="2:8" ht="15" customHeight="1">
      <c r="B87" s="215" t="s">
        <v>240</v>
      </c>
      <c r="C87" s="73">
        <f>DCF!F5*Exchange_Rate</f>
        <v>31032.020953889194</v>
      </c>
      <c r="D87" s="203">
        <f>C87*scaling_factor/Common_Shares</f>
        <v>3.5838701474383265</v>
      </c>
      <c r="E87" s="217" t="str">
        <f>Market_currency</f>
        <v>HKD</v>
      </c>
    </row>
    <row r="88" spans="2:8" ht="15" customHeight="1">
      <c r="B88" s="216" t="s">
        <v>159</v>
      </c>
      <c r="C88" s="73">
        <f>DCF!F6*Exchange_Rate</f>
        <v>190.27833510000002</v>
      </c>
      <c r="D88" s="203">
        <f>C88*scaling_factor/Common_Shares</f>
        <v>2.1975134841602729E-2</v>
      </c>
      <c r="E88" s="217" t="str">
        <f>Market_currency</f>
        <v>HKD</v>
      </c>
    </row>
    <row r="89" spans="2:8" ht="15" customHeight="1">
      <c r="B89" s="77" t="s">
        <v>244</v>
      </c>
      <c r="C89" s="162">
        <f>SUM(C86:C88)</f>
        <v>53558.132590239198</v>
      </c>
      <c r="D89" s="219">
        <f>SUM(D86:D88)</f>
        <v>6.1853977486002494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-716.01336634086056</v>
      </c>
      <c r="E10" s="241"/>
      <c r="G10" s="273">
        <f>G48</f>
        <v>-479.06143811290326</v>
      </c>
      <c r="H10" s="273">
        <f t="shared" ref="H10:Q10" si="6">H48</f>
        <v>-665.81779870378477</v>
      </c>
      <c r="I10" s="273">
        <f t="shared" si="6"/>
        <v>-608.53734377764499</v>
      </c>
      <c r="J10" s="273">
        <f t="shared" si="6"/>
        <v>-604.12369599345072</v>
      </c>
      <c r="K10" s="273">
        <f t="shared" si="6"/>
        <v>-596.41364778419427</v>
      </c>
      <c r="L10" s="273">
        <f t="shared" si="6"/>
        <v>-895.34951361475521</v>
      </c>
      <c r="M10" s="273">
        <f t="shared" si="6"/>
        <v>-1030.248563928295</v>
      </c>
      <c r="N10" s="273">
        <f t="shared" si="6"/>
        <v>-1073.6523626741364</v>
      </c>
      <c r="O10" s="273">
        <f t="shared" si="6"/>
        <v>-566.98897902025396</v>
      </c>
      <c r="P10" s="273">
        <f t="shared" si="6"/>
        <v>-500.91839621649609</v>
      </c>
      <c r="Q10" s="273" t="str">
        <f t="shared" si="6"/>
        <v/>
      </c>
    </row>
    <row r="11" spans="1:17" ht="15.75" customHeight="1">
      <c r="A11" s="10"/>
      <c r="B11" s="67" t="s">
        <v>137</v>
      </c>
      <c r="C11" s="274">
        <f>SUM(C8:C10)</f>
        <v>15638.14663365914</v>
      </c>
      <c r="E11" s="241"/>
      <c r="G11" s="274">
        <f t="shared" ref="G11:Q11" si="7">IF(G$4="","",SUM(G8:G10))</f>
        <v>16709.938561887098</v>
      </c>
      <c r="H11" s="274">
        <f t="shared" si="7"/>
        <v>17016.182201296215</v>
      </c>
      <c r="I11" s="274">
        <f t="shared" si="7"/>
        <v>16731.462656222357</v>
      </c>
      <c r="J11" s="274">
        <f t="shared" si="7"/>
        <v>14520.87630400655</v>
      </c>
      <c r="K11" s="274">
        <f t="shared" si="7"/>
        <v>11496.586352215805</v>
      </c>
      <c r="L11" s="274">
        <f t="shared" si="7"/>
        <v>20325.650486385246</v>
      </c>
      <c r="M11" s="274">
        <f t="shared" si="7"/>
        <v>19125.751436071703</v>
      </c>
      <c r="N11" s="274">
        <f t="shared" si="7"/>
        <v>16885.347637325864</v>
      </c>
      <c r="O11" s="274">
        <f t="shared" si="7"/>
        <v>17654.011020979746</v>
      </c>
      <c r="P11" s="274">
        <f t="shared" si="7"/>
        <v>11794.081603783505</v>
      </c>
      <c r="Q11" s="274" t="str">
        <f t="shared" si="7"/>
        <v/>
      </c>
    </row>
    <row r="12" spans="1:17" ht="15.75" customHeight="1">
      <c r="A12" s="10"/>
      <c r="B12" s="2" t="s">
        <v>60</v>
      </c>
      <c r="C12" s="273">
        <f>-C11*C41</f>
        <v>-3909.5366584147851</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5447.003637544929</v>
      </c>
      <c r="D14" s="58"/>
      <c r="E14" s="249"/>
      <c r="F14" s="58"/>
      <c r="G14" s="274">
        <f t="shared" ref="G14:Q14" si="8">IF(G$4="","",SUM(G11:G13))</f>
        <v>10034.938561887098</v>
      </c>
      <c r="H14" s="274">
        <f t="shared" si="8"/>
        <v>10105.182201296215</v>
      </c>
      <c r="I14" s="274">
        <f t="shared" si="8"/>
        <v>10567.462656222357</v>
      </c>
      <c r="J14" s="274">
        <f t="shared" si="8"/>
        <v>8501.8763040065496</v>
      </c>
      <c r="K14" s="274">
        <f t="shared" si="8"/>
        <v>5514.5863522158052</v>
      </c>
      <c r="L14" s="274">
        <f t="shared" si="8"/>
        <v>12231.650486385246</v>
      </c>
      <c r="M14" s="274">
        <f t="shared" si="8"/>
        <v>11774.751436071703</v>
      </c>
      <c r="N14" s="274">
        <f t="shared" si="8"/>
        <v>10165.347637325864</v>
      </c>
      <c r="O14" s="274">
        <f t="shared" si="8"/>
        <v>11198.011020979746</v>
      </c>
      <c r="P14" s="274">
        <f t="shared" si="8"/>
        <v>7004.0816037835048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5447.003637544929</v>
      </c>
      <c r="D19" s="26"/>
      <c r="E19" s="238"/>
      <c r="F19" s="26"/>
      <c r="G19" s="278">
        <f t="shared" ref="G19:Q19" si="9">IF(G$4="","",G14+G17)</f>
        <v>10034.938561887098</v>
      </c>
      <c r="H19" s="278">
        <f t="shared" si="9"/>
        <v>10105.182201296215</v>
      </c>
      <c r="I19" s="278">
        <f t="shared" si="9"/>
        <v>10567.462656222357</v>
      </c>
      <c r="J19" s="278">
        <f t="shared" si="9"/>
        <v>8501.8763040065496</v>
      </c>
      <c r="K19" s="278">
        <f t="shared" si="9"/>
        <v>5514.5863522158052</v>
      </c>
      <c r="L19" s="278">
        <f t="shared" si="9"/>
        <v>12231.650486385246</v>
      </c>
      <c r="M19" s="278">
        <f t="shared" si="9"/>
        <v>11774.751436071703</v>
      </c>
      <c r="N19" s="278">
        <f t="shared" si="9"/>
        <v>10165.347637325864</v>
      </c>
      <c r="O19" s="278">
        <f t="shared" si="9"/>
        <v>11198.011020979746</v>
      </c>
      <c r="P19" s="278">
        <f t="shared" si="9"/>
        <v>7004.0816037835048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0.18719398568792503</v>
      </c>
      <c r="H41" s="6">
        <f t="shared" si="16"/>
        <v>0.19616621169851639</v>
      </c>
      <c r="I41" s="6">
        <f t="shared" si="16"/>
        <v>0.19059899696300761</v>
      </c>
      <c r="J41" s="6">
        <f t="shared" si="16"/>
        <v>0.1858014587766702</v>
      </c>
      <c r="K41" s="6">
        <f t="shared" si="16"/>
        <v>0.20119015585475961</v>
      </c>
      <c r="L41" s="6">
        <f t="shared" si="16"/>
        <v>0.20043638961168264</v>
      </c>
      <c r="M41" s="6">
        <f t="shared" si="16"/>
        <v>0.19722100920363853</v>
      </c>
      <c r="N41" s="6">
        <f t="shared" si="16"/>
        <v>0.20911621577719589</v>
      </c>
      <c r="O41" s="6">
        <f t="shared" si="16"/>
        <v>0.20964074371550978</v>
      </c>
      <c r="P41" s="6">
        <f t="shared" si="16"/>
        <v>0.22104306953105043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86.986633659139486</v>
      </c>
      <c r="E46" s="241"/>
      <c r="G46" s="281">
        <f t="shared" ref="G46:Q46" si="17">IFERROR(IF(G$4="","",($C$46/$C$47)*G47),0)</f>
        <v>323.93856188709674</v>
      </c>
      <c r="H46" s="281">
        <f t="shared" si="17"/>
        <v>294.18220129621517</v>
      </c>
      <c r="I46" s="281">
        <f t="shared" si="17"/>
        <v>290.46265622235501</v>
      </c>
      <c r="J46" s="281">
        <f t="shared" si="17"/>
        <v>178.87630400654925</v>
      </c>
      <c r="K46" s="281">
        <f t="shared" si="17"/>
        <v>111.58635221580576</v>
      </c>
      <c r="L46" s="281">
        <f t="shared" si="17"/>
        <v>92.65048638524479</v>
      </c>
      <c r="M46" s="281">
        <f t="shared" si="17"/>
        <v>99.751436071705143</v>
      </c>
      <c r="N46" s="281">
        <f t="shared" si="17"/>
        <v>71.347637325863687</v>
      </c>
      <c r="O46" s="281">
        <f t="shared" si="17"/>
        <v>118.01102097974609</v>
      </c>
      <c r="P46" s="281">
        <f t="shared" si="17"/>
        <v>76.081603783503923</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-716.01336634086056</v>
      </c>
      <c r="E48" s="241"/>
      <c r="G48" s="274">
        <f>IF(G$4="","",(G45+G46))</f>
        <v>-479.06143811290326</v>
      </c>
      <c r="H48" s="274">
        <f t="shared" ref="H48:Q48" si="18">IF(H$4="","",(H45+H46))</f>
        <v>-665.81779870378477</v>
      </c>
      <c r="I48" s="274">
        <f t="shared" si="18"/>
        <v>-608.53734377764499</v>
      </c>
      <c r="J48" s="274">
        <f t="shared" si="18"/>
        <v>-604.12369599345072</v>
      </c>
      <c r="K48" s="274">
        <f t="shared" si="18"/>
        <v>-596.41364778419427</v>
      </c>
      <c r="L48" s="274">
        <f t="shared" si="18"/>
        <v>-895.34951361475521</v>
      </c>
      <c r="M48" s="274">
        <f t="shared" si="18"/>
        <v>-1030.248563928295</v>
      </c>
      <c r="N48" s="274">
        <f t="shared" si="18"/>
        <v>-1073.6523626741364</v>
      </c>
      <c r="O48" s="274">
        <f t="shared" si="18"/>
        <v>-566.98897902025396</v>
      </c>
      <c r="P48" s="274">
        <f t="shared" si="18"/>
        <v>-500.91839621649609</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3.8280068343662017E-3</v>
      </c>
      <c r="D76" s="26"/>
      <c r="E76" s="238"/>
      <c r="F76" s="26"/>
      <c r="G76" s="6">
        <f t="shared" ref="G76:Q76" si="28">IF(G$4="","",ABS(G10/G$4))</f>
        <v>2.5611958454759966E-3</v>
      </c>
      <c r="H76" s="6">
        <f t="shared" si="28"/>
        <v>3.7541741302918727E-3</v>
      </c>
      <c r="I76" s="6">
        <f t="shared" si="28"/>
        <v>3.5391600973435828E-3</v>
      </c>
      <c r="J76" s="6">
        <f t="shared" si="28"/>
        <v>4.36042423144096E-3</v>
      </c>
      <c r="K76" s="6">
        <f t="shared" si="28"/>
        <v>5.4591138551060795E-3</v>
      </c>
      <c r="L76" s="6">
        <f t="shared" si="28"/>
        <v>7.9015604000843252E-3</v>
      </c>
      <c r="M76" s="6">
        <f t="shared" si="28"/>
        <v>9.7681669093419455E-3</v>
      </c>
      <c r="N76" s="6">
        <f t="shared" si="28"/>
        <v>1.2103492014904701E-2</v>
      </c>
      <c r="O76" s="6">
        <f t="shared" si="28"/>
        <v>6.9244642170471406E-3</v>
      </c>
      <c r="P76" s="6">
        <f t="shared" si="28"/>
        <v>1.2029451651413177E-2</v>
      </c>
      <c r="Q76" s="6" t="str">
        <f t="shared" si="28"/>
        <v/>
      </c>
    </row>
    <row r="77" spans="1:17" ht="15.75" customHeight="1">
      <c r="A77" s="10"/>
      <c r="B77" s="67" t="s">
        <v>137</v>
      </c>
      <c r="C77" s="75">
        <f>C11/C4</f>
        <v>8.360588643253071E-2</v>
      </c>
      <c r="D77" s="26"/>
      <c r="E77" s="238"/>
      <c r="F77" s="26"/>
      <c r="G77" s="62">
        <f t="shared" ref="G77:Q77" si="29">IF(G$4="","",G11/G$4)</f>
        <v>8.9335984527266543E-2</v>
      </c>
      <c r="H77" s="62">
        <f t="shared" si="29"/>
        <v>9.5944733139913474E-2</v>
      </c>
      <c r="I77" s="62">
        <f t="shared" si="29"/>
        <v>9.73076272287626E-2</v>
      </c>
      <c r="J77" s="62">
        <f t="shared" si="29"/>
        <v>0.10480830551369968</v>
      </c>
      <c r="K77" s="62">
        <f t="shared" si="29"/>
        <v>0.10523094847841946</v>
      </c>
      <c r="L77" s="62">
        <f t="shared" si="29"/>
        <v>0.17937615707275639</v>
      </c>
      <c r="M77" s="62">
        <f t="shared" si="29"/>
        <v>0.18133830886575997</v>
      </c>
      <c r="N77" s="62">
        <f t="shared" si="29"/>
        <v>0.19035180976851468</v>
      </c>
      <c r="O77" s="62">
        <f t="shared" si="29"/>
        <v>0.21560307541315241</v>
      </c>
      <c r="P77" s="62">
        <f t="shared" si="29"/>
        <v>0.2832324296674793</v>
      </c>
      <c r="Q77" s="62" t="str">
        <f t="shared" si="29"/>
        <v/>
      </c>
    </row>
    <row r="78" spans="1:17" ht="15.75" customHeight="1">
      <c r="A78" s="10"/>
      <c r="B78" s="2" t="s">
        <v>60</v>
      </c>
      <c r="C78" s="74">
        <f>ABS(C12/C$4)</f>
        <v>2.0901471608132677E-2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2.9121198194801967E-2</v>
      </c>
      <c r="D80" s="26"/>
      <c r="E80" s="238"/>
      <c r="F80" s="26"/>
      <c r="G80" s="62">
        <f t="shared" ref="G80:Q80" si="32">IF(G$4="","",ABS(G14/G$4))</f>
        <v>5.3649575836356288E-2</v>
      </c>
      <c r="H80" s="62">
        <f t="shared" si="32"/>
        <v>5.6977469926227854E-2</v>
      </c>
      <c r="I80" s="62">
        <f t="shared" si="32"/>
        <v>6.1458746197729244E-2</v>
      </c>
      <c r="J80" s="62">
        <f t="shared" si="32"/>
        <v>6.1364564400575611E-2</v>
      </c>
      <c r="K80" s="62">
        <f t="shared" si="32"/>
        <v>5.0476300923706009E-2</v>
      </c>
      <c r="L80" s="62">
        <f t="shared" si="32"/>
        <v>0.10794569454859765</v>
      </c>
      <c r="M80" s="62">
        <f t="shared" si="32"/>
        <v>0.11164076454035937</v>
      </c>
      <c r="N80" s="62">
        <f t="shared" si="32"/>
        <v>0.11459594207072649</v>
      </c>
      <c r="O80" s="62">
        <f t="shared" si="32"/>
        <v>0.13675790797708587</v>
      </c>
      <c r="P80" s="62">
        <f t="shared" si="32"/>
        <v>0.16820157065832964</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2.9121198194801967E-2</v>
      </c>
      <c r="D85" s="72"/>
      <c r="E85" s="238"/>
      <c r="F85" s="72"/>
      <c r="G85" s="62">
        <f t="shared" ref="G85:Q85" si="35">IF(G$4="","",ABS(G19/G$4))</f>
        <v>5.3649575836356288E-2</v>
      </c>
      <c r="H85" s="62">
        <f t="shared" si="35"/>
        <v>5.6977469926227854E-2</v>
      </c>
      <c r="I85" s="62">
        <f t="shared" si="35"/>
        <v>6.1458746197729244E-2</v>
      </c>
      <c r="J85" s="62">
        <f t="shared" si="35"/>
        <v>6.1364564400575611E-2</v>
      </c>
      <c r="K85" s="62">
        <f t="shared" si="35"/>
        <v>5.0476300923706009E-2</v>
      </c>
      <c r="L85" s="62">
        <f t="shared" si="35"/>
        <v>0.10794569454859765</v>
      </c>
      <c r="M85" s="62">
        <f t="shared" si="35"/>
        <v>0.11164076454035937</v>
      </c>
      <c r="N85" s="62">
        <f t="shared" si="35"/>
        <v>0.11459594207072649</v>
      </c>
      <c r="O85" s="62">
        <f t="shared" si="35"/>
        <v>0.13675790797708587</v>
      </c>
      <c r="P85" s="62">
        <f t="shared" si="35"/>
        <v>0.16820157065832964</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0.34534424266999997</v>
      </c>
      <c r="E88" s="241"/>
      <c r="G88" s="109">
        <f>Data!C65</f>
        <v>0.34534424266999997</v>
      </c>
      <c r="H88" s="109">
        <f>Data!D65</f>
        <v>0.31035052587</v>
      </c>
      <c r="I88" s="109">
        <f>Data!E65</f>
        <v>0.27765327173500004</v>
      </c>
      <c r="J88" s="109">
        <f>Data!F65</f>
        <v>0.22724044847000002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2990.2673182789622</v>
      </c>
      <c r="E89" s="241"/>
      <c r="G89" s="71">
        <f t="shared" ref="G89:Q89" si="36">IF(G$4="","",G88*Common_Shares/scaling_factor)</f>
        <v>2990.2673182789622</v>
      </c>
      <c r="H89" s="71">
        <f t="shared" si="36"/>
        <v>2687.2636634818546</v>
      </c>
      <c r="I89" s="71">
        <f t="shared" si="36"/>
        <v>2404.1446235308067</v>
      </c>
      <c r="J89" s="71">
        <f t="shared" si="36"/>
        <v>1967.6299833387222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0.54897472395056712</v>
      </c>
      <c r="E90" s="241"/>
      <c r="G90" s="152">
        <f t="shared" ref="G90:Q90" si="37">IF(G$4="","",G88/(G19*scaling_factor/Common_Shares))</f>
        <v>0.29798561294994458</v>
      </c>
      <c r="H90" s="152">
        <f t="shared" si="37"/>
        <v>0.26592926381249737</v>
      </c>
      <c r="I90" s="152">
        <f t="shared" si="37"/>
        <v>0.22750443524067648</v>
      </c>
      <c r="J90" s="152">
        <f t="shared" si="37"/>
        <v>0.23143479309519796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4.5373696117226275E-2</v>
      </c>
      <c r="E92" s="241"/>
      <c r="G92" s="22">
        <f t="shared" ref="G92:Q92" si="38">IF(G$4="","",(G88*(1-dividend_tax_rate))/Market_Price)</f>
        <v>4.5373696117226275E-2</v>
      </c>
      <c r="H92" s="22">
        <f t="shared" si="38"/>
        <v>4.0775981501167888E-2</v>
      </c>
      <c r="I92" s="22">
        <f t="shared" si="38"/>
        <v>3.6479991906788328E-2</v>
      </c>
      <c r="J92" s="22">
        <f t="shared" si="38"/>
        <v>2.9856409288029202E-2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-6.4140985573253873E-2</v>
      </c>
      <c r="D96" s="26"/>
      <c r="E96" s="238"/>
      <c r="F96" s="26"/>
      <c r="G96" s="6">
        <f t="shared" ref="G96:Q96" si="40">IF(H5="","",G11/H11-1)</f>
        <v>-1.7997200299476601E-2</v>
      </c>
      <c r="H96" s="6">
        <f t="shared" si="40"/>
        <v>1.7017014646234285E-2</v>
      </c>
      <c r="I96" s="6">
        <f t="shared" si="40"/>
        <v>0.15223505151723304</v>
      </c>
      <c r="J96" s="6">
        <f t="shared" si="40"/>
        <v>0.26305982133625738</v>
      </c>
      <c r="K96" s="6">
        <f t="shared" si="40"/>
        <v>-0.43438039732521339</v>
      </c>
      <c r="L96" s="6">
        <f t="shared" si="40"/>
        <v>6.2737354624953445E-2</v>
      </c>
      <c r="M96" s="6">
        <f t="shared" si="40"/>
        <v>0.13268330903613257</v>
      </c>
      <c r="N96" s="6">
        <f t="shared" si="40"/>
        <v>-4.3540438642550638E-2</v>
      </c>
      <c r="O96" s="6">
        <f t="shared" si="40"/>
        <v>0.49685338918770872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1.2470430110582269</v>
      </c>
      <c r="H113" s="257">
        <f>IF(H$4="","",Data!D$22/H19)</f>
        <v>1.4258030892458182</v>
      </c>
      <c r="I113" s="257">
        <f>IF(I$4="","",Data!E$22/I19)</f>
        <v>1.407149519591083</v>
      </c>
      <c r="J113" s="257">
        <f>IF(J$4="","",Data!F$22/J19)</f>
        <v>1.4114531393905299</v>
      </c>
      <c r="K113" s="257">
        <f>IF(K$4="","",Data!G$22/K19)</f>
        <v>3.0352231211819789</v>
      </c>
      <c r="L113" s="257">
        <f>IF(L$4="","",Data!H$22/L19)</f>
        <v>1.3150310350924288</v>
      </c>
      <c r="M113" s="257">
        <f>IF(M$4="","",Data!I$22/M19)</f>
        <v>1.4452959022018685</v>
      </c>
      <c r="N113" s="257">
        <f>IF(N$4="","",Data!J$22/N19)</f>
        <v>1.3070876151064255</v>
      </c>
      <c r="O113" s="257">
        <f>IF(O$4="","",Data!K$22/O19)</f>
        <v>1.4064104750829292</v>
      </c>
      <c r="P113" s="257">
        <f>IF(P$4="","",Data!L$22/P19)</f>
        <v>1.9088869542550329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8.360588643253071E-2</v>
      </c>
      <c r="E116" s="241"/>
      <c r="G116" s="22">
        <f t="shared" ref="G116:Q116" si="44">IF(G4="","",G77)</f>
        <v>8.9335984527266543E-2</v>
      </c>
      <c r="H116" s="22">
        <f t="shared" si="44"/>
        <v>9.5944733139913474E-2</v>
      </c>
      <c r="I116" s="22">
        <f t="shared" si="44"/>
        <v>9.73076272287626E-2</v>
      </c>
      <c r="J116" s="22">
        <f t="shared" si="44"/>
        <v>0.10480830551369968</v>
      </c>
      <c r="K116" s="22">
        <f t="shared" si="44"/>
        <v>0.10523094847841946</v>
      </c>
      <c r="L116" s="22">
        <f t="shared" si="44"/>
        <v>0.17937615707275639</v>
      </c>
      <c r="M116" s="22">
        <f t="shared" si="44"/>
        <v>0.18133830886575997</v>
      </c>
      <c r="N116" s="22">
        <f t="shared" si="44"/>
        <v>0.19035180976851468</v>
      </c>
      <c r="O116" s="22">
        <f t="shared" si="44"/>
        <v>0.21560307541315241</v>
      </c>
      <c r="P116" s="22">
        <f t="shared" si="44"/>
        <v>0.2832324296674793</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0.17171944737623687</v>
      </c>
      <c r="D119" s="100"/>
      <c r="E119" s="244"/>
      <c r="F119" s="100"/>
      <c r="G119" s="99">
        <f t="shared" ref="G119:Q119" si="47">IF(G$4="","",G11/G104)</f>
        <v>0.18348858613219901</v>
      </c>
      <c r="H119" s="99">
        <f t="shared" si="47"/>
        <v>0.19836310459294049</v>
      </c>
      <c r="I119" s="99">
        <f t="shared" si="47"/>
        <v>0.20732401497140537</v>
      </c>
      <c r="J119" s="99">
        <f t="shared" si="47"/>
        <v>0.19141424848086039</v>
      </c>
      <c r="K119" s="99">
        <f t="shared" si="47"/>
        <v>0.13601081727987277</v>
      </c>
      <c r="L119" s="99">
        <f t="shared" si="47"/>
        <v>0.25668561579068316</v>
      </c>
      <c r="M119" s="99">
        <f t="shared" si="47"/>
        <v>0.27285861038136933</v>
      </c>
      <c r="N119" s="99">
        <f t="shared" si="47"/>
        <v>0.25730053542591791</v>
      </c>
      <c r="O119" s="99">
        <f t="shared" si="47"/>
        <v>0.26626262795016431</v>
      </c>
      <c r="P119" s="99">
        <f t="shared" si="47"/>
        <v>0.16771061947249169</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0.68792321504454235</v>
      </c>
      <c r="D123" s="26"/>
      <c r="E123" s="238"/>
      <c r="F123" s="26"/>
      <c r="G123" s="159">
        <f t="shared" ref="G123:Q123" si="48">IF(G$4="","",G14*$C$3/Common_Shares*Exchange_Rate)</f>
        <v>1.2673513104865972</v>
      </c>
      <c r="H123" s="159">
        <f t="shared" si="48"/>
        <v>1.2762226521405071</v>
      </c>
      <c r="I123" s="159">
        <f t="shared" si="48"/>
        <v>1.334605843701653</v>
      </c>
      <c r="J123" s="159">
        <f t="shared" si="48"/>
        <v>1.0737349321101779</v>
      </c>
      <c r="K123" s="159">
        <f t="shared" si="48"/>
        <v>0.69645849819312899</v>
      </c>
      <c r="L123" s="159">
        <f t="shared" si="48"/>
        <v>1.5447825791590311</v>
      </c>
      <c r="M123" s="159">
        <f t="shared" si="48"/>
        <v>1.4870790260576494</v>
      </c>
      <c r="N123" s="159">
        <f t="shared" si="48"/>
        <v>1.2838211784023192</v>
      </c>
      <c r="O123" s="159">
        <f t="shared" si="48"/>
        <v>1.4142402422056513</v>
      </c>
      <c r="P123" s="159">
        <f t="shared" si="48"/>
        <v>0.88457263037202072</v>
      </c>
      <c r="Q123" s="159" t="str">
        <f t="shared" si="48"/>
        <v/>
      </c>
    </row>
    <row r="124" spans="1:17" ht="15.75" customHeight="1">
      <c r="A124" s="10"/>
      <c r="B124" s="26" t="s">
        <v>226</v>
      </c>
      <c r="C124" s="74">
        <f>C19*Exchange_Rate*$C$3/(Market_Price*Common_Shares)</f>
        <v>0.10042674672183101</v>
      </c>
      <c r="D124" s="26"/>
      <c r="E124" s="238"/>
      <c r="F124" s="26"/>
      <c r="G124" s="74">
        <f t="shared" ref="G124" si="49">IF(G$4="","",G123/Market_Price)</f>
        <v>0.18501478985205799</v>
      </c>
      <c r="H124" s="74">
        <f t="shared" ref="H124" si="50">IF(H$4="","",H123/Market_Price)</f>
        <v>0.18630987622489156</v>
      </c>
      <c r="I124" s="74">
        <f t="shared" ref="I124" si="51">IF(I$4="","",I123/Market_Price)</f>
        <v>0.194832969883453</v>
      </c>
      <c r="J124" s="74">
        <f t="shared" ref="J124" si="52">IF(J$4="","",J123/Market_Price)</f>
        <v>0.15674962512557342</v>
      </c>
      <c r="K124" s="74">
        <f t="shared" ref="K124" si="53">IF(K$4="","",K123/Market_Price)</f>
        <v>0.10167277345885095</v>
      </c>
      <c r="L124" s="74">
        <f t="shared" ref="L124" si="54">IF(L$4="","",L123/Market_Price)</f>
        <v>0.22551570498671988</v>
      </c>
      <c r="M124" s="74">
        <f t="shared" ref="M124" si="55">IF(M$4="","",M123/Market_Price)</f>
        <v>0.21709182862155468</v>
      </c>
      <c r="N124" s="74">
        <f t="shared" ref="N124" si="56">IF(N$4="","",N123/Market_Price)</f>
        <v>0.18741915013172544</v>
      </c>
      <c r="O124" s="74">
        <f t="shared" ref="O124" si="57">IF(O$4="","",O123/Market_Price)</f>
        <v>0.2064584295190732</v>
      </c>
      <c r="P124" s="74">
        <f t="shared" ref="P124" si="58">IF(P$4="","",P123/Market_Price)</f>
        <v>0.1291346905652585</v>
      </c>
      <c r="Q124" s="74" t="str">
        <f t="shared" ref="Q124" si="59">IF(Q$4="","",Q123/Market_Price)</f>
        <v/>
      </c>
    </row>
    <row r="125" spans="1:17" ht="15.75" customHeight="1">
      <c r="B125" s="2" t="s">
        <v>306</v>
      </c>
      <c r="C125" s="151"/>
      <c r="G125" s="22">
        <f>IF(G$4="","",(Data!C47*$C$3)/(Market_Price*Common_Shares))</f>
        <v>0.16028582920388923</v>
      </c>
      <c r="H125" s="22">
        <f>IF(H$4="","",(Data!D47*$C$3)/(Market_Price*Common_Shares))</f>
        <v>0.15603716727484956</v>
      </c>
      <c r="I125" s="22">
        <f>IF(I$4="","",(Data!E47*$C$3)/(Market_Price*Common_Shares))</f>
        <v>0.13830068969806492</v>
      </c>
      <c r="J125" s="22">
        <f>IF(J$4="","",(Data!F47*$C$3)/(Market_Price*Common_Shares))</f>
        <v>0.44403575089332392</v>
      </c>
      <c r="K125" s="22">
        <f>IF(K$4="","",(Data!G47*$C$3)/(Market_Price*Common_Shares))</f>
        <v>0.16407927735481748</v>
      </c>
      <c r="L125" s="22">
        <f>IF(L$4="","",(Data!H47*$C$3)/(Market_Price*Common_Shares))</f>
        <v>0.16136485445570881</v>
      </c>
      <c r="M125" s="22">
        <f>IF(M$4="","",(Data!I47*$C$3)/(Market_Price*Common_Shares))</f>
        <v>0.13846928739366174</v>
      </c>
      <c r="N125" s="22">
        <f>IF(N$4="","",(Data!J47*$C$3)/(Market_Price*Common_Shares))</f>
        <v>0.1340183082299059</v>
      </c>
      <c r="O125" s="22">
        <f>IF(O$4="","",(Data!K47*$C$3)/(Market_Price*Common_Shares))</f>
        <v>5.7559253276751633E-2</v>
      </c>
      <c r="P125" s="22">
        <f>IF(P$4="","",(Data!L47*$C$3)/(Market_Price*Common_Shares))</f>
        <v>3.9114665378460395E-2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5447.003637544929</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28377.227723476753</v>
      </c>
      <c r="G5" t="str">
        <f>Reporting_currency</f>
        <v>CNY</v>
      </c>
      <c r="H5" s="315" t="s">
        <v>396</v>
      </c>
      <c r="I5" s="312">
        <f>Normalized_FCF!C7</f>
        <v>-5830</v>
      </c>
      <c r="J5" s="312"/>
    </row>
    <row r="6" spans="2:15" ht="13.25" customHeight="1">
      <c r="B6" s="136" t="s">
        <v>194</v>
      </c>
      <c r="C6" s="290">
        <f>(C4*(1+Terminal_Growth))/(Equity_Cost-Terminal_Growth)</f>
        <v>75131.084655792132</v>
      </c>
      <c r="D6" t="str">
        <f>Reporting_currency</f>
        <v>CNY</v>
      </c>
      <c r="E6" s="187" t="s">
        <v>436</v>
      </c>
      <c r="F6" s="291">
        <f>BS!H42</f>
        <v>174</v>
      </c>
      <c r="G6" t="str">
        <f>Reporting_currency</f>
        <v>CNY</v>
      </c>
      <c r="H6" s="315" t="s">
        <v>418</v>
      </c>
      <c r="I6" s="312">
        <f>I7+I8</f>
        <v>-424.85336634086053</v>
      </c>
      <c r="J6" s="312"/>
      <c r="N6" s="135"/>
    </row>
    <row r="7" spans="2:15" ht="12.75" customHeight="1">
      <c r="B7" s="325" t="s">
        <v>433</v>
      </c>
      <c r="C7" s="282">
        <f>F7</f>
        <v>8126.2277234767535</v>
      </c>
      <c r="E7" s="140" t="s">
        <v>427</v>
      </c>
      <c r="F7" s="290">
        <f>SUM(F4:F6)</f>
        <v>8126.2277234767535</v>
      </c>
      <c r="G7" t="str">
        <f>Reporting_currency</f>
        <v>CNY</v>
      </c>
      <c r="H7" s="319" t="s">
        <v>419</v>
      </c>
      <c r="I7" s="320">
        <f>Normalized_FCF!C9</f>
        <v>291.16000000000003</v>
      </c>
      <c r="J7" s="320"/>
      <c r="N7" s="311"/>
      <c r="O7" s="311"/>
    </row>
    <row r="8" spans="2:15" ht="13.15">
      <c r="B8" s="136" t="s">
        <v>429</v>
      </c>
      <c r="C8" s="290">
        <f>C6+C7</f>
        <v>83257.312379268886</v>
      </c>
      <c r="D8" t="str">
        <f>Reporting_currency</f>
        <v>CNY</v>
      </c>
      <c r="E8" s="140" t="s">
        <v>467</v>
      </c>
      <c r="F8" s="108">
        <f>FV_adjustments*scaling_factor/Common_Shares*Exchange_Rate</f>
        <v>1.0262928159596092</v>
      </c>
      <c r="G8" s="301" t="str">
        <f>Market_currency</f>
        <v>HKD</v>
      </c>
      <c r="H8" s="321" t="str">
        <f>Normalized_FCF!B10</f>
        <v>Net Interest Income</v>
      </c>
      <c r="I8" s="320">
        <f>Normalized_FCF!C10</f>
        <v>-716.01336634086056</v>
      </c>
      <c r="J8" s="320"/>
      <c r="N8" s="311"/>
      <c r="O8" s="311"/>
    </row>
    <row r="9" spans="2:15" ht="13.15" thickBot="1">
      <c r="B9" s="189" t="str">
        <f>"*"&amp;Thesis!E15</f>
        <v>*CNY/HKD</v>
      </c>
      <c r="C9" s="190">
        <f>Exchange_Rate</f>
        <v>1.09355365</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91046.337841539673</v>
      </c>
      <c r="D10" t="str">
        <f>Market_currency</f>
        <v>HKD</v>
      </c>
      <c r="H10" s="315" t="s">
        <v>398</v>
      </c>
      <c r="I10" s="313">
        <f>Normalized_FCF!C41</f>
        <v>0.25</v>
      </c>
      <c r="N10" s="311"/>
      <c r="O10" s="311"/>
    </row>
    <row r="11" spans="2:15" ht="13.15">
      <c r="B11" s="136" t="s">
        <v>428</v>
      </c>
      <c r="C11" s="108">
        <f>(C10*scaling_factor)/Common_Shares</f>
        <v>10.514888885539504</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10.623824603364994</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15677.848150509186</v>
      </c>
      <c r="H21" s="306">
        <f t="shared" ref="H21:H50" si="2">IF(A21="",0%,IF(A21="I",$C$18,$F$18))</f>
        <v>0</v>
      </c>
      <c r="I21" s="284">
        <f>(G21*(1-$I$10)+C21*(H21-$I$9))</f>
        <v>5461.2540763801499</v>
      </c>
      <c r="J21" s="306">
        <f>I21/C4-1</f>
        <v>2.6161977820238214E-3</v>
      </c>
      <c r="K21" s="119">
        <f t="shared" ref="K21:K50" si="3">IF($C$15&lt;B21,0,1/(1+Equity_Cost)^B21)</f>
        <v>0.93240093240093236</v>
      </c>
      <c r="L21" s="284">
        <f t="shared" ref="L21:L50" si="4">I21*K21</f>
        <v>5092.0783928952442</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15717.64779413756</v>
      </c>
      <c r="H22" s="306">
        <f t="shared" si="2"/>
        <v>0</v>
      </c>
      <c r="I22" s="284">
        <f>IF(A22="", 0,G22*(1-$I$10)+C22*(H22-$I$9))</f>
        <v>5475.5397367827982</v>
      </c>
      <c r="J22" s="306">
        <f>IF(A22="", 0,I22/I21-1)</f>
        <v>2.6158205062154494E-3</v>
      </c>
      <c r="K22" s="119">
        <f t="shared" si="3"/>
        <v>0.86937149874212816</v>
      </c>
      <c r="L22" s="284">
        <f t="shared" si="4"/>
        <v>4760.2781873889389</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15757.545807075661</v>
      </c>
      <c r="H23" s="306">
        <f t="shared" si="2"/>
        <v>0</v>
      </c>
      <c r="I23" s="284">
        <f t="shared" ref="I23:I50" si="9">IF(A23="", 0,G23*(1-$I$10)+C23*(H23-$I$9))</f>
        <v>5489.860705806952</v>
      </c>
      <c r="J23" s="306">
        <f t="shared" ref="J23:J50" si="10">IF(A23="", 0,I23/I22-1)</f>
        <v>2.6154442689823032E-3</v>
      </c>
      <c r="K23" s="119">
        <f t="shared" si="3"/>
        <v>0.81060279602995633</v>
      </c>
      <c r="L23" s="284">
        <f t="shared" si="4"/>
        <v>4450.0964379421048</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15797.542432454335</v>
      </c>
      <c r="H24" s="306">
        <f t="shared" si="2"/>
        <v>0</v>
      </c>
      <c r="I24" s="284">
        <f t="shared" si="9"/>
        <v>5504.2170707218456</v>
      </c>
      <c r="J24" s="306">
        <f t="shared" si="10"/>
        <v>2.6150690671820076E-3</v>
      </c>
      <c r="K24" s="119">
        <f t="shared" si="3"/>
        <v>0.75580680282513402</v>
      </c>
      <c r="L24" s="284">
        <f t="shared" si="4"/>
        <v>4160.1247062778029</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15837.637914005354</v>
      </c>
      <c r="H25" s="306">
        <f t="shared" si="2"/>
        <v>0</v>
      </c>
      <c r="I25" s="284">
        <f t="shared" si="9"/>
        <v>5518.6089190124212</v>
      </c>
      <c r="J25" s="306">
        <f t="shared" si="10"/>
        <v>2.6146948976866202E-3</v>
      </c>
      <c r="K25" s="119">
        <f t="shared" si="3"/>
        <v>0.70471496766912267</v>
      </c>
      <c r="L25" s="284">
        <f t="shared" si="4"/>
        <v>3889.0463059403705</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15837.637914005354</v>
      </c>
      <c r="H51" s="306">
        <f>F18</f>
        <v>0</v>
      </c>
      <c r="I51" s="284">
        <f>(G51*(1-$I$10)+C51*(H51-$I$9))/Equity_Cost</f>
        <v>76118.743710516166</v>
      </c>
      <c r="J51" s="422">
        <f>(G51*(1-$I$10)+C51*(H51-$I$9))/VLOOKUP(C15,B21:I50,8,FALSE)-1</f>
        <v>0</v>
      </c>
      <c r="K51" s="119">
        <f>1/(1+Equity_Cost)^C15</f>
        <v>0.70471496766912267</v>
      </c>
      <c r="L51" s="284">
        <f>I51*K51</f>
        <v>53642.018012970635</v>
      </c>
    </row>
    <row r="52" spans="1:21" ht="13.15">
      <c r="G52" s="111"/>
      <c r="H52" s="111"/>
      <c r="I52" s="111"/>
      <c r="J52" s="467" t="s">
        <v>423</v>
      </c>
      <c r="K52" s="467"/>
      <c r="L52" s="324">
        <f>SUM(L21:L51)</f>
        <v>75993.642043415093</v>
      </c>
    </row>
    <row r="53" spans="1:21">
      <c r="C53" s="111"/>
    </row>
    <row r="54" spans="1:21" ht="13.15">
      <c r="B54" s="115" t="s">
        <v>108</v>
      </c>
      <c r="C54" s="128"/>
      <c r="D54" s="128"/>
      <c r="E54" s="113"/>
      <c r="F54" s="113"/>
      <c r="G54" s="113"/>
      <c r="H54" s="113"/>
      <c r="I54" s="113"/>
      <c r="J54" s="113"/>
      <c r="K54" s="113"/>
      <c r="L54" s="113"/>
    </row>
    <row r="55" spans="1:21" ht="13.15">
      <c r="A55" s="125">
        <f>L52</f>
        <v>75993.642043415093</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46261.782874363111</v>
      </c>
      <c r="C56" s="118">
        <v>75131.084655792074</v>
      </c>
      <c r="D56" s="118">
        <v>78670.18089171435</v>
      </c>
      <c r="E56" s="118">
        <v>82342.307707247703</v>
      </c>
      <c r="F56" s="118">
        <v>90101.126380300382</v>
      </c>
      <c r="G56" s="302"/>
      <c r="H56" s="302"/>
      <c r="I56" s="302"/>
      <c r="J56" s="302"/>
      <c r="K56" s="302"/>
      <c r="L56" s="302"/>
    </row>
    <row r="57" spans="1:21" ht="13.15">
      <c r="A57" s="131">
        <v>6</v>
      </c>
      <c r="B57" s="118">
        <v>42952.485198899849</v>
      </c>
      <c r="C57" s="118">
        <v>75131.084655792074</v>
      </c>
      <c r="D57" s="118">
        <v>79259.201047125011</v>
      </c>
      <c r="E57" s="118">
        <v>83579.833164259122</v>
      </c>
      <c r="F57" s="118">
        <v>92828.533531485285</v>
      </c>
      <c r="G57" s="302"/>
      <c r="H57" s="302"/>
      <c r="I57" s="302"/>
      <c r="J57" s="302"/>
      <c r="K57" s="302"/>
      <c r="L57" s="302"/>
    </row>
    <row r="58" spans="1:21" ht="13.15">
      <c r="A58" s="131">
        <v>7</v>
      </c>
      <c r="B58" s="118">
        <v>40175.4521845251</v>
      </c>
      <c r="C58" s="118">
        <v>75131.084655792074</v>
      </c>
      <c r="D58" s="118">
        <v>79813.896018653948</v>
      </c>
      <c r="E58" s="118">
        <v>84756.780452046252</v>
      </c>
      <c r="F58" s="118">
        <v>95473.291981119139</v>
      </c>
      <c r="G58" s="302"/>
      <c r="H58" s="302"/>
      <c r="I58" s="302"/>
      <c r="J58" s="302"/>
      <c r="K58" s="302"/>
      <c r="L58" s="302"/>
    </row>
    <row r="59" spans="1:21" ht="13.15">
      <c r="A59" s="131">
        <v>8</v>
      </c>
      <c r="B59" s="118">
        <v>37845.074829805009</v>
      </c>
      <c r="C59" s="118">
        <v>75131.084655792074</v>
      </c>
      <c r="D59" s="118">
        <v>80336.266108392156</v>
      </c>
      <c r="E59" s="118">
        <v>85876.114935536025</v>
      </c>
      <c r="F59" s="118">
        <v>98037.906235309521</v>
      </c>
      <c r="G59" s="302"/>
      <c r="H59" s="302"/>
      <c r="I59" s="302"/>
      <c r="J59" s="302"/>
      <c r="K59" s="302"/>
      <c r="L59" s="302"/>
    </row>
    <row r="60" spans="1:21" ht="13.15">
      <c r="A60" s="131">
        <v>9</v>
      </c>
      <c r="B60" s="118">
        <v>35889.513413256689</v>
      </c>
      <c r="C60" s="118">
        <v>75131.084655792074</v>
      </c>
      <c r="D60" s="118">
        <v>80828.195050709706</v>
      </c>
      <c r="E60" s="118">
        <v>86940.65682193196</v>
      </c>
      <c r="F60" s="118">
        <v>100524.80490603964</v>
      </c>
      <c r="G60" s="302"/>
      <c r="H60" s="302"/>
      <c r="I60" s="302"/>
      <c r="J60" s="302"/>
      <c r="K60" s="302"/>
      <c r="L60" s="302"/>
    </row>
    <row r="61" spans="1:21" ht="13.15">
      <c r="A61" s="131">
        <v>10</v>
      </c>
      <c r="B61" s="118">
        <v>34248.482853915433</v>
      </c>
      <c r="C61" s="118">
        <v>75131.084655792074</v>
      </c>
      <c r="D61" s="118">
        <v>81291.456805246504</v>
      </c>
      <c r="E61" s="118">
        <v>87953.088266336446</v>
      </c>
      <c r="F61" s="118">
        <v>102936.34301099004</v>
      </c>
      <c r="G61" s="302"/>
      <c r="H61" s="302"/>
      <c r="I61" s="302"/>
      <c r="J61" s="302"/>
      <c r="K61" s="302"/>
      <c r="L61" s="302"/>
    </row>
    <row r="62" spans="1:21" ht="13.15">
      <c r="A62" s="131">
        <v>15</v>
      </c>
      <c r="B62" s="118">
        <v>29249.422659320582</v>
      </c>
      <c r="C62" s="284">
        <v>75131.084655792074</v>
      </c>
      <c r="D62" s="118">
        <v>83232.937611877685</v>
      </c>
      <c r="E62" s="118">
        <v>92318.624910760904</v>
      </c>
      <c r="F62" s="118">
        <v>113941.17445959065</v>
      </c>
      <c r="G62" s="302"/>
      <c r="H62" s="302"/>
      <c r="I62" s="302"/>
      <c r="J62" s="302"/>
      <c r="K62" s="302"/>
      <c r="L62" s="302"/>
      <c r="M62" s="282"/>
      <c r="N62" s="282"/>
      <c r="O62" s="282"/>
      <c r="P62" s="282"/>
      <c r="Q62" s="282"/>
      <c r="R62" s="282"/>
      <c r="S62" s="282"/>
      <c r="T62" s="282"/>
      <c r="U62" s="282"/>
    </row>
    <row r="63" spans="1:21" ht="13.15">
      <c r="A63" s="132">
        <v>20</v>
      </c>
      <c r="B63" s="118">
        <v>27169.178031562464</v>
      </c>
      <c r="C63" s="284">
        <v>75131.084655792074</v>
      </c>
      <c r="D63" s="118">
        <v>84670.919665982859</v>
      </c>
      <c r="E63" s="118">
        <v>95715.284251312332</v>
      </c>
      <c r="F63" s="118">
        <v>123376.64553084144</v>
      </c>
      <c r="G63" s="302"/>
      <c r="H63" s="302"/>
      <c r="I63" s="302"/>
      <c r="J63" s="302"/>
      <c r="K63" s="302"/>
      <c r="L63" s="302"/>
      <c r="M63" s="282"/>
      <c r="N63" s="282"/>
      <c r="O63" s="282"/>
      <c r="P63" s="282"/>
      <c r="Q63" s="282"/>
      <c r="R63" s="282"/>
      <c r="S63" s="282"/>
      <c r="T63" s="282"/>
      <c r="U63" s="282"/>
    </row>
    <row r="64" spans="1:21" ht="13.15">
      <c r="A64" s="132">
        <v>25</v>
      </c>
      <c r="B64" s="118">
        <v>26303.53178149421</v>
      </c>
      <c r="C64" s="284">
        <v>75131.084655792074</v>
      </c>
      <c r="D64" s="118">
        <v>85735.979068509987</v>
      </c>
      <c r="E64" s="118">
        <v>98358.096719852751</v>
      </c>
      <c r="F64" s="118">
        <v>131466.55719847826</v>
      </c>
      <c r="G64" s="302"/>
      <c r="H64" s="302"/>
      <c r="I64" s="302"/>
      <c r="J64" s="302"/>
      <c r="K64" s="302"/>
      <c r="L64" s="302"/>
      <c r="M64" s="282"/>
      <c r="N64" s="282"/>
      <c r="O64" s="282"/>
      <c r="P64" s="282"/>
      <c r="Q64" s="282"/>
      <c r="R64" s="282"/>
      <c r="S64" s="282"/>
      <c r="T64" s="282"/>
      <c r="U64" s="282"/>
    </row>
    <row r="65" spans="1:21" ht="13.15">
      <c r="A65" s="132">
        <v>30</v>
      </c>
      <c r="B65" s="118">
        <v>25943.312882111783</v>
      </c>
      <c r="C65" s="284">
        <v>75131.084655792059</v>
      </c>
      <c r="D65" s="118">
        <v>86524.828642587119</v>
      </c>
      <c r="E65" s="118">
        <v>100414.36938178497</v>
      </c>
      <c r="F65" s="118">
        <v>138402.79496508831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10.514888885539504</v>
      </c>
      <c r="C69" s="119">
        <f>C11</f>
        <v>10.514888885539504</v>
      </c>
      <c r="D69" s="119">
        <f>C11</f>
        <v>10.514888885539504</v>
      </c>
      <c r="E69" s="119">
        <f>C11</f>
        <v>10.514888885539504</v>
      </c>
      <c r="F69" s="119">
        <f>C11</f>
        <v>10.514888885539504</v>
      </c>
      <c r="G69" s="303"/>
      <c r="H69" s="303"/>
      <c r="I69" s="303"/>
      <c r="J69" s="303"/>
      <c r="K69" s="303"/>
      <c r="L69" s="303"/>
    </row>
    <row r="70" spans="1:21" ht="13.15">
      <c r="A70" s="131">
        <f>A56</f>
        <v>5</v>
      </c>
      <c r="B70" s="119">
        <f t="shared" ref="B70:F74" si="11">(B56+FV_adjustments)/Common_Shares*scaling_factor*Exchange_Rate</f>
        <v>6.8688727968623517</v>
      </c>
      <c r="C70" s="119">
        <f t="shared" si="11"/>
        <v>10.514888885539497</v>
      </c>
      <c r="D70" s="119">
        <f t="shared" si="11"/>
        <v>10.961855075205019</v>
      </c>
      <c r="E70" s="119">
        <f t="shared" si="11"/>
        <v>11.425622212715423</v>
      </c>
      <c r="F70" s="119">
        <f t="shared" si="11"/>
        <v>12.405513514737709</v>
      </c>
      <c r="G70" s="303"/>
      <c r="H70" s="303"/>
      <c r="I70" s="303"/>
      <c r="J70" s="303"/>
      <c r="K70" s="303"/>
      <c r="L70" s="303"/>
    </row>
    <row r="71" spans="1:21" ht="13.15">
      <c r="A71" s="131">
        <v>6</v>
      </c>
      <c r="B71" s="119">
        <f t="shared" si="11"/>
        <v>6.4509287586479402</v>
      </c>
      <c r="C71" s="119">
        <f t="shared" si="11"/>
        <v>10.514888885539497</v>
      </c>
      <c r="D71" s="119">
        <f t="shared" si="11"/>
        <v>11.03624471508761</v>
      </c>
      <c r="E71" s="119">
        <f t="shared" si="11"/>
        <v>11.581914102300148</v>
      </c>
      <c r="F71" s="119">
        <f t="shared" si="11"/>
        <v>12.749968341836789</v>
      </c>
      <c r="G71" s="303"/>
      <c r="H71" s="303"/>
      <c r="I71" s="303"/>
      <c r="J71" s="303"/>
      <c r="K71" s="303"/>
      <c r="L71" s="303"/>
    </row>
    <row r="72" spans="1:21" ht="13.15">
      <c r="A72" s="131">
        <f t="shared" ref="A72" si="12">A58</f>
        <v>7</v>
      </c>
      <c r="B72" s="119">
        <f t="shared" si="11"/>
        <v>6.1002064888176655</v>
      </c>
      <c r="C72" s="119">
        <f t="shared" si="11"/>
        <v>10.514888885539497</v>
      </c>
      <c r="D72" s="119">
        <f t="shared" si="11"/>
        <v>11.106299294370986</v>
      </c>
      <c r="E72" s="119">
        <f t="shared" si="11"/>
        <v>11.730555339947166</v>
      </c>
      <c r="F72" s="119">
        <f t="shared" si="11"/>
        <v>13.08398514387226</v>
      </c>
      <c r="G72" s="303"/>
      <c r="H72" s="303"/>
      <c r="I72" s="303"/>
      <c r="J72" s="303"/>
      <c r="K72" s="303"/>
      <c r="L72" s="303"/>
    </row>
    <row r="73" spans="1:21" ht="13.15">
      <c r="A73" s="131">
        <v>8</v>
      </c>
      <c r="B73" s="119">
        <f t="shared" si="11"/>
        <v>5.805894094554497</v>
      </c>
      <c r="C73" s="119">
        <f t="shared" si="11"/>
        <v>10.514888885539497</v>
      </c>
      <c r="D73" s="119">
        <f t="shared" si="11"/>
        <v>11.172271438964188</v>
      </c>
      <c r="E73" s="119">
        <f t="shared" si="11"/>
        <v>11.871920433093965</v>
      </c>
      <c r="F73" s="119">
        <f t="shared" si="11"/>
        <v>13.407880224633928</v>
      </c>
      <c r="G73" s="303"/>
      <c r="H73" s="303"/>
      <c r="I73" s="303"/>
      <c r="J73" s="303"/>
      <c r="K73" s="303"/>
      <c r="L73" s="303"/>
    </row>
    <row r="74" spans="1:21" ht="13.15">
      <c r="A74" s="131">
        <f t="shared" ref="A74" si="13">A60</f>
        <v>9</v>
      </c>
      <c r="B74" s="119">
        <f t="shared" si="11"/>
        <v>5.5589186588091808</v>
      </c>
      <c r="C74" s="119">
        <f t="shared" si="11"/>
        <v>10.514888885539497</v>
      </c>
      <c r="D74" s="119">
        <f t="shared" si="11"/>
        <v>11.23439905298669</v>
      </c>
      <c r="E74" s="119">
        <f t="shared" si="11"/>
        <v>12.006365556646177</v>
      </c>
      <c r="F74" s="119">
        <f t="shared" si="11"/>
        <v>13.721960302948281</v>
      </c>
      <c r="G74" s="303"/>
      <c r="H74" s="303"/>
      <c r="I74" s="303"/>
      <c r="J74" s="303"/>
      <c r="K74" s="303"/>
      <c r="L74" s="303"/>
    </row>
    <row r="75" spans="1:21" ht="13.15">
      <c r="A75" s="131">
        <f t="shared" ref="A75:A79" si="14">A61</f>
        <v>10</v>
      </c>
      <c r="B75" s="119">
        <f t="shared" ref="B75:F79" si="15">(B61+FV_adjustments)/Common_Shares*scaling_factor*Exchange_Rate</f>
        <v>5.3516665448970269</v>
      </c>
      <c r="C75" s="119">
        <f t="shared" si="15"/>
        <v>10.514888885539497</v>
      </c>
      <c r="D75" s="119">
        <f t="shared" si="15"/>
        <v>11.292906176681539</v>
      </c>
      <c r="E75" s="119">
        <f t="shared" si="15"/>
        <v>12.13422945037415</v>
      </c>
      <c r="F75" s="119">
        <f t="shared" si="15"/>
        <v>14.026522803131888</v>
      </c>
      <c r="G75" s="303"/>
      <c r="H75" s="303"/>
      <c r="I75" s="303"/>
      <c r="J75" s="303"/>
      <c r="K75" s="303"/>
      <c r="L75" s="303"/>
    </row>
    <row r="76" spans="1:21" ht="13.15">
      <c r="A76" s="131">
        <f t="shared" si="14"/>
        <v>15</v>
      </c>
      <c r="B76" s="119">
        <f t="shared" si="15"/>
        <v>4.7203158445665068</v>
      </c>
      <c r="C76" s="119">
        <f t="shared" si="15"/>
        <v>10.514888885539497</v>
      </c>
      <c r="D76" s="119">
        <f t="shared" si="15"/>
        <v>11.538103317590181</v>
      </c>
      <c r="E76" s="119">
        <f t="shared" si="15"/>
        <v>12.685570004495904</v>
      </c>
      <c r="F76" s="119">
        <f t="shared" si="15"/>
        <v>15.416365647914123</v>
      </c>
      <c r="G76" s="303"/>
      <c r="H76" s="303"/>
      <c r="I76" s="303"/>
      <c r="J76" s="303"/>
      <c r="K76" s="303"/>
      <c r="L76" s="303"/>
    </row>
    <row r="77" spans="1:21" ht="13.15">
      <c r="A77" s="132">
        <f t="shared" si="14"/>
        <v>20</v>
      </c>
      <c r="B77" s="119">
        <f t="shared" si="15"/>
        <v>4.4575936825061371</v>
      </c>
      <c r="C77" s="119">
        <f t="shared" si="15"/>
        <v>10.514888885539497</v>
      </c>
      <c r="D77" s="119">
        <f t="shared" si="15"/>
        <v>11.719711648272744</v>
      </c>
      <c r="E77" s="119">
        <f t="shared" si="15"/>
        <v>13.114547286217784</v>
      </c>
      <c r="F77" s="119">
        <f t="shared" si="15"/>
        <v>16.608007884033537</v>
      </c>
      <c r="G77" s="303"/>
      <c r="H77" s="303"/>
      <c r="I77" s="303"/>
      <c r="J77" s="303"/>
      <c r="K77" s="303"/>
      <c r="L77" s="303"/>
    </row>
    <row r="78" spans="1:21" ht="13.15">
      <c r="A78" s="132">
        <f t="shared" si="14"/>
        <v>25</v>
      </c>
      <c r="B78" s="119">
        <f t="shared" si="15"/>
        <v>4.3482678602625864</v>
      </c>
      <c r="C78" s="119">
        <f t="shared" si="15"/>
        <v>10.514888885539497</v>
      </c>
      <c r="D78" s="119">
        <f t="shared" si="15"/>
        <v>11.854222130944299</v>
      </c>
      <c r="E78" s="119">
        <f t="shared" si="15"/>
        <v>13.448318322753675</v>
      </c>
      <c r="F78" s="119">
        <f t="shared" si="15"/>
        <v>17.629714204452931</v>
      </c>
      <c r="G78" s="303"/>
      <c r="H78" s="303"/>
      <c r="I78" s="303"/>
      <c r="J78" s="303"/>
      <c r="K78" s="303"/>
      <c r="L78" s="303"/>
    </row>
    <row r="79" spans="1:21" ht="13.15">
      <c r="A79" s="132">
        <f t="shared" si="14"/>
        <v>30</v>
      </c>
      <c r="B79" s="119">
        <f t="shared" si="15"/>
        <v>4.302774418386595</v>
      </c>
      <c r="C79" s="119">
        <f t="shared" si="15"/>
        <v>10.514888885539495</v>
      </c>
      <c r="D79" s="119">
        <f t="shared" si="15"/>
        <v>11.953849003128701</v>
      </c>
      <c r="E79" s="119">
        <f t="shared" si="15"/>
        <v>13.708012972277016</v>
      </c>
      <c r="F79" s="119">
        <f t="shared" si="15"/>
        <v>18.505718573502776</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12.405513514737709</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11.425622212715423</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10.961855075205019</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10.514888885539497</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6.8688727968623517</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10034.938561887098</v>
      </c>
      <c r="D8" s="468"/>
      <c r="E8" s="468"/>
      <c r="F8" s="468"/>
      <c r="G8" s="468"/>
    </row>
    <row r="9" spans="2:7">
      <c r="B9" s="97" t="s">
        <v>54</v>
      </c>
      <c r="C9" s="455">
        <f>Normalized_FCF!C19</f>
        <v>5447.003637544929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-2.5522091520443158E-2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11.425622212715423</v>
      </c>
      <c r="F22" s="335">
        <f>1-F23-F24</f>
        <v>0.10000000000000003</v>
      </c>
      <c r="G22" s="335">
        <f>F22*(1-F$29-F$30)</f>
        <v>8.0000000000000029E-2</v>
      </c>
    </row>
    <row r="23" spans="2:7">
      <c r="B23" s="309" t="s">
        <v>440</v>
      </c>
      <c r="C23" s="331">
        <v>0.01</v>
      </c>
      <c r="D23" s="332">
        <f>C18</f>
        <v>5</v>
      </c>
      <c r="E23" s="333">
        <f>DCF!E84</f>
        <v>10.961855075205019</v>
      </c>
      <c r="F23" s="334">
        <v>0.6</v>
      </c>
      <c r="G23" s="335">
        <f t="shared" ref="G23:G24" si="0">F23*(1-F$29-F$30)</f>
        <v>0.48</v>
      </c>
    </row>
    <row r="24" spans="2:7">
      <c r="B24" s="309" t="s">
        <v>449</v>
      </c>
      <c r="C24" s="331">
        <v>0</v>
      </c>
      <c r="D24" s="332">
        <f>C18</f>
        <v>5</v>
      </c>
      <c r="E24" s="333">
        <f>DCF!E85</f>
        <v>10.514888885539497</v>
      </c>
      <c r="F24" s="334">
        <v>0.3</v>
      </c>
      <c r="G24" s="335">
        <f t="shared" si="0"/>
        <v>0.24</v>
      </c>
    </row>
    <row r="25" spans="2:7">
      <c r="B25" s="141" t="s">
        <v>454</v>
      </c>
      <c r="C25" s="449">
        <f>E23*F23+E24*F24+E22*F22</f>
        <v>10.874141932056403</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12.405513514737709</v>
      </c>
      <c r="F29" s="334">
        <v>0.1</v>
      </c>
      <c r="G29" s="335">
        <f>F29</f>
        <v>0.1</v>
      </c>
    </row>
    <row r="30" spans="2:7">
      <c r="B30" s="322" t="s">
        <v>450</v>
      </c>
      <c r="C30" s="331">
        <v>-0.1</v>
      </c>
      <c r="D30" s="332">
        <f>C18</f>
        <v>5</v>
      </c>
      <c r="E30" s="333">
        <f>DCF!E86</f>
        <v>6.8688727968623517</v>
      </c>
      <c r="F30" s="334">
        <v>0.1</v>
      </c>
      <c r="G30" s="335">
        <f>F30</f>
        <v>0.1</v>
      </c>
    </row>
    <row r="31" spans="2:7">
      <c r="E31" s="336"/>
      <c r="F31" s="336"/>
    </row>
    <row r="32" spans="2:7" ht="13.15">
      <c r="B32" s="145" t="s">
        <v>459</v>
      </c>
    </row>
    <row r="33" spans="2:7">
      <c r="B33" s="97" t="s">
        <v>461</v>
      </c>
      <c r="C33" s="155">
        <f>Normalized_FCF!C88*(1-dividend_tax_rate)</f>
        <v>0.31080981840299998</v>
      </c>
      <c r="D33" t="str">
        <f>Market_currency</f>
        <v>HKD</v>
      </c>
      <c r="E33" s="97" t="s">
        <v>458</v>
      </c>
      <c r="F33" s="222">
        <f>Holding_Period</f>
        <v>3</v>
      </c>
    </row>
    <row r="34" spans="2:7">
      <c r="B34" s="97" t="s">
        <v>233</v>
      </c>
      <c r="C34" s="146">
        <f>Market_Price</f>
        <v>6.85</v>
      </c>
      <c r="D34" t="str">
        <f>Market_currency</f>
        <v>HKD</v>
      </c>
      <c r="E34" s="97" t="s">
        <v>457</v>
      </c>
      <c r="F34" s="337">
        <f>RATE(Holding_Period,$C$33,-C34,$C$36)</f>
        <v>0.19723548810142041</v>
      </c>
    </row>
    <row r="35" spans="2:7">
      <c r="B35" s="97" t="s">
        <v>437</v>
      </c>
      <c r="C35" s="327">
        <f>DCF!C11</f>
        <v>10.514888885539504</v>
      </c>
      <c r="D35" s="97" t="str">
        <f>Market_currency</f>
        <v>HKD</v>
      </c>
      <c r="E35" s="97" t="s">
        <v>457</v>
      </c>
      <c r="F35" s="337">
        <f>RATE(Holding_Period,$C$33,-C35,$C$36)</f>
        <v>3.2990747603875777E-2</v>
      </c>
    </row>
    <row r="36" spans="2:7">
      <c r="B36" s="97" t="s">
        <v>438</v>
      </c>
      <c r="C36" s="328">
        <f>E22*G22+E23*G23+E24*G24+E30*G30+E29*G29</f>
        <v>10.626752176805129</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10.623824603364994</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0.58205909441466375</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0.31080981840299998</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0.56873583607522959</v>
      </c>
      <c r="D62" s="119">
        <f>C36/(1+F62)^Holding_Period</f>
        <v>4.8971208188042077</v>
      </c>
      <c r="E62" s="339">
        <f>C62+D62</f>
        <v>5.4658566548794374</v>
      </c>
      <c r="F62" s="308">
        <f>Thesis!E22</f>
        <v>0.29465259038036606</v>
      </c>
      <c r="G62" s="448">
        <f>(1-E62/C36)</f>
        <v>0.48565125412356092</v>
      </c>
    </row>
    <row r="63" spans="2:7" ht="13.15">
      <c r="B63" s="309" t="s">
        <v>313</v>
      </c>
      <c r="C63" s="119">
        <f>PV(F63, Holding_Period, -C58, 0)</f>
        <v>0.65394508476989732</v>
      </c>
      <c r="D63" s="119">
        <f>C36/(1+F63)^Holding_Period</f>
        <v>6.1381962032087412</v>
      </c>
      <c r="E63" s="339">
        <f>C63+D63</f>
        <v>6.7921412879786383</v>
      </c>
      <c r="F63" s="308">
        <f>Thesis!E23</f>
        <v>0.20075184365903009</v>
      </c>
      <c r="G63" s="448">
        <f>(1-E63/C36)</f>
        <v>0.36084504701222309</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0.74986073945150167</v>
      </c>
      <c r="D66" s="119">
        <f>C36/(1+F66)^Holding_Period</f>
        <v>7.6168350667177531</v>
      </c>
      <c r="E66" s="339">
        <f>C66+D66</f>
        <v>8.366695806169254</v>
      </c>
      <c r="F66" s="308">
        <f>Thesis!E24</f>
        <v>0.1174</v>
      </c>
      <c r="G66" s="448">
        <f>(1-E66/C47)</f>
        <v>0.21245915491496503</v>
      </c>
    </row>
    <row r="67" spans="2:7" ht="13.15">
      <c r="B67" s="309" t="s">
        <v>314</v>
      </c>
      <c r="C67" s="119">
        <f>PV(F67, Holding_Period, -C58, 0)</f>
        <v>0.81195186995814095</v>
      </c>
      <c r="D67" s="119">
        <f>C36/(1+F67)^Holding_Period</f>
        <v>8.6140750272356623</v>
      </c>
      <c r="E67" s="339">
        <f>C67+D67</f>
        <v>9.4260268971938039</v>
      </c>
      <c r="F67" s="308">
        <f>Thesis!E25</f>
        <v>7.2499999999999995E-2</v>
      </c>
      <c r="G67" s="448">
        <f>(1-E67/C36)</f>
        <v>0.11299080468180411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6.85</v>
      </c>
    </row>
    <row r="9" spans="1:10">
      <c r="B9" s="358" t="s">
        <v>361</v>
      </c>
      <c r="C9" s="360">
        <f>Common_Shares</f>
        <v>8658801708</v>
      </c>
    </row>
    <row r="10" spans="1:10">
      <c r="B10" s="358" t="s">
        <v>367</v>
      </c>
      <c r="C10" s="364">
        <f>投资主题!C8*Common_Shares/1000000</f>
        <v>59312.791699799993</v>
      </c>
      <c r="D10" s="350" t="s">
        <v>531</v>
      </c>
      <c r="E10" s="367">
        <f>Scenarios!F34</f>
        <v>0.19723548810142041</v>
      </c>
    </row>
    <row r="11" spans="1:10">
      <c r="D11" s="356"/>
      <c r="E11" s="356"/>
    </row>
    <row r="12" spans="1:10" ht="24.5" customHeight="1">
      <c r="B12" s="473" t="s">
        <v>500</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1.09355365</v>
      </c>
    </row>
    <row r="17" spans="1:6">
      <c r="B17" s="350" t="s">
        <v>537</v>
      </c>
      <c r="C17" s="432">
        <f>Terminal_Growth</f>
        <v>0</v>
      </c>
      <c r="D17" s="358" t="s">
        <v>339</v>
      </c>
      <c r="E17" s="351" t="str">
        <f>Reporting_currency</f>
        <v>CNY</v>
      </c>
    </row>
    <row r="18" spans="1:6">
      <c r="B18" s="350" t="str">
        <f>"预期股权价值 ("&amp;C7&amp;") :"</f>
        <v>预期股权价值 (HKD) :</v>
      </c>
      <c r="C18" s="366">
        <f>C125</f>
        <v>10.626752176805129</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5.4658566548794374</v>
      </c>
      <c r="D22" s="372" t="s">
        <v>443</v>
      </c>
      <c r="E22" s="373">
        <f>Thesis!E22</f>
        <v>0.29465259038036606</v>
      </c>
    </row>
    <row r="23" spans="1:6">
      <c r="B23" s="350" t="s">
        <v>341</v>
      </c>
      <c r="C23" s="374">
        <f>E141</f>
        <v>6.7921412879786383</v>
      </c>
      <c r="D23" s="372" t="s">
        <v>444</v>
      </c>
      <c r="E23" s="375">
        <f>Thesis!E23</f>
        <v>0.20075184365903009</v>
      </c>
    </row>
    <row r="24" spans="1:6">
      <c r="B24" s="350" t="s">
        <v>343</v>
      </c>
      <c r="C24" s="374">
        <f>E144</f>
        <v>8.366695806169254</v>
      </c>
      <c r="D24" s="372" t="s">
        <v>446</v>
      </c>
      <c r="E24" s="375">
        <f>Thesis!E24</f>
        <v>0.1174</v>
      </c>
    </row>
    <row r="25" spans="1:6">
      <c r="B25" s="350" t="s">
        <v>342</v>
      </c>
      <c r="C25" s="374">
        <f>E145</f>
        <v>9.4260268971938039</v>
      </c>
      <c r="D25" s="372" t="s">
        <v>445</v>
      </c>
      <c r="E25" s="375">
        <f>Thesis!E25</f>
        <v>7.2499999999999995E-2</v>
      </c>
    </row>
    <row r="27" spans="1:6" ht="13.9">
      <c r="A27" s="352" t="s">
        <v>345</v>
      </c>
      <c r="B27" s="352"/>
      <c r="C27" s="352"/>
      <c r="D27" s="352"/>
      <c r="E27" s="352"/>
      <c r="F27" s="352"/>
    </row>
    <row r="29" spans="1:6">
      <c r="B29" s="473" t="s">
        <v>501</v>
      </c>
      <c r="C29" s="473"/>
      <c r="D29" s="473"/>
      <c r="E29" s="473"/>
      <c r="F29" s="473"/>
    </row>
    <row r="30" spans="1:6" ht="24.5" customHeight="1">
      <c r="B30" s="476" t="s">
        <v>502</v>
      </c>
      <c r="C30" s="476"/>
      <c r="D30" s="476"/>
      <c r="E30" s="476"/>
      <c r="F30" s="476"/>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86.986633659139486</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-716.01336634086056</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-3909.5366584147851</v>
      </c>
      <c r="D52" s="350" t="str">
        <f>Reporting_currency</f>
        <v>CNY</v>
      </c>
    </row>
    <row r="54" spans="2:6">
      <c r="B54" s="469" t="s">
        <v>509</v>
      </c>
      <c r="C54" s="475"/>
      <c r="D54" s="475"/>
      <c r="E54" s="475"/>
      <c r="F54" s="475"/>
    </row>
    <row r="55" spans="2:6">
      <c r="B55" s="379" t="s">
        <v>207</v>
      </c>
      <c r="C55" s="380">
        <f>Normalized_FCF!C17</f>
        <v>0</v>
      </c>
      <c r="D55" s="350" t="str">
        <f>Reporting_currency</f>
        <v>CNY</v>
      </c>
    </row>
    <row r="57" spans="2:6">
      <c r="B57" s="473" t="s">
        <v>510</v>
      </c>
      <c r="C57" s="473"/>
      <c r="D57" s="473"/>
      <c r="E57" s="473"/>
      <c r="F57" s="473"/>
    </row>
    <row r="58" spans="2:6">
      <c r="B58" s="473" t="s">
        <v>511</v>
      </c>
      <c r="C58" s="473"/>
      <c r="D58" s="473"/>
      <c r="E58" s="473"/>
      <c r="F58" s="473"/>
    </row>
    <row r="60" spans="2:6">
      <c r="B60" s="379" t="s">
        <v>372</v>
      </c>
      <c r="C60" s="380">
        <f>Normalized_FCF!G19</f>
        <v>10034.938561887098</v>
      </c>
      <c r="D60" s="350" t="str">
        <f>Reporting_currency</f>
        <v>CNY</v>
      </c>
    </row>
    <row r="61" spans="2:6">
      <c r="B61" s="379" t="s">
        <v>213</v>
      </c>
      <c r="C61" s="380">
        <f>Normalized_FCF!C19</f>
        <v>5447.003637544929</v>
      </c>
      <c r="D61" s="350" t="str">
        <f>Reporting_currency</f>
        <v>CNY</v>
      </c>
    </row>
    <row r="62" spans="2:6">
      <c r="B62" s="384" t="s">
        <v>302</v>
      </c>
      <c r="C62" s="385">
        <f>Normalized_FCF!C124</f>
        <v>0.10042674672183101</v>
      </c>
      <c r="F62" s="386"/>
    </row>
    <row r="63" spans="2:6">
      <c r="B63" s="384" t="s">
        <v>332</v>
      </c>
      <c r="C63" s="385">
        <f>Normalized_FCF!C92</f>
        <v>4.5373696117226275E-2</v>
      </c>
      <c r="E63" s="379" t="s">
        <v>373</v>
      </c>
      <c r="F63" s="387">
        <f>Normalized_FCF!C90</f>
        <v>0.54897472395056712</v>
      </c>
    </row>
    <row r="65" spans="1:6">
      <c r="B65" s="376" t="s">
        <v>376</v>
      </c>
      <c r="C65" s="388" t="s">
        <v>327</v>
      </c>
      <c r="D65" s="388" t="s">
        <v>374</v>
      </c>
    </row>
    <row r="66" spans="1:6">
      <c r="B66" s="379" t="s">
        <v>326</v>
      </c>
      <c r="C66" s="385">
        <f>Normalized_FCF!C119</f>
        <v>0.17171944737623687</v>
      </c>
      <c r="D66" s="385">
        <f>Normalized_FCF!G119</f>
        <v>0.18348858613219901</v>
      </c>
    </row>
    <row r="67" spans="1:6">
      <c r="B67" s="389" t="str">
        <f>Normalized_FCF!B116</f>
        <v>Pre-tax Profit/Sales</v>
      </c>
      <c r="C67" s="390">
        <f>Normalized_FCF!C116</f>
        <v>8.360588643253071E-2</v>
      </c>
      <c r="D67" s="390">
        <f>Normalized_FCF!G116</f>
        <v>8.9335984527266543E-2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3" t="s">
        <v>512</v>
      </c>
      <c r="C73" s="473"/>
      <c r="D73" s="473"/>
      <c r="E73" s="473"/>
      <c r="F73" s="473"/>
    </row>
    <row r="74" spans="1:6">
      <c r="B74" s="476" t="s">
        <v>482</v>
      </c>
      <c r="C74" s="476"/>
      <c r="D74" s="476"/>
      <c r="E74" s="476"/>
      <c r="F74" s="476"/>
    </row>
    <row r="76" spans="1:6">
      <c r="B76" s="376" t="s">
        <v>371</v>
      </c>
    </row>
    <row r="77" spans="1:6">
      <c r="B77" s="473" t="s">
        <v>513</v>
      </c>
      <c r="C77" s="473"/>
      <c r="D77" s="473"/>
      <c r="E77" s="473"/>
      <c r="F77" s="473"/>
    </row>
    <row r="78" spans="1:6">
      <c r="B78" s="350" t="s">
        <v>215</v>
      </c>
      <c r="C78" s="380">
        <f>DCF!F4</f>
        <v>-20425</v>
      </c>
      <c r="D78" s="350" t="str">
        <f>Reporting_currency</f>
        <v>CNY</v>
      </c>
    </row>
    <row r="79" spans="1:6">
      <c r="B79" s="379" t="s">
        <v>234</v>
      </c>
      <c r="C79" s="394">
        <f>C78*scaling_factor*Exchange_Rate/Common_Shares</f>
        <v>-2.5795524663203202</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28377.227723476753</v>
      </c>
      <c r="D84" s="350" t="str">
        <f>Reporting_currency</f>
        <v>CNY</v>
      </c>
    </row>
    <row r="85" spans="1:6">
      <c r="B85" s="389" t="s">
        <v>484</v>
      </c>
      <c r="C85" s="397">
        <f>BS!C66</f>
        <v>42875</v>
      </c>
      <c r="D85" s="398" t="str">
        <f>Reporting_currency</f>
        <v>CNY</v>
      </c>
    </row>
    <row r="86" spans="1:6">
      <c r="B86" s="379" t="s">
        <v>235</v>
      </c>
      <c r="C86" s="394">
        <f>C84*scaling_factor*Exchange_Rate/Common_Shares</f>
        <v>3.5838701474383265</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2.1975134841602725E-2</v>
      </c>
      <c r="D90" s="350" t="str">
        <f>Market_currency</f>
        <v>HKD</v>
      </c>
    </row>
    <row r="92" spans="1:6">
      <c r="B92" s="379" t="s">
        <v>483</v>
      </c>
      <c r="C92" s="394">
        <f>DCF!F8</f>
        <v>1.0262928159596092</v>
      </c>
      <c r="D92" s="350" t="str">
        <f>Market_currency</f>
        <v>HKD</v>
      </c>
    </row>
    <row r="94" spans="1:6" ht="13.9">
      <c r="A94" s="352" t="s">
        <v>485</v>
      </c>
      <c r="B94" s="352"/>
      <c r="C94" s="352"/>
      <c r="D94" s="352"/>
      <c r="E94" s="352"/>
      <c r="F94" s="352"/>
    </row>
    <row r="95" spans="1:6">
      <c r="A95" s="392"/>
    </row>
    <row r="96" spans="1:6">
      <c r="A96" s="392"/>
      <c r="B96" s="473" t="s">
        <v>516</v>
      </c>
      <c r="C96" s="473"/>
      <c r="D96" s="473"/>
      <c r="E96" s="473"/>
      <c r="F96" s="473"/>
    </row>
    <row r="97" spans="1:6">
      <c r="A97" s="392"/>
      <c r="B97" s="476" t="s">
        <v>517</v>
      </c>
      <c r="C97" s="476"/>
      <c r="D97" s="476"/>
      <c r="E97" s="476"/>
      <c r="F97" s="476"/>
    </row>
    <row r="98" spans="1:6">
      <c r="A98" s="392"/>
      <c r="B98" s="476" t="s">
        <v>518</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3" t="s">
        <v>519</v>
      </c>
      <c r="C107" s="473"/>
      <c r="D107" s="473"/>
      <c r="E107" s="473"/>
      <c r="F107" s="473"/>
    </row>
    <row r="108" spans="1:6">
      <c r="A108" s="392"/>
      <c r="B108" s="473" t="s">
        <v>538</v>
      </c>
      <c r="C108" s="473"/>
      <c r="D108" s="473"/>
      <c r="E108" s="473"/>
      <c r="F108" s="473"/>
    </row>
    <row r="109" spans="1:6">
      <c r="A109" s="392"/>
    </row>
    <row r="110" spans="1:6">
      <c r="A110" s="392"/>
      <c r="B110" s="376" t="s">
        <v>492</v>
      </c>
    </row>
    <row r="111" spans="1:6">
      <c r="A111" s="392"/>
      <c r="B111" s="382" t="s">
        <v>489</v>
      </c>
      <c r="C111" s="401">
        <f>BS!D47</f>
        <v>-2.8859035271552376</v>
      </c>
      <c r="D111" s="350" t="str">
        <f>Market_currency</f>
        <v>HKD</v>
      </c>
    </row>
    <row r="112" spans="1:6">
      <c r="A112" s="392"/>
      <c r="B112" s="379" t="s">
        <v>377</v>
      </c>
      <c r="C112" s="401">
        <f>DCF!C11</f>
        <v>10.514888885539504</v>
      </c>
      <c r="D112" s="350" t="str">
        <f>Market_currency</f>
        <v>HKD</v>
      </c>
    </row>
    <row r="113" spans="1:6">
      <c r="A113" s="392"/>
    </row>
    <row r="114" spans="1:6">
      <c r="A114" s="392"/>
      <c r="B114" s="473" t="s">
        <v>520</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12.41 HKD</v>
      </c>
      <c r="F118" s="406">
        <f>DCF!F82</f>
        <v>0.1</v>
      </c>
    </row>
    <row r="119" spans="1:6">
      <c r="A119" s="392"/>
      <c r="B119" s="407" t="str">
        <f>DCF!B83</f>
        <v>Optimistic</v>
      </c>
      <c r="C119" s="408">
        <f>DCF!C83</f>
        <v>0.02</v>
      </c>
      <c r="D119" s="409">
        <f>DCF!D83</f>
        <v>5</v>
      </c>
      <c r="E119" s="405" t="str">
        <f>ROUND(DCF!E83,2)&amp;" "&amp;Market_currency</f>
        <v>11.43 HKD</v>
      </c>
      <c r="F119" s="410">
        <f>DCF!F83</f>
        <v>8.0000000000000029E-2</v>
      </c>
    </row>
    <row r="120" spans="1:6">
      <c r="B120" s="407" t="str">
        <f>DCF!B84</f>
        <v>Base</v>
      </c>
      <c r="C120" s="408">
        <f>DCF!C84</f>
        <v>0.01</v>
      </c>
      <c r="D120" s="409">
        <f>DCF!D84</f>
        <v>5</v>
      </c>
      <c r="E120" s="405" t="str">
        <f>ROUND(DCF!E84,2)&amp;" "&amp;Market_currency</f>
        <v>10.96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6.87 HKD</v>
      </c>
      <c r="F122" s="410">
        <f>DCF!F86</f>
        <v>0.1</v>
      </c>
    </row>
    <row r="124" spans="1:6">
      <c r="B124" s="469" t="s">
        <v>521</v>
      </c>
      <c r="C124" s="469"/>
      <c r="D124" s="469"/>
      <c r="E124" s="469"/>
      <c r="F124" s="469"/>
    </row>
    <row r="125" spans="1:6">
      <c r="B125" s="379" t="s">
        <v>218</v>
      </c>
      <c r="C125" s="411">
        <f>Scenarios!C36</f>
        <v>10.626752176805129</v>
      </c>
      <c r="D125" s="350" t="str">
        <f>Market_currency</f>
        <v>HKD</v>
      </c>
    </row>
    <row r="127" spans="1:6">
      <c r="B127" s="471" t="s">
        <v>522</v>
      </c>
      <c r="C127" s="471"/>
      <c r="D127" s="471"/>
      <c r="E127" s="471"/>
      <c r="F127" s="471"/>
    </row>
    <row r="129" spans="1:6" ht="13.9">
      <c r="A129" s="352" t="s">
        <v>495</v>
      </c>
      <c r="B129" s="352"/>
      <c r="C129" s="352"/>
      <c r="D129" s="352"/>
      <c r="E129" s="352"/>
      <c r="F129" s="352"/>
    </row>
    <row r="131" spans="1:6">
      <c r="B131" s="472" t="s">
        <v>523</v>
      </c>
      <c r="C131" s="472"/>
      <c r="D131" s="472"/>
      <c r="E131" s="472"/>
      <c r="F131" s="472"/>
    </row>
    <row r="132" spans="1:6" ht="24.5" customHeight="1">
      <c r="B132" s="473" t="s">
        <v>524</v>
      </c>
      <c r="C132" s="473"/>
      <c r="D132" s="473"/>
      <c r="E132" s="473"/>
      <c r="F132" s="473"/>
    </row>
    <row r="134" spans="1:6">
      <c r="B134" s="376" t="s">
        <v>371</v>
      </c>
    </row>
    <row r="135" spans="1:6">
      <c r="B135" s="350" t="s">
        <v>382</v>
      </c>
      <c r="C135" s="412">
        <f>E21</f>
        <v>3</v>
      </c>
    </row>
    <row r="136" spans="1:6">
      <c r="B136" s="350" t="s">
        <v>383</v>
      </c>
      <c r="C136" s="413">
        <f>Scenarios!C58</f>
        <v>0.31080981840299998</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0.56873583607522959</v>
      </c>
      <c r="D140" s="416">
        <f>Scenarios!D62</f>
        <v>4.8971208188042077</v>
      </c>
      <c r="E140" s="417">
        <f>Scenarios!E62</f>
        <v>5.4658566548794374</v>
      </c>
      <c r="F140" s="418">
        <f>E22</f>
        <v>0.29465259038036606</v>
      </c>
    </row>
    <row r="141" spans="1:6">
      <c r="B141" s="415" t="s">
        <v>313</v>
      </c>
      <c r="C141" s="416">
        <f>Scenarios!C63</f>
        <v>0.65394508476989732</v>
      </c>
      <c r="D141" s="416">
        <f>Scenarios!D63</f>
        <v>6.1381962032087412</v>
      </c>
      <c r="E141" s="417">
        <f>Scenarios!E63</f>
        <v>6.7921412879786383</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0.74986073945150167</v>
      </c>
      <c r="D144" s="416">
        <f>Scenarios!D66</f>
        <v>7.6168350667177531</v>
      </c>
      <c r="E144" s="417">
        <f>Scenarios!E66</f>
        <v>8.366695806169254</v>
      </c>
      <c r="F144" s="418">
        <f>E24</f>
        <v>0.1174</v>
      </c>
    </row>
    <row r="145" spans="1:6">
      <c r="B145" s="415" t="s">
        <v>314</v>
      </c>
      <c r="C145" s="416">
        <f>Scenarios!C67</f>
        <v>0.81195186995814095</v>
      </c>
      <c r="D145" s="416">
        <f>Scenarios!D67</f>
        <v>8.6140750272356623</v>
      </c>
      <c r="E145" s="417">
        <f>Scenarios!E67</f>
        <v>9.4260268971938039</v>
      </c>
      <c r="F145" s="418">
        <f>Scenarios!F67</f>
        <v>7.2499999999999995E-2</v>
      </c>
    </row>
    <row r="147" spans="1:6" ht="13.9">
      <c r="A147" s="352" t="s">
        <v>478</v>
      </c>
      <c r="B147" s="352"/>
      <c r="C147" s="352"/>
      <c r="D147" s="352"/>
      <c r="E147" s="352"/>
      <c r="F147" s="352"/>
    </row>
    <row r="149" spans="1:6">
      <c r="B149" s="474" t="s">
        <v>525</v>
      </c>
      <c r="C149" s="473"/>
      <c r="D149" s="473"/>
      <c r="E149" s="473"/>
      <c r="F149" s="473"/>
    </row>
    <row r="151" spans="1:6">
      <c r="B151" s="376" t="s">
        <v>384</v>
      </c>
    </row>
    <row r="152" spans="1:6">
      <c r="B152" s="475" t="s">
        <v>526</v>
      </c>
      <c r="C152" s="475"/>
      <c r="D152" s="475"/>
      <c r="E152" s="475"/>
      <c r="F152" s="475"/>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0" t="s">
        <v>388</v>
      </c>
      <c r="C161" s="470"/>
      <c r="D161" s="470"/>
      <c r="E161" s="470"/>
      <c r="F161" s="470"/>
    </row>
    <row r="162" spans="2:6">
      <c r="B162" s="470" t="s">
        <v>389</v>
      </c>
      <c r="C162" s="470"/>
      <c r="D162" s="470"/>
      <c r="E162" s="470"/>
      <c r="F162" s="470"/>
    </row>
    <row r="164" spans="2:6">
      <c r="B164" s="350" t="s">
        <v>529</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